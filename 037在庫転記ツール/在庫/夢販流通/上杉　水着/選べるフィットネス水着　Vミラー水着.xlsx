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26AB76B1-1306-42C8-80CB-FBA51665E013}" xr6:coauthVersionLast="47" xr6:coauthVersionMax="47" xr10:uidLastSave="{00000000-0000-0000-0000-000000000000}"/>
  <bookViews>
    <workbookView xWindow="14580" yWindow="1305" windowWidth="13335" windowHeight="12450" firstSheet="3" activeTab="3" xr2:uid="{00000000-000D-0000-FFFF-FFFF00000000}"/>
  </bookViews>
  <sheets>
    <sheet name="サークル-ノースリ" sheetId="2" r:id="rId1"/>
    <sheet name="サークル-半袖" sheetId="3" r:id="rId2"/>
    <sheet name="3分丈ボトム" sheetId="4" r:id="rId3"/>
    <sheet name="5分丈ボトム" sheetId="5" r:id="rId4"/>
    <sheet name="花柄-ノースリ" sheetId="6" r:id="rId5"/>
    <sheet name="花柄-半袖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37" i="6" l="1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O1737" i="6"/>
  <c r="O1738" i="6"/>
  <c r="G1728" i="6"/>
  <c r="G1729" i="6"/>
  <c r="G1730" i="6"/>
  <c r="G1731" i="6"/>
  <c r="G1732" i="6"/>
  <c r="G1733" i="6"/>
  <c r="N1763" i="6"/>
  <c r="M1763" i="6"/>
  <c r="L1763" i="6"/>
  <c r="K1763" i="6"/>
  <c r="J1763" i="6"/>
  <c r="F1763" i="6"/>
  <c r="E1763" i="6"/>
  <c r="D1763" i="6"/>
  <c r="C1763" i="6"/>
  <c r="B1763" i="6"/>
  <c r="O1762" i="6"/>
  <c r="G1762" i="6"/>
  <c r="O1761" i="6"/>
  <c r="G1761" i="6"/>
  <c r="O1760" i="6"/>
  <c r="G1760" i="6"/>
  <c r="O1759" i="6"/>
  <c r="O1758" i="6"/>
  <c r="O1757" i="6"/>
  <c r="O1756" i="6"/>
  <c r="O1755" i="6"/>
  <c r="O1754" i="6"/>
  <c r="O1753" i="6"/>
  <c r="O1752" i="6"/>
  <c r="O1751" i="6"/>
  <c r="O1750" i="6"/>
  <c r="O1749" i="6"/>
  <c r="O1748" i="6"/>
  <c r="O1747" i="6"/>
  <c r="O1746" i="6"/>
  <c r="O1745" i="6"/>
  <c r="O1744" i="6"/>
  <c r="O1743" i="6"/>
  <c r="O1742" i="6"/>
  <c r="O1741" i="6"/>
  <c r="O1740" i="6"/>
  <c r="O1739" i="6"/>
  <c r="O1735" i="6"/>
  <c r="G1735" i="6"/>
  <c r="O1734" i="6"/>
  <c r="G1734" i="6"/>
  <c r="O1733" i="6"/>
  <c r="O1732" i="6"/>
  <c r="O1731" i="6"/>
  <c r="O1730" i="6"/>
  <c r="O1729" i="6"/>
  <c r="O1728" i="6"/>
  <c r="N1727" i="6"/>
  <c r="N1736" i="6" s="1"/>
  <c r="N1764" i="6" s="1"/>
  <c r="M1727" i="6"/>
  <c r="M1736" i="6" s="1"/>
  <c r="M1764" i="6" s="1"/>
  <c r="L1727" i="6"/>
  <c r="L1736" i="6" s="1"/>
  <c r="L1764" i="6" s="1"/>
  <c r="K1727" i="6"/>
  <c r="K1736" i="6" s="1"/>
  <c r="K1764" i="6" s="1"/>
  <c r="J1727" i="6"/>
  <c r="O1727" i="6" s="1"/>
  <c r="F1727" i="6"/>
  <c r="F1736" i="6" s="1"/>
  <c r="F1764" i="6" s="1"/>
  <c r="E1727" i="6"/>
  <c r="E1736" i="6" s="1"/>
  <c r="D1727" i="6"/>
  <c r="D1736" i="6" s="1"/>
  <c r="D1764" i="6" s="1"/>
  <c r="C1727" i="6"/>
  <c r="C1736" i="6" s="1"/>
  <c r="B1727" i="6"/>
  <c r="G1727" i="6" s="1"/>
  <c r="O1723" i="6"/>
  <c r="N1723" i="6"/>
  <c r="M1723" i="6"/>
  <c r="L1723" i="6"/>
  <c r="K1723" i="6"/>
  <c r="J1723" i="6"/>
  <c r="O2448" i="4"/>
  <c r="O2423" i="4"/>
  <c r="O2424" i="4"/>
  <c r="O2425" i="4"/>
  <c r="O2426" i="4"/>
  <c r="N2449" i="4"/>
  <c r="M2449" i="4"/>
  <c r="K2449" i="4"/>
  <c r="J2449" i="4"/>
  <c r="F2449" i="4"/>
  <c r="E2449" i="4"/>
  <c r="D2449" i="4"/>
  <c r="C2449" i="4"/>
  <c r="B2449" i="4"/>
  <c r="G2448" i="4"/>
  <c r="O2447" i="4"/>
  <c r="G2447" i="4"/>
  <c r="O2446" i="4"/>
  <c r="G2446" i="4"/>
  <c r="O2445" i="4"/>
  <c r="G2445" i="4"/>
  <c r="O2444" i="4"/>
  <c r="G2444" i="4"/>
  <c r="O2443" i="4"/>
  <c r="G2443" i="4"/>
  <c r="O2442" i="4"/>
  <c r="G2442" i="4"/>
  <c r="O2441" i="4"/>
  <c r="G2441" i="4"/>
  <c r="O2440" i="4"/>
  <c r="G2440" i="4"/>
  <c r="O2439" i="4"/>
  <c r="G2439" i="4"/>
  <c r="O2438" i="4"/>
  <c r="G2438" i="4"/>
  <c r="O2437" i="4"/>
  <c r="G2437" i="4"/>
  <c r="O2436" i="4"/>
  <c r="G2436" i="4"/>
  <c r="O2435" i="4"/>
  <c r="G2435" i="4"/>
  <c r="O2434" i="4"/>
  <c r="G2434" i="4"/>
  <c r="O2433" i="4"/>
  <c r="G2433" i="4"/>
  <c r="O2432" i="4"/>
  <c r="G2432" i="4"/>
  <c r="O2431" i="4"/>
  <c r="G2431" i="4"/>
  <c r="O2430" i="4"/>
  <c r="G2430" i="4"/>
  <c r="O2429" i="4"/>
  <c r="G2429" i="4"/>
  <c r="O2428" i="4"/>
  <c r="G2428" i="4"/>
  <c r="O2427" i="4"/>
  <c r="G2427" i="4"/>
  <c r="G2426" i="4"/>
  <c r="G2425" i="4"/>
  <c r="G2424" i="4"/>
  <c r="G2423" i="4"/>
  <c r="O2421" i="4"/>
  <c r="G2421" i="4"/>
  <c r="O2420" i="4"/>
  <c r="G2420" i="4"/>
  <c r="O2419" i="4"/>
  <c r="G2419" i="4"/>
  <c r="O2418" i="4"/>
  <c r="G2418" i="4"/>
  <c r="O2417" i="4"/>
  <c r="G2417" i="4"/>
  <c r="O2416" i="4"/>
  <c r="G2416" i="4"/>
  <c r="O2415" i="4"/>
  <c r="G2415" i="4"/>
  <c r="O2414" i="4"/>
  <c r="G2414" i="4"/>
  <c r="O2413" i="4"/>
  <c r="G2413" i="4"/>
  <c r="N2412" i="4"/>
  <c r="N2422" i="4" s="1"/>
  <c r="N2450" i="4" s="1"/>
  <c r="M2412" i="4"/>
  <c r="M2422" i="4" s="1"/>
  <c r="L2412" i="4"/>
  <c r="L2422" i="4" s="1"/>
  <c r="K2412" i="4"/>
  <c r="K2422" i="4" s="1"/>
  <c r="J2412" i="4"/>
  <c r="J2422" i="4" s="1"/>
  <c r="J2450" i="4" s="1"/>
  <c r="F2412" i="4"/>
  <c r="F2422" i="4" s="1"/>
  <c r="F2450" i="4" s="1"/>
  <c r="E2412" i="4"/>
  <c r="E2422" i="4" s="1"/>
  <c r="E2450" i="4" s="1"/>
  <c r="D2412" i="4"/>
  <c r="D2422" i="4" s="1"/>
  <c r="D2450" i="4" s="1"/>
  <c r="C2412" i="4"/>
  <c r="C2422" i="4" s="1"/>
  <c r="C2450" i="4" s="1"/>
  <c r="B2412" i="4"/>
  <c r="B2422" i="4" s="1"/>
  <c r="B2450" i="4" s="1"/>
  <c r="O2408" i="4"/>
  <c r="N2408" i="4"/>
  <c r="M2408" i="4"/>
  <c r="L2408" i="4"/>
  <c r="K2408" i="4"/>
  <c r="J2408" i="4"/>
  <c r="L2405" i="4"/>
  <c r="O1174" i="7"/>
  <c r="O1216" i="7"/>
  <c r="M1216" i="7"/>
  <c r="K1765" i="5"/>
  <c r="L1765" i="5"/>
  <c r="M1765" i="5"/>
  <c r="O2362" i="4"/>
  <c r="O2404" i="4"/>
  <c r="O2405" i="4"/>
  <c r="N2406" i="4"/>
  <c r="M2406" i="4"/>
  <c r="L2406" i="4"/>
  <c r="K2406" i="4"/>
  <c r="J2406" i="4"/>
  <c r="F2406" i="4"/>
  <c r="E2406" i="4"/>
  <c r="D2406" i="4"/>
  <c r="C2406" i="4"/>
  <c r="B2406" i="4"/>
  <c r="G2406" i="4" s="1"/>
  <c r="G2405" i="4"/>
  <c r="G2404" i="4"/>
  <c r="O2403" i="4"/>
  <c r="G2403" i="4"/>
  <c r="O2402" i="4"/>
  <c r="G2402" i="4"/>
  <c r="O2401" i="4"/>
  <c r="G2401" i="4"/>
  <c r="O2400" i="4"/>
  <c r="G2400" i="4"/>
  <c r="O2399" i="4"/>
  <c r="G2399" i="4"/>
  <c r="O2398" i="4"/>
  <c r="G2398" i="4"/>
  <c r="O2397" i="4"/>
  <c r="G2397" i="4"/>
  <c r="O2396" i="4"/>
  <c r="G2396" i="4"/>
  <c r="O2395" i="4"/>
  <c r="G2395" i="4"/>
  <c r="O2394" i="4"/>
  <c r="G2394" i="4"/>
  <c r="O2393" i="4"/>
  <c r="G2393" i="4"/>
  <c r="O2392" i="4"/>
  <c r="G2392" i="4"/>
  <c r="O2391" i="4"/>
  <c r="G2391" i="4"/>
  <c r="O2390" i="4"/>
  <c r="G2390" i="4"/>
  <c r="O2389" i="4"/>
  <c r="G2389" i="4"/>
  <c r="O2388" i="4"/>
  <c r="G2388" i="4"/>
  <c r="O2387" i="4"/>
  <c r="G2387" i="4"/>
  <c r="O2386" i="4"/>
  <c r="G2386" i="4"/>
  <c r="O2385" i="4"/>
  <c r="G2385" i="4"/>
  <c r="O2384" i="4"/>
  <c r="G2384" i="4"/>
  <c r="O2383" i="4"/>
  <c r="G2383" i="4"/>
  <c r="O2382" i="4"/>
  <c r="G2382" i="4"/>
  <c r="O2381" i="4"/>
  <c r="G2381" i="4"/>
  <c r="O2380" i="4"/>
  <c r="G2380" i="4"/>
  <c r="O2378" i="4"/>
  <c r="G2378" i="4"/>
  <c r="O2377" i="4"/>
  <c r="G2377" i="4"/>
  <c r="O2376" i="4"/>
  <c r="G2376" i="4"/>
  <c r="O2375" i="4"/>
  <c r="G2375" i="4"/>
  <c r="O2374" i="4"/>
  <c r="G2374" i="4"/>
  <c r="O2373" i="4"/>
  <c r="G2373" i="4"/>
  <c r="O2372" i="4"/>
  <c r="G2372" i="4"/>
  <c r="O2371" i="4"/>
  <c r="G2371" i="4"/>
  <c r="O2370" i="4"/>
  <c r="G2370" i="4"/>
  <c r="D2369" i="4"/>
  <c r="D2379" i="4" s="1"/>
  <c r="C2369" i="4"/>
  <c r="C2379" i="4" s="1"/>
  <c r="L1217" i="7"/>
  <c r="J1217" i="7"/>
  <c r="K1217" i="7"/>
  <c r="M1217" i="7"/>
  <c r="N1217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5" i="7"/>
  <c r="O1214" i="7"/>
  <c r="O1213" i="7"/>
  <c r="O1212" i="7"/>
  <c r="O1211" i="7"/>
  <c r="O1210" i="7"/>
  <c r="O1189" i="7"/>
  <c r="O1188" i="7"/>
  <c r="O1187" i="7"/>
  <c r="O1186" i="7"/>
  <c r="O1185" i="7"/>
  <c r="O1184" i="7"/>
  <c r="O1183" i="7"/>
  <c r="O1182" i="7"/>
  <c r="F1217" i="7"/>
  <c r="E1217" i="7"/>
  <c r="D1217" i="7"/>
  <c r="C1217" i="7"/>
  <c r="B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F1190" i="7"/>
  <c r="C1190" i="7"/>
  <c r="B1190" i="7"/>
  <c r="G1189" i="7"/>
  <c r="G1188" i="7"/>
  <c r="G1187" i="7"/>
  <c r="G1186" i="7"/>
  <c r="G1185" i="7"/>
  <c r="G1184" i="7"/>
  <c r="G1183" i="7"/>
  <c r="G1182" i="7"/>
  <c r="F1181" i="7"/>
  <c r="E1181" i="7"/>
  <c r="E1190" i="7" s="1"/>
  <c r="E1218" i="7" s="1"/>
  <c r="D1181" i="7"/>
  <c r="D1190" i="7" s="1"/>
  <c r="C1181" i="7"/>
  <c r="B1181" i="7"/>
  <c r="G1181" i="7" s="1"/>
  <c r="M1175" i="7"/>
  <c r="O1141" i="7"/>
  <c r="G1017" i="2"/>
  <c r="B1741" i="5"/>
  <c r="B1763" i="5" s="1"/>
  <c r="G1704" i="6"/>
  <c r="O1737" i="5"/>
  <c r="O1738" i="5"/>
  <c r="O1739" i="5"/>
  <c r="O1740" i="5"/>
  <c r="O1741" i="5"/>
  <c r="O1742" i="5"/>
  <c r="G1728" i="5"/>
  <c r="G1729" i="5"/>
  <c r="G1730" i="5"/>
  <c r="G1731" i="5"/>
  <c r="G1732" i="5"/>
  <c r="N1763" i="5"/>
  <c r="M1763" i="5"/>
  <c r="L1763" i="5"/>
  <c r="K1763" i="5"/>
  <c r="J1763" i="5"/>
  <c r="O1763" i="5" s="1"/>
  <c r="F1763" i="5"/>
  <c r="E1763" i="5"/>
  <c r="D1763" i="5"/>
  <c r="O1762" i="5"/>
  <c r="G1762" i="5"/>
  <c r="O1761" i="5"/>
  <c r="G1761" i="5"/>
  <c r="O1760" i="5"/>
  <c r="G1760" i="5"/>
  <c r="O1759" i="5"/>
  <c r="G1759" i="5"/>
  <c r="O1758" i="5"/>
  <c r="G1758" i="5"/>
  <c r="O1757" i="5"/>
  <c r="G1757" i="5"/>
  <c r="O1756" i="5"/>
  <c r="G1756" i="5"/>
  <c r="O1755" i="5"/>
  <c r="G1755" i="5"/>
  <c r="O1754" i="5"/>
  <c r="G1754" i="5"/>
  <c r="O1753" i="5"/>
  <c r="G1753" i="5"/>
  <c r="O1752" i="5"/>
  <c r="G1752" i="5"/>
  <c r="O1751" i="5"/>
  <c r="G1751" i="5"/>
  <c r="O1750" i="5"/>
  <c r="G1750" i="5"/>
  <c r="O1749" i="5"/>
  <c r="G1749" i="5"/>
  <c r="O1748" i="5"/>
  <c r="G1748" i="5"/>
  <c r="O1747" i="5"/>
  <c r="G1747" i="5"/>
  <c r="O1746" i="5"/>
  <c r="G1746" i="5"/>
  <c r="O1745" i="5"/>
  <c r="G1745" i="5"/>
  <c r="O1744" i="5"/>
  <c r="G1744" i="5"/>
  <c r="C1763" i="5"/>
  <c r="O1743" i="5"/>
  <c r="G1743" i="5"/>
  <c r="G1742" i="5"/>
  <c r="G1741" i="5"/>
  <c r="G1740" i="5"/>
  <c r="G1739" i="5"/>
  <c r="G1738" i="5"/>
  <c r="G1737" i="5"/>
  <c r="O1735" i="5"/>
  <c r="G1735" i="5"/>
  <c r="O1734" i="5"/>
  <c r="G1734" i="5"/>
  <c r="O1733" i="5"/>
  <c r="G1733" i="5"/>
  <c r="O1732" i="5"/>
  <c r="O1731" i="5"/>
  <c r="O1730" i="5"/>
  <c r="O1729" i="5"/>
  <c r="O1728" i="5"/>
  <c r="N1727" i="5"/>
  <c r="N1736" i="5" s="1"/>
  <c r="M1727" i="5"/>
  <c r="M1736" i="5" s="1"/>
  <c r="M1764" i="5" s="1"/>
  <c r="L1727" i="5"/>
  <c r="L1736" i="5" s="1"/>
  <c r="K1727" i="5"/>
  <c r="K1736" i="5" s="1"/>
  <c r="K1764" i="5" s="1"/>
  <c r="J1727" i="5"/>
  <c r="J1736" i="5" s="1"/>
  <c r="F1727" i="5"/>
  <c r="F1736" i="5" s="1"/>
  <c r="E1727" i="5"/>
  <c r="E1736" i="5" s="1"/>
  <c r="D1727" i="5"/>
  <c r="D1736" i="5" s="1"/>
  <c r="D1764" i="5" s="1"/>
  <c r="C1727" i="5"/>
  <c r="C1736" i="5" s="1"/>
  <c r="L2322" i="4"/>
  <c r="M2322" i="4"/>
  <c r="N2322" i="4"/>
  <c r="J2322" i="4"/>
  <c r="O2337" i="4"/>
  <c r="O2338" i="4"/>
  <c r="O2339" i="4"/>
  <c r="O2340" i="4"/>
  <c r="O2341" i="4"/>
  <c r="O2342" i="4"/>
  <c r="O2343" i="4"/>
  <c r="O2344" i="4"/>
  <c r="N2363" i="4"/>
  <c r="M2363" i="4"/>
  <c r="L2363" i="4"/>
  <c r="K2363" i="4"/>
  <c r="J2363" i="4"/>
  <c r="F2363" i="4"/>
  <c r="E2363" i="4"/>
  <c r="D2363" i="4"/>
  <c r="C2363" i="4"/>
  <c r="B2363" i="4"/>
  <c r="G2362" i="4"/>
  <c r="O2361" i="4"/>
  <c r="G2361" i="4"/>
  <c r="O2360" i="4"/>
  <c r="G2360" i="4"/>
  <c r="O2359" i="4"/>
  <c r="G2359" i="4"/>
  <c r="O2358" i="4"/>
  <c r="G2358" i="4"/>
  <c r="O2357" i="4"/>
  <c r="G2357" i="4"/>
  <c r="O2356" i="4"/>
  <c r="G2356" i="4"/>
  <c r="O2355" i="4"/>
  <c r="G2355" i="4"/>
  <c r="O2354" i="4"/>
  <c r="G2354" i="4"/>
  <c r="O2353" i="4"/>
  <c r="G2353" i="4"/>
  <c r="O2352" i="4"/>
  <c r="G2352" i="4"/>
  <c r="O2351" i="4"/>
  <c r="G2351" i="4"/>
  <c r="O2350" i="4"/>
  <c r="G2350" i="4"/>
  <c r="O2349" i="4"/>
  <c r="G2349" i="4"/>
  <c r="O2348" i="4"/>
  <c r="G2348" i="4"/>
  <c r="O2347" i="4"/>
  <c r="G2347" i="4"/>
  <c r="O2346" i="4"/>
  <c r="G2346" i="4"/>
  <c r="O2345" i="4"/>
  <c r="G2345" i="4"/>
  <c r="G2344" i="4"/>
  <c r="G2343" i="4"/>
  <c r="G2342" i="4"/>
  <c r="G2341" i="4"/>
  <c r="G2340" i="4"/>
  <c r="G2339" i="4"/>
  <c r="G2338" i="4"/>
  <c r="G2337" i="4"/>
  <c r="N2336" i="4"/>
  <c r="N2364" i="4" s="1"/>
  <c r="N2369" i="4" s="1"/>
  <c r="N2379" i="4" s="1"/>
  <c r="N2407" i="4" s="1"/>
  <c r="M2336" i="4"/>
  <c r="L2336" i="4"/>
  <c r="K2336" i="4"/>
  <c r="J2336" i="4"/>
  <c r="F2336" i="4"/>
  <c r="E2336" i="4"/>
  <c r="D2336" i="4"/>
  <c r="B2336" i="4"/>
  <c r="O2335" i="4"/>
  <c r="G2335" i="4"/>
  <c r="O2334" i="4"/>
  <c r="G2334" i="4"/>
  <c r="O2333" i="4"/>
  <c r="G2333" i="4"/>
  <c r="O2332" i="4"/>
  <c r="G2332" i="4"/>
  <c r="O2331" i="4"/>
  <c r="G2331" i="4"/>
  <c r="O2330" i="4"/>
  <c r="G2330" i="4"/>
  <c r="O2329" i="4"/>
  <c r="G2329" i="4"/>
  <c r="O2328" i="4"/>
  <c r="G2328" i="4"/>
  <c r="O2327" i="4"/>
  <c r="G2327" i="4"/>
  <c r="O2326" i="4"/>
  <c r="O2336" i="4" s="1"/>
  <c r="N2326" i="4"/>
  <c r="M2326" i="4"/>
  <c r="L2326" i="4"/>
  <c r="K2326" i="4"/>
  <c r="J2326" i="4"/>
  <c r="F2326" i="4"/>
  <c r="E2326" i="4"/>
  <c r="D2326" i="4"/>
  <c r="B2326" i="4"/>
  <c r="N1721" i="6"/>
  <c r="M1721" i="6"/>
  <c r="L1721" i="6"/>
  <c r="K1721" i="6"/>
  <c r="J1721" i="6"/>
  <c r="O1720" i="6"/>
  <c r="O1719" i="6"/>
  <c r="O1718" i="6"/>
  <c r="O1717" i="6"/>
  <c r="O1716" i="6"/>
  <c r="O1715" i="6"/>
  <c r="O1714" i="6"/>
  <c r="O1713" i="6"/>
  <c r="O1712" i="6"/>
  <c r="O1711" i="6"/>
  <c r="O1710" i="6"/>
  <c r="O1709" i="6"/>
  <c r="O1708" i="6"/>
  <c r="O1707" i="6"/>
  <c r="O1706" i="6"/>
  <c r="O1705" i="6"/>
  <c r="O1704" i="6"/>
  <c r="O1703" i="6"/>
  <c r="O1702" i="6"/>
  <c r="O1701" i="6"/>
  <c r="O1700" i="6"/>
  <c r="O1699" i="6"/>
  <c r="O1698" i="6"/>
  <c r="O1697" i="6"/>
  <c r="O1696" i="6"/>
  <c r="O1695" i="6"/>
  <c r="J1694" i="6"/>
  <c r="J1722" i="6" s="1"/>
  <c r="O1693" i="6"/>
  <c r="O1692" i="6"/>
  <c r="O1691" i="6"/>
  <c r="O1690" i="6"/>
  <c r="O1689" i="6"/>
  <c r="O1688" i="6"/>
  <c r="O1687" i="6"/>
  <c r="O1686" i="6"/>
  <c r="L1685" i="6"/>
  <c r="L1694" i="6" s="1"/>
  <c r="L1722" i="6" s="1"/>
  <c r="K1685" i="6"/>
  <c r="K1694" i="6" s="1"/>
  <c r="J1685" i="6"/>
  <c r="L1681" i="6"/>
  <c r="K1681" i="6"/>
  <c r="J1681" i="6"/>
  <c r="F1721" i="6"/>
  <c r="E1721" i="6"/>
  <c r="D1721" i="6"/>
  <c r="C1721" i="6"/>
  <c r="B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3" i="6"/>
  <c r="G1702" i="6"/>
  <c r="G1701" i="6"/>
  <c r="G1700" i="6"/>
  <c r="G1699" i="6"/>
  <c r="G1698" i="6"/>
  <c r="G1697" i="6"/>
  <c r="G1696" i="6"/>
  <c r="G1695" i="6"/>
  <c r="F1694" i="6"/>
  <c r="B1694" i="6"/>
  <c r="G1693" i="6"/>
  <c r="G1692" i="6"/>
  <c r="G1691" i="6"/>
  <c r="G1690" i="6"/>
  <c r="G1689" i="6"/>
  <c r="G1688" i="6"/>
  <c r="G1687" i="6"/>
  <c r="G1686" i="6"/>
  <c r="F1685" i="6"/>
  <c r="E1685" i="6"/>
  <c r="E1694" i="6" s="1"/>
  <c r="D1685" i="6"/>
  <c r="D1694" i="6" s="1"/>
  <c r="D1722" i="6" s="1"/>
  <c r="C1685" i="6"/>
  <c r="C1694" i="6" s="1"/>
  <c r="B1685" i="6"/>
  <c r="G1685" i="6" s="1"/>
  <c r="C1702" i="5"/>
  <c r="G1676" i="5"/>
  <c r="O1695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686" i="5"/>
  <c r="G1687" i="5"/>
  <c r="G1688" i="5"/>
  <c r="G1689" i="5"/>
  <c r="N1721" i="5"/>
  <c r="M1721" i="5"/>
  <c r="L1721" i="5"/>
  <c r="K1721" i="5"/>
  <c r="J1721" i="5"/>
  <c r="O1721" i="5" s="1"/>
  <c r="F1721" i="5"/>
  <c r="D1721" i="5"/>
  <c r="B1721" i="5"/>
  <c r="O1720" i="5"/>
  <c r="G1720" i="5"/>
  <c r="O1719" i="5"/>
  <c r="G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E1721" i="5"/>
  <c r="O1705" i="5"/>
  <c r="O1704" i="5"/>
  <c r="O1703" i="5"/>
  <c r="O1702" i="5"/>
  <c r="O1701" i="5"/>
  <c r="O1700" i="5"/>
  <c r="O1699" i="5"/>
  <c r="O1698" i="5"/>
  <c r="O1697" i="5"/>
  <c r="C1721" i="5"/>
  <c r="O1696" i="5"/>
  <c r="O1693" i="5"/>
  <c r="G1693" i="5"/>
  <c r="O1692" i="5"/>
  <c r="G1692" i="5"/>
  <c r="O1691" i="5"/>
  <c r="G1691" i="5"/>
  <c r="O1690" i="5"/>
  <c r="G1690" i="5"/>
  <c r="O1689" i="5"/>
  <c r="O1688" i="5"/>
  <c r="O1687" i="5"/>
  <c r="O1686" i="5"/>
  <c r="N1685" i="5"/>
  <c r="N1694" i="5" s="1"/>
  <c r="M1685" i="5"/>
  <c r="M1694" i="5" s="1"/>
  <c r="M1722" i="5" s="1"/>
  <c r="L1685" i="5"/>
  <c r="L1694" i="5" s="1"/>
  <c r="K1685" i="5"/>
  <c r="K1694" i="5" s="1"/>
  <c r="K1722" i="5" s="1"/>
  <c r="J1685" i="5"/>
  <c r="J1694" i="5" s="1"/>
  <c r="N1175" i="7"/>
  <c r="L1175" i="7"/>
  <c r="K1175" i="7"/>
  <c r="J1175" i="7"/>
  <c r="F1175" i="7"/>
  <c r="E1175" i="7"/>
  <c r="D1175" i="7"/>
  <c r="C1175" i="7"/>
  <c r="B1175" i="7"/>
  <c r="G1174" i="7"/>
  <c r="O1173" i="7"/>
  <c r="G1173" i="7"/>
  <c r="O1172" i="7"/>
  <c r="G1172" i="7"/>
  <c r="O1171" i="7"/>
  <c r="G1171" i="7"/>
  <c r="O1170" i="7"/>
  <c r="G1170" i="7"/>
  <c r="O1169" i="7"/>
  <c r="G1169" i="7"/>
  <c r="O1168" i="7"/>
  <c r="G1168" i="7"/>
  <c r="O1167" i="7"/>
  <c r="G1167" i="7"/>
  <c r="O1166" i="7"/>
  <c r="G1166" i="7"/>
  <c r="O1165" i="7"/>
  <c r="G1165" i="7"/>
  <c r="O1164" i="7"/>
  <c r="G1164" i="7"/>
  <c r="O1163" i="7"/>
  <c r="G1163" i="7"/>
  <c r="O1162" i="7"/>
  <c r="G1162" i="7"/>
  <c r="O1161" i="7"/>
  <c r="G1161" i="7"/>
  <c r="O1160" i="7"/>
  <c r="G1160" i="7"/>
  <c r="O1159" i="7"/>
  <c r="G1159" i="7"/>
  <c r="O1158" i="7"/>
  <c r="G1158" i="7"/>
  <c r="O1157" i="7"/>
  <c r="G1157" i="7"/>
  <c r="O1156" i="7"/>
  <c r="G1156" i="7"/>
  <c r="O1155" i="7"/>
  <c r="G1155" i="7"/>
  <c r="O1154" i="7"/>
  <c r="G1154" i="7"/>
  <c r="O1153" i="7"/>
  <c r="G1153" i="7"/>
  <c r="O1152" i="7"/>
  <c r="G1152" i="7"/>
  <c r="O1151" i="7"/>
  <c r="G1151" i="7"/>
  <c r="O1150" i="7"/>
  <c r="G1150" i="7"/>
  <c r="O1149" i="7"/>
  <c r="G1149" i="7"/>
  <c r="O1147" i="7"/>
  <c r="G1147" i="7"/>
  <c r="O1146" i="7"/>
  <c r="G1146" i="7"/>
  <c r="O1145" i="7"/>
  <c r="G1145" i="7"/>
  <c r="O1144" i="7"/>
  <c r="G1144" i="7"/>
  <c r="O1143" i="7"/>
  <c r="G1143" i="7"/>
  <c r="O1142" i="7"/>
  <c r="G1142" i="7"/>
  <c r="G1141" i="7"/>
  <c r="O1140" i="7"/>
  <c r="G1140" i="7"/>
  <c r="N1139" i="7"/>
  <c r="N1148" i="7" s="1"/>
  <c r="M1139" i="7"/>
  <c r="M1148" i="7" s="1"/>
  <c r="L1139" i="7"/>
  <c r="L1148" i="7" s="1"/>
  <c r="K1139" i="7"/>
  <c r="K1148" i="7" s="1"/>
  <c r="J1139" i="7"/>
  <c r="O1139" i="7" s="1"/>
  <c r="O1148" i="7" s="1"/>
  <c r="F1139" i="7"/>
  <c r="F1148" i="7" s="1"/>
  <c r="E1139" i="7"/>
  <c r="E1148" i="7" s="1"/>
  <c r="D1139" i="7"/>
  <c r="D1148" i="7" s="1"/>
  <c r="C1139" i="7"/>
  <c r="C1148" i="7" s="1"/>
  <c r="B1139" i="7"/>
  <c r="B1148" i="7" s="1"/>
  <c r="E1679" i="5"/>
  <c r="E1680" i="5" s="1"/>
  <c r="E1685" i="5" s="1"/>
  <c r="E1694" i="5" s="1"/>
  <c r="C1145" i="3"/>
  <c r="E1664" i="5"/>
  <c r="K1679" i="5"/>
  <c r="K1680" i="5"/>
  <c r="O1653" i="5"/>
  <c r="C1660" i="5"/>
  <c r="G1660" i="5" s="1"/>
  <c r="O1655" i="6"/>
  <c r="O1654" i="6"/>
  <c r="C1655" i="5"/>
  <c r="G1655" i="5" s="1"/>
  <c r="G2284" i="4"/>
  <c r="G2285" i="4"/>
  <c r="G2286" i="4"/>
  <c r="N2320" i="4"/>
  <c r="M2320" i="4"/>
  <c r="L2320" i="4"/>
  <c r="K2320" i="4"/>
  <c r="J2320" i="4"/>
  <c r="F2320" i="4"/>
  <c r="E2320" i="4"/>
  <c r="D2320" i="4"/>
  <c r="B2320" i="4"/>
  <c r="O2319" i="4"/>
  <c r="G2319" i="4"/>
  <c r="O2318" i="4"/>
  <c r="G2318" i="4"/>
  <c r="O2317" i="4"/>
  <c r="G2317" i="4"/>
  <c r="O2316" i="4"/>
  <c r="G2316" i="4"/>
  <c r="O2315" i="4"/>
  <c r="G2315" i="4"/>
  <c r="O2314" i="4"/>
  <c r="G2314" i="4"/>
  <c r="O2313" i="4"/>
  <c r="G2313" i="4"/>
  <c r="O2312" i="4"/>
  <c r="G2312" i="4"/>
  <c r="O2311" i="4"/>
  <c r="G2311" i="4"/>
  <c r="O2310" i="4"/>
  <c r="G2310" i="4"/>
  <c r="O2309" i="4"/>
  <c r="G2309" i="4"/>
  <c r="O2308" i="4"/>
  <c r="G2308" i="4"/>
  <c r="O2307" i="4"/>
  <c r="G2307" i="4"/>
  <c r="O2306" i="4"/>
  <c r="G2306" i="4"/>
  <c r="O2305" i="4"/>
  <c r="G2305" i="4"/>
  <c r="O2304" i="4"/>
  <c r="G2304" i="4"/>
  <c r="O2303" i="4"/>
  <c r="G2303" i="4"/>
  <c r="O2302" i="4"/>
  <c r="G2302" i="4"/>
  <c r="O2301" i="4"/>
  <c r="G2301" i="4"/>
  <c r="O2300" i="4"/>
  <c r="G2300" i="4"/>
  <c r="O2299" i="4"/>
  <c r="G2299" i="4"/>
  <c r="C2320" i="4"/>
  <c r="O2298" i="4"/>
  <c r="G2298" i="4"/>
  <c r="O2297" i="4"/>
  <c r="G2297" i="4"/>
  <c r="O2296" i="4"/>
  <c r="G2296" i="4"/>
  <c r="O2295" i="4"/>
  <c r="G2295" i="4"/>
  <c r="O2294" i="4"/>
  <c r="G2294" i="4"/>
  <c r="O2292" i="4"/>
  <c r="G2292" i="4"/>
  <c r="O2291" i="4"/>
  <c r="G2291" i="4"/>
  <c r="O2290" i="4"/>
  <c r="G2290" i="4"/>
  <c r="O2289" i="4"/>
  <c r="G2289" i="4"/>
  <c r="O2288" i="4"/>
  <c r="G2288" i="4"/>
  <c r="O2287" i="4"/>
  <c r="G2287" i="4"/>
  <c r="O2286" i="4"/>
  <c r="O2285" i="4"/>
  <c r="O2284" i="4"/>
  <c r="N2283" i="4"/>
  <c r="N2293" i="4" s="1"/>
  <c r="M2283" i="4"/>
  <c r="M2293" i="4" s="1"/>
  <c r="L2283" i="4"/>
  <c r="L2293" i="4" s="1"/>
  <c r="K2283" i="4"/>
  <c r="K2293" i="4" s="1"/>
  <c r="J2283" i="4"/>
  <c r="J2293" i="4" s="1"/>
  <c r="F2283" i="4"/>
  <c r="F2293" i="4" s="1"/>
  <c r="E2283" i="4"/>
  <c r="E2293" i="4" s="1"/>
  <c r="O1654" i="5"/>
  <c r="O1655" i="5"/>
  <c r="O1656" i="5"/>
  <c r="G1650" i="5"/>
  <c r="G1651" i="5"/>
  <c r="G1644" i="5"/>
  <c r="G1645" i="5"/>
  <c r="G1646" i="5"/>
  <c r="G1647" i="5"/>
  <c r="G1648" i="5"/>
  <c r="N1679" i="5"/>
  <c r="M1679" i="5"/>
  <c r="L1679" i="5"/>
  <c r="J1679" i="5"/>
  <c r="F1679" i="5"/>
  <c r="D1679" i="5"/>
  <c r="C1679" i="5"/>
  <c r="B1679" i="5"/>
  <c r="O1678" i="5"/>
  <c r="G1678" i="5"/>
  <c r="O1677" i="5"/>
  <c r="G1677" i="5"/>
  <c r="O1676" i="5"/>
  <c r="O1675" i="5"/>
  <c r="G1675" i="5"/>
  <c r="O1674" i="5"/>
  <c r="G1674" i="5"/>
  <c r="O1673" i="5"/>
  <c r="G1673" i="5"/>
  <c r="O1672" i="5"/>
  <c r="G1672" i="5"/>
  <c r="O1671" i="5"/>
  <c r="G1671" i="5"/>
  <c r="O1670" i="5"/>
  <c r="G1670" i="5"/>
  <c r="O1669" i="5"/>
  <c r="G1669" i="5"/>
  <c r="O1668" i="5"/>
  <c r="G1668" i="5"/>
  <c r="O1667" i="5"/>
  <c r="G1667" i="5"/>
  <c r="O1666" i="5"/>
  <c r="G1666" i="5"/>
  <c r="O1665" i="5"/>
  <c r="G1665" i="5"/>
  <c r="O1664" i="5"/>
  <c r="G1664" i="5"/>
  <c r="O1663" i="5"/>
  <c r="G1663" i="5"/>
  <c r="O1662" i="5"/>
  <c r="G1662" i="5"/>
  <c r="O1661" i="5"/>
  <c r="G1661" i="5"/>
  <c r="O1660" i="5"/>
  <c r="O1659" i="5"/>
  <c r="G1659" i="5"/>
  <c r="O1658" i="5"/>
  <c r="G1658" i="5"/>
  <c r="O1657" i="5"/>
  <c r="G1657" i="5"/>
  <c r="G1656" i="5"/>
  <c r="G1654" i="5"/>
  <c r="G1653" i="5"/>
  <c r="N1652" i="5"/>
  <c r="N1680" i="5" s="1"/>
  <c r="M1652" i="5"/>
  <c r="L1652" i="5"/>
  <c r="K1652" i="5"/>
  <c r="J1652" i="5"/>
  <c r="F1652" i="5"/>
  <c r="E1652" i="5"/>
  <c r="D1652" i="5"/>
  <c r="B1652" i="5"/>
  <c r="O1651" i="5"/>
  <c r="O1650" i="5"/>
  <c r="O1649" i="5"/>
  <c r="G1649" i="5"/>
  <c r="O1648" i="5"/>
  <c r="O1647" i="5"/>
  <c r="O1646" i="5"/>
  <c r="O1645" i="5"/>
  <c r="O1644" i="5"/>
  <c r="O1643" i="5"/>
  <c r="O1652" i="5" s="1"/>
  <c r="N1643" i="5"/>
  <c r="M1643" i="5"/>
  <c r="L1643" i="5"/>
  <c r="K1643" i="5"/>
  <c r="J1643" i="5"/>
  <c r="F1643" i="5"/>
  <c r="E1643" i="5"/>
  <c r="D1643" i="5"/>
  <c r="B1643" i="5"/>
  <c r="J1159" i="3"/>
  <c r="J1160" i="3" s="1"/>
  <c r="C1764" i="6" l="1"/>
  <c r="E1764" i="6"/>
  <c r="G1763" i="6"/>
  <c r="O1763" i="6"/>
  <c r="B1736" i="6"/>
  <c r="J1736" i="6"/>
  <c r="K2450" i="4"/>
  <c r="M2450" i="4"/>
  <c r="G2449" i="4"/>
  <c r="G2412" i="4"/>
  <c r="G2422" i="4" s="1"/>
  <c r="G2450" i="4" s="1"/>
  <c r="O2412" i="4"/>
  <c r="O2422" i="4" s="1"/>
  <c r="L2449" i="4"/>
  <c r="L2450" i="4" s="1"/>
  <c r="C2407" i="4"/>
  <c r="D2407" i="4"/>
  <c r="F1722" i="6"/>
  <c r="F1218" i="7"/>
  <c r="B1218" i="7"/>
  <c r="O2406" i="4"/>
  <c r="J2379" i="4"/>
  <c r="J2407" i="4" s="1"/>
  <c r="O1217" i="7"/>
  <c r="M1218" i="7"/>
  <c r="M1219" i="7" s="1"/>
  <c r="F1764" i="5"/>
  <c r="D1218" i="7"/>
  <c r="C1218" i="7"/>
  <c r="G1217" i="7"/>
  <c r="G1190" i="7"/>
  <c r="L1176" i="7"/>
  <c r="L1181" i="7" s="1"/>
  <c r="L1190" i="7" s="1"/>
  <c r="L1218" i="7" s="1"/>
  <c r="L1219" i="7" s="1"/>
  <c r="B2364" i="4"/>
  <c r="D2364" i="4"/>
  <c r="F2364" i="4"/>
  <c r="E2364" i="4"/>
  <c r="J1764" i="5"/>
  <c r="L1764" i="5"/>
  <c r="N1764" i="5"/>
  <c r="E1764" i="5"/>
  <c r="C1764" i="5"/>
  <c r="G1763" i="5"/>
  <c r="O1727" i="5"/>
  <c r="O1736" i="5" s="1"/>
  <c r="O1764" i="5" s="1"/>
  <c r="M1176" i="7"/>
  <c r="M1181" i="7" s="1"/>
  <c r="M1190" i="7" s="1"/>
  <c r="K1176" i="7"/>
  <c r="K1181" i="7" s="1"/>
  <c r="K1190" i="7" s="1"/>
  <c r="K1218" i="7" s="1"/>
  <c r="K1219" i="7" s="1"/>
  <c r="M2364" i="4"/>
  <c r="M2369" i="4" s="1"/>
  <c r="M2379" i="4" s="1"/>
  <c r="M2407" i="4" s="1"/>
  <c r="K2364" i="4"/>
  <c r="J2364" i="4"/>
  <c r="J2369" i="4" s="1"/>
  <c r="L2364" i="4"/>
  <c r="O2363" i="4"/>
  <c r="O2364" i="4" s="1"/>
  <c r="B1176" i="7"/>
  <c r="N1176" i="7"/>
  <c r="N1181" i="7" s="1"/>
  <c r="N1190" i="7" s="1"/>
  <c r="N1218" i="7" s="1"/>
  <c r="F1176" i="7"/>
  <c r="G2363" i="4"/>
  <c r="E1722" i="6"/>
  <c r="B1722" i="6"/>
  <c r="K1722" i="6"/>
  <c r="O1721" i="6"/>
  <c r="C1722" i="6"/>
  <c r="G1721" i="6"/>
  <c r="G1694" i="6"/>
  <c r="M2321" i="4"/>
  <c r="D1680" i="5"/>
  <c r="D1685" i="5" s="1"/>
  <c r="D1694" i="5" s="1"/>
  <c r="D1722" i="5" s="1"/>
  <c r="J1722" i="5"/>
  <c r="L1722" i="5"/>
  <c r="N1722" i="5"/>
  <c r="E1722" i="5"/>
  <c r="G1721" i="5"/>
  <c r="O1685" i="5"/>
  <c r="O1694" i="5" s="1"/>
  <c r="O1722" i="5" s="1"/>
  <c r="C1176" i="7"/>
  <c r="K2321" i="4"/>
  <c r="O2320" i="4"/>
  <c r="F2321" i="4"/>
  <c r="O1175" i="7"/>
  <c r="O1176" i="7" s="1"/>
  <c r="D1176" i="7"/>
  <c r="G1175" i="7"/>
  <c r="E1176" i="7"/>
  <c r="G1139" i="7"/>
  <c r="G1148" i="7" s="1"/>
  <c r="J1148" i="7"/>
  <c r="J1176" i="7" s="1"/>
  <c r="J1181" i="7" s="1"/>
  <c r="J1190" i="7" s="1"/>
  <c r="J1218" i="7" s="1"/>
  <c r="J1680" i="5"/>
  <c r="L1680" i="5"/>
  <c r="M1680" i="5"/>
  <c r="O1679" i="5"/>
  <c r="O1680" i="5" s="1"/>
  <c r="G2320" i="4"/>
  <c r="B1680" i="5"/>
  <c r="B1685" i="5" s="1"/>
  <c r="B1694" i="5" s="1"/>
  <c r="B1722" i="5" s="1"/>
  <c r="B1727" i="5" s="1"/>
  <c r="B1736" i="5" s="1"/>
  <c r="B1764" i="5" s="1"/>
  <c r="J1765" i="5" s="1"/>
  <c r="F1680" i="5"/>
  <c r="F1685" i="5" s="1"/>
  <c r="F1694" i="5" s="1"/>
  <c r="F1722" i="5" s="1"/>
  <c r="J2321" i="4"/>
  <c r="L2321" i="4"/>
  <c r="N2321" i="4"/>
  <c r="E2321" i="4"/>
  <c r="O2283" i="4"/>
  <c r="O2293" i="4" s="1"/>
  <c r="G1679" i="5"/>
  <c r="K1159" i="3"/>
  <c r="K1160" i="3"/>
  <c r="O1653" i="6"/>
  <c r="E1633" i="5"/>
  <c r="M1637" i="5"/>
  <c r="M1638" i="5"/>
  <c r="O1736" i="6" l="1"/>
  <c r="O1764" i="6" s="1"/>
  <c r="J1764" i="6"/>
  <c r="G1736" i="6"/>
  <c r="G1764" i="6" s="1"/>
  <c r="B1764" i="6"/>
  <c r="O2449" i="4"/>
  <c r="O2450" i="4" s="1"/>
  <c r="N1765" i="5"/>
  <c r="N1219" i="7"/>
  <c r="J1219" i="7"/>
  <c r="O1181" i="7"/>
  <c r="O1190" i="7" s="1"/>
  <c r="O1218" i="7" s="1"/>
  <c r="L2365" i="4"/>
  <c r="L2369" i="4"/>
  <c r="L2379" i="4" s="1"/>
  <c r="L2407" i="4" s="1"/>
  <c r="K2369" i="4"/>
  <c r="K2379" i="4" s="1"/>
  <c r="K2407" i="4" s="1"/>
  <c r="K2365" i="4"/>
  <c r="N2365" i="4"/>
  <c r="F2369" i="4"/>
  <c r="F2379" i="4" s="1"/>
  <c r="F2407" i="4" s="1"/>
  <c r="E2369" i="4"/>
  <c r="E2379" i="4" s="1"/>
  <c r="E2407" i="4" s="1"/>
  <c r="M2365" i="4"/>
  <c r="B2369" i="4"/>
  <c r="J2365" i="4"/>
  <c r="G1218" i="7"/>
  <c r="G1727" i="5"/>
  <c r="G1736" i="5" s="1"/>
  <c r="G1764" i="5" s="1"/>
  <c r="O1765" i="5" s="1"/>
  <c r="G1722" i="6"/>
  <c r="G1176" i="7"/>
  <c r="O2321" i="4"/>
  <c r="O1613" i="5"/>
  <c r="O1007" i="2"/>
  <c r="O1612" i="5"/>
  <c r="O1219" i="7" l="1"/>
  <c r="O2369" i="4"/>
  <c r="O2379" i="4" s="1"/>
  <c r="O2407" i="4" s="1"/>
  <c r="G2369" i="4"/>
  <c r="G2379" i="4" s="1"/>
  <c r="G2407" i="4" s="1"/>
  <c r="B2379" i="4"/>
  <c r="B2407" i="4" s="1"/>
  <c r="O1613" i="6"/>
  <c r="G1644" i="6"/>
  <c r="G1645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N1679" i="6"/>
  <c r="N1681" i="6" s="1"/>
  <c r="M1679" i="6"/>
  <c r="M1681" i="6" s="1"/>
  <c r="L1679" i="6"/>
  <c r="K1679" i="6"/>
  <c r="J1679" i="6"/>
  <c r="F1679" i="6"/>
  <c r="D1679" i="6"/>
  <c r="B1679" i="6"/>
  <c r="O1678" i="6"/>
  <c r="O1677" i="6"/>
  <c r="E1679" i="6"/>
  <c r="C1679" i="6"/>
  <c r="D1652" i="6"/>
  <c r="O1651" i="6"/>
  <c r="G1651" i="6"/>
  <c r="O1650" i="6"/>
  <c r="G1650" i="6"/>
  <c r="O1649" i="6"/>
  <c r="G1649" i="6"/>
  <c r="O1648" i="6"/>
  <c r="G1648" i="6"/>
  <c r="O1647" i="6"/>
  <c r="G1647" i="6"/>
  <c r="O1646" i="6"/>
  <c r="G1646" i="6"/>
  <c r="O1645" i="6"/>
  <c r="O1644" i="6"/>
  <c r="D1643" i="6"/>
  <c r="C1643" i="6"/>
  <c r="C1652" i="6" s="1"/>
  <c r="B1643" i="6"/>
  <c r="E1631" i="6"/>
  <c r="O2253" i="4"/>
  <c r="D1614" i="5"/>
  <c r="O1611" i="5"/>
  <c r="B1137" i="3"/>
  <c r="O1612" i="6"/>
  <c r="G2258" i="4"/>
  <c r="C1590" i="5"/>
  <c r="O1134" i="3"/>
  <c r="D1159" i="3"/>
  <c r="D1160" i="3" s="1"/>
  <c r="O2252" i="4"/>
  <c r="C2256" i="4"/>
  <c r="O1611" i="6"/>
  <c r="O1573" i="5"/>
  <c r="C1680" i="6" l="1"/>
  <c r="D1680" i="6"/>
  <c r="O1679" i="6"/>
  <c r="O1681" i="6" s="1"/>
  <c r="G1679" i="6"/>
  <c r="B1652" i="6"/>
  <c r="O1006" i="2"/>
  <c r="O1133" i="3"/>
  <c r="B1680" i="6" l="1"/>
  <c r="O2251" i="4"/>
  <c r="O1135" i="3"/>
  <c r="O1136" i="3"/>
  <c r="G1123" i="3"/>
  <c r="G1124" i="3"/>
  <c r="G1125" i="3"/>
  <c r="G1126" i="3"/>
  <c r="G1127" i="3"/>
  <c r="G1128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5" i="3"/>
  <c r="G1156" i="3"/>
  <c r="G1157" i="3"/>
  <c r="N1159" i="3"/>
  <c r="M1159" i="3"/>
  <c r="L1159" i="3"/>
  <c r="F1159" i="3"/>
  <c r="E1159" i="3"/>
  <c r="C1159" i="3"/>
  <c r="B1159" i="3"/>
  <c r="O1158" i="3"/>
  <c r="G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1" i="3"/>
  <c r="G1131" i="3"/>
  <c r="O1130" i="3"/>
  <c r="G1130" i="3"/>
  <c r="O1129" i="3"/>
  <c r="G1129" i="3"/>
  <c r="O1128" i="3"/>
  <c r="O1127" i="3"/>
  <c r="O1126" i="3"/>
  <c r="O1125" i="3"/>
  <c r="O1124" i="3"/>
  <c r="O1123" i="3"/>
  <c r="N1122" i="3"/>
  <c r="N1132" i="3" s="1"/>
  <c r="M1122" i="3"/>
  <c r="M1132" i="3" s="1"/>
  <c r="L1122" i="3"/>
  <c r="L1132" i="3" s="1"/>
  <c r="K1122" i="3"/>
  <c r="K1132" i="3" s="1"/>
  <c r="J1122" i="3"/>
  <c r="J1132" i="3" s="1"/>
  <c r="F1122" i="3"/>
  <c r="F1132" i="3" s="1"/>
  <c r="F1160" i="3" s="1"/>
  <c r="E1122" i="3"/>
  <c r="E1132" i="3" s="1"/>
  <c r="D1122" i="3"/>
  <c r="D1132" i="3" s="1"/>
  <c r="B1122" i="3"/>
  <c r="C1613" i="6"/>
  <c r="G1132" i="7"/>
  <c r="G1594" i="6"/>
  <c r="G1090" i="7"/>
  <c r="O1098" i="7"/>
  <c r="O1099" i="7"/>
  <c r="O1107" i="7"/>
  <c r="O1108" i="7"/>
  <c r="O1109" i="7"/>
  <c r="O1110" i="7"/>
  <c r="O1111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N1133" i="7"/>
  <c r="M1133" i="7"/>
  <c r="L1133" i="7"/>
  <c r="K1133" i="7"/>
  <c r="J1133" i="7"/>
  <c r="F1133" i="7"/>
  <c r="E1133" i="7"/>
  <c r="D1133" i="7"/>
  <c r="C1133" i="7"/>
  <c r="B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05" i="7"/>
  <c r="G1105" i="7"/>
  <c r="O1104" i="7"/>
  <c r="G1104" i="7"/>
  <c r="O1103" i="7"/>
  <c r="G1103" i="7"/>
  <c r="O1102" i="7"/>
  <c r="G1102" i="7"/>
  <c r="O1101" i="7"/>
  <c r="G1101" i="7"/>
  <c r="O1100" i="7"/>
  <c r="G1100" i="7"/>
  <c r="G1099" i="7"/>
  <c r="G1098" i="7"/>
  <c r="N1097" i="7"/>
  <c r="N1106" i="7" s="1"/>
  <c r="N1134" i="7" s="1"/>
  <c r="M1097" i="7"/>
  <c r="M1106" i="7" s="1"/>
  <c r="M1134" i="7" s="1"/>
  <c r="L1097" i="7"/>
  <c r="L1106" i="7" s="1"/>
  <c r="L1134" i="7" s="1"/>
  <c r="K1097" i="7"/>
  <c r="K1106" i="7" s="1"/>
  <c r="K1134" i="7" s="1"/>
  <c r="J1097" i="7"/>
  <c r="O1097" i="7" s="1"/>
  <c r="O1106" i="7" s="1"/>
  <c r="F1097" i="7"/>
  <c r="F1106" i="7" s="1"/>
  <c r="E1097" i="7"/>
  <c r="E1106" i="7" s="1"/>
  <c r="C1097" i="7"/>
  <c r="C1106" i="7" s="1"/>
  <c r="B1097" i="7"/>
  <c r="B1106" i="7" s="1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02" i="6"/>
  <c r="G1603" i="6"/>
  <c r="G1604" i="6"/>
  <c r="G1605" i="6"/>
  <c r="G1606" i="6"/>
  <c r="N1637" i="6"/>
  <c r="N1639" i="6" s="1"/>
  <c r="M1637" i="6"/>
  <c r="M1639" i="6" s="1"/>
  <c r="L1637" i="6"/>
  <c r="L1639" i="6" s="1"/>
  <c r="K1637" i="6"/>
  <c r="K1639" i="6" s="1"/>
  <c r="J1637" i="6"/>
  <c r="J1639" i="6" s="1"/>
  <c r="F1637" i="6"/>
  <c r="E1637" i="6"/>
  <c r="D1637" i="6"/>
  <c r="C1637" i="6"/>
  <c r="B1637" i="6"/>
  <c r="O1636" i="6"/>
  <c r="G1636" i="6"/>
  <c r="O1635" i="6"/>
  <c r="G1635" i="6"/>
  <c r="O1634" i="6"/>
  <c r="G1634" i="6"/>
  <c r="O1633" i="6"/>
  <c r="G1633" i="6"/>
  <c r="O1632" i="6"/>
  <c r="G1632" i="6"/>
  <c r="O1631" i="6"/>
  <c r="O1630" i="6"/>
  <c r="O1629" i="6"/>
  <c r="O1628" i="6"/>
  <c r="O1627" i="6"/>
  <c r="O1626" i="6"/>
  <c r="O1625" i="6"/>
  <c r="O1624" i="6"/>
  <c r="O1623" i="6"/>
  <c r="O1622" i="6"/>
  <c r="O1621" i="6"/>
  <c r="O1620" i="6"/>
  <c r="O1619" i="6"/>
  <c r="O1618" i="6"/>
  <c r="O1617" i="6"/>
  <c r="O1616" i="6"/>
  <c r="O1615" i="6"/>
  <c r="O1614" i="6"/>
  <c r="O1609" i="6"/>
  <c r="G1609" i="6"/>
  <c r="O1608" i="6"/>
  <c r="G1608" i="6"/>
  <c r="O1607" i="6"/>
  <c r="G1607" i="6"/>
  <c r="O1606" i="6"/>
  <c r="O1605" i="6"/>
  <c r="O1604" i="6"/>
  <c r="O1603" i="6"/>
  <c r="O1602" i="6"/>
  <c r="N1601" i="6"/>
  <c r="N1610" i="6" s="1"/>
  <c r="M1601" i="6"/>
  <c r="M1610" i="6" s="1"/>
  <c r="L1601" i="6"/>
  <c r="L1610" i="6" s="1"/>
  <c r="K1601" i="6"/>
  <c r="K1610" i="6" s="1"/>
  <c r="J1601" i="6"/>
  <c r="O1601" i="6" s="1"/>
  <c r="O1597" i="6"/>
  <c r="N1597" i="6"/>
  <c r="M1597" i="6"/>
  <c r="L1597" i="6"/>
  <c r="K1597" i="6"/>
  <c r="J1597" i="6"/>
  <c r="O1614" i="5"/>
  <c r="G1611" i="5"/>
  <c r="G1612" i="5"/>
  <c r="G1613" i="5"/>
  <c r="G1614" i="5"/>
  <c r="G1615" i="5"/>
  <c r="G1616" i="5"/>
  <c r="G1617" i="5"/>
  <c r="G1618" i="5"/>
  <c r="G1619" i="5"/>
  <c r="G1620" i="5"/>
  <c r="G1602" i="5"/>
  <c r="G1603" i="5"/>
  <c r="G1604" i="5"/>
  <c r="G1605" i="5"/>
  <c r="N1637" i="5"/>
  <c r="L1637" i="5"/>
  <c r="K1637" i="5"/>
  <c r="J1637" i="5"/>
  <c r="F1637" i="5"/>
  <c r="E1637" i="5"/>
  <c r="D1637" i="5"/>
  <c r="C1637" i="5"/>
  <c r="B1637" i="5"/>
  <c r="O1636" i="5"/>
  <c r="G1636" i="5"/>
  <c r="O1635" i="5"/>
  <c r="G1635" i="5"/>
  <c r="O1634" i="5"/>
  <c r="G1634" i="5"/>
  <c r="O1633" i="5"/>
  <c r="G1633" i="5"/>
  <c r="O1632" i="5"/>
  <c r="G1632" i="5"/>
  <c r="O1631" i="5"/>
  <c r="G1631" i="5"/>
  <c r="O1630" i="5"/>
  <c r="G1630" i="5"/>
  <c r="O1629" i="5"/>
  <c r="G1629" i="5"/>
  <c r="O1628" i="5"/>
  <c r="G1628" i="5"/>
  <c r="O1627" i="5"/>
  <c r="G1627" i="5"/>
  <c r="O1626" i="5"/>
  <c r="G1626" i="5"/>
  <c r="O1625" i="5"/>
  <c r="G1625" i="5"/>
  <c r="O1624" i="5"/>
  <c r="G1624" i="5"/>
  <c r="O1623" i="5"/>
  <c r="G1623" i="5"/>
  <c r="O1622" i="5"/>
  <c r="G1622" i="5"/>
  <c r="O1621" i="5"/>
  <c r="G1621" i="5"/>
  <c r="O1620" i="5"/>
  <c r="O1619" i="5"/>
  <c r="O1618" i="5"/>
  <c r="O1617" i="5"/>
  <c r="O1616" i="5"/>
  <c r="O1615" i="5"/>
  <c r="O1609" i="5"/>
  <c r="G1609" i="5"/>
  <c r="O1608" i="5"/>
  <c r="G1608" i="5"/>
  <c r="O1607" i="5"/>
  <c r="G1607" i="5"/>
  <c r="O1606" i="5"/>
  <c r="G1606" i="5"/>
  <c r="O1605" i="5"/>
  <c r="O1604" i="5"/>
  <c r="O1603" i="5"/>
  <c r="O1602" i="5"/>
  <c r="F1601" i="5"/>
  <c r="F1610" i="5" s="1"/>
  <c r="G2251" i="4"/>
  <c r="G2252" i="4"/>
  <c r="G2253" i="4"/>
  <c r="G2254" i="4"/>
  <c r="G2255" i="4"/>
  <c r="G2256" i="4"/>
  <c r="G2257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41" i="4"/>
  <c r="G2242" i="4"/>
  <c r="G2243" i="4"/>
  <c r="G2244" i="4"/>
  <c r="G2245" i="4"/>
  <c r="G2246" i="4"/>
  <c r="N2277" i="4"/>
  <c r="M2277" i="4"/>
  <c r="L2277" i="4"/>
  <c r="K2277" i="4"/>
  <c r="J2277" i="4"/>
  <c r="F2277" i="4"/>
  <c r="E2277" i="4"/>
  <c r="D2277" i="4"/>
  <c r="C2277" i="4"/>
  <c r="B2277" i="4"/>
  <c r="O2276" i="4"/>
  <c r="G2276" i="4"/>
  <c r="O2275" i="4"/>
  <c r="G2275" i="4"/>
  <c r="O2274" i="4"/>
  <c r="G2274" i="4"/>
  <c r="O2273" i="4"/>
  <c r="G2273" i="4"/>
  <c r="O2272" i="4"/>
  <c r="G2272" i="4"/>
  <c r="O2271" i="4"/>
  <c r="O2270" i="4"/>
  <c r="O2269" i="4"/>
  <c r="O2268" i="4"/>
  <c r="O2267" i="4"/>
  <c r="O2266" i="4"/>
  <c r="O2265" i="4"/>
  <c r="O2264" i="4"/>
  <c r="O2263" i="4"/>
  <c r="O2262" i="4"/>
  <c r="O2261" i="4"/>
  <c r="O2260" i="4"/>
  <c r="O2259" i="4"/>
  <c r="O2258" i="4"/>
  <c r="O2257" i="4"/>
  <c r="O2256" i="4"/>
  <c r="O2255" i="4"/>
  <c r="O2254" i="4"/>
  <c r="O2249" i="4"/>
  <c r="G2249" i="4"/>
  <c r="O2248" i="4"/>
  <c r="G2248" i="4"/>
  <c r="O2247" i="4"/>
  <c r="G2247" i="4"/>
  <c r="O2246" i="4"/>
  <c r="O2245" i="4"/>
  <c r="O2244" i="4"/>
  <c r="O2243" i="4"/>
  <c r="O2242" i="4"/>
  <c r="O2241" i="4"/>
  <c r="O1572" i="5"/>
  <c r="O1571" i="6"/>
  <c r="O1069" i="7"/>
  <c r="B1134" i="7" l="1"/>
  <c r="F1134" i="7"/>
  <c r="F1638" i="5"/>
  <c r="K1638" i="6"/>
  <c r="K1643" i="6" s="1"/>
  <c r="K1652" i="6" s="1"/>
  <c r="K1680" i="6" s="1"/>
  <c r="M1638" i="6"/>
  <c r="M1643" i="6" s="1"/>
  <c r="M1652" i="6" s="1"/>
  <c r="M1680" i="6" s="1"/>
  <c r="M1685" i="6" s="1"/>
  <c r="L1638" i="6"/>
  <c r="L1643" i="6" s="1"/>
  <c r="L1652" i="6" s="1"/>
  <c r="L1680" i="6" s="1"/>
  <c r="O1637" i="6"/>
  <c r="O1639" i="6" s="1"/>
  <c r="C1134" i="7"/>
  <c r="M1160" i="3"/>
  <c r="O1159" i="3"/>
  <c r="L1160" i="3"/>
  <c r="N1160" i="3"/>
  <c r="E1160" i="3"/>
  <c r="G1159" i="3"/>
  <c r="B1132" i="3"/>
  <c r="B1160" i="3" s="1"/>
  <c r="O1122" i="3"/>
  <c r="O1132" i="3" s="1"/>
  <c r="O1133" i="7"/>
  <c r="O1134" i="7" s="1"/>
  <c r="G1133" i="7"/>
  <c r="E1134" i="7"/>
  <c r="J1106" i="7"/>
  <c r="J1134" i="7" s="1"/>
  <c r="N1638" i="6"/>
  <c r="N1643" i="6" s="1"/>
  <c r="N1652" i="6" s="1"/>
  <c r="N1680" i="6" s="1"/>
  <c r="N1685" i="6" s="1"/>
  <c r="N1694" i="6" s="1"/>
  <c r="N1722" i="6" s="1"/>
  <c r="G1637" i="6"/>
  <c r="J1610" i="6"/>
  <c r="O1637" i="5"/>
  <c r="G1637" i="5"/>
  <c r="O2277" i="4"/>
  <c r="G2277" i="4"/>
  <c r="O1093" i="3"/>
  <c r="O1570" i="6"/>
  <c r="O2209" i="4"/>
  <c r="O1068" i="7"/>
  <c r="M1694" i="6" l="1"/>
  <c r="O1685" i="6"/>
  <c r="O1160" i="3"/>
  <c r="O1610" i="6"/>
  <c r="O1638" i="6" s="1"/>
  <c r="J1638" i="6"/>
  <c r="J1643" i="6" s="1"/>
  <c r="O1571" i="5"/>
  <c r="O1092" i="3"/>
  <c r="O1570" i="5"/>
  <c r="O1569" i="5"/>
  <c r="O2208" i="4"/>
  <c r="M1722" i="6" l="1"/>
  <c r="O1694" i="6"/>
  <c r="O1722" i="6" s="1"/>
  <c r="O1643" i="6"/>
  <c r="J1652" i="6"/>
  <c r="O1005" i="2"/>
  <c r="B1569" i="5"/>
  <c r="N1595" i="6"/>
  <c r="N1596" i="6" s="1"/>
  <c r="M1595" i="6"/>
  <c r="M1596" i="6" s="1"/>
  <c r="L1595" i="6"/>
  <c r="K1595" i="6"/>
  <c r="K1596" i="6" s="1"/>
  <c r="J1595" i="6"/>
  <c r="J1596" i="6" s="1"/>
  <c r="O1652" i="6" l="1"/>
  <c r="O1680" i="6" s="1"/>
  <c r="J1680" i="6"/>
  <c r="O1595" i="6"/>
  <c r="O1596" i="6" s="1"/>
  <c r="L1596" i="6"/>
  <c r="O1569" i="6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60" i="5"/>
  <c r="G1561" i="5"/>
  <c r="G1562" i="5"/>
  <c r="G1563" i="5"/>
  <c r="G1564" i="5"/>
  <c r="N1595" i="5"/>
  <c r="M1595" i="5"/>
  <c r="L1595" i="5"/>
  <c r="K1595" i="5"/>
  <c r="J1595" i="5"/>
  <c r="F1595" i="5"/>
  <c r="D1595" i="5"/>
  <c r="C1595" i="5"/>
  <c r="B1595" i="5"/>
  <c r="O1594" i="5"/>
  <c r="G1594" i="5"/>
  <c r="O1593" i="5"/>
  <c r="G1593" i="5"/>
  <c r="O1592" i="5"/>
  <c r="G1592" i="5"/>
  <c r="O1591" i="5"/>
  <c r="G1591" i="5"/>
  <c r="O1590" i="5"/>
  <c r="O1589" i="5"/>
  <c r="O1588" i="5"/>
  <c r="O1587" i="5"/>
  <c r="O1586" i="5"/>
  <c r="O1585" i="5"/>
  <c r="O1584" i="5"/>
  <c r="O1583" i="5"/>
  <c r="O1582" i="5"/>
  <c r="O1581" i="5"/>
  <c r="O1580" i="5"/>
  <c r="O1579" i="5"/>
  <c r="O1578" i="5"/>
  <c r="O1577" i="5"/>
  <c r="O1576" i="5"/>
  <c r="O1575" i="5"/>
  <c r="O1574" i="5"/>
  <c r="E1595" i="5"/>
  <c r="O1567" i="5"/>
  <c r="G1567" i="5"/>
  <c r="O1566" i="5"/>
  <c r="G1566" i="5"/>
  <c r="O1565" i="5"/>
  <c r="G1565" i="5"/>
  <c r="O1564" i="5"/>
  <c r="O1563" i="5"/>
  <c r="O1562" i="5"/>
  <c r="O1561" i="5"/>
  <c r="O1560" i="5"/>
  <c r="N1559" i="5"/>
  <c r="N1568" i="5" s="1"/>
  <c r="M1559" i="5"/>
  <c r="M1568" i="5" s="1"/>
  <c r="L1559" i="5"/>
  <c r="L1568" i="5" s="1"/>
  <c r="K1559" i="5"/>
  <c r="K1568" i="5" s="1"/>
  <c r="J1559" i="5"/>
  <c r="J1568" i="5" s="1"/>
  <c r="E1559" i="5"/>
  <c r="E1568" i="5" s="1"/>
  <c r="O1530" i="5"/>
  <c r="G1525" i="6"/>
  <c r="G1560" i="6"/>
  <c r="G1567" i="6"/>
  <c r="G1566" i="6"/>
  <c r="G1565" i="6"/>
  <c r="G1564" i="6"/>
  <c r="G1563" i="6"/>
  <c r="G1562" i="6"/>
  <c r="G1561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O1572" i="6"/>
  <c r="O1573" i="6"/>
  <c r="O1574" i="6"/>
  <c r="O1575" i="6"/>
  <c r="O1576" i="6"/>
  <c r="O1577" i="6"/>
  <c r="O1578" i="6"/>
  <c r="F1595" i="6"/>
  <c r="E1595" i="6"/>
  <c r="C1595" i="6"/>
  <c r="B1595" i="6"/>
  <c r="O1594" i="6"/>
  <c r="O1593" i="6"/>
  <c r="O1592" i="6"/>
  <c r="O1591" i="6"/>
  <c r="O1590" i="6"/>
  <c r="O1589" i="6"/>
  <c r="O1588" i="6"/>
  <c r="O1587" i="6"/>
  <c r="O1586" i="6"/>
  <c r="O1585" i="6"/>
  <c r="O1584" i="6"/>
  <c r="O1583" i="6"/>
  <c r="D1595" i="6"/>
  <c r="O1582" i="6"/>
  <c r="O1581" i="6"/>
  <c r="O1580" i="6"/>
  <c r="O1579" i="6"/>
  <c r="N1568" i="6"/>
  <c r="K1568" i="6"/>
  <c r="O1567" i="6"/>
  <c r="O1566" i="6"/>
  <c r="O1565" i="6"/>
  <c r="O1564" i="6"/>
  <c r="O1563" i="6"/>
  <c r="O1562" i="6"/>
  <c r="O1561" i="6"/>
  <c r="O1560" i="6"/>
  <c r="N1559" i="6"/>
  <c r="M1559" i="6"/>
  <c r="M1568" i="6" s="1"/>
  <c r="L1559" i="6"/>
  <c r="L1568" i="6" s="1"/>
  <c r="K1559" i="6"/>
  <c r="J1559" i="6"/>
  <c r="J1568" i="6" s="1"/>
  <c r="O1555" i="6"/>
  <c r="N1555" i="6"/>
  <c r="M1555" i="6"/>
  <c r="L1555" i="6"/>
  <c r="K1555" i="6"/>
  <c r="J1555" i="6"/>
  <c r="O1091" i="3"/>
  <c r="O2170" i="4"/>
  <c r="O1529" i="5"/>
  <c r="O1533" i="6"/>
  <c r="M1596" i="5" l="1"/>
  <c r="M1601" i="5" s="1"/>
  <c r="M1610" i="5" s="1"/>
  <c r="K1596" i="5"/>
  <c r="K1601" i="5" s="1"/>
  <c r="K1610" i="5" s="1"/>
  <c r="K1638" i="5" s="1"/>
  <c r="O1595" i="5"/>
  <c r="J1596" i="5"/>
  <c r="J1601" i="5" s="1"/>
  <c r="L1596" i="5"/>
  <c r="L1601" i="5" s="1"/>
  <c r="L1610" i="5" s="1"/>
  <c r="L1638" i="5" s="1"/>
  <c r="N1596" i="5"/>
  <c r="N1601" i="5" s="1"/>
  <c r="N1610" i="5" s="1"/>
  <c r="N1638" i="5" s="1"/>
  <c r="E1596" i="5"/>
  <c r="E1601" i="5" s="1"/>
  <c r="E1610" i="5" s="1"/>
  <c r="E1638" i="5" s="1"/>
  <c r="G1595" i="5"/>
  <c r="O1559" i="5"/>
  <c r="O1568" i="5" s="1"/>
  <c r="O1568" i="6"/>
  <c r="G1595" i="6"/>
  <c r="O1559" i="6"/>
  <c r="O1067" i="7"/>
  <c r="O1532" i="6"/>
  <c r="J1610" i="5" l="1"/>
  <c r="J1638" i="5" s="1"/>
  <c r="O1601" i="5"/>
  <c r="O1610" i="5" s="1"/>
  <c r="O1638" i="5" s="1"/>
  <c r="O1596" i="5"/>
  <c r="O1528" i="5"/>
  <c r="O2210" i="4"/>
  <c r="O2211" i="4"/>
  <c r="O2212" i="4"/>
  <c r="O2213" i="4"/>
  <c r="N2234" i="4"/>
  <c r="M2234" i="4"/>
  <c r="L2234" i="4"/>
  <c r="K2234" i="4"/>
  <c r="J2234" i="4"/>
  <c r="F2234" i="4"/>
  <c r="E2234" i="4"/>
  <c r="D2234" i="4"/>
  <c r="B2234" i="4"/>
  <c r="O2233" i="4"/>
  <c r="G2233" i="4"/>
  <c r="O2232" i="4"/>
  <c r="G2232" i="4"/>
  <c r="O2231" i="4"/>
  <c r="G2231" i="4"/>
  <c r="O2230" i="4"/>
  <c r="G2230" i="4"/>
  <c r="O2229" i="4"/>
  <c r="G2229" i="4"/>
  <c r="O2228" i="4"/>
  <c r="G2228" i="4"/>
  <c r="O2227" i="4"/>
  <c r="G2227" i="4"/>
  <c r="O2226" i="4"/>
  <c r="G2226" i="4"/>
  <c r="C2234" i="4"/>
  <c r="O2225" i="4"/>
  <c r="G2225" i="4"/>
  <c r="O2224" i="4"/>
  <c r="G2224" i="4"/>
  <c r="O2223" i="4"/>
  <c r="G2223" i="4"/>
  <c r="O2222" i="4"/>
  <c r="G2222" i="4"/>
  <c r="O2221" i="4"/>
  <c r="G2221" i="4"/>
  <c r="O2220" i="4"/>
  <c r="G2220" i="4"/>
  <c r="O2219" i="4"/>
  <c r="G2219" i="4"/>
  <c r="O2218" i="4"/>
  <c r="G2218" i="4"/>
  <c r="O2217" i="4"/>
  <c r="G2217" i="4"/>
  <c r="O2216" i="4"/>
  <c r="G2216" i="4"/>
  <c r="O2215" i="4"/>
  <c r="G2215" i="4"/>
  <c r="O2214" i="4"/>
  <c r="G2214" i="4"/>
  <c r="G2213" i="4"/>
  <c r="G2212" i="4"/>
  <c r="G2211" i="4"/>
  <c r="G2210" i="4"/>
  <c r="G2209" i="4"/>
  <c r="G2208" i="4"/>
  <c r="O2206" i="4"/>
  <c r="G2206" i="4"/>
  <c r="O2205" i="4"/>
  <c r="G2205" i="4"/>
  <c r="O2204" i="4"/>
  <c r="G2204" i="4"/>
  <c r="O2203" i="4"/>
  <c r="G2203" i="4"/>
  <c r="O2202" i="4"/>
  <c r="G2202" i="4"/>
  <c r="O2201" i="4"/>
  <c r="G2201" i="4"/>
  <c r="O2200" i="4"/>
  <c r="G2200" i="4"/>
  <c r="O2199" i="4"/>
  <c r="G2199" i="4"/>
  <c r="O2198" i="4"/>
  <c r="G2198" i="4"/>
  <c r="O1527" i="5"/>
  <c r="O1531" i="6"/>
  <c r="O2234" i="4" l="1"/>
  <c r="G2234" i="4"/>
  <c r="O1066" i="7"/>
  <c r="D1541" i="6"/>
  <c r="O2169" i="4"/>
  <c r="O1530" i="6" l="1"/>
  <c r="E1527" i="5"/>
  <c r="D1075" i="7"/>
  <c r="O1531" i="5"/>
  <c r="O1532" i="5"/>
  <c r="O1533" i="5"/>
  <c r="O1534" i="5"/>
  <c r="O1535" i="5"/>
  <c r="O1536" i="5"/>
  <c r="O1537" i="5"/>
  <c r="G1525" i="5"/>
  <c r="G1524" i="5"/>
  <c r="G1523" i="5"/>
  <c r="G1522" i="5"/>
  <c r="G1521" i="5"/>
  <c r="G1520" i="5"/>
  <c r="G1519" i="5"/>
  <c r="G1518" i="5"/>
  <c r="O1518" i="5"/>
  <c r="O1519" i="5"/>
  <c r="O1549" i="5"/>
  <c r="O1550" i="5"/>
  <c r="O1551" i="5"/>
  <c r="O1552" i="5"/>
  <c r="N1553" i="5"/>
  <c r="M1553" i="5"/>
  <c r="L1553" i="5"/>
  <c r="J1553" i="5"/>
  <c r="F1553" i="5"/>
  <c r="E1553" i="5"/>
  <c r="D1553" i="5"/>
  <c r="C1553" i="5"/>
  <c r="G1552" i="5"/>
  <c r="G1551" i="5"/>
  <c r="G1550" i="5"/>
  <c r="G1549" i="5"/>
  <c r="O1548" i="5"/>
  <c r="G1548" i="5"/>
  <c r="O1547" i="5"/>
  <c r="G1547" i="5"/>
  <c r="O1546" i="5"/>
  <c r="G1546" i="5"/>
  <c r="O1545" i="5"/>
  <c r="G1545" i="5"/>
  <c r="O1544" i="5"/>
  <c r="G1544" i="5"/>
  <c r="O1543" i="5"/>
  <c r="G1543" i="5"/>
  <c r="O1542" i="5"/>
  <c r="G1542" i="5"/>
  <c r="O1541" i="5"/>
  <c r="G1541" i="5"/>
  <c r="O1540" i="5"/>
  <c r="G1540" i="5"/>
  <c r="O1539" i="5"/>
  <c r="G1539" i="5"/>
  <c r="O1538" i="5"/>
  <c r="G1538" i="5"/>
  <c r="G1537" i="5"/>
  <c r="G1536" i="5"/>
  <c r="G1535" i="5"/>
  <c r="G1534" i="5"/>
  <c r="G1533" i="5"/>
  <c r="B1553" i="5"/>
  <c r="G1531" i="5"/>
  <c r="G1530" i="5"/>
  <c r="G1529" i="5"/>
  <c r="G1528" i="5"/>
  <c r="G1527" i="5"/>
  <c r="F1526" i="5"/>
  <c r="E1526" i="5"/>
  <c r="B1526" i="5"/>
  <c r="O1525" i="5"/>
  <c r="O1524" i="5"/>
  <c r="O1523" i="5"/>
  <c r="O1522" i="5"/>
  <c r="O1521" i="5"/>
  <c r="O1520" i="5"/>
  <c r="F1517" i="5"/>
  <c r="E1517" i="5"/>
  <c r="D1517" i="5"/>
  <c r="D1526" i="5" s="1"/>
  <c r="C1517" i="5"/>
  <c r="C1526" i="5" s="1"/>
  <c r="B1517" i="5"/>
  <c r="O1529" i="6"/>
  <c r="C1554" i="5" l="1"/>
  <c r="C1559" i="5" s="1"/>
  <c r="C1568" i="5" s="1"/>
  <c r="C1596" i="5" s="1"/>
  <c r="C1601" i="5" s="1"/>
  <c r="D1554" i="5"/>
  <c r="D1559" i="5" s="1"/>
  <c r="E1554" i="5"/>
  <c r="B1554" i="5"/>
  <c r="B1559" i="5" s="1"/>
  <c r="B1568" i="5" s="1"/>
  <c r="B1596" i="5" s="1"/>
  <c r="B1601" i="5" s="1"/>
  <c r="B1610" i="5" s="1"/>
  <c r="B1638" i="5" s="1"/>
  <c r="F1554" i="5"/>
  <c r="F1559" i="5" s="1"/>
  <c r="F1568" i="5" s="1"/>
  <c r="F1596" i="5" s="1"/>
  <c r="G1553" i="5"/>
  <c r="G1532" i="5"/>
  <c r="G1517" i="5"/>
  <c r="G1526" i="5" s="1"/>
  <c r="K1553" i="5"/>
  <c r="O1553" i="5" s="1"/>
  <c r="O1065" i="7"/>
  <c r="G1507" i="5"/>
  <c r="G1508" i="5"/>
  <c r="G1509" i="5"/>
  <c r="O1528" i="6"/>
  <c r="O1489" i="5"/>
  <c r="O2168" i="4"/>
  <c r="C1610" i="5" l="1"/>
  <c r="C1638" i="5" s="1"/>
  <c r="C1643" i="5" s="1"/>
  <c r="D1568" i="5"/>
  <c r="D1596" i="5" s="1"/>
  <c r="D1601" i="5" s="1"/>
  <c r="D1610" i="5" s="1"/>
  <c r="D1638" i="5" s="1"/>
  <c r="G1559" i="5"/>
  <c r="G1568" i="5" s="1"/>
  <c r="G1596" i="5" s="1"/>
  <c r="G1554" i="5"/>
  <c r="C2183" i="4"/>
  <c r="O1004" i="2"/>
  <c r="G1004" i="2"/>
  <c r="G1002" i="2"/>
  <c r="G1001" i="2"/>
  <c r="G1000" i="2"/>
  <c r="G999" i="2"/>
  <c r="G998" i="2"/>
  <c r="G997" i="2"/>
  <c r="G996" i="2"/>
  <c r="G995" i="2"/>
  <c r="G994" i="2"/>
  <c r="G1005" i="2"/>
  <c r="G1006" i="2"/>
  <c r="G1007" i="2"/>
  <c r="G1008" i="2"/>
  <c r="O1008" i="2"/>
  <c r="G1009" i="2"/>
  <c r="O1009" i="2"/>
  <c r="G1010" i="2"/>
  <c r="O1010" i="2"/>
  <c r="G1011" i="2"/>
  <c r="O1011" i="2"/>
  <c r="G1012" i="2"/>
  <c r="O1012" i="2"/>
  <c r="G1013" i="2"/>
  <c r="O1013" i="2"/>
  <c r="G1014" i="2"/>
  <c r="O1014" i="2"/>
  <c r="G1015" i="2"/>
  <c r="O1015" i="2"/>
  <c r="G1016" i="2"/>
  <c r="O1016" i="2"/>
  <c r="O1017" i="2"/>
  <c r="G1018" i="2"/>
  <c r="O1018" i="2"/>
  <c r="G1019" i="2"/>
  <c r="O1019" i="2"/>
  <c r="G1020" i="2"/>
  <c r="O1020" i="2"/>
  <c r="G1021" i="2"/>
  <c r="O1021" i="2"/>
  <c r="G1022" i="2"/>
  <c r="O1022" i="2"/>
  <c r="G1023" i="2"/>
  <c r="O1023" i="2"/>
  <c r="G1024" i="2"/>
  <c r="O1024" i="2"/>
  <c r="G1025" i="2"/>
  <c r="O1025" i="2"/>
  <c r="G1026" i="2"/>
  <c r="O1026" i="2"/>
  <c r="N1030" i="2"/>
  <c r="M1030" i="2"/>
  <c r="L1030" i="2"/>
  <c r="K1030" i="2"/>
  <c r="J1030" i="2"/>
  <c r="F1030" i="2"/>
  <c r="E1030" i="2"/>
  <c r="D1030" i="2"/>
  <c r="C1030" i="2"/>
  <c r="B1030" i="2"/>
  <c r="O1029" i="2"/>
  <c r="G1029" i="2"/>
  <c r="O1028" i="2"/>
  <c r="G1028" i="2"/>
  <c r="O1027" i="2"/>
  <c r="G1027" i="2"/>
  <c r="O1002" i="2"/>
  <c r="O1001" i="2"/>
  <c r="O1000" i="2"/>
  <c r="O999" i="2"/>
  <c r="O998" i="2"/>
  <c r="O997" i="2"/>
  <c r="O996" i="2"/>
  <c r="O995" i="2"/>
  <c r="O994" i="2"/>
  <c r="N993" i="2"/>
  <c r="N1003" i="2" s="1"/>
  <c r="M993" i="2"/>
  <c r="M1003" i="2" s="1"/>
  <c r="L993" i="2"/>
  <c r="L1003" i="2" s="1"/>
  <c r="K993" i="2"/>
  <c r="K1003" i="2" s="1"/>
  <c r="J993" i="2"/>
  <c r="O993" i="2" s="1"/>
  <c r="O1003" i="2" s="1"/>
  <c r="O1090" i="3"/>
  <c r="O2166" i="4"/>
  <c r="O1487" i="5"/>
  <c r="G1643" i="5" l="1"/>
  <c r="G1652" i="5" s="1"/>
  <c r="G1680" i="5" s="1"/>
  <c r="C1652" i="5"/>
  <c r="C1680" i="5" s="1"/>
  <c r="C1685" i="5" s="1"/>
  <c r="N1031" i="2"/>
  <c r="G1601" i="5"/>
  <c r="G1610" i="5" s="1"/>
  <c r="G1638" i="5" s="1"/>
  <c r="K1031" i="2"/>
  <c r="L1031" i="2"/>
  <c r="M1031" i="2"/>
  <c r="O1030" i="2"/>
  <c r="O1031" i="2" s="1"/>
  <c r="G1030" i="2"/>
  <c r="J1003" i="2"/>
  <c r="J1031" i="2" s="1"/>
  <c r="O1527" i="6"/>
  <c r="G1524" i="6"/>
  <c r="G1523" i="6"/>
  <c r="G1522" i="6"/>
  <c r="G1521" i="6"/>
  <c r="G1520" i="6"/>
  <c r="G1519" i="6"/>
  <c r="G1518" i="6"/>
  <c r="O1518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N1553" i="6"/>
  <c r="M1553" i="6"/>
  <c r="L1553" i="6"/>
  <c r="K1553" i="6"/>
  <c r="J1553" i="6"/>
  <c r="F1553" i="6"/>
  <c r="E1553" i="6"/>
  <c r="D1553" i="6"/>
  <c r="C1553" i="6"/>
  <c r="B1553" i="6"/>
  <c r="O1552" i="6"/>
  <c r="O1551" i="6"/>
  <c r="O1550" i="6"/>
  <c r="O1549" i="6"/>
  <c r="O1548" i="6"/>
  <c r="O1547" i="6"/>
  <c r="O1546" i="6"/>
  <c r="O1545" i="6"/>
  <c r="O1544" i="6"/>
  <c r="O1543" i="6"/>
  <c r="O1542" i="6"/>
  <c r="O1541" i="6"/>
  <c r="O1540" i="6"/>
  <c r="O1539" i="6"/>
  <c r="O1538" i="6"/>
  <c r="O1537" i="6"/>
  <c r="O1536" i="6"/>
  <c r="O1535" i="6"/>
  <c r="O1534" i="6"/>
  <c r="F1526" i="6"/>
  <c r="B1526" i="6"/>
  <c r="O1525" i="6"/>
  <c r="O1524" i="6"/>
  <c r="O1523" i="6"/>
  <c r="O1522" i="6"/>
  <c r="O1521" i="6"/>
  <c r="O1520" i="6"/>
  <c r="O1519" i="6"/>
  <c r="F1517" i="6"/>
  <c r="E1517" i="6"/>
  <c r="E1526" i="6" s="1"/>
  <c r="D1517" i="6"/>
  <c r="D1526" i="6" s="1"/>
  <c r="C1517" i="6"/>
  <c r="C1526" i="6" s="1"/>
  <c r="B1517" i="6"/>
  <c r="O2155" i="4"/>
  <c r="O1476" i="6"/>
  <c r="O1056" i="7"/>
  <c r="O1476" i="5"/>
  <c r="O1462" i="6"/>
  <c r="O1485" i="5"/>
  <c r="B1490" i="5"/>
  <c r="O1450" i="5"/>
  <c r="C1694" i="5" l="1"/>
  <c r="C1722" i="5" s="1"/>
  <c r="G1685" i="5"/>
  <c r="G1694" i="5" s="1"/>
  <c r="G1722" i="5" s="1"/>
  <c r="F1554" i="6"/>
  <c r="F1559" i="6" s="1"/>
  <c r="F1568" i="6" s="1"/>
  <c r="F1596" i="6" s="1"/>
  <c r="F1601" i="6" s="1"/>
  <c r="F1610" i="6" s="1"/>
  <c r="F1638" i="6" s="1"/>
  <c r="F1643" i="6" s="1"/>
  <c r="C1554" i="6"/>
  <c r="C1559" i="6" s="1"/>
  <c r="C1568" i="6" s="1"/>
  <c r="C1596" i="6" s="1"/>
  <c r="C1601" i="6" s="1"/>
  <c r="C1610" i="6" s="1"/>
  <c r="C1638" i="6" s="1"/>
  <c r="O1553" i="6"/>
  <c r="E1554" i="6"/>
  <c r="E1559" i="6" s="1"/>
  <c r="E1568" i="6" s="1"/>
  <c r="E1596" i="6" s="1"/>
  <c r="E1601" i="6" s="1"/>
  <c r="G1553" i="6"/>
  <c r="D1554" i="6"/>
  <c r="D1559" i="6" s="1"/>
  <c r="D1568" i="6" s="1"/>
  <c r="D1596" i="6" s="1"/>
  <c r="D1601" i="6" s="1"/>
  <c r="D1610" i="6" s="1"/>
  <c r="D1638" i="6" s="1"/>
  <c r="G1526" i="6"/>
  <c r="B1554" i="6"/>
  <c r="B1559" i="6" s="1"/>
  <c r="G1517" i="6"/>
  <c r="O1485" i="6"/>
  <c r="O1460" i="6"/>
  <c r="G1056" i="7"/>
  <c r="G1057" i="7"/>
  <c r="G1058" i="7"/>
  <c r="G1059" i="7"/>
  <c r="G1060" i="7"/>
  <c r="G1061" i="7"/>
  <c r="O1089" i="7"/>
  <c r="O1090" i="7"/>
  <c r="O1070" i="7"/>
  <c r="O1071" i="7"/>
  <c r="O1072" i="7"/>
  <c r="O1073" i="7"/>
  <c r="O1074" i="7"/>
  <c r="O1075" i="7"/>
  <c r="O1076" i="7"/>
  <c r="O1077" i="7"/>
  <c r="O1078" i="7"/>
  <c r="O1079" i="7"/>
  <c r="O1080" i="7"/>
  <c r="O1057" i="7"/>
  <c r="N1091" i="7"/>
  <c r="L1091" i="7"/>
  <c r="J1091" i="7"/>
  <c r="F1091" i="7"/>
  <c r="E1091" i="7"/>
  <c r="D1091" i="7"/>
  <c r="C1091" i="7"/>
  <c r="B1091" i="7"/>
  <c r="M1091" i="7"/>
  <c r="K1091" i="7"/>
  <c r="G1089" i="7"/>
  <c r="O1088" i="7"/>
  <c r="G1088" i="7"/>
  <c r="O1087" i="7"/>
  <c r="G1087" i="7"/>
  <c r="O1086" i="7"/>
  <c r="G1086" i="7"/>
  <c r="O1085" i="7"/>
  <c r="G1085" i="7"/>
  <c r="O1084" i="7"/>
  <c r="G1084" i="7"/>
  <c r="O1083" i="7"/>
  <c r="G1083" i="7"/>
  <c r="O1082" i="7"/>
  <c r="G1082" i="7"/>
  <c r="O1081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O1063" i="7"/>
  <c r="G1063" i="7"/>
  <c r="O1062" i="7"/>
  <c r="G1062" i="7"/>
  <c r="O1061" i="7"/>
  <c r="O1060" i="7"/>
  <c r="O1059" i="7"/>
  <c r="O1058" i="7"/>
  <c r="F1055" i="7"/>
  <c r="F1064" i="7" s="1"/>
  <c r="E1055" i="7"/>
  <c r="E1064" i="7" s="1"/>
  <c r="D1055" i="7"/>
  <c r="D1064" i="7" s="1"/>
  <c r="C1055" i="7"/>
  <c r="C1064" i="7" s="1"/>
  <c r="B1055" i="7"/>
  <c r="B1064" i="7" s="1"/>
  <c r="O1464" i="5"/>
  <c r="O1465" i="5"/>
  <c r="O1466" i="5"/>
  <c r="O1467" i="5"/>
  <c r="O1468" i="5"/>
  <c r="G1483" i="5"/>
  <c r="G1482" i="5"/>
  <c r="G1481" i="5"/>
  <c r="G1480" i="5"/>
  <c r="G1479" i="5"/>
  <c r="G1478" i="5"/>
  <c r="G1477" i="5"/>
  <c r="G1476" i="5"/>
  <c r="O1477" i="5"/>
  <c r="O1478" i="5"/>
  <c r="O1486" i="5"/>
  <c r="O1488" i="5"/>
  <c r="O1490" i="5"/>
  <c r="O1491" i="5"/>
  <c r="O1492" i="5"/>
  <c r="O1493" i="5"/>
  <c r="O1494" i="5"/>
  <c r="O1495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9" i="5"/>
  <c r="G1500" i="5"/>
  <c r="G1501" i="5"/>
  <c r="G1502" i="5"/>
  <c r="G1503" i="5"/>
  <c r="G1504" i="5"/>
  <c r="G1505" i="5"/>
  <c r="G1506" i="5"/>
  <c r="G1510" i="5"/>
  <c r="G1498" i="5"/>
  <c r="N1511" i="5"/>
  <c r="L1511" i="5"/>
  <c r="J1511" i="5"/>
  <c r="F1511" i="5"/>
  <c r="E1511" i="5"/>
  <c r="D1511" i="5"/>
  <c r="C1511" i="5"/>
  <c r="B1511" i="5"/>
  <c r="O1510" i="5"/>
  <c r="M1511" i="5"/>
  <c r="K1511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D1484" i="5"/>
  <c r="B1484" i="5"/>
  <c r="O1483" i="5"/>
  <c r="O1482" i="5"/>
  <c r="O1481" i="5"/>
  <c r="O1480" i="5"/>
  <c r="O1479" i="5"/>
  <c r="F1475" i="5"/>
  <c r="F1484" i="5" s="1"/>
  <c r="D1475" i="5"/>
  <c r="C1475" i="5"/>
  <c r="C1484" i="5" s="1"/>
  <c r="B1475" i="5"/>
  <c r="O1434" i="6"/>
  <c r="O1459" i="6"/>
  <c r="G1090" i="3"/>
  <c r="G1091" i="3"/>
  <c r="G1092" i="3"/>
  <c r="G1093" i="3"/>
  <c r="G1094" i="3"/>
  <c r="O1094" i="3"/>
  <c r="G1095" i="3"/>
  <c r="O1095" i="3"/>
  <c r="G1096" i="3"/>
  <c r="O1096" i="3"/>
  <c r="G1097" i="3"/>
  <c r="O1097" i="3"/>
  <c r="G1098" i="3"/>
  <c r="O1098" i="3"/>
  <c r="G1099" i="3"/>
  <c r="O1099" i="3"/>
  <c r="G1100" i="3"/>
  <c r="O1100" i="3"/>
  <c r="G1101" i="3"/>
  <c r="O1101" i="3"/>
  <c r="G1102" i="3"/>
  <c r="O1102" i="3"/>
  <c r="G1103" i="3"/>
  <c r="O1103" i="3"/>
  <c r="G1104" i="3"/>
  <c r="O1104" i="3"/>
  <c r="G1088" i="3"/>
  <c r="G1087" i="3"/>
  <c r="G1086" i="3"/>
  <c r="G1085" i="3"/>
  <c r="G1084" i="3"/>
  <c r="G1083" i="3"/>
  <c r="G1082" i="3"/>
  <c r="G1081" i="3"/>
  <c r="G1080" i="3"/>
  <c r="G1105" i="3"/>
  <c r="G1106" i="3"/>
  <c r="G1107" i="3"/>
  <c r="G1108" i="3"/>
  <c r="G1109" i="3"/>
  <c r="G1110" i="3"/>
  <c r="G1111" i="3"/>
  <c r="G1112" i="3"/>
  <c r="G1113" i="3"/>
  <c r="G1114" i="3"/>
  <c r="G1115" i="3"/>
  <c r="B1116" i="3"/>
  <c r="C1116" i="3"/>
  <c r="D1116" i="3"/>
  <c r="E1116" i="3"/>
  <c r="E1117" i="3" s="1"/>
  <c r="F1116" i="3"/>
  <c r="F1117" i="3" s="1"/>
  <c r="N1116" i="3"/>
  <c r="M1116" i="3"/>
  <c r="L1116" i="3"/>
  <c r="K1116" i="3"/>
  <c r="J1116" i="3"/>
  <c r="O1115" i="3"/>
  <c r="O1114" i="3"/>
  <c r="O1113" i="3"/>
  <c r="O1112" i="3"/>
  <c r="O1111" i="3"/>
  <c r="O1110" i="3"/>
  <c r="O1109" i="3"/>
  <c r="O1108" i="3"/>
  <c r="O1107" i="3"/>
  <c r="O1106" i="3"/>
  <c r="O1105" i="3"/>
  <c r="O1088" i="3"/>
  <c r="O1087" i="3"/>
  <c r="O1086" i="3"/>
  <c r="O1085" i="3"/>
  <c r="O1084" i="3"/>
  <c r="O1083" i="3"/>
  <c r="O1082" i="3"/>
  <c r="O1081" i="3"/>
  <c r="O1080" i="3"/>
  <c r="O1079" i="3"/>
  <c r="O1089" i="3" s="1"/>
  <c r="N1079" i="3"/>
  <c r="N1089" i="3" s="1"/>
  <c r="M1079" i="3"/>
  <c r="M1089" i="3" s="1"/>
  <c r="L1079" i="3"/>
  <c r="L1089" i="3" s="1"/>
  <c r="K1079" i="3"/>
  <c r="K1089" i="3" s="1"/>
  <c r="J1079" i="3"/>
  <c r="J1089" i="3" s="1"/>
  <c r="F1079" i="3"/>
  <c r="F1089" i="3" s="1"/>
  <c r="E1079" i="3"/>
  <c r="E1089" i="3" s="1"/>
  <c r="C1079" i="3"/>
  <c r="C1089" i="3" s="1"/>
  <c r="B1079" i="3"/>
  <c r="B1089" i="3" s="1"/>
  <c r="L1073" i="3"/>
  <c r="L1074" i="3" s="1"/>
  <c r="O1052" i="3"/>
  <c r="G1461" i="5"/>
  <c r="G1462" i="5"/>
  <c r="G1463" i="5"/>
  <c r="G1464" i="5"/>
  <c r="G1465" i="5"/>
  <c r="O1457" i="6"/>
  <c r="C1477" i="6"/>
  <c r="M1049" i="7"/>
  <c r="L1049" i="7"/>
  <c r="L1050" i="7" s="1"/>
  <c r="L1055" i="7" s="1"/>
  <c r="L1064" i="7" s="1"/>
  <c r="O1448" i="5"/>
  <c r="O1051" i="3"/>
  <c r="F1652" i="6" l="1"/>
  <c r="E1610" i="6"/>
  <c r="B1568" i="6"/>
  <c r="G1559" i="6"/>
  <c r="D1092" i="7"/>
  <c r="D1097" i="7" s="1"/>
  <c r="C1092" i="7"/>
  <c r="G1554" i="6"/>
  <c r="J1117" i="3"/>
  <c r="M1117" i="3"/>
  <c r="K1117" i="3"/>
  <c r="L1117" i="3"/>
  <c r="O1116" i="3"/>
  <c r="O1117" i="3" s="1"/>
  <c r="B1092" i="7"/>
  <c r="F1092" i="7"/>
  <c r="G1091" i="7"/>
  <c r="E1092" i="7"/>
  <c r="L1092" i="7"/>
  <c r="O1091" i="7"/>
  <c r="G1055" i="7"/>
  <c r="G1064" i="7" s="1"/>
  <c r="C1512" i="5"/>
  <c r="B1512" i="5"/>
  <c r="D1512" i="5"/>
  <c r="G1511" i="5"/>
  <c r="F1512" i="5"/>
  <c r="O1511" i="5"/>
  <c r="N1117" i="3"/>
  <c r="C1117" i="3"/>
  <c r="C1122" i="3" s="1"/>
  <c r="G1116" i="3"/>
  <c r="B1117" i="3"/>
  <c r="O2134" i="4"/>
  <c r="G2155" i="4"/>
  <c r="G2156" i="4"/>
  <c r="G2157" i="4"/>
  <c r="G2158" i="4"/>
  <c r="G2159" i="4"/>
  <c r="G2160" i="4"/>
  <c r="G2161" i="4"/>
  <c r="O2156" i="4"/>
  <c r="O2157" i="4"/>
  <c r="O2158" i="4"/>
  <c r="O2165" i="4"/>
  <c r="O2167" i="4"/>
  <c r="O2171" i="4"/>
  <c r="O2172" i="4"/>
  <c r="O2173" i="4"/>
  <c r="O2174" i="4"/>
  <c r="O2175" i="4"/>
  <c r="O2176" i="4"/>
  <c r="O2177" i="4"/>
  <c r="O2178" i="4"/>
  <c r="O2183" i="4"/>
  <c r="O2184" i="4"/>
  <c r="O2185" i="4"/>
  <c r="O2186" i="4"/>
  <c r="O2187" i="4"/>
  <c r="O2188" i="4"/>
  <c r="O2189" i="4"/>
  <c r="O2190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N2191" i="4"/>
  <c r="M2191" i="4"/>
  <c r="J2191" i="4"/>
  <c r="F2191" i="4"/>
  <c r="E2191" i="4"/>
  <c r="D2191" i="4"/>
  <c r="C2191" i="4"/>
  <c r="B2191" i="4"/>
  <c r="G2190" i="4"/>
  <c r="L2191" i="4"/>
  <c r="K2191" i="4"/>
  <c r="G2189" i="4"/>
  <c r="G2188" i="4"/>
  <c r="O2182" i="4"/>
  <c r="O2181" i="4"/>
  <c r="O2180" i="4"/>
  <c r="O2179" i="4"/>
  <c r="O2163" i="4"/>
  <c r="G2163" i="4"/>
  <c r="O2162" i="4"/>
  <c r="G2162" i="4"/>
  <c r="O2161" i="4"/>
  <c r="O2160" i="4"/>
  <c r="O2159" i="4"/>
  <c r="O2112" i="4"/>
  <c r="O1434" i="5"/>
  <c r="O1014" i="7"/>
  <c r="O1454" i="6"/>
  <c r="G1476" i="6"/>
  <c r="G1477" i="6"/>
  <c r="G1478" i="6"/>
  <c r="G1479" i="6"/>
  <c r="O1486" i="6"/>
  <c r="O1487" i="6"/>
  <c r="O1488" i="6"/>
  <c r="O1489" i="6"/>
  <c r="O1490" i="6"/>
  <c r="O1491" i="6"/>
  <c r="O1492" i="6"/>
  <c r="O1493" i="6"/>
  <c r="O1494" i="6"/>
  <c r="O1495" i="6"/>
  <c r="O1509" i="6"/>
  <c r="O1510" i="6"/>
  <c r="N1511" i="6"/>
  <c r="L1511" i="6"/>
  <c r="J1511" i="6"/>
  <c r="F1511" i="6"/>
  <c r="E1511" i="6"/>
  <c r="D1511" i="6"/>
  <c r="C1511" i="6"/>
  <c r="B1511" i="6"/>
  <c r="G1510" i="6"/>
  <c r="M1511" i="6"/>
  <c r="K1511" i="6"/>
  <c r="G1509" i="6"/>
  <c r="O1508" i="6"/>
  <c r="G1508" i="6"/>
  <c r="O1507" i="6"/>
  <c r="G1507" i="6"/>
  <c r="O1506" i="6"/>
  <c r="G1506" i="6"/>
  <c r="O1505" i="6"/>
  <c r="G1505" i="6"/>
  <c r="O1504" i="6"/>
  <c r="G1504" i="6"/>
  <c r="O1503" i="6"/>
  <c r="G1503" i="6"/>
  <c r="O1502" i="6"/>
  <c r="G1502" i="6"/>
  <c r="O1501" i="6"/>
  <c r="G1501" i="6"/>
  <c r="O1500" i="6"/>
  <c r="G1500" i="6"/>
  <c r="O1499" i="6"/>
  <c r="G1499" i="6"/>
  <c r="O1498" i="6"/>
  <c r="G1498" i="6"/>
  <c r="O1497" i="6"/>
  <c r="G1497" i="6"/>
  <c r="O1496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O1483" i="6"/>
  <c r="G1483" i="6"/>
  <c r="O1482" i="6"/>
  <c r="G1482" i="6"/>
  <c r="O1481" i="6"/>
  <c r="G1481" i="6"/>
  <c r="O1480" i="6"/>
  <c r="G1480" i="6"/>
  <c r="O1479" i="6"/>
  <c r="O1478" i="6"/>
  <c r="O1477" i="6"/>
  <c r="E1475" i="6"/>
  <c r="E1484" i="6" s="1"/>
  <c r="D1475" i="6"/>
  <c r="D1484" i="6" s="1"/>
  <c r="C1475" i="6"/>
  <c r="C1484" i="6" s="1"/>
  <c r="B1475" i="6"/>
  <c r="O1415" i="5"/>
  <c r="O1443" i="5"/>
  <c r="O1425" i="5"/>
  <c r="O1426" i="5"/>
  <c r="O1414" i="5"/>
  <c r="O1050" i="3"/>
  <c r="O1412" i="5"/>
  <c r="F1680" i="6" l="1"/>
  <c r="C1132" i="3"/>
  <c r="C1160" i="3" s="1"/>
  <c r="G1122" i="3"/>
  <c r="G1132" i="3" s="1"/>
  <c r="G1160" i="3" s="1"/>
  <c r="D1106" i="7"/>
  <c r="D1134" i="7" s="1"/>
  <c r="G1097" i="7"/>
  <c r="G1106" i="7" s="1"/>
  <c r="G1134" i="7" s="1"/>
  <c r="E1638" i="6"/>
  <c r="E1643" i="6" s="1"/>
  <c r="G1568" i="6"/>
  <c r="G1596" i="6" s="1"/>
  <c r="B1596" i="6"/>
  <c r="B1601" i="6" s="1"/>
  <c r="G1092" i="7"/>
  <c r="D1512" i="6"/>
  <c r="G2191" i="4"/>
  <c r="O2191" i="4"/>
  <c r="C1512" i="6"/>
  <c r="E1512" i="6"/>
  <c r="G1511" i="6"/>
  <c r="O1511" i="6"/>
  <c r="B1484" i="6"/>
  <c r="O1450" i="6"/>
  <c r="O1047" i="7"/>
  <c r="O1462" i="5"/>
  <c r="O1463" i="5"/>
  <c r="O1444" i="5"/>
  <c r="O1445" i="5"/>
  <c r="O1446" i="5"/>
  <c r="O1447" i="5"/>
  <c r="O1449" i="5"/>
  <c r="O1451" i="5"/>
  <c r="O1452" i="5"/>
  <c r="O1453" i="5"/>
  <c r="O1454" i="5"/>
  <c r="G1434" i="5"/>
  <c r="G1435" i="5"/>
  <c r="G1436" i="5"/>
  <c r="G1437" i="5"/>
  <c r="G1438" i="5"/>
  <c r="G1439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6" i="5"/>
  <c r="N1469" i="5"/>
  <c r="K1469" i="5"/>
  <c r="J1469" i="5"/>
  <c r="F1469" i="5"/>
  <c r="D1469" i="5"/>
  <c r="C1469" i="5"/>
  <c r="B1469" i="5"/>
  <c r="G1468" i="5"/>
  <c r="M1469" i="5"/>
  <c r="L1469" i="5"/>
  <c r="E1469" i="5"/>
  <c r="O1461" i="5"/>
  <c r="O1460" i="5"/>
  <c r="O1459" i="5"/>
  <c r="O1458" i="5"/>
  <c r="O1457" i="5"/>
  <c r="O1456" i="5"/>
  <c r="O1455" i="5"/>
  <c r="D1442" i="5"/>
  <c r="O1441" i="5"/>
  <c r="G1441" i="5"/>
  <c r="O1440" i="5"/>
  <c r="G1440" i="5"/>
  <c r="O1439" i="5"/>
  <c r="O1438" i="5"/>
  <c r="O1437" i="5"/>
  <c r="O1436" i="5"/>
  <c r="O1435" i="5"/>
  <c r="F1433" i="5"/>
  <c r="F1442" i="5" s="1"/>
  <c r="D1433" i="5"/>
  <c r="B1433" i="5"/>
  <c r="B1442" i="5" s="1"/>
  <c r="E1425" i="5"/>
  <c r="E987" i="2"/>
  <c r="E988" i="2" s="1"/>
  <c r="E993" i="2" s="1"/>
  <c r="E1003" i="2" s="1"/>
  <c r="E1031" i="2" s="1"/>
  <c r="E1073" i="3"/>
  <c r="E1074" i="3" s="1"/>
  <c r="O1466" i="6"/>
  <c r="O1406" i="5"/>
  <c r="C1418" i="5"/>
  <c r="G1454" i="6"/>
  <c r="G1455" i="6"/>
  <c r="G1038" i="7"/>
  <c r="O2125" i="4"/>
  <c r="E1652" i="6" l="1"/>
  <c r="G1643" i="6"/>
  <c r="B1610" i="6"/>
  <c r="G1601" i="6"/>
  <c r="B1512" i="6"/>
  <c r="D1470" i="5"/>
  <c r="F1470" i="5"/>
  <c r="G1469" i="5"/>
  <c r="B1470" i="5"/>
  <c r="O1469" i="5"/>
  <c r="G1467" i="5"/>
  <c r="O1049" i="3"/>
  <c r="D1056" i="3"/>
  <c r="D1073" i="3" s="1"/>
  <c r="O1048" i="3"/>
  <c r="G1002" i="3"/>
  <c r="G1045" i="3"/>
  <c r="C1073" i="3"/>
  <c r="F1073" i="3"/>
  <c r="B1073" i="3"/>
  <c r="C1030" i="3"/>
  <c r="C1003" i="3"/>
  <c r="C1031" i="3" s="1"/>
  <c r="O1444" i="6"/>
  <c r="O1405" i="5"/>
  <c r="O2124" i="4"/>
  <c r="E1680" i="6" l="1"/>
  <c r="G1652" i="6"/>
  <c r="G1680" i="6" s="1"/>
  <c r="B1638" i="6"/>
  <c r="G1610" i="6"/>
  <c r="G1638" i="6" s="1"/>
  <c r="O1047" i="3"/>
  <c r="O1424" i="6"/>
  <c r="O1425" i="6"/>
  <c r="O1426" i="6"/>
  <c r="G1443" i="6"/>
  <c r="O1443" i="6"/>
  <c r="G1444" i="6"/>
  <c r="G1445" i="6"/>
  <c r="O1445" i="6"/>
  <c r="G1446" i="6"/>
  <c r="O1446" i="6"/>
  <c r="G1447" i="6"/>
  <c r="O1447" i="6"/>
  <c r="G1448" i="6"/>
  <c r="O1448" i="6"/>
  <c r="G1449" i="6"/>
  <c r="O1449" i="6"/>
  <c r="G1450" i="6"/>
  <c r="G1451" i="6"/>
  <c r="O1451" i="6"/>
  <c r="G1452" i="6"/>
  <c r="O1452" i="6"/>
  <c r="G1453" i="6"/>
  <c r="O1453" i="6"/>
  <c r="O1455" i="6"/>
  <c r="G1456" i="6"/>
  <c r="O1456" i="6"/>
  <c r="G1457" i="6"/>
  <c r="G1458" i="6"/>
  <c r="O1458" i="6"/>
  <c r="G1459" i="6"/>
  <c r="G1460" i="6"/>
  <c r="G1461" i="6"/>
  <c r="O1461" i="6"/>
  <c r="G1462" i="6"/>
  <c r="G1463" i="6"/>
  <c r="O1463" i="6"/>
  <c r="G1434" i="6"/>
  <c r="G1435" i="6"/>
  <c r="O1435" i="6"/>
  <c r="G1436" i="6"/>
  <c r="O1436" i="6"/>
  <c r="G1437" i="6"/>
  <c r="O1437" i="6"/>
  <c r="G1438" i="6"/>
  <c r="O1438" i="6"/>
  <c r="N1469" i="6"/>
  <c r="M1469" i="6"/>
  <c r="L1469" i="6"/>
  <c r="K1469" i="6"/>
  <c r="J1469" i="6"/>
  <c r="F1469" i="6"/>
  <c r="E1469" i="6"/>
  <c r="D1469" i="6"/>
  <c r="C1469" i="6"/>
  <c r="B1469" i="6"/>
  <c r="G1468" i="6"/>
  <c r="O1467" i="6"/>
  <c r="G1467" i="6"/>
  <c r="G1466" i="6"/>
  <c r="O1465" i="6"/>
  <c r="G1465" i="6"/>
  <c r="O1464" i="6"/>
  <c r="G1464" i="6"/>
  <c r="O1441" i="6"/>
  <c r="G1441" i="6"/>
  <c r="O1440" i="6"/>
  <c r="G1440" i="6"/>
  <c r="O1439" i="6"/>
  <c r="G1439" i="6"/>
  <c r="O1403" i="5"/>
  <c r="J1471" i="6" l="1"/>
  <c r="J1513" i="6"/>
  <c r="N1471" i="6"/>
  <c r="N1513" i="6"/>
  <c r="K1471" i="6"/>
  <c r="K1513" i="6"/>
  <c r="L1471" i="6"/>
  <c r="L1513" i="6"/>
  <c r="M1471" i="6"/>
  <c r="M1513" i="6"/>
  <c r="O1468" i="6"/>
  <c r="O1469" i="6"/>
  <c r="G1469" i="6"/>
  <c r="O1024" i="7"/>
  <c r="O1401" i="5"/>
  <c r="O1382" i="5"/>
  <c r="O1383" i="5"/>
  <c r="O1384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N1427" i="5"/>
  <c r="M1427" i="5"/>
  <c r="L1427" i="5"/>
  <c r="K1427" i="5"/>
  <c r="J1427" i="5"/>
  <c r="F1427" i="5"/>
  <c r="E1427" i="5"/>
  <c r="D1427" i="5"/>
  <c r="C1427" i="5"/>
  <c r="B1427" i="5"/>
  <c r="G1426" i="5"/>
  <c r="G1425" i="5"/>
  <c r="O1424" i="5"/>
  <c r="G1424" i="5"/>
  <c r="O1423" i="5"/>
  <c r="O1422" i="5"/>
  <c r="O1421" i="5"/>
  <c r="O1420" i="5"/>
  <c r="O1419" i="5"/>
  <c r="O1418" i="5"/>
  <c r="O1417" i="5"/>
  <c r="O1416" i="5"/>
  <c r="O1413" i="5"/>
  <c r="O1411" i="5"/>
  <c r="O1410" i="5"/>
  <c r="O1409" i="5"/>
  <c r="O1408" i="5"/>
  <c r="O1407" i="5"/>
  <c r="O1404" i="5"/>
  <c r="O1402" i="5"/>
  <c r="F1400" i="5"/>
  <c r="C1400" i="5"/>
  <c r="O1399" i="5"/>
  <c r="G1399" i="5"/>
  <c r="O1398" i="5"/>
  <c r="G1398" i="5"/>
  <c r="O1397" i="5"/>
  <c r="G1397" i="5"/>
  <c r="O1396" i="5"/>
  <c r="G1396" i="5"/>
  <c r="O1395" i="5"/>
  <c r="G1395" i="5"/>
  <c r="O1394" i="5"/>
  <c r="G1394" i="5"/>
  <c r="O1393" i="5"/>
  <c r="G1393" i="5"/>
  <c r="O1392" i="5"/>
  <c r="G1392" i="5"/>
  <c r="F1391" i="5"/>
  <c r="D1391" i="5"/>
  <c r="D1400" i="5" s="1"/>
  <c r="C1391" i="5"/>
  <c r="B1391" i="5"/>
  <c r="B1400" i="5" s="1"/>
  <c r="G999" i="3"/>
  <c r="O1009" i="3"/>
  <c r="O1471" i="6" l="1"/>
  <c r="T1471" i="6" s="1"/>
  <c r="O1513" i="6"/>
  <c r="U1471" i="6"/>
  <c r="G1427" i="5"/>
  <c r="O1427" i="5"/>
  <c r="B1428" i="5"/>
  <c r="D1428" i="5"/>
  <c r="C1428" i="5"/>
  <c r="C1433" i="5" s="1"/>
  <c r="F1428" i="5"/>
  <c r="O1404" i="6"/>
  <c r="O1398" i="6"/>
  <c r="O1399" i="6"/>
  <c r="G1425" i="6"/>
  <c r="G1426" i="6"/>
  <c r="O1357" i="5"/>
  <c r="R1471" i="6" l="1"/>
  <c r="V1471" i="6"/>
  <c r="Q1471" i="6"/>
  <c r="S1471" i="6"/>
  <c r="C1442" i="5"/>
  <c r="C1470" i="5" s="1"/>
  <c r="O1008" i="3"/>
  <c r="O1023" i="7"/>
  <c r="O1403" i="6"/>
  <c r="O1361" i="5"/>
  <c r="O2122" i="4" l="1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37" i="3"/>
  <c r="G1038" i="3"/>
  <c r="G1039" i="3"/>
  <c r="G1040" i="3"/>
  <c r="N1073" i="3"/>
  <c r="M1073" i="3"/>
  <c r="K1073" i="3"/>
  <c r="J1073" i="3"/>
  <c r="O1072" i="3"/>
  <c r="G1072" i="3"/>
  <c r="O1071" i="3"/>
  <c r="G1071" i="3"/>
  <c r="O1070" i="3"/>
  <c r="G1070" i="3"/>
  <c r="O1069" i="3"/>
  <c r="G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45" i="3"/>
  <c r="O1044" i="3"/>
  <c r="G1044" i="3"/>
  <c r="O1043" i="3"/>
  <c r="G1043" i="3"/>
  <c r="O1042" i="3"/>
  <c r="G1042" i="3"/>
  <c r="O1041" i="3"/>
  <c r="G1041" i="3"/>
  <c r="O1040" i="3"/>
  <c r="O1039" i="3"/>
  <c r="O1038" i="3"/>
  <c r="O1037" i="3"/>
  <c r="G1073" i="3" l="1"/>
  <c r="O1073" i="3"/>
  <c r="O1360" i="5"/>
  <c r="O1402" i="6" l="1"/>
  <c r="O1007" i="3" l="1"/>
  <c r="O964" i="2"/>
  <c r="O1979" i="4"/>
  <c r="G1983" i="4"/>
  <c r="O1983" i="4"/>
  <c r="G1984" i="4"/>
  <c r="O1984" i="4"/>
  <c r="G1985" i="4"/>
  <c r="O1985" i="4"/>
  <c r="G1986" i="4"/>
  <c r="O1986" i="4"/>
  <c r="G1987" i="4"/>
  <c r="O1987" i="4"/>
  <c r="G1988" i="4"/>
  <c r="O1988" i="4"/>
  <c r="G1989" i="4"/>
  <c r="O1989" i="4"/>
  <c r="G1990" i="4"/>
  <c r="O1990" i="4"/>
  <c r="G1991" i="4"/>
  <c r="O1991" i="4"/>
  <c r="G1993" i="4"/>
  <c r="O1993" i="4"/>
  <c r="G1994" i="4"/>
  <c r="O1994" i="4"/>
  <c r="G1995" i="4"/>
  <c r="O1995" i="4"/>
  <c r="G1996" i="4"/>
  <c r="O1996" i="4"/>
  <c r="G1997" i="4"/>
  <c r="O1997" i="4"/>
  <c r="G1998" i="4"/>
  <c r="O1998" i="4"/>
  <c r="G1999" i="4"/>
  <c r="O1999" i="4"/>
  <c r="G2000" i="4"/>
  <c r="O2000" i="4"/>
  <c r="G2001" i="4"/>
  <c r="O2001" i="4"/>
  <c r="G2002" i="4"/>
  <c r="O2002" i="4"/>
  <c r="G2003" i="4"/>
  <c r="O2003" i="4"/>
  <c r="G2004" i="4"/>
  <c r="O2004" i="4"/>
  <c r="G2005" i="4"/>
  <c r="O2005" i="4"/>
  <c r="G2006" i="4"/>
  <c r="O2006" i="4"/>
  <c r="G2007" i="4"/>
  <c r="O2007" i="4"/>
  <c r="G2008" i="4"/>
  <c r="O2008" i="4"/>
  <c r="G2009" i="4"/>
  <c r="O2009" i="4"/>
  <c r="G2010" i="4"/>
  <c r="O2010" i="4"/>
  <c r="G2011" i="4"/>
  <c r="O2011" i="4"/>
  <c r="G2012" i="4"/>
  <c r="O2012" i="4"/>
  <c r="G2013" i="4"/>
  <c r="O2013" i="4"/>
  <c r="G2014" i="4"/>
  <c r="O2014" i="4"/>
  <c r="G2015" i="4"/>
  <c r="O2015" i="4"/>
  <c r="G2016" i="4"/>
  <c r="O2016" i="4"/>
  <c r="G2017" i="4"/>
  <c r="O2017" i="4"/>
  <c r="G2018" i="4"/>
  <c r="O2018" i="4"/>
  <c r="B2019" i="4"/>
  <c r="C2019" i="4"/>
  <c r="D2019" i="4"/>
  <c r="E2019" i="4"/>
  <c r="F2019" i="4"/>
  <c r="J2019" i="4"/>
  <c r="K2019" i="4"/>
  <c r="L2019" i="4"/>
  <c r="M2019" i="4"/>
  <c r="N2019" i="4"/>
  <c r="G2019" i="4" l="1"/>
  <c r="O2019" i="4"/>
  <c r="G1023" i="7"/>
  <c r="O1359" i="5"/>
  <c r="O1401" i="6"/>
  <c r="O2123" i="4"/>
  <c r="G2112" i="4"/>
  <c r="G2113" i="4"/>
  <c r="G2114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N2148" i="4"/>
  <c r="M2148" i="4"/>
  <c r="L2148" i="4"/>
  <c r="K2148" i="4"/>
  <c r="J2148" i="4"/>
  <c r="F2148" i="4"/>
  <c r="E2148" i="4"/>
  <c r="D2148" i="4"/>
  <c r="C2148" i="4"/>
  <c r="B2148" i="4"/>
  <c r="O2147" i="4"/>
  <c r="G2147" i="4"/>
  <c r="O2146" i="4"/>
  <c r="G2146" i="4"/>
  <c r="O2145" i="4"/>
  <c r="O2144" i="4"/>
  <c r="O2143" i="4"/>
  <c r="O2142" i="4"/>
  <c r="O2141" i="4"/>
  <c r="O2140" i="4"/>
  <c r="O2139" i="4"/>
  <c r="O2138" i="4"/>
  <c r="O2137" i="4"/>
  <c r="O2136" i="4"/>
  <c r="O2135" i="4"/>
  <c r="O2133" i="4"/>
  <c r="O2132" i="4"/>
  <c r="O2131" i="4"/>
  <c r="O2130" i="4"/>
  <c r="O2129" i="4"/>
  <c r="O2128" i="4"/>
  <c r="O2127" i="4"/>
  <c r="O2126" i="4"/>
  <c r="O2120" i="4"/>
  <c r="G2120" i="4"/>
  <c r="O2119" i="4"/>
  <c r="G2119" i="4"/>
  <c r="O2118" i="4"/>
  <c r="G2118" i="4"/>
  <c r="O2117" i="4"/>
  <c r="G2117" i="4"/>
  <c r="O2116" i="4"/>
  <c r="G2116" i="4"/>
  <c r="O2115" i="4"/>
  <c r="G2115" i="4"/>
  <c r="O2114" i="4"/>
  <c r="O2113" i="4"/>
  <c r="O2148" i="4" l="1"/>
  <c r="G2148" i="4"/>
  <c r="O2080" i="4"/>
  <c r="O1025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9" i="7"/>
  <c r="G1040" i="7"/>
  <c r="G1041" i="7"/>
  <c r="G1042" i="7"/>
  <c r="G1043" i="7"/>
  <c r="G1044" i="7"/>
  <c r="G1045" i="7"/>
  <c r="N1049" i="7"/>
  <c r="K1049" i="7"/>
  <c r="K1050" i="7" s="1"/>
  <c r="K1055" i="7" s="1"/>
  <c r="K1064" i="7" s="1"/>
  <c r="K1092" i="7" s="1"/>
  <c r="J1049" i="7"/>
  <c r="J1050" i="7" s="1"/>
  <c r="J1055" i="7" s="1"/>
  <c r="F1049" i="7"/>
  <c r="E1049" i="7"/>
  <c r="D1049" i="7"/>
  <c r="C1049" i="7"/>
  <c r="B1049" i="7"/>
  <c r="O1048" i="7"/>
  <c r="G1048" i="7"/>
  <c r="G1047" i="7"/>
  <c r="O1046" i="7"/>
  <c r="G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1" i="7"/>
  <c r="G1021" i="7"/>
  <c r="O1020" i="7"/>
  <c r="G1020" i="7"/>
  <c r="O1019" i="7"/>
  <c r="G1019" i="7"/>
  <c r="O1018" i="7"/>
  <c r="G1018" i="7"/>
  <c r="O1017" i="7"/>
  <c r="G1017" i="7"/>
  <c r="O1016" i="7"/>
  <c r="G1016" i="7"/>
  <c r="O1015" i="7"/>
  <c r="G1015" i="7"/>
  <c r="G1014" i="7"/>
  <c r="J1064" i="7" l="1"/>
  <c r="J1092" i="7" s="1"/>
  <c r="O1049" i="7"/>
  <c r="G1049" i="7"/>
  <c r="G1401" i="6"/>
  <c r="G1402" i="6"/>
  <c r="G1403" i="6"/>
  <c r="G1404" i="6"/>
  <c r="G1405" i="6"/>
  <c r="O1405" i="6"/>
  <c r="G1406" i="6"/>
  <c r="O1406" i="6"/>
  <c r="G1407" i="6"/>
  <c r="O1407" i="6"/>
  <c r="G1408" i="6"/>
  <c r="O1408" i="6"/>
  <c r="G1409" i="6"/>
  <c r="O1409" i="6"/>
  <c r="G1410" i="6"/>
  <c r="O1410" i="6"/>
  <c r="G1411" i="6"/>
  <c r="O1411" i="6"/>
  <c r="G1412" i="6"/>
  <c r="O1412" i="6"/>
  <c r="G1413" i="6"/>
  <c r="O1413" i="6"/>
  <c r="G1414" i="6"/>
  <c r="O1414" i="6"/>
  <c r="G1415" i="6"/>
  <c r="O1415" i="6"/>
  <c r="G1416" i="6"/>
  <c r="O1416" i="6"/>
  <c r="G1417" i="6"/>
  <c r="O1417" i="6"/>
  <c r="G1418" i="6"/>
  <c r="O1418" i="6"/>
  <c r="G1419" i="6"/>
  <c r="O1419" i="6"/>
  <c r="G1420" i="6"/>
  <c r="O1420" i="6"/>
  <c r="G1421" i="6"/>
  <c r="O1421" i="6"/>
  <c r="G1422" i="6"/>
  <c r="O1422" i="6"/>
  <c r="G1423" i="6"/>
  <c r="O1423" i="6"/>
  <c r="G1424" i="6"/>
  <c r="G1392" i="6"/>
  <c r="O1392" i="6"/>
  <c r="G1393" i="6"/>
  <c r="O1393" i="6"/>
  <c r="G1394" i="6"/>
  <c r="O1394" i="6"/>
  <c r="G1395" i="6"/>
  <c r="O1395" i="6"/>
  <c r="G1396" i="6"/>
  <c r="O1396" i="6"/>
  <c r="G1397" i="6"/>
  <c r="O1397" i="6"/>
  <c r="N1427" i="6"/>
  <c r="M1427" i="6"/>
  <c r="L1427" i="6"/>
  <c r="K1427" i="6"/>
  <c r="J1427" i="6"/>
  <c r="F1427" i="6"/>
  <c r="E1427" i="6"/>
  <c r="D1427" i="6"/>
  <c r="C1427" i="6"/>
  <c r="B1427" i="6"/>
  <c r="G1399" i="6"/>
  <c r="G1398" i="6"/>
  <c r="O1319" i="5"/>
  <c r="G1350" i="5"/>
  <c r="G1310" i="5"/>
  <c r="G1359" i="5"/>
  <c r="G1360" i="5"/>
  <c r="G1361" i="5"/>
  <c r="G1362" i="5"/>
  <c r="O1362" i="5"/>
  <c r="G1363" i="5"/>
  <c r="O1363" i="5"/>
  <c r="G1364" i="5"/>
  <c r="O1364" i="5"/>
  <c r="G1365" i="5"/>
  <c r="O1365" i="5"/>
  <c r="G1366" i="5"/>
  <c r="O1366" i="5"/>
  <c r="G1367" i="5"/>
  <c r="O1367" i="5"/>
  <c r="G1368" i="5"/>
  <c r="O1368" i="5"/>
  <c r="G1369" i="5"/>
  <c r="O1369" i="5"/>
  <c r="G1370" i="5"/>
  <c r="O1370" i="5"/>
  <c r="G1371" i="5"/>
  <c r="O1371" i="5"/>
  <c r="G1372" i="5"/>
  <c r="O1372" i="5"/>
  <c r="G1373" i="5"/>
  <c r="O1373" i="5"/>
  <c r="G1374" i="5"/>
  <c r="O1374" i="5"/>
  <c r="G1375" i="5"/>
  <c r="O1375" i="5"/>
  <c r="G1376" i="5"/>
  <c r="O1376" i="5"/>
  <c r="G1377" i="5"/>
  <c r="O1377" i="5"/>
  <c r="G1378" i="5"/>
  <c r="O1378" i="5"/>
  <c r="G1379" i="5"/>
  <c r="O1379" i="5"/>
  <c r="G1380" i="5"/>
  <c r="O1380" i="5"/>
  <c r="G1381" i="5"/>
  <c r="O1381" i="5"/>
  <c r="G1382" i="5"/>
  <c r="O1350" i="5"/>
  <c r="G1351" i="5"/>
  <c r="O1351" i="5"/>
  <c r="G1352" i="5"/>
  <c r="O1352" i="5"/>
  <c r="G1353" i="5"/>
  <c r="O1353" i="5"/>
  <c r="G1354" i="5"/>
  <c r="O1354" i="5"/>
  <c r="N1385" i="5"/>
  <c r="M1385" i="5"/>
  <c r="L1385" i="5"/>
  <c r="K1385" i="5"/>
  <c r="J1385" i="5"/>
  <c r="F1385" i="5"/>
  <c r="E1385" i="5"/>
  <c r="C1385" i="5"/>
  <c r="B1385" i="5"/>
  <c r="G1384" i="5"/>
  <c r="G1383" i="5"/>
  <c r="D1385" i="5"/>
  <c r="G1357" i="5"/>
  <c r="O1356" i="5"/>
  <c r="G1356" i="5"/>
  <c r="O1355" i="5"/>
  <c r="G1355" i="5"/>
  <c r="O1236" i="6"/>
  <c r="O1237" i="6"/>
  <c r="O1235" i="6"/>
  <c r="O1234" i="6"/>
  <c r="O1233" i="6"/>
  <c r="O1427" i="6" l="1"/>
  <c r="G1427" i="6"/>
  <c r="G1385" i="5"/>
  <c r="O1385" i="5"/>
  <c r="O1360" i="6"/>
  <c r="O2079" i="4"/>
  <c r="O1006" i="3" l="1"/>
  <c r="D1334" i="5"/>
  <c r="O1005" i="3"/>
  <c r="O1317" i="5"/>
  <c r="G2069" i="4"/>
  <c r="O2069" i="4"/>
  <c r="G2070" i="4"/>
  <c r="O2070" i="4"/>
  <c r="G2071" i="4"/>
  <c r="O2071" i="4"/>
  <c r="G2072" i="4"/>
  <c r="O2072" i="4"/>
  <c r="G2073" i="4"/>
  <c r="O2073" i="4"/>
  <c r="G2074" i="4"/>
  <c r="O2074" i="4"/>
  <c r="G2075" i="4"/>
  <c r="O2075" i="4"/>
  <c r="G2104" i="4"/>
  <c r="O2104" i="4"/>
  <c r="G2079" i="4"/>
  <c r="G2080" i="4"/>
  <c r="G2081" i="4"/>
  <c r="O2081" i="4"/>
  <c r="G2082" i="4"/>
  <c r="O2082" i="4"/>
  <c r="G2083" i="4"/>
  <c r="O2083" i="4"/>
  <c r="G2084" i="4"/>
  <c r="O2084" i="4"/>
  <c r="G2085" i="4"/>
  <c r="O2085" i="4"/>
  <c r="G2086" i="4"/>
  <c r="O2086" i="4"/>
  <c r="G2087" i="4"/>
  <c r="O2087" i="4"/>
  <c r="G2088" i="4"/>
  <c r="O2088" i="4"/>
  <c r="G2089" i="4"/>
  <c r="O2089" i="4"/>
  <c r="G2090" i="4"/>
  <c r="O2090" i="4"/>
  <c r="G2091" i="4"/>
  <c r="O2091" i="4"/>
  <c r="G2092" i="4"/>
  <c r="O2092" i="4"/>
  <c r="G2093" i="4"/>
  <c r="O2093" i="4"/>
  <c r="G2094" i="4"/>
  <c r="O2094" i="4"/>
  <c r="G2095" i="4"/>
  <c r="O2095" i="4"/>
  <c r="G2096" i="4"/>
  <c r="O2096" i="4"/>
  <c r="G2097" i="4"/>
  <c r="O2097" i="4"/>
  <c r="G2098" i="4"/>
  <c r="O2098" i="4"/>
  <c r="G2099" i="4"/>
  <c r="O2099" i="4"/>
  <c r="G2100" i="4"/>
  <c r="O2100" i="4"/>
  <c r="G2101" i="4"/>
  <c r="O2101" i="4"/>
  <c r="G2102" i="4"/>
  <c r="O2102" i="4"/>
  <c r="N2105" i="4"/>
  <c r="M2105" i="4"/>
  <c r="L2105" i="4"/>
  <c r="K2105" i="4"/>
  <c r="J2105" i="4"/>
  <c r="F2105" i="4"/>
  <c r="E2105" i="4"/>
  <c r="D2105" i="4"/>
  <c r="C2105" i="4"/>
  <c r="B2105" i="4"/>
  <c r="O2103" i="4"/>
  <c r="G2103" i="4"/>
  <c r="O2077" i="4"/>
  <c r="G2077" i="4"/>
  <c r="O2076" i="4"/>
  <c r="G2076" i="4"/>
  <c r="O1278" i="5"/>
  <c r="O2105" i="4" l="1"/>
  <c r="G2105" i="4"/>
  <c r="O2038" i="4"/>
  <c r="G1323" i="5"/>
  <c r="O1323" i="5"/>
  <c r="G1324" i="5"/>
  <c r="O1324" i="5"/>
  <c r="G1325" i="5"/>
  <c r="O1325" i="5"/>
  <c r="G1326" i="5"/>
  <c r="O1326" i="5"/>
  <c r="G1327" i="5"/>
  <c r="O1327" i="5"/>
  <c r="G1328" i="5"/>
  <c r="O1328" i="5"/>
  <c r="G1329" i="5"/>
  <c r="O1329" i="5"/>
  <c r="G1330" i="5"/>
  <c r="O1330" i="5"/>
  <c r="G1331" i="5"/>
  <c r="O1331" i="5"/>
  <c r="G1332" i="5"/>
  <c r="O1332" i="5"/>
  <c r="G1333" i="5"/>
  <c r="O1333" i="5"/>
  <c r="G1334" i="5"/>
  <c r="O1334" i="5"/>
  <c r="G1335" i="5"/>
  <c r="O1335" i="5"/>
  <c r="G1336" i="5"/>
  <c r="O1336" i="5"/>
  <c r="G1337" i="5"/>
  <c r="O1337" i="5"/>
  <c r="G1338" i="5"/>
  <c r="O1338" i="5"/>
  <c r="G1339" i="5"/>
  <c r="O1339" i="5"/>
  <c r="G1340" i="5"/>
  <c r="O1340" i="5"/>
  <c r="G1341" i="5"/>
  <c r="O1341" i="5"/>
  <c r="G1342" i="5"/>
  <c r="O1342" i="5"/>
  <c r="G1317" i="5"/>
  <c r="G1318" i="5"/>
  <c r="O1318" i="5"/>
  <c r="G1319" i="5"/>
  <c r="G1320" i="5"/>
  <c r="O1320" i="5"/>
  <c r="G1321" i="5"/>
  <c r="O1321" i="5"/>
  <c r="G1322" i="5"/>
  <c r="O1322" i="5"/>
  <c r="G1308" i="5"/>
  <c r="O1308" i="5"/>
  <c r="G1309" i="5"/>
  <c r="O1309" i="5"/>
  <c r="O1310" i="5"/>
  <c r="G1311" i="5"/>
  <c r="O1311" i="5"/>
  <c r="G1312" i="5"/>
  <c r="O1312" i="5"/>
  <c r="G1313" i="5"/>
  <c r="O1313" i="5"/>
  <c r="N1343" i="5"/>
  <c r="M1343" i="5"/>
  <c r="L1343" i="5"/>
  <c r="K1343" i="5"/>
  <c r="J1343" i="5"/>
  <c r="F1343" i="5"/>
  <c r="E1343" i="5"/>
  <c r="D1343" i="5"/>
  <c r="C1343" i="5"/>
  <c r="B1343" i="5"/>
  <c r="O1315" i="5"/>
  <c r="G1315" i="5"/>
  <c r="O1314" i="5"/>
  <c r="G1314" i="5"/>
  <c r="O1004" i="3"/>
  <c r="O1359" i="6"/>
  <c r="G1350" i="6"/>
  <c r="G1351" i="6"/>
  <c r="G1352" i="6"/>
  <c r="G1353" i="6"/>
  <c r="G1354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O1384" i="6"/>
  <c r="O1361" i="6"/>
  <c r="N1385" i="6"/>
  <c r="F1385" i="6"/>
  <c r="E1385" i="6"/>
  <c r="D1385" i="6"/>
  <c r="C1385" i="6"/>
  <c r="B1385" i="6"/>
  <c r="M1385" i="6"/>
  <c r="L1385" i="6"/>
  <c r="K1385" i="6"/>
  <c r="G1384" i="6"/>
  <c r="O1383" i="6"/>
  <c r="G1383" i="6"/>
  <c r="O1382" i="6"/>
  <c r="O1381" i="6"/>
  <c r="O1380" i="6"/>
  <c r="O1379" i="6"/>
  <c r="O1378" i="6"/>
  <c r="O1377" i="6"/>
  <c r="O1376" i="6"/>
  <c r="O1375" i="6"/>
  <c r="O1374" i="6"/>
  <c r="O1373" i="6"/>
  <c r="O1372" i="6"/>
  <c r="O1371" i="6"/>
  <c r="O1370" i="6"/>
  <c r="O1369" i="6"/>
  <c r="O1368" i="6"/>
  <c r="O1367" i="6"/>
  <c r="O1366" i="6"/>
  <c r="O1365" i="6"/>
  <c r="O1364" i="6"/>
  <c r="O1363" i="6"/>
  <c r="O1362" i="6"/>
  <c r="O1357" i="6"/>
  <c r="G1357" i="6"/>
  <c r="O1356" i="6"/>
  <c r="G1356" i="6"/>
  <c r="O1355" i="6"/>
  <c r="G1355" i="6"/>
  <c r="O1354" i="6"/>
  <c r="O1353" i="6"/>
  <c r="O1352" i="6"/>
  <c r="O1351" i="6"/>
  <c r="O1350" i="6"/>
  <c r="O1343" i="5" l="1"/>
  <c r="G1343" i="5"/>
  <c r="G1385" i="6"/>
  <c r="J1385" i="6"/>
  <c r="O1385" i="6" s="1"/>
  <c r="G1004" i="3"/>
  <c r="G1005" i="3"/>
  <c r="G1006" i="3"/>
  <c r="G1007" i="3"/>
  <c r="G1008" i="3"/>
  <c r="G1009" i="3"/>
  <c r="G1010" i="3"/>
  <c r="O1010" i="3"/>
  <c r="G1011" i="3"/>
  <c r="O1011" i="3"/>
  <c r="G1012" i="3"/>
  <c r="O1012" i="3"/>
  <c r="G1013" i="3"/>
  <c r="O1013" i="3"/>
  <c r="G1014" i="3"/>
  <c r="O1014" i="3"/>
  <c r="G1015" i="3"/>
  <c r="O1015" i="3"/>
  <c r="G1016" i="3"/>
  <c r="O1016" i="3"/>
  <c r="G1017" i="3"/>
  <c r="O1017" i="3"/>
  <c r="G1018" i="3"/>
  <c r="O1018" i="3"/>
  <c r="G1019" i="3"/>
  <c r="O1019" i="3"/>
  <c r="G1020" i="3"/>
  <c r="O1020" i="3"/>
  <c r="G1021" i="3"/>
  <c r="O1021" i="3"/>
  <c r="G1022" i="3"/>
  <c r="O1022" i="3"/>
  <c r="G1023" i="3"/>
  <c r="O1023" i="3"/>
  <c r="G1024" i="3"/>
  <c r="O1024" i="3"/>
  <c r="G1025" i="3"/>
  <c r="O1025" i="3"/>
  <c r="G1026" i="3"/>
  <c r="O1026" i="3"/>
  <c r="G1027" i="3"/>
  <c r="O1027" i="3"/>
  <c r="G994" i="3"/>
  <c r="G995" i="3"/>
  <c r="G996" i="3"/>
  <c r="G997" i="3"/>
  <c r="G998" i="3"/>
  <c r="G1000" i="3"/>
  <c r="N1030" i="3"/>
  <c r="M1030" i="3"/>
  <c r="L1030" i="3"/>
  <c r="K1030" i="3"/>
  <c r="J1030" i="3"/>
  <c r="F1030" i="3"/>
  <c r="E1030" i="3"/>
  <c r="D1030" i="3"/>
  <c r="B1030" i="3"/>
  <c r="O1029" i="3"/>
  <c r="G1029" i="3"/>
  <c r="O1028" i="3"/>
  <c r="G1028" i="3"/>
  <c r="O1002" i="3"/>
  <c r="O1001" i="3"/>
  <c r="G1001" i="3"/>
  <c r="O1000" i="3"/>
  <c r="O999" i="3"/>
  <c r="O998" i="3"/>
  <c r="O997" i="3"/>
  <c r="O996" i="3"/>
  <c r="O995" i="3"/>
  <c r="O994" i="3"/>
  <c r="O964" i="3"/>
  <c r="O2037" i="4"/>
  <c r="O1030" i="3" l="1"/>
  <c r="G1030" i="3"/>
  <c r="O1277" i="5"/>
  <c r="O1319" i="6"/>
  <c r="O983" i="7"/>
  <c r="O2036" i="4" l="1"/>
  <c r="O1275" i="5" l="1"/>
  <c r="O1258" i="5"/>
  <c r="O1267" i="5"/>
  <c r="O1276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66" i="5"/>
  <c r="G1267" i="5"/>
  <c r="G1268" i="5"/>
  <c r="G1269" i="5"/>
  <c r="G1270" i="5"/>
  <c r="N1301" i="5"/>
  <c r="M1301" i="5"/>
  <c r="L1301" i="5"/>
  <c r="K1301" i="5"/>
  <c r="J1301" i="5"/>
  <c r="F1301" i="5"/>
  <c r="E1301" i="5"/>
  <c r="D1301" i="5"/>
  <c r="C1301" i="5"/>
  <c r="B1301" i="5"/>
  <c r="O1300" i="5"/>
  <c r="G1300" i="5"/>
  <c r="O1299" i="5"/>
  <c r="G1299" i="5"/>
  <c r="O1298" i="5"/>
  <c r="G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3" i="5"/>
  <c r="G1273" i="5"/>
  <c r="O1272" i="5"/>
  <c r="G1272" i="5"/>
  <c r="O1271" i="5"/>
  <c r="G1271" i="5"/>
  <c r="O1270" i="5"/>
  <c r="O1269" i="5"/>
  <c r="O1268" i="5"/>
  <c r="O1266" i="5"/>
  <c r="G1301" i="5" l="1"/>
  <c r="O1301" i="5"/>
  <c r="O2061" i="4"/>
  <c r="O1006" i="7"/>
  <c r="O963" i="3"/>
  <c r="G2026" i="4"/>
  <c r="G2027" i="4"/>
  <c r="G2028" i="4"/>
  <c r="G2029" i="4"/>
  <c r="G2030" i="4"/>
  <c r="G2031" i="4"/>
  <c r="G2032" i="4"/>
  <c r="G2033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O2060" i="4"/>
  <c r="O2026" i="4"/>
  <c r="O2027" i="4"/>
  <c r="O2028" i="4"/>
  <c r="O2029" i="4"/>
  <c r="O2030" i="4"/>
  <c r="O2031" i="4"/>
  <c r="O2039" i="4"/>
  <c r="O2040" i="4"/>
  <c r="O2041" i="4"/>
  <c r="N2062" i="4"/>
  <c r="M2062" i="4"/>
  <c r="L2062" i="4"/>
  <c r="K2062" i="4"/>
  <c r="J2062" i="4"/>
  <c r="F2062" i="4"/>
  <c r="E2062" i="4"/>
  <c r="D2062" i="4"/>
  <c r="C2062" i="4"/>
  <c r="B2062" i="4"/>
  <c r="G2061" i="4"/>
  <c r="G2060" i="4"/>
  <c r="O2059" i="4"/>
  <c r="G2059" i="4"/>
  <c r="O2058" i="4"/>
  <c r="O2057" i="4"/>
  <c r="O2056" i="4"/>
  <c r="O2055" i="4"/>
  <c r="O2054" i="4"/>
  <c r="O2053" i="4"/>
  <c r="O2052" i="4"/>
  <c r="O2051" i="4"/>
  <c r="O2050" i="4"/>
  <c r="O2049" i="4"/>
  <c r="O2048" i="4"/>
  <c r="O2047" i="4"/>
  <c r="O2046" i="4"/>
  <c r="O2045" i="4"/>
  <c r="O2044" i="4"/>
  <c r="O2043" i="4"/>
  <c r="O2042" i="4"/>
  <c r="O2034" i="4"/>
  <c r="G2034" i="4"/>
  <c r="O2033" i="4"/>
  <c r="O2032" i="4"/>
  <c r="G2062" i="4" l="1"/>
  <c r="O2062" i="4"/>
  <c r="O1317" i="6"/>
  <c r="O1309" i="6"/>
  <c r="G1308" i="6"/>
  <c r="G1309" i="6"/>
  <c r="G1310" i="6"/>
  <c r="G1311" i="6"/>
  <c r="G1312" i="6"/>
  <c r="G1313" i="6"/>
  <c r="N1343" i="6"/>
  <c r="M1343" i="6"/>
  <c r="L1343" i="6"/>
  <c r="K1343" i="6"/>
  <c r="J1343" i="6"/>
  <c r="F1343" i="6"/>
  <c r="E1343" i="6"/>
  <c r="D1343" i="6"/>
  <c r="C1343" i="6"/>
  <c r="B1343" i="6"/>
  <c r="O1342" i="6"/>
  <c r="G1342" i="6"/>
  <c r="O1341" i="6"/>
  <c r="G1341" i="6"/>
  <c r="O1340" i="6"/>
  <c r="G1340" i="6"/>
  <c r="O1339" i="6"/>
  <c r="G1339" i="6"/>
  <c r="O1338" i="6"/>
  <c r="G1338" i="6"/>
  <c r="O1337" i="6"/>
  <c r="G1337" i="6"/>
  <c r="O1336" i="6"/>
  <c r="G1336" i="6"/>
  <c r="O1335" i="6"/>
  <c r="G1335" i="6"/>
  <c r="O1334" i="6"/>
  <c r="G1334" i="6"/>
  <c r="O1333" i="6"/>
  <c r="G1333" i="6"/>
  <c r="O1332" i="6"/>
  <c r="G1332" i="6"/>
  <c r="O1331" i="6"/>
  <c r="G1331" i="6"/>
  <c r="O1330" i="6"/>
  <c r="G1330" i="6"/>
  <c r="O1329" i="6"/>
  <c r="G1329" i="6"/>
  <c r="O1328" i="6"/>
  <c r="G1328" i="6"/>
  <c r="O1327" i="6"/>
  <c r="G1327" i="6"/>
  <c r="O1326" i="6"/>
  <c r="G1326" i="6"/>
  <c r="O1325" i="6"/>
  <c r="G1325" i="6"/>
  <c r="O1324" i="6"/>
  <c r="G1324" i="6"/>
  <c r="O1323" i="6"/>
  <c r="G1323" i="6"/>
  <c r="O1322" i="6"/>
  <c r="G1322" i="6"/>
  <c r="O1321" i="6"/>
  <c r="G1321" i="6"/>
  <c r="O1320" i="6"/>
  <c r="G1320" i="6"/>
  <c r="G1319" i="6"/>
  <c r="O1318" i="6"/>
  <c r="G1318" i="6"/>
  <c r="G1317" i="6"/>
  <c r="O1315" i="6"/>
  <c r="G1315" i="6"/>
  <c r="O1314" i="6"/>
  <c r="G1314" i="6"/>
  <c r="O1313" i="6"/>
  <c r="O1312" i="6"/>
  <c r="O1311" i="6"/>
  <c r="O1310" i="6"/>
  <c r="O1308" i="6"/>
  <c r="G972" i="3"/>
  <c r="O1277" i="6"/>
  <c r="O981" i="7"/>
  <c r="O982" i="7"/>
  <c r="O984" i="7"/>
  <c r="O985" i="7"/>
  <c r="O972" i="7"/>
  <c r="O973" i="7"/>
  <c r="O974" i="7"/>
  <c r="O975" i="7"/>
  <c r="G972" i="7"/>
  <c r="G973" i="7"/>
  <c r="G974" i="7"/>
  <c r="G975" i="7"/>
  <c r="G976" i="7"/>
  <c r="G977" i="7"/>
  <c r="N1007" i="7"/>
  <c r="M1007" i="7"/>
  <c r="L1007" i="7"/>
  <c r="K1007" i="7"/>
  <c r="J1007" i="7"/>
  <c r="F1007" i="7"/>
  <c r="E1007" i="7"/>
  <c r="D1007" i="7"/>
  <c r="C1007" i="7"/>
  <c r="B1007" i="7"/>
  <c r="G1006" i="7"/>
  <c r="O1005" i="7"/>
  <c r="G1005" i="7"/>
  <c r="O1004" i="7"/>
  <c r="G1004" i="7"/>
  <c r="O1003" i="7"/>
  <c r="G1003" i="7"/>
  <c r="O1002" i="7"/>
  <c r="G1002" i="7"/>
  <c r="O1001" i="7"/>
  <c r="G1001" i="7"/>
  <c r="O1000" i="7"/>
  <c r="G1000" i="7"/>
  <c r="O999" i="7"/>
  <c r="G999" i="7"/>
  <c r="O998" i="7"/>
  <c r="G998" i="7"/>
  <c r="O997" i="7"/>
  <c r="G997" i="7"/>
  <c r="O996" i="7"/>
  <c r="G996" i="7"/>
  <c r="O995" i="7"/>
  <c r="G995" i="7"/>
  <c r="O994" i="7"/>
  <c r="G994" i="7"/>
  <c r="O993" i="7"/>
  <c r="G993" i="7"/>
  <c r="O992" i="7"/>
  <c r="G992" i="7"/>
  <c r="O991" i="7"/>
  <c r="G991" i="7"/>
  <c r="O990" i="7"/>
  <c r="G990" i="7"/>
  <c r="O989" i="7"/>
  <c r="G989" i="7"/>
  <c r="O988" i="7"/>
  <c r="G988" i="7"/>
  <c r="O987" i="7"/>
  <c r="G987" i="7"/>
  <c r="O986" i="7"/>
  <c r="G986" i="7"/>
  <c r="G985" i="7"/>
  <c r="G984" i="7"/>
  <c r="G983" i="7"/>
  <c r="G982" i="7"/>
  <c r="G981" i="7"/>
  <c r="O979" i="7"/>
  <c r="G979" i="7"/>
  <c r="O978" i="7"/>
  <c r="G978" i="7"/>
  <c r="O977" i="7"/>
  <c r="O976" i="7"/>
  <c r="O1235" i="5"/>
  <c r="O1234" i="5"/>
  <c r="O1187" i="5"/>
  <c r="O1257" i="5"/>
  <c r="O1233" i="5"/>
  <c r="O1236" i="5"/>
  <c r="O1237" i="5"/>
  <c r="O1238" i="5"/>
  <c r="O1226" i="5"/>
  <c r="O1227" i="5"/>
  <c r="O1228" i="5"/>
  <c r="O1229" i="5"/>
  <c r="O1225" i="5"/>
  <c r="G1224" i="5"/>
  <c r="G1225" i="5"/>
  <c r="G1226" i="5"/>
  <c r="G1227" i="5"/>
  <c r="G1228" i="5"/>
  <c r="G1229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N1259" i="5"/>
  <c r="M1259" i="5"/>
  <c r="L1259" i="5"/>
  <c r="K1259" i="5"/>
  <c r="J1259" i="5"/>
  <c r="F1259" i="5"/>
  <c r="E1259" i="5"/>
  <c r="D1259" i="5"/>
  <c r="C1259" i="5"/>
  <c r="B1259" i="5"/>
  <c r="G1258" i="5"/>
  <c r="G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1" i="5"/>
  <c r="G1231" i="5"/>
  <c r="O1230" i="5"/>
  <c r="G1230" i="5"/>
  <c r="O1224" i="5"/>
  <c r="O1343" i="6" l="1"/>
  <c r="G1343" i="6"/>
  <c r="G1007" i="7"/>
  <c r="O1007" i="7"/>
  <c r="G1259" i="5"/>
  <c r="O1259" i="5"/>
  <c r="O1300" i="6"/>
  <c r="O1299" i="6"/>
  <c r="O1216" i="5"/>
  <c r="O1215" i="5"/>
  <c r="O1257" i="6" l="1"/>
  <c r="O1225" i="6"/>
  <c r="O1275" i="6"/>
  <c r="O1276" i="6"/>
  <c r="O1278" i="6"/>
  <c r="O1279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66" i="6"/>
  <c r="G1267" i="6"/>
  <c r="G1268" i="6"/>
  <c r="G1269" i="6"/>
  <c r="G1270" i="6"/>
  <c r="N1301" i="6"/>
  <c r="M1301" i="6"/>
  <c r="L1301" i="6"/>
  <c r="K1301" i="6"/>
  <c r="J1301" i="6"/>
  <c r="F1301" i="6"/>
  <c r="E1301" i="6"/>
  <c r="D1301" i="6"/>
  <c r="C1301" i="6"/>
  <c r="B1301" i="6"/>
  <c r="G1300" i="6"/>
  <c r="G1299" i="6"/>
  <c r="O1298" i="6"/>
  <c r="O1297" i="6"/>
  <c r="O1296" i="6"/>
  <c r="O1295" i="6"/>
  <c r="O1294" i="6"/>
  <c r="O1293" i="6"/>
  <c r="O1292" i="6"/>
  <c r="O1291" i="6"/>
  <c r="O1290" i="6"/>
  <c r="O1289" i="6"/>
  <c r="O1288" i="6"/>
  <c r="O1287" i="6"/>
  <c r="O1286" i="6"/>
  <c r="O1285" i="6"/>
  <c r="O1284" i="6"/>
  <c r="O1283" i="6"/>
  <c r="O1282" i="6"/>
  <c r="O1281" i="6"/>
  <c r="O1280" i="6"/>
  <c r="O1273" i="6"/>
  <c r="G1273" i="6"/>
  <c r="O1272" i="6"/>
  <c r="G1272" i="6"/>
  <c r="O1271" i="6"/>
  <c r="G1271" i="6"/>
  <c r="O1270" i="6"/>
  <c r="O1269" i="6"/>
  <c r="O1268" i="6"/>
  <c r="O1267" i="6"/>
  <c r="O1266" i="6"/>
  <c r="O1301" i="6" l="1"/>
  <c r="G1301" i="6"/>
  <c r="O1194" i="5" l="1"/>
  <c r="O1193" i="5"/>
  <c r="O941" i="7"/>
  <c r="O961" i="3"/>
  <c r="O1192" i="5" l="1"/>
  <c r="O1157" i="5"/>
  <c r="O1158" i="5"/>
  <c r="O1191" i="5"/>
  <c r="O940" i="7"/>
  <c r="O963" i="7"/>
  <c r="O939" i="7"/>
  <c r="O1956" i="4"/>
  <c r="O1258" i="6"/>
  <c r="O1191" i="6" l="1"/>
  <c r="O1192" i="6"/>
  <c r="O1193" i="6"/>
  <c r="O1194" i="6"/>
  <c r="O1195" i="6"/>
  <c r="O1196" i="6"/>
  <c r="G1243" i="6"/>
  <c r="G1242" i="6"/>
  <c r="G1241" i="6"/>
  <c r="G1240" i="6"/>
  <c r="G1239" i="6"/>
  <c r="G1238" i="6"/>
  <c r="G1237" i="6"/>
  <c r="G1236" i="6"/>
  <c r="G1235" i="6"/>
  <c r="G1234" i="6"/>
  <c r="G1233" i="6"/>
  <c r="N1259" i="6"/>
  <c r="M1259" i="6"/>
  <c r="L1259" i="6"/>
  <c r="K1259" i="6"/>
  <c r="J1259" i="6"/>
  <c r="F1259" i="6"/>
  <c r="E1259" i="6"/>
  <c r="D1259" i="6"/>
  <c r="B1259" i="6"/>
  <c r="G1258" i="6"/>
  <c r="G1257" i="6"/>
  <c r="O1256" i="6"/>
  <c r="G1256" i="6"/>
  <c r="O1255" i="6"/>
  <c r="G1255" i="6"/>
  <c r="O1254" i="6"/>
  <c r="G1254" i="6"/>
  <c r="O1253" i="6"/>
  <c r="G1253" i="6"/>
  <c r="O1252" i="6"/>
  <c r="G1252" i="6"/>
  <c r="O1251" i="6"/>
  <c r="G1251" i="6"/>
  <c r="O1250" i="6"/>
  <c r="G1250" i="6"/>
  <c r="O1249" i="6"/>
  <c r="G1249" i="6"/>
  <c r="O1248" i="6"/>
  <c r="G1248" i="6"/>
  <c r="O1247" i="6"/>
  <c r="G1247" i="6"/>
  <c r="O1246" i="6"/>
  <c r="G1246" i="6"/>
  <c r="O1245" i="6"/>
  <c r="G1245" i="6"/>
  <c r="O1244" i="6"/>
  <c r="G1244" i="6"/>
  <c r="O1243" i="6"/>
  <c r="O1242" i="6"/>
  <c r="O1241" i="6"/>
  <c r="O1240" i="6"/>
  <c r="O1239" i="6"/>
  <c r="O1238" i="6"/>
  <c r="O1231" i="6"/>
  <c r="G1231" i="6"/>
  <c r="O1230" i="6"/>
  <c r="G1230" i="6"/>
  <c r="O1229" i="6"/>
  <c r="G1229" i="6"/>
  <c r="O1228" i="6"/>
  <c r="G1228" i="6"/>
  <c r="O1227" i="6"/>
  <c r="G1227" i="6"/>
  <c r="O1226" i="6"/>
  <c r="G1226" i="6"/>
  <c r="G1225" i="6"/>
  <c r="O1224" i="6"/>
  <c r="G1224" i="6"/>
  <c r="G930" i="7"/>
  <c r="G931" i="7"/>
  <c r="G932" i="7"/>
  <c r="G933" i="7"/>
  <c r="G935" i="7"/>
  <c r="G936" i="7"/>
  <c r="G937" i="7"/>
  <c r="N965" i="7"/>
  <c r="M965" i="7"/>
  <c r="L965" i="7"/>
  <c r="K965" i="7"/>
  <c r="J965" i="7"/>
  <c r="F965" i="7"/>
  <c r="E965" i="7"/>
  <c r="D965" i="7"/>
  <c r="C965" i="7"/>
  <c r="B965" i="7"/>
  <c r="O964" i="7"/>
  <c r="G964" i="7"/>
  <c r="G963" i="7"/>
  <c r="O962" i="7"/>
  <c r="G962" i="7"/>
  <c r="O961" i="7"/>
  <c r="G961" i="7"/>
  <c r="O960" i="7"/>
  <c r="G960" i="7"/>
  <c r="O959" i="7"/>
  <c r="G959" i="7"/>
  <c r="O958" i="7"/>
  <c r="G958" i="7"/>
  <c r="O957" i="7"/>
  <c r="G957" i="7"/>
  <c r="O956" i="7"/>
  <c r="G956" i="7"/>
  <c r="O955" i="7"/>
  <c r="G955" i="7"/>
  <c r="O954" i="7"/>
  <c r="G954" i="7"/>
  <c r="O953" i="7"/>
  <c r="G953" i="7"/>
  <c r="O952" i="7"/>
  <c r="G952" i="7"/>
  <c r="O951" i="7"/>
  <c r="G951" i="7"/>
  <c r="O950" i="7"/>
  <c r="G950" i="7"/>
  <c r="O949" i="7"/>
  <c r="G949" i="7"/>
  <c r="O948" i="7"/>
  <c r="G948" i="7"/>
  <c r="O947" i="7"/>
  <c r="G947" i="7"/>
  <c r="O946" i="7"/>
  <c r="G946" i="7"/>
  <c r="O945" i="7"/>
  <c r="G945" i="7"/>
  <c r="O944" i="7"/>
  <c r="G944" i="7"/>
  <c r="O943" i="7"/>
  <c r="G943" i="7"/>
  <c r="O942" i="7"/>
  <c r="G942" i="7"/>
  <c r="G941" i="7"/>
  <c r="G940" i="7"/>
  <c r="G939" i="7"/>
  <c r="O937" i="7"/>
  <c r="O936" i="7"/>
  <c r="O935" i="7"/>
  <c r="O934" i="7"/>
  <c r="G934" i="7"/>
  <c r="O933" i="7"/>
  <c r="O932" i="7"/>
  <c r="O931" i="7"/>
  <c r="O930" i="7"/>
  <c r="G954" i="3"/>
  <c r="G955" i="3"/>
  <c r="G963" i="3"/>
  <c r="G962" i="3"/>
  <c r="G961" i="3"/>
  <c r="N987" i="3"/>
  <c r="M987" i="3"/>
  <c r="L987" i="3"/>
  <c r="K987" i="3"/>
  <c r="J987" i="3"/>
  <c r="F987" i="3"/>
  <c r="E987" i="3"/>
  <c r="D987" i="3"/>
  <c r="C987" i="3"/>
  <c r="B987" i="3"/>
  <c r="O986" i="3"/>
  <c r="G986" i="3"/>
  <c r="O985" i="3"/>
  <c r="G985" i="3"/>
  <c r="O984" i="3"/>
  <c r="G984" i="3"/>
  <c r="O983" i="3"/>
  <c r="G983" i="3"/>
  <c r="O982" i="3"/>
  <c r="G982" i="3"/>
  <c r="O981" i="3"/>
  <c r="G981" i="3"/>
  <c r="O980" i="3"/>
  <c r="G980" i="3"/>
  <c r="O979" i="3"/>
  <c r="G979" i="3"/>
  <c r="O978" i="3"/>
  <c r="G978" i="3"/>
  <c r="O977" i="3"/>
  <c r="G977" i="3"/>
  <c r="O976" i="3"/>
  <c r="G976" i="3"/>
  <c r="O975" i="3"/>
  <c r="G975" i="3"/>
  <c r="O974" i="3"/>
  <c r="G974" i="3"/>
  <c r="O973" i="3"/>
  <c r="G973" i="3"/>
  <c r="O972" i="3"/>
  <c r="O971" i="3"/>
  <c r="G971" i="3"/>
  <c r="O970" i="3"/>
  <c r="G970" i="3"/>
  <c r="O969" i="3"/>
  <c r="G969" i="3"/>
  <c r="O968" i="3"/>
  <c r="G968" i="3"/>
  <c r="O967" i="3"/>
  <c r="G967" i="3"/>
  <c r="O966" i="3"/>
  <c r="G966" i="3"/>
  <c r="O965" i="3"/>
  <c r="G965" i="3"/>
  <c r="G964" i="3"/>
  <c r="O962" i="3"/>
  <c r="O959" i="3"/>
  <c r="G959" i="3"/>
  <c r="O958" i="3"/>
  <c r="G958" i="3"/>
  <c r="O957" i="3"/>
  <c r="G957" i="3"/>
  <c r="O956" i="3"/>
  <c r="G956" i="3"/>
  <c r="O955" i="3"/>
  <c r="O954" i="3"/>
  <c r="O953" i="3"/>
  <c r="G953" i="3"/>
  <c r="O952" i="3"/>
  <c r="G952" i="3"/>
  <c r="O951" i="3"/>
  <c r="G951" i="3"/>
  <c r="O921" i="3"/>
  <c r="O1156" i="5"/>
  <c r="C1192" i="6"/>
  <c r="O1953" i="4"/>
  <c r="O1259" i="6" l="1"/>
  <c r="C1259" i="6"/>
  <c r="G1259" i="6" s="1"/>
  <c r="G965" i="7"/>
  <c r="O965" i="7"/>
  <c r="O987" i="3"/>
  <c r="G987" i="3"/>
  <c r="O920" i="3"/>
  <c r="N1217" i="5"/>
  <c r="M1217" i="5"/>
  <c r="L1217" i="5"/>
  <c r="K1217" i="5"/>
  <c r="J1217" i="5"/>
  <c r="F1217" i="5"/>
  <c r="E1217" i="5"/>
  <c r="D1217" i="5"/>
  <c r="C1217" i="5"/>
  <c r="B1217" i="5"/>
  <c r="G1216" i="5"/>
  <c r="G1215" i="5"/>
  <c r="O1214" i="5"/>
  <c r="G1214" i="5"/>
  <c r="O1213" i="5"/>
  <c r="G1213" i="5"/>
  <c r="O1212" i="5"/>
  <c r="G1212" i="5"/>
  <c r="O1211" i="5"/>
  <c r="G1211" i="5"/>
  <c r="O1210" i="5"/>
  <c r="G1210" i="5"/>
  <c r="O1209" i="5"/>
  <c r="G1209" i="5"/>
  <c r="O1208" i="5"/>
  <c r="G1208" i="5"/>
  <c r="O1207" i="5"/>
  <c r="G1207" i="5"/>
  <c r="O1206" i="5"/>
  <c r="G1206" i="5"/>
  <c r="O1205" i="5"/>
  <c r="G1205" i="5"/>
  <c r="O1204" i="5"/>
  <c r="G1204" i="5"/>
  <c r="O1203" i="5"/>
  <c r="G1203" i="5"/>
  <c r="O1202" i="5"/>
  <c r="G1202" i="5"/>
  <c r="O1201" i="5"/>
  <c r="G1201" i="5"/>
  <c r="O1200" i="5"/>
  <c r="G1200" i="5"/>
  <c r="O1199" i="5"/>
  <c r="G1199" i="5"/>
  <c r="O1198" i="5"/>
  <c r="G1198" i="5"/>
  <c r="O1197" i="5"/>
  <c r="G1197" i="5"/>
  <c r="O1196" i="5"/>
  <c r="G1196" i="5"/>
  <c r="O1195" i="5"/>
  <c r="G1195" i="5"/>
  <c r="G1194" i="5"/>
  <c r="G1193" i="5"/>
  <c r="G1192" i="5"/>
  <c r="G1191" i="5"/>
  <c r="O1189" i="5"/>
  <c r="G1189" i="5"/>
  <c r="O1188" i="5"/>
  <c r="G1188" i="5"/>
  <c r="G1187" i="5"/>
  <c r="O1186" i="5"/>
  <c r="G1186" i="5"/>
  <c r="O1185" i="5"/>
  <c r="G1185" i="5"/>
  <c r="O1184" i="5"/>
  <c r="G1184" i="5"/>
  <c r="O1183" i="5"/>
  <c r="G1183" i="5"/>
  <c r="O1182" i="5"/>
  <c r="G1182" i="5"/>
  <c r="O1217" i="5" l="1"/>
  <c r="G1217" i="5"/>
  <c r="N1217" i="6"/>
  <c r="M1217" i="6"/>
  <c r="L1217" i="6"/>
  <c r="K1217" i="6"/>
  <c r="J1217" i="6"/>
  <c r="F1217" i="6"/>
  <c r="E1217" i="6"/>
  <c r="D1217" i="6"/>
  <c r="C1217" i="6"/>
  <c r="B1217" i="6"/>
  <c r="O1216" i="6"/>
  <c r="G1216" i="6"/>
  <c r="O1215" i="6"/>
  <c r="G1215" i="6"/>
  <c r="O1214" i="6"/>
  <c r="G1214" i="6"/>
  <c r="O1213" i="6"/>
  <c r="G1213" i="6"/>
  <c r="O1212" i="6"/>
  <c r="G1212" i="6"/>
  <c r="O1211" i="6"/>
  <c r="G1211" i="6"/>
  <c r="O1210" i="6"/>
  <c r="G1210" i="6"/>
  <c r="O1209" i="6"/>
  <c r="G1209" i="6"/>
  <c r="O1208" i="6"/>
  <c r="G1208" i="6"/>
  <c r="O1207" i="6"/>
  <c r="G1207" i="6"/>
  <c r="O1206" i="6"/>
  <c r="G1206" i="6"/>
  <c r="O1205" i="6"/>
  <c r="G1205" i="6"/>
  <c r="O1204" i="6"/>
  <c r="G1204" i="6"/>
  <c r="O1203" i="6"/>
  <c r="G1203" i="6"/>
  <c r="O1202" i="6"/>
  <c r="G1202" i="6"/>
  <c r="O1201" i="6"/>
  <c r="G1201" i="6"/>
  <c r="O1200" i="6"/>
  <c r="G1200" i="6"/>
  <c r="O1199" i="6"/>
  <c r="G1199" i="6"/>
  <c r="O1198" i="6"/>
  <c r="G1198" i="6"/>
  <c r="O1197" i="6"/>
  <c r="G1197" i="6"/>
  <c r="G1196" i="6"/>
  <c r="G1195" i="6"/>
  <c r="G1194" i="6"/>
  <c r="G1193" i="6"/>
  <c r="G1192" i="6"/>
  <c r="G1191" i="6"/>
  <c r="O1189" i="6"/>
  <c r="G1189" i="6"/>
  <c r="O1188" i="6"/>
  <c r="G1188" i="6"/>
  <c r="O1187" i="6"/>
  <c r="G1187" i="6"/>
  <c r="O1186" i="6"/>
  <c r="G1186" i="6"/>
  <c r="O1185" i="6"/>
  <c r="G1185" i="6"/>
  <c r="O1184" i="6"/>
  <c r="G1184" i="6"/>
  <c r="O1183" i="6"/>
  <c r="G1183" i="6"/>
  <c r="O1182" i="6"/>
  <c r="G1182" i="6"/>
  <c r="O1217" i="6" l="1"/>
  <c r="G1217" i="6"/>
  <c r="O1152" i="5"/>
  <c r="O1161" i="6" l="1"/>
  <c r="O912" i="7"/>
  <c r="O1149" i="5"/>
  <c r="O1951" i="4"/>
  <c r="O962" i="2" l="1"/>
  <c r="N1175" i="5"/>
  <c r="M1175" i="5"/>
  <c r="L1175" i="5"/>
  <c r="K1175" i="5"/>
  <c r="J1175" i="5"/>
  <c r="F1175" i="5"/>
  <c r="E1175" i="5"/>
  <c r="D1175" i="5"/>
  <c r="B1175" i="5"/>
  <c r="O1174" i="5"/>
  <c r="G1174" i="5"/>
  <c r="O1173" i="5"/>
  <c r="G1173" i="5"/>
  <c r="O1172" i="5"/>
  <c r="G1172" i="5"/>
  <c r="O1171" i="5"/>
  <c r="G1171" i="5"/>
  <c r="O1170" i="5"/>
  <c r="G1170" i="5"/>
  <c r="O1169" i="5"/>
  <c r="G1169" i="5"/>
  <c r="O1168" i="5"/>
  <c r="G1168" i="5"/>
  <c r="O1167" i="5"/>
  <c r="G1167" i="5"/>
  <c r="O1166" i="5"/>
  <c r="G1166" i="5"/>
  <c r="O1165" i="5"/>
  <c r="G1165" i="5"/>
  <c r="O1164" i="5"/>
  <c r="G1164" i="5"/>
  <c r="O1163" i="5"/>
  <c r="G1163" i="5"/>
  <c r="O1162" i="5"/>
  <c r="G1162" i="5"/>
  <c r="O1161" i="5"/>
  <c r="G1161" i="5"/>
  <c r="O1160" i="5"/>
  <c r="G1160" i="5"/>
  <c r="O1159" i="5"/>
  <c r="G1159" i="5"/>
  <c r="G1158" i="5"/>
  <c r="G1157" i="5"/>
  <c r="G1156" i="5"/>
  <c r="O1155" i="5"/>
  <c r="G1155" i="5"/>
  <c r="O1154" i="5"/>
  <c r="G1154" i="5"/>
  <c r="C1175" i="5"/>
  <c r="O1153" i="5"/>
  <c r="G1153" i="5"/>
  <c r="G1152" i="5"/>
  <c r="O1151" i="5"/>
  <c r="G1151" i="5"/>
  <c r="O1150" i="5"/>
  <c r="G1150" i="5"/>
  <c r="G1149" i="5"/>
  <c r="O1147" i="5"/>
  <c r="G1147" i="5"/>
  <c r="O1146" i="5"/>
  <c r="G1146" i="5"/>
  <c r="O1145" i="5"/>
  <c r="G1145" i="5"/>
  <c r="O1144" i="5"/>
  <c r="G1144" i="5"/>
  <c r="O1143" i="5"/>
  <c r="G1143" i="5"/>
  <c r="O1142" i="5"/>
  <c r="G1142" i="5"/>
  <c r="O1141" i="5"/>
  <c r="G1141" i="5"/>
  <c r="O1140" i="5"/>
  <c r="G1140" i="5"/>
  <c r="G1175" i="5" l="1"/>
  <c r="O1175" i="5"/>
  <c r="O1159" i="6"/>
  <c r="O1114" i="5"/>
  <c r="O1950" i="4"/>
  <c r="O919" i="3"/>
  <c r="O1942" i="4"/>
  <c r="N944" i="3" l="1"/>
  <c r="M944" i="3"/>
  <c r="L944" i="3"/>
  <c r="K944" i="3"/>
  <c r="J944" i="3"/>
  <c r="F944" i="3"/>
  <c r="E944" i="3"/>
  <c r="D944" i="3"/>
  <c r="C944" i="3"/>
  <c r="B944" i="3"/>
  <c r="O943" i="3"/>
  <c r="G943" i="3"/>
  <c r="O942" i="3"/>
  <c r="G942" i="3"/>
  <c r="O941" i="3"/>
  <c r="G941" i="3"/>
  <c r="O940" i="3"/>
  <c r="G940" i="3"/>
  <c r="O939" i="3"/>
  <c r="G939" i="3"/>
  <c r="O938" i="3"/>
  <c r="G938" i="3"/>
  <c r="O937" i="3"/>
  <c r="G937" i="3"/>
  <c r="O936" i="3"/>
  <c r="G936" i="3"/>
  <c r="O935" i="3"/>
  <c r="G935" i="3"/>
  <c r="O934" i="3"/>
  <c r="G934" i="3"/>
  <c r="O933" i="3"/>
  <c r="G933" i="3"/>
  <c r="O932" i="3"/>
  <c r="G932" i="3"/>
  <c r="O931" i="3"/>
  <c r="G931" i="3"/>
  <c r="O930" i="3"/>
  <c r="G930" i="3"/>
  <c r="O929" i="3"/>
  <c r="G929" i="3"/>
  <c r="O928" i="3"/>
  <c r="G928" i="3"/>
  <c r="O927" i="3"/>
  <c r="G927" i="3"/>
  <c r="O926" i="3"/>
  <c r="G926" i="3"/>
  <c r="O925" i="3"/>
  <c r="G925" i="3"/>
  <c r="O924" i="3"/>
  <c r="G924" i="3"/>
  <c r="O923" i="3"/>
  <c r="G923" i="3"/>
  <c r="O922" i="3"/>
  <c r="G922" i="3"/>
  <c r="G921" i="3"/>
  <c r="G920" i="3"/>
  <c r="G919" i="3"/>
  <c r="O918" i="3"/>
  <c r="G918" i="3"/>
  <c r="O916" i="3"/>
  <c r="G916" i="3"/>
  <c r="O915" i="3"/>
  <c r="G915" i="3"/>
  <c r="O914" i="3"/>
  <c r="G914" i="3"/>
  <c r="O913" i="3"/>
  <c r="G913" i="3"/>
  <c r="O912" i="3"/>
  <c r="G912" i="3"/>
  <c r="O911" i="3"/>
  <c r="G911" i="3"/>
  <c r="O910" i="3"/>
  <c r="G910" i="3"/>
  <c r="O909" i="3"/>
  <c r="G909" i="3"/>
  <c r="O908" i="3"/>
  <c r="G908" i="3"/>
  <c r="O944" i="3" l="1"/>
  <c r="G944" i="3"/>
  <c r="O1912" i="4"/>
  <c r="D1929" i="4"/>
  <c r="C1925" i="4"/>
  <c r="O881" i="3"/>
  <c r="O1108" i="5"/>
  <c r="C1112" i="5"/>
  <c r="O1074" i="5"/>
  <c r="N1175" i="6"/>
  <c r="M1175" i="6"/>
  <c r="L1175" i="6"/>
  <c r="K1175" i="6"/>
  <c r="J1175" i="6"/>
  <c r="F1175" i="6"/>
  <c r="E1175" i="6"/>
  <c r="D1175" i="6"/>
  <c r="C1175" i="6"/>
  <c r="B1175" i="6"/>
  <c r="O1174" i="6"/>
  <c r="G1174" i="6"/>
  <c r="O1173" i="6"/>
  <c r="G1173" i="6"/>
  <c r="O1172" i="6"/>
  <c r="G1172" i="6"/>
  <c r="O1171" i="6"/>
  <c r="G1171" i="6"/>
  <c r="O1170" i="6"/>
  <c r="G1170" i="6"/>
  <c r="O1169" i="6"/>
  <c r="G1169" i="6"/>
  <c r="O1168" i="6"/>
  <c r="G1168" i="6"/>
  <c r="O1167" i="6"/>
  <c r="G1167" i="6"/>
  <c r="O1166" i="6"/>
  <c r="G1166" i="6"/>
  <c r="O1165" i="6"/>
  <c r="G1165" i="6"/>
  <c r="O1164" i="6"/>
  <c r="G1164" i="6"/>
  <c r="O1163" i="6"/>
  <c r="G1163" i="6"/>
  <c r="O1162" i="6"/>
  <c r="G1162" i="6"/>
  <c r="G1161" i="6"/>
  <c r="O1160" i="6"/>
  <c r="G1160" i="6"/>
  <c r="G1159" i="6"/>
  <c r="O1158" i="6"/>
  <c r="G1158" i="6"/>
  <c r="O1157" i="6"/>
  <c r="G1157" i="6"/>
  <c r="O1156" i="6"/>
  <c r="G1156" i="6"/>
  <c r="O1155" i="6"/>
  <c r="G1155" i="6"/>
  <c r="O1154" i="6"/>
  <c r="G1154" i="6"/>
  <c r="O1153" i="6"/>
  <c r="G1153" i="6"/>
  <c r="O1152" i="6"/>
  <c r="G1152" i="6"/>
  <c r="O1151" i="6"/>
  <c r="G1151" i="6"/>
  <c r="O1150" i="6"/>
  <c r="G1150" i="6"/>
  <c r="O1149" i="6"/>
  <c r="G1149" i="6"/>
  <c r="O1147" i="6"/>
  <c r="G1147" i="6"/>
  <c r="O1146" i="6"/>
  <c r="G1146" i="6"/>
  <c r="O1145" i="6"/>
  <c r="G1145" i="6"/>
  <c r="O1144" i="6"/>
  <c r="G1144" i="6"/>
  <c r="O1143" i="6"/>
  <c r="G1143" i="6"/>
  <c r="O1142" i="6"/>
  <c r="G1142" i="6"/>
  <c r="O1141" i="6"/>
  <c r="G1141" i="6"/>
  <c r="O1140" i="6"/>
  <c r="G1140" i="6"/>
  <c r="O1175" i="6" l="1"/>
  <c r="G1175" i="6"/>
  <c r="N1976" i="4"/>
  <c r="M1976" i="4"/>
  <c r="L1976" i="4"/>
  <c r="K1976" i="4"/>
  <c r="J1976" i="4"/>
  <c r="F1976" i="4"/>
  <c r="E1976" i="4"/>
  <c r="D1976" i="4"/>
  <c r="C1976" i="4"/>
  <c r="B1976" i="4"/>
  <c r="B1982" i="4" s="1"/>
  <c r="B1992" i="4" s="1"/>
  <c r="G1975" i="4"/>
  <c r="G1974" i="4"/>
  <c r="O1973" i="4"/>
  <c r="G1973" i="4"/>
  <c r="O1972" i="4"/>
  <c r="G1972" i="4"/>
  <c r="O1971" i="4"/>
  <c r="G1971" i="4"/>
  <c r="O1970" i="4"/>
  <c r="G1970" i="4"/>
  <c r="O1969" i="4"/>
  <c r="G1969" i="4"/>
  <c r="O1968" i="4"/>
  <c r="G1968" i="4"/>
  <c r="O1967" i="4"/>
  <c r="G1967" i="4"/>
  <c r="O1966" i="4"/>
  <c r="G1966" i="4"/>
  <c r="O1965" i="4"/>
  <c r="G1965" i="4"/>
  <c r="O1964" i="4"/>
  <c r="G1964" i="4"/>
  <c r="O1963" i="4"/>
  <c r="G1963" i="4"/>
  <c r="O1962" i="4"/>
  <c r="G1962" i="4"/>
  <c r="O1961" i="4"/>
  <c r="G1961" i="4"/>
  <c r="O1960" i="4"/>
  <c r="G1960" i="4"/>
  <c r="O1959" i="4"/>
  <c r="G1959" i="4"/>
  <c r="O1958" i="4"/>
  <c r="G1958" i="4"/>
  <c r="O1957" i="4"/>
  <c r="G1957" i="4"/>
  <c r="G1956" i="4"/>
  <c r="O1955" i="4"/>
  <c r="G1955" i="4"/>
  <c r="O1954" i="4"/>
  <c r="G1954" i="4"/>
  <c r="G1953" i="4"/>
  <c r="O1952" i="4"/>
  <c r="G1952" i="4"/>
  <c r="G1951" i="4"/>
  <c r="G1950" i="4"/>
  <c r="O1948" i="4"/>
  <c r="G1948" i="4"/>
  <c r="O1947" i="4"/>
  <c r="G1947" i="4"/>
  <c r="O1946" i="4"/>
  <c r="G1946" i="4"/>
  <c r="O1945" i="4"/>
  <c r="G1945" i="4"/>
  <c r="O1944" i="4"/>
  <c r="G1944" i="4"/>
  <c r="O1943" i="4"/>
  <c r="G1943" i="4"/>
  <c r="G1942" i="4"/>
  <c r="O1941" i="4"/>
  <c r="G1941" i="4"/>
  <c r="O1940" i="4"/>
  <c r="G1940" i="4"/>
  <c r="C1982" i="4" l="1"/>
  <c r="C1992" i="4" s="1"/>
  <c r="C2020" i="4" s="1"/>
  <c r="C2025" i="4" s="1"/>
  <c r="C2035" i="4" s="1"/>
  <c r="C2063" i="4" s="1"/>
  <c r="C2068" i="4" s="1"/>
  <c r="C2078" i="4" s="1"/>
  <c r="C2106" i="4" s="1"/>
  <c r="C2111" i="4" s="1"/>
  <c r="C2121" i="4" s="1"/>
  <c r="C2149" i="4" s="1"/>
  <c r="C2154" i="4" s="1"/>
  <c r="C2164" i="4" s="1"/>
  <c r="C2192" i="4" s="1"/>
  <c r="C2197" i="4" s="1"/>
  <c r="C2207" i="4" s="1"/>
  <c r="C2235" i="4" s="1"/>
  <c r="C2240" i="4" s="1"/>
  <c r="C2250" i="4" s="1"/>
  <c r="C2278" i="4" s="1"/>
  <c r="C2283" i="4" s="1"/>
  <c r="C2293" i="4" s="1"/>
  <c r="C2321" i="4" s="1"/>
  <c r="D1982" i="4"/>
  <c r="E1982" i="4"/>
  <c r="E1992" i="4" s="1"/>
  <c r="E2020" i="4" s="1"/>
  <c r="E2025" i="4" s="1"/>
  <c r="E2035" i="4" s="1"/>
  <c r="E2063" i="4" s="1"/>
  <c r="E2068" i="4" s="1"/>
  <c r="E2078" i="4" s="1"/>
  <c r="E2106" i="4" s="1"/>
  <c r="E2111" i="4" s="1"/>
  <c r="E2121" i="4" s="1"/>
  <c r="E2149" i="4" s="1"/>
  <c r="E2154" i="4" s="1"/>
  <c r="E2164" i="4" s="1"/>
  <c r="E2192" i="4" s="1"/>
  <c r="E2197" i="4" s="1"/>
  <c r="E2207" i="4" s="1"/>
  <c r="E2235" i="4" s="1"/>
  <c r="E2240" i="4" s="1"/>
  <c r="E2250" i="4" s="1"/>
  <c r="E2278" i="4" s="1"/>
  <c r="F1982" i="4"/>
  <c r="F1992" i="4" s="1"/>
  <c r="F2020" i="4" s="1"/>
  <c r="F2025" i="4" s="1"/>
  <c r="F2035" i="4" s="1"/>
  <c r="F2063" i="4" s="1"/>
  <c r="F2068" i="4" s="1"/>
  <c r="F2078" i="4" s="1"/>
  <c r="F2106" i="4" s="1"/>
  <c r="F2111" i="4" s="1"/>
  <c r="F2121" i="4" s="1"/>
  <c r="F2149" i="4" s="1"/>
  <c r="F2154" i="4" s="1"/>
  <c r="F2164" i="4" s="1"/>
  <c r="F2192" i="4" s="1"/>
  <c r="F2197" i="4" s="1"/>
  <c r="F2207" i="4" s="1"/>
  <c r="F2235" i="4" s="1"/>
  <c r="F2240" i="4" s="1"/>
  <c r="F2250" i="4" s="1"/>
  <c r="F2278" i="4" s="1"/>
  <c r="B2020" i="4"/>
  <c r="B2025" i="4" s="1"/>
  <c r="G1976" i="4"/>
  <c r="O1976" i="4"/>
  <c r="G1126" i="6"/>
  <c r="K2322" i="4" l="1"/>
  <c r="C2326" i="4"/>
  <c r="G1982" i="4"/>
  <c r="G1992" i="4" s="1"/>
  <c r="G2020" i="4" s="1"/>
  <c r="D1992" i="4"/>
  <c r="D2020" i="4" s="1"/>
  <c r="D2025" i="4" s="1"/>
  <c r="D2035" i="4" s="1"/>
  <c r="D2063" i="4" s="1"/>
  <c r="D2068" i="4" s="1"/>
  <c r="D2078" i="4" s="1"/>
  <c r="D2106" i="4" s="1"/>
  <c r="D2111" i="4" s="1"/>
  <c r="D2121" i="4" s="1"/>
  <c r="D2149" i="4" s="1"/>
  <c r="D2154" i="4" s="1"/>
  <c r="D2164" i="4" s="1"/>
  <c r="D2192" i="4" s="1"/>
  <c r="D2197" i="4" s="1"/>
  <c r="D2207" i="4" s="1"/>
  <c r="D2235" i="4" s="1"/>
  <c r="D2240" i="4" s="1"/>
  <c r="D2250" i="4" s="1"/>
  <c r="D2278" i="4" s="1"/>
  <c r="D2283" i="4" s="1"/>
  <c r="D2293" i="4" s="1"/>
  <c r="D2321" i="4" s="1"/>
  <c r="B2035" i="4"/>
  <c r="B2063" i="4" s="1"/>
  <c r="B2068" i="4" s="1"/>
  <c r="O876" i="3"/>
  <c r="O1116" i="6"/>
  <c r="N1133" i="5"/>
  <c r="M1133" i="5"/>
  <c r="L1133" i="5"/>
  <c r="K1133" i="5"/>
  <c r="J1133" i="5"/>
  <c r="F1133" i="5"/>
  <c r="E1133" i="5"/>
  <c r="D1133" i="5"/>
  <c r="C1133" i="5"/>
  <c r="B1133" i="5"/>
  <c r="O1132" i="5"/>
  <c r="G1132" i="5"/>
  <c r="O1131" i="5"/>
  <c r="G1131" i="5"/>
  <c r="O1130" i="5"/>
  <c r="G1130" i="5"/>
  <c r="O1129" i="5"/>
  <c r="G1129" i="5"/>
  <c r="O1128" i="5"/>
  <c r="G1128" i="5"/>
  <c r="O1127" i="5"/>
  <c r="G1127" i="5"/>
  <c r="O1126" i="5"/>
  <c r="G1126" i="5"/>
  <c r="O1125" i="5"/>
  <c r="G1125" i="5"/>
  <c r="O1124" i="5"/>
  <c r="G1124" i="5"/>
  <c r="O1123" i="5"/>
  <c r="G1123" i="5"/>
  <c r="O1122" i="5"/>
  <c r="G1122" i="5"/>
  <c r="O1121" i="5"/>
  <c r="G1121" i="5"/>
  <c r="O1120" i="5"/>
  <c r="G1120" i="5"/>
  <c r="O1119" i="5"/>
  <c r="G1119" i="5"/>
  <c r="O1118" i="5"/>
  <c r="G1118" i="5"/>
  <c r="O1117" i="5"/>
  <c r="G1117" i="5"/>
  <c r="O1116" i="5"/>
  <c r="G1116" i="5"/>
  <c r="O1115" i="5"/>
  <c r="G1115" i="5"/>
  <c r="G1114" i="5"/>
  <c r="O1113" i="5"/>
  <c r="G1113" i="5"/>
  <c r="O1112" i="5"/>
  <c r="G1112" i="5"/>
  <c r="O1111" i="5"/>
  <c r="G1111" i="5"/>
  <c r="O1110" i="5"/>
  <c r="G1110" i="5"/>
  <c r="O1109" i="5"/>
  <c r="G1109" i="5"/>
  <c r="G1108" i="5"/>
  <c r="O1107" i="5"/>
  <c r="G1107" i="5"/>
  <c r="O1105" i="5"/>
  <c r="G1105" i="5"/>
  <c r="O1104" i="5"/>
  <c r="G1104" i="5"/>
  <c r="O1103" i="5"/>
  <c r="G1103" i="5"/>
  <c r="O1102" i="5"/>
  <c r="G1102" i="5"/>
  <c r="O1101" i="5"/>
  <c r="G1101" i="5"/>
  <c r="O1100" i="5"/>
  <c r="G1100" i="5"/>
  <c r="O1099" i="5"/>
  <c r="G1099" i="5"/>
  <c r="O1098" i="5"/>
  <c r="G1098" i="5"/>
  <c r="C2336" i="4" l="1"/>
  <c r="C2364" i="4" s="1"/>
  <c r="G2326" i="4"/>
  <c r="G2336" i="4" s="1"/>
  <c r="G2364" i="4" s="1"/>
  <c r="O2365" i="4" s="1"/>
  <c r="G2025" i="4"/>
  <c r="G2035" i="4" s="1"/>
  <c r="G2063" i="4" s="1"/>
  <c r="B2078" i="4"/>
  <c r="B2106" i="4" s="1"/>
  <c r="B2111" i="4" s="1"/>
  <c r="G2068" i="4"/>
  <c r="G2078" i="4" s="1"/>
  <c r="G2106" i="4" s="1"/>
  <c r="G1133" i="5"/>
  <c r="O1133" i="5"/>
  <c r="G2111" i="4" l="1"/>
  <c r="G2121" i="4" s="1"/>
  <c r="G2149" i="4" s="1"/>
  <c r="B2121" i="4"/>
  <c r="B2149" i="4" s="1"/>
  <c r="B2154" i="4" s="1"/>
  <c r="N901" i="3"/>
  <c r="M901" i="3"/>
  <c r="L901" i="3"/>
  <c r="K901" i="3"/>
  <c r="J901" i="3"/>
  <c r="F901" i="3"/>
  <c r="E901" i="3"/>
  <c r="D901" i="3"/>
  <c r="C901" i="3"/>
  <c r="B901" i="3"/>
  <c r="O900" i="3"/>
  <c r="G900" i="3"/>
  <c r="O899" i="3"/>
  <c r="G899" i="3"/>
  <c r="O898" i="3"/>
  <c r="G898" i="3"/>
  <c r="O897" i="3"/>
  <c r="G897" i="3"/>
  <c r="O896" i="3"/>
  <c r="G896" i="3"/>
  <c r="O895" i="3"/>
  <c r="G895" i="3"/>
  <c r="O894" i="3"/>
  <c r="G894" i="3"/>
  <c r="O893" i="3"/>
  <c r="G893" i="3"/>
  <c r="O892" i="3"/>
  <c r="G892" i="3"/>
  <c r="O891" i="3"/>
  <c r="G891" i="3"/>
  <c r="O890" i="3"/>
  <c r="G890" i="3"/>
  <c r="O889" i="3"/>
  <c r="G889" i="3"/>
  <c r="O888" i="3"/>
  <c r="G888" i="3"/>
  <c r="O887" i="3"/>
  <c r="G887" i="3"/>
  <c r="O886" i="3"/>
  <c r="G886" i="3"/>
  <c r="O885" i="3"/>
  <c r="G885" i="3"/>
  <c r="O884" i="3"/>
  <c r="G884" i="3"/>
  <c r="O883" i="3"/>
  <c r="G883" i="3"/>
  <c r="O882" i="3"/>
  <c r="G882" i="3"/>
  <c r="G881" i="3"/>
  <c r="O880" i="3"/>
  <c r="G880" i="3"/>
  <c r="O879" i="3"/>
  <c r="G879" i="3"/>
  <c r="O878" i="3"/>
  <c r="G878" i="3"/>
  <c r="O877" i="3"/>
  <c r="G877" i="3"/>
  <c r="G876" i="3"/>
  <c r="O875" i="3"/>
  <c r="G875" i="3"/>
  <c r="O873" i="3"/>
  <c r="G873" i="3"/>
  <c r="O872" i="3"/>
  <c r="G872" i="3"/>
  <c r="O871" i="3"/>
  <c r="G871" i="3"/>
  <c r="O870" i="3"/>
  <c r="G870" i="3"/>
  <c r="O869" i="3"/>
  <c r="G869" i="3"/>
  <c r="O868" i="3"/>
  <c r="G868" i="3"/>
  <c r="O867" i="3"/>
  <c r="G867" i="3"/>
  <c r="O866" i="3"/>
  <c r="G866" i="3"/>
  <c r="O865" i="3"/>
  <c r="G865" i="3"/>
  <c r="G905" i="7"/>
  <c r="G2154" i="4" l="1"/>
  <c r="G2164" i="4" s="1"/>
  <c r="G2192" i="4" s="1"/>
  <c r="B2164" i="4"/>
  <c r="B2192" i="4" s="1"/>
  <c r="B2197" i="4" s="1"/>
  <c r="O901" i="3"/>
  <c r="G901" i="3"/>
  <c r="O1056" i="5"/>
  <c r="O839" i="3"/>
  <c r="O899" i="7"/>
  <c r="O1027" i="5"/>
  <c r="O1107" i="6"/>
  <c r="O838" i="3"/>
  <c r="O837" i="3"/>
  <c r="O1048" i="5"/>
  <c r="O921" i="7"/>
  <c r="N987" i="2"/>
  <c r="M987" i="2"/>
  <c r="L987" i="2"/>
  <c r="K987" i="2"/>
  <c r="J987" i="2"/>
  <c r="F987" i="2"/>
  <c r="D987" i="2"/>
  <c r="C987" i="2"/>
  <c r="B987" i="2"/>
  <c r="O986" i="2"/>
  <c r="G986" i="2"/>
  <c r="O985" i="2"/>
  <c r="G985" i="2"/>
  <c r="O984" i="2"/>
  <c r="G984" i="2"/>
  <c r="O983" i="2"/>
  <c r="O982" i="2"/>
  <c r="G982" i="2"/>
  <c r="O981" i="2"/>
  <c r="G981" i="2"/>
  <c r="O980" i="2"/>
  <c r="G980" i="2"/>
  <c r="O979" i="2"/>
  <c r="G979" i="2"/>
  <c r="O978" i="2"/>
  <c r="G978" i="2"/>
  <c r="O977" i="2"/>
  <c r="G977" i="2"/>
  <c r="O976" i="2"/>
  <c r="G976" i="2"/>
  <c r="O975" i="2"/>
  <c r="G975" i="2"/>
  <c r="O974" i="2"/>
  <c r="G974" i="2"/>
  <c r="O973" i="2"/>
  <c r="G973" i="2"/>
  <c r="O972" i="2"/>
  <c r="G972" i="2"/>
  <c r="O971" i="2"/>
  <c r="G971" i="2"/>
  <c r="O970" i="2"/>
  <c r="G970" i="2"/>
  <c r="O969" i="2"/>
  <c r="G969" i="2"/>
  <c r="O968" i="2"/>
  <c r="G968" i="2"/>
  <c r="O967" i="2"/>
  <c r="G967" i="2"/>
  <c r="O966" i="2"/>
  <c r="G966" i="2"/>
  <c r="O965" i="2"/>
  <c r="G965" i="2"/>
  <c r="G964" i="2"/>
  <c r="O963" i="2"/>
  <c r="G963" i="2"/>
  <c r="G962" i="2"/>
  <c r="O961" i="2"/>
  <c r="G961" i="2"/>
  <c r="O959" i="2"/>
  <c r="G959" i="2"/>
  <c r="O958" i="2"/>
  <c r="G958" i="2"/>
  <c r="O957" i="2"/>
  <c r="G957" i="2"/>
  <c r="O956" i="2"/>
  <c r="G956" i="2"/>
  <c r="O955" i="2"/>
  <c r="G955" i="2"/>
  <c r="O954" i="2"/>
  <c r="G954" i="2"/>
  <c r="O953" i="2"/>
  <c r="G953" i="2"/>
  <c r="O952" i="2"/>
  <c r="G952" i="2"/>
  <c r="O951" i="2"/>
  <c r="G951" i="2"/>
  <c r="B2207" i="4" l="1"/>
  <c r="B2235" i="4" s="1"/>
  <c r="B2240" i="4" s="1"/>
  <c r="G2197" i="4"/>
  <c r="G2207" i="4" s="1"/>
  <c r="G2235" i="4" s="1"/>
  <c r="O987" i="2"/>
  <c r="G987" i="2"/>
  <c r="O1025" i="5"/>
  <c r="N1133" i="6"/>
  <c r="M1133" i="6"/>
  <c r="L1133" i="6"/>
  <c r="K1133" i="6"/>
  <c r="J1133" i="6"/>
  <c r="F1133" i="6"/>
  <c r="E1133" i="6"/>
  <c r="D1133" i="6"/>
  <c r="C1133" i="6"/>
  <c r="B1133" i="6"/>
  <c r="O1132" i="6"/>
  <c r="G1132" i="6"/>
  <c r="O1131" i="6"/>
  <c r="G1131" i="6"/>
  <c r="O1130" i="6"/>
  <c r="G1130" i="6"/>
  <c r="O1129" i="6"/>
  <c r="G1129" i="6"/>
  <c r="O1128" i="6"/>
  <c r="G1128" i="6"/>
  <c r="O1127" i="6"/>
  <c r="G1127" i="6"/>
  <c r="O1126" i="6"/>
  <c r="O1125" i="6"/>
  <c r="G1125" i="6"/>
  <c r="O1124" i="6"/>
  <c r="G1124" i="6"/>
  <c r="O1123" i="6"/>
  <c r="G1123" i="6"/>
  <c r="O1122" i="6"/>
  <c r="G1122" i="6"/>
  <c r="O1121" i="6"/>
  <c r="G1121" i="6"/>
  <c r="O1120" i="6"/>
  <c r="G1120" i="6"/>
  <c r="O1119" i="6"/>
  <c r="G1119" i="6"/>
  <c r="O1118" i="6"/>
  <c r="G1118" i="6"/>
  <c r="O1117" i="6"/>
  <c r="G1117" i="6"/>
  <c r="G1116" i="6"/>
  <c r="O1115" i="6"/>
  <c r="G1115" i="6"/>
  <c r="O1114" i="6"/>
  <c r="G1114" i="6"/>
  <c r="O1113" i="6"/>
  <c r="G1113" i="6"/>
  <c r="O1112" i="6"/>
  <c r="G1112" i="6"/>
  <c r="O1111" i="6"/>
  <c r="G1111" i="6"/>
  <c r="O1110" i="6"/>
  <c r="G1110" i="6"/>
  <c r="O1109" i="6"/>
  <c r="G1109" i="6"/>
  <c r="O1108" i="6"/>
  <c r="G1108" i="6"/>
  <c r="G1107" i="6"/>
  <c r="O1105" i="6"/>
  <c r="G1105" i="6"/>
  <c r="O1104" i="6"/>
  <c r="G1104" i="6"/>
  <c r="O1103" i="6"/>
  <c r="G1103" i="6"/>
  <c r="O1102" i="6"/>
  <c r="G1102" i="6"/>
  <c r="O1101" i="6"/>
  <c r="G1101" i="6"/>
  <c r="O1100" i="6"/>
  <c r="G1100" i="6"/>
  <c r="O1099" i="6"/>
  <c r="G1099" i="6"/>
  <c r="O1098" i="6"/>
  <c r="G1098" i="6"/>
  <c r="B2250" i="4" l="1"/>
  <c r="B2278" i="4" s="1"/>
  <c r="B2283" i="4" s="1"/>
  <c r="G2240" i="4"/>
  <c r="G2250" i="4" s="1"/>
  <c r="G2278" i="4" s="1"/>
  <c r="G1133" i="6"/>
  <c r="O1133" i="6"/>
  <c r="D1873" i="4"/>
  <c r="N1933" i="4"/>
  <c r="M1933" i="4"/>
  <c r="L1933" i="4"/>
  <c r="K1933" i="4"/>
  <c r="J1933" i="4"/>
  <c r="F1933" i="4"/>
  <c r="E1933" i="4"/>
  <c r="D1933" i="4"/>
  <c r="C1933" i="4"/>
  <c r="B1933" i="4"/>
  <c r="G1932" i="4"/>
  <c r="G1931" i="4"/>
  <c r="O1930" i="4"/>
  <c r="G1930" i="4"/>
  <c r="O1929" i="4"/>
  <c r="G1929" i="4"/>
  <c r="O1928" i="4"/>
  <c r="G1928" i="4"/>
  <c r="O1927" i="4"/>
  <c r="G1927" i="4"/>
  <c r="O1926" i="4"/>
  <c r="G1926" i="4"/>
  <c r="O1925" i="4"/>
  <c r="G1925" i="4"/>
  <c r="O1924" i="4"/>
  <c r="G1924" i="4"/>
  <c r="O1923" i="4"/>
  <c r="G1923" i="4"/>
  <c r="O1922" i="4"/>
  <c r="G1922" i="4"/>
  <c r="O1921" i="4"/>
  <c r="G1921" i="4"/>
  <c r="O1920" i="4"/>
  <c r="G1920" i="4"/>
  <c r="O1919" i="4"/>
  <c r="G1919" i="4"/>
  <c r="O1918" i="4"/>
  <c r="G1918" i="4"/>
  <c r="O1917" i="4"/>
  <c r="G1917" i="4"/>
  <c r="O1916" i="4"/>
  <c r="G1916" i="4"/>
  <c r="O1915" i="4"/>
  <c r="G1915" i="4"/>
  <c r="O1914" i="4"/>
  <c r="G1914" i="4"/>
  <c r="O1913" i="4"/>
  <c r="G1913" i="4"/>
  <c r="G1912" i="4"/>
  <c r="O1911" i="4"/>
  <c r="G1911" i="4"/>
  <c r="O1910" i="4"/>
  <c r="G1910" i="4"/>
  <c r="O1909" i="4"/>
  <c r="G1909" i="4"/>
  <c r="O1908" i="4"/>
  <c r="G1908" i="4"/>
  <c r="O1907" i="4"/>
  <c r="G1907" i="4"/>
  <c r="O1905" i="4"/>
  <c r="G1905" i="4"/>
  <c r="O1904" i="4"/>
  <c r="G1904" i="4"/>
  <c r="O1903" i="4"/>
  <c r="G1903" i="4"/>
  <c r="O1902" i="4"/>
  <c r="G1902" i="4"/>
  <c r="O1901" i="4"/>
  <c r="G1901" i="4"/>
  <c r="O1900" i="4"/>
  <c r="G1900" i="4"/>
  <c r="O1899" i="4"/>
  <c r="G1899" i="4"/>
  <c r="O1898" i="4"/>
  <c r="G1898" i="4"/>
  <c r="O1897" i="4"/>
  <c r="G1897" i="4"/>
  <c r="B2293" i="4" l="1"/>
  <c r="B2321" i="4" s="1"/>
  <c r="G2283" i="4"/>
  <c r="G2293" i="4" s="1"/>
  <c r="G2321" i="4" s="1"/>
  <c r="O2322" i="4" s="1"/>
  <c r="O1933" i="4"/>
  <c r="G1933" i="4"/>
  <c r="N1091" i="5"/>
  <c r="M1091" i="5"/>
  <c r="L1091" i="5"/>
  <c r="K1091" i="5"/>
  <c r="J1091" i="5"/>
  <c r="F1091" i="5"/>
  <c r="E1091" i="5"/>
  <c r="D1091" i="5"/>
  <c r="C1091" i="5"/>
  <c r="B1091" i="5"/>
  <c r="O1090" i="5"/>
  <c r="G1090" i="5"/>
  <c r="O1089" i="5"/>
  <c r="G1089" i="5"/>
  <c r="O1088" i="5"/>
  <c r="G1088" i="5"/>
  <c r="O1087" i="5"/>
  <c r="G1087" i="5"/>
  <c r="O1086" i="5"/>
  <c r="G1086" i="5"/>
  <c r="O1085" i="5"/>
  <c r="G1085" i="5"/>
  <c r="O1084" i="5"/>
  <c r="G1084" i="5"/>
  <c r="O1083" i="5"/>
  <c r="G1083" i="5"/>
  <c r="O1082" i="5"/>
  <c r="G1082" i="5"/>
  <c r="O1081" i="5"/>
  <c r="G1081" i="5"/>
  <c r="O1080" i="5"/>
  <c r="G1080" i="5"/>
  <c r="O1079" i="5"/>
  <c r="G1079" i="5"/>
  <c r="O1078" i="5"/>
  <c r="G1078" i="5"/>
  <c r="O1077" i="5"/>
  <c r="G1077" i="5"/>
  <c r="O1076" i="5"/>
  <c r="G1076" i="5"/>
  <c r="O1075" i="5"/>
  <c r="G1075" i="5"/>
  <c r="G1074" i="5"/>
  <c r="O1073" i="5"/>
  <c r="G1073" i="5"/>
  <c r="O1072" i="5"/>
  <c r="G1072" i="5"/>
  <c r="O1071" i="5"/>
  <c r="G1071" i="5"/>
  <c r="O1070" i="5"/>
  <c r="G1070" i="5"/>
  <c r="O1069" i="5"/>
  <c r="G1069" i="5"/>
  <c r="O1068" i="5"/>
  <c r="G1068" i="5"/>
  <c r="O1067" i="5"/>
  <c r="G1067" i="5"/>
  <c r="O1066" i="5"/>
  <c r="G1066" i="5"/>
  <c r="O1065" i="5"/>
  <c r="G1065" i="5"/>
  <c r="O1063" i="5"/>
  <c r="G1063" i="5"/>
  <c r="O1062" i="5"/>
  <c r="G1062" i="5"/>
  <c r="O1061" i="5"/>
  <c r="G1061" i="5"/>
  <c r="O1060" i="5"/>
  <c r="G1060" i="5"/>
  <c r="O1059" i="5"/>
  <c r="G1059" i="5"/>
  <c r="O1058" i="5"/>
  <c r="G1058" i="5"/>
  <c r="O1057" i="5"/>
  <c r="G1057" i="5"/>
  <c r="G1056" i="5"/>
  <c r="O1091" i="5" l="1"/>
  <c r="G1091" i="5"/>
  <c r="G826" i="3"/>
  <c r="O1075" i="6" l="1"/>
  <c r="O836" i="3"/>
  <c r="O923" i="2"/>
  <c r="O1868" i="4"/>
  <c r="O1023" i="5"/>
  <c r="G838" i="3"/>
  <c r="G940" i="2"/>
  <c r="O1866" i="4" l="1"/>
  <c r="O1835" i="4"/>
  <c r="O1864" i="4" l="1"/>
  <c r="O1840" i="4"/>
  <c r="O1839" i="4"/>
  <c r="O1838" i="4"/>
  <c r="O1837" i="4"/>
  <c r="O1836" i="4"/>
  <c r="O1834" i="4"/>
  <c r="G1865" i="4"/>
  <c r="O843" i="3"/>
  <c r="O842" i="3"/>
  <c r="O841" i="3"/>
  <c r="O840" i="3"/>
  <c r="O835" i="3"/>
  <c r="O834" i="3"/>
  <c r="G835" i="3"/>
  <c r="D1005" i="5"/>
  <c r="O988" i="5"/>
  <c r="O1072" i="6"/>
  <c r="O1069" i="6"/>
  <c r="O1832" i="4"/>
  <c r="N1890" i="4" l="1"/>
  <c r="M1890" i="4"/>
  <c r="L1890" i="4"/>
  <c r="K1890" i="4"/>
  <c r="J1890" i="4"/>
  <c r="F1890" i="4"/>
  <c r="E1890" i="4"/>
  <c r="C1890" i="4"/>
  <c r="B1890" i="4"/>
  <c r="G1889" i="4"/>
  <c r="G1888" i="4"/>
  <c r="O1887" i="4"/>
  <c r="G1887" i="4"/>
  <c r="O1886" i="4"/>
  <c r="G1886" i="4"/>
  <c r="O1885" i="4"/>
  <c r="G1885" i="4"/>
  <c r="O1884" i="4"/>
  <c r="G1884" i="4"/>
  <c r="O1883" i="4"/>
  <c r="G1883" i="4"/>
  <c r="O1882" i="4"/>
  <c r="D1890" i="4"/>
  <c r="O1881" i="4"/>
  <c r="G1881" i="4"/>
  <c r="O1880" i="4"/>
  <c r="G1880" i="4"/>
  <c r="O1879" i="4"/>
  <c r="G1879" i="4"/>
  <c r="O1878" i="4"/>
  <c r="G1878" i="4"/>
  <c r="O1877" i="4"/>
  <c r="G1877" i="4"/>
  <c r="O1876" i="4"/>
  <c r="G1876" i="4"/>
  <c r="O1875" i="4"/>
  <c r="G1875" i="4"/>
  <c r="O1874" i="4"/>
  <c r="G1874" i="4"/>
  <c r="O1873" i="4"/>
  <c r="G1873" i="4"/>
  <c r="O1872" i="4"/>
  <c r="G1872" i="4"/>
  <c r="O1871" i="4"/>
  <c r="G1871" i="4"/>
  <c r="O1870" i="4"/>
  <c r="G1870" i="4"/>
  <c r="O1869" i="4"/>
  <c r="G1869" i="4"/>
  <c r="G1868" i="4"/>
  <c r="O1867" i="4"/>
  <c r="G1867" i="4"/>
  <c r="G1866" i="4"/>
  <c r="O1865" i="4"/>
  <c r="G1864" i="4"/>
  <c r="O1862" i="4"/>
  <c r="G1862" i="4"/>
  <c r="O1861" i="4"/>
  <c r="G1861" i="4"/>
  <c r="O1860" i="4"/>
  <c r="G1860" i="4"/>
  <c r="O1859" i="4"/>
  <c r="G1859" i="4"/>
  <c r="O1858" i="4"/>
  <c r="G1858" i="4"/>
  <c r="O1857" i="4"/>
  <c r="G1857" i="4"/>
  <c r="O1856" i="4"/>
  <c r="G1856" i="4"/>
  <c r="O1855" i="4"/>
  <c r="G1855" i="4"/>
  <c r="O1854" i="4"/>
  <c r="G1854" i="4"/>
  <c r="G1039" i="5"/>
  <c r="G1040" i="5"/>
  <c r="G1041" i="5"/>
  <c r="G1042" i="5"/>
  <c r="G1043" i="5"/>
  <c r="G1044" i="5"/>
  <c r="G1045" i="5"/>
  <c r="G1046" i="5"/>
  <c r="N1049" i="5"/>
  <c r="M1049" i="5"/>
  <c r="L1049" i="5"/>
  <c r="K1049" i="5"/>
  <c r="J1049" i="5"/>
  <c r="F1049" i="5"/>
  <c r="E1049" i="5"/>
  <c r="D1049" i="5"/>
  <c r="C1049" i="5"/>
  <c r="B1049" i="5"/>
  <c r="G1048" i="5"/>
  <c r="O1047" i="5"/>
  <c r="G1047" i="5"/>
  <c r="O1046" i="5"/>
  <c r="O1045" i="5"/>
  <c r="O1044" i="5"/>
  <c r="O1043" i="5"/>
  <c r="O1042" i="5"/>
  <c r="O1041" i="5"/>
  <c r="O1040" i="5"/>
  <c r="O1039" i="5"/>
  <c r="O1038" i="5"/>
  <c r="G1038" i="5"/>
  <c r="O1037" i="5"/>
  <c r="G1037" i="5"/>
  <c r="O1036" i="5"/>
  <c r="G1036" i="5"/>
  <c r="O1035" i="5"/>
  <c r="G1035" i="5"/>
  <c r="O1034" i="5"/>
  <c r="G1034" i="5"/>
  <c r="O1033" i="5"/>
  <c r="G1033" i="5"/>
  <c r="O1032" i="5"/>
  <c r="G1032" i="5"/>
  <c r="O1031" i="5"/>
  <c r="G1031" i="5"/>
  <c r="O1030" i="5"/>
  <c r="G1030" i="5"/>
  <c r="O1029" i="5"/>
  <c r="G1029" i="5"/>
  <c r="O1028" i="5"/>
  <c r="G1028" i="5"/>
  <c r="G1027" i="5"/>
  <c r="O1026" i="5"/>
  <c r="G1026" i="5"/>
  <c r="G1025" i="5"/>
  <c r="O1024" i="5"/>
  <c r="G1024" i="5"/>
  <c r="G1023" i="5"/>
  <c r="O1021" i="5"/>
  <c r="G1021" i="5"/>
  <c r="O1020" i="5"/>
  <c r="G1020" i="5"/>
  <c r="O1019" i="5"/>
  <c r="G1019" i="5"/>
  <c r="O1018" i="5"/>
  <c r="G1018" i="5"/>
  <c r="O1017" i="5"/>
  <c r="G1017" i="5"/>
  <c r="O1016" i="5"/>
  <c r="G1016" i="5"/>
  <c r="O1015" i="5"/>
  <c r="G1015" i="5"/>
  <c r="O1014" i="5"/>
  <c r="G1014" i="5"/>
  <c r="O1049" i="5" l="1"/>
  <c r="O1890" i="4"/>
  <c r="G1890" i="4"/>
  <c r="G1882" i="4"/>
  <c r="G1049" i="5"/>
  <c r="G1073" i="6"/>
  <c r="O880" i="7"/>
  <c r="O922" i="7"/>
  <c r="N923" i="7"/>
  <c r="M923" i="7"/>
  <c r="L923" i="7"/>
  <c r="K923" i="7"/>
  <c r="J923" i="7"/>
  <c r="F923" i="7"/>
  <c r="E923" i="7"/>
  <c r="D923" i="7"/>
  <c r="C923" i="7"/>
  <c r="B923" i="7"/>
  <c r="G922" i="7"/>
  <c r="G921" i="7"/>
  <c r="O920" i="7"/>
  <c r="G920" i="7"/>
  <c r="O919" i="7"/>
  <c r="G919" i="7"/>
  <c r="O918" i="7"/>
  <c r="G918" i="7"/>
  <c r="O917" i="7"/>
  <c r="G917" i="7"/>
  <c r="O916" i="7"/>
  <c r="G916" i="7"/>
  <c r="O915" i="7"/>
  <c r="G915" i="7"/>
  <c r="O914" i="7"/>
  <c r="G914" i="7"/>
  <c r="O913" i="7"/>
  <c r="G913" i="7"/>
  <c r="G912" i="7"/>
  <c r="O911" i="7"/>
  <c r="G911" i="7"/>
  <c r="O910" i="7"/>
  <c r="G910" i="7"/>
  <c r="O909" i="7"/>
  <c r="G909" i="7"/>
  <c r="O908" i="7"/>
  <c r="G908" i="7"/>
  <c r="O907" i="7"/>
  <c r="G907" i="7"/>
  <c r="O906" i="7"/>
  <c r="G906" i="7"/>
  <c r="O905" i="7"/>
  <c r="O904" i="7"/>
  <c r="G904" i="7"/>
  <c r="O903" i="7"/>
  <c r="G903" i="7"/>
  <c r="O902" i="7"/>
  <c r="G902" i="7"/>
  <c r="O901" i="7"/>
  <c r="G901" i="7"/>
  <c r="O900" i="7"/>
  <c r="G900" i="7"/>
  <c r="G899" i="7"/>
  <c r="O898" i="7"/>
  <c r="G898" i="7"/>
  <c r="O897" i="7"/>
  <c r="G897" i="7"/>
  <c r="O895" i="7"/>
  <c r="G895" i="7"/>
  <c r="O894" i="7"/>
  <c r="G894" i="7"/>
  <c r="O893" i="7"/>
  <c r="G893" i="7"/>
  <c r="O892" i="7"/>
  <c r="G892" i="7"/>
  <c r="O891" i="7"/>
  <c r="G891" i="7"/>
  <c r="O890" i="7"/>
  <c r="G890" i="7"/>
  <c r="O889" i="7"/>
  <c r="G889" i="7"/>
  <c r="O888" i="7"/>
  <c r="G888" i="7"/>
  <c r="O923" i="7" l="1"/>
  <c r="G923" i="7"/>
  <c r="O864" i="7"/>
  <c r="O1067" i="6"/>
  <c r="O1829" i="4"/>
  <c r="O983" i="5"/>
  <c r="D1839" i="4"/>
  <c r="O1065" i="6"/>
  <c r="O1828" i="4"/>
  <c r="O799" i="3" l="1"/>
  <c r="N858" i="3" l="1"/>
  <c r="M858" i="3"/>
  <c r="L858" i="3"/>
  <c r="K858" i="3"/>
  <c r="J858" i="3"/>
  <c r="F858" i="3"/>
  <c r="E858" i="3"/>
  <c r="D858" i="3"/>
  <c r="C858" i="3"/>
  <c r="B858" i="3"/>
  <c r="O857" i="3"/>
  <c r="G857" i="3"/>
  <c r="O856" i="3"/>
  <c r="G856" i="3"/>
  <c r="O855" i="3"/>
  <c r="G855" i="3"/>
  <c r="O854" i="3"/>
  <c r="G854" i="3"/>
  <c r="O853" i="3"/>
  <c r="G853" i="3"/>
  <c r="O852" i="3"/>
  <c r="G852" i="3"/>
  <c r="O851" i="3"/>
  <c r="G851" i="3"/>
  <c r="O850" i="3"/>
  <c r="G850" i="3"/>
  <c r="O849" i="3"/>
  <c r="G849" i="3"/>
  <c r="O848" i="3"/>
  <c r="G848" i="3"/>
  <c r="O847" i="3"/>
  <c r="G847" i="3"/>
  <c r="O846" i="3"/>
  <c r="G846" i="3"/>
  <c r="O845" i="3"/>
  <c r="G845" i="3"/>
  <c r="O844" i="3"/>
  <c r="G844" i="3"/>
  <c r="G843" i="3"/>
  <c r="G842" i="3"/>
  <c r="G841" i="3"/>
  <c r="G840" i="3"/>
  <c r="G839" i="3"/>
  <c r="G837" i="3"/>
  <c r="G836" i="3"/>
  <c r="G834" i="3"/>
  <c r="O833" i="3"/>
  <c r="G833" i="3"/>
  <c r="O832" i="3"/>
  <c r="G832" i="3"/>
  <c r="O830" i="3"/>
  <c r="G830" i="3"/>
  <c r="O829" i="3"/>
  <c r="G829" i="3"/>
  <c r="O828" i="3"/>
  <c r="G828" i="3"/>
  <c r="O827" i="3"/>
  <c r="G827" i="3"/>
  <c r="O826" i="3"/>
  <c r="O825" i="3"/>
  <c r="G825" i="3"/>
  <c r="O824" i="3"/>
  <c r="G824" i="3"/>
  <c r="O823" i="3"/>
  <c r="G823" i="3"/>
  <c r="O822" i="3"/>
  <c r="G822" i="3"/>
  <c r="O1048" i="6"/>
  <c r="N1091" i="6"/>
  <c r="M1091" i="6"/>
  <c r="L1091" i="6"/>
  <c r="K1091" i="6"/>
  <c r="J1091" i="6"/>
  <c r="F1091" i="6"/>
  <c r="E1091" i="6"/>
  <c r="D1091" i="6"/>
  <c r="C1091" i="6"/>
  <c r="B1091" i="6"/>
  <c r="O1090" i="6"/>
  <c r="G1090" i="6"/>
  <c r="O1089" i="6"/>
  <c r="G1089" i="6"/>
  <c r="O1088" i="6"/>
  <c r="G1088" i="6"/>
  <c r="O1087" i="6"/>
  <c r="G1087" i="6"/>
  <c r="O1086" i="6"/>
  <c r="G1086" i="6"/>
  <c r="O1085" i="6"/>
  <c r="G1085" i="6"/>
  <c r="O1084" i="6"/>
  <c r="G1084" i="6"/>
  <c r="O1083" i="6"/>
  <c r="G1083" i="6"/>
  <c r="O1082" i="6"/>
  <c r="G1082" i="6"/>
  <c r="O1081" i="6"/>
  <c r="G1081" i="6"/>
  <c r="O1080" i="6"/>
  <c r="G1080" i="6"/>
  <c r="O1079" i="6"/>
  <c r="G1079" i="6"/>
  <c r="O1078" i="6"/>
  <c r="G1078" i="6"/>
  <c r="O1077" i="6"/>
  <c r="G1077" i="6"/>
  <c r="O1076" i="6"/>
  <c r="G1076" i="6"/>
  <c r="G1075" i="6"/>
  <c r="O1074" i="6"/>
  <c r="G1074" i="6"/>
  <c r="O1073" i="6"/>
  <c r="G1072" i="6"/>
  <c r="O1071" i="6"/>
  <c r="G1071" i="6"/>
  <c r="O1070" i="6"/>
  <c r="G1070" i="6"/>
  <c r="G1069" i="6"/>
  <c r="O1068" i="6"/>
  <c r="G1068" i="6"/>
  <c r="G1067" i="6"/>
  <c r="O1066" i="6"/>
  <c r="G1066" i="6"/>
  <c r="G1065" i="6"/>
  <c r="O1063" i="6"/>
  <c r="G1063" i="6"/>
  <c r="O1062" i="6"/>
  <c r="G1062" i="6"/>
  <c r="O1061" i="6"/>
  <c r="G1061" i="6"/>
  <c r="O1060" i="6"/>
  <c r="G1060" i="6"/>
  <c r="O1059" i="6"/>
  <c r="G1059" i="6"/>
  <c r="O1058" i="6"/>
  <c r="G1058" i="6"/>
  <c r="O1057" i="6"/>
  <c r="G1057" i="6"/>
  <c r="O1056" i="6"/>
  <c r="G1056" i="6"/>
  <c r="G1091" i="6" l="1"/>
  <c r="G858" i="3"/>
  <c r="O858" i="3"/>
  <c r="O1091" i="6"/>
  <c r="G767" i="3"/>
  <c r="G803" i="3"/>
  <c r="G804" i="3"/>
  <c r="G805" i="3"/>
  <c r="G806" i="3"/>
  <c r="G807" i="3"/>
  <c r="G808" i="3"/>
  <c r="G809" i="3"/>
  <c r="G810" i="3"/>
  <c r="G811" i="3"/>
  <c r="G812" i="3"/>
  <c r="G813" i="3"/>
  <c r="O964" i="5"/>
  <c r="O963" i="5"/>
  <c r="O962" i="5"/>
  <c r="N1007" i="5"/>
  <c r="M1007" i="5"/>
  <c r="L1007" i="5"/>
  <c r="K1007" i="5"/>
  <c r="J1007" i="5"/>
  <c r="F1007" i="5"/>
  <c r="E1007" i="5"/>
  <c r="D1007" i="5"/>
  <c r="C1007" i="5"/>
  <c r="B1007" i="5"/>
  <c r="O1006" i="5"/>
  <c r="G1006" i="5"/>
  <c r="O1005" i="5"/>
  <c r="G1005" i="5"/>
  <c r="O1004" i="5"/>
  <c r="G1004" i="5"/>
  <c r="O1003" i="5"/>
  <c r="G1003" i="5"/>
  <c r="O1002" i="5"/>
  <c r="G1002" i="5"/>
  <c r="O1001" i="5"/>
  <c r="G1001" i="5"/>
  <c r="O1000" i="5"/>
  <c r="G1000" i="5"/>
  <c r="O999" i="5"/>
  <c r="G999" i="5"/>
  <c r="O998" i="5"/>
  <c r="O997" i="5"/>
  <c r="G997" i="5"/>
  <c r="O996" i="5"/>
  <c r="G996" i="5"/>
  <c r="O995" i="5"/>
  <c r="G995" i="5"/>
  <c r="O994" i="5"/>
  <c r="G994" i="5"/>
  <c r="O993" i="5"/>
  <c r="G993" i="5"/>
  <c r="O992" i="5"/>
  <c r="G992" i="5"/>
  <c r="O991" i="5"/>
  <c r="G991" i="5"/>
  <c r="O990" i="5"/>
  <c r="G990" i="5"/>
  <c r="O989" i="5"/>
  <c r="G989" i="5"/>
  <c r="G988" i="5"/>
  <c r="O987" i="5"/>
  <c r="G987" i="5"/>
  <c r="O986" i="5"/>
  <c r="G986" i="5"/>
  <c r="O985" i="5"/>
  <c r="G985" i="5"/>
  <c r="O984" i="5"/>
  <c r="G984" i="5"/>
  <c r="G983" i="5"/>
  <c r="O982" i="5"/>
  <c r="G982" i="5"/>
  <c r="O981" i="5"/>
  <c r="G981" i="5"/>
  <c r="O979" i="5"/>
  <c r="G979" i="5"/>
  <c r="O978" i="5"/>
  <c r="G978" i="5"/>
  <c r="O977" i="5"/>
  <c r="G977" i="5"/>
  <c r="O976" i="5"/>
  <c r="G976" i="5"/>
  <c r="O975" i="5"/>
  <c r="G975" i="5"/>
  <c r="O974" i="5"/>
  <c r="G974" i="5"/>
  <c r="O973" i="5"/>
  <c r="G973" i="5"/>
  <c r="O972" i="5"/>
  <c r="G972" i="5"/>
  <c r="O1007" i="5" l="1"/>
  <c r="G1007" i="5"/>
  <c r="G1821" i="4"/>
  <c r="O1821" i="4" l="1"/>
  <c r="O879" i="7" l="1"/>
  <c r="O1047" i="6"/>
  <c r="O961" i="5"/>
  <c r="O960" i="5"/>
  <c r="O959" i="5"/>
  <c r="O1801" i="4"/>
  <c r="O1802" i="4"/>
  <c r="O1803" i="4"/>
  <c r="N1847" i="4"/>
  <c r="M1847" i="4"/>
  <c r="L1847" i="4"/>
  <c r="K1847" i="4"/>
  <c r="J1847" i="4"/>
  <c r="F1847" i="4"/>
  <c r="E1847" i="4"/>
  <c r="D1847" i="4"/>
  <c r="C1847" i="4"/>
  <c r="B1847" i="4"/>
  <c r="G1846" i="4"/>
  <c r="G1845" i="4"/>
  <c r="O1844" i="4"/>
  <c r="G1844" i="4"/>
  <c r="O1843" i="4"/>
  <c r="G1843" i="4"/>
  <c r="O1842" i="4"/>
  <c r="G1842" i="4"/>
  <c r="O1841" i="4"/>
  <c r="G1841" i="4"/>
  <c r="G1840" i="4"/>
  <c r="G1839" i="4"/>
  <c r="G1838" i="4"/>
  <c r="G1837" i="4"/>
  <c r="G1836" i="4"/>
  <c r="G1835" i="4"/>
  <c r="G1834" i="4"/>
  <c r="O1833" i="4"/>
  <c r="G1833" i="4"/>
  <c r="G1832" i="4"/>
  <c r="O1831" i="4"/>
  <c r="G1831" i="4"/>
  <c r="O1830" i="4"/>
  <c r="G1830" i="4"/>
  <c r="G1829" i="4"/>
  <c r="G1828" i="4"/>
  <c r="O1827" i="4"/>
  <c r="G1827" i="4"/>
  <c r="O1826" i="4"/>
  <c r="G1826" i="4"/>
  <c r="O1825" i="4"/>
  <c r="G1825" i="4"/>
  <c r="O1824" i="4"/>
  <c r="G1824" i="4"/>
  <c r="O1823" i="4"/>
  <c r="G1823" i="4"/>
  <c r="O1822" i="4"/>
  <c r="G1822" i="4"/>
  <c r="O1819" i="4"/>
  <c r="G1819" i="4"/>
  <c r="O1818" i="4"/>
  <c r="G1818" i="4"/>
  <c r="O1817" i="4"/>
  <c r="G1817" i="4"/>
  <c r="O1816" i="4"/>
  <c r="G1816" i="4"/>
  <c r="O1815" i="4"/>
  <c r="G1815" i="4"/>
  <c r="O1814" i="4"/>
  <c r="G1814" i="4"/>
  <c r="O1813" i="4"/>
  <c r="G1813" i="4"/>
  <c r="O1812" i="4"/>
  <c r="G1812" i="4"/>
  <c r="O1811" i="4"/>
  <c r="G1811" i="4"/>
  <c r="O1847" i="4" l="1"/>
  <c r="G1847" i="4"/>
  <c r="O1768" i="4"/>
  <c r="O846" i="7"/>
  <c r="O1014" i="6"/>
  <c r="G863" i="7" l="1"/>
  <c r="O1024" i="6" l="1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23" i="6"/>
  <c r="N1049" i="6"/>
  <c r="M1049" i="6"/>
  <c r="L1049" i="6"/>
  <c r="K1049" i="6"/>
  <c r="J1049" i="6"/>
  <c r="F1049" i="6"/>
  <c r="E1049" i="6"/>
  <c r="D1049" i="6"/>
  <c r="C1049" i="6"/>
  <c r="B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O1021" i="6"/>
  <c r="G1021" i="6"/>
  <c r="O1020" i="6"/>
  <c r="G1020" i="6"/>
  <c r="O1019" i="6"/>
  <c r="G1019" i="6"/>
  <c r="O1018" i="6"/>
  <c r="G1018" i="6"/>
  <c r="O1017" i="6"/>
  <c r="G1017" i="6"/>
  <c r="O1016" i="6"/>
  <c r="G1016" i="6"/>
  <c r="O1015" i="6"/>
  <c r="G1015" i="6"/>
  <c r="G1014" i="6"/>
  <c r="O1049" i="6" l="1"/>
  <c r="G1049" i="6"/>
  <c r="O997" i="6"/>
  <c r="G1793" i="4" l="1"/>
  <c r="G949" i="5"/>
  <c r="G834" i="7"/>
  <c r="G997" i="6"/>
  <c r="O836" i="7" l="1"/>
  <c r="O837" i="7"/>
  <c r="O838" i="7"/>
  <c r="O847" i="7"/>
  <c r="N881" i="7"/>
  <c r="M881" i="7"/>
  <c r="L881" i="7"/>
  <c r="K881" i="7"/>
  <c r="J881" i="7"/>
  <c r="F881" i="7"/>
  <c r="E881" i="7"/>
  <c r="D881" i="7"/>
  <c r="C881" i="7"/>
  <c r="B881" i="7"/>
  <c r="G880" i="7"/>
  <c r="G879" i="7"/>
  <c r="O878" i="7"/>
  <c r="G878" i="7"/>
  <c r="O877" i="7"/>
  <c r="G877" i="7"/>
  <c r="O876" i="7"/>
  <c r="G876" i="7"/>
  <c r="O875" i="7"/>
  <c r="G875" i="7"/>
  <c r="O874" i="7"/>
  <c r="G874" i="7"/>
  <c r="O873" i="7"/>
  <c r="G873" i="7"/>
  <c r="O872" i="7"/>
  <c r="G872" i="7"/>
  <c r="O871" i="7"/>
  <c r="G871" i="7"/>
  <c r="O870" i="7"/>
  <c r="G870" i="7"/>
  <c r="O869" i="7"/>
  <c r="G869" i="7"/>
  <c r="O868" i="7"/>
  <c r="G868" i="7"/>
  <c r="O867" i="7"/>
  <c r="G867" i="7"/>
  <c r="O866" i="7"/>
  <c r="G866" i="7"/>
  <c r="O865" i="7"/>
  <c r="G865" i="7"/>
  <c r="G864" i="7"/>
  <c r="O863" i="7"/>
  <c r="O862" i="7"/>
  <c r="G862" i="7"/>
  <c r="O861" i="7"/>
  <c r="G861" i="7"/>
  <c r="O860" i="7"/>
  <c r="G860" i="7"/>
  <c r="O859" i="7"/>
  <c r="G859" i="7"/>
  <c r="O858" i="7"/>
  <c r="G858" i="7"/>
  <c r="O857" i="7"/>
  <c r="G857" i="7"/>
  <c r="O856" i="7"/>
  <c r="G856" i="7"/>
  <c r="O855" i="7"/>
  <c r="G855" i="7"/>
  <c r="O853" i="7"/>
  <c r="G853" i="7"/>
  <c r="O852" i="7"/>
  <c r="G852" i="7"/>
  <c r="O851" i="7"/>
  <c r="G851" i="7"/>
  <c r="O850" i="7"/>
  <c r="G850" i="7"/>
  <c r="O849" i="7"/>
  <c r="G849" i="7"/>
  <c r="O848" i="7"/>
  <c r="G848" i="7"/>
  <c r="G847" i="7"/>
  <c r="G846" i="7"/>
  <c r="G881" i="7" l="1"/>
  <c r="O881" i="7"/>
  <c r="G830" i="7"/>
  <c r="O1781" i="4" l="1"/>
  <c r="O1782" i="4"/>
  <c r="O1783" i="4"/>
  <c r="N1804" i="4" l="1"/>
  <c r="M1804" i="4"/>
  <c r="L1804" i="4"/>
  <c r="K1804" i="4"/>
  <c r="J1804" i="4"/>
  <c r="F1804" i="4"/>
  <c r="E1804" i="4"/>
  <c r="D1804" i="4"/>
  <c r="C1804" i="4"/>
  <c r="B1804" i="4"/>
  <c r="G1803" i="4"/>
  <c r="G1802" i="4"/>
  <c r="G1801" i="4"/>
  <c r="O1800" i="4"/>
  <c r="G1800" i="4"/>
  <c r="O1799" i="4"/>
  <c r="G1799" i="4"/>
  <c r="O1798" i="4"/>
  <c r="G1798" i="4"/>
  <c r="O1797" i="4"/>
  <c r="G1797" i="4"/>
  <c r="O1796" i="4"/>
  <c r="G1796" i="4"/>
  <c r="O1795" i="4"/>
  <c r="G1795" i="4"/>
  <c r="O1794" i="4"/>
  <c r="G1794" i="4"/>
  <c r="O1793" i="4"/>
  <c r="O1792" i="4"/>
  <c r="G1792" i="4"/>
  <c r="O1791" i="4"/>
  <c r="G1791" i="4"/>
  <c r="O1790" i="4"/>
  <c r="G1790" i="4"/>
  <c r="O1789" i="4"/>
  <c r="G1789" i="4"/>
  <c r="O1788" i="4"/>
  <c r="G1788" i="4"/>
  <c r="O1787" i="4"/>
  <c r="G1787" i="4"/>
  <c r="O1786" i="4"/>
  <c r="G1786" i="4"/>
  <c r="O1785" i="4"/>
  <c r="G1785" i="4"/>
  <c r="O1784" i="4"/>
  <c r="G1784" i="4"/>
  <c r="G1783" i="4"/>
  <c r="G1782" i="4"/>
  <c r="G1781" i="4"/>
  <c r="O1780" i="4"/>
  <c r="G1780" i="4"/>
  <c r="O1779" i="4"/>
  <c r="G1779" i="4"/>
  <c r="O1778" i="4"/>
  <c r="G1778" i="4"/>
  <c r="O1776" i="4"/>
  <c r="G1776" i="4"/>
  <c r="O1775" i="4"/>
  <c r="G1775" i="4"/>
  <c r="O1774" i="4"/>
  <c r="G1774" i="4"/>
  <c r="O1773" i="4"/>
  <c r="G1773" i="4"/>
  <c r="O1772" i="4"/>
  <c r="G1772" i="4"/>
  <c r="O1771" i="4"/>
  <c r="G1771" i="4"/>
  <c r="O1770" i="4"/>
  <c r="G1770" i="4"/>
  <c r="O1769" i="4"/>
  <c r="G1769" i="4"/>
  <c r="G1768" i="4"/>
  <c r="G1804" i="4" l="1"/>
  <c r="O1804" i="4"/>
  <c r="O835" i="7"/>
  <c r="O1757" i="4"/>
  <c r="O964" i="6" l="1"/>
  <c r="N1007" i="6"/>
  <c r="M1007" i="6"/>
  <c r="L1007" i="6"/>
  <c r="K1007" i="6"/>
  <c r="J1007" i="6"/>
  <c r="F1007" i="6"/>
  <c r="E1007" i="6"/>
  <c r="D1007" i="6"/>
  <c r="C1007" i="6"/>
  <c r="B1007" i="6"/>
  <c r="G1006" i="6"/>
  <c r="G1005" i="6"/>
  <c r="G1004" i="6"/>
  <c r="O1003" i="6"/>
  <c r="G1003" i="6"/>
  <c r="O1002" i="6"/>
  <c r="G1002" i="6"/>
  <c r="O1001" i="6"/>
  <c r="G1001" i="6"/>
  <c r="O1000" i="6"/>
  <c r="G1000" i="6"/>
  <c r="O999" i="6"/>
  <c r="G999" i="6"/>
  <c r="O998" i="6"/>
  <c r="G998" i="6"/>
  <c r="O996" i="6"/>
  <c r="G996" i="6"/>
  <c r="O995" i="6"/>
  <c r="G995" i="6"/>
  <c r="O994" i="6"/>
  <c r="G994" i="6"/>
  <c r="O993" i="6"/>
  <c r="G993" i="6"/>
  <c r="O992" i="6"/>
  <c r="G992" i="6"/>
  <c r="O991" i="6"/>
  <c r="G991" i="6"/>
  <c r="O990" i="6"/>
  <c r="G990" i="6"/>
  <c r="O989" i="6"/>
  <c r="G989" i="6"/>
  <c r="O988" i="6"/>
  <c r="G988" i="6"/>
  <c r="O987" i="6"/>
  <c r="G987" i="6"/>
  <c r="O986" i="6"/>
  <c r="G986" i="6"/>
  <c r="O985" i="6"/>
  <c r="G985" i="6"/>
  <c r="O984" i="6"/>
  <c r="G984" i="6"/>
  <c r="O983" i="6"/>
  <c r="G983" i="6"/>
  <c r="O982" i="6"/>
  <c r="G982" i="6"/>
  <c r="O981" i="6"/>
  <c r="G981" i="6"/>
  <c r="O979" i="6"/>
  <c r="G979" i="6"/>
  <c r="O978" i="6"/>
  <c r="G978" i="6"/>
  <c r="O977" i="6"/>
  <c r="G977" i="6"/>
  <c r="O976" i="6"/>
  <c r="G976" i="6"/>
  <c r="O975" i="6"/>
  <c r="G975" i="6"/>
  <c r="O974" i="6"/>
  <c r="G974" i="6"/>
  <c r="O973" i="6"/>
  <c r="G973" i="6"/>
  <c r="O972" i="6"/>
  <c r="G972" i="6"/>
  <c r="G1007" i="6" l="1"/>
  <c r="O1007" i="6"/>
  <c r="N965" i="5"/>
  <c r="M965" i="5"/>
  <c r="L965" i="5"/>
  <c r="K965" i="5"/>
  <c r="J965" i="5"/>
  <c r="F965" i="5"/>
  <c r="E965" i="5"/>
  <c r="D965" i="5"/>
  <c r="C965" i="5"/>
  <c r="B965" i="5"/>
  <c r="G964" i="5"/>
  <c r="G963" i="5"/>
  <c r="G962" i="5"/>
  <c r="G961" i="5"/>
  <c r="G960" i="5"/>
  <c r="G959" i="5"/>
  <c r="O958" i="5"/>
  <c r="G958" i="5"/>
  <c r="O957" i="5"/>
  <c r="G957" i="5"/>
  <c r="O956" i="5"/>
  <c r="O955" i="5"/>
  <c r="G955" i="5"/>
  <c r="O954" i="5"/>
  <c r="G954" i="5"/>
  <c r="O953" i="5"/>
  <c r="G953" i="5"/>
  <c r="O952" i="5"/>
  <c r="G952" i="5"/>
  <c r="O951" i="5"/>
  <c r="G951" i="5"/>
  <c r="O950" i="5"/>
  <c r="G950" i="5"/>
  <c r="O949" i="5"/>
  <c r="O948" i="5"/>
  <c r="G948" i="5"/>
  <c r="O947" i="5"/>
  <c r="G947" i="5"/>
  <c r="O946" i="5"/>
  <c r="G946" i="5"/>
  <c r="O945" i="5"/>
  <c r="G945" i="5"/>
  <c r="O944" i="5"/>
  <c r="G944" i="5"/>
  <c r="O943" i="5"/>
  <c r="G943" i="5"/>
  <c r="O942" i="5"/>
  <c r="G942" i="5"/>
  <c r="O941" i="5"/>
  <c r="G941" i="5"/>
  <c r="O940" i="5"/>
  <c r="G940" i="5"/>
  <c r="O939" i="5"/>
  <c r="G939" i="5"/>
  <c r="O937" i="5"/>
  <c r="G937" i="5"/>
  <c r="O936" i="5"/>
  <c r="G936" i="5"/>
  <c r="O935" i="5"/>
  <c r="G935" i="5"/>
  <c r="O934" i="5"/>
  <c r="G934" i="5"/>
  <c r="O933" i="5"/>
  <c r="G933" i="5"/>
  <c r="O932" i="5"/>
  <c r="G932" i="5"/>
  <c r="O931" i="5"/>
  <c r="G931" i="5"/>
  <c r="O930" i="5"/>
  <c r="G930" i="5"/>
  <c r="G965" i="5" l="1"/>
  <c r="O965" i="5"/>
  <c r="G1730" i="4"/>
  <c r="O903" i="5" l="1"/>
  <c r="O904" i="5" l="1"/>
  <c r="O1739" i="4"/>
  <c r="O1713" i="4" l="1"/>
  <c r="O1714" i="4"/>
  <c r="O1715" i="4"/>
  <c r="O1760" i="4"/>
  <c r="N1761" i="4"/>
  <c r="M1761" i="4"/>
  <c r="L1761" i="4"/>
  <c r="K1761" i="4"/>
  <c r="J1761" i="4"/>
  <c r="F1761" i="4"/>
  <c r="E1761" i="4"/>
  <c r="D1761" i="4"/>
  <c r="C1761" i="4"/>
  <c r="B1761" i="4"/>
  <c r="G1760" i="4"/>
  <c r="O1759" i="4"/>
  <c r="G1759" i="4"/>
  <c r="O1758" i="4"/>
  <c r="G1758" i="4"/>
  <c r="G1757" i="4"/>
  <c r="O1756" i="4"/>
  <c r="G1756" i="4"/>
  <c r="O1755" i="4"/>
  <c r="G1755" i="4"/>
  <c r="O1754" i="4"/>
  <c r="G1754" i="4"/>
  <c r="O1753" i="4"/>
  <c r="G1753" i="4"/>
  <c r="O1752" i="4"/>
  <c r="G1752" i="4"/>
  <c r="O1751" i="4"/>
  <c r="G1751" i="4"/>
  <c r="O1750" i="4"/>
  <c r="G1750" i="4"/>
  <c r="O1749" i="4"/>
  <c r="G1749" i="4"/>
  <c r="O1748" i="4"/>
  <c r="G1748" i="4"/>
  <c r="O1747" i="4"/>
  <c r="G1747" i="4"/>
  <c r="O1746" i="4"/>
  <c r="G1746" i="4"/>
  <c r="O1745" i="4"/>
  <c r="G1745" i="4"/>
  <c r="O1744" i="4"/>
  <c r="G1744" i="4"/>
  <c r="O1743" i="4"/>
  <c r="G1743" i="4"/>
  <c r="O1742" i="4"/>
  <c r="G1742" i="4"/>
  <c r="O1741" i="4"/>
  <c r="G1741" i="4"/>
  <c r="O1740" i="4"/>
  <c r="G1740" i="4"/>
  <c r="G1739" i="4"/>
  <c r="G1738" i="4"/>
  <c r="O1737" i="4"/>
  <c r="G1737" i="4"/>
  <c r="O1736" i="4"/>
  <c r="G1736" i="4"/>
  <c r="O1735" i="4"/>
  <c r="G1735" i="4"/>
  <c r="O1733" i="4"/>
  <c r="G1733" i="4"/>
  <c r="O1732" i="4"/>
  <c r="G1732" i="4"/>
  <c r="O1731" i="4"/>
  <c r="G1731" i="4"/>
  <c r="O1730" i="4"/>
  <c r="O1729" i="4"/>
  <c r="G1729" i="4"/>
  <c r="O1728" i="4"/>
  <c r="G1728" i="4"/>
  <c r="O1727" i="4"/>
  <c r="G1727" i="4"/>
  <c r="O1726" i="4"/>
  <c r="G1726" i="4"/>
  <c r="G1725" i="4"/>
  <c r="G1761" i="4" l="1"/>
  <c r="O1761" i="4"/>
  <c r="O791" i="7"/>
  <c r="O792" i="7"/>
  <c r="N839" i="7"/>
  <c r="M839" i="7"/>
  <c r="L839" i="7"/>
  <c r="K839" i="7"/>
  <c r="J839" i="7"/>
  <c r="F839" i="7"/>
  <c r="E839" i="7"/>
  <c r="D839" i="7"/>
  <c r="C839" i="7"/>
  <c r="B839" i="7"/>
  <c r="G838" i="7"/>
  <c r="G837" i="7"/>
  <c r="G836" i="7"/>
  <c r="G835" i="7"/>
  <c r="O834" i="7"/>
  <c r="O833" i="7"/>
  <c r="G833" i="7"/>
  <c r="O832" i="7"/>
  <c r="G832" i="7"/>
  <c r="O831" i="7"/>
  <c r="G831" i="7"/>
  <c r="O830" i="7"/>
  <c r="O829" i="7"/>
  <c r="G829" i="7"/>
  <c r="O828" i="7"/>
  <c r="G828" i="7"/>
  <c r="O827" i="7"/>
  <c r="G827" i="7"/>
  <c r="O826" i="7"/>
  <c r="G826" i="7"/>
  <c r="O825" i="7"/>
  <c r="G825" i="7"/>
  <c r="O824" i="7"/>
  <c r="G824" i="7"/>
  <c r="O823" i="7"/>
  <c r="G823" i="7"/>
  <c r="O822" i="7"/>
  <c r="G822" i="7"/>
  <c r="O821" i="7"/>
  <c r="G821" i="7"/>
  <c r="O820" i="7"/>
  <c r="G820" i="7"/>
  <c r="O819" i="7"/>
  <c r="G819" i="7"/>
  <c r="O818" i="7"/>
  <c r="G818" i="7"/>
  <c r="O817" i="7"/>
  <c r="G817" i="7"/>
  <c r="O816" i="7"/>
  <c r="G816" i="7"/>
  <c r="O815" i="7"/>
  <c r="G815" i="7"/>
  <c r="O814" i="7"/>
  <c r="G814" i="7"/>
  <c r="O813" i="7"/>
  <c r="G813" i="7"/>
  <c r="O811" i="7"/>
  <c r="G811" i="7"/>
  <c r="O810" i="7"/>
  <c r="G810" i="7"/>
  <c r="O809" i="7"/>
  <c r="G809" i="7"/>
  <c r="O808" i="7"/>
  <c r="G808" i="7"/>
  <c r="O807" i="7"/>
  <c r="G807" i="7"/>
  <c r="O806" i="7"/>
  <c r="G806" i="7"/>
  <c r="G805" i="7"/>
  <c r="O804" i="7"/>
  <c r="G804" i="7"/>
  <c r="O839" i="7" l="1"/>
  <c r="G839" i="7"/>
  <c r="O916" i="6"/>
  <c r="O917" i="6"/>
  <c r="O918" i="6"/>
  <c r="O919" i="6"/>
  <c r="N965" i="6"/>
  <c r="M965" i="6"/>
  <c r="L965" i="6"/>
  <c r="K965" i="6"/>
  <c r="J965" i="6"/>
  <c r="F965" i="6"/>
  <c r="E965" i="6"/>
  <c r="D965" i="6"/>
  <c r="C965" i="6"/>
  <c r="B965" i="6"/>
  <c r="G964" i="6"/>
  <c r="O963" i="6"/>
  <c r="G963" i="6"/>
  <c r="O962" i="6"/>
  <c r="G962" i="6"/>
  <c r="O961" i="6"/>
  <c r="G961" i="6"/>
  <c r="O960" i="6"/>
  <c r="G960" i="6"/>
  <c r="O959" i="6"/>
  <c r="G959" i="6"/>
  <c r="O958" i="6"/>
  <c r="G958" i="6"/>
  <c r="O957" i="6"/>
  <c r="G957" i="6"/>
  <c r="O956" i="6"/>
  <c r="G956" i="6"/>
  <c r="O955" i="6"/>
  <c r="G955" i="6"/>
  <c r="O954" i="6"/>
  <c r="G954" i="6"/>
  <c r="O953" i="6"/>
  <c r="G953" i="6"/>
  <c r="O952" i="6"/>
  <c r="G952" i="6"/>
  <c r="O951" i="6"/>
  <c r="G951" i="6"/>
  <c r="O950" i="6"/>
  <c r="G950" i="6"/>
  <c r="O949" i="6"/>
  <c r="G949" i="6"/>
  <c r="O948" i="6"/>
  <c r="G948" i="6"/>
  <c r="O947" i="6"/>
  <c r="G947" i="6"/>
  <c r="O946" i="6"/>
  <c r="G946" i="6"/>
  <c r="O945" i="6"/>
  <c r="G945" i="6"/>
  <c r="O944" i="6"/>
  <c r="G944" i="6"/>
  <c r="O943" i="6"/>
  <c r="G943" i="6"/>
  <c r="O942" i="6"/>
  <c r="G942" i="6"/>
  <c r="O941" i="6"/>
  <c r="G941" i="6"/>
  <c r="O940" i="6"/>
  <c r="G940" i="6"/>
  <c r="O939" i="6"/>
  <c r="G939" i="6"/>
  <c r="O937" i="6"/>
  <c r="G937" i="6"/>
  <c r="O936" i="6"/>
  <c r="G936" i="6"/>
  <c r="O935" i="6"/>
  <c r="G935" i="6"/>
  <c r="O934" i="6"/>
  <c r="G934" i="6"/>
  <c r="O933" i="6"/>
  <c r="G933" i="6"/>
  <c r="O932" i="6"/>
  <c r="G932" i="6"/>
  <c r="O931" i="6"/>
  <c r="G931" i="6"/>
  <c r="O930" i="6"/>
  <c r="G930" i="6"/>
  <c r="O965" i="6" l="1"/>
  <c r="G965" i="6"/>
  <c r="N815" i="3"/>
  <c r="M815" i="3"/>
  <c r="L815" i="3"/>
  <c r="K815" i="3"/>
  <c r="J815" i="3"/>
  <c r="F815" i="3"/>
  <c r="E815" i="3"/>
  <c r="D815" i="3"/>
  <c r="C815" i="3"/>
  <c r="B815" i="3"/>
  <c r="O814" i="3"/>
  <c r="G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G802" i="3"/>
  <c r="O801" i="3"/>
  <c r="G801" i="3"/>
  <c r="O800" i="3"/>
  <c r="G800" i="3"/>
  <c r="G799" i="3"/>
  <c r="O798" i="3"/>
  <c r="G798" i="3"/>
  <c r="O797" i="3"/>
  <c r="G797" i="3"/>
  <c r="O796" i="3"/>
  <c r="G796" i="3"/>
  <c r="O795" i="3"/>
  <c r="G795" i="3"/>
  <c r="O794" i="3"/>
  <c r="G794" i="3"/>
  <c r="O793" i="3"/>
  <c r="G793" i="3"/>
  <c r="O792" i="3"/>
  <c r="G792" i="3"/>
  <c r="O791" i="3"/>
  <c r="G791" i="3"/>
  <c r="O790" i="3"/>
  <c r="G790" i="3"/>
  <c r="O789" i="3"/>
  <c r="G789" i="3"/>
  <c r="O787" i="3"/>
  <c r="G787" i="3"/>
  <c r="O786" i="3"/>
  <c r="G786" i="3"/>
  <c r="O785" i="3"/>
  <c r="G785" i="3"/>
  <c r="O784" i="3"/>
  <c r="G784" i="3"/>
  <c r="O783" i="3"/>
  <c r="G783" i="3"/>
  <c r="O782" i="3"/>
  <c r="G782" i="3"/>
  <c r="O781" i="3"/>
  <c r="G781" i="3"/>
  <c r="O780" i="3"/>
  <c r="G780" i="3"/>
  <c r="O779" i="3"/>
  <c r="G779" i="3"/>
  <c r="N944" i="2"/>
  <c r="M944" i="2"/>
  <c r="L944" i="2"/>
  <c r="K944" i="2"/>
  <c r="J944" i="2"/>
  <c r="F944" i="2"/>
  <c r="E944" i="2"/>
  <c r="D944" i="2"/>
  <c r="C944" i="2"/>
  <c r="B944" i="2"/>
  <c r="O943" i="2"/>
  <c r="G943" i="2"/>
  <c r="O942" i="2"/>
  <c r="G942" i="2"/>
  <c r="O941" i="2"/>
  <c r="G941" i="2"/>
  <c r="O940" i="2"/>
  <c r="O939" i="2"/>
  <c r="G939" i="2"/>
  <c r="O938" i="2"/>
  <c r="G938" i="2"/>
  <c r="O937" i="2"/>
  <c r="G937" i="2"/>
  <c r="O936" i="2"/>
  <c r="G936" i="2"/>
  <c r="O935" i="2"/>
  <c r="G935" i="2"/>
  <c r="O934" i="2"/>
  <c r="G934" i="2"/>
  <c r="O933" i="2"/>
  <c r="G933" i="2"/>
  <c r="O932" i="2"/>
  <c r="G932" i="2"/>
  <c r="O931" i="2"/>
  <c r="G931" i="2"/>
  <c r="O930" i="2"/>
  <c r="G930" i="2"/>
  <c r="O929" i="2"/>
  <c r="G929" i="2"/>
  <c r="O928" i="2"/>
  <c r="G928" i="2"/>
  <c r="O927" i="2"/>
  <c r="G927" i="2"/>
  <c r="O926" i="2"/>
  <c r="G926" i="2"/>
  <c r="O925" i="2"/>
  <c r="G925" i="2"/>
  <c r="O924" i="2"/>
  <c r="G924" i="2"/>
  <c r="G923" i="2"/>
  <c r="O922" i="2"/>
  <c r="G922" i="2"/>
  <c r="O921" i="2"/>
  <c r="G921" i="2"/>
  <c r="O920" i="2"/>
  <c r="G920" i="2"/>
  <c r="O919" i="2"/>
  <c r="G919" i="2"/>
  <c r="O918" i="2"/>
  <c r="G918" i="2"/>
  <c r="O916" i="2"/>
  <c r="G916" i="2"/>
  <c r="O915" i="2"/>
  <c r="G915" i="2"/>
  <c r="O914" i="2"/>
  <c r="G914" i="2"/>
  <c r="O913" i="2"/>
  <c r="G913" i="2"/>
  <c r="O912" i="2"/>
  <c r="G912" i="2"/>
  <c r="O911" i="2"/>
  <c r="G911" i="2"/>
  <c r="O910" i="2"/>
  <c r="G910" i="2"/>
  <c r="O909" i="2"/>
  <c r="G909" i="2"/>
  <c r="O908" i="2"/>
  <c r="G908" i="2"/>
  <c r="G944" i="2" l="1"/>
  <c r="O815" i="3"/>
  <c r="O944" i="2"/>
  <c r="G815" i="3"/>
  <c r="G1706" i="4"/>
  <c r="G765" i="3" l="1"/>
  <c r="N923" i="5" l="1"/>
  <c r="M923" i="5"/>
  <c r="L923" i="5"/>
  <c r="K923" i="5"/>
  <c r="J923" i="5"/>
  <c r="F923" i="5"/>
  <c r="E923" i="5"/>
  <c r="D923" i="5"/>
  <c r="C923" i="5"/>
  <c r="B923" i="5"/>
  <c r="O922" i="5"/>
  <c r="G922" i="5"/>
  <c r="O921" i="5"/>
  <c r="G921" i="5"/>
  <c r="O920" i="5"/>
  <c r="G920" i="5"/>
  <c r="O919" i="5"/>
  <c r="G919" i="5"/>
  <c r="O918" i="5"/>
  <c r="G918" i="5"/>
  <c r="O917" i="5"/>
  <c r="G917" i="5"/>
  <c r="O916" i="5"/>
  <c r="G916" i="5"/>
  <c r="O915" i="5"/>
  <c r="G915" i="5"/>
  <c r="O914" i="5"/>
  <c r="O913" i="5"/>
  <c r="G913" i="5"/>
  <c r="O912" i="5"/>
  <c r="G912" i="5"/>
  <c r="O911" i="5"/>
  <c r="G911" i="5"/>
  <c r="O910" i="5"/>
  <c r="G910" i="5"/>
  <c r="O909" i="5"/>
  <c r="G909" i="5"/>
  <c r="O908" i="5"/>
  <c r="G908" i="5"/>
  <c r="O907" i="5"/>
  <c r="G907" i="5"/>
  <c r="O906" i="5"/>
  <c r="G906" i="5"/>
  <c r="O905" i="5"/>
  <c r="G905" i="5"/>
  <c r="G904" i="5"/>
  <c r="G903" i="5"/>
  <c r="O902" i="5"/>
  <c r="G902" i="5"/>
  <c r="O901" i="5"/>
  <c r="G901" i="5"/>
  <c r="O900" i="5"/>
  <c r="G900" i="5"/>
  <c r="O899" i="5"/>
  <c r="G899" i="5"/>
  <c r="O898" i="5"/>
  <c r="G898" i="5"/>
  <c r="O897" i="5"/>
  <c r="G897" i="5"/>
  <c r="O895" i="5"/>
  <c r="G895" i="5"/>
  <c r="O894" i="5"/>
  <c r="G894" i="5"/>
  <c r="O893" i="5"/>
  <c r="G893" i="5"/>
  <c r="O892" i="5"/>
  <c r="G892" i="5"/>
  <c r="O891" i="5"/>
  <c r="G891" i="5"/>
  <c r="O890" i="5"/>
  <c r="G890" i="5"/>
  <c r="O889" i="5"/>
  <c r="G889" i="5"/>
  <c r="O888" i="5"/>
  <c r="G888" i="5"/>
  <c r="N797" i="7"/>
  <c r="M797" i="7"/>
  <c r="L797" i="7"/>
  <c r="K797" i="7"/>
  <c r="J797" i="7"/>
  <c r="F797" i="7"/>
  <c r="E797" i="7"/>
  <c r="D797" i="7"/>
  <c r="C797" i="7"/>
  <c r="B797" i="7"/>
  <c r="O796" i="7"/>
  <c r="G796" i="7"/>
  <c r="O795" i="7"/>
  <c r="G795" i="7"/>
  <c r="O794" i="7"/>
  <c r="G794" i="7"/>
  <c r="O793" i="7"/>
  <c r="G793" i="7"/>
  <c r="G792" i="7"/>
  <c r="G791" i="7"/>
  <c r="O790" i="7"/>
  <c r="G790" i="7"/>
  <c r="O789" i="7"/>
  <c r="G789" i="7"/>
  <c r="O788" i="7"/>
  <c r="G788" i="7"/>
  <c r="O787" i="7"/>
  <c r="G787" i="7"/>
  <c r="O786" i="7"/>
  <c r="G786" i="7"/>
  <c r="O785" i="7"/>
  <c r="G785" i="7"/>
  <c r="O784" i="7"/>
  <c r="G784" i="7"/>
  <c r="O783" i="7"/>
  <c r="G783" i="7"/>
  <c r="O782" i="7"/>
  <c r="G782" i="7"/>
  <c r="O781" i="7"/>
  <c r="G781" i="7"/>
  <c r="O780" i="7"/>
  <c r="G780" i="7"/>
  <c r="O779" i="7"/>
  <c r="G779" i="7"/>
  <c r="O778" i="7"/>
  <c r="G778" i="7"/>
  <c r="O777" i="7"/>
  <c r="G777" i="7"/>
  <c r="O776" i="7"/>
  <c r="G776" i="7"/>
  <c r="O775" i="7"/>
  <c r="G775" i="7"/>
  <c r="O774" i="7"/>
  <c r="G774" i="7"/>
  <c r="O773" i="7"/>
  <c r="G773" i="7"/>
  <c r="O772" i="7"/>
  <c r="G772" i="7"/>
  <c r="O771" i="7"/>
  <c r="G771" i="7"/>
  <c r="O769" i="7"/>
  <c r="G769" i="7"/>
  <c r="O768" i="7"/>
  <c r="G768" i="7"/>
  <c r="O767" i="7"/>
  <c r="G767" i="7"/>
  <c r="O766" i="7"/>
  <c r="G766" i="7"/>
  <c r="O765" i="7"/>
  <c r="G765" i="7"/>
  <c r="O764" i="7"/>
  <c r="G764" i="7"/>
  <c r="O763" i="7"/>
  <c r="G763" i="7"/>
  <c r="O762" i="7"/>
  <c r="G762" i="7"/>
  <c r="G923" i="5" l="1"/>
  <c r="O923" i="5"/>
  <c r="O797" i="7"/>
  <c r="G797" i="7"/>
  <c r="O874" i="5"/>
  <c r="O875" i="5"/>
  <c r="O876" i="5"/>
  <c r="O877" i="5"/>
  <c r="O837" i="5"/>
  <c r="O838" i="5"/>
  <c r="O834" i="5"/>
  <c r="N881" i="5"/>
  <c r="M881" i="5"/>
  <c r="L881" i="5"/>
  <c r="K881" i="5"/>
  <c r="J881" i="5"/>
  <c r="F881" i="5"/>
  <c r="E881" i="5"/>
  <c r="D881" i="5"/>
  <c r="C881" i="5"/>
  <c r="B881" i="5"/>
  <c r="O880" i="5"/>
  <c r="G880" i="5"/>
  <c r="O879" i="5"/>
  <c r="G879" i="5"/>
  <c r="O878" i="5"/>
  <c r="G878" i="5"/>
  <c r="G877" i="5"/>
  <c r="G876" i="5"/>
  <c r="G875" i="5"/>
  <c r="G874" i="5"/>
  <c r="O873" i="5"/>
  <c r="G873" i="5"/>
  <c r="O872" i="5"/>
  <c r="O871" i="5"/>
  <c r="G871" i="5"/>
  <c r="O870" i="5"/>
  <c r="G870" i="5"/>
  <c r="O869" i="5"/>
  <c r="G869" i="5"/>
  <c r="O868" i="5"/>
  <c r="G868" i="5"/>
  <c r="O867" i="5"/>
  <c r="G867" i="5"/>
  <c r="O866" i="5"/>
  <c r="G866" i="5"/>
  <c r="O865" i="5"/>
  <c r="G865" i="5"/>
  <c r="O864" i="5"/>
  <c r="G864" i="5"/>
  <c r="O863" i="5"/>
  <c r="G863" i="5"/>
  <c r="O862" i="5"/>
  <c r="G862" i="5"/>
  <c r="O861" i="5"/>
  <c r="G861" i="5"/>
  <c r="O860" i="5"/>
  <c r="G860" i="5"/>
  <c r="O859" i="5"/>
  <c r="G859" i="5"/>
  <c r="O858" i="5"/>
  <c r="G858" i="5"/>
  <c r="O857" i="5"/>
  <c r="O856" i="5"/>
  <c r="G856" i="5"/>
  <c r="O855" i="5"/>
  <c r="G855" i="5"/>
  <c r="O853" i="5"/>
  <c r="G853" i="5"/>
  <c r="O852" i="5"/>
  <c r="G852" i="5"/>
  <c r="O851" i="5"/>
  <c r="G851" i="5"/>
  <c r="O850" i="5"/>
  <c r="G850" i="5"/>
  <c r="O849" i="5"/>
  <c r="G849" i="5"/>
  <c r="O848" i="5"/>
  <c r="G848" i="5"/>
  <c r="O847" i="5"/>
  <c r="G847" i="5"/>
  <c r="O846" i="5"/>
  <c r="G846" i="5"/>
  <c r="O753" i="7"/>
  <c r="O752" i="7"/>
  <c r="O751" i="7"/>
  <c r="O750" i="7"/>
  <c r="O836" i="5"/>
  <c r="O835" i="5"/>
  <c r="O833" i="5"/>
  <c r="O832" i="5"/>
  <c r="O831" i="5"/>
  <c r="O881" i="5" l="1"/>
  <c r="G881" i="5"/>
  <c r="O791" i="5" l="1"/>
  <c r="O792" i="5"/>
  <c r="O793" i="5"/>
  <c r="O794" i="5"/>
  <c r="O708" i="7"/>
  <c r="O707" i="7"/>
  <c r="O681" i="7" l="1"/>
  <c r="O807" i="6"/>
  <c r="O879" i="6"/>
  <c r="O838" i="6"/>
  <c r="O837" i="6"/>
  <c r="O836" i="6"/>
  <c r="O790" i="5" l="1"/>
  <c r="O1670" i="4"/>
  <c r="O876" i="6"/>
  <c r="O710" i="7" l="1"/>
  <c r="O711" i="7"/>
  <c r="O712" i="7"/>
  <c r="O721" i="7"/>
  <c r="N1718" i="4" l="1"/>
  <c r="M1718" i="4"/>
  <c r="L1718" i="4"/>
  <c r="K1718" i="4"/>
  <c r="J1718" i="4"/>
  <c r="F1718" i="4"/>
  <c r="E1718" i="4"/>
  <c r="D1718" i="4"/>
  <c r="C1718" i="4"/>
  <c r="B1718" i="4"/>
  <c r="O1717" i="4"/>
  <c r="G1717" i="4"/>
  <c r="O1716" i="4"/>
  <c r="G1716" i="4"/>
  <c r="G1715" i="4"/>
  <c r="G1714" i="4"/>
  <c r="G1713" i="4"/>
  <c r="O1712" i="4"/>
  <c r="G1712" i="4"/>
  <c r="O1711" i="4"/>
  <c r="G1711" i="4"/>
  <c r="O1710" i="4"/>
  <c r="G1710" i="4"/>
  <c r="O1709" i="4"/>
  <c r="G1709" i="4"/>
  <c r="O1708" i="4"/>
  <c r="G1708" i="4"/>
  <c r="O1707" i="4"/>
  <c r="G1707" i="4"/>
  <c r="O1706" i="4"/>
  <c r="O1705" i="4"/>
  <c r="G1705" i="4"/>
  <c r="O1704" i="4"/>
  <c r="G1704" i="4"/>
  <c r="O1703" i="4"/>
  <c r="G1703" i="4"/>
  <c r="O1702" i="4"/>
  <c r="G1702" i="4"/>
  <c r="O1701" i="4"/>
  <c r="G1701" i="4"/>
  <c r="O1700" i="4"/>
  <c r="G1700" i="4"/>
  <c r="O1699" i="4"/>
  <c r="G1699" i="4"/>
  <c r="O1698" i="4"/>
  <c r="G1698" i="4"/>
  <c r="O1697" i="4"/>
  <c r="G1697" i="4"/>
  <c r="O1696" i="4"/>
  <c r="G1696" i="4"/>
  <c r="O1695" i="4"/>
  <c r="G1695" i="4"/>
  <c r="O1694" i="4"/>
  <c r="G1694" i="4"/>
  <c r="O1693" i="4"/>
  <c r="G1693" i="4"/>
  <c r="O1692" i="4"/>
  <c r="G1692" i="4"/>
  <c r="O1690" i="4"/>
  <c r="G1690" i="4"/>
  <c r="O1689" i="4"/>
  <c r="G1689" i="4"/>
  <c r="O1688" i="4"/>
  <c r="G1688" i="4"/>
  <c r="O1687" i="4"/>
  <c r="G1687" i="4"/>
  <c r="O1686" i="4"/>
  <c r="G1686" i="4"/>
  <c r="O1685" i="4"/>
  <c r="G1685" i="4"/>
  <c r="O1684" i="4"/>
  <c r="G1684" i="4"/>
  <c r="O1683" i="4"/>
  <c r="G1683" i="4"/>
  <c r="O1682" i="4"/>
  <c r="G1682" i="4"/>
  <c r="N839" i="5"/>
  <c r="M839" i="5"/>
  <c r="L839" i="5"/>
  <c r="K839" i="5"/>
  <c r="J839" i="5"/>
  <c r="F839" i="5"/>
  <c r="E839" i="5"/>
  <c r="D839" i="5"/>
  <c r="C839" i="5"/>
  <c r="B839" i="5"/>
  <c r="G838" i="5"/>
  <c r="G837" i="5"/>
  <c r="G836" i="5"/>
  <c r="G835" i="5"/>
  <c r="G834" i="5"/>
  <c r="G833" i="5"/>
  <c r="G832" i="5"/>
  <c r="G831" i="5"/>
  <c r="O830" i="5"/>
  <c r="O829" i="5"/>
  <c r="G829" i="5"/>
  <c r="O828" i="5"/>
  <c r="G828" i="5"/>
  <c r="O827" i="5"/>
  <c r="G827" i="5"/>
  <c r="O826" i="5"/>
  <c r="G826" i="5"/>
  <c r="O825" i="5"/>
  <c r="G825" i="5"/>
  <c r="O824" i="5"/>
  <c r="G824" i="5"/>
  <c r="O823" i="5"/>
  <c r="G823" i="5"/>
  <c r="O822" i="5"/>
  <c r="G822" i="5"/>
  <c r="O821" i="5"/>
  <c r="G821" i="5"/>
  <c r="O820" i="5"/>
  <c r="G820" i="5"/>
  <c r="O819" i="5"/>
  <c r="G819" i="5"/>
  <c r="O818" i="5"/>
  <c r="G818" i="5"/>
  <c r="O817" i="5"/>
  <c r="G817" i="5"/>
  <c r="O816" i="5"/>
  <c r="G816" i="5"/>
  <c r="O815" i="5"/>
  <c r="G815" i="5"/>
  <c r="O814" i="5"/>
  <c r="G814" i="5"/>
  <c r="O813" i="5"/>
  <c r="G813" i="5"/>
  <c r="O811" i="5"/>
  <c r="G811" i="5"/>
  <c r="O810" i="5"/>
  <c r="G810" i="5"/>
  <c r="O809" i="5"/>
  <c r="G809" i="5"/>
  <c r="O808" i="5"/>
  <c r="G808" i="5"/>
  <c r="O807" i="5"/>
  <c r="G807" i="5"/>
  <c r="O806" i="5"/>
  <c r="G806" i="5"/>
  <c r="O805" i="5"/>
  <c r="G805" i="5"/>
  <c r="O804" i="5"/>
  <c r="G804" i="5"/>
  <c r="N923" i="6"/>
  <c r="M923" i="6"/>
  <c r="L923" i="6"/>
  <c r="K923" i="6"/>
  <c r="J923" i="6"/>
  <c r="F923" i="6"/>
  <c r="E923" i="6"/>
  <c r="D923" i="6"/>
  <c r="C923" i="6"/>
  <c r="B923" i="6"/>
  <c r="O922" i="6"/>
  <c r="G922" i="6"/>
  <c r="O921" i="6"/>
  <c r="G921" i="6"/>
  <c r="O920" i="6"/>
  <c r="G920" i="6"/>
  <c r="G919" i="6"/>
  <c r="G918" i="6"/>
  <c r="G917" i="6"/>
  <c r="G916" i="6"/>
  <c r="O915" i="6"/>
  <c r="G915" i="6"/>
  <c r="O914" i="6"/>
  <c r="G914" i="6"/>
  <c r="O913" i="6"/>
  <c r="G913" i="6"/>
  <c r="O912" i="6"/>
  <c r="G912" i="6"/>
  <c r="O911" i="6"/>
  <c r="G911" i="6"/>
  <c r="O910" i="6"/>
  <c r="G910" i="6"/>
  <c r="O909" i="6"/>
  <c r="G909" i="6"/>
  <c r="O908" i="6"/>
  <c r="G908" i="6"/>
  <c r="O907" i="6"/>
  <c r="G907" i="6"/>
  <c r="O906" i="6"/>
  <c r="G906" i="6"/>
  <c r="O905" i="6"/>
  <c r="G905" i="6"/>
  <c r="O904" i="6"/>
  <c r="G904" i="6"/>
  <c r="O903" i="6"/>
  <c r="G903" i="6"/>
  <c r="O902" i="6"/>
  <c r="G902" i="6"/>
  <c r="O901" i="6"/>
  <c r="G901" i="6"/>
  <c r="O900" i="6"/>
  <c r="G900" i="6"/>
  <c r="O899" i="6"/>
  <c r="G899" i="6"/>
  <c r="O898" i="6"/>
  <c r="G898" i="6"/>
  <c r="O897" i="6"/>
  <c r="G897" i="6"/>
  <c r="O895" i="6"/>
  <c r="G895" i="6"/>
  <c r="O894" i="6"/>
  <c r="G894" i="6"/>
  <c r="O893" i="6"/>
  <c r="G893" i="6"/>
  <c r="O892" i="6"/>
  <c r="G892" i="6"/>
  <c r="O891" i="6"/>
  <c r="G891" i="6"/>
  <c r="O890" i="6"/>
  <c r="G890" i="6"/>
  <c r="O889" i="6"/>
  <c r="G889" i="6"/>
  <c r="O888" i="6"/>
  <c r="G888" i="6"/>
  <c r="N755" i="7"/>
  <c r="M755" i="7"/>
  <c r="L755" i="7"/>
  <c r="K755" i="7"/>
  <c r="J755" i="7"/>
  <c r="F755" i="7"/>
  <c r="E755" i="7"/>
  <c r="D755" i="7"/>
  <c r="C755" i="7"/>
  <c r="B755" i="7"/>
  <c r="O754" i="7"/>
  <c r="G754" i="7"/>
  <c r="G753" i="7"/>
  <c r="G752" i="7"/>
  <c r="G751" i="7"/>
  <c r="G750" i="7"/>
  <c r="O749" i="7"/>
  <c r="G749" i="7"/>
  <c r="O748" i="7"/>
  <c r="G748" i="7"/>
  <c r="O747" i="7"/>
  <c r="G747" i="7"/>
  <c r="O746" i="7"/>
  <c r="G746" i="7"/>
  <c r="O745" i="7"/>
  <c r="G745" i="7"/>
  <c r="O744" i="7"/>
  <c r="G744" i="7"/>
  <c r="O743" i="7"/>
  <c r="G743" i="7"/>
  <c r="O742" i="7"/>
  <c r="G742" i="7"/>
  <c r="O741" i="7"/>
  <c r="G741" i="7"/>
  <c r="O740" i="7"/>
  <c r="G740" i="7"/>
  <c r="O739" i="7"/>
  <c r="G739" i="7"/>
  <c r="O738" i="7"/>
  <c r="G738" i="7"/>
  <c r="O737" i="7"/>
  <c r="G737" i="7"/>
  <c r="O736" i="7"/>
  <c r="G736" i="7"/>
  <c r="O735" i="7"/>
  <c r="G735" i="7"/>
  <c r="O734" i="7"/>
  <c r="G734" i="7"/>
  <c r="O733" i="7"/>
  <c r="G733" i="7"/>
  <c r="O732" i="7"/>
  <c r="G732" i="7"/>
  <c r="O731" i="7"/>
  <c r="G731" i="7"/>
  <c r="O730" i="7"/>
  <c r="G730" i="7"/>
  <c r="O729" i="7"/>
  <c r="G729" i="7"/>
  <c r="O727" i="7"/>
  <c r="G727" i="7"/>
  <c r="O726" i="7"/>
  <c r="G726" i="7"/>
  <c r="O725" i="7"/>
  <c r="G725" i="7"/>
  <c r="O724" i="7"/>
  <c r="G724" i="7"/>
  <c r="O723" i="7"/>
  <c r="G723" i="7"/>
  <c r="O722" i="7"/>
  <c r="G722" i="7"/>
  <c r="G721" i="7"/>
  <c r="O720" i="7"/>
  <c r="G720" i="7"/>
  <c r="G839" i="5" l="1"/>
  <c r="G1718" i="4"/>
  <c r="G923" i="6"/>
  <c r="O755" i="7"/>
  <c r="G755" i="7"/>
  <c r="O1718" i="4"/>
  <c r="O839" i="5"/>
  <c r="O923" i="6"/>
  <c r="O796" i="6" l="1"/>
  <c r="O795" i="6"/>
  <c r="O794" i="6"/>
  <c r="O793" i="6"/>
  <c r="O792" i="6"/>
  <c r="G614" i="7" l="1"/>
  <c r="O1631" i="4" l="1"/>
  <c r="O754" i="5"/>
  <c r="O706" i="5" l="1"/>
  <c r="N772" i="3" l="1"/>
  <c r="M772" i="3"/>
  <c r="L772" i="3"/>
  <c r="K772" i="3"/>
  <c r="J772" i="3"/>
  <c r="F772" i="3"/>
  <c r="E772" i="3"/>
  <c r="D772" i="3"/>
  <c r="C772" i="3"/>
  <c r="B772" i="3"/>
  <c r="O771" i="3"/>
  <c r="G771" i="3"/>
  <c r="O770" i="3"/>
  <c r="G770" i="3"/>
  <c r="O769" i="3"/>
  <c r="G769" i="3"/>
  <c r="O768" i="3"/>
  <c r="G768" i="3"/>
  <c r="O767" i="3"/>
  <c r="O766" i="3"/>
  <c r="G766" i="3"/>
  <c r="O765" i="3"/>
  <c r="O764" i="3"/>
  <c r="G764" i="3"/>
  <c r="O763" i="3"/>
  <c r="G763" i="3"/>
  <c r="O762" i="3"/>
  <c r="G762" i="3"/>
  <c r="O761" i="3"/>
  <c r="G761" i="3"/>
  <c r="O760" i="3"/>
  <c r="G760" i="3"/>
  <c r="O759" i="3"/>
  <c r="G759" i="3"/>
  <c r="O758" i="3"/>
  <c r="G758" i="3"/>
  <c r="O757" i="3"/>
  <c r="G757" i="3"/>
  <c r="O756" i="3"/>
  <c r="G756" i="3"/>
  <c r="O755" i="3"/>
  <c r="G755" i="3"/>
  <c r="O754" i="3"/>
  <c r="G754" i="3"/>
  <c r="O753" i="3"/>
  <c r="G753" i="3"/>
  <c r="O752" i="3"/>
  <c r="G752" i="3"/>
  <c r="O751" i="3"/>
  <c r="G751" i="3"/>
  <c r="O750" i="3"/>
  <c r="G750" i="3"/>
  <c r="O749" i="3"/>
  <c r="G749" i="3"/>
  <c r="O748" i="3"/>
  <c r="G748" i="3"/>
  <c r="O747" i="3"/>
  <c r="G747" i="3"/>
  <c r="O746" i="3"/>
  <c r="G746" i="3"/>
  <c r="O744" i="3"/>
  <c r="G744" i="3"/>
  <c r="O743" i="3"/>
  <c r="G743" i="3"/>
  <c r="O742" i="3"/>
  <c r="G742" i="3"/>
  <c r="O741" i="3"/>
  <c r="G741" i="3"/>
  <c r="O740" i="3"/>
  <c r="G740" i="3"/>
  <c r="O739" i="3"/>
  <c r="G739" i="3"/>
  <c r="O738" i="3"/>
  <c r="G738" i="3"/>
  <c r="O737" i="3"/>
  <c r="G737" i="3"/>
  <c r="O736" i="3"/>
  <c r="G736" i="3"/>
  <c r="N713" i="7"/>
  <c r="M713" i="7"/>
  <c r="L713" i="7"/>
  <c r="K713" i="7"/>
  <c r="J713" i="7"/>
  <c r="F713" i="7"/>
  <c r="E713" i="7"/>
  <c r="D713" i="7"/>
  <c r="C713" i="7"/>
  <c r="B713" i="7"/>
  <c r="G712" i="7"/>
  <c r="G711" i="7"/>
  <c r="G710" i="7"/>
  <c r="O709" i="7"/>
  <c r="G709" i="7"/>
  <c r="G708" i="7"/>
  <c r="G707" i="7"/>
  <c r="O706" i="7"/>
  <c r="G706" i="7"/>
  <c r="O705" i="7"/>
  <c r="G705" i="7"/>
  <c r="O704" i="7"/>
  <c r="G704" i="7"/>
  <c r="O703" i="7"/>
  <c r="G703" i="7"/>
  <c r="O702" i="7"/>
  <c r="G702" i="7"/>
  <c r="O701" i="7"/>
  <c r="G701" i="7"/>
  <c r="O700" i="7"/>
  <c r="G700" i="7"/>
  <c r="O699" i="7"/>
  <c r="G699" i="7"/>
  <c r="O698" i="7"/>
  <c r="G698" i="7"/>
  <c r="O697" i="7"/>
  <c r="G697" i="7"/>
  <c r="O696" i="7"/>
  <c r="G696" i="7"/>
  <c r="O695" i="7"/>
  <c r="G695" i="7"/>
  <c r="O694" i="7"/>
  <c r="G694" i="7"/>
  <c r="O693" i="7"/>
  <c r="G693" i="7"/>
  <c r="O692" i="7"/>
  <c r="G692" i="7"/>
  <c r="O691" i="7"/>
  <c r="G691" i="7"/>
  <c r="O690" i="7"/>
  <c r="G690" i="7"/>
  <c r="O689" i="7"/>
  <c r="G689" i="7"/>
  <c r="O688" i="7"/>
  <c r="G688" i="7"/>
  <c r="O687" i="7"/>
  <c r="G687" i="7"/>
  <c r="O685" i="7"/>
  <c r="G685" i="7"/>
  <c r="O684" i="7"/>
  <c r="G684" i="7"/>
  <c r="O683" i="7"/>
  <c r="G683" i="7"/>
  <c r="O682" i="7"/>
  <c r="G682" i="7"/>
  <c r="G681" i="7"/>
  <c r="O680" i="7"/>
  <c r="G680" i="7"/>
  <c r="O679" i="7"/>
  <c r="G679" i="7"/>
  <c r="O678" i="7"/>
  <c r="G678" i="7"/>
  <c r="O880" i="6"/>
  <c r="N881" i="6"/>
  <c r="M881" i="6"/>
  <c r="L881" i="6"/>
  <c r="K881" i="6"/>
  <c r="J881" i="6"/>
  <c r="F881" i="6"/>
  <c r="E881" i="6"/>
  <c r="D881" i="6"/>
  <c r="C881" i="6"/>
  <c r="B881" i="6"/>
  <c r="G880" i="6"/>
  <c r="G879" i="6"/>
  <c r="O878" i="6"/>
  <c r="G878" i="6"/>
  <c r="O877" i="6"/>
  <c r="G877" i="6"/>
  <c r="G876" i="6"/>
  <c r="O875" i="6"/>
  <c r="G875" i="6"/>
  <c r="O874" i="6"/>
  <c r="G874" i="6"/>
  <c r="O873" i="6"/>
  <c r="G873" i="6"/>
  <c r="O872" i="6"/>
  <c r="G872" i="6"/>
  <c r="O871" i="6"/>
  <c r="G871" i="6"/>
  <c r="O870" i="6"/>
  <c r="G870" i="6"/>
  <c r="O869" i="6"/>
  <c r="G869" i="6"/>
  <c r="O868" i="6"/>
  <c r="G868" i="6"/>
  <c r="O867" i="6"/>
  <c r="G867" i="6"/>
  <c r="O866" i="6"/>
  <c r="G866" i="6"/>
  <c r="O865" i="6"/>
  <c r="G865" i="6"/>
  <c r="O864" i="6"/>
  <c r="G864" i="6"/>
  <c r="O863" i="6"/>
  <c r="G863" i="6"/>
  <c r="O862" i="6"/>
  <c r="G862" i="6"/>
  <c r="O861" i="6"/>
  <c r="G861" i="6"/>
  <c r="O860" i="6"/>
  <c r="G860" i="6"/>
  <c r="O859" i="6"/>
  <c r="G859" i="6"/>
  <c r="O858" i="6"/>
  <c r="G858" i="6"/>
  <c r="O857" i="6"/>
  <c r="G857" i="6"/>
  <c r="O856" i="6"/>
  <c r="G856" i="6"/>
  <c r="O855" i="6"/>
  <c r="G855" i="6"/>
  <c r="O853" i="6"/>
  <c r="G853" i="6"/>
  <c r="O852" i="6"/>
  <c r="G852" i="6"/>
  <c r="O851" i="6"/>
  <c r="G851" i="6"/>
  <c r="O850" i="6"/>
  <c r="G850" i="6"/>
  <c r="O849" i="6"/>
  <c r="G849" i="6"/>
  <c r="O848" i="6"/>
  <c r="G848" i="6"/>
  <c r="O847" i="6"/>
  <c r="G847" i="6"/>
  <c r="O846" i="6"/>
  <c r="G846" i="6"/>
  <c r="O1674" i="4"/>
  <c r="O1673" i="4"/>
  <c r="N1675" i="4"/>
  <c r="M1675" i="4"/>
  <c r="L1675" i="4"/>
  <c r="K1675" i="4"/>
  <c r="J1675" i="4"/>
  <c r="F1675" i="4"/>
  <c r="E1675" i="4"/>
  <c r="D1675" i="4"/>
  <c r="C1675" i="4"/>
  <c r="B1675" i="4"/>
  <c r="G1674" i="4"/>
  <c r="G1673" i="4"/>
  <c r="O1672" i="4"/>
  <c r="G1672" i="4"/>
  <c r="O1671" i="4"/>
  <c r="G1671" i="4"/>
  <c r="G1670" i="4"/>
  <c r="O1669" i="4"/>
  <c r="G1669" i="4"/>
  <c r="O1668" i="4"/>
  <c r="G1668" i="4"/>
  <c r="O1667" i="4"/>
  <c r="G1667" i="4"/>
  <c r="O1666" i="4"/>
  <c r="G1666" i="4"/>
  <c r="O1665" i="4"/>
  <c r="G1665" i="4"/>
  <c r="O1664" i="4"/>
  <c r="G1664" i="4"/>
  <c r="O1663" i="4"/>
  <c r="G1663" i="4"/>
  <c r="O1662" i="4"/>
  <c r="G1662" i="4"/>
  <c r="O1661" i="4"/>
  <c r="G1661" i="4"/>
  <c r="O1660" i="4"/>
  <c r="G1660" i="4"/>
  <c r="O1659" i="4"/>
  <c r="G1659" i="4"/>
  <c r="O1658" i="4"/>
  <c r="G1658" i="4"/>
  <c r="O1657" i="4"/>
  <c r="G1657" i="4"/>
  <c r="O1656" i="4"/>
  <c r="G1656" i="4"/>
  <c r="O1655" i="4"/>
  <c r="G1655" i="4"/>
  <c r="O1654" i="4"/>
  <c r="G1654" i="4"/>
  <c r="O1653" i="4"/>
  <c r="G1653" i="4"/>
  <c r="O1652" i="4"/>
  <c r="G1652" i="4"/>
  <c r="O1651" i="4"/>
  <c r="G1651" i="4"/>
  <c r="O1650" i="4"/>
  <c r="G1650" i="4"/>
  <c r="O1649" i="4"/>
  <c r="G1649" i="4"/>
  <c r="O1647" i="4"/>
  <c r="G1647" i="4"/>
  <c r="O1646" i="4"/>
  <c r="G1646" i="4"/>
  <c r="O1645" i="4"/>
  <c r="G1645" i="4"/>
  <c r="O1644" i="4"/>
  <c r="G1644" i="4"/>
  <c r="O1643" i="4"/>
  <c r="G1643" i="4"/>
  <c r="O1642" i="4"/>
  <c r="G1642" i="4"/>
  <c r="O1641" i="4"/>
  <c r="G1641" i="4"/>
  <c r="O1640" i="4"/>
  <c r="G1640" i="4"/>
  <c r="O1639" i="4"/>
  <c r="G1639" i="4"/>
  <c r="O796" i="5"/>
  <c r="O795" i="5"/>
  <c r="G881" i="6" l="1"/>
  <c r="G772" i="3"/>
  <c r="O713" i="7"/>
  <c r="O1675" i="4"/>
  <c r="G1675" i="4"/>
  <c r="O772" i="3"/>
  <c r="G713" i="7"/>
  <c r="O881" i="6"/>
  <c r="G1555" i="4"/>
  <c r="G1554" i="4"/>
  <c r="G1553" i="4"/>
  <c r="G868" i="2" l="1"/>
  <c r="G869" i="2"/>
  <c r="N797" i="5"/>
  <c r="M797" i="5"/>
  <c r="L797" i="5"/>
  <c r="K797" i="5"/>
  <c r="J797" i="5"/>
  <c r="F797" i="5"/>
  <c r="E797" i="5"/>
  <c r="D797" i="5"/>
  <c r="C797" i="5"/>
  <c r="B797" i="5"/>
  <c r="G796" i="5"/>
  <c r="G795" i="5"/>
  <c r="G794" i="5"/>
  <c r="G793" i="5"/>
  <c r="G792" i="5"/>
  <c r="G791" i="5"/>
  <c r="G790" i="5"/>
  <c r="O789" i="5"/>
  <c r="G789" i="5"/>
  <c r="O788" i="5"/>
  <c r="O787" i="5"/>
  <c r="G787" i="5"/>
  <c r="O786" i="5"/>
  <c r="G786" i="5"/>
  <c r="O785" i="5"/>
  <c r="G785" i="5"/>
  <c r="O784" i="5"/>
  <c r="G784" i="5"/>
  <c r="O783" i="5"/>
  <c r="G783" i="5"/>
  <c r="O782" i="5"/>
  <c r="G782" i="5"/>
  <c r="O781" i="5"/>
  <c r="G781" i="5"/>
  <c r="O780" i="5"/>
  <c r="G780" i="5"/>
  <c r="O779" i="5"/>
  <c r="G779" i="5"/>
  <c r="O778" i="5"/>
  <c r="G778" i="5"/>
  <c r="O777" i="5"/>
  <c r="G777" i="5"/>
  <c r="O776" i="5"/>
  <c r="G776" i="5"/>
  <c r="O775" i="5"/>
  <c r="G775" i="5"/>
  <c r="O774" i="5"/>
  <c r="G774" i="5"/>
  <c r="O773" i="5"/>
  <c r="G773" i="5"/>
  <c r="O772" i="5"/>
  <c r="G772" i="5"/>
  <c r="O771" i="5"/>
  <c r="G771" i="5"/>
  <c r="O769" i="5"/>
  <c r="G769" i="5"/>
  <c r="O768" i="5"/>
  <c r="G768" i="5"/>
  <c r="O767" i="5"/>
  <c r="G767" i="5"/>
  <c r="O766" i="5"/>
  <c r="G766" i="5"/>
  <c r="O765" i="5"/>
  <c r="G765" i="5"/>
  <c r="O764" i="5"/>
  <c r="G764" i="5"/>
  <c r="O763" i="5"/>
  <c r="G763" i="5"/>
  <c r="O762" i="5"/>
  <c r="G762" i="5"/>
  <c r="O708" i="5"/>
  <c r="O709" i="5"/>
  <c r="O710" i="5"/>
  <c r="O1588" i="4"/>
  <c r="O1587" i="4"/>
  <c r="O1625" i="4"/>
  <c r="O1626" i="4"/>
  <c r="O1627" i="4"/>
  <c r="N1632" i="4"/>
  <c r="M1632" i="4"/>
  <c r="L1632" i="4"/>
  <c r="K1632" i="4"/>
  <c r="J1632" i="4"/>
  <c r="F1632" i="4"/>
  <c r="E1632" i="4"/>
  <c r="D1632" i="4"/>
  <c r="C1632" i="4"/>
  <c r="B1632" i="4"/>
  <c r="G1631" i="4"/>
  <c r="O1630" i="4"/>
  <c r="G1630" i="4"/>
  <c r="O1629" i="4"/>
  <c r="G1629" i="4"/>
  <c r="O1628" i="4"/>
  <c r="G1628" i="4"/>
  <c r="G1627" i="4"/>
  <c r="G1626" i="4"/>
  <c r="G1625" i="4"/>
  <c r="O1624" i="4"/>
  <c r="G1624" i="4"/>
  <c r="O1623" i="4"/>
  <c r="G1623" i="4"/>
  <c r="O1622" i="4"/>
  <c r="G1622" i="4"/>
  <c r="O1621" i="4"/>
  <c r="G1621" i="4"/>
  <c r="O1620" i="4"/>
  <c r="G1620" i="4"/>
  <c r="O1619" i="4"/>
  <c r="G1619" i="4"/>
  <c r="O1618" i="4"/>
  <c r="G1618" i="4"/>
  <c r="O1617" i="4"/>
  <c r="G1617" i="4"/>
  <c r="O1616" i="4"/>
  <c r="G1616" i="4"/>
  <c r="O1615" i="4"/>
  <c r="G1615" i="4"/>
  <c r="O1614" i="4"/>
  <c r="G1614" i="4"/>
  <c r="O1613" i="4"/>
  <c r="G1613" i="4"/>
  <c r="O1612" i="4"/>
  <c r="G1612" i="4"/>
  <c r="O1611" i="4"/>
  <c r="G1611" i="4"/>
  <c r="O1610" i="4"/>
  <c r="G1610" i="4"/>
  <c r="O1609" i="4"/>
  <c r="G1609" i="4"/>
  <c r="O1608" i="4"/>
  <c r="G1608" i="4"/>
  <c r="O1607" i="4"/>
  <c r="G1607" i="4"/>
  <c r="O1606" i="4"/>
  <c r="G1606" i="4"/>
  <c r="O1604" i="4"/>
  <c r="G1604" i="4"/>
  <c r="O1603" i="4"/>
  <c r="G1603" i="4"/>
  <c r="O1602" i="4"/>
  <c r="G1602" i="4"/>
  <c r="O1601" i="4"/>
  <c r="G1601" i="4"/>
  <c r="O1600" i="4"/>
  <c r="G1600" i="4"/>
  <c r="O1599" i="4"/>
  <c r="G1599" i="4"/>
  <c r="O1598" i="4"/>
  <c r="G1598" i="4"/>
  <c r="O1597" i="4"/>
  <c r="G1597" i="4"/>
  <c r="O1596" i="4"/>
  <c r="G1596" i="4"/>
  <c r="O665" i="7"/>
  <c r="O666" i="7"/>
  <c r="O667" i="7"/>
  <c r="O668" i="7"/>
  <c r="O669" i="7"/>
  <c r="O670" i="7"/>
  <c r="O625" i="7"/>
  <c r="O624" i="7"/>
  <c r="O626" i="7"/>
  <c r="O628" i="7"/>
  <c r="O627" i="7"/>
  <c r="O833" i="6"/>
  <c r="O834" i="6"/>
  <c r="O835" i="6"/>
  <c r="N839" i="6"/>
  <c r="M839" i="6"/>
  <c r="L839" i="6"/>
  <c r="K839" i="6"/>
  <c r="J839" i="6"/>
  <c r="F839" i="6"/>
  <c r="E839" i="6"/>
  <c r="D839" i="6"/>
  <c r="C839" i="6"/>
  <c r="B839" i="6"/>
  <c r="G838" i="6"/>
  <c r="G837" i="6"/>
  <c r="G836" i="6"/>
  <c r="G835" i="6"/>
  <c r="G834" i="6"/>
  <c r="G833" i="6"/>
  <c r="O832" i="6"/>
  <c r="G832" i="6"/>
  <c r="O831" i="6"/>
  <c r="G831" i="6"/>
  <c r="O830" i="6"/>
  <c r="G830" i="6"/>
  <c r="O829" i="6"/>
  <c r="G829" i="6"/>
  <c r="O828" i="6"/>
  <c r="G828" i="6"/>
  <c r="O827" i="6"/>
  <c r="G827" i="6"/>
  <c r="O826" i="6"/>
  <c r="G826" i="6"/>
  <c r="O825" i="6"/>
  <c r="G825" i="6"/>
  <c r="O824" i="6"/>
  <c r="G824" i="6"/>
  <c r="O823" i="6"/>
  <c r="G823" i="6"/>
  <c r="O822" i="6"/>
  <c r="G822" i="6"/>
  <c r="O821" i="6"/>
  <c r="G821" i="6"/>
  <c r="O820" i="6"/>
  <c r="G820" i="6"/>
  <c r="O819" i="6"/>
  <c r="G819" i="6"/>
  <c r="O818" i="6"/>
  <c r="G818" i="6"/>
  <c r="O817" i="6"/>
  <c r="G817" i="6"/>
  <c r="O816" i="6"/>
  <c r="G816" i="6"/>
  <c r="O815" i="6"/>
  <c r="G815" i="6"/>
  <c r="O814" i="6"/>
  <c r="G814" i="6"/>
  <c r="O813" i="6"/>
  <c r="G813" i="6"/>
  <c r="O811" i="6"/>
  <c r="G811" i="6"/>
  <c r="O810" i="6"/>
  <c r="G810" i="6"/>
  <c r="O809" i="6"/>
  <c r="G809" i="6"/>
  <c r="O808" i="6"/>
  <c r="G808" i="6"/>
  <c r="G807" i="6"/>
  <c r="O806" i="6"/>
  <c r="G806" i="6"/>
  <c r="O805" i="6"/>
  <c r="G805" i="6"/>
  <c r="O804" i="6"/>
  <c r="G804" i="6"/>
  <c r="G1632" i="4" l="1"/>
  <c r="O797" i="5"/>
  <c r="G797" i="5"/>
  <c r="O1632" i="4"/>
  <c r="O839" i="6"/>
  <c r="G839" i="6"/>
  <c r="O1542" i="4" l="1"/>
  <c r="O1543" i="4"/>
  <c r="O1544" i="4"/>
  <c r="O1584" i="4"/>
  <c r="O1583" i="4"/>
  <c r="N671" i="7"/>
  <c r="M671" i="7"/>
  <c r="L671" i="7"/>
  <c r="K671" i="7"/>
  <c r="J671" i="7"/>
  <c r="F671" i="7"/>
  <c r="E671" i="7"/>
  <c r="D671" i="7"/>
  <c r="C671" i="7"/>
  <c r="B671" i="7"/>
  <c r="G670" i="7"/>
  <c r="G669" i="7"/>
  <c r="G668" i="7"/>
  <c r="G667" i="7"/>
  <c r="G666" i="7"/>
  <c r="G665" i="7"/>
  <c r="O664" i="7"/>
  <c r="G664" i="7"/>
  <c r="O663" i="7"/>
  <c r="G663" i="7"/>
  <c r="O662" i="7"/>
  <c r="G662" i="7"/>
  <c r="O661" i="7"/>
  <c r="G661" i="7"/>
  <c r="O660" i="7"/>
  <c r="G660" i="7"/>
  <c r="O659" i="7"/>
  <c r="G659" i="7"/>
  <c r="O658" i="7"/>
  <c r="G658" i="7"/>
  <c r="O657" i="7"/>
  <c r="G657" i="7"/>
  <c r="O656" i="7"/>
  <c r="G656" i="7"/>
  <c r="O655" i="7"/>
  <c r="O654" i="7"/>
  <c r="G654" i="7"/>
  <c r="O653" i="7"/>
  <c r="G653" i="7"/>
  <c r="O652" i="7"/>
  <c r="G652" i="7"/>
  <c r="O651" i="7"/>
  <c r="G651" i="7"/>
  <c r="O650" i="7"/>
  <c r="G650" i="7"/>
  <c r="O649" i="7"/>
  <c r="G649" i="7"/>
  <c r="O648" i="7"/>
  <c r="G648" i="7"/>
  <c r="O647" i="7"/>
  <c r="G647" i="7"/>
  <c r="O646" i="7"/>
  <c r="G646" i="7"/>
  <c r="O645" i="7"/>
  <c r="G645" i="7"/>
  <c r="O643" i="7"/>
  <c r="G643" i="7"/>
  <c r="O642" i="7"/>
  <c r="G642" i="7"/>
  <c r="O641" i="7"/>
  <c r="G641" i="7"/>
  <c r="O640" i="7"/>
  <c r="G640" i="7"/>
  <c r="O639" i="7"/>
  <c r="G639" i="7"/>
  <c r="O638" i="7"/>
  <c r="G638" i="7"/>
  <c r="O637" i="7"/>
  <c r="G637" i="7"/>
  <c r="O636" i="7"/>
  <c r="G636" i="7"/>
  <c r="N797" i="6"/>
  <c r="M797" i="6"/>
  <c r="L797" i="6"/>
  <c r="K797" i="6"/>
  <c r="J797" i="6"/>
  <c r="F797" i="6"/>
  <c r="E797" i="6"/>
  <c r="D797" i="6"/>
  <c r="C797" i="6"/>
  <c r="B797" i="6"/>
  <c r="G796" i="6"/>
  <c r="G795" i="6"/>
  <c r="G794" i="6"/>
  <c r="G793" i="6"/>
  <c r="G792" i="6"/>
  <c r="O791" i="6"/>
  <c r="G791" i="6"/>
  <c r="O790" i="6"/>
  <c r="G790" i="6"/>
  <c r="O789" i="6"/>
  <c r="G789" i="6"/>
  <c r="O788" i="6"/>
  <c r="G788" i="6"/>
  <c r="O787" i="6"/>
  <c r="O786" i="6"/>
  <c r="G786" i="6"/>
  <c r="O785" i="6"/>
  <c r="G785" i="6"/>
  <c r="O784" i="6"/>
  <c r="G784" i="6"/>
  <c r="O783" i="6"/>
  <c r="G783" i="6"/>
  <c r="O782" i="6"/>
  <c r="G782" i="6"/>
  <c r="O781" i="6"/>
  <c r="G781" i="6"/>
  <c r="O780" i="6"/>
  <c r="G780" i="6"/>
  <c r="O779" i="6"/>
  <c r="G779" i="6"/>
  <c r="O778" i="6"/>
  <c r="G778" i="6"/>
  <c r="O777" i="6"/>
  <c r="G777" i="6"/>
  <c r="O776" i="6"/>
  <c r="G776" i="6"/>
  <c r="O775" i="6"/>
  <c r="G775" i="6"/>
  <c r="O774" i="6"/>
  <c r="G774" i="6"/>
  <c r="O773" i="6"/>
  <c r="G773" i="6"/>
  <c r="O772" i="6"/>
  <c r="G772" i="6"/>
  <c r="O771" i="6"/>
  <c r="G771" i="6"/>
  <c r="O769" i="6"/>
  <c r="G769" i="6"/>
  <c r="O768" i="6"/>
  <c r="G768" i="6"/>
  <c r="O767" i="6"/>
  <c r="G767" i="6"/>
  <c r="O766" i="6"/>
  <c r="G766" i="6"/>
  <c r="O765" i="6"/>
  <c r="G765" i="6"/>
  <c r="O764" i="6"/>
  <c r="G764" i="6"/>
  <c r="O763" i="6"/>
  <c r="G763" i="6"/>
  <c r="O762" i="6"/>
  <c r="G762" i="6"/>
  <c r="O690" i="5"/>
  <c r="O671" i="7" l="1"/>
  <c r="O797" i="6"/>
  <c r="G671" i="7"/>
  <c r="G797" i="6"/>
  <c r="O740" i="6"/>
  <c r="O739" i="6"/>
  <c r="O738" i="6"/>
  <c r="O737" i="6"/>
  <c r="G736" i="6"/>
  <c r="O752" i="5" l="1"/>
  <c r="O753" i="5"/>
  <c r="O1586" i="4"/>
  <c r="N1589" i="4"/>
  <c r="M1589" i="4"/>
  <c r="L1589" i="4"/>
  <c r="K1589" i="4"/>
  <c r="J1589" i="4"/>
  <c r="F1589" i="4"/>
  <c r="E1589" i="4"/>
  <c r="D1589" i="4"/>
  <c r="C1589" i="4"/>
  <c r="B1589" i="4"/>
  <c r="G1588" i="4"/>
  <c r="G1587" i="4"/>
  <c r="G1586" i="4"/>
  <c r="O1585" i="4"/>
  <c r="G1585" i="4"/>
  <c r="G1584" i="4"/>
  <c r="G1583" i="4"/>
  <c r="O1582" i="4"/>
  <c r="G1582" i="4"/>
  <c r="O1581" i="4"/>
  <c r="G1581" i="4"/>
  <c r="O1580" i="4"/>
  <c r="G1580" i="4"/>
  <c r="O1579" i="4"/>
  <c r="G1579" i="4"/>
  <c r="O1578" i="4"/>
  <c r="G1578" i="4"/>
  <c r="O1577" i="4"/>
  <c r="O1576" i="4"/>
  <c r="G1576" i="4"/>
  <c r="O1575" i="4"/>
  <c r="G1575" i="4"/>
  <c r="O1574" i="4"/>
  <c r="G1574" i="4"/>
  <c r="O1573" i="4"/>
  <c r="G1573" i="4"/>
  <c r="O1572" i="4"/>
  <c r="G1572" i="4"/>
  <c r="O1571" i="4"/>
  <c r="G1571" i="4"/>
  <c r="O1570" i="4"/>
  <c r="G1570" i="4"/>
  <c r="O1569" i="4"/>
  <c r="G1569" i="4"/>
  <c r="O1568" i="4"/>
  <c r="G1568" i="4"/>
  <c r="O1567" i="4"/>
  <c r="G1567" i="4"/>
  <c r="O1566" i="4"/>
  <c r="G1566" i="4"/>
  <c r="O1565" i="4"/>
  <c r="G1565" i="4"/>
  <c r="O1564" i="4"/>
  <c r="G1564" i="4"/>
  <c r="O1563" i="4"/>
  <c r="G1563" i="4"/>
  <c r="O1561" i="4"/>
  <c r="G1561" i="4"/>
  <c r="O1560" i="4"/>
  <c r="G1560" i="4"/>
  <c r="O1559" i="4"/>
  <c r="G1559" i="4"/>
  <c r="O1558" i="4"/>
  <c r="G1558" i="4"/>
  <c r="O1557" i="4"/>
  <c r="G1557" i="4"/>
  <c r="O1556" i="4"/>
  <c r="G1556" i="4"/>
  <c r="O1555" i="4"/>
  <c r="O1554" i="4"/>
  <c r="O1553" i="4"/>
  <c r="O1589" i="4" l="1"/>
  <c r="G1589" i="4"/>
  <c r="G732" i="6"/>
  <c r="G607" i="7"/>
  <c r="N901" i="2" l="1"/>
  <c r="M901" i="2"/>
  <c r="L901" i="2"/>
  <c r="K901" i="2"/>
  <c r="J901" i="2"/>
  <c r="F901" i="2"/>
  <c r="E901" i="2"/>
  <c r="D901" i="2"/>
  <c r="C901" i="2"/>
  <c r="B901" i="2"/>
  <c r="O900" i="2"/>
  <c r="G900" i="2"/>
  <c r="O899" i="2"/>
  <c r="G899" i="2"/>
  <c r="O898" i="2"/>
  <c r="G898" i="2"/>
  <c r="O897" i="2"/>
  <c r="G897" i="2"/>
  <c r="O896" i="2"/>
  <c r="G896" i="2"/>
  <c r="O895" i="2"/>
  <c r="G895" i="2"/>
  <c r="O894" i="2"/>
  <c r="G894" i="2"/>
  <c r="O893" i="2"/>
  <c r="G893" i="2"/>
  <c r="O892" i="2"/>
  <c r="G892" i="2"/>
  <c r="O891" i="2"/>
  <c r="G891" i="2"/>
  <c r="O890" i="2"/>
  <c r="G890" i="2"/>
  <c r="O889" i="2"/>
  <c r="G889" i="2"/>
  <c r="O888" i="2"/>
  <c r="G888" i="2"/>
  <c r="O887" i="2"/>
  <c r="G887" i="2"/>
  <c r="O886" i="2"/>
  <c r="G886" i="2"/>
  <c r="O885" i="2"/>
  <c r="G885" i="2"/>
  <c r="O884" i="2"/>
  <c r="G884" i="2"/>
  <c r="O883" i="2"/>
  <c r="G883" i="2"/>
  <c r="O882" i="2"/>
  <c r="G882" i="2"/>
  <c r="O881" i="2"/>
  <c r="G881" i="2"/>
  <c r="O880" i="2"/>
  <c r="G880" i="2"/>
  <c r="O879" i="2"/>
  <c r="G879" i="2"/>
  <c r="O878" i="2"/>
  <c r="G878" i="2"/>
  <c r="O877" i="2"/>
  <c r="G877" i="2"/>
  <c r="O876" i="2"/>
  <c r="G876" i="2"/>
  <c r="O875" i="2"/>
  <c r="G875" i="2"/>
  <c r="O873" i="2"/>
  <c r="G873" i="2"/>
  <c r="O872" i="2"/>
  <c r="G872" i="2"/>
  <c r="O871" i="2"/>
  <c r="G871" i="2"/>
  <c r="O870" i="2"/>
  <c r="G870" i="2"/>
  <c r="O869" i="2"/>
  <c r="O868" i="2"/>
  <c r="O867" i="2"/>
  <c r="G867" i="2"/>
  <c r="O866" i="2"/>
  <c r="G866" i="2"/>
  <c r="O865" i="2"/>
  <c r="G865" i="2"/>
  <c r="G901" i="2" l="1"/>
  <c r="O901" i="2"/>
  <c r="O1538" i="4"/>
  <c r="O622" i="7"/>
  <c r="N755" i="5" l="1"/>
  <c r="M755" i="5"/>
  <c r="L755" i="5"/>
  <c r="K755" i="5"/>
  <c r="J755" i="5"/>
  <c r="F755" i="5"/>
  <c r="E755" i="5"/>
  <c r="D755" i="5"/>
  <c r="C755" i="5"/>
  <c r="B755" i="5"/>
  <c r="G754" i="5"/>
  <c r="G753" i="5"/>
  <c r="G752" i="5"/>
  <c r="O751" i="5"/>
  <c r="G751" i="5"/>
  <c r="O750" i="5"/>
  <c r="G750" i="5"/>
  <c r="O749" i="5"/>
  <c r="G749" i="5"/>
  <c r="O748" i="5"/>
  <c r="G748" i="5"/>
  <c r="O747" i="5"/>
  <c r="G747" i="5"/>
  <c r="O746" i="5"/>
  <c r="O745" i="5"/>
  <c r="G745" i="5"/>
  <c r="O744" i="5"/>
  <c r="G744" i="5"/>
  <c r="O743" i="5"/>
  <c r="G743" i="5"/>
  <c r="O742" i="5"/>
  <c r="G742" i="5"/>
  <c r="O741" i="5"/>
  <c r="G741" i="5"/>
  <c r="O740" i="5"/>
  <c r="G740" i="5"/>
  <c r="O739" i="5"/>
  <c r="G739" i="5"/>
  <c r="O738" i="5"/>
  <c r="G738" i="5"/>
  <c r="O737" i="5"/>
  <c r="G737" i="5"/>
  <c r="O736" i="5"/>
  <c r="G736" i="5"/>
  <c r="O735" i="5"/>
  <c r="G735" i="5"/>
  <c r="O734" i="5"/>
  <c r="G734" i="5"/>
  <c r="O733" i="5"/>
  <c r="G733" i="5"/>
  <c r="O732" i="5"/>
  <c r="G732" i="5"/>
  <c r="O731" i="5"/>
  <c r="G731" i="5"/>
  <c r="O730" i="5"/>
  <c r="G730" i="5"/>
  <c r="O729" i="5"/>
  <c r="O727" i="5"/>
  <c r="G727" i="5"/>
  <c r="O726" i="5"/>
  <c r="G726" i="5"/>
  <c r="O725" i="5"/>
  <c r="G725" i="5"/>
  <c r="O724" i="5"/>
  <c r="G724" i="5"/>
  <c r="O723" i="5"/>
  <c r="G723" i="5"/>
  <c r="O722" i="5"/>
  <c r="G722" i="5"/>
  <c r="O721" i="5"/>
  <c r="G721" i="5"/>
  <c r="O720" i="5"/>
  <c r="G720" i="5"/>
  <c r="G755" i="5" l="1"/>
  <c r="O755" i="5"/>
  <c r="O687" i="5"/>
  <c r="O729" i="6" l="1"/>
  <c r="O707" i="5" l="1"/>
  <c r="O623" i="7"/>
  <c r="O701" i="6" l="1"/>
  <c r="O702" i="6"/>
  <c r="O703" i="6"/>
  <c r="O704" i="6"/>
  <c r="O705" i="6"/>
  <c r="O706" i="6"/>
  <c r="O575" i="7" l="1"/>
  <c r="O571" i="7" l="1"/>
  <c r="O570" i="7"/>
  <c r="O1500" i="4"/>
  <c r="O1511" i="4"/>
  <c r="O1539" i="4"/>
  <c r="O1468" i="4" l="1"/>
  <c r="O1540" i="4"/>
  <c r="O1541" i="4"/>
  <c r="O670" i="5"/>
  <c r="O669" i="5"/>
  <c r="O668" i="5"/>
  <c r="O667" i="5"/>
  <c r="O711" i="5"/>
  <c r="N713" i="5"/>
  <c r="M713" i="5"/>
  <c r="L713" i="5"/>
  <c r="K713" i="5"/>
  <c r="J713" i="5"/>
  <c r="F713" i="5"/>
  <c r="E713" i="5"/>
  <c r="D713" i="5"/>
  <c r="C713" i="5"/>
  <c r="B713" i="5"/>
  <c r="O712" i="5"/>
  <c r="G712" i="5"/>
  <c r="G711" i="5"/>
  <c r="G710" i="5"/>
  <c r="G709" i="5"/>
  <c r="G708" i="5"/>
  <c r="G707" i="5"/>
  <c r="G706" i="5"/>
  <c r="O705" i="5"/>
  <c r="G705" i="5"/>
  <c r="O704" i="5"/>
  <c r="O703" i="5"/>
  <c r="G703" i="5"/>
  <c r="O702" i="5"/>
  <c r="G702" i="5"/>
  <c r="O701" i="5"/>
  <c r="G701" i="5"/>
  <c r="O700" i="5"/>
  <c r="G700" i="5"/>
  <c r="O699" i="5"/>
  <c r="G699" i="5"/>
  <c r="O698" i="5"/>
  <c r="G698" i="5"/>
  <c r="O697" i="5"/>
  <c r="G697" i="5"/>
  <c r="O696" i="5"/>
  <c r="G696" i="5"/>
  <c r="O695" i="5"/>
  <c r="G695" i="5"/>
  <c r="O694" i="5"/>
  <c r="G694" i="5"/>
  <c r="O693" i="5"/>
  <c r="G693" i="5"/>
  <c r="O692" i="5"/>
  <c r="G692" i="5"/>
  <c r="O691" i="5"/>
  <c r="G691" i="5"/>
  <c r="G690" i="5"/>
  <c r="O689" i="5"/>
  <c r="G689" i="5"/>
  <c r="O688" i="5"/>
  <c r="G688" i="5"/>
  <c r="G687" i="5"/>
  <c r="O685" i="5"/>
  <c r="G685" i="5"/>
  <c r="O684" i="5"/>
  <c r="G684" i="5"/>
  <c r="O683" i="5"/>
  <c r="G683" i="5"/>
  <c r="O682" i="5"/>
  <c r="G682" i="5"/>
  <c r="O681" i="5"/>
  <c r="G681" i="5"/>
  <c r="O680" i="5"/>
  <c r="G680" i="5"/>
  <c r="O679" i="5"/>
  <c r="G679" i="5"/>
  <c r="O678" i="5"/>
  <c r="G678" i="5"/>
  <c r="O584" i="7"/>
  <c r="N629" i="7"/>
  <c r="M629" i="7"/>
  <c r="L629" i="7"/>
  <c r="K629" i="7"/>
  <c r="J629" i="7"/>
  <c r="F629" i="7"/>
  <c r="E629" i="7"/>
  <c r="D629" i="7"/>
  <c r="C629" i="7"/>
  <c r="B629" i="7"/>
  <c r="G628" i="7"/>
  <c r="G627" i="7"/>
  <c r="G626" i="7"/>
  <c r="G625" i="7"/>
  <c r="G624" i="7"/>
  <c r="G623" i="7"/>
  <c r="G622" i="7"/>
  <c r="O621" i="7"/>
  <c r="G621" i="7"/>
  <c r="O620" i="7"/>
  <c r="G620" i="7"/>
  <c r="O619" i="7"/>
  <c r="G619" i="7"/>
  <c r="O618" i="7"/>
  <c r="G618" i="7"/>
  <c r="O617" i="7"/>
  <c r="G617" i="7"/>
  <c r="O616" i="7"/>
  <c r="G616" i="7"/>
  <c r="O615" i="7"/>
  <c r="G615" i="7"/>
  <c r="O614" i="7"/>
  <c r="O613" i="7"/>
  <c r="G613" i="7"/>
  <c r="O612" i="7"/>
  <c r="G612" i="7"/>
  <c r="O611" i="7"/>
  <c r="G611" i="7"/>
  <c r="O610" i="7"/>
  <c r="G610" i="7"/>
  <c r="O609" i="7"/>
  <c r="G609" i="7"/>
  <c r="O608" i="7"/>
  <c r="G608" i="7"/>
  <c r="O607" i="7"/>
  <c r="O606" i="7"/>
  <c r="G606" i="7"/>
  <c r="O605" i="7"/>
  <c r="G605" i="7"/>
  <c r="O604" i="7"/>
  <c r="G604" i="7"/>
  <c r="O603" i="7"/>
  <c r="G603" i="7"/>
  <c r="O601" i="7"/>
  <c r="G601" i="7"/>
  <c r="O600" i="7"/>
  <c r="G600" i="7"/>
  <c r="O599" i="7"/>
  <c r="G599" i="7"/>
  <c r="O598" i="7"/>
  <c r="G598" i="7"/>
  <c r="O597" i="7"/>
  <c r="G597" i="7"/>
  <c r="O596" i="7"/>
  <c r="G596" i="7"/>
  <c r="O595" i="7"/>
  <c r="G595" i="7"/>
  <c r="O594" i="7"/>
  <c r="G594" i="7"/>
  <c r="O752" i="6"/>
  <c r="O753" i="6"/>
  <c r="O754" i="6"/>
  <c r="O710" i="6"/>
  <c r="N755" i="6"/>
  <c r="M755" i="6"/>
  <c r="L755" i="6"/>
  <c r="K755" i="6"/>
  <c r="J755" i="6"/>
  <c r="F755" i="6"/>
  <c r="E755" i="6"/>
  <c r="D755" i="6"/>
  <c r="C755" i="6"/>
  <c r="B755" i="6"/>
  <c r="G754" i="6"/>
  <c r="G753" i="6"/>
  <c r="G752" i="6"/>
  <c r="O751" i="6"/>
  <c r="G751" i="6"/>
  <c r="O750" i="6"/>
  <c r="G750" i="6"/>
  <c r="O749" i="6"/>
  <c r="G749" i="6"/>
  <c r="O748" i="6"/>
  <c r="G748" i="6"/>
  <c r="O747" i="6"/>
  <c r="G747" i="6"/>
  <c r="O746" i="6"/>
  <c r="G746" i="6"/>
  <c r="O745" i="6"/>
  <c r="G745" i="6"/>
  <c r="O744" i="6"/>
  <c r="G744" i="6"/>
  <c r="O743" i="6"/>
  <c r="G743" i="6"/>
  <c r="O742" i="6"/>
  <c r="G742" i="6"/>
  <c r="O741" i="6"/>
  <c r="G741" i="6"/>
  <c r="G740" i="6"/>
  <c r="G739" i="6"/>
  <c r="G738" i="6"/>
  <c r="G737" i="6"/>
  <c r="O736" i="6"/>
  <c r="O735" i="6"/>
  <c r="G735" i="6"/>
  <c r="O734" i="6"/>
  <c r="G734" i="6"/>
  <c r="O733" i="6"/>
  <c r="G733" i="6"/>
  <c r="O732" i="6"/>
  <c r="O731" i="6"/>
  <c r="G731" i="6"/>
  <c r="O730" i="6"/>
  <c r="G730" i="6"/>
  <c r="G729" i="6"/>
  <c r="O727" i="6"/>
  <c r="G727" i="6"/>
  <c r="O726" i="6"/>
  <c r="G726" i="6"/>
  <c r="O725" i="6"/>
  <c r="G725" i="6"/>
  <c r="O724" i="6"/>
  <c r="G724" i="6"/>
  <c r="O723" i="6"/>
  <c r="G723" i="6"/>
  <c r="O722" i="6"/>
  <c r="G722" i="6"/>
  <c r="O721" i="6"/>
  <c r="G721" i="6"/>
  <c r="O720" i="6"/>
  <c r="G720" i="6"/>
  <c r="G629" i="7" l="1"/>
  <c r="G755" i="6"/>
  <c r="G713" i="5"/>
  <c r="O713" i="5"/>
  <c r="O629" i="7"/>
  <c r="O755" i="6"/>
  <c r="O612" i="5"/>
  <c r="G617" i="5"/>
  <c r="G1480" i="4"/>
  <c r="O1482" i="4"/>
  <c r="O1483" i="4"/>
  <c r="O709" i="6" l="1"/>
  <c r="O708" i="6"/>
  <c r="O707" i="6"/>
  <c r="O583" i="7"/>
  <c r="O582" i="7"/>
  <c r="O581" i="7"/>
  <c r="O623" i="5" l="1"/>
  <c r="O624" i="5"/>
  <c r="O625" i="5"/>
  <c r="O626" i="5"/>
  <c r="O627" i="5"/>
  <c r="O665" i="5"/>
  <c r="O665" i="6"/>
  <c r="O666" i="6"/>
  <c r="O538" i="7"/>
  <c r="O539" i="7"/>
  <c r="O580" i="7"/>
  <c r="O1479" i="4" l="1"/>
  <c r="O709" i="3"/>
  <c r="O841" i="2"/>
  <c r="O610" i="5" l="1"/>
  <c r="O534" i="7"/>
  <c r="O657" i="6"/>
  <c r="G1478" i="4" l="1"/>
  <c r="G710" i="3"/>
  <c r="G844" i="2"/>
  <c r="G840" i="2" l="1"/>
  <c r="G645" i="5" l="1"/>
  <c r="O1502" i="4" l="1"/>
  <c r="N1546" i="4"/>
  <c r="M1546" i="4"/>
  <c r="L1546" i="4"/>
  <c r="K1546" i="4"/>
  <c r="J1546" i="4"/>
  <c r="F1546" i="4"/>
  <c r="E1546" i="4"/>
  <c r="D1546" i="4"/>
  <c r="C1546" i="4"/>
  <c r="B1546" i="4"/>
  <c r="O1545" i="4"/>
  <c r="G1545" i="4"/>
  <c r="G1544" i="4"/>
  <c r="G1543" i="4"/>
  <c r="G1542" i="4"/>
  <c r="G1541" i="4"/>
  <c r="G1540" i="4"/>
  <c r="G1539" i="4"/>
  <c r="G1538" i="4"/>
  <c r="O1537" i="4"/>
  <c r="G1537" i="4"/>
  <c r="O1536" i="4"/>
  <c r="G1536" i="4"/>
  <c r="O1535" i="4"/>
  <c r="G1535" i="4"/>
  <c r="O1534" i="4"/>
  <c r="G1534" i="4"/>
  <c r="O1533" i="4"/>
  <c r="G1533" i="4"/>
  <c r="O1532" i="4"/>
  <c r="G1532" i="4"/>
  <c r="O1531" i="4"/>
  <c r="G1531" i="4"/>
  <c r="O1530" i="4"/>
  <c r="G1530" i="4"/>
  <c r="O1529" i="4"/>
  <c r="G1529" i="4"/>
  <c r="O1528" i="4"/>
  <c r="G1528" i="4"/>
  <c r="O1527" i="4"/>
  <c r="G1527" i="4"/>
  <c r="O1526" i="4"/>
  <c r="G1526" i="4"/>
  <c r="O1525" i="4"/>
  <c r="G1525" i="4"/>
  <c r="O1524" i="4"/>
  <c r="G1524" i="4"/>
  <c r="O1523" i="4"/>
  <c r="G1523" i="4"/>
  <c r="O1522" i="4"/>
  <c r="G1522" i="4"/>
  <c r="O1521" i="4"/>
  <c r="G1521" i="4"/>
  <c r="O1520" i="4"/>
  <c r="G1520" i="4"/>
  <c r="O1518" i="4"/>
  <c r="G1518" i="4"/>
  <c r="O1517" i="4"/>
  <c r="G1517" i="4"/>
  <c r="O1516" i="4"/>
  <c r="G1516" i="4"/>
  <c r="O1515" i="4"/>
  <c r="G1515" i="4"/>
  <c r="O1514" i="4"/>
  <c r="G1514" i="4"/>
  <c r="O1513" i="4"/>
  <c r="G1513" i="4"/>
  <c r="O1512" i="4"/>
  <c r="G1512" i="4"/>
  <c r="G1511" i="4"/>
  <c r="O1510" i="4"/>
  <c r="G1510" i="4"/>
  <c r="O662" i="5"/>
  <c r="O663" i="5"/>
  <c r="N671" i="5"/>
  <c r="M671" i="5"/>
  <c r="L671" i="5"/>
  <c r="K671" i="5"/>
  <c r="J671" i="5"/>
  <c r="F671" i="5"/>
  <c r="E671" i="5"/>
  <c r="D671" i="5"/>
  <c r="C671" i="5"/>
  <c r="B671" i="5"/>
  <c r="G670" i="5"/>
  <c r="G669" i="5"/>
  <c r="G668" i="5"/>
  <c r="G667" i="5"/>
  <c r="O666" i="5"/>
  <c r="G666" i="5"/>
  <c r="G665" i="5"/>
  <c r="O664" i="5"/>
  <c r="G664" i="5"/>
  <c r="G663" i="5"/>
  <c r="O661" i="5"/>
  <c r="G661" i="5"/>
  <c r="O660" i="5"/>
  <c r="G660" i="5"/>
  <c r="O659" i="5"/>
  <c r="G659" i="5"/>
  <c r="O658" i="5"/>
  <c r="G658" i="5"/>
  <c r="O657" i="5"/>
  <c r="G657" i="5"/>
  <c r="O656" i="5"/>
  <c r="G656" i="5"/>
  <c r="O655" i="5"/>
  <c r="G655" i="5"/>
  <c r="O654" i="5"/>
  <c r="G654" i="5"/>
  <c r="O653" i="5"/>
  <c r="G653" i="5"/>
  <c r="O652" i="5"/>
  <c r="G652" i="5"/>
  <c r="O651" i="5"/>
  <c r="G651" i="5"/>
  <c r="O650" i="5"/>
  <c r="G650" i="5"/>
  <c r="O649" i="5"/>
  <c r="G649" i="5"/>
  <c r="O648" i="5"/>
  <c r="G648" i="5"/>
  <c r="O647" i="5"/>
  <c r="G647" i="5"/>
  <c r="O646" i="5"/>
  <c r="G646" i="5"/>
  <c r="O645" i="5"/>
  <c r="O643" i="5"/>
  <c r="G643" i="5"/>
  <c r="O642" i="5"/>
  <c r="G642" i="5"/>
  <c r="O641" i="5"/>
  <c r="G641" i="5"/>
  <c r="O640" i="5"/>
  <c r="G640" i="5"/>
  <c r="O639" i="5"/>
  <c r="G639" i="5"/>
  <c r="O638" i="5"/>
  <c r="G638" i="5"/>
  <c r="O637" i="5"/>
  <c r="G637" i="5"/>
  <c r="O636" i="5"/>
  <c r="G636" i="5"/>
  <c r="O664" i="6"/>
  <c r="G1546" i="4" l="1"/>
  <c r="O1546" i="4"/>
  <c r="O671" i="5"/>
  <c r="G671" i="5"/>
  <c r="O535" i="7"/>
  <c r="O536" i="7"/>
  <c r="O1501" i="4" l="1"/>
  <c r="O1454" i="4"/>
  <c r="O1455" i="4"/>
  <c r="O1456" i="4"/>
  <c r="O1457" i="4"/>
  <c r="O1458" i="4"/>
  <c r="O1453" i="4"/>
  <c r="N1503" i="4"/>
  <c r="M1503" i="4"/>
  <c r="L1503" i="4"/>
  <c r="K1503" i="4"/>
  <c r="J1503" i="4"/>
  <c r="F1503" i="4"/>
  <c r="E1503" i="4"/>
  <c r="D1503" i="4"/>
  <c r="C1503" i="4"/>
  <c r="B1503" i="4"/>
  <c r="G1502" i="4"/>
  <c r="G1501" i="4"/>
  <c r="G1500" i="4"/>
  <c r="O1499" i="4"/>
  <c r="G1499" i="4"/>
  <c r="O1498" i="4"/>
  <c r="G1498" i="4"/>
  <c r="O1497" i="4"/>
  <c r="G1497" i="4"/>
  <c r="O1496" i="4"/>
  <c r="G1496" i="4"/>
  <c r="O1495" i="4"/>
  <c r="G1495" i="4"/>
  <c r="O1494" i="4"/>
  <c r="G1494" i="4"/>
  <c r="O1493" i="4"/>
  <c r="G1493" i="4"/>
  <c r="O1492" i="4"/>
  <c r="G1492" i="4"/>
  <c r="O1491" i="4"/>
  <c r="G1491" i="4"/>
  <c r="O1490" i="4"/>
  <c r="G1490" i="4"/>
  <c r="O1489" i="4"/>
  <c r="G1489" i="4"/>
  <c r="O1488" i="4"/>
  <c r="G1488" i="4"/>
  <c r="O1487" i="4"/>
  <c r="G1487" i="4"/>
  <c r="O1486" i="4"/>
  <c r="G1486" i="4"/>
  <c r="O1485" i="4"/>
  <c r="G1485" i="4"/>
  <c r="O1484" i="4"/>
  <c r="G1484" i="4"/>
  <c r="G1483" i="4"/>
  <c r="G1482" i="4"/>
  <c r="O1481" i="4"/>
  <c r="G1481" i="4"/>
  <c r="O1480" i="4"/>
  <c r="G1479" i="4"/>
  <c r="O1478" i="4"/>
  <c r="O1477" i="4"/>
  <c r="G1477" i="4"/>
  <c r="O1475" i="4"/>
  <c r="G1475" i="4"/>
  <c r="O1474" i="4"/>
  <c r="G1474" i="4"/>
  <c r="O1473" i="4"/>
  <c r="G1473" i="4"/>
  <c r="O1472" i="4"/>
  <c r="G1472" i="4"/>
  <c r="O1471" i="4"/>
  <c r="G1471" i="4"/>
  <c r="O1470" i="4"/>
  <c r="G1470" i="4"/>
  <c r="O1469" i="4"/>
  <c r="G1469" i="4"/>
  <c r="G1468" i="4"/>
  <c r="O1467" i="4"/>
  <c r="G1467" i="4"/>
  <c r="O667" i="6"/>
  <c r="O668" i="6"/>
  <c r="O669" i="6"/>
  <c r="O662" i="6"/>
  <c r="N713" i="6"/>
  <c r="M713" i="6"/>
  <c r="L713" i="6"/>
  <c r="K713" i="6"/>
  <c r="J713" i="6"/>
  <c r="F713" i="6"/>
  <c r="E713" i="6"/>
  <c r="D713" i="6"/>
  <c r="C713" i="6"/>
  <c r="B713" i="6"/>
  <c r="O712" i="6"/>
  <c r="G712" i="6"/>
  <c r="O711" i="6"/>
  <c r="G711" i="6"/>
  <c r="G710" i="6"/>
  <c r="G709" i="6"/>
  <c r="G708" i="6"/>
  <c r="G707" i="6"/>
  <c r="G706" i="6"/>
  <c r="G705" i="6"/>
  <c r="G704" i="6"/>
  <c r="G703" i="6"/>
  <c r="G702" i="6"/>
  <c r="G701" i="6"/>
  <c r="O700" i="6"/>
  <c r="G700" i="6"/>
  <c r="O699" i="6"/>
  <c r="G699" i="6"/>
  <c r="O698" i="6"/>
  <c r="G698" i="6"/>
  <c r="O697" i="6"/>
  <c r="G697" i="6"/>
  <c r="O696" i="6"/>
  <c r="G696" i="6"/>
  <c r="O695" i="6"/>
  <c r="G695" i="6"/>
  <c r="O694" i="6"/>
  <c r="G694" i="6"/>
  <c r="O693" i="6"/>
  <c r="G693" i="6"/>
  <c r="O692" i="6"/>
  <c r="G692" i="6"/>
  <c r="O691" i="6"/>
  <c r="G691" i="6"/>
  <c r="O690" i="6"/>
  <c r="G690" i="6"/>
  <c r="O689" i="6"/>
  <c r="G689" i="6"/>
  <c r="O688" i="6"/>
  <c r="G688" i="6"/>
  <c r="O687" i="6"/>
  <c r="G687" i="6"/>
  <c r="O685" i="6"/>
  <c r="G685" i="6"/>
  <c r="O684" i="6"/>
  <c r="G684" i="6"/>
  <c r="O683" i="6"/>
  <c r="G683" i="6"/>
  <c r="O682" i="6"/>
  <c r="G682" i="6"/>
  <c r="O681" i="6"/>
  <c r="G681" i="6"/>
  <c r="O680" i="6"/>
  <c r="G680" i="6"/>
  <c r="O679" i="6"/>
  <c r="G679" i="6"/>
  <c r="O678" i="6"/>
  <c r="G678" i="6"/>
  <c r="O537" i="7"/>
  <c r="O540" i="7"/>
  <c r="O541" i="7"/>
  <c r="O542" i="7"/>
  <c r="O543" i="7"/>
  <c r="N587" i="7"/>
  <c r="M587" i="7"/>
  <c r="L587" i="7"/>
  <c r="K587" i="7"/>
  <c r="J587" i="7"/>
  <c r="F587" i="7"/>
  <c r="E587" i="7"/>
  <c r="D587" i="7"/>
  <c r="C587" i="7"/>
  <c r="B587" i="7"/>
  <c r="O586" i="7"/>
  <c r="G586" i="7"/>
  <c r="O585" i="7"/>
  <c r="G585" i="7"/>
  <c r="G584" i="7"/>
  <c r="G583" i="7"/>
  <c r="G582" i="7"/>
  <c r="G581" i="7"/>
  <c r="G580" i="7"/>
  <c r="O579" i="7"/>
  <c r="G579" i="7"/>
  <c r="O578" i="7"/>
  <c r="G578" i="7"/>
  <c r="O577" i="7"/>
  <c r="G577" i="7"/>
  <c r="O576" i="7"/>
  <c r="G576" i="7"/>
  <c r="G575" i="7"/>
  <c r="O574" i="7"/>
  <c r="G574" i="7"/>
  <c r="O573" i="7"/>
  <c r="G573" i="7"/>
  <c r="O572" i="7"/>
  <c r="G572" i="7"/>
  <c r="G571" i="7"/>
  <c r="G570" i="7"/>
  <c r="O569" i="7"/>
  <c r="G569" i="7"/>
  <c r="O568" i="7"/>
  <c r="G568" i="7"/>
  <c r="O567" i="7"/>
  <c r="G567" i="7"/>
  <c r="O566" i="7"/>
  <c r="G566" i="7"/>
  <c r="O565" i="7"/>
  <c r="G565" i="7"/>
  <c r="O564" i="7"/>
  <c r="G564" i="7"/>
  <c r="O563" i="7"/>
  <c r="G563" i="7"/>
  <c r="O562" i="7"/>
  <c r="G562" i="7"/>
  <c r="O561" i="7"/>
  <c r="G561" i="7"/>
  <c r="O559" i="7"/>
  <c r="G559" i="7"/>
  <c r="O558" i="7"/>
  <c r="G558" i="7"/>
  <c r="O557" i="7"/>
  <c r="G557" i="7"/>
  <c r="O556" i="7"/>
  <c r="G556" i="7"/>
  <c r="O555" i="7"/>
  <c r="G555" i="7"/>
  <c r="O554" i="7"/>
  <c r="G554" i="7"/>
  <c r="O553" i="7"/>
  <c r="G553" i="7"/>
  <c r="O552" i="7"/>
  <c r="G552" i="7"/>
  <c r="G1503" i="4" l="1"/>
  <c r="G587" i="7"/>
  <c r="G713" i="6"/>
  <c r="O1503" i="4"/>
  <c r="O713" i="6"/>
  <c r="O587" i="7"/>
  <c r="G519" i="7"/>
  <c r="O620" i="5" l="1"/>
  <c r="O531" i="7" l="1"/>
  <c r="O532" i="7"/>
  <c r="G703" i="3" l="1"/>
  <c r="O498" i="7" l="1"/>
  <c r="O499" i="7"/>
  <c r="O663" i="6"/>
  <c r="O624" i="6"/>
  <c r="O625" i="6"/>
  <c r="O627" i="6"/>
  <c r="O626" i="6"/>
  <c r="O628" i="6"/>
  <c r="O660" i="6"/>
  <c r="N671" i="6"/>
  <c r="M671" i="6"/>
  <c r="L671" i="6"/>
  <c r="K671" i="6"/>
  <c r="J671" i="6"/>
  <c r="F671" i="6"/>
  <c r="E671" i="6"/>
  <c r="D671" i="6"/>
  <c r="C671" i="6"/>
  <c r="B671" i="6"/>
  <c r="O670" i="6"/>
  <c r="G670" i="6"/>
  <c r="G669" i="6"/>
  <c r="G668" i="6"/>
  <c r="G667" i="6"/>
  <c r="G666" i="6"/>
  <c r="G665" i="6"/>
  <c r="G664" i="6"/>
  <c r="G663" i="6"/>
  <c r="G662" i="6"/>
  <c r="O661" i="6"/>
  <c r="G661" i="6"/>
  <c r="G660" i="6"/>
  <c r="O659" i="6"/>
  <c r="G659" i="6"/>
  <c r="O658" i="6"/>
  <c r="G658" i="6"/>
  <c r="G657" i="6"/>
  <c r="O656" i="6"/>
  <c r="G656" i="6"/>
  <c r="O655" i="6"/>
  <c r="G655" i="6"/>
  <c r="O654" i="6"/>
  <c r="G654" i="6"/>
  <c r="O653" i="6"/>
  <c r="G653" i="6"/>
  <c r="O652" i="6"/>
  <c r="G652" i="6"/>
  <c r="O651" i="6"/>
  <c r="G651" i="6"/>
  <c r="O650" i="6"/>
  <c r="G650" i="6"/>
  <c r="O649" i="6"/>
  <c r="G649" i="6"/>
  <c r="O648" i="6"/>
  <c r="G648" i="6"/>
  <c r="O647" i="6"/>
  <c r="G647" i="6"/>
  <c r="O646" i="6"/>
  <c r="G646" i="6"/>
  <c r="O645" i="6"/>
  <c r="G645" i="6"/>
  <c r="O643" i="6"/>
  <c r="G643" i="6"/>
  <c r="O642" i="6"/>
  <c r="G642" i="6"/>
  <c r="O641" i="6"/>
  <c r="G641" i="6"/>
  <c r="O640" i="6"/>
  <c r="G640" i="6"/>
  <c r="O639" i="6"/>
  <c r="G639" i="6"/>
  <c r="O638" i="6"/>
  <c r="G638" i="6"/>
  <c r="O637" i="6"/>
  <c r="G637" i="6"/>
  <c r="O636" i="6"/>
  <c r="G636" i="6"/>
  <c r="O584" i="5"/>
  <c r="O586" i="5"/>
  <c r="O621" i="5"/>
  <c r="O622" i="5"/>
  <c r="N629" i="5"/>
  <c r="M629" i="5"/>
  <c r="L629" i="5"/>
  <c r="K629" i="5"/>
  <c r="J629" i="5"/>
  <c r="F629" i="5"/>
  <c r="E629" i="5"/>
  <c r="D629" i="5"/>
  <c r="C629" i="5"/>
  <c r="B629" i="5"/>
  <c r="O628" i="5"/>
  <c r="G628" i="5"/>
  <c r="G627" i="5"/>
  <c r="G626" i="5"/>
  <c r="G625" i="5"/>
  <c r="G624" i="5"/>
  <c r="G623" i="5"/>
  <c r="G622" i="5"/>
  <c r="G621" i="5"/>
  <c r="O619" i="5"/>
  <c r="G619" i="5"/>
  <c r="O618" i="5"/>
  <c r="G618" i="5"/>
  <c r="O617" i="5"/>
  <c r="O616" i="5"/>
  <c r="G616" i="5"/>
  <c r="O615" i="5"/>
  <c r="G615" i="5"/>
  <c r="O614" i="5"/>
  <c r="G614" i="5"/>
  <c r="O613" i="5"/>
  <c r="G613" i="5"/>
  <c r="G612" i="5"/>
  <c r="O611" i="5"/>
  <c r="G611" i="5"/>
  <c r="G610" i="5"/>
  <c r="O609" i="5"/>
  <c r="G609" i="5"/>
  <c r="O608" i="5"/>
  <c r="G608" i="5"/>
  <c r="O607" i="5"/>
  <c r="G607" i="5"/>
  <c r="O606" i="5"/>
  <c r="G606" i="5"/>
  <c r="O605" i="5"/>
  <c r="G605" i="5"/>
  <c r="O604" i="5"/>
  <c r="G604" i="5"/>
  <c r="O603" i="5"/>
  <c r="G603" i="5"/>
  <c r="O601" i="5"/>
  <c r="G601" i="5"/>
  <c r="O600" i="5"/>
  <c r="G600" i="5"/>
  <c r="O599" i="5"/>
  <c r="G599" i="5"/>
  <c r="O598" i="5"/>
  <c r="G598" i="5"/>
  <c r="O597" i="5"/>
  <c r="G597" i="5"/>
  <c r="O596" i="5"/>
  <c r="G596" i="5"/>
  <c r="O595" i="5"/>
  <c r="G595" i="5"/>
  <c r="O594" i="5"/>
  <c r="G594" i="5"/>
  <c r="G671" i="6" l="1"/>
  <c r="G629" i="5"/>
  <c r="O671" i="6"/>
  <c r="O629" i="5"/>
  <c r="G828" i="2"/>
  <c r="O1415" i="4" l="1"/>
  <c r="O1416" i="4"/>
  <c r="N1460" i="4"/>
  <c r="M1460" i="4"/>
  <c r="L1460" i="4"/>
  <c r="K1460" i="4"/>
  <c r="J1460" i="4"/>
  <c r="F1460" i="4"/>
  <c r="E1460" i="4"/>
  <c r="D1460" i="4"/>
  <c r="C1460" i="4"/>
  <c r="B1460" i="4"/>
  <c r="O1459" i="4"/>
  <c r="G1459" i="4"/>
  <c r="G1458" i="4"/>
  <c r="G1457" i="4"/>
  <c r="G1456" i="4"/>
  <c r="G1455" i="4"/>
  <c r="G1454" i="4"/>
  <c r="G1453" i="4"/>
  <c r="O1452" i="4"/>
  <c r="G1452" i="4"/>
  <c r="O1451" i="4"/>
  <c r="G1451" i="4"/>
  <c r="O1450" i="4"/>
  <c r="G1450" i="4"/>
  <c r="O1449" i="4"/>
  <c r="G1449" i="4"/>
  <c r="O1448" i="4"/>
  <c r="G1448" i="4"/>
  <c r="O1447" i="4"/>
  <c r="G1447" i="4"/>
  <c r="O1446" i="4"/>
  <c r="G1446" i="4"/>
  <c r="O1445" i="4"/>
  <c r="G1445" i="4"/>
  <c r="O1444" i="4"/>
  <c r="G1444" i="4"/>
  <c r="O1443" i="4"/>
  <c r="G1443" i="4"/>
  <c r="O1442" i="4"/>
  <c r="G1442" i="4"/>
  <c r="O1441" i="4"/>
  <c r="G1441" i="4"/>
  <c r="O1440" i="4"/>
  <c r="G1440" i="4"/>
  <c r="O1439" i="4"/>
  <c r="G1439" i="4"/>
  <c r="O1438" i="4"/>
  <c r="G1438" i="4"/>
  <c r="O1437" i="4"/>
  <c r="G1437" i="4"/>
  <c r="O1436" i="4"/>
  <c r="G1436" i="4"/>
  <c r="O1435" i="4"/>
  <c r="G1435" i="4"/>
  <c r="O1434" i="4"/>
  <c r="G1434" i="4"/>
  <c r="O1432" i="4"/>
  <c r="G1432" i="4"/>
  <c r="O1431" i="4"/>
  <c r="G1431" i="4"/>
  <c r="O1430" i="4"/>
  <c r="G1430" i="4"/>
  <c r="O1429" i="4"/>
  <c r="G1429" i="4"/>
  <c r="O1428" i="4"/>
  <c r="G1428" i="4"/>
  <c r="O1427" i="4"/>
  <c r="G1427" i="4"/>
  <c r="O1426" i="4"/>
  <c r="G1426" i="4"/>
  <c r="O1425" i="4"/>
  <c r="G1425" i="4"/>
  <c r="O1424" i="4"/>
  <c r="G1424" i="4"/>
  <c r="O1460" i="4" l="1"/>
  <c r="G1460" i="4"/>
  <c r="O1408" i="4" l="1"/>
  <c r="O620" i="6"/>
  <c r="O1409" i="4" l="1"/>
  <c r="O502" i="7"/>
  <c r="O501" i="7"/>
  <c r="N545" i="7"/>
  <c r="M545" i="7"/>
  <c r="L545" i="7"/>
  <c r="K545" i="7"/>
  <c r="J545" i="7"/>
  <c r="F545" i="7"/>
  <c r="E545" i="7"/>
  <c r="D545" i="7"/>
  <c r="C545" i="7"/>
  <c r="B545" i="7"/>
  <c r="O544" i="7"/>
  <c r="G544" i="7"/>
  <c r="G543" i="7"/>
  <c r="G542" i="7"/>
  <c r="G541" i="7"/>
  <c r="G540" i="7"/>
  <c r="G539" i="7"/>
  <c r="G538" i="7"/>
  <c r="G537" i="7"/>
  <c r="G536" i="7"/>
  <c r="G535" i="7"/>
  <c r="G534" i="7"/>
  <c r="O533" i="7"/>
  <c r="G533" i="7"/>
  <c r="G532" i="7"/>
  <c r="G531" i="7"/>
  <c r="O530" i="7"/>
  <c r="G530" i="7"/>
  <c r="O529" i="7"/>
  <c r="G529" i="7"/>
  <c r="O528" i="7"/>
  <c r="G528" i="7"/>
  <c r="O527" i="7"/>
  <c r="G527" i="7"/>
  <c r="O526" i="7"/>
  <c r="G526" i="7"/>
  <c r="O525" i="7"/>
  <c r="G525" i="7"/>
  <c r="O524" i="7"/>
  <c r="G524" i="7"/>
  <c r="O523" i="7"/>
  <c r="G523" i="7"/>
  <c r="O522" i="7"/>
  <c r="G522" i="7"/>
  <c r="O521" i="7"/>
  <c r="G521" i="7"/>
  <c r="O520" i="7"/>
  <c r="G520" i="7"/>
  <c r="O519" i="7"/>
  <c r="O517" i="7"/>
  <c r="G517" i="7"/>
  <c r="O516" i="7"/>
  <c r="G516" i="7"/>
  <c r="O515" i="7"/>
  <c r="G515" i="7"/>
  <c r="O514" i="7"/>
  <c r="G514" i="7"/>
  <c r="O513" i="7"/>
  <c r="G513" i="7"/>
  <c r="O512" i="7"/>
  <c r="G512" i="7"/>
  <c r="O511" i="7"/>
  <c r="G511" i="7"/>
  <c r="O510" i="7"/>
  <c r="G510" i="7"/>
  <c r="G545" i="7" l="1"/>
  <c r="O545" i="7"/>
  <c r="G564" i="5"/>
  <c r="N587" i="5" l="1"/>
  <c r="M587" i="5"/>
  <c r="L587" i="5"/>
  <c r="K587" i="5"/>
  <c r="J587" i="5"/>
  <c r="F587" i="5"/>
  <c r="E587" i="5"/>
  <c r="D587" i="5"/>
  <c r="C587" i="5"/>
  <c r="B587" i="5"/>
  <c r="G586" i="5"/>
  <c r="O585" i="5"/>
  <c r="G585" i="5"/>
  <c r="G584" i="5"/>
  <c r="O583" i="5"/>
  <c r="G583" i="5"/>
  <c r="O582" i="5"/>
  <c r="G582" i="5"/>
  <c r="O581" i="5"/>
  <c r="G581" i="5"/>
  <c r="O580" i="5"/>
  <c r="G580" i="5"/>
  <c r="O579" i="5"/>
  <c r="G579" i="5"/>
  <c r="O578" i="5"/>
  <c r="O577" i="5"/>
  <c r="G577" i="5"/>
  <c r="O576" i="5"/>
  <c r="G576" i="5"/>
  <c r="O575" i="5"/>
  <c r="G575" i="5"/>
  <c r="O574" i="5"/>
  <c r="G574" i="5"/>
  <c r="O573" i="5"/>
  <c r="G573" i="5"/>
  <c r="O572" i="5"/>
  <c r="G572" i="5"/>
  <c r="O571" i="5"/>
  <c r="G571" i="5"/>
  <c r="O570" i="5"/>
  <c r="G570" i="5"/>
  <c r="O569" i="5"/>
  <c r="G569" i="5"/>
  <c r="O568" i="5"/>
  <c r="G568" i="5"/>
  <c r="O567" i="5"/>
  <c r="G567" i="5"/>
  <c r="O566" i="5"/>
  <c r="G566" i="5"/>
  <c r="O565" i="5"/>
  <c r="G565" i="5"/>
  <c r="O564" i="5"/>
  <c r="O563" i="5"/>
  <c r="G563" i="5"/>
  <c r="O562" i="5"/>
  <c r="G562" i="5"/>
  <c r="O561" i="5"/>
  <c r="G561" i="5"/>
  <c r="O559" i="5"/>
  <c r="G559" i="5"/>
  <c r="O558" i="5"/>
  <c r="G558" i="5"/>
  <c r="O557" i="5"/>
  <c r="G557" i="5"/>
  <c r="O556" i="5"/>
  <c r="G556" i="5"/>
  <c r="O555" i="5"/>
  <c r="G555" i="5"/>
  <c r="O554" i="5"/>
  <c r="G554" i="5"/>
  <c r="O553" i="5"/>
  <c r="G553" i="5"/>
  <c r="O552" i="5"/>
  <c r="G552" i="5"/>
  <c r="G587" i="5" l="1"/>
  <c r="O587" i="5"/>
  <c r="G516" i="5"/>
  <c r="G515" i="5"/>
  <c r="G514" i="5"/>
  <c r="O534" i="5" l="1"/>
  <c r="N729" i="3" l="1"/>
  <c r="M729" i="3"/>
  <c r="L729" i="3"/>
  <c r="K729" i="3"/>
  <c r="J729" i="3"/>
  <c r="F729" i="3"/>
  <c r="E729" i="3"/>
  <c r="D729" i="3"/>
  <c r="C729" i="3"/>
  <c r="B729" i="3"/>
  <c r="O728" i="3"/>
  <c r="G728" i="3"/>
  <c r="O727" i="3"/>
  <c r="G727" i="3"/>
  <c r="O726" i="3"/>
  <c r="G726" i="3"/>
  <c r="O725" i="3"/>
  <c r="G725" i="3"/>
  <c r="O724" i="3"/>
  <c r="G724" i="3"/>
  <c r="O723" i="3"/>
  <c r="G723" i="3"/>
  <c r="O722" i="3"/>
  <c r="G722" i="3"/>
  <c r="O721" i="3"/>
  <c r="G721" i="3"/>
  <c r="O720" i="3"/>
  <c r="G720" i="3"/>
  <c r="O719" i="3"/>
  <c r="G719" i="3"/>
  <c r="O718" i="3"/>
  <c r="G718" i="3"/>
  <c r="O717" i="3"/>
  <c r="G717" i="3"/>
  <c r="O716" i="3"/>
  <c r="G716" i="3"/>
  <c r="O715" i="3"/>
  <c r="G715" i="3"/>
  <c r="O714" i="3"/>
  <c r="G714" i="3"/>
  <c r="O713" i="3"/>
  <c r="G713" i="3"/>
  <c r="O712" i="3"/>
  <c r="G712" i="3"/>
  <c r="O711" i="3"/>
  <c r="G711" i="3"/>
  <c r="O710" i="3"/>
  <c r="G709" i="3"/>
  <c r="O708" i="3"/>
  <c r="G708" i="3"/>
  <c r="O707" i="3"/>
  <c r="G707" i="3"/>
  <c r="O706" i="3"/>
  <c r="G706" i="3"/>
  <c r="O705" i="3"/>
  <c r="G705" i="3"/>
  <c r="O704" i="3"/>
  <c r="G704" i="3"/>
  <c r="O703" i="3"/>
  <c r="O701" i="3"/>
  <c r="G701" i="3"/>
  <c r="O700" i="3"/>
  <c r="G700" i="3"/>
  <c r="O699" i="3"/>
  <c r="G699" i="3"/>
  <c r="O698" i="3"/>
  <c r="G698" i="3"/>
  <c r="O697" i="3"/>
  <c r="G697" i="3"/>
  <c r="O696" i="3"/>
  <c r="G696" i="3"/>
  <c r="O695" i="3"/>
  <c r="G695" i="3"/>
  <c r="O694" i="3"/>
  <c r="G694" i="3"/>
  <c r="O693" i="3"/>
  <c r="G693" i="3"/>
  <c r="O729" i="3" l="1"/>
  <c r="G729" i="3"/>
  <c r="N629" i="6" l="1"/>
  <c r="M629" i="6"/>
  <c r="L629" i="6"/>
  <c r="K629" i="6"/>
  <c r="J629" i="6"/>
  <c r="F629" i="6"/>
  <c r="E629" i="6"/>
  <c r="D629" i="6"/>
  <c r="C629" i="6"/>
  <c r="B629" i="6"/>
  <c r="G628" i="6"/>
  <c r="G627" i="6"/>
  <c r="G626" i="6"/>
  <c r="G625" i="6"/>
  <c r="G624" i="6"/>
  <c r="O623" i="6"/>
  <c r="G623" i="6"/>
  <c r="O622" i="6"/>
  <c r="G622" i="6"/>
  <c r="O621" i="6"/>
  <c r="G621" i="6"/>
  <c r="G620" i="6"/>
  <c r="O619" i="6"/>
  <c r="G619" i="6"/>
  <c r="O618" i="6"/>
  <c r="G618" i="6"/>
  <c r="O617" i="6"/>
  <c r="G617" i="6"/>
  <c r="O616" i="6"/>
  <c r="G616" i="6"/>
  <c r="O615" i="6"/>
  <c r="G615" i="6"/>
  <c r="O614" i="6"/>
  <c r="G614" i="6"/>
  <c r="O613" i="6"/>
  <c r="G613" i="6"/>
  <c r="O612" i="6"/>
  <c r="G612" i="6"/>
  <c r="O611" i="6"/>
  <c r="G611" i="6"/>
  <c r="O610" i="6"/>
  <c r="G610" i="6"/>
  <c r="O609" i="6"/>
  <c r="G609" i="6"/>
  <c r="O608" i="6"/>
  <c r="G608" i="6"/>
  <c r="O607" i="6"/>
  <c r="G607" i="6"/>
  <c r="O606" i="6"/>
  <c r="G606" i="6"/>
  <c r="O605" i="6"/>
  <c r="G605" i="6"/>
  <c r="O604" i="6"/>
  <c r="G604" i="6"/>
  <c r="O603" i="6"/>
  <c r="G603" i="6"/>
  <c r="O601" i="6"/>
  <c r="G601" i="6"/>
  <c r="O600" i="6"/>
  <c r="G600" i="6"/>
  <c r="O599" i="6"/>
  <c r="G599" i="6"/>
  <c r="O598" i="6"/>
  <c r="G598" i="6"/>
  <c r="O597" i="6"/>
  <c r="G597" i="6"/>
  <c r="O596" i="6"/>
  <c r="G596" i="6"/>
  <c r="O595" i="6"/>
  <c r="G595" i="6"/>
  <c r="O594" i="6"/>
  <c r="G594" i="6"/>
  <c r="G629" i="6" l="1"/>
  <c r="O629" i="6"/>
  <c r="O580" i="6"/>
  <c r="N1417" i="4" l="1"/>
  <c r="M1417" i="4"/>
  <c r="L1417" i="4"/>
  <c r="K1417" i="4"/>
  <c r="J1417" i="4"/>
  <c r="F1417" i="4"/>
  <c r="E1417" i="4"/>
  <c r="D1417" i="4"/>
  <c r="C1417" i="4"/>
  <c r="B1417" i="4"/>
  <c r="G1416" i="4"/>
  <c r="G1415" i="4"/>
  <c r="O1414" i="4"/>
  <c r="G1414" i="4"/>
  <c r="O1413" i="4"/>
  <c r="G1413" i="4"/>
  <c r="O1412" i="4"/>
  <c r="G1412" i="4"/>
  <c r="O1411" i="4"/>
  <c r="G1411" i="4"/>
  <c r="O1410" i="4"/>
  <c r="G1410" i="4"/>
  <c r="G1409" i="4"/>
  <c r="G1408" i="4"/>
  <c r="O1407" i="4"/>
  <c r="G1407" i="4"/>
  <c r="O1406" i="4"/>
  <c r="G1406" i="4"/>
  <c r="O1405" i="4"/>
  <c r="G1405" i="4"/>
  <c r="O1404" i="4"/>
  <c r="G1404" i="4"/>
  <c r="O1403" i="4"/>
  <c r="G1403" i="4"/>
  <c r="O1402" i="4"/>
  <c r="G1402" i="4"/>
  <c r="O1401" i="4"/>
  <c r="G1401" i="4"/>
  <c r="O1400" i="4"/>
  <c r="G1400" i="4"/>
  <c r="O1399" i="4"/>
  <c r="G1399" i="4"/>
  <c r="O1398" i="4"/>
  <c r="G1398" i="4"/>
  <c r="O1397" i="4"/>
  <c r="G1397" i="4"/>
  <c r="O1396" i="4"/>
  <c r="G1396" i="4"/>
  <c r="O1395" i="4"/>
  <c r="G1395" i="4"/>
  <c r="O1394" i="4"/>
  <c r="G1394" i="4"/>
  <c r="O1393" i="4"/>
  <c r="G1393" i="4"/>
  <c r="O1392" i="4"/>
  <c r="G1392" i="4"/>
  <c r="O1391" i="4"/>
  <c r="G1391" i="4"/>
  <c r="O1389" i="4"/>
  <c r="G1389" i="4"/>
  <c r="O1388" i="4"/>
  <c r="G1388" i="4"/>
  <c r="O1387" i="4"/>
  <c r="G1387" i="4"/>
  <c r="O1386" i="4"/>
  <c r="G1386" i="4"/>
  <c r="O1385" i="4"/>
  <c r="G1385" i="4"/>
  <c r="O1384" i="4"/>
  <c r="G1384" i="4"/>
  <c r="O1383" i="4"/>
  <c r="G1383" i="4"/>
  <c r="O1382" i="4"/>
  <c r="G1382" i="4"/>
  <c r="O1381" i="4"/>
  <c r="G1381" i="4"/>
  <c r="G1417" i="4" l="1"/>
  <c r="O1417" i="4"/>
  <c r="O539" i="5"/>
  <c r="O538" i="5"/>
  <c r="O456" i="7"/>
  <c r="O455" i="7"/>
  <c r="O460" i="7"/>
  <c r="O579" i="6"/>
  <c r="O578" i="6"/>
  <c r="O585" i="6"/>
  <c r="O543" i="5"/>
  <c r="O1369" i="4"/>
  <c r="O1368" i="4"/>
  <c r="O1372" i="4"/>
  <c r="O542" i="5" l="1"/>
  <c r="O541" i="5"/>
  <c r="O540" i="5"/>
  <c r="O501" i="5" l="1"/>
  <c r="O500" i="5"/>
  <c r="O499" i="5"/>
  <c r="O486" i="5" l="1"/>
  <c r="G498" i="5"/>
  <c r="O584" i="6" l="1"/>
  <c r="O583" i="6"/>
  <c r="O582" i="6"/>
  <c r="O581" i="6"/>
  <c r="O577" i="6"/>
  <c r="O576" i="6"/>
  <c r="O575" i="6"/>
  <c r="O459" i="7" l="1"/>
  <c r="O458" i="7"/>
  <c r="O457" i="7"/>
  <c r="O454" i="7"/>
  <c r="O453" i="7"/>
  <c r="O452" i="7"/>
  <c r="N503" i="7" l="1"/>
  <c r="M503" i="7"/>
  <c r="L503" i="7"/>
  <c r="K503" i="7"/>
  <c r="J503" i="7"/>
  <c r="F503" i="7"/>
  <c r="E503" i="7"/>
  <c r="D503" i="7"/>
  <c r="C503" i="7"/>
  <c r="B503" i="7"/>
  <c r="G502" i="7"/>
  <c r="G501" i="7"/>
  <c r="O500" i="7"/>
  <c r="G500" i="7"/>
  <c r="G499" i="7"/>
  <c r="G498" i="7"/>
  <c r="O497" i="7"/>
  <c r="G497" i="7"/>
  <c r="O496" i="7"/>
  <c r="G496" i="7"/>
  <c r="O495" i="7"/>
  <c r="G495" i="7"/>
  <c r="O494" i="7"/>
  <c r="G494" i="7"/>
  <c r="O493" i="7"/>
  <c r="G493" i="7"/>
  <c r="O492" i="7"/>
  <c r="G492" i="7"/>
  <c r="O491" i="7"/>
  <c r="G491" i="7"/>
  <c r="O490" i="7"/>
  <c r="G490" i="7"/>
  <c r="O489" i="7"/>
  <c r="G489" i="7"/>
  <c r="O488" i="7"/>
  <c r="G488" i="7"/>
  <c r="O487" i="7"/>
  <c r="G487" i="7"/>
  <c r="O486" i="7"/>
  <c r="G486" i="7"/>
  <c r="O485" i="7"/>
  <c r="G485" i="7"/>
  <c r="O484" i="7"/>
  <c r="G484" i="7"/>
  <c r="O483" i="7"/>
  <c r="G483" i="7"/>
  <c r="O482" i="7"/>
  <c r="G482" i="7"/>
  <c r="O481" i="7"/>
  <c r="G481" i="7"/>
  <c r="O480" i="7"/>
  <c r="G480" i="7"/>
  <c r="O479" i="7"/>
  <c r="G479" i="7"/>
  <c r="O478" i="7"/>
  <c r="G478" i="7"/>
  <c r="O477" i="7"/>
  <c r="O475" i="7"/>
  <c r="G475" i="7"/>
  <c r="O474" i="7"/>
  <c r="G474" i="7"/>
  <c r="O473" i="7"/>
  <c r="G473" i="7"/>
  <c r="O472" i="7"/>
  <c r="G472" i="7"/>
  <c r="O471" i="7"/>
  <c r="G471" i="7"/>
  <c r="O470" i="7"/>
  <c r="G470" i="7"/>
  <c r="O469" i="7"/>
  <c r="G469" i="7"/>
  <c r="O468" i="7"/>
  <c r="G468" i="7"/>
  <c r="O503" i="7" l="1"/>
  <c r="G503" i="7"/>
  <c r="O1371" i="4"/>
  <c r="O1370" i="4"/>
  <c r="O1367" i="4"/>
  <c r="O1366" i="4"/>
  <c r="O1365" i="4"/>
  <c r="O1364" i="4"/>
  <c r="O1363" i="4"/>
  <c r="O1362" i="4"/>
  <c r="O1361" i="4"/>
  <c r="O498" i="5" l="1"/>
  <c r="O497" i="5"/>
  <c r="O496" i="5"/>
  <c r="O495" i="5"/>
  <c r="O494" i="5"/>
  <c r="O492" i="5"/>
  <c r="O493" i="5"/>
  <c r="N545" i="5" l="1"/>
  <c r="M545" i="5"/>
  <c r="L545" i="5"/>
  <c r="K545" i="5"/>
  <c r="J545" i="5"/>
  <c r="F545" i="5"/>
  <c r="E545" i="5"/>
  <c r="D545" i="5"/>
  <c r="C545" i="5"/>
  <c r="B545" i="5"/>
  <c r="O544" i="5"/>
  <c r="G544" i="5"/>
  <c r="G543" i="5"/>
  <c r="G542" i="5"/>
  <c r="G541" i="5"/>
  <c r="G540" i="5"/>
  <c r="G539" i="5"/>
  <c r="G538" i="5"/>
  <c r="O537" i="5"/>
  <c r="G537" i="5"/>
  <c r="O536" i="5"/>
  <c r="O535" i="5"/>
  <c r="G535" i="5"/>
  <c r="G534" i="5"/>
  <c r="O533" i="5"/>
  <c r="G533" i="5"/>
  <c r="O532" i="5"/>
  <c r="G532" i="5"/>
  <c r="O531" i="5"/>
  <c r="G531" i="5"/>
  <c r="O530" i="5"/>
  <c r="G530" i="5"/>
  <c r="O529" i="5"/>
  <c r="G529" i="5"/>
  <c r="O528" i="5"/>
  <c r="G528" i="5"/>
  <c r="O527" i="5"/>
  <c r="G527" i="5"/>
  <c r="O526" i="5"/>
  <c r="G526" i="5"/>
  <c r="O525" i="5"/>
  <c r="G525" i="5"/>
  <c r="O524" i="5"/>
  <c r="G524" i="5"/>
  <c r="O523" i="5"/>
  <c r="G523" i="5"/>
  <c r="O522" i="5"/>
  <c r="G522" i="5"/>
  <c r="O521" i="5"/>
  <c r="G521" i="5"/>
  <c r="O520" i="5"/>
  <c r="G520" i="5"/>
  <c r="O519" i="5"/>
  <c r="G519" i="5"/>
  <c r="O517" i="5"/>
  <c r="G517" i="5"/>
  <c r="O516" i="5"/>
  <c r="O515" i="5"/>
  <c r="O514" i="5"/>
  <c r="O513" i="5"/>
  <c r="G513" i="5"/>
  <c r="O512" i="5"/>
  <c r="G512" i="5"/>
  <c r="O511" i="5"/>
  <c r="G511" i="5"/>
  <c r="O510" i="5"/>
  <c r="G510" i="5"/>
  <c r="G545" i="5" l="1"/>
  <c r="O545" i="5"/>
  <c r="N587" i="6"/>
  <c r="M587" i="6"/>
  <c r="L587" i="6"/>
  <c r="K587" i="6"/>
  <c r="J587" i="6"/>
  <c r="F587" i="6"/>
  <c r="E587" i="6"/>
  <c r="D587" i="6"/>
  <c r="C587" i="6"/>
  <c r="B587" i="6"/>
  <c r="O586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O574" i="6"/>
  <c r="G574" i="6"/>
  <c r="O573" i="6"/>
  <c r="G573" i="6"/>
  <c r="O572" i="6"/>
  <c r="G572" i="6"/>
  <c r="O571" i="6"/>
  <c r="G571" i="6"/>
  <c r="O570" i="6"/>
  <c r="G570" i="6"/>
  <c r="O569" i="6"/>
  <c r="G569" i="6"/>
  <c r="O568" i="6"/>
  <c r="G568" i="6"/>
  <c r="O567" i="6"/>
  <c r="G567" i="6"/>
  <c r="O566" i="6"/>
  <c r="G566" i="6"/>
  <c r="O565" i="6"/>
  <c r="G565" i="6"/>
  <c r="O564" i="6"/>
  <c r="G564" i="6"/>
  <c r="O563" i="6"/>
  <c r="G563" i="6"/>
  <c r="O562" i="6"/>
  <c r="G562" i="6"/>
  <c r="O561" i="6"/>
  <c r="G561" i="6"/>
  <c r="O559" i="6"/>
  <c r="G559" i="6"/>
  <c r="O558" i="6"/>
  <c r="G558" i="6"/>
  <c r="O557" i="6"/>
  <c r="G557" i="6"/>
  <c r="O556" i="6"/>
  <c r="G556" i="6"/>
  <c r="O555" i="6"/>
  <c r="G555" i="6"/>
  <c r="O554" i="6"/>
  <c r="G554" i="6"/>
  <c r="O553" i="6"/>
  <c r="G553" i="6"/>
  <c r="O552" i="6"/>
  <c r="G552" i="6"/>
  <c r="O587" i="6" l="1"/>
  <c r="G587" i="6"/>
  <c r="O833" i="2"/>
  <c r="O542" i="6" l="1"/>
  <c r="O541" i="6"/>
  <c r="O540" i="6"/>
  <c r="O539" i="6"/>
  <c r="O538" i="6"/>
  <c r="O537" i="6"/>
  <c r="O536" i="6"/>
  <c r="O535" i="6"/>
  <c r="O534" i="6"/>
  <c r="O533" i="6"/>
  <c r="O532" i="6"/>
  <c r="O543" i="6"/>
  <c r="O544" i="6"/>
  <c r="J545" i="6"/>
  <c r="K545" i="6"/>
  <c r="L545" i="6"/>
  <c r="M545" i="6"/>
  <c r="N545" i="6"/>
  <c r="O545" i="6" l="1"/>
  <c r="G1320" i="4"/>
  <c r="G404" i="7" l="1"/>
  <c r="G405" i="7"/>
  <c r="G497" i="6"/>
  <c r="G498" i="6"/>
  <c r="O454" i="5"/>
  <c r="O453" i="5"/>
  <c r="J14" i="2"/>
  <c r="J41" i="2"/>
  <c r="J84" i="2"/>
  <c r="J127" i="2"/>
  <c r="J170" i="2"/>
  <c r="J213" i="2"/>
  <c r="J256" i="2"/>
  <c r="J299" i="2"/>
  <c r="J342" i="2"/>
  <c r="J385" i="2"/>
  <c r="J428" i="2"/>
  <c r="J471" i="2"/>
  <c r="J514" i="2"/>
  <c r="J557" i="2"/>
  <c r="J600" i="2"/>
  <c r="J643" i="2"/>
  <c r="J686" i="2"/>
  <c r="J729" i="2"/>
  <c r="J772" i="2"/>
  <c r="J815" i="2"/>
  <c r="K815" i="2"/>
  <c r="K14" i="2"/>
  <c r="K41" i="2"/>
  <c r="K84" i="2"/>
  <c r="K127" i="2"/>
  <c r="K170" i="2"/>
  <c r="K213" i="2"/>
  <c r="K256" i="2"/>
  <c r="K299" i="2"/>
  <c r="K342" i="2"/>
  <c r="K385" i="2"/>
  <c r="K428" i="2"/>
  <c r="K471" i="2"/>
  <c r="K514" i="2"/>
  <c r="K557" i="2"/>
  <c r="K600" i="2"/>
  <c r="K643" i="2"/>
  <c r="K686" i="2"/>
  <c r="K729" i="2"/>
  <c r="K772" i="2"/>
  <c r="L14" i="2"/>
  <c r="L41" i="2"/>
  <c r="L84" i="2"/>
  <c r="L127" i="2"/>
  <c r="L170" i="2"/>
  <c r="L213" i="2"/>
  <c r="L256" i="2"/>
  <c r="L299" i="2"/>
  <c r="L342" i="2"/>
  <c r="L385" i="2"/>
  <c r="L428" i="2"/>
  <c r="L471" i="2"/>
  <c r="L514" i="2"/>
  <c r="L557" i="2"/>
  <c r="L600" i="2"/>
  <c r="L643" i="2"/>
  <c r="L686" i="2"/>
  <c r="L729" i="2"/>
  <c r="L772" i="2"/>
  <c r="L815" i="2"/>
  <c r="M14" i="2"/>
  <c r="M41" i="2"/>
  <c r="M84" i="2"/>
  <c r="M127" i="2"/>
  <c r="M170" i="2"/>
  <c r="M213" i="2"/>
  <c r="M256" i="2"/>
  <c r="M299" i="2"/>
  <c r="M342" i="2"/>
  <c r="M385" i="2"/>
  <c r="M428" i="2"/>
  <c r="M471" i="2"/>
  <c r="M514" i="2"/>
  <c r="M557" i="2"/>
  <c r="M600" i="2"/>
  <c r="M643" i="2"/>
  <c r="M686" i="2"/>
  <c r="M729" i="2"/>
  <c r="M772" i="2"/>
  <c r="M815" i="2"/>
  <c r="N14" i="2"/>
  <c r="N41" i="2"/>
  <c r="N84" i="2"/>
  <c r="N127" i="2"/>
  <c r="N170" i="2"/>
  <c r="N213" i="2"/>
  <c r="N256" i="2"/>
  <c r="N299" i="2"/>
  <c r="N342" i="2"/>
  <c r="N385" i="2"/>
  <c r="N428" i="2"/>
  <c r="N471" i="2"/>
  <c r="N514" i="2"/>
  <c r="N557" i="2"/>
  <c r="N600" i="2"/>
  <c r="N643" i="2"/>
  <c r="N686" i="2"/>
  <c r="N729" i="2"/>
  <c r="N772" i="2"/>
  <c r="N815" i="2"/>
  <c r="O822" i="2"/>
  <c r="O823" i="2"/>
  <c r="O824" i="2"/>
  <c r="O825" i="2"/>
  <c r="O826" i="2"/>
  <c r="O827" i="2"/>
  <c r="O828" i="2"/>
  <c r="O829" i="2"/>
  <c r="O830" i="2"/>
  <c r="J858" i="2"/>
  <c r="K858" i="2"/>
  <c r="L858" i="2"/>
  <c r="M858" i="2"/>
  <c r="N858" i="2"/>
  <c r="B14" i="2"/>
  <c r="B41" i="2"/>
  <c r="B84" i="2"/>
  <c r="B127" i="2"/>
  <c r="B170" i="2"/>
  <c r="B213" i="2"/>
  <c r="B256" i="2"/>
  <c r="B299" i="2"/>
  <c r="B342" i="2"/>
  <c r="B385" i="2"/>
  <c r="B428" i="2"/>
  <c r="B471" i="2"/>
  <c r="B514" i="2"/>
  <c r="B557" i="2"/>
  <c r="B600" i="2"/>
  <c r="B643" i="2"/>
  <c r="B686" i="2"/>
  <c r="B729" i="2"/>
  <c r="B772" i="2"/>
  <c r="B815" i="2"/>
  <c r="C815" i="2"/>
  <c r="C14" i="2"/>
  <c r="C41" i="2"/>
  <c r="C84" i="2"/>
  <c r="C127" i="2"/>
  <c r="C170" i="2"/>
  <c r="C213" i="2"/>
  <c r="C256" i="2"/>
  <c r="C299" i="2"/>
  <c r="C342" i="2"/>
  <c r="C385" i="2"/>
  <c r="C428" i="2"/>
  <c r="C471" i="2"/>
  <c r="C514" i="2"/>
  <c r="C557" i="2"/>
  <c r="C600" i="2"/>
  <c r="C643" i="2"/>
  <c r="C686" i="2"/>
  <c r="C729" i="2"/>
  <c r="C772" i="2"/>
  <c r="D14" i="2"/>
  <c r="D41" i="2"/>
  <c r="D84" i="2"/>
  <c r="D127" i="2"/>
  <c r="D170" i="2"/>
  <c r="D213" i="2"/>
  <c r="D256" i="2"/>
  <c r="D299" i="2"/>
  <c r="D342" i="2"/>
  <c r="D385" i="2"/>
  <c r="D428" i="2"/>
  <c r="D471" i="2"/>
  <c r="D514" i="2"/>
  <c r="D557" i="2"/>
  <c r="D600" i="2"/>
  <c r="D643" i="2"/>
  <c r="D686" i="2"/>
  <c r="D729" i="2"/>
  <c r="D772" i="2"/>
  <c r="D815" i="2"/>
  <c r="E815" i="2"/>
  <c r="E14" i="2"/>
  <c r="E41" i="2"/>
  <c r="E84" i="2"/>
  <c r="E127" i="2"/>
  <c r="E170" i="2"/>
  <c r="E213" i="2"/>
  <c r="E256" i="2"/>
  <c r="E299" i="2"/>
  <c r="E342" i="2"/>
  <c r="E385" i="2"/>
  <c r="E428" i="2"/>
  <c r="E471" i="2"/>
  <c r="E514" i="2"/>
  <c r="E557" i="2"/>
  <c r="E600" i="2"/>
  <c r="E643" i="2"/>
  <c r="E686" i="2"/>
  <c r="E729" i="2"/>
  <c r="E772" i="2"/>
  <c r="F815" i="2"/>
  <c r="F14" i="2"/>
  <c r="F41" i="2"/>
  <c r="F84" i="2"/>
  <c r="F127" i="2"/>
  <c r="F170" i="2"/>
  <c r="F213" i="2"/>
  <c r="F256" i="2"/>
  <c r="F299" i="2"/>
  <c r="F342" i="2"/>
  <c r="F385" i="2"/>
  <c r="F428" i="2"/>
  <c r="F471" i="2"/>
  <c r="F514" i="2"/>
  <c r="F557" i="2"/>
  <c r="F600" i="2"/>
  <c r="F643" i="2"/>
  <c r="F686" i="2"/>
  <c r="F729" i="2"/>
  <c r="F772" i="2"/>
  <c r="G822" i="2"/>
  <c r="G823" i="2"/>
  <c r="G824" i="2"/>
  <c r="G825" i="2"/>
  <c r="G826" i="2"/>
  <c r="G827" i="2"/>
  <c r="G829" i="2"/>
  <c r="G830" i="2"/>
  <c r="B858" i="2"/>
  <c r="C858" i="2"/>
  <c r="D858" i="2"/>
  <c r="E858" i="2"/>
  <c r="F858" i="2"/>
  <c r="O857" i="2"/>
  <c r="G857" i="2"/>
  <c r="O856" i="2"/>
  <c r="G856" i="2"/>
  <c r="O855" i="2"/>
  <c r="G855" i="2"/>
  <c r="O854" i="2"/>
  <c r="G854" i="2"/>
  <c r="O853" i="2"/>
  <c r="G853" i="2"/>
  <c r="O852" i="2"/>
  <c r="G852" i="2"/>
  <c r="O851" i="2"/>
  <c r="G851" i="2"/>
  <c r="O850" i="2"/>
  <c r="G850" i="2"/>
  <c r="O849" i="2"/>
  <c r="G849" i="2"/>
  <c r="O848" i="2"/>
  <c r="G848" i="2"/>
  <c r="O847" i="2"/>
  <c r="G847" i="2"/>
  <c r="O846" i="2"/>
  <c r="G846" i="2"/>
  <c r="O845" i="2"/>
  <c r="G845" i="2"/>
  <c r="O844" i="2"/>
  <c r="O843" i="2"/>
  <c r="G843" i="2"/>
  <c r="O842" i="2"/>
  <c r="G842" i="2"/>
  <c r="G841" i="2"/>
  <c r="O840" i="2"/>
  <c r="O839" i="2"/>
  <c r="G839" i="2"/>
  <c r="O838" i="2"/>
  <c r="G838" i="2"/>
  <c r="O837" i="2"/>
  <c r="G837" i="2"/>
  <c r="O836" i="2"/>
  <c r="G836" i="2"/>
  <c r="O835" i="2"/>
  <c r="G835" i="2"/>
  <c r="O834" i="2"/>
  <c r="G834" i="2"/>
  <c r="G833" i="2"/>
  <c r="O832" i="2"/>
  <c r="G832" i="2"/>
  <c r="O797" i="2"/>
  <c r="O470" i="5"/>
  <c r="J503" i="6"/>
  <c r="J14" i="6"/>
  <c r="J41" i="6"/>
  <c r="J83" i="6"/>
  <c r="J125" i="6"/>
  <c r="J167" i="6"/>
  <c r="J209" i="6"/>
  <c r="J251" i="6"/>
  <c r="J293" i="6"/>
  <c r="J335" i="6"/>
  <c r="J377" i="6"/>
  <c r="J419" i="6"/>
  <c r="J461" i="6"/>
  <c r="K503" i="6"/>
  <c r="K14" i="6"/>
  <c r="K41" i="6"/>
  <c r="K83" i="6"/>
  <c r="K125" i="6"/>
  <c r="K167" i="6"/>
  <c r="K209" i="6"/>
  <c r="K251" i="6"/>
  <c r="K293" i="6"/>
  <c r="K335" i="6"/>
  <c r="K377" i="6"/>
  <c r="K419" i="6"/>
  <c r="K461" i="6"/>
  <c r="L503" i="6"/>
  <c r="L14" i="6"/>
  <c r="L41" i="6"/>
  <c r="L83" i="6"/>
  <c r="L125" i="6"/>
  <c r="L167" i="6"/>
  <c r="L209" i="6"/>
  <c r="L251" i="6"/>
  <c r="L293" i="6"/>
  <c r="L335" i="6"/>
  <c r="L377" i="6"/>
  <c r="L419" i="6"/>
  <c r="L461" i="6"/>
  <c r="M503" i="6"/>
  <c r="M14" i="6"/>
  <c r="M41" i="6"/>
  <c r="M83" i="6"/>
  <c r="M125" i="6"/>
  <c r="M167" i="6"/>
  <c r="M209" i="6"/>
  <c r="M251" i="6"/>
  <c r="M293" i="6"/>
  <c r="M335" i="6"/>
  <c r="M377" i="6"/>
  <c r="M419" i="6"/>
  <c r="M461" i="6"/>
  <c r="N503" i="6"/>
  <c r="N14" i="6"/>
  <c r="N41" i="6"/>
  <c r="N83" i="6"/>
  <c r="N125" i="6"/>
  <c r="N167" i="6"/>
  <c r="N209" i="6"/>
  <c r="N251" i="6"/>
  <c r="N293" i="6"/>
  <c r="N335" i="6"/>
  <c r="N377" i="6"/>
  <c r="N419" i="6"/>
  <c r="N461" i="6"/>
  <c r="B14" i="6"/>
  <c r="B41" i="6"/>
  <c r="B83" i="6"/>
  <c r="B125" i="6"/>
  <c r="B167" i="6"/>
  <c r="B209" i="6"/>
  <c r="B251" i="6"/>
  <c r="B293" i="6"/>
  <c r="B335" i="6"/>
  <c r="B377" i="6"/>
  <c r="B419" i="6"/>
  <c r="B461" i="6"/>
  <c r="B503" i="6"/>
  <c r="C14" i="6"/>
  <c r="C41" i="6"/>
  <c r="C83" i="6"/>
  <c r="C125" i="6"/>
  <c r="C167" i="6"/>
  <c r="C209" i="6"/>
  <c r="C251" i="6"/>
  <c r="C293" i="6"/>
  <c r="C335" i="6"/>
  <c r="C377" i="6"/>
  <c r="C419" i="6"/>
  <c r="C461" i="6"/>
  <c r="C503" i="6"/>
  <c r="D14" i="6"/>
  <c r="D41" i="6"/>
  <c r="D83" i="6"/>
  <c r="D125" i="6"/>
  <c r="D167" i="6"/>
  <c r="D209" i="6"/>
  <c r="D251" i="6"/>
  <c r="D293" i="6"/>
  <c r="D335" i="6"/>
  <c r="D377" i="6"/>
  <c r="D419" i="6"/>
  <c r="D461" i="6"/>
  <c r="D503" i="6"/>
  <c r="E14" i="6"/>
  <c r="E41" i="6"/>
  <c r="E83" i="6"/>
  <c r="E125" i="6"/>
  <c r="E167" i="6"/>
  <c r="E209" i="6"/>
  <c r="E251" i="6"/>
  <c r="E293" i="6"/>
  <c r="E335" i="6"/>
  <c r="E377" i="6"/>
  <c r="E419" i="6"/>
  <c r="E461" i="6"/>
  <c r="E503" i="6"/>
  <c r="F503" i="6"/>
  <c r="F14" i="6"/>
  <c r="F41" i="6"/>
  <c r="F83" i="6"/>
  <c r="F125" i="6"/>
  <c r="F167" i="6"/>
  <c r="F209" i="6"/>
  <c r="F251" i="6"/>
  <c r="F293" i="6"/>
  <c r="F335" i="6"/>
  <c r="F377" i="6"/>
  <c r="F419" i="6"/>
  <c r="F461" i="6"/>
  <c r="B545" i="6"/>
  <c r="C545" i="6"/>
  <c r="D545" i="6"/>
  <c r="E545" i="6"/>
  <c r="F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O531" i="6"/>
  <c r="G531" i="6"/>
  <c r="O530" i="6"/>
  <c r="G530" i="6"/>
  <c r="O529" i="6"/>
  <c r="G529" i="6"/>
  <c r="O528" i="6"/>
  <c r="G528" i="6"/>
  <c r="O527" i="6"/>
  <c r="G527" i="6"/>
  <c r="O526" i="6"/>
  <c r="G526" i="6"/>
  <c r="O525" i="6"/>
  <c r="G525" i="6"/>
  <c r="O524" i="6"/>
  <c r="G524" i="6"/>
  <c r="O523" i="6"/>
  <c r="G523" i="6"/>
  <c r="O522" i="6"/>
  <c r="G522" i="6"/>
  <c r="O521" i="6"/>
  <c r="G521" i="6"/>
  <c r="O520" i="6"/>
  <c r="G520" i="6"/>
  <c r="O519" i="6"/>
  <c r="G519" i="6"/>
  <c r="O517" i="6"/>
  <c r="G517" i="6"/>
  <c r="O516" i="6"/>
  <c r="G516" i="6"/>
  <c r="O515" i="6"/>
  <c r="G515" i="6"/>
  <c r="O514" i="6"/>
  <c r="G514" i="6"/>
  <c r="O513" i="6"/>
  <c r="G513" i="6"/>
  <c r="O512" i="6"/>
  <c r="G512" i="6"/>
  <c r="O511" i="6"/>
  <c r="G511" i="6"/>
  <c r="O510" i="6"/>
  <c r="G510" i="6"/>
  <c r="J377" i="7"/>
  <c r="J14" i="7"/>
  <c r="J41" i="7"/>
  <c r="J83" i="7"/>
  <c r="J125" i="7"/>
  <c r="J167" i="7"/>
  <c r="J209" i="7"/>
  <c r="J251" i="7"/>
  <c r="J293" i="7"/>
  <c r="J335" i="7"/>
  <c r="J419" i="7"/>
  <c r="K377" i="7"/>
  <c r="K14" i="7"/>
  <c r="K41" i="7"/>
  <c r="K83" i="7"/>
  <c r="K125" i="7"/>
  <c r="K167" i="7"/>
  <c r="K209" i="7"/>
  <c r="K251" i="7"/>
  <c r="K293" i="7"/>
  <c r="K335" i="7"/>
  <c r="K419" i="7"/>
  <c r="L377" i="7"/>
  <c r="L14" i="7"/>
  <c r="L41" i="7"/>
  <c r="L83" i="7"/>
  <c r="L125" i="7"/>
  <c r="L167" i="7"/>
  <c r="L209" i="7"/>
  <c r="L251" i="7"/>
  <c r="L293" i="7"/>
  <c r="L335" i="7"/>
  <c r="L419" i="7"/>
  <c r="M377" i="7"/>
  <c r="M14" i="7"/>
  <c r="M41" i="7"/>
  <c r="M83" i="7"/>
  <c r="M125" i="7"/>
  <c r="M167" i="7"/>
  <c r="M209" i="7"/>
  <c r="M251" i="7"/>
  <c r="M293" i="7"/>
  <c r="M335" i="7"/>
  <c r="M419" i="7"/>
  <c r="N377" i="7"/>
  <c r="N14" i="7"/>
  <c r="N41" i="7"/>
  <c r="N83" i="7"/>
  <c r="N125" i="7"/>
  <c r="N167" i="7"/>
  <c r="N209" i="7"/>
  <c r="N251" i="7"/>
  <c r="N293" i="7"/>
  <c r="N335" i="7"/>
  <c r="N419" i="7"/>
  <c r="O426" i="7"/>
  <c r="O427" i="7"/>
  <c r="O428" i="7"/>
  <c r="O429" i="7"/>
  <c r="O430" i="7"/>
  <c r="O431" i="7"/>
  <c r="O432" i="7"/>
  <c r="O433" i="7"/>
  <c r="J461" i="7"/>
  <c r="K461" i="7"/>
  <c r="L461" i="7"/>
  <c r="M461" i="7"/>
  <c r="N461" i="7"/>
  <c r="B14" i="7"/>
  <c r="B41" i="7"/>
  <c r="B83" i="7"/>
  <c r="B125" i="7"/>
  <c r="B167" i="7"/>
  <c r="B209" i="7"/>
  <c r="B251" i="7"/>
  <c r="B293" i="7"/>
  <c r="B335" i="7"/>
  <c r="B377" i="7"/>
  <c r="B419" i="7"/>
  <c r="C14" i="7"/>
  <c r="C41" i="7"/>
  <c r="C83" i="7"/>
  <c r="C125" i="7"/>
  <c r="C167" i="7"/>
  <c r="C209" i="7"/>
  <c r="C251" i="7"/>
  <c r="C293" i="7"/>
  <c r="C335" i="7"/>
  <c r="C377" i="7"/>
  <c r="C419" i="7"/>
  <c r="D14" i="7"/>
  <c r="D41" i="7"/>
  <c r="D83" i="7"/>
  <c r="D125" i="7"/>
  <c r="D167" i="7"/>
  <c r="D209" i="7"/>
  <c r="D251" i="7"/>
  <c r="D293" i="7"/>
  <c r="D335" i="7"/>
  <c r="D377" i="7"/>
  <c r="D419" i="7"/>
  <c r="E377" i="7"/>
  <c r="E14" i="7"/>
  <c r="E41" i="7"/>
  <c r="E83" i="7"/>
  <c r="E125" i="7"/>
  <c r="E167" i="7"/>
  <c r="E209" i="7"/>
  <c r="E251" i="7"/>
  <c r="E293" i="7"/>
  <c r="E335" i="7"/>
  <c r="E419" i="7"/>
  <c r="F14" i="7"/>
  <c r="F41" i="7"/>
  <c r="F83" i="7"/>
  <c r="F125" i="7"/>
  <c r="F167" i="7"/>
  <c r="F209" i="7"/>
  <c r="F251" i="7"/>
  <c r="F293" i="7"/>
  <c r="F335" i="7"/>
  <c r="F377" i="7"/>
  <c r="F419" i="7"/>
  <c r="G426" i="7"/>
  <c r="G427" i="7"/>
  <c r="G428" i="7"/>
  <c r="G429" i="7"/>
  <c r="G430" i="7"/>
  <c r="G431" i="7"/>
  <c r="G432" i="7"/>
  <c r="G433" i="7"/>
  <c r="B461" i="7"/>
  <c r="C461" i="7"/>
  <c r="D461" i="7"/>
  <c r="E461" i="7"/>
  <c r="F461" i="7"/>
  <c r="G460" i="7"/>
  <c r="G459" i="7"/>
  <c r="G458" i="7"/>
  <c r="G457" i="7"/>
  <c r="G456" i="7"/>
  <c r="G455" i="7"/>
  <c r="G454" i="7"/>
  <c r="G453" i="7"/>
  <c r="G452" i="7"/>
  <c r="O451" i="7"/>
  <c r="G451" i="7"/>
  <c r="O450" i="7"/>
  <c r="G450" i="7"/>
  <c r="O449" i="7"/>
  <c r="G449" i="7"/>
  <c r="O448" i="7"/>
  <c r="G448" i="7"/>
  <c r="O447" i="7"/>
  <c r="G447" i="7"/>
  <c r="O446" i="7"/>
  <c r="G446" i="7"/>
  <c r="O445" i="7"/>
  <c r="G445" i="7"/>
  <c r="O444" i="7"/>
  <c r="G444" i="7"/>
  <c r="O443" i="7"/>
  <c r="G443" i="7"/>
  <c r="O442" i="7"/>
  <c r="G442" i="7"/>
  <c r="O441" i="7"/>
  <c r="G441" i="7"/>
  <c r="O440" i="7"/>
  <c r="G440" i="7"/>
  <c r="O439" i="7"/>
  <c r="G439" i="7"/>
  <c r="O438" i="7"/>
  <c r="G438" i="7"/>
  <c r="O437" i="7"/>
  <c r="G437" i="7"/>
  <c r="O436" i="7"/>
  <c r="G436" i="7"/>
  <c r="O435" i="7"/>
  <c r="G435" i="7"/>
  <c r="J14" i="5"/>
  <c r="J41" i="5"/>
  <c r="J83" i="5"/>
  <c r="J125" i="5"/>
  <c r="J167" i="5"/>
  <c r="J209" i="5"/>
  <c r="J251" i="5"/>
  <c r="J293" i="5"/>
  <c r="J335" i="5"/>
  <c r="J377" i="5"/>
  <c r="J419" i="5"/>
  <c r="J461" i="5"/>
  <c r="K14" i="5"/>
  <c r="K41" i="5"/>
  <c r="K83" i="5"/>
  <c r="K125" i="5"/>
  <c r="K167" i="5"/>
  <c r="K209" i="5"/>
  <c r="K251" i="5"/>
  <c r="K293" i="5"/>
  <c r="K335" i="5"/>
  <c r="K377" i="5"/>
  <c r="K419" i="5"/>
  <c r="K461" i="5"/>
  <c r="L14" i="5"/>
  <c r="L41" i="5"/>
  <c r="L83" i="5"/>
  <c r="L125" i="5"/>
  <c r="L167" i="5"/>
  <c r="L209" i="5"/>
  <c r="L251" i="5"/>
  <c r="L293" i="5"/>
  <c r="L335" i="5"/>
  <c r="L377" i="5"/>
  <c r="L419" i="5"/>
  <c r="L461" i="5"/>
  <c r="M14" i="5"/>
  <c r="M41" i="5"/>
  <c r="M83" i="5"/>
  <c r="M125" i="5"/>
  <c r="M167" i="5"/>
  <c r="M209" i="5"/>
  <c r="M251" i="5"/>
  <c r="M293" i="5"/>
  <c r="M335" i="5"/>
  <c r="M377" i="5"/>
  <c r="M419" i="5"/>
  <c r="M461" i="5"/>
  <c r="N14" i="5"/>
  <c r="N41" i="5"/>
  <c r="N83" i="5"/>
  <c r="N125" i="5"/>
  <c r="N167" i="5"/>
  <c r="N209" i="5"/>
  <c r="N251" i="5"/>
  <c r="N293" i="5"/>
  <c r="N335" i="5"/>
  <c r="N377" i="5"/>
  <c r="N419" i="5"/>
  <c r="N461" i="5"/>
  <c r="O468" i="5"/>
  <c r="O469" i="5"/>
  <c r="O471" i="5"/>
  <c r="O472" i="5"/>
  <c r="O473" i="5"/>
  <c r="O474" i="5"/>
  <c r="O475" i="5"/>
  <c r="J503" i="5"/>
  <c r="K503" i="5"/>
  <c r="L503" i="5"/>
  <c r="M503" i="5"/>
  <c r="N503" i="5"/>
  <c r="B14" i="5"/>
  <c r="B41" i="5"/>
  <c r="B83" i="5"/>
  <c r="B125" i="5"/>
  <c r="B167" i="5"/>
  <c r="B209" i="5"/>
  <c r="B251" i="5"/>
  <c r="B293" i="5"/>
  <c r="B335" i="5"/>
  <c r="B377" i="5"/>
  <c r="B419" i="5"/>
  <c r="B461" i="5"/>
  <c r="C14" i="5"/>
  <c r="C41" i="5"/>
  <c r="C83" i="5"/>
  <c r="C125" i="5"/>
  <c r="C167" i="5"/>
  <c r="C209" i="5"/>
  <c r="C251" i="5"/>
  <c r="C293" i="5"/>
  <c r="C335" i="5"/>
  <c r="C377" i="5"/>
  <c r="C419" i="5"/>
  <c r="C461" i="5"/>
  <c r="D14" i="5"/>
  <c r="D41" i="5"/>
  <c r="D83" i="5"/>
  <c r="D125" i="5"/>
  <c r="D167" i="5"/>
  <c r="D209" i="5"/>
  <c r="D251" i="5"/>
  <c r="D293" i="5"/>
  <c r="D335" i="5"/>
  <c r="D377" i="5"/>
  <c r="D419" i="5"/>
  <c r="D461" i="5"/>
  <c r="E14" i="5"/>
  <c r="E41" i="5"/>
  <c r="E83" i="5"/>
  <c r="E125" i="5"/>
  <c r="E167" i="5"/>
  <c r="E209" i="5"/>
  <c r="E251" i="5"/>
  <c r="E293" i="5"/>
  <c r="E335" i="5"/>
  <c r="E377" i="5"/>
  <c r="E419" i="5"/>
  <c r="E461" i="5"/>
  <c r="F14" i="5"/>
  <c r="F41" i="5"/>
  <c r="F83" i="5"/>
  <c r="F125" i="5"/>
  <c r="F167" i="5"/>
  <c r="F209" i="5"/>
  <c r="F251" i="5"/>
  <c r="F293" i="5"/>
  <c r="F335" i="5"/>
  <c r="F377" i="5"/>
  <c r="F419" i="5"/>
  <c r="F461" i="5"/>
  <c r="G468" i="5"/>
  <c r="G469" i="5"/>
  <c r="G470" i="5"/>
  <c r="G471" i="5"/>
  <c r="G472" i="5"/>
  <c r="G473" i="5"/>
  <c r="G474" i="5"/>
  <c r="G475" i="5"/>
  <c r="B503" i="5"/>
  <c r="C503" i="5"/>
  <c r="D503" i="5"/>
  <c r="E503" i="5"/>
  <c r="F503" i="5"/>
  <c r="O502" i="5"/>
  <c r="G502" i="5"/>
  <c r="G501" i="5"/>
  <c r="G500" i="5"/>
  <c r="G499" i="5"/>
  <c r="G497" i="5"/>
  <c r="G496" i="5"/>
  <c r="G495" i="5"/>
  <c r="G494" i="5"/>
  <c r="G493" i="5"/>
  <c r="G492" i="5"/>
  <c r="O491" i="5"/>
  <c r="G491" i="5"/>
  <c r="O490" i="5"/>
  <c r="G490" i="5"/>
  <c r="O489" i="5"/>
  <c r="G489" i="5"/>
  <c r="O488" i="5"/>
  <c r="G488" i="5"/>
  <c r="O487" i="5"/>
  <c r="G487" i="5"/>
  <c r="G486" i="5"/>
  <c r="O485" i="5"/>
  <c r="G485" i="5"/>
  <c r="O484" i="5"/>
  <c r="G484" i="5"/>
  <c r="O483" i="5"/>
  <c r="G483" i="5"/>
  <c r="O482" i="5"/>
  <c r="G482" i="5"/>
  <c r="O481" i="5"/>
  <c r="G481" i="5"/>
  <c r="O480" i="5"/>
  <c r="G480" i="5"/>
  <c r="O479" i="5"/>
  <c r="G479" i="5"/>
  <c r="O478" i="5"/>
  <c r="G478" i="5"/>
  <c r="O477" i="5"/>
  <c r="G477" i="5"/>
  <c r="J14" i="4"/>
  <c r="J41" i="4"/>
  <c r="J84" i="4"/>
  <c r="J127" i="4"/>
  <c r="J170" i="4"/>
  <c r="J213" i="4"/>
  <c r="J256" i="4"/>
  <c r="J299" i="4"/>
  <c r="J342" i="4"/>
  <c r="J385" i="4"/>
  <c r="J428" i="4"/>
  <c r="J471" i="4"/>
  <c r="J514" i="4"/>
  <c r="J557" i="4"/>
  <c r="J600" i="4"/>
  <c r="J643" i="4"/>
  <c r="J686" i="4"/>
  <c r="J729" i="4"/>
  <c r="J772" i="4"/>
  <c r="J815" i="4"/>
  <c r="J858" i="4"/>
  <c r="J901" i="4"/>
  <c r="J944" i="4"/>
  <c r="J987" i="4"/>
  <c r="J1030" i="4"/>
  <c r="J1073" i="4"/>
  <c r="J1116" i="4"/>
  <c r="J1159" i="4"/>
  <c r="J1202" i="4"/>
  <c r="J1245" i="4"/>
  <c r="J1288" i="4"/>
  <c r="J1331" i="4"/>
  <c r="K14" i="4"/>
  <c r="K41" i="4"/>
  <c r="K84" i="4"/>
  <c r="K127" i="4"/>
  <c r="K170" i="4"/>
  <c r="K213" i="4"/>
  <c r="K256" i="4"/>
  <c r="K299" i="4"/>
  <c r="K342" i="4"/>
  <c r="K385" i="4"/>
  <c r="K428" i="4"/>
  <c r="K471" i="4"/>
  <c r="K514" i="4"/>
  <c r="K557" i="4"/>
  <c r="K600" i="4"/>
  <c r="K643" i="4"/>
  <c r="K686" i="4"/>
  <c r="K729" i="4"/>
  <c r="K772" i="4"/>
  <c r="K815" i="4"/>
  <c r="K858" i="4"/>
  <c r="K901" i="4"/>
  <c r="K944" i="4"/>
  <c r="K987" i="4"/>
  <c r="K1030" i="4"/>
  <c r="K1073" i="4"/>
  <c r="K1116" i="4"/>
  <c r="K1159" i="4"/>
  <c r="K1202" i="4"/>
  <c r="K1245" i="4"/>
  <c r="K1288" i="4"/>
  <c r="K1331" i="4"/>
  <c r="L14" i="4"/>
  <c r="L41" i="4"/>
  <c r="L84" i="4"/>
  <c r="L127" i="4"/>
  <c r="L170" i="4"/>
  <c r="L213" i="4"/>
  <c r="L256" i="4"/>
  <c r="L299" i="4"/>
  <c r="L342" i="4"/>
  <c r="L385" i="4"/>
  <c r="L428" i="4"/>
  <c r="L471" i="4"/>
  <c r="L514" i="4"/>
  <c r="L557" i="4"/>
  <c r="L600" i="4"/>
  <c r="L643" i="4"/>
  <c r="L686" i="4"/>
  <c r="L729" i="4"/>
  <c r="L772" i="4"/>
  <c r="L815" i="4"/>
  <c r="L858" i="4"/>
  <c r="L901" i="4"/>
  <c r="L944" i="4"/>
  <c r="L987" i="4"/>
  <c r="L1030" i="4"/>
  <c r="L1073" i="4"/>
  <c r="L1116" i="4"/>
  <c r="L1159" i="4"/>
  <c r="L1202" i="4"/>
  <c r="L1245" i="4"/>
  <c r="L1288" i="4"/>
  <c r="L1331" i="4"/>
  <c r="M14" i="4"/>
  <c r="M41" i="4"/>
  <c r="M84" i="4"/>
  <c r="M127" i="4"/>
  <c r="M170" i="4"/>
  <c r="M213" i="4"/>
  <c r="M256" i="4"/>
  <c r="M299" i="4"/>
  <c r="M342" i="4"/>
  <c r="M385" i="4"/>
  <c r="M428" i="4"/>
  <c r="M471" i="4"/>
  <c r="M514" i="4"/>
  <c r="M557" i="4"/>
  <c r="M600" i="4"/>
  <c r="M643" i="4"/>
  <c r="M686" i="4"/>
  <c r="M729" i="4"/>
  <c r="M772" i="4"/>
  <c r="M815" i="4"/>
  <c r="M858" i="4"/>
  <c r="M901" i="4"/>
  <c r="M944" i="4"/>
  <c r="M987" i="4"/>
  <c r="M1030" i="4"/>
  <c r="M1073" i="4"/>
  <c r="M1116" i="4"/>
  <c r="M1159" i="4"/>
  <c r="M1202" i="4"/>
  <c r="M1245" i="4"/>
  <c r="M1288" i="4"/>
  <c r="M1331" i="4"/>
  <c r="N14" i="4"/>
  <c r="N41" i="4"/>
  <c r="N84" i="4"/>
  <c r="N127" i="4"/>
  <c r="N170" i="4"/>
  <c r="N213" i="4"/>
  <c r="N256" i="4"/>
  <c r="N299" i="4"/>
  <c r="N342" i="4"/>
  <c r="N385" i="4"/>
  <c r="N428" i="4"/>
  <c r="N471" i="4"/>
  <c r="N514" i="4"/>
  <c r="N557" i="4"/>
  <c r="N600" i="4"/>
  <c r="N643" i="4"/>
  <c r="N686" i="4"/>
  <c r="N729" i="4"/>
  <c r="N772" i="4"/>
  <c r="N815" i="4"/>
  <c r="N858" i="4"/>
  <c r="N901" i="4"/>
  <c r="N944" i="4"/>
  <c r="N987" i="4"/>
  <c r="N1030" i="4"/>
  <c r="N1073" i="4"/>
  <c r="N1116" i="4"/>
  <c r="N1159" i="4"/>
  <c r="N1202" i="4"/>
  <c r="N1245" i="4"/>
  <c r="N1288" i="4"/>
  <c r="N1331" i="4"/>
  <c r="O1338" i="4"/>
  <c r="O1339" i="4"/>
  <c r="O1340" i="4"/>
  <c r="O1341" i="4"/>
  <c r="O1342" i="4"/>
  <c r="O1343" i="4"/>
  <c r="O1344" i="4"/>
  <c r="O1345" i="4"/>
  <c r="O1346" i="4"/>
  <c r="J1374" i="4"/>
  <c r="K1374" i="4"/>
  <c r="L1374" i="4"/>
  <c r="M1374" i="4"/>
  <c r="N1374" i="4"/>
  <c r="B14" i="4"/>
  <c r="B41" i="4"/>
  <c r="B84" i="4"/>
  <c r="B127" i="4"/>
  <c r="B170" i="4"/>
  <c r="B213" i="4"/>
  <c r="B256" i="4"/>
  <c r="B299" i="4"/>
  <c r="B342" i="4"/>
  <c r="B385" i="4"/>
  <c r="B428" i="4"/>
  <c r="B471" i="4"/>
  <c r="B514" i="4"/>
  <c r="B557" i="4"/>
  <c r="B600" i="4"/>
  <c r="B643" i="4"/>
  <c r="B686" i="4"/>
  <c r="B729" i="4"/>
  <c r="B772" i="4"/>
  <c r="B815" i="4"/>
  <c r="B858" i="4"/>
  <c r="B901" i="4"/>
  <c r="B944" i="4"/>
  <c r="B987" i="4"/>
  <c r="B1030" i="4"/>
  <c r="B1073" i="4"/>
  <c r="B1116" i="4"/>
  <c r="B1159" i="4"/>
  <c r="B1202" i="4"/>
  <c r="B1245" i="4"/>
  <c r="B1288" i="4"/>
  <c r="B1331" i="4"/>
  <c r="C14" i="4"/>
  <c r="C41" i="4"/>
  <c r="C84" i="4"/>
  <c r="C127" i="4"/>
  <c r="C170" i="4"/>
  <c r="C213" i="4"/>
  <c r="C256" i="4"/>
  <c r="C299" i="4"/>
  <c r="C342" i="4"/>
  <c r="C385" i="4"/>
  <c r="C428" i="4"/>
  <c r="C471" i="4"/>
  <c r="C514" i="4"/>
  <c r="C557" i="4"/>
  <c r="C600" i="4"/>
  <c r="C643" i="4"/>
  <c r="C686" i="4"/>
  <c r="C729" i="4"/>
  <c r="C772" i="4"/>
  <c r="C815" i="4"/>
  <c r="C858" i="4"/>
  <c r="C901" i="4"/>
  <c r="C944" i="4"/>
  <c r="C987" i="4"/>
  <c r="C1030" i="4"/>
  <c r="C1073" i="4"/>
  <c r="C1116" i="4"/>
  <c r="C1159" i="4"/>
  <c r="C1202" i="4"/>
  <c r="C1245" i="4"/>
  <c r="C1288" i="4"/>
  <c r="C1331" i="4"/>
  <c r="D14" i="4"/>
  <c r="D41" i="4"/>
  <c r="D84" i="4"/>
  <c r="D127" i="4"/>
  <c r="D170" i="4"/>
  <c r="D213" i="4"/>
  <c r="D256" i="4"/>
  <c r="D299" i="4"/>
  <c r="D342" i="4"/>
  <c r="D385" i="4"/>
  <c r="D428" i="4"/>
  <c r="D471" i="4"/>
  <c r="D514" i="4"/>
  <c r="D557" i="4"/>
  <c r="D600" i="4"/>
  <c r="D643" i="4"/>
  <c r="D686" i="4"/>
  <c r="D729" i="4"/>
  <c r="D772" i="4"/>
  <c r="D815" i="4"/>
  <c r="D858" i="4"/>
  <c r="D901" i="4"/>
  <c r="D944" i="4"/>
  <c r="D987" i="4"/>
  <c r="D1030" i="4"/>
  <c r="D1073" i="4"/>
  <c r="D1116" i="4"/>
  <c r="D1159" i="4"/>
  <c r="D1202" i="4"/>
  <c r="D1245" i="4"/>
  <c r="D1288" i="4"/>
  <c r="D1331" i="4"/>
  <c r="E14" i="4"/>
  <c r="E41" i="4"/>
  <c r="E84" i="4"/>
  <c r="E127" i="4"/>
  <c r="E170" i="4"/>
  <c r="E213" i="4"/>
  <c r="E256" i="4"/>
  <c r="E299" i="4"/>
  <c r="E342" i="4"/>
  <c r="E385" i="4"/>
  <c r="E428" i="4"/>
  <c r="E471" i="4"/>
  <c r="E514" i="4"/>
  <c r="E557" i="4"/>
  <c r="E600" i="4"/>
  <c r="E643" i="4"/>
  <c r="E686" i="4"/>
  <c r="E729" i="4"/>
  <c r="E772" i="4"/>
  <c r="E815" i="4"/>
  <c r="E858" i="4"/>
  <c r="E901" i="4"/>
  <c r="E944" i="4"/>
  <c r="E987" i="4"/>
  <c r="E1030" i="4"/>
  <c r="E1073" i="4"/>
  <c r="E1116" i="4"/>
  <c r="E1159" i="4"/>
  <c r="E1202" i="4"/>
  <c r="E1245" i="4"/>
  <c r="E1288" i="4"/>
  <c r="E1331" i="4"/>
  <c r="F14" i="4"/>
  <c r="F41" i="4"/>
  <c r="F84" i="4"/>
  <c r="F127" i="4"/>
  <c r="F170" i="4"/>
  <c r="F213" i="4"/>
  <c r="F256" i="4"/>
  <c r="F299" i="4"/>
  <c r="F342" i="4"/>
  <c r="F385" i="4"/>
  <c r="F428" i="4"/>
  <c r="F471" i="4"/>
  <c r="F514" i="4"/>
  <c r="F557" i="4"/>
  <c r="F600" i="4"/>
  <c r="F643" i="4"/>
  <c r="F686" i="4"/>
  <c r="F729" i="4"/>
  <c r="F772" i="4"/>
  <c r="F815" i="4"/>
  <c r="F858" i="4"/>
  <c r="F901" i="4"/>
  <c r="F944" i="4"/>
  <c r="F987" i="4"/>
  <c r="F1030" i="4"/>
  <c r="F1073" i="4"/>
  <c r="F1116" i="4"/>
  <c r="F1159" i="4"/>
  <c r="F1202" i="4"/>
  <c r="F1245" i="4"/>
  <c r="F1288" i="4"/>
  <c r="F1331" i="4"/>
  <c r="G1338" i="4"/>
  <c r="G1339" i="4"/>
  <c r="G1340" i="4"/>
  <c r="G1341" i="4"/>
  <c r="G1342" i="4"/>
  <c r="G1343" i="4"/>
  <c r="G1344" i="4"/>
  <c r="G1345" i="4"/>
  <c r="G1346" i="4"/>
  <c r="B1374" i="4"/>
  <c r="C1374" i="4"/>
  <c r="D1374" i="4"/>
  <c r="E1374" i="4"/>
  <c r="F1374" i="4"/>
  <c r="O1373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O1360" i="4"/>
  <c r="G1360" i="4"/>
  <c r="O1359" i="4"/>
  <c r="G1359" i="4"/>
  <c r="O1358" i="4"/>
  <c r="G1358" i="4"/>
  <c r="O1357" i="4"/>
  <c r="G1357" i="4"/>
  <c r="O1356" i="4"/>
  <c r="G1356" i="4"/>
  <c r="O1355" i="4"/>
  <c r="G1355" i="4"/>
  <c r="O1354" i="4"/>
  <c r="G1354" i="4"/>
  <c r="O1353" i="4"/>
  <c r="G1353" i="4"/>
  <c r="O1352" i="4"/>
  <c r="G1352" i="4"/>
  <c r="O1351" i="4"/>
  <c r="G1351" i="4"/>
  <c r="O1350" i="4"/>
  <c r="G1350" i="4"/>
  <c r="O1349" i="4"/>
  <c r="G1349" i="4"/>
  <c r="O1348" i="4"/>
  <c r="G1348" i="4"/>
  <c r="O1325" i="4"/>
  <c r="O1286" i="4"/>
  <c r="O1328" i="4"/>
  <c r="O1327" i="4"/>
  <c r="O417" i="5"/>
  <c r="O375" i="7"/>
  <c r="O497" i="6"/>
  <c r="G808" i="2"/>
  <c r="G809" i="2"/>
  <c r="G810" i="2"/>
  <c r="O685" i="3"/>
  <c r="O373" i="7"/>
  <c r="O374" i="7"/>
  <c r="O416" i="7"/>
  <c r="O415" i="7"/>
  <c r="O458" i="6"/>
  <c r="O499" i="6"/>
  <c r="O498" i="6"/>
  <c r="O457" i="5"/>
  <c r="O456" i="5"/>
  <c r="O415" i="5"/>
  <c r="O460" i="5"/>
  <c r="O459" i="5"/>
  <c r="O426" i="5"/>
  <c r="O427" i="5"/>
  <c r="O428" i="5"/>
  <c r="O429" i="5"/>
  <c r="O430" i="5"/>
  <c r="O431" i="5"/>
  <c r="O432" i="5"/>
  <c r="O433" i="5"/>
  <c r="G426" i="5"/>
  <c r="G427" i="5"/>
  <c r="G428" i="5"/>
  <c r="G429" i="5"/>
  <c r="G430" i="5"/>
  <c r="G431" i="5"/>
  <c r="G432" i="5"/>
  <c r="G433" i="5"/>
  <c r="G460" i="5"/>
  <c r="G459" i="5"/>
  <c r="O458" i="5"/>
  <c r="G458" i="5"/>
  <c r="G457" i="5"/>
  <c r="G456" i="5"/>
  <c r="O455" i="5"/>
  <c r="G455" i="5"/>
  <c r="G454" i="5"/>
  <c r="G453" i="5"/>
  <c r="O452" i="5"/>
  <c r="G452" i="5"/>
  <c r="O451" i="5"/>
  <c r="G451" i="5"/>
  <c r="O450" i="5"/>
  <c r="G450" i="5"/>
  <c r="O449" i="5"/>
  <c r="G449" i="5"/>
  <c r="O448" i="5"/>
  <c r="G448" i="5"/>
  <c r="O447" i="5"/>
  <c r="G447" i="5"/>
  <c r="O446" i="5"/>
  <c r="G446" i="5"/>
  <c r="O445" i="5"/>
  <c r="G445" i="5"/>
  <c r="O444" i="5"/>
  <c r="G444" i="5"/>
  <c r="O443" i="5"/>
  <c r="G443" i="5"/>
  <c r="O442" i="5"/>
  <c r="G442" i="5"/>
  <c r="O441" i="5"/>
  <c r="G441" i="5"/>
  <c r="O440" i="5"/>
  <c r="G440" i="5"/>
  <c r="O439" i="5"/>
  <c r="G439" i="5"/>
  <c r="O438" i="5"/>
  <c r="G438" i="5"/>
  <c r="O437" i="5"/>
  <c r="G437" i="5"/>
  <c r="O436" i="5"/>
  <c r="G436" i="5"/>
  <c r="O435" i="5"/>
  <c r="G435" i="5"/>
  <c r="O1281" i="4"/>
  <c r="O1244" i="4"/>
  <c r="O1240" i="4"/>
  <c r="O1238" i="4"/>
  <c r="O1282" i="4"/>
  <c r="O1285" i="4"/>
  <c r="O1284" i="4"/>
  <c r="O1283" i="4"/>
  <c r="O1330" i="4"/>
  <c r="O1295" i="4"/>
  <c r="O1296" i="4"/>
  <c r="O1297" i="4"/>
  <c r="O1298" i="4"/>
  <c r="O1299" i="4"/>
  <c r="O1300" i="4"/>
  <c r="O1301" i="4"/>
  <c r="O1302" i="4"/>
  <c r="O1303" i="4"/>
  <c r="G1295" i="4"/>
  <c r="G1296" i="4"/>
  <c r="G1297" i="4"/>
  <c r="G1298" i="4"/>
  <c r="G1299" i="4"/>
  <c r="G1300" i="4"/>
  <c r="G1301" i="4"/>
  <c r="G1302" i="4"/>
  <c r="G1303" i="4"/>
  <c r="G1330" i="4"/>
  <c r="O1329" i="4"/>
  <c r="G1329" i="4"/>
  <c r="G1328" i="4"/>
  <c r="G1327" i="4"/>
  <c r="O1326" i="4"/>
  <c r="G1326" i="4"/>
  <c r="G1325" i="4"/>
  <c r="O1324" i="4"/>
  <c r="G1324" i="4"/>
  <c r="O1323" i="4"/>
  <c r="G1323" i="4"/>
  <c r="O1322" i="4"/>
  <c r="G1322" i="4"/>
  <c r="O1321" i="4"/>
  <c r="G1321" i="4"/>
  <c r="O1320" i="4"/>
  <c r="O1319" i="4"/>
  <c r="G1319" i="4"/>
  <c r="O1318" i="4"/>
  <c r="G1318" i="4"/>
  <c r="O1317" i="4"/>
  <c r="G1317" i="4"/>
  <c r="O1316" i="4"/>
  <c r="G1316" i="4"/>
  <c r="O1315" i="4"/>
  <c r="G1315" i="4"/>
  <c r="O1314" i="4"/>
  <c r="G1314" i="4"/>
  <c r="O1313" i="4"/>
  <c r="G1313" i="4"/>
  <c r="O1312" i="4"/>
  <c r="G1312" i="4"/>
  <c r="O1311" i="4"/>
  <c r="G1311" i="4"/>
  <c r="O1310" i="4"/>
  <c r="G1310" i="4"/>
  <c r="O1309" i="4"/>
  <c r="G1309" i="4"/>
  <c r="O1308" i="4"/>
  <c r="G1308" i="4"/>
  <c r="O1307" i="4"/>
  <c r="G1307" i="4"/>
  <c r="O1306" i="4"/>
  <c r="G1306" i="4"/>
  <c r="O1305" i="4"/>
  <c r="G1305" i="4"/>
  <c r="O1239" i="4"/>
  <c r="O1242" i="4"/>
  <c r="O1243" i="4"/>
  <c r="O1252" i="4"/>
  <c r="O1253" i="4"/>
  <c r="O1254" i="4"/>
  <c r="O1255" i="4"/>
  <c r="O1256" i="4"/>
  <c r="O1257" i="4"/>
  <c r="O1258" i="4"/>
  <c r="O1259" i="4"/>
  <c r="O1260" i="4"/>
  <c r="G1252" i="4"/>
  <c r="G1253" i="4"/>
  <c r="G1254" i="4"/>
  <c r="G1255" i="4"/>
  <c r="G1256" i="4"/>
  <c r="G1257" i="4"/>
  <c r="G1258" i="4"/>
  <c r="G1259" i="4"/>
  <c r="G1260" i="4"/>
  <c r="O1287" i="4"/>
  <c r="G1287" i="4"/>
  <c r="G1286" i="4"/>
  <c r="G1285" i="4"/>
  <c r="G1284" i="4"/>
  <c r="G1283" i="4"/>
  <c r="G1282" i="4"/>
  <c r="G1281" i="4"/>
  <c r="O1280" i="4"/>
  <c r="G1280" i="4"/>
  <c r="O1279" i="4"/>
  <c r="G1279" i="4"/>
  <c r="O1278" i="4"/>
  <c r="G1278" i="4"/>
  <c r="O1277" i="4"/>
  <c r="G1277" i="4"/>
  <c r="O1276" i="4"/>
  <c r="G1276" i="4"/>
  <c r="O1275" i="4"/>
  <c r="G1275" i="4"/>
  <c r="O1274" i="4"/>
  <c r="G1274" i="4"/>
  <c r="O1273" i="4"/>
  <c r="G1273" i="4"/>
  <c r="O1272" i="4"/>
  <c r="G1272" i="4"/>
  <c r="O1271" i="4"/>
  <c r="G1271" i="4"/>
  <c r="O1270" i="4"/>
  <c r="G1270" i="4"/>
  <c r="O1269" i="4"/>
  <c r="G1269" i="4"/>
  <c r="O1268" i="4"/>
  <c r="G1268" i="4"/>
  <c r="O1267" i="4"/>
  <c r="G1267" i="4"/>
  <c r="O1266" i="4"/>
  <c r="G1266" i="4"/>
  <c r="O1265" i="4"/>
  <c r="G1265" i="4"/>
  <c r="O1264" i="4"/>
  <c r="G1264" i="4"/>
  <c r="O1263" i="4"/>
  <c r="G1263" i="4"/>
  <c r="O1262" i="4"/>
  <c r="G1262" i="4"/>
  <c r="O456" i="6"/>
  <c r="O453" i="6"/>
  <c r="O457" i="6"/>
  <c r="O459" i="6"/>
  <c r="O460" i="6"/>
  <c r="O502" i="6"/>
  <c r="O501" i="6"/>
  <c r="O500" i="6"/>
  <c r="G502" i="6"/>
  <c r="G501" i="6"/>
  <c r="G500" i="6"/>
  <c r="G499" i="6"/>
  <c r="O496" i="6"/>
  <c r="G496" i="6"/>
  <c r="O495" i="6"/>
  <c r="G495" i="6"/>
  <c r="O494" i="6"/>
  <c r="G494" i="6"/>
  <c r="O493" i="6"/>
  <c r="G493" i="6"/>
  <c r="O492" i="6"/>
  <c r="G492" i="6"/>
  <c r="O491" i="6"/>
  <c r="G491" i="6"/>
  <c r="O490" i="6"/>
  <c r="G490" i="6"/>
  <c r="O489" i="6"/>
  <c r="G489" i="6"/>
  <c r="O488" i="6"/>
  <c r="G488" i="6"/>
  <c r="O487" i="6"/>
  <c r="G487" i="6"/>
  <c r="O486" i="6"/>
  <c r="G486" i="6"/>
  <c r="O485" i="6"/>
  <c r="G485" i="6"/>
  <c r="O484" i="6"/>
  <c r="G484" i="6"/>
  <c r="O483" i="6"/>
  <c r="G483" i="6"/>
  <c r="O482" i="6"/>
  <c r="G482" i="6"/>
  <c r="O481" i="6"/>
  <c r="G481" i="6"/>
  <c r="O480" i="6"/>
  <c r="G480" i="6"/>
  <c r="O479" i="6"/>
  <c r="G479" i="6"/>
  <c r="O478" i="6"/>
  <c r="G478" i="6"/>
  <c r="O477" i="6"/>
  <c r="G477" i="6"/>
  <c r="O475" i="6"/>
  <c r="G475" i="6"/>
  <c r="O474" i="6"/>
  <c r="G474" i="6"/>
  <c r="O473" i="6"/>
  <c r="G473" i="6"/>
  <c r="O472" i="6"/>
  <c r="G472" i="6"/>
  <c r="O471" i="6"/>
  <c r="G471" i="6"/>
  <c r="O470" i="6"/>
  <c r="G470" i="6"/>
  <c r="O469" i="6"/>
  <c r="G469" i="6"/>
  <c r="O468" i="6"/>
  <c r="G468" i="6"/>
  <c r="O371" i="7"/>
  <c r="O376" i="7"/>
  <c r="O418" i="7"/>
  <c r="O417" i="7"/>
  <c r="O384" i="7"/>
  <c r="O385" i="7"/>
  <c r="O386" i="7"/>
  <c r="O387" i="7"/>
  <c r="O388" i="7"/>
  <c r="O389" i="7"/>
  <c r="O390" i="7"/>
  <c r="O391" i="7"/>
  <c r="G384" i="7"/>
  <c r="G385" i="7"/>
  <c r="G386" i="7"/>
  <c r="G387" i="7"/>
  <c r="G388" i="7"/>
  <c r="G389" i="7"/>
  <c r="G390" i="7"/>
  <c r="G391" i="7"/>
  <c r="G418" i="7"/>
  <c r="G417" i="7"/>
  <c r="G416" i="7"/>
  <c r="G415" i="7"/>
  <c r="O414" i="7"/>
  <c r="G414" i="7"/>
  <c r="O413" i="7"/>
  <c r="G413" i="7"/>
  <c r="O412" i="7"/>
  <c r="G412" i="7"/>
  <c r="O411" i="7"/>
  <c r="G411" i="7"/>
  <c r="O410" i="7"/>
  <c r="G410" i="7"/>
  <c r="O409" i="7"/>
  <c r="G409" i="7"/>
  <c r="O408" i="7"/>
  <c r="G408" i="7"/>
  <c r="O407" i="7"/>
  <c r="G407" i="7"/>
  <c r="O406" i="7"/>
  <c r="G406" i="7"/>
  <c r="O405" i="7"/>
  <c r="O404" i="7"/>
  <c r="O403" i="7"/>
  <c r="G403" i="7"/>
  <c r="O402" i="7"/>
  <c r="G402" i="7"/>
  <c r="O401" i="7"/>
  <c r="G401" i="7"/>
  <c r="O400" i="7"/>
  <c r="G400" i="7"/>
  <c r="O399" i="7"/>
  <c r="G399" i="7"/>
  <c r="O398" i="7"/>
  <c r="G398" i="7"/>
  <c r="O397" i="7"/>
  <c r="G397" i="7"/>
  <c r="O396" i="7"/>
  <c r="G396" i="7"/>
  <c r="O395" i="7"/>
  <c r="G395" i="7"/>
  <c r="O394" i="7"/>
  <c r="G394" i="7"/>
  <c r="O393" i="7"/>
  <c r="G393" i="7"/>
  <c r="O393" i="5"/>
  <c r="O384" i="5"/>
  <c r="O385" i="5"/>
  <c r="O386" i="5"/>
  <c r="O387" i="5"/>
  <c r="O388" i="5"/>
  <c r="O389" i="5"/>
  <c r="O390" i="5"/>
  <c r="O391" i="5"/>
  <c r="G384" i="5"/>
  <c r="G385" i="5"/>
  <c r="G386" i="5"/>
  <c r="G387" i="5"/>
  <c r="G388" i="5"/>
  <c r="G389" i="5"/>
  <c r="G390" i="5"/>
  <c r="G391" i="5"/>
  <c r="O418" i="5"/>
  <c r="G418" i="5"/>
  <c r="G417" i="5"/>
  <c r="O416" i="5"/>
  <c r="G416" i="5"/>
  <c r="G415" i="5"/>
  <c r="O414" i="5"/>
  <c r="G414" i="5"/>
  <c r="O413" i="5"/>
  <c r="G413" i="5"/>
  <c r="O412" i="5"/>
  <c r="G412" i="5"/>
  <c r="O411" i="5"/>
  <c r="G411" i="5"/>
  <c r="O410" i="5"/>
  <c r="G410" i="5"/>
  <c r="O409" i="5"/>
  <c r="G409" i="5"/>
  <c r="O408" i="5"/>
  <c r="G408" i="5"/>
  <c r="O407" i="5"/>
  <c r="G407" i="5"/>
  <c r="O406" i="5"/>
  <c r="G406" i="5"/>
  <c r="O405" i="5"/>
  <c r="G405" i="5"/>
  <c r="O404" i="5"/>
  <c r="G404" i="5"/>
  <c r="O403" i="5"/>
  <c r="G403" i="5"/>
  <c r="O402" i="5"/>
  <c r="G402" i="5"/>
  <c r="O401" i="5"/>
  <c r="G401" i="5"/>
  <c r="O400" i="5"/>
  <c r="G400" i="5"/>
  <c r="O399" i="5"/>
  <c r="G399" i="5"/>
  <c r="O398" i="5"/>
  <c r="G398" i="5"/>
  <c r="O397" i="5"/>
  <c r="G397" i="5"/>
  <c r="O396" i="5"/>
  <c r="G396" i="5"/>
  <c r="O395" i="5"/>
  <c r="G395" i="5"/>
  <c r="O394" i="5"/>
  <c r="G394" i="5"/>
  <c r="G393" i="5"/>
  <c r="G460" i="6"/>
  <c r="G459" i="6"/>
  <c r="G458" i="6"/>
  <c r="G457" i="6"/>
  <c r="G456" i="6"/>
  <c r="O455" i="6"/>
  <c r="G455" i="6"/>
  <c r="O454" i="6"/>
  <c r="G454" i="6"/>
  <c r="G453" i="6"/>
  <c r="O452" i="6"/>
  <c r="G452" i="6"/>
  <c r="O451" i="6"/>
  <c r="G451" i="6"/>
  <c r="O450" i="6"/>
  <c r="G450" i="6"/>
  <c r="O449" i="6"/>
  <c r="G449" i="6"/>
  <c r="O448" i="6"/>
  <c r="G448" i="6"/>
  <c r="O447" i="6"/>
  <c r="G447" i="6"/>
  <c r="O446" i="6"/>
  <c r="G446" i="6"/>
  <c r="O445" i="6"/>
  <c r="G445" i="6"/>
  <c r="O444" i="6"/>
  <c r="G444" i="6"/>
  <c r="O443" i="6"/>
  <c r="G443" i="6"/>
  <c r="O442" i="6"/>
  <c r="G442" i="6"/>
  <c r="O441" i="6"/>
  <c r="G441" i="6"/>
  <c r="O440" i="6"/>
  <c r="G440" i="6"/>
  <c r="O439" i="6"/>
  <c r="G439" i="6"/>
  <c r="O438" i="6"/>
  <c r="G438" i="6"/>
  <c r="O437" i="6"/>
  <c r="G437" i="6"/>
  <c r="O436" i="6"/>
  <c r="G436" i="6"/>
  <c r="O435" i="6"/>
  <c r="G435" i="6"/>
  <c r="O433" i="6"/>
  <c r="G433" i="6"/>
  <c r="O432" i="6"/>
  <c r="G432" i="6"/>
  <c r="O431" i="6"/>
  <c r="G431" i="6"/>
  <c r="O430" i="6"/>
  <c r="G430" i="6"/>
  <c r="O429" i="6"/>
  <c r="G429" i="6"/>
  <c r="O428" i="6"/>
  <c r="G428" i="6"/>
  <c r="O427" i="6"/>
  <c r="G427" i="6"/>
  <c r="O426" i="6"/>
  <c r="G426" i="6"/>
  <c r="O342" i="7"/>
  <c r="O343" i="7"/>
  <c r="O344" i="7"/>
  <c r="O345" i="7"/>
  <c r="O346" i="7"/>
  <c r="O347" i="7"/>
  <c r="O348" i="7"/>
  <c r="O349" i="7"/>
  <c r="G342" i="7"/>
  <c r="G343" i="7"/>
  <c r="G344" i="7"/>
  <c r="G345" i="7"/>
  <c r="G346" i="7"/>
  <c r="G347" i="7"/>
  <c r="G348" i="7"/>
  <c r="G349" i="7"/>
  <c r="G376" i="7"/>
  <c r="G375" i="7"/>
  <c r="G374" i="7"/>
  <c r="G373" i="7"/>
  <c r="O372" i="7"/>
  <c r="G372" i="7"/>
  <c r="G371" i="7"/>
  <c r="O370" i="7"/>
  <c r="G370" i="7"/>
  <c r="O369" i="7"/>
  <c r="G369" i="7"/>
  <c r="O368" i="7"/>
  <c r="G368" i="7"/>
  <c r="O367" i="7"/>
  <c r="G367" i="7"/>
  <c r="O366" i="7"/>
  <c r="G366" i="7"/>
  <c r="O365" i="7"/>
  <c r="G365" i="7"/>
  <c r="O364" i="7"/>
  <c r="G364" i="7"/>
  <c r="O363" i="7"/>
  <c r="G363" i="7"/>
  <c r="O362" i="7"/>
  <c r="G362" i="7"/>
  <c r="O361" i="7"/>
  <c r="G361" i="7"/>
  <c r="O360" i="7"/>
  <c r="G360" i="7"/>
  <c r="O359" i="7"/>
  <c r="G359" i="7"/>
  <c r="O358" i="7"/>
  <c r="G358" i="7"/>
  <c r="O357" i="7"/>
  <c r="G357" i="7"/>
  <c r="O356" i="7"/>
  <c r="G356" i="7"/>
  <c r="O355" i="7"/>
  <c r="G355" i="7"/>
  <c r="O354" i="7"/>
  <c r="G354" i="7"/>
  <c r="O353" i="7"/>
  <c r="G353" i="7"/>
  <c r="O352" i="7"/>
  <c r="G352" i="7"/>
  <c r="O351" i="7"/>
  <c r="G351" i="7"/>
  <c r="G347" i="5"/>
  <c r="G1211" i="4"/>
  <c r="G390" i="6"/>
  <c r="G1219" i="4"/>
  <c r="G405" i="6"/>
  <c r="O1209" i="4"/>
  <c r="O1210" i="4"/>
  <c r="O1211" i="4"/>
  <c r="O1212" i="4"/>
  <c r="O1213" i="4"/>
  <c r="O1214" i="4"/>
  <c r="O1215" i="4"/>
  <c r="O1216" i="4"/>
  <c r="O1217" i="4"/>
  <c r="G1209" i="4"/>
  <c r="G1210" i="4"/>
  <c r="G1212" i="4"/>
  <c r="G1213" i="4"/>
  <c r="G1214" i="4"/>
  <c r="G1215" i="4"/>
  <c r="G1216" i="4"/>
  <c r="G1217" i="4"/>
  <c r="G1244" i="4"/>
  <c r="G1243" i="4"/>
  <c r="G1242" i="4"/>
  <c r="O1241" i="4"/>
  <c r="G1241" i="4"/>
  <c r="G1240" i="4"/>
  <c r="G1239" i="4"/>
  <c r="G1238" i="4"/>
  <c r="O1237" i="4"/>
  <c r="G1237" i="4"/>
  <c r="O1236" i="4"/>
  <c r="G1236" i="4"/>
  <c r="O1235" i="4"/>
  <c r="G1235" i="4"/>
  <c r="O1234" i="4"/>
  <c r="G1234" i="4"/>
  <c r="O1233" i="4"/>
  <c r="G1233" i="4"/>
  <c r="O1232" i="4"/>
  <c r="G1232" i="4"/>
  <c r="O1231" i="4"/>
  <c r="G1231" i="4"/>
  <c r="O1230" i="4"/>
  <c r="G1230" i="4"/>
  <c r="O1229" i="4"/>
  <c r="G1229" i="4"/>
  <c r="O1228" i="4"/>
  <c r="G1228" i="4"/>
  <c r="O1227" i="4"/>
  <c r="G1227" i="4"/>
  <c r="O1226" i="4"/>
  <c r="G1226" i="4"/>
  <c r="O1225" i="4"/>
  <c r="G1225" i="4"/>
  <c r="O1224" i="4"/>
  <c r="G1224" i="4"/>
  <c r="O1223" i="4"/>
  <c r="G1223" i="4"/>
  <c r="O1222" i="4"/>
  <c r="G1222" i="4"/>
  <c r="O1221" i="4"/>
  <c r="G1221" i="4"/>
  <c r="O1220" i="4"/>
  <c r="G1220" i="4"/>
  <c r="O1219" i="4"/>
  <c r="O329" i="7"/>
  <c r="O332" i="7"/>
  <c r="O331" i="7"/>
  <c r="O416" i="6"/>
  <c r="O414" i="6"/>
  <c r="O413" i="6"/>
  <c r="O375" i="5"/>
  <c r="O373" i="5"/>
  <c r="O372" i="5"/>
  <c r="O1197" i="4"/>
  <c r="O1196" i="4"/>
  <c r="O1198" i="4"/>
  <c r="O682" i="3"/>
  <c r="O814" i="2"/>
  <c r="G397" i="6"/>
  <c r="G398" i="6"/>
  <c r="G399" i="6"/>
  <c r="O418" i="6"/>
  <c r="G418" i="6"/>
  <c r="O417" i="6"/>
  <c r="G417" i="6"/>
  <c r="G416" i="6"/>
  <c r="O415" i="6"/>
  <c r="G415" i="6"/>
  <c r="G414" i="6"/>
  <c r="G413" i="6"/>
  <c r="O412" i="6"/>
  <c r="G412" i="6"/>
  <c r="O411" i="6"/>
  <c r="G411" i="6"/>
  <c r="O410" i="6"/>
  <c r="G410" i="6"/>
  <c r="O409" i="6"/>
  <c r="G409" i="6"/>
  <c r="O408" i="6"/>
  <c r="G408" i="6"/>
  <c r="O407" i="6"/>
  <c r="G407" i="6"/>
  <c r="O406" i="6"/>
  <c r="G406" i="6"/>
  <c r="O405" i="6"/>
  <c r="O404" i="6"/>
  <c r="G404" i="6"/>
  <c r="O403" i="6"/>
  <c r="G403" i="6"/>
  <c r="O402" i="6"/>
  <c r="G402" i="6"/>
  <c r="O401" i="6"/>
  <c r="G401" i="6"/>
  <c r="O400" i="6"/>
  <c r="G400" i="6"/>
  <c r="O399" i="6"/>
  <c r="O398" i="6"/>
  <c r="O397" i="6"/>
  <c r="O396" i="6"/>
  <c r="G396" i="6"/>
  <c r="O395" i="6"/>
  <c r="G395" i="6"/>
  <c r="O394" i="6"/>
  <c r="G394" i="6"/>
  <c r="O393" i="6"/>
  <c r="G393" i="6"/>
  <c r="O391" i="6"/>
  <c r="G391" i="6"/>
  <c r="O390" i="6"/>
  <c r="O389" i="6"/>
  <c r="G389" i="6"/>
  <c r="O388" i="6"/>
  <c r="G388" i="6"/>
  <c r="O387" i="6"/>
  <c r="G387" i="6"/>
  <c r="O386" i="6"/>
  <c r="G386" i="6"/>
  <c r="O385" i="6"/>
  <c r="G385" i="6"/>
  <c r="O384" i="6"/>
  <c r="G384" i="6"/>
  <c r="O376" i="5"/>
  <c r="O374" i="5"/>
  <c r="O371" i="5"/>
  <c r="O370" i="5"/>
  <c r="O1166" i="4"/>
  <c r="O1167" i="4"/>
  <c r="O1168" i="4"/>
  <c r="O1169" i="4"/>
  <c r="O1170" i="4"/>
  <c r="O1171" i="4"/>
  <c r="O1172" i="4"/>
  <c r="O1173" i="4"/>
  <c r="O1174" i="4"/>
  <c r="G1166" i="4"/>
  <c r="G1167" i="4"/>
  <c r="G1168" i="4"/>
  <c r="G1169" i="4"/>
  <c r="G1170" i="4"/>
  <c r="G1171" i="4"/>
  <c r="G1172" i="4"/>
  <c r="G1173" i="4"/>
  <c r="G1174" i="4"/>
  <c r="O1201" i="4"/>
  <c r="G1201" i="4"/>
  <c r="O1200" i="4"/>
  <c r="G1200" i="4"/>
  <c r="O1199" i="4"/>
  <c r="G1199" i="4"/>
  <c r="G1198" i="4"/>
  <c r="G1197" i="4"/>
  <c r="G1196" i="4"/>
  <c r="G1195" i="4"/>
  <c r="O1194" i="4"/>
  <c r="G1194" i="4"/>
  <c r="O1193" i="4"/>
  <c r="G1193" i="4"/>
  <c r="O1192" i="4"/>
  <c r="G1192" i="4"/>
  <c r="O1191" i="4"/>
  <c r="G1191" i="4"/>
  <c r="O1190" i="4"/>
  <c r="G1190" i="4"/>
  <c r="O1189" i="4"/>
  <c r="G1189" i="4"/>
  <c r="O1188" i="4"/>
  <c r="G1188" i="4"/>
  <c r="O1187" i="4"/>
  <c r="G1187" i="4"/>
  <c r="O1186" i="4"/>
  <c r="G1186" i="4"/>
  <c r="O1185" i="4"/>
  <c r="G1185" i="4"/>
  <c r="O1184" i="4"/>
  <c r="G1184" i="4"/>
  <c r="O1183" i="4"/>
  <c r="G1183" i="4"/>
  <c r="O1182" i="4"/>
  <c r="G1182" i="4"/>
  <c r="O1181" i="4"/>
  <c r="G1181" i="4"/>
  <c r="O1180" i="4"/>
  <c r="G1180" i="4"/>
  <c r="O1179" i="4"/>
  <c r="G1179" i="4"/>
  <c r="O1178" i="4"/>
  <c r="G1178" i="4"/>
  <c r="O1177" i="4"/>
  <c r="G1177" i="4"/>
  <c r="O1176" i="4"/>
  <c r="G1176" i="4"/>
  <c r="O779" i="2"/>
  <c r="O780" i="2"/>
  <c r="O781" i="2"/>
  <c r="O782" i="2"/>
  <c r="O783" i="2"/>
  <c r="O784" i="2"/>
  <c r="O785" i="2"/>
  <c r="O786" i="2"/>
  <c r="O787" i="2"/>
  <c r="G779" i="2"/>
  <c r="G780" i="2"/>
  <c r="G781" i="2"/>
  <c r="G782" i="2"/>
  <c r="G783" i="2"/>
  <c r="G784" i="2"/>
  <c r="G785" i="2"/>
  <c r="G786" i="2"/>
  <c r="G787" i="2"/>
  <c r="G814" i="2"/>
  <c r="O813" i="2"/>
  <c r="G813" i="2"/>
  <c r="O812" i="2"/>
  <c r="G812" i="2"/>
  <c r="O811" i="2"/>
  <c r="G811" i="2"/>
  <c r="O810" i="2"/>
  <c r="O809" i="2"/>
  <c r="O808" i="2"/>
  <c r="O807" i="2"/>
  <c r="G807" i="2"/>
  <c r="O806" i="2"/>
  <c r="G806" i="2"/>
  <c r="O805" i="2"/>
  <c r="G805" i="2"/>
  <c r="O804" i="2"/>
  <c r="G804" i="2"/>
  <c r="O803" i="2"/>
  <c r="G803" i="2"/>
  <c r="O802" i="2"/>
  <c r="G802" i="2"/>
  <c r="O801" i="2"/>
  <c r="G801" i="2"/>
  <c r="O800" i="2"/>
  <c r="G800" i="2"/>
  <c r="O799" i="2"/>
  <c r="G799" i="2"/>
  <c r="O798" i="2"/>
  <c r="G798" i="2"/>
  <c r="G797" i="2"/>
  <c r="O796" i="2"/>
  <c r="G796" i="2"/>
  <c r="O795" i="2"/>
  <c r="G795" i="2"/>
  <c r="O794" i="2"/>
  <c r="G794" i="2"/>
  <c r="O793" i="2"/>
  <c r="G793" i="2"/>
  <c r="O792" i="2"/>
  <c r="G792" i="2"/>
  <c r="O791" i="2"/>
  <c r="G791" i="2"/>
  <c r="O790" i="2"/>
  <c r="G790" i="2"/>
  <c r="O789" i="2"/>
  <c r="G789" i="2"/>
  <c r="J643" i="3"/>
  <c r="J14" i="3"/>
  <c r="J41" i="3"/>
  <c r="J84" i="3"/>
  <c r="J127" i="3"/>
  <c r="J170" i="3"/>
  <c r="J213" i="3"/>
  <c r="J256" i="3"/>
  <c r="J299" i="3"/>
  <c r="J342" i="3"/>
  <c r="J385" i="3"/>
  <c r="J428" i="3"/>
  <c r="J471" i="3"/>
  <c r="J514" i="3"/>
  <c r="J557" i="3"/>
  <c r="J600" i="3"/>
  <c r="K643" i="3"/>
  <c r="K14" i="3"/>
  <c r="K41" i="3"/>
  <c r="K84" i="3"/>
  <c r="K127" i="3"/>
  <c r="K170" i="3"/>
  <c r="K213" i="3"/>
  <c r="K256" i="3"/>
  <c r="K299" i="3"/>
  <c r="K342" i="3"/>
  <c r="K385" i="3"/>
  <c r="K428" i="3"/>
  <c r="K471" i="3"/>
  <c r="K514" i="3"/>
  <c r="K557" i="3"/>
  <c r="K600" i="3"/>
  <c r="L643" i="3"/>
  <c r="L14" i="3"/>
  <c r="L41" i="3"/>
  <c r="L84" i="3"/>
  <c r="L127" i="3"/>
  <c r="L170" i="3"/>
  <c r="L213" i="3"/>
  <c r="L256" i="3"/>
  <c r="L299" i="3"/>
  <c r="L342" i="3"/>
  <c r="L385" i="3"/>
  <c r="L428" i="3"/>
  <c r="L471" i="3"/>
  <c r="L514" i="3"/>
  <c r="L557" i="3"/>
  <c r="L600" i="3"/>
  <c r="M643" i="3"/>
  <c r="M14" i="3"/>
  <c r="M41" i="3"/>
  <c r="M84" i="3"/>
  <c r="M127" i="3"/>
  <c r="M170" i="3"/>
  <c r="M213" i="3"/>
  <c r="M256" i="3"/>
  <c r="M299" i="3"/>
  <c r="M342" i="3"/>
  <c r="M385" i="3"/>
  <c r="M428" i="3"/>
  <c r="M471" i="3"/>
  <c r="M514" i="3"/>
  <c r="M557" i="3"/>
  <c r="M600" i="3"/>
  <c r="N643" i="3"/>
  <c r="N14" i="3"/>
  <c r="N41" i="3"/>
  <c r="N84" i="3"/>
  <c r="N127" i="3"/>
  <c r="N170" i="3"/>
  <c r="N213" i="3"/>
  <c r="N256" i="3"/>
  <c r="N299" i="3"/>
  <c r="N342" i="3"/>
  <c r="N385" i="3"/>
  <c r="N428" i="3"/>
  <c r="N471" i="3"/>
  <c r="N514" i="3"/>
  <c r="N557" i="3"/>
  <c r="N600" i="3"/>
  <c r="O650" i="3"/>
  <c r="O651" i="3"/>
  <c r="O652" i="3"/>
  <c r="O653" i="3"/>
  <c r="O654" i="3"/>
  <c r="O655" i="3"/>
  <c r="O656" i="3"/>
  <c r="O657" i="3"/>
  <c r="O658" i="3"/>
  <c r="J686" i="3"/>
  <c r="K686" i="3"/>
  <c r="L686" i="3"/>
  <c r="M686" i="3"/>
  <c r="N686" i="3"/>
  <c r="B14" i="3"/>
  <c r="B41" i="3"/>
  <c r="B84" i="3"/>
  <c r="B127" i="3"/>
  <c r="B170" i="3"/>
  <c r="B213" i="3"/>
  <c r="B256" i="3"/>
  <c r="B299" i="3"/>
  <c r="B342" i="3"/>
  <c r="B385" i="3"/>
  <c r="B428" i="3"/>
  <c r="B471" i="3"/>
  <c r="B514" i="3"/>
  <c r="B557" i="3"/>
  <c r="B600" i="3"/>
  <c r="B643" i="3"/>
  <c r="C14" i="3"/>
  <c r="C41" i="3"/>
  <c r="C84" i="3"/>
  <c r="C127" i="3"/>
  <c r="C170" i="3"/>
  <c r="C213" i="3"/>
  <c r="C256" i="3"/>
  <c r="C299" i="3"/>
  <c r="C342" i="3"/>
  <c r="C385" i="3"/>
  <c r="C428" i="3"/>
  <c r="C471" i="3"/>
  <c r="C514" i="3"/>
  <c r="C557" i="3"/>
  <c r="C600" i="3"/>
  <c r="C643" i="3"/>
  <c r="D14" i="3"/>
  <c r="D41" i="3"/>
  <c r="D84" i="3"/>
  <c r="D127" i="3"/>
  <c r="D170" i="3"/>
  <c r="D213" i="3"/>
  <c r="D256" i="3"/>
  <c r="D299" i="3"/>
  <c r="D342" i="3"/>
  <c r="D385" i="3"/>
  <c r="D428" i="3"/>
  <c r="D471" i="3"/>
  <c r="D514" i="3"/>
  <c r="D557" i="3"/>
  <c r="D600" i="3"/>
  <c r="D643" i="3"/>
  <c r="E14" i="3"/>
  <c r="E41" i="3"/>
  <c r="E84" i="3"/>
  <c r="E127" i="3"/>
  <c r="E170" i="3"/>
  <c r="E213" i="3"/>
  <c r="E256" i="3"/>
  <c r="E299" i="3"/>
  <c r="E342" i="3"/>
  <c r="E385" i="3"/>
  <c r="E428" i="3"/>
  <c r="E471" i="3"/>
  <c r="E514" i="3"/>
  <c r="E557" i="3"/>
  <c r="E600" i="3"/>
  <c r="E643" i="3"/>
  <c r="F14" i="3"/>
  <c r="F41" i="3"/>
  <c r="F84" i="3"/>
  <c r="F127" i="3"/>
  <c r="F170" i="3"/>
  <c r="F213" i="3"/>
  <c r="F256" i="3"/>
  <c r="F299" i="3"/>
  <c r="F342" i="3"/>
  <c r="F385" i="3"/>
  <c r="F428" i="3"/>
  <c r="F471" i="3"/>
  <c r="F514" i="3"/>
  <c r="F557" i="3"/>
  <c r="F600" i="3"/>
  <c r="F643" i="3"/>
  <c r="G650" i="3"/>
  <c r="G651" i="3"/>
  <c r="G652" i="3"/>
  <c r="G653" i="3"/>
  <c r="G654" i="3"/>
  <c r="G655" i="3"/>
  <c r="G656" i="3"/>
  <c r="G657" i="3"/>
  <c r="G658" i="3"/>
  <c r="B686" i="3"/>
  <c r="C686" i="3"/>
  <c r="D686" i="3"/>
  <c r="E686" i="3"/>
  <c r="F686" i="3"/>
  <c r="G685" i="3"/>
  <c r="O684" i="3"/>
  <c r="G684" i="3"/>
  <c r="O683" i="3"/>
  <c r="G683" i="3"/>
  <c r="G682" i="3"/>
  <c r="O681" i="3"/>
  <c r="G681" i="3"/>
  <c r="O680" i="3"/>
  <c r="G680" i="3"/>
  <c r="O679" i="3"/>
  <c r="G679" i="3"/>
  <c r="O678" i="3"/>
  <c r="G678" i="3"/>
  <c r="O677" i="3"/>
  <c r="G677" i="3"/>
  <c r="O676" i="3"/>
  <c r="G676" i="3"/>
  <c r="O675" i="3"/>
  <c r="G675" i="3"/>
  <c r="O674" i="3"/>
  <c r="G674" i="3"/>
  <c r="O673" i="3"/>
  <c r="G673" i="3"/>
  <c r="O672" i="3"/>
  <c r="G672" i="3"/>
  <c r="O671" i="3"/>
  <c r="G671" i="3"/>
  <c r="O670" i="3"/>
  <c r="G670" i="3"/>
  <c r="O669" i="3"/>
  <c r="G669" i="3"/>
  <c r="O668" i="3"/>
  <c r="G668" i="3"/>
  <c r="O667" i="3"/>
  <c r="G667" i="3"/>
  <c r="O666" i="3"/>
  <c r="G666" i="3"/>
  <c r="O665" i="3"/>
  <c r="G665" i="3"/>
  <c r="O664" i="3"/>
  <c r="G664" i="3"/>
  <c r="O663" i="3"/>
  <c r="G663" i="3"/>
  <c r="O662" i="3"/>
  <c r="G662" i="3"/>
  <c r="O661" i="3"/>
  <c r="G661" i="3"/>
  <c r="O660" i="3"/>
  <c r="G660" i="3"/>
  <c r="O300" i="7"/>
  <c r="O301" i="7"/>
  <c r="O302" i="7"/>
  <c r="O303" i="7"/>
  <c r="O304" i="7"/>
  <c r="O305" i="7"/>
  <c r="O306" i="7"/>
  <c r="O307" i="7"/>
  <c r="G300" i="7"/>
  <c r="G301" i="7"/>
  <c r="G302" i="7"/>
  <c r="G303" i="7"/>
  <c r="G304" i="7"/>
  <c r="G305" i="7"/>
  <c r="G306" i="7"/>
  <c r="G307" i="7"/>
  <c r="O334" i="7"/>
  <c r="G334" i="7"/>
  <c r="O333" i="7"/>
  <c r="G333" i="7"/>
  <c r="G332" i="7"/>
  <c r="G331" i="7"/>
  <c r="O330" i="7"/>
  <c r="G330" i="7"/>
  <c r="G329" i="7"/>
  <c r="O328" i="7"/>
  <c r="G328" i="7"/>
  <c r="O327" i="7"/>
  <c r="G327" i="7"/>
  <c r="O326" i="7"/>
  <c r="G326" i="7"/>
  <c r="O325" i="7"/>
  <c r="G325" i="7"/>
  <c r="O324" i="7"/>
  <c r="G324" i="7"/>
  <c r="O323" i="7"/>
  <c r="G323" i="7"/>
  <c r="O322" i="7"/>
  <c r="G322" i="7"/>
  <c r="O321" i="7"/>
  <c r="G321" i="7"/>
  <c r="O320" i="7"/>
  <c r="G320" i="7"/>
  <c r="O319" i="7"/>
  <c r="G319" i="7"/>
  <c r="O318" i="7"/>
  <c r="G318" i="7"/>
  <c r="O317" i="7"/>
  <c r="G317" i="7"/>
  <c r="O316" i="7"/>
  <c r="G316" i="7"/>
  <c r="O315" i="7"/>
  <c r="G315" i="7"/>
  <c r="O314" i="7"/>
  <c r="G314" i="7"/>
  <c r="O313" i="7"/>
  <c r="G313" i="7"/>
  <c r="O312" i="7"/>
  <c r="G312" i="7"/>
  <c r="O311" i="7"/>
  <c r="G311" i="7"/>
  <c r="O310" i="7"/>
  <c r="G310" i="7"/>
  <c r="O309" i="7"/>
  <c r="G309" i="7"/>
  <c r="O376" i="6"/>
  <c r="G376" i="6"/>
  <c r="O375" i="6"/>
  <c r="G375" i="6"/>
  <c r="O374" i="6"/>
  <c r="G374" i="6"/>
  <c r="O373" i="6"/>
  <c r="G373" i="6"/>
  <c r="O372" i="6"/>
  <c r="G372" i="6"/>
  <c r="O371" i="6"/>
  <c r="G371" i="6"/>
  <c r="O370" i="6"/>
  <c r="G370" i="6"/>
  <c r="O369" i="6"/>
  <c r="G369" i="6"/>
  <c r="O368" i="6"/>
  <c r="G368" i="6"/>
  <c r="O367" i="6"/>
  <c r="G367" i="6"/>
  <c r="O366" i="6"/>
  <c r="G366" i="6"/>
  <c r="O365" i="6"/>
  <c r="G365" i="6"/>
  <c r="O364" i="6"/>
  <c r="G364" i="6"/>
  <c r="O363" i="6"/>
  <c r="G363" i="6"/>
  <c r="O362" i="6"/>
  <c r="G362" i="6"/>
  <c r="O361" i="6"/>
  <c r="G361" i="6"/>
  <c r="O360" i="6"/>
  <c r="G360" i="6"/>
  <c r="O359" i="6"/>
  <c r="G359" i="6"/>
  <c r="O358" i="6"/>
  <c r="G358" i="6"/>
  <c r="O357" i="6"/>
  <c r="G357" i="6"/>
  <c r="O356" i="6"/>
  <c r="G356" i="6"/>
  <c r="O355" i="6"/>
  <c r="G355" i="6"/>
  <c r="O354" i="6"/>
  <c r="G354" i="6"/>
  <c r="O353" i="6"/>
  <c r="G353" i="6"/>
  <c r="O352" i="6"/>
  <c r="G352" i="6"/>
  <c r="O351" i="6"/>
  <c r="G351" i="6"/>
  <c r="O349" i="6"/>
  <c r="G349" i="6"/>
  <c r="O348" i="6"/>
  <c r="G348" i="6"/>
  <c r="O347" i="6"/>
  <c r="G347" i="6"/>
  <c r="O346" i="6"/>
  <c r="G346" i="6"/>
  <c r="O345" i="6"/>
  <c r="G345" i="6"/>
  <c r="O344" i="6"/>
  <c r="G344" i="6"/>
  <c r="O343" i="6"/>
  <c r="G343" i="6"/>
  <c r="O342" i="6"/>
  <c r="G342" i="6"/>
  <c r="O1109" i="4"/>
  <c r="O1151" i="4"/>
  <c r="O1152" i="4"/>
  <c r="O1156" i="4"/>
  <c r="O1153" i="4"/>
  <c r="O1154" i="4"/>
  <c r="O1095" i="4"/>
  <c r="O272" i="5"/>
  <c r="O330" i="5"/>
  <c r="O329" i="5"/>
  <c r="G630" i="3"/>
  <c r="G285" i="5"/>
  <c r="G286" i="5"/>
  <c r="G287" i="5"/>
  <c r="G288" i="5"/>
  <c r="G289" i="5"/>
  <c r="G290" i="5"/>
  <c r="G264" i="5"/>
  <c r="G1094" i="4"/>
  <c r="G1095" i="4"/>
  <c r="G1096" i="4"/>
  <c r="G1097" i="4"/>
  <c r="G1098" i="4"/>
  <c r="G1099" i="4"/>
  <c r="G317" i="6"/>
  <c r="G318" i="6"/>
  <c r="G272" i="7"/>
  <c r="G273" i="7"/>
  <c r="O331" i="6"/>
  <c r="O287" i="7"/>
  <c r="O286" i="7"/>
  <c r="O288" i="7"/>
  <c r="O330" i="6"/>
  <c r="O329" i="6"/>
  <c r="O328" i="6"/>
  <c r="O327" i="6"/>
  <c r="O326" i="6"/>
  <c r="O771" i="2"/>
  <c r="G771" i="2"/>
  <c r="O770" i="2"/>
  <c r="G770" i="2"/>
  <c r="O769" i="2"/>
  <c r="G769" i="2"/>
  <c r="O768" i="2"/>
  <c r="G768" i="2"/>
  <c r="O767" i="2"/>
  <c r="G767" i="2"/>
  <c r="O766" i="2"/>
  <c r="G766" i="2"/>
  <c r="O765" i="2"/>
  <c r="G765" i="2"/>
  <c r="O764" i="2"/>
  <c r="G764" i="2"/>
  <c r="O763" i="2"/>
  <c r="G763" i="2"/>
  <c r="O762" i="2"/>
  <c r="G762" i="2"/>
  <c r="O761" i="2"/>
  <c r="G761" i="2"/>
  <c r="O760" i="2"/>
  <c r="G760" i="2"/>
  <c r="O759" i="2"/>
  <c r="G759" i="2"/>
  <c r="O758" i="2"/>
  <c r="G758" i="2"/>
  <c r="O757" i="2"/>
  <c r="G757" i="2"/>
  <c r="O756" i="2"/>
  <c r="G756" i="2"/>
  <c r="O755" i="2"/>
  <c r="G755" i="2"/>
  <c r="O754" i="2"/>
  <c r="G754" i="2"/>
  <c r="O753" i="2"/>
  <c r="G753" i="2"/>
  <c r="O752" i="2"/>
  <c r="G752" i="2"/>
  <c r="O751" i="2"/>
  <c r="G751" i="2"/>
  <c r="O750" i="2"/>
  <c r="G750" i="2"/>
  <c r="O749" i="2"/>
  <c r="G749" i="2"/>
  <c r="O748" i="2"/>
  <c r="G748" i="2"/>
  <c r="O747" i="2"/>
  <c r="G747" i="2"/>
  <c r="O746" i="2"/>
  <c r="G746" i="2"/>
  <c r="O744" i="2"/>
  <c r="G744" i="2"/>
  <c r="O743" i="2"/>
  <c r="G743" i="2"/>
  <c r="O742" i="2"/>
  <c r="G742" i="2"/>
  <c r="O741" i="2"/>
  <c r="G741" i="2"/>
  <c r="O740" i="2"/>
  <c r="G740" i="2"/>
  <c r="O739" i="2"/>
  <c r="G739" i="2"/>
  <c r="O738" i="2"/>
  <c r="G738" i="2"/>
  <c r="O737" i="2"/>
  <c r="G737" i="2"/>
  <c r="O736" i="2"/>
  <c r="G736" i="2"/>
  <c r="O334" i="5"/>
  <c r="O292" i="5"/>
  <c r="O291" i="5"/>
  <c r="O290" i="5"/>
  <c r="O265" i="5"/>
  <c r="O264" i="5"/>
  <c r="G376" i="5"/>
  <c r="G375" i="5"/>
  <c r="G374" i="5"/>
  <c r="G373" i="5"/>
  <c r="G372" i="5"/>
  <c r="G371" i="5"/>
  <c r="G370" i="5"/>
  <c r="O369" i="5"/>
  <c r="G369" i="5"/>
  <c r="O368" i="5"/>
  <c r="G368" i="5"/>
  <c r="O367" i="5"/>
  <c r="G367" i="5"/>
  <c r="O366" i="5"/>
  <c r="G366" i="5"/>
  <c r="O365" i="5"/>
  <c r="G365" i="5"/>
  <c r="O364" i="5"/>
  <c r="G364" i="5"/>
  <c r="O363" i="5"/>
  <c r="G363" i="5"/>
  <c r="O362" i="5"/>
  <c r="G362" i="5"/>
  <c r="O361" i="5"/>
  <c r="G361" i="5"/>
  <c r="O360" i="5"/>
  <c r="G360" i="5"/>
  <c r="O359" i="5"/>
  <c r="G359" i="5"/>
  <c r="O358" i="5"/>
  <c r="G358" i="5"/>
  <c r="O357" i="5"/>
  <c r="G357" i="5"/>
  <c r="O356" i="5"/>
  <c r="G356" i="5"/>
  <c r="O355" i="5"/>
  <c r="G355" i="5"/>
  <c r="O354" i="5"/>
  <c r="G354" i="5"/>
  <c r="O353" i="5"/>
  <c r="G353" i="5"/>
  <c r="O352" i="5"/>
  <c r="G352" i="5"/>
  <c r="O351" i="5"/>
  <c r="G351" i="5"/>
  <c r="O349" i="5"/>
  <c r="G349" i="5"/>
  <c r="O348" i="5"/>
  <c r="G348" i="5"/>
  <c r="O347" i="5"/>
  <c r="O346" i="5"/>
  <c r="G346" i="5"/>
  <c r="O345" i="5"/>
  <c r="G345" i="5"/>
  <c r="O344" i="5"/>
  <c r="G344" i="5"/>
  <c r="O343" i="5"/>
  <c r="G343" i="5"/>
  <c r="O342" i="5"/>
  <c r="G342" i="5"/>
  <c r="O1158" i="4"/>
  <c r="G1158" i="4"/>
  <c r="O1157" i="4"/>
  <c r="G1157" i="4"/>
  <c r="G1156" i="4"/>
  <c r="G1155" i="4"/>
  <c r="G1154" i="4"/>
  <c r="G1153" i="4"/>
  <c r="G1152" i="4"/>
  <c r="G1151" i="4"/>
  <c r="O1150" i="4"/>
  <c r="G1150" i="4"/>
  <c r="O1149" i="4"/>
  <c r="G1149" i="4"/>
  <c r="O1148" i="4"/>
  <c r="G1148" i="4"/>
  <c r="O1147" i="4"/>
  <c r="G1147" i="4"/>
  <c r="O1146" i="4"/>
  <c r="G1146" i="4"/>
  <c r="O1145" i="4"/>
  <c r="G1145" i="4"/>
  <c r="O1144" i="4"/>
  <c r="G1144" i="4"/>
  <c r="O1143" i="4"/>
  <c r="G1143" i="4"/>
  <c r="O1142" i="4"/>
  <c r="G1142" i="4"/>
  <c r="O1141" i="4"/>
  <c r="G1141" i="4"/>
  <c r="O1140" i="4"/>
  <c r="G1140" i="4"/>
  <c r="O1139" i="4"/>
  <c r="G1139" i="4"/>
  <c r="O1138" i="4"/>
  <c r="G1138" i="4"/>
  <c r="O1137" i="4"/>
  <c r="G1137" i="4"/>
  <c r="O1136" i="4"/>
  <c r="G1136" i="4"/>
  <c r="O1135" i="4"/>
  <c r="G1135" i="4"/>
  <c r="O1134" i="4"/>
  <c r="G1134" i="4"/>
  <c r="O1133" i="4"/>
  <c r="G1133" i="4"/>
  <c r="O1131" i="4"/>
  <c r="G1131" i="4"/>
  <c r="O1130" i="4"/>
  <c r="G1130" i="4"/>
  <c r="O1129" i="4"/>
  <c r="G1129" i="4"/>
  <c r="O1128" i="4"/>
  <c r="G1128" i="4"/>
  <c r="O1127" i="4"/>
  <c r="G1127" i="4"/>
  <c r="O1126" i="4"/>
  <c r="G1126" i="4"/>
  <c r="O1125" i="4"/>
  <c r="G1125" i="4"/>
  <c r="O1124" i="4"/>
  <c r="G1124" i="4"/>
  <c r="O1123" i="4"/>
  <c r="G1123" i="4"/>
  <c r="O332" i="6"/>
  <c r="O706" i="2"/>
  <c r="O642" i="3"/>
  <c r="G642" i="3"/>
  <c r="O641" i="3"/>
  <c r="G641" i="3"/>
  <c r="O640" i="3"/>
  <c r="G640" i="3"/>
  <c r="G639" i="3"/>
  <c r="O638" i="3"/>
  <c r="G638" i="3"/>
  <c r="O637" i="3"/>
  <c r="G637" i="3"/>
  <c r="O636" i="3"/>
  <c r="G636" i="3"/>
  <c r="O635" i="3"/>
  <c r="G635" i="3"/>
  <c r="O634" i="3"/>
  <c r="G634" i="3"/>
  <c r="O633" i="3"/>
  <c r="G633" i="3"/>
  <c r="O632" i="3"/>
  <c r="G632" i="3"/>
  <c r="O631" i="3"/>
  <c r="G631" i="3"/>
  <c r="O630" i="3"/>
  <c r="O629" i="3"/>
  <c r="G629" i="3"/>
  <c r="O628" i="3"/>
  <c r="G628" i="3"/>
  <c r="O627" i="3"/>
  <c r="G627" i="3"/>
  <c r="O626" i="3"/>
  <c r="G626" i="3"/>
  <c r="O625" i="3"/>
  <c r="G625" i="3"/>
  <c r="O624" i="3"/>
  <c r="G624" i="3"/>
  <c r="O623" i="3"/>
  <c r="G623" i="3"/>
  <c r="O622" i="3"/>
  <c r="G622" i="3"/>
  <c r="O621" i="3"/>
  <c r="G621" i="3"/>
  <c r="O620" i="3"/>
  <c r="G620" i="3"/>
  <c r="O619" i="3"/>
  <c r="G619" i="3"/>
  <c r="O618" i="3"/>
  <c r="G618" i="3"/>
  <c r="O617" i="3"/>
  <c r="G617" i="3"/>
  <c r="O615" i="3"/>
  <c r="G615" i="3"/>
  <c r="O614" i="3"/>
  <c r="G614" i="3"/>
  <c r="O613" i="3"/>
  <c r="G613" i="3"/>
  <c r="O612" i="3"/>
  <c r="G612" i="3"/>
  <c r="O611" i="3"/>
  <c r="G611" i="3"/>
  <c r="O610" i="3"/>
  <c r="G610" i="3"/>
  <c r="O609" i="3"/>
  <c r="G609" i="3"/>
  <c r="O608" i="3"/>
  <c r="G608" i="3"/>
  <c r="O607" i="3"/>
  <c r="G607" i="3"/>
  <c r="O334" i="6"/>
  <c r="O292" i="7"/>
  <c r="O250" i="5"/>
  <c r="O249" i="5"/>
  <c r="O248" i="5"/>
  <c r="O289" i="5"/>
  <c r="O332" i="5"/>
  <c r="O307" i="5"/>
  <c r="O306" i="5"/>
  <c r="O1072" i="4"/>
  <c r="O1071" i="4"/>
  <c r="O1070" i="4"/>
  <c r="O1115" i="4"/>
  <c r="O1114" i="4"/>
  <c r="O1113" i="4"/>
  <c r="O1112" i="4"/>
  <c r="O1111" i="4"/>
  <c r="O1110" i="4"/>
  <c r="O1108" i="4"/>
  <c r="O1087" i="4"/>
  <c r="O1086" i="4"/>
  <c r="O1063" i="4"/>
  <c r="O1062" i="4"/>
  <c r="O1061" i="4"/>
  <c r="O1065" i="4"/>
  <c r="O1069" i="4"/>
  <c r="O1068" i="4"/>
  <c r="O1067" i="4"/>
  <c r="O226" i="7"/>
  <c r="G229" i="7"/>
  <c r="O228" i="5"/>
  <c r="G240" i="5"/>
  <c r="G1028" i="4"/>
  <c r="G596" i="3"/>
  <c r="G1027" i="4"/>
  <c r="O268" i="6"/>
  <c r="O580" i="3"/>
  <c r="O226" i="5"/>
  <c r="O225" i="5"/>
  <c r="O292" i="6"/>
  <c r="O291" i="6"/>
  <c r="O290" i="6"/>
  <c r="O289" i="6"/>
  <c r="O288" i="6"/>
  <c r="O287" i="6"/>
  <c r="O286" i="6"/>
  <c r="O285" i="6"/>
  <c r="G300" i="6"/>
  <c r="O300" i="6"/>
  <c r="G301" i="6"/>
  <c r="O301" i="6"/>
  <c r="G302" i="6"/>
  <c r="O302" i="6"/>
  <c r="G303" i="6"/>
  <c r="O303" i="6"/>
  <c r="G304" i="6"/>
  <c r="O304" i="6"/>
  <c r="G305" i="6"/>
  <c r="O305" i="6"/>
  <c r="G306" i="6"/>
  <c r="O306" i="6"/>
  <c r="G307" i="6"/>
  <c r="O307" i="6"/>
  <c r="G309" i="6"/>
  <c r="O309" i="6"/>
  <c r="G310" i="6"/>
  <c r="O310" i="6"/>
  <c r="G311" i="6"/>
  <c r="O311" i="6"/>
  <c r="G312" i="6"/>
  <c r="O312" i="6"/>
  <c r="G313" i="6"/>
  <c r="O313" i="6"/>
  <c r="G314" i="6"/>
  <c r="O314" i="6"/>
  <c r="G315" i="6"/>
  <c r="O315" i="6"/>
  <c r="G316" i="6"/>
  <c r="O316" i="6"/>
  <c r="O317" i="6"/>
  <c r="O318" i="6"/>
  <c r="G319" i="6"/>
  <c r="O319" i="6"/>
  <c r="G320" i="6"/>
  <c r="O320" i="6"/>
  <c r="G321" i="6"/>
  <c r="O321" i="6"/>
  <c r="G322" i="6"/>
  <c r="O322" i="6"/>
  <c r="G323" i="6"/>
  <c r="O323" i="6"/>
  <c r="G324" i="6"/>
  <c r="O324" i="6"/>
  <c r="G325" i="6"/>
  <c r="O325" i="6"/>
  <c r="G326" i="6"/>
  <c r="G327" i="6"/>
  <c r="G328" i="6"/>
  <c r="G329" i="6"/>
  <c r="G330" i="6"/>
  <c r="G331" i="6"/>
  <c r="G332" i="6"/>
  <c r="G333" i="6"/>
  <c r="O333" i="6"/>
  <c r="G334" i="6"/>
  <c r="G292" i="7"/>
  <c r="O291" i="7"/>
  <c r="G291" i="7"/>
  <c r="O290" i="7"/>
  <c r="G290" i="7"/>
  <c r="O289" i="7"/>
  <c r="G289" i="7"/>
  <c r="G288" i="7"/>
  <c r="G287" i="7"/>
  <c r="G286" i="7"/>
  <c r="O285" i="7"/>
  <c r="G285" i="7"/>
  <c r="O284" i="7"/>
  <c r="G284" i="7"/>
  <c r="O283" i="7"/>
  <c r="G283" i="7"/>
  <c r="O282" i="7"/>
  <c r="G282" i="7"/>
  <c r="O281" i="7"/>
  <c r="G281" i="7"/>
  <c r="O280" i="7"/>
  <c r="G280" i="7"/>
  <c r="O279" i="7"/>
  <c r="G279" i="7"/>
  <c r="O278" i="7"/>
  <c r="G278" i="7"/>
  <c r="O277" i="7"/>
  <c r="G277" i="7"/>
  <c r="O276" i="7"/>
  <c r="G276" i="7"/>
  <c r="O275" i="7"/>
  <c r="G275" i="7"/>
  <c r="O274" i="7"/>
  <c r="G274" i="7"/>
  <c r="O273" i="7"/>
  <c r="O272" i="7"/>
  <c r="O271" i="7"/>
  <c r="G271" i="7"/>
  <c r="O270" i="7"/>
  <c r="G270" i="7"/>
  <c r="O269" i="7"/>
  <c r="G269" i="7"/>
  <c r="O268" i="7"/>
  <c r="G268" i="7"/>
  <c r="O267" i="7"/>
  <c r="G267" i="7"/>
  <c r="O265" i="7"/>
  <c r="G265" i="7"/>
  <c r="O264" i="7"/>
  <c r="G264" i="7"/>
  <c r="O263" i="7"/>
  <c r="G263" i="7"/>
  <c r="O262" i="7"/>
  <c r="G262" i="7"/>
  <c r="O261" i="7"/>
  <c r="G261" i="7"/>
  <c r="O260" i="7"/>
  <c r="G260" i="7"/>
  <c r="O259" i="7"/>
  <c r="G259" i="7"/>
  <c r="O258" i="7"/>
  <c r="G258" i="7"/>
  <c r="G292" i="6"/>
  <c r="G291" i="6"/>
  <c r="G290" i="6"/>
  <c r="G289" i="6"/>
  <c r="G288" i="6"/>
  <c r="G287" i="6"/>
  <c r="G286" i="6"/>
  <c r="G285" i="6"/>
  <c r="O284" i="6"/>
  <c r="G284" i="6"/>
  <c r="O283" i="6"/>
  <c r="G283" i="6"/>
  <c r="O282" i="6"/>
  <c r="G282" i="6"/>
  <c r="O281" i="6"/>
  <c r="G281" i="6"/>
  <c r="O280" i="6"/>
  <c r="G280" i="6"/>
  <c r="O279" i="6"/>
  <c r="G279" i="6"/>
  <c r="O278" i="6"/>
  <c r="G278" i="6"/>
  <c r="O277" i="6"/>
  <c r="G277" i="6"/>
  <c r="O276" i="6"/>
  <c r="G276" i="6"/>
  <c r="O275" i="6"/>
  <c r="G275" i="6"/>
  <c r="O274" i="6"/>
  <c r="G274" i="6"/>
  <c r="O273" i="6"/>
  <c r="G273" i="6"/>
  <c r="O272" i="6"/>
  <c r="G272" i="6"/>
  <c r="O271" i="6"/>
  <c r="G271" i="6"/>
  <c r="O270" i="6"/>
  <c r="G270" i="6"/>
  <c r="O269" i="6"/>
  <c r="G269" i="6"/>
  <c r="G268" i="6"/>
  <c r="O267" i="6"/>
  <c r="G267" i="6"/>
  <c r="O265" i="6"/>
  <c r="G265" i="6"/>
  <c r="O264" i="6"/>
  <c r="G264" i="6"/>
  <c r="O263" i="6"/>
  <c r="G263" i="6"/>
  <c r="O262" i="6"/>
  <c r="G262" i="6"/>
  <c r="O261" i="6"/>
  <c r="G261" i="6"/>
  <c r="O260" i="6"/>
  <c r="G260" i="6"/>
  <c r="O259" i="6"/>
  <c r="G259" i="6"/>
  <c r="O258" i="6"/>
  <c r="G258" i="6"/>
  <c r="O1044" i="4"/>
  <c r="O1043" i="4"/>
  <c r="O1018" i="4"/>
  <c r="O1017" i="4"/>
  <c r="O1019" i="4"/>
  <c r="O247" i="7"/>
  <c r="O247" i="6"/>
  <c r="O244" i="5"/>
  <c r="O599" i="3"/>
  <c r="O225" i="6"/>
  <c r="O183" i="7"/>
  <c r="G334" i="5"/>
  <c r="O333" i="5"/>
  <c r="G333" i="5"/>
  <c r="G332" i="5"/>
  <c r="O331" i="5"/>
  <c r="G331" i="5"/>
  <c r="G330" i="5"/>
  <c r="G329" i="5"/>
  <c r="O328" i="5"/>
  <c r="G328" i="5"/>
  <c r="O327" i="5"/>
  <c r="G327" i="5"/>
  <c r="O326" i="5"/>
  <c r="G326" i="5"/>
  <c r="O325" i="5"/>
  <c r="G325" i="5"/>
  <c r="O324" i="5"/>
  <c r="G324" i="5"/>
  <c r="O323" i="5"/>
  <c r="G323" i="5"/>
  <c r="O322" i="5"/>
  <c r="G322" i="5"/>
  <c r="O321" i="5"/>
  <c r="G321" i="5"/>
  <c r="O320" i="5"/>
  <c r="G320" i="5"/>
  <c r="O319" i="5"/>
  <c r="G319" i="5"/>
  <c r="O318" i="5"/>
  <c r="G318" i="5"/>
  <c r="O317" i="5"/>
  <c r="G317" i="5"/>
  <c r="O316" i="5"/>
  <c r="G316" i="5"/>
  <c r="O315" i="5"/>
  <c r="G315" i="5"/>
  <c r="O314" i="5"/>
  <c r="G314" i="5"/>
  <c r="O313" i="5"/>
  <c r="G313" i="5"/>
  <c r="O312" i="5"/>
  <c r="G312" i="5"/>
  <c r="O311" i="5"/>
  <c r="G311" i="5"/>
  <c r="O310" i="5"/>
  <c r="G310" i="5"/>
  <c r="O309" i="5"/>
  <c r="G309" i="5"/>
  <c r="G307" i="5"/>
  <c r="G306" i="5"/>
  <c r="O305" i="5"/>
  <c r="G305" i="5"/>
  <c r="O304" i="5"/>
  <c r="G304" i="5"/>
  <c r="O303" i="5"/>
  <c r="G303" i="5"/>
  <c r="O302" i="5"/>
  <c r="G302" i="5"/>
  <c r="O301" i="5"/>
  <c r="G301" i="5"/>
  <c r="O300" i="5"/>
  <c r="G300" i="5"/>
  <c r="G292" i="5"/>
  <c r="G291" i="5"/>
  <c r="O288" i="5"/>
  <c r="O287" i="5"/>
  <c r="O286" i="5"/>
  <c r="O285" i="5"/>
  <c r="O284" i="5"/>
  <c r="G284" i="5"/>
  <c r="O283" i="5"/>
  <c r="G283" i="5"/>
  <c r="O282" i="5"/>
  <c r="G282" i="5"/>
  <c r="O281" i="5"/>
  <c r="G281" i="5"/>
  <c r="O280" i="5"/>
  <c r="G280" i="5"/>
  <c r="O279" i="5"/>
  <c r="G279" i="5"/>
  <c r="O278" i="5"/>
  <c r="G278" i="5"/>
  <c r="O277" i="5"/>
  <c r="G277" i="5"/>
  <c r="O276" i="5"/>
  <c r="G276" i="5"/>
  <c r="O275" i="5"/>
  <c r="G275" i="5"/>
  <c r="O274" i="5"/>
  <c r="G274" i="5"/>
  <c r="O273" i="5"/>
  <c r="G273" i="5"/>
  <c r="G272" i="5"/>
  <c r="O271" i="5"/>
  <c r="G271" i="5"/>
  <c r="O270" i="5"/>
  <c r="G270" i="5"/>
  <c r="O269" i="5"/>
  <c r="G269" i="5"/>
  <c r="O268" i="5"/>
  <c r="G268" i="5"/>
  <c r="O267" i="5"/>
  <c r="G267" i="5"/>
  <c r="G265" i="5"/>
  <c r="O263" i="5"/>
  <c r="G263" i="5"/>
  <c r="O262" i="5"/>
  <c r="G262" i="5"/>
  <c r="O261" i="5"/>
  <c r="G261" i="5"/>
  <c r="O260" i="5"/>
  <c r="G260" i="5"/>
  <c r="O259" i="5"/>
  <c r="G259" i="5"/>
  <c r="O258" i="5"/>
  <c r="G258" i="5"/>
  <c r="G1115" i="4"/>
  <c r="G1114" i="4"/>
  <c r="G1113" i="4"/>
  <c r="G1112" i="4"/>
  <c r="G1111" i="4"/>
  <c r="G1110" i="4"/>
  <c r="G1109" i="4"/>
  <c r="G1108" i="4"/>
  <c r="O1107" i="4"/>
  <c r="G1107" i="4"/>
  <c r="O1106" i="4"/>
  <c r="G1106" i="4"/>
  <c r="O1105" i="4"/>
  <c r="G1105" i="4"/>
  <c r="O1104" i="4"/>
  <c r="G1104" i="4"/>
  <c r="O1103" i="4"/>
  <c r="G1103" i="4"/>
  <c r="O1102" i="4"/>
  <c r="G1102" i="4"/>
  <c r="O1101" i="4"/>
  <c r="G1101" i="4"/>
  <c r="O1100" i="4"/>
  <c r="G1100" i="4"/>
  <c r="O1099" i="4"/>
  <c r="O1098" i="4"/>
  <c r="O1097" i="4"/>
  <c r="O1096" i="4"/>
  <c r="O1094" i="4"/>
  <c r="O1093" i="4"/>
  <c r="G1093" i="4"/>
  <c r="O1092" i="4"/>
  <c r="G1092" i="4"/>
  <c r="O1091" i="4"/>
  <c r="G1091" i="4"/>
  <c r="O1090" i="4"/>
  <c r="G1090" i="4"/>
  <c r="O1088" i="4"/>
  <c r="G1088" i="4"/>
  <c r="G1087" i="4"/>
  <c r="G1086" i="4"/>
  <c r="O1085" i="4"/>
  <c r="G1085" i="4"/>
  <c r="O1084" i="4"/>
  <c r="G1084" i="4"/>
  <c r="O1083" i="4"/>
  <c r="G1083" i="4"/>
  <c r="O1082" i="4"/>
  <c r="G1082" i="4"/>
  <c r="O1081" i="4"/>
  <c r="G1081" i="4"/>
  <c r="O1080" i="4"/>
  <c r="G1080" i="4"/>
  <c r="G1072" i="4"/>
  <c r="G1071" i="4"/>
  <c r="G1070" i="4"/>
  <c r="G1069" i="4"/>
  <c r="G1068" i="4"/>
  <c r="G1067" i="4"/>
  <c r="O1066" i="4"/>
  <c r="G1066" i="4"/>
  <c r="G1065" i="4"/>
  <c r="O1064" i="4"/>
  <c r="G1064" i="4"/>
  <c r="G1063" i="4"/>
  <c r="G1062" i="4"/>
  <c r="G1061" i="4"/>
  <c r="O1060" i="4"/>
  <c r="G1060" i="4"/>
  <c r="O1059" i="4"/>
  <c r="G1059" i="4"/>
  <c r="O1058" i="4"/>
  <c r="G1058" i="4"/>
  <c r="O1057" i="4"/>
  <c r="G1057" i="4"/>
  <c r="O1056" i="4"/>
  <c r="G1056" i="4"/>
  <c r="O1055" i="4"/>
  <c r="G1055" i="4"/>
  <c r="O1054" i="4"/>
  <c r="G1054" i="4"/>
  <c r="O1053" i="4"/>
  <c r="G1053" i="4"/>
  <c r="O1052" i="4"/>
  <c r="G1052" i="4"/>
  <c r="O1051" i="4"/>
  <c r="G1051" i="4"/>
  <c r="O1050" i="4"/>
  <c r="G1050" i="4"/>
  <c r="O1049" i="4"/>
  <c r="G1049" i="4"/>
  <c r="O1048" i="4"/>
  <c r="G1048" i="4"/>
  <c r="O1047" i="4"/>
  <c r="G1047" i="4"/>
  <c r="O1045" i="4"/>
  <c r="G1045" i="4"/>
  <c r="G1044" i="4"/>
  <c r="G1043" i="4"/>
  <c r="O1042" i="4"/>
  <c r="G1042" i="4"/>
  <c r="O1041" i="4"/>
  <c r="G1041" i="4"/>
  <c r="O1040" i="4"/>
  <c r="G1040" i="4"/>
  <c r="O1039" i="4"/>
  <c r="G1039" i="4"/>
  <c r="O1038" i="4"/>
  <c r="G1038" i="4"/>
  <c r="O1037" i="4"/>
  <c r="G1037" i="4"/>
  <c r="O335" i="5"/>
  <c r="O205" i="7"/>
  <c r="G175" i="7"/>
  <c r="G184" i="7"/>
  <c r="O175" i="7"/>
  <c r="O241" i="7"/>
  <c r="O243" i="7"/>
  <c r="O242" i="7"/>
  <c r="O241" i="6"/>
  <c r="O243" i="6"/>
  <c r="O242" i="6"/>
  <c r="O1029" i="4"/>
  <c r="G1029" i="4"/>
  <c r="O1028" i="4"/>
  <c r="O1027" i="4"/>
  <c r="O1026" i="4"/>
  <c r="G1026" i="4"/>
  <c r="O1025" i="4"/>
  <c r="G1025" i="4"/>
  <c r="O1024" i="4"/>
  <c r="G1024" i="4"/>
  <c r="O1023" i="4"/>
  <c r="G1023" i="4"/>
  <c r="O1022" i="4"/>
  <c r="G1022" i="4"/>
  <c r="O1021" i="4"/>
  <c r="G1021" i="4"/>
  <c r="O1020" i="4"/>
  <c r="G1020" i="4"/>
  <c r="G1019" i="4"/>
  <c r="G1018" i="4"/>
  <c r="G1017" i="4"/>
  <c r="O1016" i="4"/>
  <c r="G1016" i="4"/>
  <c r="O1015" i="4"/>
  <c r="G1015" i="4"/>
  <c r="O1014" i="4"/>
  <c r="G1014" i="4"/>
  <c r="O1013" i="4"/>
  <c r="G1013" i="4"/>
  <c r="O1012" i="4"/>
  <c r="G1012" i="4"/>
  <c r="O1011" i="4"/>
  <c r="G1011" i="4"/>
  <c r="O1010" i="4"/>
  <c r="G1010" i="4"/>
  <c r="O1009" i="4"/>
  <c r="G1009" i="4"/>
  <c r="O1008" i="4"/>
  <c r="G1008" i="4"/>
  <c r="O1007" i="4"/>
  <c r="G1007" i="4"/>
  <c r="O1006" i="4"/>
  <c r="G1006" i="4"/>
  <c r="O1005" i="4"/>
  <c r="G1005" i="4"/>
  <c r="O1004" i="4"/>
  <c r="G1004" i="4"/>
  <c r="O1002" i="4"/>
  <c r="G1002" i="4"/>
  <c r="O1001" i="4"/>
  <c r="G1001" i="4"/>
  <c r="O1000" i="4"/>
  <c r="G1000" i="4"/>
  <c r="O999" i="4"/>
  <c r="G999" i="4"/>
  <c r="O998" i="4"/>
  <c r="G998" i="4"/>
  <c r="O997" i="4"/>
  <c r="G997" i="4"/>
  <c r="O996" i="4"/>
  <c r="G996" i="4"/>
  <c r="O995" i="4"/>
  <c r="G995" i="4"/>
  <c r="O994" i="4"/>
  <c r="G994" i="4"/>
  <c r="O205" i="5"/>
  <c r="G250" i="5"/>
  <c r="G249" i="5"/>
  <c r="G248" i="5"/>
  <c r="O247" i="5"/>
  <c r="G247" i="5"/>
  <c r="O246" i="5"/>
  <c r="G246" i="5"/>
  <c r="O245" i="5"/>
  <c r="G245" i="5"/>
  <c r="G244" i="5"/>
  <c r="O243" i="5"/>
  <c r="G243" i="5"/>
  <c r="O242" i="5"/>
  <c r="G242" i="5"/>
  <c r="O241" i="5"/>
  <c r="G241" i="5"/>
  <c r="O240" i="5"/>
  <c r="O239" i="5"/>
  <c r="G239" i="5"/>
  <c r="O238" i="5"/>
  <c r="G238" i="5"/>
  <c r="O237" i="5"/>
  <c r="G237" i="5"/>
  <c r="O236" i="5"/>
  <c r="G236" i="5"/>
  <c r="O235" i="5"/>
  <c r="G235" i="5"/>
  <c r="O234" i="5"/>
  <c r="G234" i="5"/>
  <c r="O233" i="5"/>
  <c r="G233" i="5"/>
  <c r="O232" i="5"/>
  <c r="G232" i="5"/>
  <c r="O231" i="5"/>
  <c r="G231" i="5"/>
  <c r="O230" i="5"/>
  <c r="G230" i="5"/>
  <c r="O229" i="5"/>
  <c r="G229" i="5"/>
  <c r="G228" i="5"/>
  <c r="O227" i="5"/>
  <c r="G227" i="5"/>
  <c r="G226" i="5"/>
  <c r="G225" i="5"/>
  <c r="O223" i="5"/>
  <c r="G223" i="5"/>
  <c r="O222" i="5"/>
  <c r="G222" i="5"/>
  <c r="O221" i="5"/>
  <c r="G221" i="5"/>
  <c r="O220" i="5"/>
  <c r="G220" i="5"/>
  <c r="O219" i="5"/>
  <c r="G219" i="5"/>
  <c r="O218" i="5"/>
  <c r="G218" i="5"/>
  <c r="O217" i="5"/>
  <c r="G217" i="5"/>
  <c r="O216" i="5"/>
  <c r="G216" i="5"/>
  <c r="O978" i="4"/>
  <c r="O977" i="4"/>
  <c r="O201" i="5"/>
  <c r="O200" i="5"/>
  <c r="O941" i="4"/>
  <c r="O940" i="4"/>
  <c r="O939" i="4"/>
  <c r="O165" i="5"/>
  <c r="O164" i="5"/>
  <c r="O163" i="5"/>
  <c r="O981" i="4"/>
  <c r="O980" i="4"/>
  <c r="O204" i="5"/>
  <c r="O203" i="5"/>
  <c r="O164" i="7"/>
  <c r="O165" i="7"/>
  <c r="O203" i="7"/>
  <c r="O204" i="7"/>
  <c r="O206" i="7"/>
  <c r="O207" i="7"/>
  <c r="O250" i="7"/>
  <c r="G250" i="7"/>
  <c r="O249" i="7"/>
  <c r="G249" i="7"/>
  <c r="O248" i="7"/>
  <c r="G248" i="7"/>
  <c r="G247" i="7"/>
  <c r="O246" i="7"/>
  <c r="G246" i="7"/>
  <c r="O245" i="7"/>
  <c r="G245" i="7"/>
  <c r="O244" i="7"/>
  <c r="G244" i="7"/>
  <c r="G243" i="7"/>
  <c r="G242" i="7"/>
  <c r="G241" i="7"/>
  <c r="O240" i="7"/>
  <c r="G240" i="7"/>
  <c r="O239" i="7"/>
  <c r="G239" i="7"/>
  <c r="O238" i="7"/>
  <c r="G238" i="7"/>
  <c r="O237" i="7"/>
  <c r="G237" i="7"/>
  <c r="O236" i="7"/>
  <c r="G236" i="7"/>
  <c r="O235" i="7"/>
  <c r="G235" i="7"/>
  <c r="O234" i="7"/>
  <c r="G234" i="7"/>
  <c r="O233" i="7"/>
  <c r="G233" i="7"/>
  <c r="O232" i="7"/>
  <c r="G232" i="7"/>
  <c r="O231" i="7"/>
  <c r="G231" i="7"/>
  <c r="O230" i="7"/>
  <c r="G230" i="7"/>
  <c r="O229" i="7"/>
  <c r="O228" i="7"/>
  <c r="G228" i="7"/>
  <c r="O227" i="7"/>
  <c r="G227" i="7"/>
  <c r="G226" i="7"/>
  <c r="O225" i="7"/>
  <c r="G225" i="7"/>
  <c r="O223" i="7"/>
  <c r="G223" i="7"/>
  <c r="O222" i="7"/>
  <c r="G222" i="7"/>
  <c r="O221" i="7"/>
  <c r="G221" i="7"/>
  <c r="O220" i="7"/>
  <c r="G220" i="7"/>
  <c r="O219" i="7"/>
  <c r="G219" i="7"/>
  <c r="O218" i="7"/>
  <c r="G218" i="7"/>
  <c r="O217" i="7"/>
  <c r="G217" i="7"/>
  <c r="O216" i="7"/>
  <c r="G216" i="7"/>
  <c r="O203" i="6"/>
  <c r="O204" i="6"/>
  <c r="O206" i="6"/>
  <c r="O205" i="6"/>
  <c r="O207" i="6"/>
  <c r="O250" i="6"/>
  <c r="G250" i="6"/>
  <c r="O249" i="6"/>
  <c r="G249" i="6"/>
  <c r="O248" i="6"/>
  <c r="G248" i="6"/>
  <c r="G247" i="6"/>
  <c r="O246" i="6"/>
  <c r="G246" i="6"/>
  <c r="O245" i="6"/>
  <c r="G245" i="6"/>
  <c r="O244" i="6"/>
  <c r="G244" i="6"/>
  <c r="G243" i="6"/>
  <c r="G242" i="6"/>
  <c r="G241" i="6"/>
  <c r="O240" i="6"/>
  <c r="G240" i="6"/>
  <c r="O239" i="6"/>
  <c r="G239" i="6"/>
  <c r="O238" i="6"/>
  <c r="G238" i="6"/>
  <c r="O237" i="6"/>
  <c r="G237" i="6"/>
  <c r="O236" i="6"/>
  <c r="G236" i="6"/>
  <c r="O235" i="6"/>
  <c r="G235" i="6"/>
  <c r="O234" i="6"/>
  <c r="G234" i="6"/>
  <c r="O233" i="6"/>
  <c r="G233" i="6"/>
  <c r="O232" i="6"/>
  <c r="G232" i="6"/>
  <c r="O231" i="6"/>
  <c r="G231" i="6"/>
  <c r="O230" i="6"/>
  <c r="G230" i="6"/>
  <c r="O229" i="6"/>
  <c r="G229" i="6"/>
  <c r="O228" i="6"/>
  <c r="G228" i="6"/>
  <c r="O227" i="6"/>
  <c r="G227" i="6"/>
  <c r="O226" i="6"/>
  <c r="G226" i="6"/>
  <c r="G225" i="6"/>
  <c r="O223" i="6"/>
  <c r="G223" i="6"/>
  <c r="O222" i="6"/>
  <c r="G222" i="6"/>
  <c r="O221" i="6"/>
  <c r="G221" i="6"/>
  <c r="O220" i="6"/>
  <c r="G220" i="6"/>
  <c r="O219" i="6"/>
  <c r="G219" i="6"/>
  <c r="O218" i="6"/>
  <c r="G218" i="6"/>
  <c r="O217" i="6"/>
  <c r="G217" i="6"/>
  <c r="O216" i="6"/>
  <c r="G216" i="6"/>
  <c r="O208" i="5"/>
  <c r="G208" i="5"/>
  <c r="O207" i="5"/>
  <c r="G207" i="5"/>
  <c r="O206" i="5"/>
  <c r="G206" i="5"/>
  <c r="G205" i="5"/>
  <c r="G204" i="5"/>
  <c r="G203" i="5"/>
  <c r="O202" i="5"/>
  <c r="G202" i="5"/>
  <c r="G201" i="5"/>
  <c r="G200" i="5"/>
  <c r="O199" i="5"/>
  <c r="G199" i="5"/>
  <c r="O198" i="5"/>
  <c r="G198" i="5"/>
  <c r="O197" i="5"/>
  <c r="G197" i="5"/>
  <c r="O196" i="5"/>
  <c r="G196" i="5"/>
  <c r="O195" i="5"/>
  <c r="G195" i="5"/>
  <c r="O194" i="5"/>
  <c r="G194" i="5"/>
  <c r="O193" i="5"/>
  <c r="G193" i="5"/>
  <c r="O192" i="5"/>
  <c r="G192" i="5"/>
  <c r="O191" i="5"/>
  <c r="G191" i="5"/>
  <c r="O190" i="5"/>
  <c r="G190" i="5"/>
  <c r="O189" i="5"/>
  <c r="G189" i="5"/>
  <c r="O188" i="5"/>
  <c r="G188" i="5"/>
  <c r="O187" i="5"/>
  <c r="G187" i="5"/>
  <c r="O186" i="5"/>
  <c r="G186" i="5"/>
  <c r="O185" i="5"/>
  <c r="G185" i="5"/>
  <c r="O184" i="5"/>
  <c r="G184" i="5"/>
  <c r="O183" i="5"/>
  <c r="G183" i="5"/>
  <c r="O181" i="5"/>
  <c r="G181" i="5"/>
  <c r="O180" i="5"/>
  <c r="G180" i="5"/>
  <c r="O179" i="5"/>
  <c r="G179" i="5"/>
  <c r="O178" i="5"/>
  <c r="G178" i="5"/>
  <c r="O177" i="5"/>
  <c r="G177" i="5"/>
  <c r="O176" i="5"/>
  <c r="G176" i="5"/>
  <c r="O175" i="5"/>
  <c r="G175" i="5"/>
  <c r="O174" i="5"/>
  <c r="G174" i="5"/>
  <c r="O986" i="4"/>
  <c r="G986" i="4"/>
  <c r="O985" i="4"/>
  <c r="G985" i="4"/>
  <c r="O984" i="4"/>
  <c r="G984" i="4"/>
  <c r="O983" i="4"/>
  <c r="G983" i="4"/>
  <c r="O982" i="4"/>
  <c r="G982" i="4"/>
  <c r="G981" i="4"/>
  <c r="G980" i="4"/>
  <c r="O979" i="4"/>
  <c r="G979" i="4"/>
  <c r="G978" i="4"/>
  <c r="G977" i="4"/>
  <c r="O976" i="4"/>
  <c r="G976" i="4"/>
  <c r="O975" i="4"/>
  <c r="G975" i="4"/>
  <c r="O974" i="4"/>
  <c r="G974" i="4"/>
  <c r="O973" i="4"/>
  <c r="G973" i="4"/>
  <c r="O972" i="4"/>
  <c r="G972" i="4"/>
  <c r="O971" i="4"/>
  <c r="G971" i="4"/>
  <c r="O970" i="4"/>
  <c r="G970" i="4"/>
  <c r="O969" i="4"/>
  <c r="G969" i="4"/>
  <c r="O968" i="4"/>
  <c r="G968" i="4"/>
  <c r="O967" i="4"/>
  <c r="G967" i="4"/>
  <c r="O966" i="4"/>
  <c r="G966" i="4"/>
  <c r="O965" i="4"/>
  <c r="G965" i="4"/>
  <c r="O964" i="4"/>
  <c r="G964" i="4"/>
  <c r="O963" i="4"/>
  <c r="G963" i="4"/>
  <c r="O962" i="4"/>
  <c r="G962" i="4"/>
  <c r="O961" i="4"/>
  <c r="G961" i="4"/>
  <c r="O959" i="4"/>
  <c r="G959" i="4"/>
  <c r="O958" i="4"/>
  <c r="G958" i="4"/>
  <c r="O957" i="4"/>
  <c r="G957" i="4"/>
  <c r="O956" i="4"/>
  <c r="G956" i="4"/>
  <c r="O955" i="4"/>
  <c r="G955" i="4"/>
  <c r="O954" i="4"/>
  <c r="G954" i="4"/>
  <c r="O953" i="4"/>
  <c r="G953" i="4"/>
  <c r="O952" i="4"/>
  <c r="G952" i="4"/>
  <c r="O951" i="4"/>
  <c r="G951" i="4"/>
  <c r="O208" i="7"/>
  <c r="G208" i="7"/>
  <c r="G207" i="7"/>
  <c r="G206" i="7"/>
  <c r="G205" i="7"/>
  <c r="G204" i="7"/>
  <c r="G203" i="7"/>
  <c r="O202" i="7"/>
  <c r="G202" i="7"/>
  <c r="O201" i="7"/>
  <c r="G201" i="7"/>
  <c r="O200" i="7"/>
  <c r="G200" i="7"/>
  <c r="O199" i="7"/>
  <c r="G199" i="7"/>
  <c r="O198" i="7"/>
  <c r="G198" i="7"/>
  <c r="O197" i="7"/>
  <c r="G197" i="7"/>
  <c r="O196" i="7"/>
  <c r="G196" i="7"/>
  <c r="O195" i="7"/>
  <c r="G195" i="7"/>
  <c r="O194" i="7"/>
  <c r="G194" i="7"/>
  <c r="O193" i="7"/>
  <c r="G193" i="7"/>
  <c r="O192" i="7"/>
  <c r="G192" i="7"/>
  <c r="O191" i="7"/>
  <c r="G191" i="7"/>
  <c r="O190" i="7"/>
  <c r="G190" i="7"/>
  <c r="O189" i="7"/>
  <c r="G189" i="7"/>
  <c r="O188" i="7"/>
  <c r="G188" i="7"/>
  <c r="O187" i="7"/>
  <c r="G187" i="7"/>
  <c r="O186" i="7"/>
  <c r="G186" i="7"/>
  <c r="O185" i="7"/>
  <c r="G185" i="7"/>
  <c r="O184" i="7"/>
  <c r="G183" i="7"/>
  <c r="O181" i="7"/>
  <c r="G181" i="7"/>
  <c r="O180" i="7"/>
  <c r="G180" i="7"/>
  <c r="O179" i="7"/>
  <c r="G179" i="7"/>
  <c r="O178" i="7"/>
  <c r="G178" i="7"/>
  <c r="O177" i="7"/>
  <c r="G177" i="7"/>
  <c r="O176" i="7"/>
  <c r="G176" i="7"/>
  <c r="O174" i="7"/>
  <c r="G174" i="7"/>
  <c r="O208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1" i="6"/>
  <c r="O180" i="6"/>
  <c r="O179" i="6"/>
  <c r="O178" i="6"/>
  <c r="O177" i="6"/>
  <c r="O176" i="6"/>
  <c r="O175" i="6"/>
  <c r="O174" i="6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79" i="3"/>
  <c r="O578" i="3"/>
  <c r="O577" i="3"/>
  <c r="O576" i="3"/>
  <c r="O575" i="3"/>
  <c r="O574" i="3"/>
  <c r="O572" i="3"/>
  <c r="O571" i="3"/>
  <c r="O570" i="3"/>
  <c r="O569" i="3"/>
  <c r="O568" i="3"/>
  <c r="O567" i="3"/>
  <c r="O566" i="3"/>
  <c r="O565" i="3"/>
  <c r="O564" i="3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1" i="6"/>
  <c r="G180" i="6"/>
  <c r="G179" i="6"/>
  <c r="G178" i="6"/>
  <c r="G177" i="6"/>
  <c r="G176" i="6"/>
  <c r="G175" i="6"/>
  <c r="G174" i="6"/>
  <c r="G599" i="3"/>
  <c r="G598" i="3"/>
  <c r="G597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2" i="3"/>
  <c r="G571" i="3"/>
  <c r="G570" i="3"/>
  <c r="G569" i="3"/>
  <c r="G568" i="3"/>
  <c r="G567" i="3"/>
  <c r="G566" i="3"/>
  <c r="G565" i="3"/>
  <c r="G564" i="3"/>
  <c r="O728" i="2"/>
  <c r="G728" i="2"/>
  <c r="O727" i="2"/>
  <c r="G727" i="2"/>
  <c r="O726" i="2"/>
  <c r="G726" i="2"/>
  <c r="O725" i="2"/>
  <c r="G725" i="2"/>
  <c r="O724" i="2"/>
  <c r="G724" i="2"/>
  <c r="O723" i="2"/>
  <c r="G723" i="2"/>
  <c r="O722" i="2"/>
  <c r="G722" i="2"/>
  <c r="O721" i="2"/>
  <c r="G721" i="2"/>
  <c r="O720" i="2"/>
  <c r="G720" i="2"/>
  <c r="O719" i="2"/>
  <c r="G719" i="2"/>
  <c r="O718" i="2"/>
  <c r="G718" i="2"/>
  <c r="O717" i="2"/>
  <c r="G717" i="2"/>
  <c r="O716" i="2"/>
  <c r="G716" i="2"/>
  <c r="O715" i="2"/>
  <c r="G715" i="2"/>
  <c r="O714" i="2"/>
  <c r="G714" i="2"/>
  <c r="O713" i="2"/>
  <c r="G713" i="2"/>
  <c r="O712" i="2"/>
  <c r="G712" i="2"/>
  <c r="O711" i="2"/>
  <c r="G711" i="2"/>
  <c r="O710" i="2"/>
  <c r="G710" i="2"/>
  <c r="O709" i="2"/>
  <c r="G709" i="2"/>
  <c r="O708" i="2"/>
  <c r="G708" i="2"/>
  <c r="O707" i="2"/>
  <c r="G707" i="2"/>
  <c r="G706" i="2"/>
  <c r="O705" i="2"/>
  <c r="G705" i="2"/>
  <c r="O704" i="2"/>
  <c r="G704" i="2"/>
  <c r="O703" i="2"/>
  <c r="G703" i="2"/>
  <c r="O701" i="2"/>
  <c r="G701" i="2"/>
  <c r="O700" i="2"/>
  <c r="G700" i="2"/>
  <c r="O699" i="2"/>
  <c r="G699" i="2"/>
  <c r="O698" i="2"/>
  <c r="G698" i="2"/>
  <c r="O697" i="2"/>
  <c r="G697" i="2"/>
  <c r="O696" i="2"/>
  <c r="G696" i="2"/>
  <c r="O695" i="2"/>
  <c r="G695" i="2"/>
  <c r="O694" i="2"/>
  <c r="G694" i="2"/>
  <c r="O693" i="2"/>
  <c r="G693" i="2"/>
  <c r="O166" i="7"/>
  <c r="G166" i="7"/>
  <c r="G165" i="7"/>
  <c r="G164" i="7"/>
  <c r="O163" i="7"/>
  <c r="G163" i="7"/>
  <c r="O162" i="7"/>
  <c r="G162" i="7"/>
  <c r="O161" i="7"/>
  <c r="G161" i="7"/>
  <c r="O160" i="7"/>
  <c r="G160" i="7"/>
  <c r="O159" i="7"/>
  <c r="G159" i="7"/>
  <c r="O158" i="7"/>
  <c r="G158" i="7"/>
  <c r="O157" i="7"/>
  <c r="G157" i="7"/>
  <c r="O156" i="7"/>
  <c r="G156" i="7"/>
  <c r="O155" i="7"/>
  <c r="G155" i="7"/>
  <c r="O154" i="7"/>
  <c r="G154" i="7"/>
  <c r="O153" i="7"/>
  <c r="G153" i="7"/>
  <c r="O152" i="7"/>
  <c r="G152" i="7"/>
  <c r="O151" i="7"/>
  <c r="G151" i="7"/>
  <c r="O150" i="7"/>
  <c r="G150" i="7"/>
  <c r="O149" i="7"/>
  <c r="G149" i="7"/>
  <c r="O148" i="7"/>
  <c r="G148" i="7"/>
  <c r="O147" i="7"/>
  <c r="G147" i="7"/>
  <c r="O146" i="7"/>
  <c r="G146" i="7"/>
  <c r="O145" i="7"/>
  <c r="G145" i="7"/>
  <c r="O144" i="7"/>
  <c r="G144" i="7"/>
  <c r="O143" i="7"/>
  <c r="G143" i="7"/>
  <c r="O142" i="7"/>
  <c r="G142" i="7"/>
  <c r="O141" i="7"/>
  <c r="G141" i="7"/>
  <c r="O139" i="7"/>
  <c r="G139" i="7"/>
  <c r="O138" i="7"/>
  <c r="G138" i="7"/>
  <c r="O137" i="7"/>
  <c r="G137" i="7"/>
  <c r="O136" i="7"/>
  <c r="G136" i="7"/>
  <c r="O135" i="7"/>
  <c r="G135" i="7"/>
  <c r="O134" i="7"/>
  <c r="G134" i="7"/>
  <c r="O133" i="7"/>
  <c r="G133" i="7"/>
  <c r="O132" i="7"/>
  <c r="G132" i="7"/>
  <c r="O943" i="4"/>
  <c r="G943" i="4"/>
  <c r="O942" i="4"/>
  <c r="G942" i="4"/>
  <c r="G941" i="4"/>
  <c r="G940" i="4"/>
  <c r="G939" i="4"/>
  <c r="O938" i="4"/>
  <c r="G938" i="4"/>
  <c r="O937" i="4"/>
  <c r="G937" i="4"/>
  <c r="O936" i="4"/>
  <c r="G936" i="4"/>
  <c r="O935" i="4"/>
  <c r="G935" i="4"/>
  <c r="O934" i="4"/>
  <c r="G934" i="4"/>
  <c r="O933" i="4"/>
  <c r="G933" i="4"/>
  <c r="O932" i="4"/>
  <c r="G932" i="4"/>
  <c r="O931" i="4"/>
  <c r="G931" i="4"/>
  <c r="O930" i="4"/>
  <c r="G930" i="4"/>
  <c r="O929" i="4"/>
  <c r="G929" i="4"/>
  <c r="O928" i="4"/>
  <c r="G928" i="4"/>
  <c r="O927" i="4"/>
  <c r="G927" i="4"/>
  <c r="O926" i="4"/>
  <c r="G926" i="4"/>
  <c r="O925" i="4"/>
  <c r="G925" i="4"/>
  <c r="O924" i="4"/>
  <c r="G924" i="4"/>
  <c r="O923" i="4"/>
  <c r="G923" i="4"/>
  <c r="O922" i="4"/>
  <c r="G922" i="4"/>
  <c r="O921" i="4"/>
  <c r="G921" i="4"/>
  <c r="O920" i="4"/>
  <c r="G920" i="4"/>
  <c r="O919" i="4"/>
  <c r="G919" i="4"/>
  <c r="O918" i="4"/>
  <c r="G918" i="4"/>
  <c r="O916" i="4"/>
  <c r="G916" i="4"/>
  <c r="O915" i="4"/>
  <c r="G915" i="4"/>
  <c r="O914" i="4"/>
  <c r="G914" i="4"/>
  <c r="O913" i="4"/>
  <c r="G913" i="4"/>
  <c r="O912" i="4"/>
  <c r="G912" i="4"/>
  <c r="O911" i="4"/>
  <c r="G911" i="4"/>
  <c r="O910" i="4"/>
  <c r="G910" i="4"/>
  <c r="O909" i="4"/>
  <c r="G909" i="4"/>
  <c r="O908" i="4"/>
  <c r="G908" i="4"/>
  <c r="O166" i="5"/>
  <c r="G166" i="5"/>
  <c r="G165" i="5"/>
  <c r="G164" i="5"/>
  <c r="G163" i="5"/>
  <c r="O162" i="5"/>
  <c r="G162" i="5"/>
  <c r="O161" i="5"/>
  <c r="G161" i="5"/>
  <c r="O160" i="5"/>
  <c r="G160" i="5"/>
  <c r="O159" i="5"/>
  <c r="G159" i="5"/>
  <c r="O158" i="5"/>
  <c r="G158" i="5"/>
  <c r="O157" i="5"/>
  <c r="G157" i="5"/>
  <c r="O156" i="5"/>
  <c r="G156" i="5"/>
  <c r="O155" i="5"/>
  <c r="G155" i="5"/>
  <c r="O154" i="5"/>
  <c r="G154" i="5"/>
  <c r="O153" i="5"/>
  <c r="G153" i="5"/>
  <c r="O152" i="5"/>
  <c r="G152" i="5"/>
  <c r="O151" i="5"/>
  <c r="G151" i="5"/>
  <c r="O150" i="5"/>
  <c r="G150" i="5"/>
  <c r="O149" i="5"/>
  <c r="G149" i="5"/>
  <c r="O148" i="5"/>
  <c r="G148" i="5"/>
  <c r="O147" i="5"/>
  <c r="G147" i="5"/>
  <c r="O146" i="5"/>
  <c r="G146" i="5"/>
  <c r="O145" i="5"/>
  <c r="G145" i="5"/>
  <c r="O144" i="5"/>
  <c r="G144" i="5"/>
  <c r="O143" i="5"/>
  <c r="G143" i="5"/>
  <c r="O142" i="5"/>
  <c r="G142" i="5"/>
  <c r="O141" i="5"/>
  <c r="G141" i="5"/>
  <c r="O139" i="5"/>
  <c r="G139" i="5"/>
  <c r="O138" i="5"/>
  <c r="G138" i="5"/>
  <c r="O137" i="5"/>
  <c r="G137" i="5"/>
  <c r="O136" i="5"/>
  <c r="G136" i="5"/>
  <c r="O135" i="5"/>
  <c r="G135" i="5"/>
  <c r="O134" i="5"/>
  <c r="G134" i="5"/>
  <c r="O133" i="5"/>
  <c r="G133" i="5"/>
  <c r="O132" i="5"/>
  <c r="G132" i="5"/>
  <c r="O162" i="6"/>
  <c r="O166" i="6"/>
  <c r="G166" i="6"/>
  <c r="O165" i="6"/>
  <c r="G165" i="6"/>
  <c r="O164" i="6"/>
  <c r="G164" i="6"/>
  <c r="O163" i="6"/>
  <c r="G163" i="6"/>
  <c r="G162" i="6"/>
  <c r="O161" i="6"/>
  <c r="G161" i="6"/>
  <c r="O160" i="6"/>
  <c r="G160" i="6"/>
  <c r="O159" i="6"/>
  <c r="G159" i="6"/>
  <c r="O158" i="6"/>
  <c r="G158" i="6"/>
  <c r="O157" i="6"/>
  <c r="G157" i="6"/>
  <c r="O156" i="6"/>
  <c r="G156" i="6"/>
  <c r="O155" i="6"/>
  <c r="G155" i="6"/>
  <c r="O154" i="6"/>
  <c r="G154" i="6"/>
  <c r="O153" i="6"/>
  <c r="G153" i="6"/>
  <c r="O152" i="6"/>
  <c r="G152" i="6"/>
  <c r="O151" i="6"/>
  <c r="G151" i="6"/>
  <c r="O150" i="6"/>
  <c r="G150" i="6"/>
  <c r="O149" i="6"/>
  <c r="G149" i="6"/>
  <c r="O148" i="6"/>
  <c r="G148" i="6"/>
  <c r="O147" i="6"/>
  <c r="G147" i="6"/>
  <c r="O146" i="6"/>
  <c r="G146" i="6"/>
  <c r="O145" i="6"/>
  <c r="G145" i="6"/>
  <c r="O144" i="6"/>
  <c r="G144" i="6"/>
  <c r="O143" i="6"/>
  <c r="G143" i="6"/>
  <c r="O142" i="6"/>
  <c r="G142" i="6"/>
  <c r="O141" i="6"/>
  <c r="G141" i="6"/>
  <c r="O139" i="6"/>
  <c r="G139" i="6"/>
  <c r="O138" i="6"/>
  <c r="G138" i="6"/>
  <c r="O137" i="6"/>
  <c r="G137" i="6"/>
  <c r="O136" i="6"/>
  <c r="G136" i="6"/>
  <c r="O135" i="6"/>
  <c r="G135" i="6"/>
  <c r="O134" i="6"/>
  <c r="G134" i="6"/>
  <c r="O133" i="6"/>
  <c r="G133" i="6"/>
  <c r="O132" i="6"/>
  <c r="G132" i="6"/>
  <c r="O121" i="7"/>
  <c r="O122" i="7"/>
  <c r="O120" i="7"/>
  <c r="O123" i="7"/>
  <c r="O124" i="7"/>
  <c r="O122" i="6"/>
  <c r="O123" i="5"/>
  <c r="O120" i="5"/>
  <c r="O121" i="5"/>
  <c r="O80" i="5"/>
  <c r="O81" i="5"/>
  <c r="O123" i="6"/>
  <c r="O121" i="6"/>
  <c r="O120" i="6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7" i="5"/>
  <c r="G96" i="5"/>
  <c r="G95" i="5"/>
  <c r="G94" i="5"/>
  <c r="G93" i="5"/>
  <c r="G92" i="5"/>
  <c r="G91" i="5"/>
  <c r="G90" i="5"/>
  <c r="G810" i="4"/>
  <c r="G662" i="2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7" i="7"/>
  <c r="G96" i="7"/>
  <c r="G95" i="7"/>
  <c r="G94" i="7"/>
  <c r="G93" i="7"/>
  <c r="G92" i="7"/>
  <c r="G91" i="7"/>
  <c r="G9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7" i="7"/>
  <c r="O96" i="7"/>
  <c r="O95" i="7"/>
  <c r="O94" i="7"/>
  <c r="O93" i="7"/>
  <c r="O92" i="7"/>
  <c r="O91" i="7"/>
  <c r="O90" i="7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7" i="6"/>
  <c r="G96" i="6"/>
  <c r="G95" i="6"/>
  <c r="G94" i="6"/>
  <c r="G93" i="6"/>
  <c r="G92" i="6"/>
  <c r="G91" i="6"/>
  <c r="G90" i="6"/>
  <c r="O124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7" i="6"/>
  <c r="O96" i="6"/>
  <c r="O95" i="6"/>
  <c r="O94" i="6"/>
  <c r="O93" i="6"/>
  <c r="O92" i="6"/>
  <c r="O91" i="6"/>
  <c r="O90" i="6"/>
  <c r="O82" i="7"/>
  <c r="G82" i="7"/>
  <c r="O81" i="7"/>
  <c r="G81" i="7"/>
  <c r="O80" i="7"/>
  <c r="G80" i="7"/>
  <c r="O79" i="7"/>
  <c r="G79" i="7"/>
  <c r="O78" i="7"/>
  <c r="G78" i="7"/>
  <c r="O77" i="7"/>
  <c r="G77" i="7"/>
  <c r="O76" i="7"/>
  <c r="G76" i="7"/>
  <c r="O75" i="7"/>
  <c r="G75" i="7"/>
  <c r="O74" i="7"/>
  <c r="G74" i="7"/>
  <c r="O73" i="7"/>
  <c r="G73" i="7"/>
  <c r="O72" i="7"/>
  <c r="G72" i="7"/>
  <c r="O71" i="7"/>
  <c r="G71" i="7"/>
  <c r="O70" i="7"/>
  <c r="G70" i="7"/>
  <c r="O69" i="7"/>
  <c r="G69" i="7"/>
  <c r="O68" i="7"/>
  <c r="G68" i="7"/>
  <c r="O67" i="7"/>
  <c r="G67" i="7"/>
  <c r="O66" i="7"/>
  <c r="G66" i="7"/>
  <c r="O65" i="7"/>
  <c r="G65" i="7"/>
  <c r="O64" i="7"/>
  <c r="G64" i="7"/>
  <c r="O63" i="7"/>
  <c r="G63" i="7"/>
  <c r="O62" i="7"/>
  <c r="G62" i="7"/>
  <c r="O61" i="7"/>
  <c r="G61" i="7"/>
  <c r="O60" i="7"/>
  <c r="G60" i="7"/>
  <c r="O59" i="7"/>
  <c r="G59" i="7"/>
  <c r="O58" i="7"/>
  <c r="G58" i="7"/>
  <c r="O57" i="7"/>
  <c r="G57" i="7"/>
  <c r="O55" i="7"/>
  <c r="G55" i="7"/>
  <c r="O54" i="7"/>
  <c r="G54" i="7"/>
  <c r="O53" i="7"/>
  <c r="G53" i="7"/>
  <c r="O52" i="7"/>
  <c r="G52" i="7"/>
  <c r="O51" i="7"/>
  <c r="G51" i="7"/>
  <c r="O50" i="7"/>
  <c r="G50" i="7"/>
  <c r="O49" i="7"/>
  <c r="G49" i="7"/>
  <c r="O48" i="7"/>
  <c r="G48" i="7"/>
  <c r="O685" i="2"/>
  <c r="G685" i="2"/>
  <c r="O684" i="2"/>
  <c r="G684" i="2"/>
  <c r="O683" i="2"/>
  <c r="G683" i="2"/>
  <c r="O682" i="2"/>
  <c r="G682" i="2"/>
  <c r="O681" i="2"/>
  <c r="G681" i="2"/>
  <c r="O680" i="2"/>
  <c r="G680" i="2"/>
  <c r="O679" i="2"/>
  <c r="G679" i="2"/>
  <c r="O678" i="2"/>
  <c r="G678" i="2"/>
  <c r="O677" i="2"/>
  <c r="G677" i="2"/>
  <c r="O676" i="2"/>
  <c r="G676" i="2"/>
  <c r="O675" i="2"/>
  <c r="G675" i="2"/>
  <c r="O674" i="2"/>
  <c r="G674" i="2"/>
  <c r="O673" i="2"/>
  <c r="G673" i="2"/>
  <c r="O672" i="2"/>
  <c r="G672" i="2"/>
  <c r="O671" i="2"/>
  <c r="G671" i="2"/>
  <c r="O670" i="2"/>
  <c r="G670" i="2"/>
  <c r="O669" i="2"/>
  <c r="G669" i="2"/>
  <c r="O668" i="2"/>
  <c r="G668" i="2"/>
  <c r="O667" i="2"/>
  <c r="G667" i="2"/>
  <c r="O666" i="2"/>
  <c r="G666" i="2"/>
  <c r="O665" i="2"/>
  <c r="G665" i="2"/>
  <c r="O664" i="2"/>
  <c r="G664" i="2"/>
  <c r="O663" i="2"/>
  <c r="G663" i="2"/>
  <c r="O662" i="2"/>
  <c r="O661" i="2"/>
  <c r="G661" i="2"/>
  <c r="O660" i="2"/>
  <c r="G660" i="2"/>
  <c r="O658" i="2"/>
  <c r="G658" i="2"/>
  <c r="O657" i="2"/>
  <c r="G657" i="2"/>
  <c r="O656" i="2"/>
  <c r="G656" i="2"/>
  <c r="O655" i="2"/>
  <c r="G655" i="2"/>
  <c r="O654" i="2"/>
  <c r="G654" i="2"/>
  <c r="O653" i="2"/>
  <c r="G653" i="2"/>
  <c r="O652" i="2"/>
  <c r="G652" i="2"/>
  <c r="O651" i="2"/>
  <c r="G651" i="2"/>
  <c r="O650" i="2"/>
  <c r="G650" i="2"/>
  <c r="G796" i="4"/>
  <c r="O556" i="3"/>
  <c r="G556" i="3"/>
  <c r="O555" i="3"/>
  <c r="G555" i="3"/>
  <c r="O554" i="3"/>
  <c r="G554" i="3"/>
  <c r="O553" i="3"/>
  <c r="G553" i="3"/>
  <c r="O552" i="3"/>
  <c r="G552" i="3"/>
  <c r="O551" i="3"/>
  <c r="G551" i="3"/>
  <c r="O550" i="3"/>
  <c r="G550" i="3"/>
  <c r="O549" i="3"/>
  <c r="G549" i="3"/>
  <c r="O548" i="3"/>
  <c r="G548" i="3"/>
  <c r="O547" i="3"/>
  <c r="G547" i="3"/>
  <c r="O546" i="3"/>
  <c r="G546" i="3"/>
  <c r="O545" i="3"/>
  <c r="G545" i="3"/>
  <c r="O544" i="3"/>
  <c r="G544" i="3"/>
  <c r="O543" i="3"/>
  <c r="G543" i="3"/>
  <c r="O542" i="3"/>
  <c r="G542" i="3"/>
  <c r="O541" i="3"/>
  <c r="G541" i="3"/>
  <c r="O540" i="3"/>
  <c r="G540" i="3"/>
  <c r="O539" i="3"/>
  <c r="G539" i="3"/>
  <c r="O538" i="3"/>
  <c r="G538" i="3"/>
  <c r="O537" i="3"/>
  <c r="G537" i="3"/>
  <c r="O536" i="3"/>
  <c r="G536" i="3"/>
  <c r="O535" i="3"/>
  <c r="G535" i="3"/>
  <c r="O534" i="3"/>
  <c r="G534" i="3"/>
  <c r="O533" i="3"/>
  <c r="G533" i="3"/>
  <c r="O532" i="3"/>
  <c r="G532" i="3"/>
  <c r="O531" i="3"/>
  <c r="G531" i="3"/>
  <c r="O529" i="3"/>
  <c r="G529" i="3"/>
  <c r="O528" i="3"/>
  <c r="G528" i="3"/>
  <c r="O527" i="3"/>
  <c r="G527" i="3"/>
  <c r="O526" i="3"/>
  <c r="G526" i="3"/>
  <c r="O525" i="3"/>
  <c r="G525" i="3"/>
  <c r="O524" i="3"/>
  <c r="G524" i="3"/>
  <c r="O523" i="3"/>
  <c r="G523" i="3"/>
  <c r="O522" i="3"/>
  <c r="G522" i="3"/>
  <c r="O521" i="3"/>
  <c r="G521" i="3"/>
  <c r="O900" i="4"/>
  <c r="G900" i="4"/>
  <c r="O899" i="4"/>
  <c r="G899" i="4"/>
  <c r="O898" i="4"/>
  <c r="G898" i="4"/>
  <c r="O897" i="4"/>
  <c r="G897" i="4"/>
  <c r="O896" i="4"/>
  <c r="G896" i="4"/>
  <c r="O895" i="4"/>
  <c r="G895" i="4"/>
  <c r="O894" i="4"/>
  <c r="G894" i="4"/>
  <c r="O893" i="4"/>
  <c r="G893" i="4"/>
  <c r="O892" i="4"/>
  <c r="G892" i="4"/>
  <c r="O891" i="4"/>
  <c r="G891" i="4"/>
  <c r="O890" i="4"/>
  <c r="G890" i="4"/>
  <c r="O889" i="4"/>
  <c r="G889" i="4"/>
  <c r="O888" i="4"/>
  <c r="G888" i="4"/>
  <c r="O887" i="4"/>
  <c r="G887" i="4"/>
  <c r="O886" i="4"/>
  <c r="G886" i="4"/>
  <c r="O885" i="4"/>
  <c r="G885" i="4"/>
  <c r="O884" i="4"/>
  <c r="G884" i="4"/>
  <c r="O883" i="4"/>
  <c r="G883" i="4"/>
  <c r="O882" i="4"/>
  <c r="G882" i="4"/>
  <c r="O881" i="4"/>
  <c r="G881" i="4"/>
  <c r="O880" i="4"/>
  <c r="G880" i="4"/>
  <c r="O879" i="4"/>
  <c r="G879" i="4"/>
  <c r="O878" i="4"/>
  <c r="G878" i="4"/>
  <c r="O877" i="4"/>
  <c r="G877" i="4"/>
  <c r="O876" i="4"/>
  <c r="G876" i="4"/>
  <c r="O875" i="4"/>
  <c r="G875" i="4"/>
  <c r="O873" i="4"/>
  <c r="G873" i="4"/>
  <c r="O872" i="4"/>
  <c r="G872" i="4"/>
  <c r="O871" i="4"/>
  <c r="G871" i="4"/>
  <c r="O870" i="4"/>
  <c r="G870" i="4"/>
  <c r="O869" i="4"/>
  <c r="G869" i="4"/>
  <c r="O868" i="4"/>
  <c r="G868" i="4"/>
  <c r="O867" i="4"/>
  <c r="G867" i="4"/>
  <c r="O866" i="4"/>
  <c r="G866" i="4"/>
  <c r="O865" i="4"/>
  <c r="G865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0" i="4"/>
  <c r="G829" i="4"/>
  <c r="G828" i="4"/>
  <c r="G827" i="4"/>
  <c r="G826" i="4"/>
  <c r="G825" i="4"/>
  <c r="G824" i="4"/>
  <c r="G823" i="4"/>
  <c r="G822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0" i="4"/>
  <c r="O829" i="4"/>
  <c r="O828" i="4"/>
  <c r="O827" i="4"/>
  <c r="O826" i="4"/>
  <c r="O825" i="4"/>
  <c r="O824" i="4"/>
  <c r="O823" i="4"/>
  <c r="O822" i="4"/>
  <c r="G814" i="4"/>
  <c r="G813" i="4"/>
  <c r="G812" i="4"/>
  <c r="G811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5" i="4"/>
  <c r="G794" i="4"/>
  <c r="G793" i="4"/>
  <c r="G792" i="4"/>
  <c r="G791" i="4"/>
  <c r="G790" i="4"/>
  <c r="G789" i="4"/>
  <c r="G787" i="4"/>
  <c r="G786" i="4"/>
  <c r="G785" i="4"/>
  <c r="G784" i="4"/>
  <c r="G783" i="4"/>
  <c r="G782" i="4"/>
  <c r="G781" i="4"/>
  <c r="G780" i="4"/>
  <c r="G779" i="4"/>
  <c r="O124" i="5"/>
  <c r="O122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7" i="5"/>
  <c r="O96" i="5"/>
  <c r="O95" i="5"/>
  <c r="O94" i="5"/>
  <c r="O93" i="5"/>
  <c r="O92" i="5"/>
  <c r="O91" i="5"/>
  <c r="O90" i="5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7" i="4"/>
  <c r="O786" i="4"/>
  <c r="O785" i="4"/>
  <c r="O784" i="4"/>
  <c r="O783" i="4"/>
  <c r="O782" i="4"/>
  <c r="O781" i="4"/>
  <c r="O780" i="4"/>
  <c r="O779" i="4"/>
  <c r="O82" i="6"/>
  <c r="G82" i="6"/>
  <c r="O81" i="6"/>
  <c r="G81" i="6"/>
  <c r="O80" i="6"/>
  <c r="G80" i="6"/>
  <c r="O79" i="6"/>
  <c r="G79" i="6"/>
  <c r="O78" i="6"/>
  <c r="G78" i="6"/>
  <c r="O77" i="6"/>
  <c r="G77" i="6"/>
  <c r="O76" i="6"/>
  <c r="G76" i="6"/>
  <c r="O75" i="6"/>
  <c r="G75" i="6"/>
  <c r="O74" i="6"/>
  <c r="G74" i="6"/>
  <c r="O73" i="6"/>
  <c r="G73" i="6"/>
  <c r="O72" i="6"/>
  <c r="G72" i="6"/>
  <c r="O71" i="6"/>
  <c r="G71" i="6"/>
  <c r="O70" i="6"/>
  <c r="G70" i="6"/>
  <c r="O69" i="6"/>
  <c r="G69" i="6"/>
  <c r="O68" i="6"/>
  <c r="G68" i="6"/>
  <c r="O67" i="6"/>
  <c r="G67" i="6"/>
  <c r="O66" i="6"/>
  <c r="G66" i="6"/>
  <c r="O65" i="6"/>
  <c r="G65" i="6"/>
  <c r="O64" i="6"/>
  <c r="G64" i="6"/>
  <c r="O63" i="6"/>
  <c r="G63" i="6"/>
  <c r="O62" i="6"/>
  <c r="G62" i="6"/>
  <c r="O61" i="6"/>
  <c r="G61" i="6"/>
  <c r="O60" i="6"/>
  <c r="G60" i="6"/>
  <c r="O59" i="6"/>
  <c r="G59" i="6"/>
  <c r="O58" i="6"/>
  <c r="G58" i="6"/>
  <c r="O57" i="6"/>
  <c r="G57" i="6"/>
  <c r="O55" i="6"/>
  <c r="G55" i="6"/>
  <c r="O54" i="6"/>
  <c r="G54" i="6"/>
  <c r="O53" i="6"/>
  <c r="G53" i="6"/>
  <c r="O52" i="6"/>
  <c r="G52" i="6"/>
  <c r="O51" i="6"/>
  <c r="G51" i="6"/>
  <c r="O50" i="6"/>
  <c r="G50" i="6"/>
  <c r="O49" i="6"/>
  <c r="G49" i="6"/>
  <c r="O48" i="6"/>
  <c r="G48" i="6"/>
  <c r="O642" i="2"/>
  <c r="G642" i="2"/>
  <c r="O641" i="2"/>
  <c r="G641" i="2"/>
  <c r="O640" i="2"/>
  <c r="G640" i="2"/>
  <c r="O639" i="2"/>
  <c r="G639" i="2"/>
  <c r="O638" i="2"/>
  <c r="G638" i="2"/>
  <c r="O637" i="2"/>
  <c r="G637" i="2"/>
  <c r="O636" i="2"/>
  <c r="G636" i="2"/>
  <c r="O635" i="2"/>
  <c r="G635" i="2"/>
  <c r="O634" i="2"/>
  <c r="G634" i="2"/>
  <c r="O633" i="2"/>
  <c r="G633" i="2"/>
  <c r="O632" i="2"/>
  <c r="G632" i="2"/>
  <c r="O631" i="2"/>
  <c r="G631" i="2"/>
  <c r="O630" i="2"/>
  <c r="G630" i="2"/>
  <c r="O629" i="2"/>
  <c r="G629" i="2"/>
  <c r="O628" i="2"/>
  <c r="G628" i="2"/>
  <c r="O627" i="2"/>
  <c r="G627" i="2"/>
  <c r="O626" i="2"/>
  <c r="G626" i="2"/>
  <c r="O625" i="2"/>
  <c r="G625" i="2"/>
  <c r="O624" i="2"/>
  <c r="G624" i="2"/>
  <c r="O623" i="2"/>
  <c r="G623" i="2"/>
  <c r="O622" i="2"/>
  <c r="G622" i="2"/>
  <c r="O621" i="2"/>
  <c r="G621" i="2"/>
  <c r="O620" i="2"/>
  <c r="G620" i="2"/>
  <c r="O619" i="2"/>
  <c r="G619" i="2"/>
  <c r="O618" i="2"/>
  <c r="G618" i="2"/>
  <c r="O617" i="2"/>
  <c r="G617" i="2"/>
  <c r="O615" i="2"/>
  <c r="G615" i="2"/>
  <c r="O614" i="2"/>
  <c r="G614" i="2"/>
  <c r="O613" i="2"/>
  <c r="G613" i="2"/>
  <c r="O612" i="2"/>
  <c r="G612" i="2"/>
  <c r="O611" i="2"/>
  <c r="G611" i="2"/>
  <c r="O610" i="2"/>
  <c r="G610" i="2"/>
  <c r="O609" i="2"/>
  <c r="G609" i="2"/>
  <c r="O608" i="2"/>
  <c r="G608" i="2"/>
  <c r="O607" i="2"/>
  <c r="G607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574" i="2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4" i="4"/>
  <c r="G743" i="4"/>
  <c r="G742" i="4"/>
  <c r="G741" i="4"/>
  <c r="G740" i="4"/>
  <c r="G739" i="4"/>
  <c r="G738" i="4"/>
  <c r="G737" i="4"/>
  <c r="G736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4" i="4"/>
  <c r="O743" i="4"/>
  <c r="O742" i="4"/>
  <c r="O741" i="4"/>
  <c r="O740" i="4"/>
  <c r="O739" i="4"/>
  <c r="O738" i="4"/>
  <c r="O737" i="4"/>
  <c r="O736" i="4"/>
  <c r="O513" i="3"/>
  <c r="G513" i="3"/>
  <c r="O512" i="3"/>
  <c r="G512" i="3"/>
  <c r="O511" i="3"/>
  <c r="G511" i="3"/>
  <c r="O510" i="3"/>
  <c r="G510" i="3"/>
  <c r="O509" i="3"/>
  <c r="G509" i="3"/>
  <c r="O508" i="3"/>
  <c r="G508" i="3"/>
  <c r="O507" i="3"/>
  <c r="G507" i="3"/>
  <c r="O506" i="3"/>
  <c r="G506" i="3"/>
  <c r="O505" i="3"/>
  <c r="G505" i="3"/>
  <c r="O504" i="3"/>
  <c r="G504" i="3"/>
  <c r="O503" i="3"/>
  <c r="G503" i="3"/>
  <c r="O502" i="3"/>
  <c r="G502" i="3"/>
  <c r="O501" i="3"/>
  <c r="G501" i="3"/>
  <c r="O500" i="3"/>
  <c r="G500" i="3"/>
  <c r="O499" i="3"/>
  <c r="G499" i="3"/>
  <c r="O498" i="3"/>
  <c r="G498" i="3"/>
  <c r="O497" i="3"/>
  <c r="G497" i="3"/>
  <c r="O496" i="3"/>
  <c r="G496" i="3"/>
  <c r="O495" i="3"/>
  <c r="G495" i="3"/>
  <c r="O494" i="3"/>
  <c r="G494" i="3"/>
  <c r="O493" i="3"/>
  <c r="G493" i="3"/>
  <c r="O492" i="3"/>
  <c r="G492" i="3"/>
  <c r="O491" i="3"/>
  <c r="G491" i="3"/>
  <c r="O490" i="3"/>
  <c r="G490" i="3"/>
  <c r="O489" i="3"/>
  <c r="G489" i="3"/>
  <c r="O488" i="3"/>
  <c r="G488" i="3"/>
  <c r="O486" i="3"/>
  <c r="G486" i="3"/>
  <c r="O485" i="3"/>
  <c r="G485" i="3"/>
  <c r="O484" i="3"/>
  <c r="G484" i="3"/>
  <c r="O483" i="3"/>
  <c r="G483" i="3"/>
  <c r="O482" i="3"/>
  <c r="G482" i="3"/>
  <c r="O481" i="3"/>
  <c r="G481" i="3"/>
  <c r="O480" i="3"/>
  <c r="G480" i="3"/>
  <c r="O479" i="3"/>
  <c r="G479" i="3"/>
  <c r="O478" i="3"/>
  <c r="G478" i="3"/>
  <c r="O693" i="4"/>
  <c r="O6" i="6"/>
  <c r="O7" i="6"/>
  <c r="O6" i="7"/>
  <c r="O7" i="7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2" i="2"/>
  <c r="G572" i="2"/>
  <c r="O571" i="2"/>
  <c r="G571" i="2"/>
  <c r="O570" i="2"/>
  <c r="G570" i="2"/>
  <c r="O569" i="2"/>
  <c r="G569" i="2"/>
  <c r="O568" i="2"/>
  <c r="G568" i="2"/>
  <c r="O567" i="2"/>
  <c r="G567" i="2"/>
  <c r="O566" i="2"/>
  <c r="G566" i="2"/>
  <c r="O565" i="2"/>
  <c r="G565" i="2"/>
  <c r="O564" i="2"/>
  <c r="G564" i="2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1" i="4"/>
  <c r="G700" i="4"/>
  <c r="G699" i="4"/>
  <c r="G698" i="4"/>
  <c r="G697" i="4"/>
  <c r="G696" i="4"/>
  <c r="G695" i="4"/>
  <c r="G694" i="4"/>
  <c r="G693" i="4"/>
  <c r="O640" i="4"/>
  <c r="O639" i="4"/>
  <c r="G623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8" i="4"/>
  <c r="G657" i="4"/>
  <c r="G656" i="4"/>
  <c r="G655" i="4"/>
  <c r="G654" i="4"/>
  <c r="G653" i="4"/>
  <c r="G652" i="4"/>
  <c r="G651" i="4"/>
  <c r="G650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1" i="4"/>
  <c r="O700" i="4"/>
  <c r="O699" i="4"/>
  <c r="O698" i="4"/>
  <c r="O697" i="4"/>
  <c r="O696" i="4"/>
  <c r="O695" i="4"/>
  <c r="O694" i="4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5" i="5"/>
  <c r="G54" i="5"/>
  <c r="G53" i="5"/>
  <c r="G52" i="5"/>
  <c r="G51" i="5"/>
  <c r="G50" i="5"/>
  <c r="G49" i="5"/>
  <c r="G48" i="5"/>
  <c r="G83" i="5"/>
  <c r="O48" i="5"/>
  <c r="O49" i="5"/>
  <c r="O50" i="5"/>
  <c r="O51" i="5"/>
  <c r="O52" i="5"/>
  <c r="O53" i="5"/>
  <c r="O54" i="5"/>
  <c r="O55" i="5"/>
  <c r="O82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8" i="4"/>
  <c r="O657" i="4"/>
  <c r="O656" i="4"/>
  <c r="O655" i="4"/>
  <c r="O654" i="4"/>
  <c r="O653" i="4"/>
  <c r="O652" i="4"/>
  <c r="O651" i="4"/>
  <c r="O650" i="4"/>
  <c r="G641" i="4"/>
  <c r="O470" i="3"/>
  <c r="G470" i="3"/>
  <c r="O469" i="3"/>
  <c r="G469" i="3"/>
  <c r="O468" i="3"/>
  <c r="G468" i="3"/>
  <c r="O467" i="3"/>
  <c r="G467" i="3"/>
  <c r="O466" i="3"/>
  <c r="G466" i="3"/>
  <c r="O465" i="3"/>
  <c r="G465" i="3"/>
  <c r="O464" i="3"/>
  <c r="G464" i="3"/>
  <c r="O463" i="3"/>
  <c r="G463" i="3"/>
  <c r="O462" i="3"/>
  <c r="G462" i="3"/>
  <c r="O461" i="3"/>
  <c r="G461" i="3"/>
  <c r="O460" i="3"/>
  <c r="G460" i="3"/>
  <c r="O459" i="3"/>
  <c r="G459" i="3"/>
  <c r="O458" i="3"/>
  <c r="G458" i="3"/>
  <c r="O457" i="3"/>
  <c r="G457" i="3"/>
  <c r="O456" i="3"/>
  <c r="G456" i="3"/>
  <c r="O455" i="3"/>
  <c r="G455" i="3"/>
  <c r="O454" i="3"/>
  <c r="G454" i="3"/>
  <c r="O453" i="3"/>
  <c r="G453" i="3"/>
  <c r="O452" i="3"/>
  <c r="G452" i="3"/>
  <c r="O451" i="3"/>
  <c r="G451" i="3"/>
  <c r="O450" i="3"/>
  <c r="G450" i="3"/>
  <c r="O449" i="3"/>
  <c r="G449" i="3"/>
  <c r="O448" i="3"/>
  <c r="G448" i="3"/>
  <c r="O447" i="3"/>
  <c r="G447" i="3"/>
  <c r="O446" i="3"/>
  <c r="G446" i="3"/>
  <c r="O445" i="3"/>
  <c r="G445" i="3"/>
  <c r="O443" i="3"/>
  <c r="G443" i="3"/>
  <c r="O442" i="3"/>
  <c r="G442" i="3"/>
  <c r="O441" i="3"/>
  <c r="G441" i="3"/>
  <c r="O440" i="3"/>
  <c r="G440" i="3"/>
  <c r="O439" i="3"/>
  <c r="G439" i="3"/>
  <c r="O438" i="3"/>
  <c r="G438" i="3"/>
  <c r="O437" i="3"/>
  <c r="G437" i="3"/>
  <c r="O436" i="3"/>
  <c r="G436" i="3"/>
  <c r="O435" i="3"/>
  <c r="G435" i="3"/>
  <c r="O556" i="2"/>
  <c r="G556" i="2"/>
  <c r="O555" i="2"/>
  <c r="G555" i="2"/>
  <c r="O554" i="2"/>
  <c r="G554" i="2"/>
  <c r="O553" i="2"/>
  <c r="G553" i="2"/>
  <c r="O552" i="2"/>
  <c r="G552" i="2"/>
  <c r="O551" i="2"/>
  <c r="G551" i="2"/>
  <c r="O550" i="2"/>
  <c r="G550" i="2"/>
  <c r="O549" i="2"/>
  <c r="G549" i="2"/>
  <c r="O548" i="2"/>
  <c r="G548" i="2"/>
  <c r="O547" i="2"/>
  <c r="G547" i="2"/>
  <c r="O546" i="2"/>
  <c r="G546" i="2"/>
  <c r="O545" i="2"/>
  <c r="G545" i="2"/>
  <c r="O544" i="2"/>
  <c r="G544" i="2"/>
  <c r="O543" i="2"/>
  <c r="G543" i="2"/>
  <c r="O542" i="2"/>
  <c r="G542" i="2"/>
  <c r="O541" i="2"/>
  <c r="G541" i="2"/>
  <c r="O540" i="2"/>
  <c r="G540" i="2"/>
  <c r="O539" i="2"/>
  <c r="G539" i="2"/>
  <c r="O538" i="2"/>
  <c r="G538" i="2"/>
  <c r="O537" i="2"/>
  <c r="G537" i="2"/>
  <c r="O536" i="2"/>
  <c r="G536" i="2"/>
  <c r="O535" i="2"/>
  <c r="G535" i="2"/>
  <c r="O534" i="2"/>
  <c r="G534" i="2"/>
  <c r="O533" i="2"/>
  <c r="G533" i="2"/>
  <c r="O532" i="2"/>
  <c r="G532" i="2"/>
  <c r="O531" i="2"/>
  <c r="G531" i="2"/>
  <c r="O529" i="2"/>
  <c r="G529" i="2"/>
  <c r="O528" i="2"/>
  <c r="G528" i="2"/>
  <c r="O527" i="2"/>
  <c r="G527" i="2"/>
  <c r="O526" i="2"/>
  <c r="G526" i="2"/>
  <c r="O525" i="2"/>
  <c r="G525" i="2"/>
  <c r="O524" i="2"/>
  <c r="G524" i="2"/>
  <c r="O523" i="2"/>
  <c r="G523" i="2"/>
  <c r="O522" i="2"/>
  <c r="G522" i="2"/>
  <c r="O521" i="2"/>
  <c r="G521" i="2"/>
  <c r="G485" i="2"/>
  <c r="G484" i="2"/>
  <c r="G483" i="2"/>
  <c r="G482" i="2"/>
  <c r="G481" i="2"/>
  <c r="O509" i="2"/>
  <c r="O425" i="3"/>
  <c r="O426" i="3"/>
  <c r="O511" i="2"/>
  <c r="O512" i="2"/>
  <c r="G642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2" i="4"/>
  <c r="G621" i="4"/>
  <c r="G620" i="4"/>
  <c r="G619" i="4"/>
  <c r="G618" i="4"/>
  <c r="G617" i="4"/>
  <c r="G615" i="4"/>
  <c r="G614" i="4"/>
  <c r="G613" i="4"/>
  <c r="G612" i="4"/>
  <c r="G611" i="4"/>
  <c r="G610" i="4"/>
  <c r="G609" i="4"/>
  <c r="G608" i="4"/>
  <c r="G607" i="4"/>
  <c r="O598" i="4"/>
  <c r="O642" i="4"/>
  <c r="O641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5" i="4"/>
  <c r="O614" i="4"/>
  <c r="O613" i="4"/>
  <c r="O612" i="4"/>
  <c r="O611" i="4"/>
  <c r="O610" i="4"/>
  <c r="O609" i="4"/>
  <c r="O608" i="4"/>
  <c r="O607" i="4"/>
  <c r="O599" i="4"/>
  <c r="O597" i="4"/>
  <c r="O596" i="4"/>
  <c r="O40" i="7"/>
  <c r="G40" i="7"/>
  <c r="O39" i="7"/>
  <c r="G39" i="7"/>
  <c r="O38" i="7"/>
  <c r="G38" i="7"/>
  <c r="O37" i="7"/>
  <c r="G37" i="7"/>
  <c r="O36" i="7"/>
  <c r="G36" i="7"/>
  <c r="O35" i="7"/>
  <c r="G35" i="7"/>
  <c r="O34" i="7"/>
  <c r="G34" i="7"/>
  <c r="O33" i="7"/>
  <c r="G33" i="7"/>
  <c r="O32" i="7"/>
  <c r="G32" i="7"/>
  <c r="O31" i="7"/>
  <c r="G31" i="7"/>
  <c r="O30" i="7"/>
  <c r="G30" i="7"/>
  <c r="O29" i="7"/>
  <c r="G29" i="7"/>
  <c r="O28" i="7"/>
  <c r="G28" i="7"/>
  <c r="O27" i="7"/>
  <c r="G27" i="7"/>
  <c r="O26" i="7"/>
  <c r="G26" i="7"/>
  <c r="O25" i="7"/>
  <c r="G25" i="7"/>
  <c r="O24" i="7"/>
  <c r="G24" i="7"/>
  <c r="O23" i="7"/>
  <c r="G23" i="7"/>
  <c r="O22" i="7"/>
  <c r="G22" i="7"/>
  <c r="O21" i="7"/>
  <c r="G21" i="7"/>
  <c r="O20" i="7"/>
  <c r="G20" i="7"/>
  <c r="O19" i="7"/>
  <c r="G19" i="7"/>
  <c r="O18" i="7"/>
  <c r="G18" i="7"/>
  <c r="O17" i="7"/>
  <c r="G17" i="7"/>
  <c r="O16" i="7"/>
  <c r="G16" i="7"/>
  <c r="O15" i="7"/>
  <c r="G15" i="7"/>
  <c r="O13" i="7"/>
  <c r="G13" i="7"/>
  <c r="O12" i="7"/>
  <c r="G12" i="7"/>
  <c r="O11" i="7"/>
  <c r="G11" i="7"/>
  <c r="O10" i="7"/>
  <c r="G10" i="7"/>
  <c r="O9" i="7"/>
  <c r="G9" i="7"/>
  <c r="O8" i="7"/>
  <c r="G8" i="7"/>
  <c r="G7" i="7"/>
  <c r="G6" i="7"/>
  <c r="O5" i="7"/>
  <c r="G5" i="7"/>
  <c r="O40" i="6"/>
  <c r="G40" i="6"/>
  <c r="O39" i="6"/>
  <c r="G39" i="6"/>
  <c r="O38" i="6"/>
  <c r="G38" i="6"/>
  <c r="O37" i="6"/>
  <c r="G37" i="6"/>
  <c r="O36" i="6"/>
  <c r="G36" i="6"/>
  <c r="O35" i="6"/>
  <c r="G35" i="6"/>
  <c r="O34" i="6"/>
  <c r="G34" i="6"/>
  <c r="O33" i="6"/>
  <c r="G33" i="6"/>
  <c r="O32" i="6"/>
  <c r="G32" i="6"/>
  <c r="O31" i="6"/>
  <c r="G31" i="6"/>
  <c r="O30" i="6"/>
  <c r="G30" i="6"/>
  <c r="O29" i="6"/>
  <c r="G29" i="6"/>
  <c r="O28" i="6"/>
  <c r="G28" i="6"/>
  <c r="O27" i="6"/>
  <c r="G27" i="6"/>
  <c r="O26" i="6"/>
  <c r="G26" i="6"/>
  <c r="O25" i="6"/>
  <c r="G25" i="6"/>
  <c r="O24" i="6"/>
  <c r="G24" i="6"/>
  <c r="O23" i="6"/>
  <c r="G23" i="6"/>
  <c r="O22" i="6"/>
  <c r="G22" i="6"/>
  <c r="O21" i="6"/>
  <c r="G21" i="6"/>
  <c r="O20" i="6"/>
  <c r="G20" i="6"/>
  <c r="O19" i="6"/>
  <c r="G19" i="6"/>
  <c r="O18" i="6"/>
  <c r="G18" i="6"/>
  <c r="O17" i="6"/>
  <c r="G17" i="6"/>
  <c r="O16" i="6"/>
  <c r="G16" i="6"/>
  <c r="O15" i="6"/>
  <c r="G15" i="6"/>
  <c r="O13" i="6"/>
  <c r="G13" i="6"/>
  <c r="O12" i="6"/>
  <c r="G12" i="6"/>
  <c r="O11" i="6"/>
  <c r="G11" i="6"/>
  <c r="O10" i="6"/>
  <c r="G10" i="6"/>
  <c r="O9" i="6"/>
  <c r="G9" i="6"/>
  <c r="O8" i="6"/>
  <c r="G8" i="6"/>
  <c r="G7" i="6"/>
  <c r="G6" i="6"/>
  <c r="O5" i="6"/>
  <c r="G5" i="6"/>
  <c r="G564" i="4"/>
  <c r="G565" i="4"/>
  <c r="G566" i="4"/>
  <c r="G567" i="4"/>
  <c r="G568" i="4"/>
  <c r="G569" i="4"/>
  <c r="G570" i="4"/>
  <c r="G571" i="4"/>
  <c r="G572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O564" i="4"/>
  <c r="O565" i="4"/>
  <c r="O566" i="4"/>
  <c r="O567" i="4"/>
  <c r="O568" i="4"/>
  <c r="O569" i="4"/>
  <c r="O570" i="4"/>
  <c r="O571" i="4"/>
  <c r="O572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13" i="2"/>
  <c r="G513" i="2"/>
  <c r="G512" i="2"/>
  <c r="G511" i="2"/>
  <c r="O510" i="2"/>
  <c r="G510" i="2"/>
  <c r="G509" i="2"/>
  <c r="O508" i="2"/>
  <c r="G508" i="2"/>
  <c r="O507" i="2"/>
  <c r="G507" i="2"/>
  <c r="O506" i="2"/>
  <c r="G506" i="2"/>
  <c r="O505" i="2"/>
  <c r="G505" i="2"/>
  <c r="O504" i="2"/>
  <c r="G504" i="2"/>
  <c r="O503" i="2"/>
  <c r="G503" i="2"/>
  <c r="O502" i="2"/>
  <c r="G502" i="2"/>
  <c r="O501" i="2"/>
  <c r="G501" i="2"/>
  <c r="O500" i="2"/>
  <c r="G500" i="2"/>
  <c r="O499" i="2"/>
  <c r="G499" i="2"/>
  <c r="O498" i="2"/>
  <c r="G498" i="2"/>
  <c r="O497" i="2"/>
  <c r="G497" i="2"/>
  <c r="O496" i="2"/>
  <c r="G496" i="2"/>
  <c r="O495" i="2"/>
  <c r="G495" i="2"/>
  <c r="O494" i="2"/>
  <c r="G494" i="2"/>
  <c r="O493" i="2"/>
  <c r="G493" i="2"/>
  <c r="O492" i="2"/>
  <c r="G492" i="2"/>
  <c r="O491" i="2"/>
  <c r="G491" i="2"/>
  <c r="O490" i="2"/>
  <c r="G490" i="2"/>
  <c r="O489" i="2"/>
  <c r="G489" i="2"/>
  <c r="O488" i="2"/>
  <c r="G488" i="2"/>
  <c r="O486" i="2"/>
  <c r="G486" i="2"/>
  <c r="O485" i="2"/>
  <c r="O484" i="2"/>
  <c r="O483" i="2"/>
  <c r="O482" i="2"/>
  <c r="O481" i="2"/>
  <c r="O480" i="2"/>
  <c r="G480" i="2"/>
  <c r="O479" i="2"/>
  <c r="G479" i="2"/>
  <c r="O478" i="2"/>
  <c r="G478" i="2"/>
  <c r="O427" i="3"/>
  <c r="G427" i="3"/>
  <c r="G426" i="3"/>
  <c r="G425" i="3"/>
  <c r="O424" i="3"/>
  <c r="G424" i="3"/>
  <c r="O423" i="3"/>
  <c r="G423" i="3"/>
  <c r="O422" i="3"/>
  <c r="G422" i="3"/>
  <c r="O421" i="3"/>
  <c r="G421" i="3"/>
  <c r="O420" i="3"/>
  <c r="G420" i="3"/>
  <c r="O419" i="3"/>
  <c r="G419" i="3"/>
  <c r="O418" i="3"/>
  <c r="G418" i="3"/>
  <c r="O417" i="3"/>
  <c r="G417" i="3"/>
  <c r="O416" i="3"/>
  <c r="G416" i="3"/>
  <c r="O415" i="3"/>
  <c r="G415" i="3"/>
  <c r="O414" i="3"/>
  <c r="G414" i="3"/>
  <c r="O413" i="3"/>
  <c r="G413" i="3"/>
  <c r="O412" i="3"/>
  <c r="G412" i="3"/>
  <c r="O411" i="3"/>
  <c r="G411" i="3"/>
  <c r="O410" i="3"/>
  <c r="G410" i="3"/>
  <c r="O409" i="3"/>
  <c r="G409" i="3"/>
  <c r="O408" i="3"/>
  <c r="G408" i="3"/>
  <c r="O407" i="3"/>
  <c r="G407" i="3"/>
  <c r="O406" i="3"/>
  <c r="G406" i="3"/>
  <c r="O405" i="3"/>
  <c r="G405" i="3"/>
  <c r="O404" i="3"/>
  <c r="G404" i="3"/>
  <c r="O403" i="3"/>
  <c r="G403" i="3"/>
  <c r="O402" i="3"/>
  <c r="G402" i="3"/>
  <c r="O400" i="3"/>
  <c r="G400" i="3"/>
  <c r="O399" i="3"/>
  <c r="G399" i="3"/>
  <c r="O398" i="3"/>
  <c r="G398" i="3"/>
  <c r="O397" i="3"/>
  <c r="G397" i="3"/>
  <c r="O396" i="3"/>
  <c r="G396" i="3"/>
  <c r="O395" i="3"/>
  <c r="G395" i="3"/>
  <c r="O394" i="3"/>
  <c r="G394" i="3"/>
  <c r="O393" i="3"/>
  <c r="G393" i="3"/>
  <c r="O392" i="3"/>
  <c r="G392" i="3"/>
  <c r="O465" i="2"/>
  <c r="O466" i="2"/>
  <c r="O467" i="2"/>
  <c r="O468" i="2"/>
  <c r="O469" i="2"/>
  <c r="O464" i="2"/>
  <c r="O380" i="3"/>
  <c r="O379" i="3"/>
  <c r="O552" i="4"/>
  <c r="O551" i="4"/>
  <c r="O40" i="5"/>
  <c r="G40" i="5"/>
  <c r="O39" i="5"/>
  <c r="G39" i="5"/>
  <c r="O38" i="5"/>
  <c r="G38" i="5"/>
  <c r="O37" i="5"/>
  <c r="G37" i="5"/>
  <c r="O36" i="5"/>
  <c r="G36" i="5"/>
  <c r="O35" i="5"/>
  <c r="G35" i="5"/>
  <c r="O34" i="5"/>
  <c r="G34" i="5"/>
  <c r="O33" i="5"/>
  <c r="G33" i="5"/>
  <c r="O32" i="5"/>
  <c r="G32" i="5"/>
  <c r="O31" i="5"/>
  <c r="G31" i="5"/>
  <c r="O30" i="5"/>
  <c r="G30" i="5"/>
  <c r="O29" i="5"/>
  <c r="G29" i="5"/>
  <c r="O28" i="5"/>
  <c r="G28" i="5"/>
  <c r="O27" i="5"/>
  <c r="G27" i="5"/>
  <c r="O26" i="5"/>
  <c r="G26" i="5"/>
  <c r="O25" i="5"/>
  <c r="G25" i="5"/>
  <c r="O24" i="5"/>
  <c r="G24" i="5"/>
  <c r="O23" i="5"/>
  <c r="G23" i="5"/>
  <c r="O22" i="5"/>
  <c r="G22" i="5"/>
  <c r="O21" i="5"/>
  <c r="G21" i="5"/>
  <c r="O20" i="5"/>
  <c r="G20" i="5"/>
  <c r="O19" i="5"/>
  <c r="G19" i="5"/>
  <c r="O18" i="5"/>
  <c r="G18" i="5"/>
  <c r="O17" i="5"/>
  <c r="G17" i="5"/>
  <c r="O16" i="5"/>
  <c r="G16" i="5"/>
  <c r="O15" i="5"/>
  <c r="G15" i="5"/>
  <c r="O13" i="5"/>
  <c r="G13" i="5"/>
  <c r="O12" i="5"/>
  <c r="G12" i="5"/>
  <c r="O11" i="5"/>
  <c r="G11" i="5"/>
  <c r="O10" i="5"/>
  <c r="G10" i="5"/>
  <c r="O9" i="5"/>
  <c r="G9" i="5"/>
  <c r="O8" i="5"/>
  <c r="G8" i="5"/>
  <c r="O7" i="5"/>
  <c r="G7" i="5"/>
  <c r="O6" i="5"/>
  <c r="G6" i="5"/>
  <c r="O5" i="5"/>
  <c r="G5" i="5"/>
  <c r="O556" i="4"/>
  <c r="O555" i="4"/>
  <c r="O554" i="4"/>
  <c r="O553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29" i="4"/>
  <c r="O528" i="4"/>
  <c r="O527" i="4"/>
  <c r="O526" i="4"/>
  <c r="O525" i="4"/>
  <c r="O524" i="4"/>
  <c r="O523" i="4"/>
  <c r="O522" i="4"/>
  <c r="O521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29" i="4"/>
  <c r="G528" i="4"/>
  <c r="G527" i="4"/>
  <c r="G526" i="4"/>
  <c r="G525" i="4"/>
  <c r="G524" i="4"/>
  <c r="G523" i="4"/>
  <c r="G522" i="4"/>
  <c r="G521" i="4"/>
  <c r="O508" i="4"/>
  <c r="O382" i="3"/>
  <c r="O509" i="4"/>
  <c r="O511" i="4"/>
  <c r="O470" i="2"/>
  <c r="G470" i="2"/>
  <c r="G469" i="2"/>
  <c r="G468" i="2"/>
  <c r="G467" i="2"/>
  <c r="G466" i="2"/>
  <c r="G465" i="2"/>
  <c r="G464" i="2"/>
  <c r="O463" i="2"/>
  <c r="G463" i="2"/>
  <c r="O462" i="2"/>
  <c r="G462" i="2"/>
  <c r="O461" i="2"/>
  <c r="G461" i="2"/>
  <c r="O460" i="2"/>
  <c r="G460" i="2"/>
  <c r="O459" i="2"/>
  <c r="G459" i="2"/>
  <c r="O458" i="2"/>
  <c r="G458" i="2"/>
  <c r="O457" i="2"/>
  <c r="G457" i="2"/>
  <c r="O456" i="2"/>
  <c r="G456" i="2"/>
  <c r="O455" i="2"/>
  <c r="G455" i="2"/>
  <c r="O454" i="2"/>
  <c r="G454" i="2"/>
  <c r="O453" i="2"/>
  <c r="G453" i="2"/>
  <c r="O452" i="2"/>
  <c r="G452" i="2"/>
  <c r="O451" i="2"/>
  <c r="G451" i="2"/>
  <c r="O450" i="2"/>
  <c r="G450" i="2"/>
  <c r="O449" i="2"/>
  <c r="G449" i="2"/>
  <c r="O448" i="2"/>
  <c r="G448" i="2"/>
  <c r="O447" i="2"/>
  <c r="G447" i="2"/>
  <c r="O446" i="2"/>
  <c r="G446" i="2"/>
  <c r="O445" i="2"/>
  <c r="G445" i="2"/>
  <c r="O443" i="2"/>
  <c r="G443" i="2"/>
  <c r="O442" i="2"/>
  <c r="G442" i="2"/>
  <c r="O441" i="2"/>
  <c r="G441" i="2"/>
  <c r="O440" i="2"/>
  <c r="G440" i="2"/>
  <c r="O439" i="2"/>
  <c r="G439" i="2"/>
  <c r="O438" i="2"/>
  <c r="G438" i="2"/>
  <c r="O437" i="2"/>
  <c r="G437" i="2"/>
  <c r="O436" i="2"/>
  <c r="G436" i="2"/>
  <c r="O435" i="2"/>
  <c r="G435" i="2"/>
  <c r="O422" i="2"/>
  <c r="O513" i="4"/>
  <c r="G513" i="4"/>
  <c r="O512" i="4"/>
  <c r="G512" i="4"/>
  <c r="G511" i="4"/>
  <c r="O510" i="4"/>
  <c r="G510" i="4"/>
  <c r="G509" i="4"/>
  <c r="G508" i="4"/>
  <c r="O507" i="4"/>
  <c r="G507" i="4"/>
  <c r="O506" i="4"/>
  <c r="G506" i="4"/>
  <c r="O505" i="4"/>
  <c r="G505" i="4"/>
  <c r="O504" i="4"/>
  <c r="G504" i="4"/>
  <c r="O503" i="4"/>
  <c r="G503" i="4"/>
  <c r="O502" i="4"/>
  <c r="G502" i="4"/>
  <c r="O501" i="4"/>
  <c r="G501" i="4"/>
  <c r="O500" i="4"/>
  <c r="G500" i="4"/>
  <c r="O499" i="4"/>
  <c r="G499" i="4"/>
  <c r="O498" i="4"/>
  <c r="G498" i="4"/>
  <c r="O497" i="4"/>
  <c r="G497" i="4"/>
  <c r="O496" i="4"/>
  <c r="G496" i="4"/>
  <c r="O495" i="4"/>
  <c r="G495" i="4"/>
  <c r="O494" i="4"/>
  <c r="G494" i="4"/>
  <c r="O493" i="4"/>
  <c r="G493" i="4"/>
  <c r="O492" i="4"/>
  <c r="G492" i="4"/>
  <c r="O491" i="4"/>
  <c r="G491" i="4"/>
  <c r="O490" i="4"/>
  <c r="G490" i="4"/>
  <c r="O489" i="4"/>
  <c r="G489" i="4"/>
  <c r="O488" i="4"/>
  <c r="G488" i="4"/>
  <c r="O486" i="4"/>
  <c r="G486" i="4"/>
  <c r="O485" i="4"/>
  <c r="G485" i="4"/>
  <c r="O484" i="4"/>
  <c r="G484" i="4"/>
  <c r="O483" i="4"/>
  <c r="G483" i="4"/>
  <c r="O482" i="4"/>
  <c r="G482" i="4"/>
  <c r="O481" i="4"/>
  <c r="G481" i="4"/>
  <c r="O480" i="4"/>
  <c r="G480" i="4"/>
  <c r="O479" i="4"/>
  <c r="G479" i="4"/>
  <c r="O478" i="4"/>
  <c r="G478" i="4"/>
  <c r="O384" i="3"/>
  <c r="G384" i="3"/>
  <c r="O383" i="3"/>
  <c r="G383" i="3"/>
  <c r="G382" i="3"/>
  <c r="O381" i="3"/>
  <c r="G381" i="3"/>
  <c r="G380" i="3"/>
  <c r="G379" i="3"/>
  <c r="O378" i="3"/>
  <c r="G378" i="3"/>
  <c r="O377" i="3"/>
  <c r="G377" i="3"/>
  <c r="O376" i="3"/>
  <c r="G376" i="3"/>
  <c r="O375" i="3"/>
  <c r="G375" i="3"/>
  <c r="O374" i="3"/>
  <c r="G374" i="3"/>
  <c r="O373" i="3"/>
  <c r="G373" i="3"/>
  <c r="O372" i="3"/>
  <c r="G372" i="3"/>
  <c r="O371" i="3"/>
  <c r="G371" i="3"/>
  <c r="O370" i="3"/>
  <c r="G370" i="3"/>
  <c r="O369" i="3"/>
  <c r="G369" i="3"/>
  <c r="O368" i="3"/>
  <c r="G368" i="3"/>
  <c r="O367" i="3"/>
  <c r="G367" i="3"/>
  <c r="O366" i="3"/>
  <c r="G366" i="3"/>
  <c r="O365" i="3"/>
  <c r="G365" i="3"/>
  <c r="O364" i="3"/>
  <c r="G364" i="3"/>
  <c r="O363" i="3"/>
  <c r="G363" i="3"/>
  <c r="O362" i="3"/>
  <c r="G362" i="3"/>
  <c r="O361" i="3"/>
  <c r="G361" i="3"/>
  <c r="O360" i="3"/>
  <c r="G360" i="3"/>
  <c r="O359" i="3"/>
  <c r="G359" i="3"/>
  <c r="O357" i="3"/>
  <c r="G357" i="3"/>
  <c r="O356" i="3"/>
  <c r="G356" i="3"/>
  <c r="O355" i="3"/>
  <c r="G355" i="3"/>
  <c r="O354" i="3"/>
  <c r="G354" i="3"/>
  <c r="O353" i="3"/>
  <c r="G353" i="3"/>
  <c r="O352" i="3"/>
  <c r="G352" i="3"/>
  <c r="O351" i="3"/>
  <c r="G351" i="3"/>
  <c r="O350" i="3"/>
  <c r="G350" i="3"/>
  <c r="O349" i="3"/>
  <c r="G349" i="3"/>
  <c r="G455" i="4"/>
  <c r="O427" i="2"/>
  <c r="G427" i="2"/>
  <c r="O426" i="2"/>
  <c r="G426" i="2"/>
  <c r="O425" i="2"/>
  <c r="G425" i="2"/>
  <c r="O424" i="2"/>
  <c r="G424" i="2"/>
  <c r="O423" i="2"/>
  <c r="G423" i="2"/>
  <c r="G422" i="2"/>
  <c r="O421" i="2"/>
  <c r="G421" i="2"/>
  <c r="O420" i="2"/>
  <c r="G420" i="2"/>
  <c r="O419" i="2"/>
  <c r="G419" i="2"/>
  <c r="O418" i="2"/>
  <c r="G418" i="2"/>
  <c r="O417" i="2"/>
  <c r="G417" i="2"/>
  <c r="O416" i="2"/>
  <c r="G416" i="2"/>
  <c r="O415" i="2"/>
  <c r="G415" i="2"/>
  <c r="O414" i="2"/>
  <c r="G414" i="2"/>
  <c r="O413" i="2"/>
  <c r="G413" i="2"/>
  <c r="O412" i="2"/>
  <c r="G412" i="2"/>
  <c r="O411" i="2"/>
  <c r="G411" i="2"/>
  <c r="O410" i="2"/>
  <c r="G410" i="2"/>
  <c r="O409" i="2"/>
  <c r="G409" i="2"/>
  <c r="O408" i="2"/>
  <c r="G408" i="2"/>
  <c r="O407" i="2"/>
  <c r="G407" i="2"/>
  <c r="O406" i="2"/>
  <c r="G406" i="2"/>
  <c r="O405" i="2"/>
  <c r="G405" i="2"/>
  <c r="O404" i="2"/>
  <c r="G404" i="2"/>
  <c r="O403" i="2"/>
  <c r="G403" i="2"/>
  <c r="O402" i="2"/>
  <c r="G402" i="2"/>
  <c r="O400" i="2"/>
  <c r="G400" i="2"/>
  <c r="O399" i="2"/>
  <c r="G399" i="2"/>
  <c r="O398" i="2"/>
  <c r="G398" i="2"/>
  <c r="O397" i="2"/>
  <c r="G397" i="2"/>
  <c r="O396" i="2"/>
  <c r="G396" i="2"/>
  <c r="O395" i="2"/>
  <c r="G395" i="2"/>
  <c r="O394" i="2"/>
  <c r="G394" i="2"/>
  <c r="O393" i="2"/>
  <c r="G393" i="2"/>
  <c r="O392" i="2"/>
  <c r="G392" i="2"/>
  <c r="O470" i="4"/>
  <c r="G470" i="4"/>
  <c r="O469" i="4"/>
  <c r="G469" i="4"/>
  <c r="O468" i="4"/>
  <c r="G468" i="4"/>
  <c r="O467" i="4"/>
  <c r="G467" i="4"/>
  <c r="O466" i="4"/>
  <c r="G466" i="4"/>
  <c r="O465" i="4"/>
  <c r="G465" i="4"/>
  <c r="O464" i="4"/>
  <c r="G464" i="4"/>
  <c r="O463" i="4"/>
  <c r="G463" i="4"/>
  <c r="O462" i="4"/>
  <c r="G462" i="4"/>
  <c r="O461" i="4"/>
  <c r="G461" i="4"/>
  <c r="O460" i="4"/>
  <c r="G460" i="4"/>
  <c r="O459" i="4"/>
  <c r="G459" i="4"/>
  <c r="O458" i="4"/>
  <c r="G458" i="4"/>
  <c r="O457" i="4"/>
  <c r="G457" i="4"/>
  <c r="O456" i="4"/>
  <c r="G456" i="4"/>
  <c r="O455" i="4"/>
  <c r="O454" i="4"/>
  <c r="G454" i="4"/>
  <c r="O453" i="4"/>
  <c r="G453" i="4"/>
  <c r="O452" i="4"/>
  <c r="G452" i="4"/>
  <c r="O451" i="4"/>
  <c r="G451" i="4"/>
  <c r="O450" i="4"/>
  <c r="G450" i="4"/>
  <c r="O449" i="4"/>
  <c r="G449" i="4"/>
  <c r="O448" i="4"/>
  <c r="G448" i="4"/>
  <c r="O447" i="4"/>
  <c r="G447" i="4"/>
  <c r="O446" i="4"/>
  <c r="G446" i="4"/>
  <c r="O445" i="4"/>
  <c r="G445" i="4"/>
  <c r="O443" i="4"/>
  <c r="G443" i="4"/>
  <c r="O442" i="4"/>
  <c r="G442" i="4"/>
  <c r="O441" i="4"/>
  <c r="G441" i="4"/>
  <c r="O440" i="4"/>
  <c r="G440" i="4"/>
  <c r="O439" i="4"/>
  <c r="G439" i="4"/>
  <c r="O438" i="4"/>
  <c r="G438" i="4"/>
  <c r="O437" i="4"/>
  <c r="G437" i="4"/>
  <c r="O436" i="4"/>
  <c r="G436" i="4"/>
  <c r="O435" i="4"/>
  <c r="G435" i="4"/>
  <c r="O425" i="4"/>
  <c r="O424" i="4"/>
  <c r="O339" i="3"/>
  <c r="O338" i="3"/>
  <c r="O383" i="2"/>
  <c r="O382" i="2"/>
  <c r="O318" i="4"/>
  <c r="O319" i="4"/>
  <c r="O320" i="4"/>
  <c r="O321" i="4"/>
  <c r="O232" i="3"/>
  <c r="O233" i="3"/>
  <c r="O275" i="2"/>
  <c r="O276" i="2"/>
  <c r="O317" i="2"/>
  <c r="O316" i="2"/>
  <c r="O393" i="4"/>
  <c r="O307" i="3"/>
  <c r="O350" i="2"/>
  <c r="G337" i="4"/>
  <c r="G336" i="4"/>
  <c r="G335" i="4"/>
  <c r="G286" i="4"/>
  <c r="G287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0" i="4"/>
  <c r="G399" i="4"/>
  <c r="G398" i="4"/>
  <c r="G397" i="4"/>
  <c r="G396" i="4"/>
  <c r="G395" i="4"/>
  <c r="G394" i="4"/>
  <c r="G393" i="4"/>
  <c r="G392" i="4"/>
  <c r="O427" i="4"/>
  <c r="O426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0" i="4"/>
  <c r="O399" i="4"/>
  <c r="O398" i="4"/>
  <c r="O397" i="4"/>
  <c r="O396" i="4"/>
  <c r="O395" i="4"/>
  <c r="O394" i="4"/>
  <c r="O392" i="4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4" i="3"/>
  <c r="G313" i="3"/>
  <c r="G312" i="3"/>
  <c r="G311" i="3"/>
  <c r="G310" i="3"/>
  <c r="G309" i="3"/>
  <c r="G308" i="3"/>
  <c r="G307" i="3"/>
  <c r="G306" i="3"/>
  <c r="O341" i="3"/>
  <c r="O340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4" i="3"/>
  <c r="O313" i="3"/>
  <c r="O312" i="3"/>
  <c r="O311" i="3"/>
  <c r="O310" i="3"/>
  <c r="O309" i="3"/>
  <c r="O308" i="3"/>
  <c r="O306" i="3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7" i="2"/>
  <c r="G356" i="2"/>
  <c r="G355" i="2"/>
  <c r="G354" i="2"/>
  <c r="G353" i="2"/>
  <c r="G352" i="2"/>
  <c r="G351" i="2"/>
  <c r="G350" i="2"/>
  <c r="G349" i="2"/>
  <c r="O384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7" i="2"/>
  <c r="O356" i="2"/>
  <c r="O355" i="2"/>
  <c r="O354" i="2"/>
  <c r="O353" i="2"/>
  <c r="O352" i="2"/>
  <c r="O351" i="2"/>
  <c r="O349" i="2"/>
  <c r="G227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1" i="3"/>
  <c r="G270" i="3"/>
  <c r="G269" i="3"/>
  <c r="G268" i="3"/>
  <c r="G267" i="3"/>
  <c r="G266" i="3"/>
  <c r="G265" i="3"/>
  <c r="G264" i="3"/>
  <c r="G263" i="3"/>
  <c r="O264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1" i="3"/>
  <c r="O270" i="3"/>
  <c r="O269" i="3"/>
  <c r="O268" i="3"/>
  <c r="O267" i="3"/>
  <c r="O266" i="3"/>
  <c r="O265" i="3"/>
  <c r="O263" i="3"/>
  <c r="O252" i="3"/>
  <c r="O253" i="3"/>
  <c r="O254" i="3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7" i="4"/>
  <c r="G356" i="4"/>
  <c r="G355" i="4"/>
  <c r="G354" i="4"/>
  <c r="G353" i="4"/>
  <c r="G352" i="4"/>
  <c r="G351" i="4"/>
  <c r="G350" i="4"/>
  <c r="G349" i="4"/>
  <c r="O338" i="2"/>
  <c r="O339" i="2"/>
  <c r="O340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4" i="2"/>
  <c r="G313" i="2"/>
  <c r="G312" i="2"/>
  <c r="G311" i="2"/>
  <c r="G310" i="2"/>
  <c r="G309" i="2"/>
  <c r="G308" i="2"/>
  <c r="G307" i="2"/>
  <c r="G306" i="2"/>
  <c r="O350" i="4"/>
  <c r="O384" i="4"/>
  <c r="O383" i="4"/>
  <c r="O382" i="4"/>
  <c r="O381" i="4"/>
  <c r="O338" i="4"/>
  <c r="O339" i="4"/>
  <c r="O340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7" i="4"/>
  <c r="O356" i="4"/>
  <c r="O355" i="4"/>
  <c r="O354" i="4"/>
  <c r="O353" i="4"/>
  <c r="O352" i="4"/>
  <c r="O351" i="4"/>
  <c r="O349" i="4"/>
  <c r="O307" i="2"/>
  <c r="O341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4" i="2"/>
  <c r="O313" i="2"/>
  <c r="O312" i="2"/>
  <c r="O311" i="2"/>
  <c r="O310" i="2"/>
  <c r="O309" i="2"/>
  <c r="O308" i="2"/>
  <c r="O306" i="2"/>
  <c r="O317" i="4"/>
  <c r="O341" i="4"/>
  <c r="G341" i="4"/>
  <c r="G340" i="4"/>
  <c r="G339" i="4"/>
  <c r="G338" i="4"/>
  <c r="O337" i="4"/>
  <c r="O336" i="4"/>
  <c r="O335" i="4"/>
  <c r="O334" i="4"/>
  <c r="G334" i="4"/>
  <c r="O333" i="4"/>
  <c r="G333" i="4"/>
  <c r="O332" i="4"/>
  <c r="G332" i="4"/>
  <c r="O331" i="4"/>
  <c r="G331" i="4"/>
  <c r="O330" i="4"/>
  <c r="G330" i="4"/>
  <c r="O329" i="4"/>
  <c r="G329" i="4"/>
  <c r="O328" i="4"/>
  <c r="G328" i="4"/>
  <c r="O327" i="4"/>
  <c r="G327" i="4"/>
  <c r="O326" i="4"/>
  <c r="G326" i="4"/>
  <c r="O325" i="4"/>
  <c r="G325" i="4"/>
  <c r="O324" i="4"/>
  <c r="G324" i="4"/>
  <c r="O323" i="4"/>
  <c r="G323" i="4"/>
  <c r="O322" i="4"/>
  <c r="G322" i="4"/>
  <c r="G321" i="4"/>
  <c r="G320" i="4"/>
  <c r="G319" i="4"/>
  <c r="G318" i="4"/>
  <c r="G317" i="4"/>
  <c r="O316" i="4"/>
  <c r="G316" i="4"/>
  <c r="O314" i="4"/>
  <c r="G314" i="4"/>
  <c r="O313" i="4"/>
  <c r="G313" i="4"/>
  <c r="O312" i="4"/>
  <c r="G312" i="4"/>
  <c r="O311" i="4"/>
  <c r="G311" i="4"/>
  <c r="O310" i="4"/>
  <c r="G310" i="4"/>
  <c r="O309" i="4"/>
  <c r="G309" i="4"/>
  <c r="O308" i="4"/>
  <c r="G308" i="4"/>
  <c r="O307" i="4"/>
  <c r="G307" i="4"/>
  <c r="O306" i="4"/>
  <c r="G306" i="4"/>
  <c r="G273" i="2"/>
  <c r="O298" i="2"/>
  <c r="G298" i="2"/>
  <c r="O297" i="2"/>
  <c r="G297" i="2"/>
  <c r="O296" i="2"/>
  <c r="G296" i="2"/>
  <c r="O295" i="2"/>
  <c r="G295" i="2"/>
  <c r="O294" i="2"/>
  <c r="G294" i="2"/>
  <c r="O293" i="2"/>
  <c r="G293" i="2"/>
  <c r="O292" i="2"/>
  <c r="G292" i="2"/>
  <c r="O291" i="2"/>
  <c r="G291" i="2"/>
  <c r="O290" i="2"/>
  <c r="G290" i="2"/>
  <c r="O289" i="2"/>
  <c r="G289" i="2"/>
  <c r="O288" i="2"/>
  <c r="G288" i="2"/>
  <c r="O287" i="2"/>
  <c r="G287" i="2"/>
  <c r="O286" i="2"/>
  <c r="G286" i="2"/>
  <c r="O285" i="2"/>
  <c r="G285" i="2"/>
  <c r="O284" i="2"/>
  <c r="G284" i="2"/>
  <c r="O283" i="2"/>
  <c r="G283" i="2"/>
  <c r="O282" i="2"/>
  <c r="G282" i="2"/>
  <c r="O281" i="2"/>
  <c r="G281" i="2"/>
  <c r="O280" i="2"/>
  <c r="G280" i="2"/>
  <c r="O279" i="2"/>
  <c r="G279" i="2"/>
  <c r="O278" i="2"/>
  <c r="G278" i="2"/>
  <c r="O277" i="2"/>
  <c r="G277" i="2"/>
  <c r="G276" i="2"/>
  <c r="G275" i="2"/>
  <c r="O274" i="2"/>
  <c r="G274" i="2"/>
  <c r="O273" i="2"/>
  <c r="O271" i="2"/>
  <c r="G271" i="2"/>
  <c r="O270" i="2"/>
  <c r="G270" i="2"/>
  <c r="O269" i="2"/>
  <c r="G269" i="2"/>
  <c r="O268" i="2"/>
  <c r="G268" i="2"/>
  <c r="O267" i="2"/>
  <c r="G267" i="2"/>
  <c r="O266" i="2"/>
  <c r="G266" i="2"/>
  <c r="O265" i="2"/>
  <c r="G265" i="2"/>
  <c r="O264" i="2"/>
  <c r="G264" i="2"/>
  <c r="O263" i="2"/>
  <c r="G263" i="2"/>
  <c r="G227" i="2"/>
  <c r="G235" i="2"/>
  <c r="G273" i="4"/>
  <c r="O296" i="4"/>
  <c r="O297" i="4"/>
  <c r="O252" i="2"/>
  <c r="O254" i="2"/>
  <c r="O234" i="4"/>
  <c r="G220" i="2"/>
  <c r="G181" i="3"/>
  <c r="O255" i="3"/>
  <c r="G255" i="3"/>
  <c r="G254" i="3"/>
  <c r="G253" i="3"/>
  <c r="G252" i="3"/>
  <c r="O251" i="3"/>
  <c r="G251" i="3"/>
  <c r="O250" i="3"/>
  <c r="G250" i="3"/>
  <c r="O249" i="3"/>
  <c r="G249" i="3"/>
  <c r="O248" i="3"/>
  <c r="G248" i="3"/>
  <c r="O247" i="3"/>
  <c r="G247" i="3"/>
  <c r="O246" i="3"/>
  <c r="G246" i="3"/>
  <c r="O245" i="3"/>
  <c r="G245" i="3"/>
  <c r="O244" i="3"/>
  <c r="G244" i="3"/>
  <c r="O243" i="3"/>
  <c r="G243" i="3"/>
  <c r="O242" i="3"/>
  <c r="G242" i="3"/>
  <c r="O241" i="3"/>
  <c r="G241" i="3"/>
  <c r="O240" i="3"/>
  <c r="G240" i="3"/>
  <c r="O239" i="3"/>
  <c r="G239" i="3"/>
  <c r="O238" i="3"/>
  <c r="G238" i="3"/>
  <c r="O237" i="3"/>
  <c r="G237" i="3"/>
  <c r="O236" i="3"/>
  <c r="G236" i="3"/>
  <c r="O235" i="3"/>
  <c r="G235" i="3"/>
  <c r="O234" i="3"/>
  <c r="G234" i="3"/>
  <c r="G233" i="3"/>
  <c r="G232" i="3"/>
  <c r="O231" i="3"/>
  <c r="G231" i="3"/>
  <c r="O230" i="3"/>
  <c r="G230" i="3"/>
  <c r="O228" i="3"/>
  <c r="G228" i="3"/>
  <c r="O227" i="3"/>
  <c r="O226" i="3"/>
  <c r="G226" i="3"/>
  <c r="O225" i="3"/>
  <c r="G225" i="3"/>
  <c r="O224" i="3"/>
  <c r="G224" i="3"/>
  <c r="O223" i="3"/>
  <c r="G223" i="3"/>
  <c r="O222" i="3"/>
  <c r="G222" i="3"/>
  <c r="O221" i="3"/>
  <c r="G221" i="3"/>
  <c r="O220" i="3"/>
  <c r="G220" i="3"/>
  <c r="O298" i="4"/>
  <c r="G298" i="4"/>
  <c r="G297" i="4"/>
  <c r="G296" i="4"/>
  <c r="O295" i="4"/>
  <c r="G295" i="4"/>
  <c r="O294" i="4"/>
  <c r="G294" i="4"/>
  <c r="O293" i="4"/>
  <c r="G293" i="4"/>
  <c r="O292" i="4"/>
  <c r="G292" i="4"/>
  <c r="O291" i="4"/>
  <c r="G291" i="4"/>
  <c r="O290" i="4"/>
  <c r="G290" i="4"/>
  <c r="O289" i="4"/>
  <c r="G289" i="4"/>
  <c r="O288" i="4"/>
  <c r="G288" i="4"/>
  <c r="O287" i="4"/>
  <c r="O286" i="4"/>
  <c r="O285" i="4"/>
  <c r="G285" i="4"/>
  <c r="O284" i="4"/>
  <c r="G284" i="4"/>
  <c r="O283" i="4"/>
  <c r="G283" i="4"/>
  <c r="O282" i="4"/>
  <c r="G282" i="4"/>
  <c r="O281" i="4"/>
  <c r="G281" i="4"/>
  <c r="O280" i="4"/>
  <c r="G280" i="4"/>
  <c r="O279" i="4"/>
  <c r="G279" i="4"/>
  <c r="O278" i="4"/>
  <c r="G278" i="4"/>
  <c r="O277" i="4"/>
  <c r="G277" i="4"/>
  <c r="O276" i="4"/>
  <c r="G276" i="4"/>
  <c r="O275" i="4"/>
  <c r="G275" i="4"/>
  <c r="O274" i="4"/>
  <c r="G274" i="4"/>
  <c r="O273" i="4"/>
  <c r="O271" i="4"/>
  <c r="G271" i="4"/>
  <c r="O270" i="4"/>
  <c r="G270" i="4"/>
  <c r="O269" i="4"/>
  <c r="G269" i="4"/>
  <c r="O268" i="4"/>
  <c r="G268" i="4"/>
  <c r="O267" i="4"/>
  <c r="G267" i="4"/>
  <c r="O266" i="4"/>
  <c r="G266" i="4"/>
  <c r="O265" i="4"/>
  <c r="G265" i="4"/>
  <c r="O264" i="4"/>
  <c r="G264" i="4"/>
  <c r="O263" i="4"/>
  <c r="G263" i="4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4" i="2"/>
  <c r="G233" i="2"/>
  <c r="G232" i="2"/>
  <c r="G231" i="2"/>
  <c r="G230" i="2"/>
  <c r="G228" i="2"/>
  <c r="G226" i="2"/>
  <c r="G225" i="2"/>
  <c r="G224" i="2"/>
  <c r="G223" i="2"/>
  <c r="G222" i="2"/>
  <c r="G221" i="2"/>
  <c r="O255" i="2"/>
  <c r="O253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8" i="2"/>
  <c r="O227" i="2"/>
  <c r="O226" i="2"/>
  <c r="O225" i="2"/>
  <c r="O224" i="2"/>
  <c r="O223" i="2"/>
  <c r="O222" i="2"/>
  <c r="O221" i="2"/>
  <c r="O220" i="2"/>
  <c r="O255" i="4"/>
  <c r="G255" i="4"/>
  <c r="O254" i="4"/>
  <c r="G254" i="4"/>
  <c r="O253" i="4"/>
  <c r="G253" i="4"/>
  <c r="O252" i="4"/>
  <c r="G252" i="4"/>
  <c r="O251" i="4"/>
  <c r="G251" i="4"/>
  <c r="O250" i="4"/>
  <c r="G250" i="4"/>
  <c r="O249" i="4"/>
  <c r="G249" i="4"/>
  <c r="O248" i="4"/>
  <c r="G248" i="4"/>
  <c r="O247" i="4"/>
  <c r="G247" i="4"/>
  <c r="O246" i="4"/>
  <c r="G246" i="4"/>
  <c r="O245" i="4"/>
  <c r="G245" i="4"/>
  <c r="O244" i="4"/>
  <c r="G244" i="4"/>
  <c r="O243" i="4"/>
  <c r="G243" i="4"/>
  <c r="O242" i="4"/>
  <c r="G242" i="4"/>
  <c r="O241" i="4"/>
  <c r="G241" i="4"/>
  <c r="O240" i="4"/>
  <c r="G240" i="4"/>
  <c r="O239" i="4"/>
  <c r="G239" i="4"/>
  <c r="O238" i="4"/>
  <c r="G238" i="4"/>
  <c r="O237" i="4"/>
  <c r="G237" i="4"/>
  <c r="O236" i="4"/>
  <c r="G236" i="4"/>
  <c r="O235" i="4"/>
  <c r="G235" i="4"/>
  <c r="G234" i="4"/>
  <c r="O233" i="4"/>
  <c r="G233" i="4"/>
  <c r="O232" i="4"/>
  <c r="G232" i="4"/>
  <c r="O231" i="4"/>
  <c r="G231" i="4"/>
  <c r="O230" i="4"/>
  <c r="G230" i="4"/>
  <c r="O228" i="4"/>
  <c r="G228" i="4"/>
  <c r="O227" i="4"/>
  <c r="G227" i="4"/>
  <c r="O226" i="4"/>
  <c r="G226" i="4"/>
  <c r="O225" i="4"/>
  <c r="G225" i="4"/>
  <c r="O224" i="4"/>
  <c r="G224" i="4"/>
  <c r="O223" i="4"/>
  <c r="G223" i="4"/>
  <c r="O222" i="4"/>
  <c r="G222" i="4"/>
  <c r="O221" i="4"/>
  <c r="G221" i="4"/>
  <c r="O220" i="4"/>
  <c r="G220" i="4"/>
  <c r="O212" i="3"/>
  <c r="G212" i="3"/>
  <c r="O211" i="3"/>
  <c r="G211" i="3"/>
  <c r="O210" i="3"/>
  <c r="G210" i="3"/>
  <c r="O209" i="3"/>
  <c r="G209" i="3"/>
  <c r="O208" i="3"/>
  <c r="G208" i="3"/>
  <c r="O207" i="3"/>
  <c r="G207" i="3"/>
  <c r="O206" i="3"/>
  <c r="G206" i="3"/>
  <c r="O205" i="3"/>
  <c r="G205" i="3"/>
  <c r="O204" i="3"/>
  <c r="G204" i="3"/>
  <c r="O203" i="3"/>
  <c r="G203" i="3"/>
  <c r="O202" i="3"/>
  <c r="G202" i="3"/>
  <c r="O201" i="3"/>
  <c r="G201" i="3"/>
  <c r="O200" i="3"/>
  <c r="G200" i="3"/>
  <c r="O199" i="3"/>
  <c r="G199" i="3"/>
  <c r="O198" i="3"/>
  <c r="G198" i="3"/>
  <c r="O197" i="3"/>
  <c r="G197" i="3"/>
  <c r="O196" i="3"/>
  <c r="G196" i="3"/>
  <c r="O195" i="3"/>
  <c r="G195" i="3"/>
  <c r="O194" i="3"/>
  <c r="G194" i="3"/>
  <c r="O193" i="3"/>
  <c r="G193" i="3"/>
  <c r="O192" i="3"/>
  <c r="G192" i="3"/>
  <c r="O191" i="3"/>
  <c r="G191" i="3"/>
  <c r="O190" i="3"/>
  <c r="G190" i="3"/>
  <c r="O189" i="3"/>
  <c r="G189" i="3"/>
  <c r="O188" i="3"/>
  <c r="G188" i="3"/>
  <c r="O187" i="3"/>
  <c r="G187" i="3"/>
  <c r="O185" i="3"/>
  <c r="G185" i="3"/>
  <c r="O184" i="3"/>
  <c r="G184" i="3"/>
  <c r="O183" i="3"/>
  <c r="G183" i="3"/>
  <c r="O182" i="3"/>
  <c r="G182" i="3"/>
  <c r="O181" i="3"/>
  <c r="O180" i="3"/>
  <c r="G180" i="3"/>
  <c r="O179" i="3"/>
  <c r="G179" i="3"/>
  <c r="O178" i="3"/>
  <c r="G178" i="3"/>
  <c r="O177" i="3"/>
  <c r="G177" i="3"/>
  <c r="G206" i="4"/>
  <c r="G207" i="4"/>
  <c r="G141" i="3"/>
  <c r="O137" i="4"/>
  <c r="O212" i="2"/>
  <c r="G212" i="2"/>
  <c r="O211" i="2"/>
  <c r="G211" i="2"/>
  <c r="O210" i="2"/>
  <c r="G210" i="2"/>
  <c r="O209" i="2"/>
  <c r="G209" i="2"/>
  <c r="O208" i="2"/>
  <c r="G208" i="2"/>
  <c r="O207" i="2"/>
  <c r="G207" i="2"/>
  <c r="O206" i="2"/>
  <c r="G206" i="2"/>
  <c r="O205" i="2"/>
  <c r="G205" i="2"/>
  <c r="O204" i="2"/>
  <c r="G204" i="2"/>
  <c r="O203" i="2"/>
  <c r="G203" i="2"/>
  <c r="O202" i="2"/>
  <c r="G202" i="2"/>
  <c r="O201" i="2"/>
  <c r="G201" i="2"/>
  <c r="O200" i="2"/>
  <c r="G200" i="2"/>
  <c r="O199" i="2"/>
  <c r="G199" i="2"/>
  <c r="O198" i="2"/>
  <c r="G198" i="2"/>
  <c r="O197" i="2"/>
  <c r="G197" i="2"/>
  <c r="O196" i="2"/>
  <c r="G196" i="2"/>
  <c r="O195" i="2"/>
  <c r="G195" i="2"/>
  <c r="O194" i="2"/>
  <c r="G194" i="2"/>
  <c r="O193" i="2"/>
  <c r="G193" i="2"/>
  <c r="O192" i="2"/>
  <c r="G192" i="2"/>
  <c r="O191" i="2"/>
  <c r="G191" i="2"/>
  <c r="O190" i="2"/>
  <c r="G190" i="2"/>
  <c r="O189" i="2"/>
  <c r="G189" i="2"/>
  <c r="O188" i="2"/>
  <c r="G188" i="2"/>
  <c r="O187" i="2"/>
  <c r="G187" i="2"/>
  <c r="O185" i="2"/>
  <c r="G185" i="2"/>
  <c r="O184" i="2"/>
  <c r="G184" i="2"/>
  <c r="O183" i="2"/>
  <c r="G183" i="2"/>
  <c r="O182" i="2"/>
  <c r="G182" i="2"/>
  <c r="O181" i="2"/>
  <c r="G181" i="2"/>
  <c r="O180" i="2"/>
  <c r="G180" i="2"/>
  <c r="O179" i="2"/>
  <c r="G179" i="2"/>
  <c r="O178" i="2"/>
  <c r="G178" i="2"/>
  <c r="O177" i="2"/>
  <c r="G177" i="2"/>
  <c r="O212" i="4"/>
  <c r="G212" i="4"/>
  <c r="O211" i="4"/>
  <c r="G211" i="4"/>
  <c r="O210" i="4"/>
  <c r="G210" i="4"/>
  <c r="O209" i="4"/>
  <c r="G209" i="4"/>
  <c r="O208" i="4"/>
  <c r="G208" i="4"/>
  <c r="O207" i="4"/>
  <c r="O206" i="4"/>
  <c r="O205" i="4"/>
  <c r="G205" i="4"/>
  <c r="O204" i="4"/>
  <c r="G204" i="4"/>
  <c r="O203" i="4"/>
  <c r="G203" i="4"/>
  <c r="O202" i="4"/>
  <c r="G202" i="4"/>
  <c r="O201" i="4"/>
  <c r="G201" i="4"/>
  <c r="O200" i="4"/>
  <c r="G200" i="4"/>
  <c r="O199" i="4"/>
  <c r="G199" i="4"/>
  <c r="O198" i="4"/>
  <c r="G198" i="4"/>
  <c r="O197" i="4"/>
  <c r="G197" i="4"/>
  <c r="O196" i="4"/>
  <c r="G196" i="4"/>
  <c r="O195" i="4"/>
  <c r="G195" i="4"/>
  <c r="O194" i="4"/>
  <c r="G194" i="4"/>
  <c r="O193" i="4"/>
  <c r="G193" i="4"/>
  <c r="O192" i="4"/>
  <c r="G192" i="4"/>
  <c r="O191" i="4"/>
  <c r="G191" i="4"/>
  <c r="O190" i="4"/>
  <c r="G190" i="4"/>
  <c r="O189" i="4"/>
  <c r="G189" i="4"/>
  <c r="O188" i="4"/>
  <c r="G188" i="4"/>
  <c r="O187" i="4"/>
  <c r="G187" i="4"/>
  <c r="O185" i="4"/>
  <c r="G185" i="4"/>
  <c r="O184" i="4"/>
  <c r="G184" i="4"/>
  <c r="O183" i="4"/>
  <c r="G183" i="4"/>
  <c r="O182" i="4"/>
  <c r="G182" i="4"/>
  <c r="O181" i="4"/>
  <c r="G181" i="4"/>
  <c r="O180" i="4"/>
  <c r="G180" i="4"/>
  <c r="O179" i="4"/>
  <c r="G179" i="4"/>
  <c r="O178" i="4"/>
  <c r="G178" i="4"/>
  <c r="O177" i="4"/>
  <c r="G177" i="4"/>
  <c r="G141" i="4"/>
  <c r="G140" i="4"/>
  <c r="G139" i="4"/>
  <c r="G138" i="4"/>
  <c r="G137" i="4"/>
  <c r="G136" i="4"/>
  <c r="O144" i="3"/>
  <c r="O145" i="2"/>
  <c r="G144" i="3"/>
  <c r="G154" i="4"/>
  <c r="O103" i="3"/>
  <c r="O103" i="2"/>
  <c r="O135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4" i="2"/>
  <c r="O142" i="2"/>
  <c r="O141" i="2"/>
  <c r="O140" i="2"/>
  <c r="O139" i="2"/>
  <c r="O138" i="2"/>
  <c r="O137" i="2"/>
  <c r="O136" i="2"/>
  <c r="O134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2" i="2"/>
  <c r="G141" i="2"/>
  <c r="G140" i="2"/>
  <c r="G139" i="2"/>
  <c r="G138" i="2"/>
  <c r="G137" i="2"/>
  <c r="G136" i="2"/>
  <c r="G135" i="2"/>
  <c r="G134" i="2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2" i="3"/>
  <c r="G140" i="3"/>
  <c r="G139" i="3"/>
  <c r="G138" i="3"/>
  <c r="G137" i="3"/>
  <c r="G136" i="3"/>
  <c r="G135" i="3"/>
  <c r="G134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2" i="3"/>
  <c r="O141" i="3"/>
  <c r="O140" i="3"/>
  <c r="O139" i="3"/>
  <c r="O138" i="3"/>
  <c r="O137" i="3"/>
  <c r="O136" i="3"/>
  <c r="O135" i="3"/>
  <c r="O134" i="3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3" i="4"/>
  <c r="G152" i="4"/>
  <c r="G151" i="4"/>
  <c r="G150" i="4"/>
  <c r="G149" i="4"/>
  <c r="G148" i="4"/>
  <c r="G147" i="4"/>
  <c r="G146" i="4"/>
  <c r="G145" i="4"/>
  <c r="G144" i="4"/>
  <c r="G142" i="4"/>
  <c r="G135" i="4"/>
  <c r="G134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2" i="4"/>
  <c r="O141" i="4"/>
  <c r="O140" i="4"/>
  <c r="O139" i="4"/>
  <c r="O138" i="4"/>
  <c r="O136" i="4"/>
  <c r="O135" i="4"/>
  <c r="O134" i="4"/>
  <c r="G55" i="3"/>
  <c r="G66" i="2"/>
  <c r="O122" i="4"/>
  <c r="O123" i="4"/>
  <c r="O124" i="4"/>
  <c r="O125" i="4"/>
  <c r="O122" i="2"/>
  <c r="O123" i="2"/>
  <c r="O124" i="2"/>
  <c r="O125" i="2"/>
  <c r="O122" i="3"/>
  <c r="O123" i="3"/>
  <c r="O124" i="3"/>
  <c r="O125" i="3"/>
  <c r="O60" i="4"/>
  <c r="O58" i="3"/>
  <c r="O59" i="2"/>
  <c r="G58" i="3"/>
  <c r="G58" i="2"/>
  <c r="G59" i="2"/>
  <c r="G37" i="3"/>
  <c r="G38" i="2"/>
  <c r="O59" i="4"/>
  <c r="O23" i="3"/>
  <c r="O58" i="2"/>
  <c r="G60" i="4"/>
  <c r="G40" i="3"/>
  <c r="G40" i="2"/>
  <c r="G27" i="4"/>
  <c r="G23" i="3"/>
  <c r="G24" i="3"/>
  <c r="G25" i="3"/>
  <c r="G26" i="3"/>
  <c r="G27" i="3"/>
  <c r="G28" i="3"/>
  <c r="G29" i="3"/>
  <c r="G30" i="3"/>
  <c r="G31" i="3"/>
  <c r="O121" i="4"/>
  <c r="O126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99" i="4"/>
  <c r="O98" i="4"/>
  <c r="O97" i="4"/>
  <c r="O96" i="4"/>
  <c r="O95" i="4"/>
  <c r="O94" i="4"/>
  <c r="O93" i="4"/>
  <c r="O92" i="4"/>
  <c r="O91" i="4"/>
  <c r="O120" i="4"/>
  <c r="O119" i="4"/>
  <c r="O56" i="4"/>
  <c r="O55" i="4"/>
  <c r="O54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99" i="4"/>
  <c r="G98" i="4"/>
  <c r="G97" i="4"/>
  <c r="G96" i="4"/>
  <c r="G95" i="4"/>
  <c r="G94" i="4"/>
  <c r="G93" i="4"/>
  <c r="G92" i="4"/>
  <c r="G91" i="4"/>
  <c r="G56" i="4"/>
  <c r="G55" i="4"/>
  <c r="O13" i="4"/>
  <c r="O12" i="4"/>
  <c r="O11" i="4"/>
  <c r="O10" i="4"/>
  <c r="O9" i="4"/>
  <c r="O8" i="4"/>
  <c r="G12" i="4"/>
  <c r="G11" i="4"/>
  <c r="G10" i="4"/>
  <c r="G13" i="4"/>
  <c r="O126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2" i="3"/>
  <c r="O101" i="3"/>
  <c r="O99" i="3"/>
  <c r="O98" i="3"/>
  <c r="O97" i="3"/>
  <c r="O96" i="3"/>
  <c r="O95" i="3"/>
  <c r="O94" i="3"/>
  <c r="O93" i="3"/>
  <c r="O92" i="3"/>
  <c r="O91" i="3"/>
  <c r="O56" i="3"/>
  <c r="O55" i="3"/>
  <c r="O54" i="3"/>
  <c r="O53" i="3"/>
  <c r="O52" i="3"/>
  <c r="O51" i="3"/>
  <c r="O50" i="3"/>
  <c r="O13" i="3"/>
  <c r="O12" i="3"/>
  <c r="O11" i="3"/>
  <c r="O10" i="3"/>
  <c r="O9" i="3"/>
  <c r="O8" i="3"/>
  <c r="O7" i="3"/>
  <c r="O6" i="3"/>
  <c r="O5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99" i="3"/>
  <c r="G98" i="3"/>
  <c r="G97" i="3"/>
  <c r="G96" i="3"/>
  <c r="G95" i="3"/>
  <c r="G94" i="3"/>
  <c r="G93" i="3"/>
  <c r="G92" i="3"/>
  <c r="G91" i="3"/>
  <c r="G56" i="3"/>
  <c r="G11" i="3"/>
  <c r="G10" i="3"/>
  <c r="G12" i="3"/>
  <c r="G13" i="3"/>
  <c r="O126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2" i="2"/>
  <c r="O101" i="2"/>
  <c r="O99" i="2"/>
  <c r="O98" i="2"/>
  <c r="O97" i="2"/>
  <c r="O96" i="2"/>
  <c r="O95" i="2"/>
  <c r="O94" i="2"/>
  <c r="O93" i="2"/>
  <c r="O92" i="2"/>
  <c r="O91" i="2"/>
  <c r="O56" i="2"/>
  <c r="O55" i="2"/>
  <c r="O54" i="2"/>
  <c r="O53" i="2"/>
  <c r="O52" i="2"/>
  <c r="O51" i="2"/>
  <c r="O50" i="2"/>
  <c r="O49" i="2"/>
  <c r="O48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13" i="2"/>
  <c r="O12" i="2"/>
  <c r="O11" i="2"/>
  <c r="O10" i="2"/>
  <c r="O9" i="2"/>
  <c r="O8" i="2"/>
  <c r="O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99" i="2"/>
  <c r="G98" i="2"/>
  <c r="G97" i="2"/>
  <c r="G96" i="2"/>
  <c r="G95" i="2"/>
  <c r="G94" i="2"/>
  <c r="G93" i="2"/>
  <c r="G92" i="2"/>
  <c r="G91" i="2"/>
  <c r="G56" i="2"/>
  <c r="G55" i="2"/>
  <c r="G54" i="2"/>
  <c r="G53" i="2"/>
  <c r="G52" i="2"/>
  <c r="G51" i="2"/>
  <c r="G50" i="2"/>
  <c r="G49" i="2"/>
  <c r="G48" i="2"/>
  <c r="G12" i="2"/>
  <c r="G11" i="2"/>
  <c r="G10" i="2"/>
  <c r="G13" i="2"/>
  <c r="O53" i="4"/>
  <c r="O52" i="4"/>
  <c r="O51" i="4"/>
  <c r="O50" i="4"/>
  <c r="O49" i="4"/>
  <c r="O48" i="4"/>
  <c r="G54" i="4"/>
  <c r="G53" i="4"/>
  <c r="G52" i="4"/>
  <c r="G51" i="4"/>
  <c r="G50" i="4"/>
  <c r="G49" i="4"/>
  <c r="G48" i="4"/>
  <c r="O49" i="3"/>
  <c r="O48" i="3"/>
  <c r="G54" i="3"/>
  <c r="G53" i="3"/>
  <c r="G52" i="3"/>
  <c r="G51" i="3"/>
  <c r="G50" i="3"/>
  <c r="G49" i="3"/>
  <c r="G48" i="3"/>
  <c r="G59" i="3"/>
  <c r="O83" i="4"/>
  <c r="G83" i="4"/>
  <c r="O82" i="4"/>
  <c r="G82" i="4"/>
  <c r="O81" i="4"/>
  <c r="G81" i="4"/>
  <c r="O80" i="4"/>
  <c r="G80" i="4"/>
  <c r="O79" i="4"/>
  <c r="G79" i="4"/>
  <c r="O78" i="4"/>
  <c r="G78" i="4"/>
  <c r="O77" i="4"/>
  <c r="G77" i="4"/>
  <c r="O76" i="4"/>
  <c r="G76" i="4"/>
  <c r="O75" i="4"/>
  <c r="G75" i="4"/>
  <c r="O74" i="4"/>
  <c r="G74" i="4"/>
  <c r="O73" i="4"/>
  <c r="G73" i="4"/>
  <c r="O72" i="4"/>
  <c r="G72" i="4"/>
  <c r="O71" i="4"/>
  <c r="G71" i="4"/>
  <c r="O70" i="4"/>
  <c r="G70" i="4"/>
  <c r="O69" i="4"/>
  <c r="G69" i="4"/>
  <c r="O68" i="4"/>
  <c r="G68" i="4"/>
  <c r="O67" i="4"/>
  <c r="G67" i="4"/>
  <c r="O66" i="4"/>
  <c r="G66" i="4"/>
  <c r="O65" i="4"/>
  <c r="G65" i="4"/>
  <c r="O64" i="4"/>
  <c r="G64" i="4"/>
  <c r="O63" i="4"/>
  <c r="G63" i="4"/>
  <c r="O62" i="4"/>
  <c r="G62" i="4"/>
  <c r="O61" i="4"/>
  <c r="G61" i="4"/>
  <c r="G59" i="4"/>
  <c r="O58" i="4"/>
  <c r="G58" i="4"/>
  <c r="O83" i="3"/>
  <c r="G83" i="3"/>
  <c r="O82" i="3"/>
  <c r="G82" i="3"/>
  <c r="O81" i="3"/>
  <c r="G81" i="3"/>
  <c r="O80" i="3"/>
  <c r="G80" i="3"/>
  <c r="O79" i="3"/>
  <c r="G79" i="3"/>
  <c r="O78" i="3"/>
  <c r="G78" i="3"/>
  <c r="O77" i="3"/>
  <c r="G77" i="3"/>
  <c r="O76" i="3"/>
  <c r="G76" i="3"/>
  <c r="O75" i="3"/>
  <c r="G75" i="3"/>
  <c r="O74" i="3"/>
  <c r="G74" i="3"/>
  <c r="O73" i="3"/>
  <c r="G73" i="3"/>
  <c r="O72" i="3"/>
  <c r="G72" i="3"/>
  <c r="O71" i="3"/>
  <c r="G71" i="3"/>
  <c r="O70" i="3"/>
  <c r="G70" i="3"/>
  <c r="O69" i="3"/>
  <c r="G69" i="3"/>
  <c r="O68" i="3"/>
  <c r="G68" i="3"/>
  <c r="O67" i="3"/>
  <c r="G67" i="3"/>
  <c r="O66" i="3"/>
  <c r="G66" i="3"/>
  <c r="O65" i="3"/>
  <c r="G65" i="3"/>
  <c r="O64" i="3"/>
  <c r="G64" i="3"/>
  <c r="O63" i="3"/>
  <c r="G63" i="3"/>
  <c r="O62" i="3"/>
  <c r="G62" i="3"/>
  <c r="O61" i="3"/>
  <c r="G61" i="3"/>
  <c r="O60" i="3"/>
  <c r="G60" i="3"/>
  <c r="O59" i="3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5" i="2"/>
  <c r="G64" i="2"/>
  <c r="G63" i="2"/>
  <c r="G62" i="2"/>
  <c r="G61" i="2"/>
  <c r="G60" i="2"/>
  <c r="G34" i="4"/>
  <c r="G29" i="2"/>
  <c r="O40" i="4"/>
  <c r="G40" i="4"/>
  <c r="O39" i="4"/>
  <c r="G39" i="4"/>
  <c r="O38" i="4"/>
  <c r="G38" i="4"/>
  <c r="O37" i="4"/>
  <c r="G37" i="4"/>
  <c r="O36" i="4"/>
  <c r="G36" i="4"/>
  <c r="O35" i="4"/>
  <c r="G35" i="4"/>
  <c r="O34" i="4"/>
  <c r="O33" i="4"/>
  <c r="G33" i="4"/>
  <c r="O32" i="4"/>
  <c r="G32" i="4"/>
  <c r="O31" i="4"/>
  <c r="G31" i="4"/>
  <c r="O30" i="4"/>
  <c r="G30" i="4"/>
  <c r="O29" i="4"/>
  <c r="G29" i="4"/>
  <c r="O28" i="4"/>
  <c r="G28" i="4"/>
  <c r="O27" i="4"/>
  <c r="O26" i="4"/>
  <c r="G26" i="4"/>
  <c r="O25" i="4"/>
  <c r="G25" i="4"/>
  <c r="O24" i="4"/>
  <c r="G24" i="4"/>
  <c r="O23" i="4"/>
  <c r="G23" i="4"/>
  <c r="O22" i="4"/>
  <c r="G22" i="4"/>
  <c r="O21" i="4"/>
  <c r="G21" i="4"/>
  <c r="O20" i="4"/>
  <c r="G20" i="4"/>
  <c r="O19" i="4"/>
  <c r="G19" i="4"/>
  <c r="O18" i="4"/>
  <c r="G18" i="4"/>
  <c r="O17" i="4"/>
  <c r="G17" i="4"/>
  <c r="O16" i="4"/>
  <c r="G16" i="4"/>
  <c r="O15" i="4"/>
  <c r="G15" i="4"/>
  <c r="G9" i="4"/>
  <c r="G8" i="4"/>
  <c r="O7" i="4"/>
  <c r="G7" i="4"/>
  <c r="O6" i="4"/>
  <c r="G6" i="4"/>
  <c r="O5" i="4"/>
  <c r="G5" i="4"/>
  <c r="O40" i="3"/>
  <c r="O39" i="3"/>
  <c r="G39" i="3"/>
  <c r="O38" i="3"/>
  <c r="G38" i="3"/>
  <c r="O37" i="3"/>
  <c r="O36" i="3"/>
  <c r="G36" i="3"/>
  <c r="O35" i="3"/>
  <c r="G35" i="3"/>
  <c r="O34" i="3"/>
  <c r="G34" i="3"/>
  <c r="O33" i="3"/>
  <c r="G33" i="3"/>
  <c r="O32" i="3"/>
  <c r="G32" i="3"/>
  <c r="O31" i="3"/>
  <c r="O30" i="3"/>
  <c r="O29" i="3"/>
  <c r="O28" i="3"/>
  <c r="O27" i="3"/>
  <c r="O26" i="3"/>
  <c r="O25" i="3"/>
  <c r="O24" i="3"/>
  <c r="O22" i="3"/>
  <c r="G22" i="3"/>
  <c r="O21" i="3"/>
  <c r="G21" i="3"/>
  <c r="O20" i="3"/>
  <c r="G20" i="3"/>
  <c r="O19" i="3"/>
  <c r="G19" i="3"/>
  <c r="O18" i="3"/>
  <c r="G18" i="3"/>
  <c r="O17" i="3"/>
  <c r="G17" i="3"/>
  <c r="O16" i="3"/>
  <c r="G16" i="3"/>
  <c r="O15" i="3"/>
  <c r="G15" i="3"/>
  <c r="G9" i="3"/>
  <c r="G8" i="3"/>
  <c r="G7" i="3"/>
  <c r="G6" i="3"/>
  <c r="G5" i="3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6" i="2"/>
  <c r="O5" i="2"/>
  <c r="G17" i="2"/>
  <c r="G18" i="2"/>
  <c r="G19" i="2"/>
  <c r="G20" i="2"/>
  <c r="G21" i="2"/>
  <c r="G22" i="2"/>
  <c r="G23" i="2"/>
  <c r="G24" i="2"/>
  <c r="G25" i="2"/>
  <c r="G26" i="2"/>
  <c r="G27" i="2"/>
  <c r="G28" i="2"/>
  <c r="G30" i="2"/>
  <c r="G31" i="2"/>
  <c r="G32" i="2"/>
  <c r="G33" i="2"/>
  <c r="G34" i="2"/>
  <c r="G35" i="2"/>
  <c r="G36" i="2"/>
  <c r="G37" i="2"/>
  <c r="G39" i="2"/>
  <c r="G16" i="2"/>
  <c r="G15" i="2"/>
  <c r="G5" i="2"/>
  <c r="G6" i="2"/>
  <c r="G7" i="2"/>
  <c r="G8" i="2"/>
  <c r="G9" i="2"/>
  <c r="G335" i="5"/>
  <c r="O1245" i="4" l="1"/>
  <c r="O1331" i="4"/>
  <c r="G213" i="4"/>
  <c r="O299" i="4"/>
  <c r="G299" i="3"/>
  <c r="G41" i="3"/>
  <c r="O84" i="3"/>
  <c r="G127" i="4"/>
  <c r="O557" i="4"/>
  <c r="O299" i="3"/>
  <c r="G428" i="4"/>
  <c r="G41" i="5"/>
  <c r="G84" i="3"/>
  <c r="G600" i="4"/>
  <c r="G256" i="4"/>
  <c r="G1116" i="4"/>
  <c r="O1030" i="4"/>
  <c r="O213" i="3"/>
  <c r="O84" i="4"/>
  <c r="O1116" i="4"/>
  <c r="G14" i="5"/>
  <c r="O14" i="5"/>
  <c r="O342" i="4"/>
  <c r="O428" i="2"/>
  <c r="O385" i="2"/>
  <c r="G428" i="3"/>
  <c r="O471" i="3"/>
  <c r="O41" i="3"/>
  <c r="O167" i="7"/>
  <c r="G14" i="6"/>
  <c r="G170" i="3"/>
  <c r="O385" i="3"/>
  <c r="O127" i="3"/>
  <c r="G944" i="4"/>
  <c r="G772" i="4"/>
  <c r="G342" i="4"/>
  <c r="G170" i="4"/>
  <c r="O428" i="4"/>
  <c r="G125" i="5"/>
  <c r="O125" i="7"/>
  <c r="G256" i="2"/>
  <c r="G514" i="4"/>
  <c r="G84" i="4"/>
  <c r="O858" i="4"/>
  <c r="O686" i="4"/>
  <c r="O600" i="4"/>
  <c r="O514" i="4"/>
  <c r="O256" i="4"/>
  <c r="O170" i="4"/>
  <c r="G377" i="5"/>
  <c r="G209" i="5"/>
  <c r="O41" i="5"/>
  <c r="O41" i="6"/>
  <c r="O503" i="6"/>
  <c r="G428" i="2"/>
  <c r="G14" i="2"/>
  <c r="G643" i="2"/>
  <c r="G127" i="2"/>
  <c r="O514" i="2"/>
  <c r="O342" i="2"/>
  <c r="G127" i="3"/>
  <c r="O514" i="3"/>
  <c r="E42" i="7"/>
  <c r="E47" i="7" s="1"/>
  <c r="E56" i="7" s="1"/>
  <c r="E84" i="7" s="1"/>
  <c r="E89" i="7" s="1"/>
  <c r="E98" i="7" s="1"/>
  <c r="E126" i="7" s="1"/>
  <c r="E131" i="7" s="1"/>
  <c r="E140" i="7" s="1"/>
  <c r="E168" i="7" s="1"/>
  <c r="E173" i="7" s="1"/>
  <c r="E182" i="7" s="1"/>
  <c r="E210" i="7" s="1"/>
  <c r="E215" i="7" s="1"/>
  <c r="E224" i="7" s="1"/>
  <c r="E252" i="7" s="1"/>
  <c r="E257" i="7" s="1"/>
  <c r="E266" i="7" s="1"/>
  <c r="E294" i="7" s="1"/>
  <c r="E299" i="7" s="1"/>
  <c r="E308" i="7" s="1"/>
  <c r="E336" i="7" s="1"/>
  <c r="E341" i="7" s="1"/>
  <c r="E350" i="7" s="1"/>
  <c r="E378" i="7" s="1"/>
  <c r="E383" i="7" s="1"/>
  <c r="E392" i="7" s="1"/>
  <c r="E420" i="7" s="1"/>
  <c r="E425" i="7" s="1"/>
  <c r="E434" i="7" s="1"/>
  <c r="E462" i="7" s="1"/>
  <c r="E467" i="7" s="1"/>
  <c r="E476" i="7" s="1"/>
  <c r="E504" i="7" s="1"/>
  <c r="E509" i="7" s="1"/>
  <c r="E518" i="7" s="1"/>
  <c r="E546" i="7" s="1"/>
  <c r="E551" i="7" s="1"/>
  <c r="E560" i="7" s="1"/>
  <c r="E588" i="7" s="1"/>
  <c r="E593" i="7" s="1"/>
  <c r="E602" i="7" s="1"/>
  <c r="E630" i="7" s="1"/>
  <c r="E635" i="7" s="1"/>
  <c r="E644" i="7" s="1"/>
  <c r="E672" i="7" s="1"/>
  <c r="E677" i="7" s="1"/>
  <c r="E686" i="7" s="1"/>
  <c r="E714" i="7" s="1"/>
  <c r="E719" i="7" s="1"/>
  <c r="E728" i="7" s="1"/>
  <c r="E756" i="7" s="1"/>
  <c r="E761" i="7" s="1"/>
  <c r="E770" i="7" s="1"/>
  <c r="E798" i="7" s="1"/>
  <c r="E803" i="7" s="1"/>
  <c r="E812" i="7" s="1"/>
  <c r="E840" i="7" s="1"/>
  <c r="E845" i="7" s="1"/>
  <c r="E854" i="7" s="1"/>
  <c r="E882" i="7" s="1"/>
  <c r="E887" i="7" s="1"/>
  <c r="E896" i="7" s="1"/>
  <c r="E924" i="7" s="1"/>
  <c r="E929" i="7" s="1"/>
  <c r="E938" i="7" s="1"/>
  <c r="E966" i="7" s="1"/>
  <c r="E971" i="7" s="1"/>
  <c r="E980" i="7" s="1"/>
  <c r="E1008" i="7" s="1"/>
  <c r="E1013" i="7" s="1"/>
  <c r="B42" i="7"/>
  <c r="B47" i="7" s="1"/>
  <c r="B56" i="7" s="1"/>
  <c r="B84" i="7" s="1"/>
  <c r="B89" i="7" s="1"/>
  <c r="B98" i="7" s="1"/>
  <c r="B126" i="7" s="1"/>
  <c r="B131" i="7" s="1"/>
  <c r="O293" i="7"/>
  <c r="K42" i="7"/>
  <c r="K47" i="7" s="1"/>
  <c r="K56" i="7" s="1"/>
  <c r="K84" i="7" s="1"/>
  <c r="K89" i="7" s="1"/>
  <c r="K98" i="7" s="1"/>
  <c r="K126" i="7" s="1"/>
  <c r="K131" i="7" s="1"/>
  <c r="K140" i="7" s="1"/>
  <c r="K168" i="7" s="1"/>
  <c r="K173" i="7" s="1"/>
  <c r="K182" i="7" s="1"/>
  <c r="K210" i="7" s="1"/>
  <c r="K215" i="7" s="1"/>
  <c r="K224" i="7" s="1"/>
  <c r="K252" i="7" s="1"/>
  <c r="K257" i="7" s="1"/>
  <c r="K266" i="7" s="1"/>
  <c r="K294" i="7" s="1"/>
  <c r="K299" i="7" s="1"/>
  <c r="K308" i="7" s="1"/>
  <c r="K336" i="7" s="1"/>
  <c r="K341" i="7" s="1"/>
  <c r="K350" i="7" s="1"/>
  <c r="K378" i="7" s="1"/>
  <c r="K383" i="7" s="1"/>
  <c r="K392" i="7" s="1"/>
  <c r="K420" i="7" s="1"/>
  <c r="K425" i="7" s="1"/>
  <c r="K434" i="7" s="1"/>
  <c r="K462" i="7" s="1"/>
  <c r="K467" i="7" s="1"/>
  <c r="K476" i="7" s="1"/>
  <c r="K504" i="7" s="1"/>
  <c r="K509" i="7" s="1"/>
  <c r="K518" i="7" s="1"/>
  <c r="K546" i="7" s="1"/>
  <c r="K551" i="7" s="1"/>
  <c r="K560" i="7" s="1"/>
  <c r="K588" i="7" s="1"/>
  <c r="K593" i="7" s="1"/>
  <c r="K602" i="7" s="1"/>
  <c r="K630" i="7" s="1"/>
  <c r="K635" i="7" s="1"/>
  <c r="K644" i="7" s="1"/>
  <c r="K672" i="7" s="1"/>
  <c r="K677" i="7" s="1"/>
  <c r="K686" i="7" s="1"/>
  <c r="K714" i="7" s="1"/>
  <c r="K719" i="7" s="1"/>
  <c r="K728" i="7" s="1"/>
  <c r="K756" i="7" s="1"/>
  <c r="K761" i="7" s="1"/>
  <c r="K770" i="7" s="1"/>
  <c r="K798" i="7" s="1"/>
  <c r="K803" i="7" s="1"/>
  <c r="K812" i="7" s="1"/>
  <c r="K840" i="7" s="1"/>
  <c r="K845" i="7" s="1"/>
  <c r="K854" i="7" s="1"/>
  <c r="K882" i="7" s="1"/>
  <c r="K887" i="7" s="1"/>
  <c r="K896" i="7" s="1"/>
  <c r="K924" i="7" s="1"/>
  <c r="K929" i="7" s="1"/>
  <c r="K938" i="7" s="1"/>
  <c r="K966" i="7" s="1"/>
  <c r="K971" i="7" s="1"/>
  <c r="K980" i="7" s="1"/>
  <c r="K1008" i="7" s="1"/>
  <c r="K1013" i="7" s="1"/>
  <c r="K1022" i="7" s="1"/>
  <c r="C42" i="2"/>
  <c r="C47" i="2" s="1"/>
  <c r="C57" i="2" s="1"/>
  <c r="C85" i="2" s="1"/>
  <c r="C90" i="2" s="1"/>
  <c r="C100" i="2" s="1"/>
  <c r="C128" i="2" s="1"/>
  <c r="C133" i="2" s="1"/>
  <c r="C143" i="2" s="1"/>
  <c r="C171" i="2" s="1"/>
  <c r="C176" i="2" s="1"/>
  <c r="C186" i="2" s="1"/>
  <c r="C214" i="2" s="1"/>
  <c r="C219" i="2" s="1"/>
  <c r="C229" i="2" s="1"/>
  <c r="C257" i="2" s="1"/>
  <c r="C262" i="2" s="1"/>
  <c r="C272" i="2" s="1"/>
  <c r="C300" i="2" s="1"/>
  <c r="C305" i="2" s="1"/>
  <c r="C315" i="2" s="1"/>
  <c r="C343" i="2" s="1"/>
  <c r="C348" i="2" s="1"/>
  <c r="C358" i="2" s="1"/>
  <c r="C386" i="2" s="1"/>
  <c r="C391" i="2" s="1"/>
  <c r="C401" i="2" s="1"/>
  <c r="C429" i="2" s="1"/>
  <c r="C434" i="2" s="1"/>
  <c r="C444" i="2" s="1"/>
  <c r="C472" i="2" s="1"/>
  <c r="C477" i="2" s="1"/>
  <c r="C487" i="2" s="1"/>
  <c r="C515" i="2" s="1"/>
  <c r="C520" i="2" s="1"/>
  <c r="C530" i="2" s="1"/>
  <c r="C558" i="2" s="1"/>
  <c r="C563" i="2" s="1"/>
  <c r="C573" i="2" s="1"/>
  <c r="C601" i="2" s="1"/>
  <c r="C606" i="2" s="1"/>
  <c r="C616" i="2" s="1"/>
  <c r="C644" i="2" s="1"/>
  <c r="C649" i="2" s="1"/>
  <c r="C659" i="2" s="1"/>
  <c r="C687" i="2" s="1"/>
  <c r="C692" i="2" s="1"/>
  <c r="C702" i="2" s="1"/>
  <c r="C730" i="2" s="1"/>
  <c r="C735" i="2" s="1"/>
  <c r="C745" i="2" s="1"/>
  <c r="C773" i="2" s="1"/>
  <c r="C778" i="2" s="1"/>
  <c r="C788" i="2" s="1"/>
  <c r="C816" i="2" s="1"/>
  <c r="C821" i="2" s="1"/>
  <c r="C831" i="2" s="1"/>
  <c r="C859" i="2" s="1"/>
  <c r="C864" i="2" s="1"/>
  <c r="C874" i="2" s="1"/>
  <c r="C902" i="2" s="1"/>
  <c r="C907" i="2" s="1"/>
  <c r="C917" i="2" s="1"/>
  <c r="C945" i="2" s="1"/>
  <c r="C950" i="2" s="1"/>
  <c r="C960" i="2" s="1"/>
  <c r="C988" i="2" s="1"/>
  <c r="C993" i="2" s="1"/>
  <c r="C1003" i="2" s="1"/>
  <c r="C1031" i="2" s="1"/>
  <c r="O643" i="2"/>
  <c r="O471" i="2"/>
  <c r="K42" i="2"/>
  <c r="K47" i="2" s="1"/>
  <c r="K57" i="2" s="1"/>
  <c r="K85" i="2" s="1"/>
  <c r="K90" i="2" s="1"/>
  <c r="K100" i="2" s="1"/>
  <c r="K128" i="2" s="1"/>
  <c r="K133" i="2" s="1"/>
  <c r="K143" i="2" s="1"/>
  <c r="K171" i="2" s="1"/>
  <c r="K176" i="2" s="1"/>
  <c r="K186" i="2" s="1"/>
  <c r="K214" i="2" s="1"/>
  <c r="K219" i="2" s="1"/>
  <c r="K229" i="2" s="1"/>
  <c r="K257" i="2" s="1"/>
  <c r="K262" i="2" s="1"/>
  <c r="K272" i="2" s="1"/>
  <c r="K300" i="2" s="1"/>
  <c r="K305" i="2" s="1"/>
  <c r="K315" i="2" s="1"/>
  <c r="K343" i="2" s="1"/>
  <c r="K348" i="2" s="1"/>
  <c r="K358" i="2" s="1"/>
  <c r="K386" i="2" s="1"/>
  <c r="K391" i="2" s="1"/>
  <c r="K401" i="2" s="1"/>
  <c r="K429" i="2" s="1"/>
  <c r="K434" i="2" s="1"/>
  <c r="K444" i="2" s="1"/>
  <c r="K472" i="2" s="1"/>
  <c r="K477" i="2" s="1"/>
  <c r="K487" i="2" s="1"/>
  <c r="K515" i="2" s="1"/>
  <c r="K520" i="2" s="1"/>
  <c r="K530" i="2" s="1"/>
  <c r="K558" i="2" s="1"/>
  <c r="K563" i="2" s="1"/>
  <c r="K573" i="2" s="1"/>
  <c r="K601" i="2" s="1"/>
  <c r="K606" i="2" s="1"/>
  <c r="K616" i="2" s="1"/>
  <c r="K644" i="2" s="1"/>
  <c r="K649" i="2" s="1"/>
  <c r="K659" i="2" s="1"/>
  <c r="K687" i="2" s="1"/>
  <c r="K692" i="2" s="1"/>
  <c r="K702" i="2" s="1"/>
  <c r="K730" i="2" s="1"/>
  <c r="K735" i="2" s="1"/>
  <c r="K745" i="2" s="1"/>
  <c r="K773" i="2" s="1"/>
  <c r="K778" i="2" s="1"/>
  <c r="K788" i="2" s="1"/>
  <c r="K816" i="2" s="1"/>
  <c r="K821" i="2" s="1"/>
  <c r="K831" i="2" s="1"/>
  <c r="K859" i="2" s="1"/>
  <c r="K864" i="2" s="1"/>
  <c r="K874" i="2" s="1"/>
  <c r="K902" i="2" s="1"/>
  <c r="K907" i="2" s="1"/>
  <c r="K917" i="2" s="1"/>
  <c r="K945" i="2" s="1"/>
  <c r="K950" i="2" s="1"/>
  <c r="K960" i="2" s="1"/>
  <c r="K988" i="2" s="1"/>
  <c r="G14" i="3"/>
  <c r="O557" i="3"/>
  <c r="G471" i="4"/>
  <c r="O729" i="4"/>
  <c r="O643" i="4"/>
  <c r="O127" i="4"/>
  <c r="O41" i="4"/>
  <c r="G83" i="7"/>
  <c r="G41" i="6"/>
  <c r="O209" i="6"/>
  <c r="O14" i="6"/>
  <c r="G471" i="2"/>
  <c r="G385" i="2"/>
  <c r="G213" i="2"/>
  <c r="G170" i="2"/>
  <c r="O299" i="2"/>
  <c r="O127" i="2"/>
  <c r="O686" i="2"/>
  <c r="O600" i="2"/>
  <c r="O256" i="2"/>
  <c r="O170" i="2"/>
  <c r="O84" i="2"/>
  <c r="O41" i="7"/>
  <c r="G385" i="3"/>
  <c r="G213" i="3"/>
  <c r="O428" i="3"/>
  <c r="G1288" i="4"/>
  <c r="G1202" i="4"/>
  <c r="G1030" i="4"/>
  <c r="G858" i="4"/>
  <c r="G686" i="4"/>
  <c r="O1288" i="4"/>
  <c r="O1202" i="4"/>
  <c r="O944" i="4"/>
  <c r="O772" i="4"/>
  <c r="G461" i="5"/>
  <c r="G293" i="5"/>
  <c r="O377" i="5"/>
  <c r="O293" i="5"/>
  <c r="O209" i="5"/>
  <c r="O125" i="5"/>
  <c r="C42" i="7"/>
  <c r="C47" i="7" s="1"/>
  <c r="C56" i="7" s="1"/>
  <c r="C84" i="7" s="1"/>
  <c r="C89" i="7" s="1"/>
  <c r="C98" i="7" s="1"/>
  <c r="C126" i="7" s="1"/>
  <c r="C131" i="7" s="1"/>
  <c r="C140" i="7" s="1"/>
  <c r="C168" i="7" s="1"/>
  <c r="C173" i="7" s="1"/>
  <c r="C182" i="7" s="1"/>
  <c r="C210" i="7" s="1"/>
  <c r="C215" i="7" s="1"/>
  <c r="C224" i="7" s="1"/>
  <c r="C252" i="7" s="1"/>
  <c r="C257" i="7" s="1"/>
  <c r="C266" i="7" s="1"/>
  <c r="C294" i="7" s="1"/>
  <c r="C299" i="7" s="1"/>
  <c r="C308" i="7" s="1"/>
  <c r="C336" i="7" s="1"/>
  <c r="C341" i="7" s="1"/>
  <c r="C350" i="7" s="1"/>
  <c r="C378" i="7" s="1"/>
  <c r="C383" i="7" s="1"/>
  <c r="C392" i="7" s="1"/>
  <c r="C420" i="7" s="1"/>
  <c r="C425" i="7" s="1"/>
  <c r="C434" i="7" s="1"/>
  <c r="C462" i="7" s="1"/>
  <c r="C467" i="7" s="1"/>
  <c r="C476" i="7" s="1"/>
  <c r="C504" i="7" s="1"/>
  <c r="C509" i="7" s="1"/>
  <c r="C518" i="7" s="1"/>
  <c r="C546" i="7" s="1"/>
  <c r="C551" i="7" s="1"/>
  <c r="C560" i="7" s="1"/>
  <c r="C588" i="7" s="1"/>
  <c r="C593" i="7" s="1"/>
  <c r="C602" i="7" s="1"/>
  <c r="C630" i="7" s="1"/>
  <c r="C635" i="7" s="1"/>
  <c r="C644" i="7" s="1"/>
  <c r="C672" i="7" s="1"/>
  <c r="C677" i="7" s="1"/>
  <c r="C686" i="7" s="1"/>
  <c r="C714" i="7" s="1"/>
  <c r="C719" i="7" s="1"/>
  <c r="C728" i="7" s="1"/>
  <c r="C756" i="7" s="1"/>
  <c r="C761" i="7" s="1"/>
  <c r="L42" i="7"/>
  <c r="L47" i="7" s="1"/>
  <c r="L56" i="7" s="1"/>
  <c r="L84" i="7" s="1"/>
  <c r="L89" i="7" s="1"/>
  <c r="L98" i="7" s="1"/>
  <c r="L126" i="7" s="1"/>
  <c r="L131" i="7" s="1"/>
  <c r="L140" i="7" s="1"/>
  <c r="L168" i="7" s="1"/>
  <c r="L173" i="7" s="1"/>
  <c r="L182" i="7" s="1"/>
  <c r="L210" i="7" s="1"/>
  <c r="L215" i="7" s="1"/>
  <c r="L224" i="7" s="1"/>
  <c r="L252" i="7" s="1"/>
  <c r="L257" i="7" s="1"/>
  <c r="L266" i="7" s="1"/>
  <c r="L294" i="7" s="1"/>
  <c r="L299" i="7" s="1"/>
  <c r="L308" i="7" s="1"/>
  <c r="L336" i="7" s="1"/>
  <c r="L341" i="7" s="1"/>
  <c r="L350" i="7" s="1"/>
  <c r="L378" i="7" s="1"/>
  <c r="L383" i="7" s="1"/>
  <c r="L392" i="7" s="1"/>
  <c r="L420" i="7" s="1"/>
  <c r="L425" i="7" s="1"/>
  <c r="L434" i="7" s="1"/>
  <c r="L462" i="7" s="1"/>
  <c r="L467" i="7" s="1"/>
  <c r="L476" i="7" s="1"/>
  <c r="L504" i="7" s="1"/>
  <c r="L509" i="7" s="1"/>
  <c r="L518" i="7" s="1"/>
  <c r="L546" i="7" s="1"/>
  <c r="L551" i="7" s="1"/>
  <c r="L560" i="7" s="1"/>
  <c r="L588" i="7" s="1"/>
  <c r="L593" i="7" s="1"/>
  <c r="L602" i="7" s="1"/>
  <c r="L630" i="7" s="1"/>
  <c r="L635" i="7" s="1"/>
  <c r="L644" i="7" s="1"/>
  <c r="L672" i="7" s="1"/>
  <c r="L677" i="7" s="1"/>
  <c r="L686" i="7" s="1"/>
  <c r="L714" i="7" s="1"/>
  <c r="L719" i="7" s="1"/>
  <c r="L728" i="7" s="1"/>
  <c r="L756" i="7" s="1"/>
  <c r="L761" i="7" s="1"/>
  <c r="L770" i="7" s="1"/>
  <c r="L798" i="7" s="1"/>
  <c r="L803" i="7" s="1"/>
  <c r="L812" i="7" s="1"/>
  <c r="L840" i="7" s="1"/>
  <c r="L845" i="7" s="1"/>
  <c r="L854" i="7" s="1"/>
  <c r="L882" i="7" s="1"/>
  <c r="L887" i="7" s="1"/>
  <c r="L896" i="7" s="1"/>
  <c r="L924" i="7" s="1"/>
  <c r="L929" i="7" s="1"/>
  <c r="L938" i="7" s="1"/>
  <c r="L966" i="7" s="1"/>
  <c r="L971" i="7" s="1"/>
  <c r="L980" i="7" s="1"/>
  <c r="L1008" i="7" s="1"/>
  <c r="L1013" i="7" s="1"/>
  <c r="L1022" i="7" s="1"/>
  <c r="J42" i="7"/>
  <c r="J47" i="7" s="1"/>
  <c r="J56" i="7" s="1"/>
  <c r="J84" i="7" s="1"/>
  <c r="J89" i="7" s="1"/>
  <c r="J98" i="7" s="1"/>
  <c r="J126" i="7" s="1"/>
  <c r="J131" i="7" s="1"/>
  <c r="G209" i="6"/>
  <c r="O251" i="6"/>
  <c r="O167" i="6"/>
  <c r="O293" i="6"/>
  <c r="G729" i="2"/>
  <c r="G557" i="2"/>
  <c r="L42" i="2"/>
  <c r="L47" i="2" s="1"/>
  <c r="L57" i="2" s="1"/>
  <c r="L85" i="2" s="1"/>
  <c r="L90" i="2" s="1"/>
  <c r="L100" i="2" s="1"/>
  <c r="L128" i="2" s="1"/>
  <c r="L133" i="2" s="1"/>
  <c r="L143" i="2" s="1"/>
  <c r="L171" i="2" s="1"/>
  <c r="L176" i="2" s="1"/>
  <c r="L186" i="2" s="1"/>
  <c r="L214" i="2" s="1"/>
  <c r="L219" i="2" s="1"/>
  <c r="L229" i="2" s="1"/>
  <c r="L257" i="2" s="1"/>
  <c r="L262" i="2" s="1"/>
  <c r="L272" i="2" s="1"/>
  <c r="L300" i="2" s="1"/>
  <c r="L305" i="2" s="1"/>
  <c r="L315" i="2" s="1"/>
  <c r="L343" i="2" s="1"/>
  <c r="L348" i="2" s="1"/>
  <c r="L358" i="2" s="1"/>
  <c r="L386" i="2" s="1"/>
  <c r="L391" i="2" s="1"/>
  <c r="L401" i="2" s="1"/>
  <c r="L429" i="2" s="1"/>
  <c r="L434" i="2" s="1"/>
  <c r="L444" i="2" s="1"/>
  <c r="L472" i="2" s="1"/>
  <c r="L477" i="2" s="1"/>
  <c r="L487" i="2" s="1"/>
  <c r="L515" i="2" s="1"/>
  <c r="L520" i="2" s="1"/>
  <c r="L530" i="2" s="1"/>
  <c r="L558" i="2" s="1"/>
  <c r="L563" i="2" s="1"/>
  <c r="L573" i="2" s="1"/>
  <c r="L601" i="2" s="1"/>
  <c r="L606" i="2" s="1"/>
  <c r="L616" i="2" s="1"/>
  <c r="L644" i="2" s="1"/>
  <c r="L649" i="2" s="1"/>
  <c r="L659" i="2" s="1"/>
  <c r="L687" i="2" s="1"/>
  <c r="L692" i="2" s="1"/>
  <c r="L702" i="2" s="1"/>
  <c r="L730" i="2" s="1"/>
  <c r="L735" i="2" s="1"/>
  <c r="G377" i="7"/>
  <c r="G125" i="7"/>
  <c r="G686" i="2"/>
  <c r="O772" i="2"/>
  <c r="O14" i="4"/>
  <c r="G335" i="7"/>
  <c r="G251" i="7"/>
  <c r="G167" i="7"/>
  <c r="N42" i="7"/>
  <c r="N47" i="7" s="1"/>
  <c r="N56" i="7" s="1"/>
  <c r="N84" i="7" s="1"/>
  <c r="N89" i="7" s="1"/>
  <c r="N98" i="7" s="1"/>
  <c r="N126" i="7" s="1"/>
  <c r="N131" i="7" s="1"/>
  <c r="N140" i="7" s="1"/>
  <c r="N168" i="7" s="1"/>
  <c r="N173" i="7" s="1"/>
  <c r="N182" i="7" s="1"/>
  <c r="N210" i="7" s="1"/>
  <c r="N215" i="7" s="1"/>
  <c r="N224" i="7" s="1"/>
  <c r="N252" i="7" s="1"/>
  <c r="N257" i="7" s="1"/>
  <c r="N266" i="7" s="1"/>
  <c r="N294" i="7" s="1"/>
  <c r="N299" i="7" s="1"/>
  <c r="N308" i="7" s="1"/>
  <c r="N336" i="7" s="1"/>
  <c r="N341" i="7" s="1"/>
  <c r="N350" i="7" s="1"/>
  <c r="N378" i="7" s="1"/>
  <c r="N383" i="7" s="1"/>
  <c r="N392" i="7" s="1"/>
  <c r="N420" i="7" s="1"/>
  <c r="N425" i="7" s="1"/>
  <c r="N434" i="7" s="1"/>
  <c r="N462" i="7" s="1"/>
  <c r="N467" i="7" s="1"/>
  <c r="N476" i="7" s="1"/>
  <c r="N504" i="7" s="1"/>
  <c r="N509" i="7" s="1"/>
  <c r="N518" i="7" s="1"/>
  <c r="N546" i="7" s="1"/>
  <c r="N551" i="7" s="1"/>
  <c r="N560" i="7" s="1"/>
  <c r="N588" i="7" s="1"/>
  <c r="N593" i="7" s="1"/>
  <c r="N602" i="7" s="1"/>
  <c r="N630" i="7" s="1"/>
  <c r="N635" i="7" s="1"/>
  <c r="N644" i="7" s="1"/>
  <c r="N672" i="7" s="1"/>
  <c r="N677" i="7" s="1"/>
  <c r="N686" i="7" s="1"/>
  <c r="N714" i="7" s="1"/>
  <c r="N719" i="7" s="1"/>
  <c r="N728" i="7" s="1"/>
  <c r="N756" i="7" s="1"/>
  <c r="N761" i="7" s="1"/>
  <c r="N770" i="7" s="1"/>
  <c r="N798" i="7" s="1"/>
  <c r="N803" i="7" s="1"/>
  <c r="N812" i="7" s="1"/>
  <c r="N840" i="7" s="1"/>
  <c r="N845" i="7" s="1"/>
  <c r="N854" i="7" s="1"/>
  <c r="N882" i="7" s="1"/>
  <c r="N887" i="7" s="1"/>
  <c r="N896" i="7" s="1"/>
  <c r="N924" i="7" s="1"/>
  <c r="N929" i="7" s="1"/>
  <c r="N938" i="7" s="1"/>
  <c r="N966" i="7" s="1"/>
  <c r="N971" i="7" s="1"/>
  <c r="N980" i="7" s="1"/>
  <c r="N1008" i="7" s="1"/>
  <c r="N1013" i="7" s="1"/>
  <c r="N1022" i="7" s="1"/>
  <c r="N1050" i="7" s="1"/>
  <c r="N1055" i="7" s="1"/>
  <c r="N1064" i="7" s="1"/>
  <c r="N1092" i="7" s="1"/>
  <c r="O377" i="7"/>
  <c r="O335" i="7"/>
  <c r="O251" i="7"/>
  <c r="O83" i="7"/>
  <c r="K42" i="6"/>
  <c r="K47" i="6" s="1"/>
  <c r="K56" i="6" s="1"/>
  <c r="K84" i="6" s="1"/>
  <c r="K89" i="6" s="1"/>
  <c r="K98" i="6" s="1"/>
  <c r="K126" i="6" s="1"/>
  <c r="K131" i="6" s="1"/>
  <c r="K140" i="6" s="1"/>
  <c r="K168" i="6" s="1"/>
  <c r="K173" i="6" s="1"/>
  <c r="K182" i="6" s="1"/>
  <c r="K210" i="6" s="1"/>
  <c r="K215" i="6" s="1"/>
  <c r="K224" i="6" s="1"/>
  <c r="K252" i="6" s="1"/>
  <c r="K257" i="6" s="1"/>
  <c r="K266" i="6" s="1"/>
  <c r="K294" i="6" s="1"/>
  <c r="K299" i="6" s="1"/>
  <c r="K308" i="6" s="1"/>
  <c r="K336" i="6" s="1"/>
  <c r="K341" i="6" s="1"/>
  <c r="K350" i="6" s="1"/>
  <c r="K378" i="6" s="1"/>
  <c r="K383" i="6" s="1"/>
  <c r="K392" i="6" s="1"/>
  <c r="K420" i="6" s="1"/>
  <c r="K425" i="6" s="1"/>
  <c r="K434" i="6" s="1"/>
  <c r="K462" i="6" s="1"/>
  <c r="K467" i="6" s="1"/>
  <c r="K476" i="6" s="1"/>
  <c r="K504" i="6" s="1"/>
  <c r="K509" i="6" s="1"/>
  <c r="K518" i="6" s="1"/>
  <c r="K546" i="6" s="1"/>
  <c r="K551" i="6" s="1"/>
  <c r="K560" i="6" s="1"/>
  <c r="K588" i="6" s="1"/>
  <c r="K593" i="6" s="1"/>
  <c r="K602" i="6" s="1"/>
  <c r="K630" i="6" s="1"/>
  <c r="K635" i="6" s="1"/>
  <c r="K644" i="6" s="1"/>
  <c r="K672" i="6" s="1"/>
  <c r="K677" i="6" s="1"/>
  <c r="K686" i="6" s="1"/>
  <c r="K714" i="6" s="1"/>
  <c r="K719" i="6" s="1"/>
  <c r="K728" i="6" s="1"/>
  <c r="K756" i="6" s="1"/>
  <c r="K761" i="6" s="1"/>
  <c r="K770" i="6" s="1"/>
  <c r="K798" i="6" s="1"/>
  <c r="K803" i="6" s="1"/>
  <c r="K812" i="6" s="1"/>
  <c r="K840" i="6" s="1"/>
  <c r="K845" i="6" s="1"/>
  <c r="K854" i="6" s="1"/>
  <c r="K882" i="6" s="1"/>
  <c r="K887" i="6" s="1"/>
  <c r="K896" i="6" s="1"/>
  <c r="K924" i="6" s="1"/>
  <c r="K929" i="6" s="1"/>
  <c r="K938" i="6" s="1"/>
  <c r="K966" i="6" s="1"/>
  <c r="K971" i="6" s="1"/>
  <c r="K980" i="6" s="1"/>
  <c r="K1008" i="6" s="1"/>
  <c r="K1013" i="6" s="1"/>
  <c r="K1022" i="6" s="1"/>
  <c r="K1050" i="6" s="1"/>
  <c r="K1055" i="6" s="1"/>
  <c r="K1064" i="6" s="1"/>
  <c r="K1092" i="6" s="1"/>
  <c r="K1097" i="6" s="1"/>
  <c r="K1106" i="6" s="1"/>
  <c r="K1134" i="6" s="1"/>
  <c r="K1139" i="6" s="1"/>
  <c r="K1148" i="6" s="1"/>
  <c r="K1176" i="6" s="1"/>
  <c r="K1181" i="6" s="1"/>
  <c r="K1190" i="6" s="1"/>
  <c r="K1218" i="6" s="1"/>
  <c r="K1223" i="6" s="1"/>
  <c r="K1232" i="6" s="1"/>
  <c r="K1260" i="6" s="1"/>
  <c r="K1265" i="6" s="1"/>
  <c r="K1274" i="6" s="1"/>
  <c r="K1302" i="6" s="1"/>
  <c r="K1307" i="6" s="1"/>
  <c r="K1316" i="6" s="1"/>
  <c r="K1344" i="6" s="1"/>
  <c r="K1349" i="6" s="1"/>
  <c r="K1358" i="6" s="1"/>
  <c r="K1386" i="6" s="1"/>
  <c r="K1391" i="6" s="1"/>
  <c r="K1400" i="6" s="1"/>
  <c r="K1428" i="6" s="1"/>
  <c r="K1433" i="6" s="1"/>
  <c r="K1442" i="6" s="1"/>
  <c r="K1470" i="6" s="1"/>
  <c r="K1475" i="6" s="1"/>
  <c r="K1484" i="6" s="1"/>
  <c r="K1512" i="6" s="1"/>
  <c r="K1517" i="6" s="1"/>
  <c r="K1526" i="6" s="1"/>
  <c r="K1554" i="6" s="1"/>
  <c r="G772" i="2"/>
  <c r="M42" i="2"/>
  <c r="M47" i="2" s="1"/>
  <c r="M57" i="2" s="1"/>
  <c r="M85" i="2" s="1"/>
  <c r="M90" i="2" s="1"/>
  <c r="M100" i="2" s="1"/>
  <c r="M128" i="2" s="1"/>
  <c r="M133" i="2" s="1"/>
  <c r="M143" i="2" s="1"/>
  <c r="M171" i="2" s="1"/>
  <c r="M176" i="2" s="1"/>
  <c r="M186" i="2" s="1"/>
  <c r="M214" i="2" s="1"/>
  <c r="M219" i="2" s="1"/>
  <c r="M229" i="2" s="1"/>
  <c r="M257" i="2" s="1"/>
  <c r="M262" i="2" s="1"/>
  <c r="M272" i="2" s="1"/>
  <c r="M300" i="2" s="1"/>
  <c r="M305" i="2" s="1"/>
  <c r="M315" i="2" s="1"/>
  <c r="M343" i="2" s="1"/>
  <c r="M348" i="2" s="1"/>
  <c r="M358" i="2" s="1"/>
  <c r="M386" i="2" s="1"/>
  <c r="M391" i="2" s="1"/>
  <c r="M401" i="2" s="1"/>
  <c r="M429" i="2" s="1"/>
  <c r="M434" i="2" s="1"/>
  <c r="M444" i="2" s="1"/>
  <c r="M472" i="2" s="1"/>
  <c r="M477" i="2" s="1"/>
  <c r="M487" i="2" s="1"/>
  <c r="M515" i="2" s="1"/>
  <c r="M520" i="2" s="1"/>
  <c r="M530" i="2" s="1"/>
  <c r="M558" i="2" s="1"/>
  <c r="M563" i="2" s="1"/>
  <c r="M573" i="2" s="1"/>
  <c r="M601" i="2" s="1"/>
  <c r="M606" i="2" s="1"/>
  <c r="M616" i="2" s="1"/>
  <c r="M644" i="2" s="1"/>
  <c r="M649" i="2" s="1"/>
  <c r="M659" i="2" s="1"/>
  <c r="M687" i="2" s="1"/>
  <c r="M692" i="2" s="1"/>
  <c r="M702" i="2" s="1"/>
  <c r="M730" i="2" s="1"/>
  <c r="M735" i="2" s="1"/>
  <c r="M745" i="2" s="1"/>
  <c r="M773" i="2" s="1"/>
  <c r="M778" i="2" s="1"/>
  <c r="M788" i="2" s="1"/>
  <c r="M816" i="2" s="1"/>
  <c r="M821" i="2" s="1"/>
  <c r="M831" i="2" s="1"/>
  <c r="M859" i="2" s="1"/>
  <c r="M864" i="2" s="1"/>
  <c r="M874" i="2" s="1"/>
  <c r="M902" i="2" s="1"/>
  <c r="M907" i="2" s="1"/>
  <c r="M917" i="2" s="1"/>
  <c r="M945" i="2" s="1"/>
  <c r="M950" i="2" s="1"/>
  <c r="M960" i="2" s="1"/>
  <c r="M988" i="2" s="1"/>
  <c r="G600" i="2"/>
  <c r="G514" i="2"/>
  <c r="G342" i="2"/>
  <c r="D42" i="3"/>
  <c r="D47" i="3" s="1"/>
  <c r="D57" i="3" s="1"/>
  <c r="D85" i="3" s="1"/>
  <c r="D90" i="3" s="1"/>
  <c r="D100" i="3" s="1"/>
  <c r="D128" i="3" s="1"/>
  <c r="D133" i="3" s="1"/>
  <c r="D143" i="3" s="1"/>
  <c r="D171" i="3" s="1"/>
  <c r="D176" i="3" s="1"/>
  <c r="D186" i="3" s="1"/>
  <c r="D214" i="3" s="1"/>
  <c r="D219" i="3" s="1"/>
  <c r="D229" i="3" s="1"/>
  <c r="D257" i="3" s="1"/>
  <c r="D262" i="3" s="1"/>
  <c r="D272" i="3" s="1"/>
  <c r="D300" i="3" s="1"/>
  <c r="D305" i="3" s="1"/>
  <c r="D315" i="3" s="1"/>
  <c r="D343" i="3" s="1"/>
  <c r="D348" i="3" s="1"/>
  <c r="D358" i="3" s="1"/>
  <c r="D386" i="3" s="1"/>
  <c r="D391" i="3" s="1"/>
  <c r="D401" i="3" s="1"/>
  <c r="D429" i="3" s="1"/>
  <c r="D434" i="3" s="1"/>
  <c r="D444" i="3" s="1"/>
  <c r="D472" i="3" s="1"/>
  <c r="D477" i="3" s="1"/>
  <c r="D487" i="3" s="1"/>
  <c r="D515" i="3" s="1"/>
  <c r="D520" i="3" s="1"/>
  <c r="D530" i="3" s="1"/>
  <c r="D558" i="3" s="1"/>
  <c r="D563" i="3" s="1"/>
  <c r="D573" i="3" s="1"/>
  <c r="D601" i="3" s="1"/>
  <c r="D606" i="3" s="1"/>
  <c r="D616" i="3" s="1"/>
  <c r="D644" i="3" s="1"/>
  <c r="D649" i="3" s="1"/>
  <c r="D659" i="3" s="1"/>
  <c r="D687" i="3" s="1"/>
  <c r="D692" i="3" s="1"/>
  <c r="D702" i="3" s="1"/>
  <c r="D730" i="3" s="1"/>
  <c r="D735" i="3" s="1"/>
  <c r="D745" i="3" s="1"/>
  <c r="D773" i="3" s="1"/>
  <c r="D778" i="3" s="1"/>
  <c r="D788" i="3" s="1"/>
  <c r="D816" i="3" s="1"/>
  <c r="D821" i="3" s="1"/>
  <c r="D831" i="3" s="1"/>
  <c r="D859" i="3" s="1"/>
  <c r="D864" i="3" s="1"/>
  <c r="D874" i="3" s="1"/>
  <c r="D902" i="3" s="1"/>
  <c r="D907" i="3" s="1"/>
  <c r="G14" i="7"/>
  <c r="O14" i="7"/>
  <c r="G643" i="3"/>
  <c r="G815" i="4"/>
  <c r="O901" i="4"/>
  <c r="O815" i="4"/>
  <c r="G167" i="5"/>
  <c r="O419" i="5"/>
  <c r="O251" i="5"/>
  <c r="G419" i="7"/>
  <c r="G293" i="7"/>
  <c r="O209" i="7"/>
  <c r="G461" i="6"/>
  <c r="G377" i="6"/>
  <c r="O419" i="6"/>
  <c r="O335" i="6"/>
  <c r="G84" i="2"/>
  <c r="G471" i="3"/>
  <c r="O600" i="3"/>
  <c r="O342" i="3"/>
  <c r="O256" i="3"/>
  <c r="O170" i="3"/>
  <c r="G1245" i="4"/>
  <c r="G1159" i="4"/>
  <c r="G1073" i="4"/>
  <c r="G987" i="4"/>
  <c r="G901" i="4"/>
  <c r="G729" i="4"/>
  <c r="G643" i="4"/>
  <c r="G557" i="4"/>
  <c r="G385" i="4"/>
  <c r="G299" i="4"/>
  <c r="G41" i="4"/>
  <c r="O1159" i="4"/>
  <c r="O1073" i="4"/>
  <c r="O987" i="4"/>
  <c r="O471" i="4"/>
  <c r="O385" i="4"/>
  <c r="O213" i="4"/>
  <c r="G419" i="5"/>
  <c r="G251" i="5"/>
  <c r="O167" i="5"/>
  <c r="O83" i="5"/>
  <c r="F42" i="7"/>
  <c r="F47" i="7" s="1"/>
  <c r="F56" i="7" s="1"/>
  <c r="F84" i="7" s="1"/>
  <c r="F89" i="7" s="1"/>
  <c r="F98" i="7" s="1"/>
  <c r="F126" i="7" s="1"/>
  <c r="F131" i="7" s="1"/>
  <c r="F140" i="7" s="1"/>
  <c r="F168" i="7" s="1"/>
  <c r="F173" i="7" s="1"/>
  <c r="F182" i="7" s="1"/>
  <c r="F210" i="7" s="1"/>
  <c r="F215" i="7" s="1"/>
  <c r="F224" i="7" s="1"/>
  <c r="F252" i="7" s="1"/>
  <c r="F257" i="7" s="1"/>
  <c r="F266" i="7" s="1"/>
  <c r="F294" i="7" s="1"/>
  <c r="F299" i="7" s="1"/>
  <c r="F308" i="7" s="1"/>
  <c r="F336" i="7" s="1"/>
  <c r="F341" i="7" s="1"/>
  <c r="F350" i="7" s="1"/>
  <c r="F378" i="7" s="1"/>
  <c r="F383" i="7" s="1"/>
  <c r="F392" i="7" s="1"/>
  <c r="F420" i="7" s="1"/>
  <c r="F425" i="7" s="1"/>
  <c r="F434" i="7" s="1"/>
  <c r="F462" i="7" s="1"/>
  <c r="F467" i="7" s="1"/>
  <c r="F476" i="7" s="1"/>
  <c r="F504" i="7" s="1"/>
  <c r="F509" i="7" s="1"/>
  <c r="F518" i="7" s="1"/>
  <c r="F546" i="7" s="1"/>
  <c r="F551" i="7" s="1"/>
  <c r="F560" i="7" s="1"/>
  <c r="F588" i="7" s="1"/>
  <c r="F593" i="7" s="1"/>
  <c r="F602" i="7" s="1"/>
  <c r="F630" i="7" s="1"/>
  <c r="F635" i="7" s="1"/>
  <c r="F644" i="7" s="1"/>
  <c r="F672" i="7" s="1"/>
  <c r="F677" i="7" s="1"/>
  <c r="F686" i="7" s="1"/>
  <c r="F714" i="7" s="1"/>
  <c r="F719" i="7" s="1"/>
  <c r="F728" i="7" s="1"/>
  <c r="F756" i="7" s="1"/>
  <c r="F761" i="7" s="1"/>
  <c r="F770" i="7" s="1"/>
  <c r="F798" i="7" s="1"/>
  <c r="F803" i="7" s="1"/>
  <c r="F812" i="7" s="1"/>
  <c r="F840" i="7" s="1"/>
  <c r="F845" i="7" s="1"/>
  <c r="F854" i="7" s="1"/>
  <c r="F882" i="7" s="1"/>
  <c r="F887" i="7" s="1"/>
  <c r="F896" i="7" s="1"/>
  <c r="F924" i="7" s="1"/>
  <c r="F929" i="7" s="1"/>
  <c r="F938" i="7" s="1"/>
  <c r="F966" i="7" s="1"/>
  <c r="F971" i="7" s="1"/>
  <c r="F980" i="7" s="1"/>
  <c r="F1008" i="7" s="1"/>
  <c r="F1013" i="7" s="1"/>
  <c r="F1022" i="7" s="1"/>
  <c r="F1050" i="7" s="1"/>
  <c r="G41" i="7"/>
  <c r="G209" i="7"/>
  <c r="G293" i="6"/>
  <c r="G125" i="6"/>
  <c r="G503" i="6"/>
  <c r="G419" i="6"/>
  <c r="G335" i="6"/>
  <c r="G251" i="6"/>
  <c r="G167" i="6"/>
  <c r="G83" i="6"/>
  <c r="O461" i="6"/>
  <c r="O377" i="6"/>
  <c r="O125" i="6"/>
  <c r="O83" i="6"/>
  <c r="G815" i="2"/>
  <c r="G299" i="2"/>
  <c r="G41" i="2"/>
  <c r="O14" i="2"/>
  <c r="O815" i="2"/>
  <c r="O729" i="2"/>
  <c r="O557" i="2"/>
  <c r="O213" i="2"/>
  <c r="J42" i="2"/>
  <c r="J47" i="2" s="1"/>
  <c r="J57" i="2" s="1"/>
  <c r="J85" i="2" s="1"/>
  <c r="J90" i="2" s="1"/>
  <c r="J100" i="2" s="1"/>
  <c r="J128" i="2" s="1"/>
  <c r="J133" i="2" s="1"/>
  <c r="O41" i="2"/>
  <c r="G514" i="3"/>
  <c r="G342" i="3"/>
  <c r="G256" i="3"/>
  <c r="F42" i="3"/>
  <c r="F47" i="3" s="1"/>
  <c r="F57" i="3" s="1"/>
  <c r="F85" i="3" s="1"/>
  <c r="F90" i="3" s="1"/>
  <c r="F100" i="3" s="1"/>
  <c r="F128" i="3" s="1"/>
  <c r="F133" i="3" s="1"/>
  <c r="F143" i="3" s="1"/>
  <c r="F171" i="3" s="1"/>
  <c r="F176" i="3" s="1"/>
  <c r="F186" i="3" s="1"/>
  <c r="F214" i="3" s="1"/>
  <c r="F219" i="3" s="1"/>
  <c r="F229" i="3" s="1"/>
  <c r="F257" i="3" s="1"/>
  <c r="F262" i="3" s="1"/>
  <c r="F272" i="3" s="1"/>
  <c r="F300" i="3" s="1"/>
  <c r="F305" i="3" s="1"/>
  <c r="F315" i="3" s="1"/>
  <c r="F343" i="3" s="1"/>
  <c r="F348" i="3" s="1"/>
  <c r="F358" i="3" s="1"/>
  <c r="F386" i="3" s="1"/>
  <c r="F391" i="3" s="1"/>
  <c r="F401" i="3" s="1"/>
  <c r="F429" i="3" s="1"/>
  <c r="F434" i="3" s="1"/>
  <c r="F444" i="3" s="1"/>
  <c r="F472" i="3" s="1"/>
  <c r="F477" i="3" s="1"/>
  <c r="F487" i="3" s="1"/>
  <c r="F515" i="3" s="1"/>
  <c r="F520" i="3" s="1"/>
  <c r="F530" i="3" s="1"/>
  <c r="F558" i="3" s="1"/>
  <c r="F563" i="3" s="1"/>
  <c r="F573" i="3" s="1"/>
  <c r="F601" i="3" s="1"/>
  <c r="F606" i="3" s="1"/>
  <c r="F616" i="3" s="1"/>
  <c r="F644" i="3" s="1"/>
  <c r="F649" i="3" s="1"/>
  <c r="F659" i="3" s="1"/>
  <c r="F687" i="3" s="1"/>
  <c r="F692" i="3" s="1"/>
  <c r="F702" i="3" s="1"/>
  <c r="F730" i="3" s="1"/>
  <c r="F735" i="3" s="1"/>
  <c r="F745" i="3" s="1"/>
  <c r="F773" i="3" s="1"/>
  <c r="F778" i="3" s="1"/>
  <c r="F788" i="3" s="1"/>
  <c r="F816" i="3" s="1"/>
  <c r="F821" i="3" s="1"/>
  <c r="F831" i="3" s="1"/>
  <c r="F859" i="3" s="1"/>
  <c r="F864" i="3" s="1"/>
  <c r="F874" i="3" s="1"/>
  <c r="F902" i="3" s="1"/>
  <c r="F907" i="3" s="1"/>
  <c r="F917" i="3" s="1"/>
  <c r="F945" i="3" s="1"/>
  <c r="F950" i="3" s="1"/>
  <c r="F960" i="3" s="1"/>
  <c r="F988" i="3" s="1"/>
  <c r="F993" i="3" s="1"/>
  <c r="F1003" i="3" s="1"/>
  <c r="F1031" i="3" s="1"/>
  <c r="F1036" i="3" s="1"/>
  <c r="F1046" i="3" s="1"/>
  <c r="F1074" i="3" s="1"/>
  <c r="E42" i="3"/>
  <c r="E47" i="3" s="1"/>
  <c r="E57" i="3" s="1"/>
  <c r="E85" i="3" s="1"/>
  <c r="E90" i="3" s="1"/>
  <c r="E100" i="3" s="1"/>
  <c r="E128" i="3" s="1"/>
  <c r="E133" i="3" s="1"/>
  <c r="E143" i="3" s="1"/>
  <c r="E171" i="3" s="1"/>
  <c r="E176" i="3" s="1"/>
  <c r="E186" i="3" s="1"/>
  <c r="E214" i="3" s="1"/>
  <c r="E219" i="3" s="1"/>
  <c r="E229" i="3" s="1"/>
  <c r="E257" i="3" s="1"/>
  <c r="E262" i="3" s="1"/>
  <c r="E272" i="3" s="1"/>
  <c r="E300" i="3" s="1"/>
  <c r="E305" i="3" s="1"/>
  <c r="E315" i="3" s="1"/>
  <c r="E343" i="3" s="1"/>
  <c r="E348" i="3" s="1"/>
  <c r="E358" i="3" s="1"/>
  <c r="E386" i="3" s="1"/>
  <c r="E391" i="3" s="1"/>
  <c r="E401" i="3" s="1"/>
  <c r="E429" i="3" s="1"/>
  <c r="E434" i="3" s="1"/>
  <c r="E444" i="3" s="1"/>
  <c r="E472" i="3" s="1"/>
  <c r="E477" i="3" s="1"/>
  <c r="E487" i="3" s="1"/>
  <c r="E515" i="3" s="1"/>
  <c r="E520" i="3" s="1"/>
  <c r="E530" i="3" s="1"/>
  <c r="E558" i="3" s="1"/>
  <c r="E563" i="3" s="1"/>
  <c r="E573" i="3" s="1"/>
  <c r="E601" i="3" s="1"/>
  <c r="E606" i="3" s="1"/>
  <c r="E616" i="3" s="1"/>
  <c r="E644" i="3" s="1"/>
  <c r="E649" i="3" s="1"/>
  <c r="E659" i="3" s="1"/>
  <c r="E687" i="3" s="1"/>
  <c r="E692" i="3" s="1"/>
  <c r="E702" i="3" s="1"/>
  <c r="E730" i="3" s="1"/>
  <c r="E735" i="3" s="1"/>
  <c r="E745" i="3" s="1"/>
  <c r="E773" i="3" s="1"/>
  <c r="E778" i="3" s="1"/>
  <c r="E788" i="3" s="1"/>
  <c r="E816" i="3" s="1"/>
  <c r="E821" i="3" s="1"/>
  <c r="E831" i="3" s="1"/>
  <c r="E859" i="3" s="1"/>
  <c r="E864" i="3" s="1"/>
  <c r="E874" i="3" s="1"/>
  <c r="E902" i="3" s="1"/>
  <c r="E907" i="3" s="1"/>
  <c r="E917" i="3" s="1"/>
  <c r="E945" i="3" s="1"/>
  <c r="E950" i="3" s="1"/>
  <c r="E960" i="3" s="1"/>
  <c r="E988" i="3" s="1"/>
  <c r="E993" i="3" s="1"/>
  <c r="E1003" i="3" s="1"/>
  <c r="E1031" i="3" s="1"/>
  <c r="E1036" i="3" s="1"/>
  <c r="E1046" i="3" s="1"/>
  <c r="G557" i="3"/>
  <c r="G600" i="3"/>
  <c r="O643" i="3"/>
  <c r="D42" i="5"/>
  <c r="D47" i="5" s="1"/>
  <c r="D56" i="5" s="1"/>
  <c r="D84" i="5" s="1"/>
  <c r="D89" i="5" s="1"/>
  <c r="D98" i="5" s="1"/>
  <c r="D126" i="5" s="1"/>
  <c r="D131" i="5" s="1"/>
  <c r="D140" i="5" s="1"/>
  <c r="D168" i="5" s="1"/>
  <c r="D173" i="5" s="1"/>
  <c r="D182" i="5" s="1"/>
  <c r="D210" i="5" s="1"/>
  <c r="D215" i="5" s="1"/>
  <c r="D224" i="5" s="1"/>
  <c r="D252" i="5" s="1"/>
  <c r="D257" i="5" s="1"/>
  <c r="D266" i="5" s="1"/>
  <c r="D294" i="5" s="1"/>
  <c r="D299" i="5" s="1"/>
  <c r="D308" i="5" s="1"/>
  <c r="D336" i="5" s="1"/>
  <c r="D341" i="5" s="1"/>
  <c r="D350" i="5" s="1"/>
  <c r="D378" i="5" s="1"/>
  <c r="D383" i="5" s="1"/>
  <c r="D392" i="5" s="1"/>
  <c r="D420" i="5" s="1"/>
  <c r="D425" i="5" s="1"/>
  <c r="D434" i="5" s="1"/>
  <c r="D462" i="5" s="1"/>
  <c r="D467" i="5" s="1"/>
  <c r="D476" i="5" s="1"/>
  <c r="D504" i="5" s="1"/>
  <c r="D509" i="5" s="1"/>
  <c r="D518" i="5" s="1"/>
  <c r="D546" i="5" s="1"/>
  <c r="D551" i="5" s="1"/>
  <c r="D560" i="5" s="1"/>
  <c r="D588" i="5" s="1"/>
  <c r="D593" i="5" s="1"/>
  <c r="D602" i="5" s="1"/>
  <c r="D630" i="5" s="1"/>
  <c r="D635" i="5" s="1"/>
  <c r="D644" i="5" s="1"/>
  <c r="D672" i="5" s="1"/>
  <c r="D677" i="5" s="1"/>
  <c r="D686" i="5" s="1"/>
  <c r="D714" i="5" s="1"/>
  <c r="D719" i="5" s="1"/>
  <c r="D728" i="5" s="1"/>
  <c r="D756" i="5" s="1"/>
  <c r="D761" i="5" s="1"/>
  <c r="D770" i="5" s="1"/>
  <c r="D798" i="5" s="1"/>
  <c r="D803" i="5" s="1"/>
  <c r="D812" i="5" s="1"/>
  <c r="D840" i="5" s="1"/>
  <c r="D845" i="5" s="1"/>
  <c r="D854" i="5" s="1"/>
  <c r="D882" i="5" s="1"/>
  <c r="D887" i="5" s="1"/>
  <c r="D896" i="5" s="1"/>
  <c r="D924" i="5" s="1"/>
  <c r="D929" i="5" s="1"/>
  <c r="D938" i="5" s="1"/>
  <c r="D966" i="5" s="1"/>
  <c r="D971" i="5" s="1"/>
  <c r="D980" i="5" s="1"/>
  <c r="D1008" i="5" s="1"/>
  <c r="D1013" i="5" s="1"/>
  <c r="D1022" i="5" s="1"/>
  <c r="D1050" i="5" s="1"/>
  <c r="D1055" i="5" s="1"/>
  <c r="D1064" i="5" s="1"/>
  <c r="D1092" i="5" s="1"/>
  <c r="D1097" i="5" s="1"/>
  <c r="D1106" i="5" s="1"/>
  <c r="D1134" i="5" s="1"/>
  <c r="D1139" i="5" s="1"/>
  <c r="D1148" i="5" s="1"/>
  <c r="D1176" i="5" s="1"/>
  <c r="D1181" i="5" s="1"/>
  <c r="D1190" i="5" s="1"/>
  <c r="D1218" i="5" s="1"/>
  <c r="D1223" i="5" s="1"/>
  <c r="B42" i="5"/>
  <c r="B47" i="5" s="1"/>
  <c r="B56" i="5" s="1"/>
  <c r="B84" i="5" s="1"/>
  <c r="B89" i="5" s="1"/>
  <c r="B98" i="5" s="1"/>
  <c r="B126" i="5" s="1"/>
  <c r="B131" i="5" s="1"/>
  <c r="G14" i="4"/>
  <c r="O14" i="3"/>
  <c r="C42" i="4"/>
  <c r="C47" i="4" s="1"/>
  <c r="C57" i="4" s="1"/>
  <c r="C85" i="4" s="1"/>
  <c r="C90" i="4" s="1"/>
  <c r="C100" i="4" s="1"/>
  <c r="C128" i="4" s="1"/>
  <c r="C133" i="4" s="1"/>
  <c r="G1331" i="4"/>
  <c r="B42" i="4"/>
  <c r="B47" i="4" s="1"/>
  <c r="B57" i="4" s="1"/>
  <c r="B85" i="4" s="1"/>
  <c r="B90" i="4" s="1"/>
  <c r="B100" i="4" s="1"/>
  <c r="B128" i="4" s="1"/>
  <c r="B133" i="4" s="1"/>
  <c r="B143" i="4" s="1"/>
  <c r="B171" i="4" s="1"/>
  <c r="B176" i="4" s="1"/>
  <c r="B186" i="4" s="1"/>
  <c r="B214" i="4" s="1"/>
  <c r="B219" i="4" s="1"/>
  <c r="B229" i="4" s="1"/>
  <c r="B257" i="4" s="1"/>
  <c r="B262" i="4" s="1"/>
  <c r="B272" i="4" s="1"/>
  <c r="B300" i="4" s="1"/>
  <c r="B305" i="4" s="1"/>
  <c r="B315" i="4" s="1"/>
  <c r="B343" i="4" s="1"/>
  <c r="B348" i="4" s="1"/>
  <c r="B358" i="4" s="1"/>
  <c r="B386" i="4" s="1"/>
  <c r="B391" i="4" s="1"/>
  <c r="B401" i="4" s="1"/>
  <c r="B429" i="4" s="1"/>
  <c r="B434" i="4" s="1"/>
  <c r="B444" i="4" s="1"/>
  <c r="B472" i="4" s="1"/>
  <c r="B477" i="4" s="1"/>
  <c r="B487" i="4" s="1"/>
  <c r="B515" i="4" s="1"/>
  <c r="B520" i="4" s="1"/>
  <c r="B530" i="4" s="1"/>
  <c r="B558" i="4" s="1"/>
  <c r="B563" i="4" s="1"/>
  <c r="B573" i="4" s="1"/>
  <c r="B601" i="4" s="1"/>
  <c r="B606" i="4" s="1"/>
  <c r="B616" i="4" s="1"/>
  <c r="B644" i="4" s="1"/>
  <c r="B649" i="4" s="1"/>
  <c r="B659" i="4" s="1"/>
  <c r="B687" i="4" s="1"/>
  <c r="B692" i="4" s="1"/>
  <c r="B702" i="4" s="1"/>
  <c r="B730" i="4" s="1"/>
  <c r="B735" i="4" s="1"/>
  <c r="B745" i="4" s="1"/>
  <c r="B773" i="4" s="1"/>
  <c r="B778" i="4" s="1"/>
  <c r="B788" i="4" s="1"/>
  <c r="B816" i="4" s="1"/>
  <c r="B821" i="4" s="1"/>
  <c r="B831" i="4" s="1"/>
  <c r="B859" i="4" s="1"/>
  <c r="B864" i="4" s="1"/>
  <c r="B874" i="4" s="1"/>
  <c r="B902" i="4" s="1"/>
  <c r="B907" i="4" s="1"/>
  <c r="B917" i="4" s="1"/>
  <c r="B945" i="4" s="1"/>
  <c r="B950" i="4" s="1"/>
  <c r="B960" i="4" s="1"/>
  <c r="B988" i="4" s="1"/>
  <c r="B993" i="4" s="1"/>
  <c r="B1003" i="4" s="1"/>
  <c r="B1031" i="4" s="1"/>
  <c r="B1036" i="4" s="1"/>
  <c r="B1046" i="4" s="1"/>
  <c r="B1074" i="4" s="1"/>
  <c r="B1079" i="4" s="1"/>
  <c r="B1089" i="4" s="1"/>
  <c r="B1117" i="4" s="1"/>
  <c r="B1122" i="4" s="1"/>
  <c r="B1132" i="4" s="1"/>
  <c r="B1160" i="4" s="1"/>
  <c r="B1165" i="4" s="1"/>
  <c r="B1175" i="4" s="1"/>
  <c r="B1203" i="4" s="1"/>
  <c r="B1208" i="4" s="1"/>
  <c r="B1218" i="4" s="1"/>
  <c r="B1246" i="4" s="1"/>
  <c r="B1251" i="4" s="1"/>
  <c r="B1261" i="4" s="1"/>
  <c r="B1289" i="4" s="1"/>
  <c r="B1294" i="4" s="1"/>
  <c r="B1304" i="4" s="1"/>
  <c r="B1332" i="4" s="1"/>
  <c r="B1337" i="4" s="1"/>
  <c r="B1347" i="4" s="1"/>
  <c r="B1375" i="4" s="1"/>
  <c r="B1380" i="4" s="1"/>
  <c r="N42" i="4"/>
  <c r="N47" i="4" s="1"/>
  <c r="N57" i="4" s="1"/>
  <c r="N85" i="4" s="1"/>
  <c r="N90" i="4" s="1"/>
  <c r="N100" i="4" s="1"/>
  <c r="N128" i="4" s="1"/>
  <c r="N133" i="4" s="1"/>
  <c r="N143" i="4" s="1"/>
  <c r="N171" i="4" s="1"/>
  <c r="N176" i="4" s="1"/>
  <c r="N186" i="4" s="1"/>
  <c r="N214" i="4" s="1"/>
  <c r="N219" i="4" s="1"/>
  <c r="N229" i="4" s="1"/>
  <c r="N257" i="4" s="1"/>
  <c r="N262" i="4" s="1"/>
  <c r="N272" i="4" s="1"/>
  <c r="N300" i="4" s="1"/>
  <c r="N305" i="4" s="1"/>
  <c r="N315" i="4" s="1"/>
  <c r="N343" i="4" s="1"/>
  <c r="N348" i="4" s="1"/>
  <c r="N358" i="4" s="1"/>
  <c r="N386" i="4" s="1"/>
  <c r="N391" i="4" s="1"/>
  <c r="N401" i="4" s="1"/>
  <c r="N429" i="4" s="1"/>
  <c r="N434" i="4" s="1"/>
  <c r="N444" i="4" s="1"/>
  <c r="N472" i="4" s="1"/>
  <c r="N477" i="4" s="1"/>
  <c r="N487" i="4" s="1"/>
  <c r="N515" i="4" s="1"/>
  <c r="N520" i="4" s="1"/>
  <c r="N530" i="4" s="1"/>
  <c r="N558" i="4" s="1"/>
  <c r="N563" i="4" s="1"/>
  <c r="N573" i="4" s="1"/>
  <c r="N601" i="4" s="1"/>
  <c r="N606" i="4" s="1"/>
  <c r="N616" i="4" s="1"/>
  <c r="N644" i="4" s="1"/>
  <c r="N649" i="4" s="1"/>
  <c r="N659" i="4" s="1"/>
  <c r="N687" i="4" s="1"/>
  <c r="N692" i="4" s="1"/>
  <c r="N702" i="4" s="1"/>
  <c r="N730" i="4" s="1"/>
  <c r="N735" i="4" s="1"/>
  <c r="N745" i="4" s="1"/>
  <c r="N773" i="4" s="1"/>
  <c r="N778" i="4" s="1"/>
  <c r="N788" i="4" s="1"/>
  <c r="N816" i="4" s="1"/>
  <c r="N821" i="4" s="1"/>
  <c r="N831" i="4" s="1"/>
  <c r="N859" i="4" s="1"/>
  <c r="N864" i="4" s="1"/>
  <c r="N874" i="4" s="1"/>
  <c r="N902" i="4" s="1"/>
  <c r="N907" i="4" s="1"/>
  <c r="N917" i="4" s="1"/>
  <c r="N945" i="4" s="1"/>
  <c r="N950" i="4" s="1"/>
  <c r="N960" i="4" s="1"/>
  <c r="N988" i="4" s="1"/>
  <c r="N993" i="4" s="1"/>
  <c r="N1003" i="4" s="1"/>
  <c r="N1031" i="4" s="1"/>
  <c r="N1036" i="4" s="1"/>
  <c r="N1046" i="4" s="1"/>
  <c r="N1074" i="4" s="1"/>
  <c r="N1079" i="4" s="1"/>
  <c r="N1089" i="4" s="1"/>
  <c r="N1117" i="4" s="1"/>
  <c r="N1122" i="4" s="1"/>
  <c r="N1132" i="4" s="1"/>
  <c r="N1160" i="4" s="1"/>
  <c r="N1165" i="4" s="1"/>
  <c r="N1175" i="4" s="1"/>
  <c r="N1203" i="4" s="1"/>
  <c r="N1208" i="4" s="1"/>
  <c r="N1218" i="4" s="1"/>
  <c r="N1246" i="4" s="1"/>
  <c r="N1251" i="4" s="1"/>
  <c r="N1261" i="4" s="1"/>
  <c r="N1289" i="4" s="1"/>
  <c r="N1294" i="4" s="1"/>
  <c r="N1304" i="4" s="1"/>
  <c r="N1332" i="4" s="1"/>
  <c r="N1337" i="4" s="1"/>
  <c r="N1347" i="4" s="1"/>
  <c r="N1375" i="4" s="1"/>
  <c r="N1380" i="4" s="1"/>
  <c r="N1390" i="4" s="1"/>
  <c r="N1418" i="4" s="1"/>
  <c r="N1423" i="4" s="1"/>
  <c r="N1433" i="4" s="1"/>
  <c r="N1461" i="4" s="1"/>
  <c r="N1466" i="4" s="1"/>
  <c r="N1476" i="4" s="1"/>
  <c r="N1504" i="4" s="1"/>
  <c r="N1509" i="4" s="1"/>
  <c r="N1519" i="4" s="1"/>
  <c r="N1547" i="4" s="1"/>
  <c r="N1552" i="4" s="1"/>
  <c r="N1562" i="4" s="1"/>
  <c r="N1590" i="4" s="1"/>
  <c r="N1595" i="4" s="1"/>
  <c r="N1605" i="4" s="1"/>
  <c r="N1633" i="4" s="1"/>
  <c r="N1638" i="4" s="1"/>
  <c r="N1648" i="4" s="1"/>
  <c r="N1676" i="4" s="1"/>
  <c r="N1681" i="4" s="1"/>
  <c r="N1691" i="4" s="1"/>
  <c r="N1719" i="4" s="1"/>
  <c r="N1724" i="4" s="1"/>
  <c r="N1734" i="4" s="1"/>
  <c r="N1762" i="4" s="1"/>
  <c r="N1767" i="4" s="1"/>
  <c r="N1777" i="4" s="1"/>
  <c r="N1805" i="4" s="1"/>
  <c r="N1810" i="4" s="1"/>
  <c r="N1820" i="4" s="1"/>
  <c r="N1848" i="4" s="1"/>
  <c r="N1853" i="4" s="1"/>
  <c r="N1863" i="4" s="1"/>
  <c r="N1891" i="4" s="1"/>
  <c r="N1896" i="4" s="1"/>
  <c r="N1906" i="4" s="1"/>
  <c r="N1934" i="4" s="1"/>
  <c r="N1939" i="4" s="1"/>
  <c r="N1949" i="4" s="1"/>
  <c r="N1977" i="4" s="1"/>
  <c r="N1982" i="4" s="1"/>
  <c r="N1992" i="4" s="1"/>
  <c r="N2020" i="4" s="1"/>
  <c r="N2025" i="4" s="1"/>
  <c r="N2035" i="4" s="1"/>
  <c r="N2063" i="4" s="1"/>
  <c r="N2068" i="4" s="1"/>
  <c r="N2078" i="4" s="1"/>
  <c r="N2106" i="4" s="1"/>
  <c r="N2111" i="4" s="1"/>
  <c r="N2121" i="4" s="1"/>
  <c r="N2149" i="4" s="1"/>
  <c r="N2154" i="4" s="1"/>
  <c r="N2164" i="4" s="1"/>
  <c r="N2192" i="4" s="1"/>
  <c r="N2197" i="4" s="1"/>
  <c r="N2207" i="4" s="1"/>
  <c r="N2235" i="4" s="1"/>
  <c r="N2240" i="4" s="1"/>
  <c r="N2250" i="4" s="1"/>
  <c r="N2278" i="4" s="1"/>
  <c r="M42" i="4"/>
  <c r="M47" i="4" s="1"/>
  <c r="M57" i="4" s="1"/>
  <c r="M85" i="4" s="1"/>
  <c r="M90" i="4" s="1"/>
  <c r="M100" i="4" s="1"/>
  <c r="M128" i="4" s="1"/>
  <c r="M133" i="4" s="1"/>
  <c r="M143" i="4" s="1"/>
  <c r="M171" i="4" s="1"/>
  <c r="M176" i="4" s="1"/>
  <c r="M186" i="4" s="1"/>
  <c r="M214" i="4" s="1"/>
  <c r="M219" i="4" s="1"/>
  <c r="M229" i="4" s="1"/>
  <c r="M257" i="4" s="1"/>
  <c r="M262" i="4" s="1"/>
  <c r="M272" i="4" s="1"/>
  <c r="M300" i="4" s="1"/>
  <c r="M305" i="4" s="1"/>
  <c r="M315" i="4" s="1"/>
  <c r="M343" i="4" s="1"/>
  <c r="M348" i="4" s="1"/>
  <c r="M358" i="4" s="1"/>
  <c r="M386" i="4" s="1"/>
  <c r="M391" i="4" s="1"/>
  <c r="M401" i="4" s="1"/>
  <c r="M429" i="4" s="1"/>
  <c r="M434" i="4" s="1"/>
  <c r="M444" i="4" s="1"/>
  <c r="M472" i="4" s="1"/>
  <c r="M477" i="4" s="1"/>
  <c r="M487" i="4" s="1"/>
  <c r="M515" i="4" s="1"/>
  <c r="M520" i="4" s="1"/>
  <c r="M530" i="4" s="1"/>
  <c r="M558" i="4" s="1"/>
  <c r="M563" i="4" s="1"/>
  <c r="M573" i="4" s="1"/>
  <c r="M601" i="4" s="1"/>
  <c r="M606" i="4" s="1"/>
  <c r="M616" i="4" s="1"/>
  <c r="M644" i="4" s="1"/>
  <c r="M649" i="4" s="1"/>
  <c r="M659" i="4" s="1"/>
  <c r="M687" i="4" s="1"/>
  <c r="M692" i="4" s="1"/>
  <c r="M702" i="4" s="1"/>
  <c r="M730" i="4" s="1"/>
  <c r="M735" i="4" s="1"/>
  <c r="M745" i="4" s="1"/>
  <c r="M773" i="4" s="1"/>
  <c r="M778" i="4" s="1"/>
  <c r="M788" i="4" s="1"/>
  <c r="M816" i="4" s="1"/>
  <c r="M821" i="4" s="1"/>
  <c r="M831" i="4" s="1"/>
  <c r="M859" i="4" s="1"/>
  <c r="M864" i="4" s="1"/>
  <c r="M874" i="4" s="1"/>
  <c r="M902" i="4" s="1"/>
  <c r="M907" i="4" s="1"/>
  <c r="M917" i="4" s="1"/>
  <c r="M945" i="4" s="1"/>
  <c r="M950" i="4" s="1"/>
  <c r="M960" i="4" s="1"/>
  <c r="M988" i="4" s="1"/>
  <c r="M993" i="4" s="1"/>
  <c r="M1003" i="4" s="1"/>
  <c r="M1031" i="4" s="1"/>
  <c r="M1036" i="4" s="1"/>
  <c r="M1046" i="4" s="1"/>
  <c r="M1074" i="4" s="1"/>
  <c r="M1079" i="4" s="1"/>
  <c r="M1089" i="4" s="1"/>
  <c r="M1117" i="4" s="1"/>
  <c r="M1122" i="4" s="1"/>
  <c r="M1132" i="4" s="1"/>
  <c r="M1160" i="4" s="1"/>
  <c r="M1165" i="4" s="1"/>
  <c r="M1175" i="4" s="1"/>
  <c r="M1203" i="4" s="1"/>
  <c r="M1208" i="4" s="1"/>
  <c r="M1218" i="4" s="1"/>
  <c r="M1246" i="4" s="1"/>
  <c r="M1251" i="4" s="1"/>
  <c r="M1261" i="4" s="1"/>
  <c r="M1289" i="4" s="1"/>
  <c r="M1294" i="4" s="1"/>
  <c r="M1304" i="4" s="1"/>
  <c r="M1332" i="4" s="1"/>
  <c r="M1337" i="4" s="1"/>
  <c r="M1347" i="4" s="1"/>
  <c r="M1375" i="4" s="1"/>
  <c r="M1380" i="4" s="1"/>
  <c r="M1390" i="4" s="1"/>
  <c r="M1418" i="4" s="1"/>
  <c r="M1423" i="4" s="1"/>
  <c r="M1433" i="4" s="1"/>
  <c r="M1461" i="4" s="1"/>
  <c r="M1466" i="4" s="1"/>
  <c r="M1476" i="4" s="1"/>
  <c r="M1504" i="4" s="1"/>
  <c r="M1509" i="4" s="1"/>
  <c r="M1519" i="4" s="1"/>
  <c r="M1547" i="4" s="1"/>
  <c r="M1552" i="4" s="1"/>
  <c r="M1562" i="4" s="1"/>
  <c r="M1590" i="4" s="1"/>
  <c r="M1595" i="4" s="1"/>
  <c r="M1605" i="4" s="1"/>
  <c r="M1633" i="4" s="1"/>
  <c r="M1638" i="4" s="1"/>
  <c r="M1648" i="4" s="1"/>
  <c r="M1676" i="4" s="1"/>
  <c r="M1681" i="4" s="1"/>
  <c r="M1691" i="4" s="1"/>
  <c r="M1719" i="4" s="1"/>
  <c r="M1724" i="4" s="1"/>
  <c r="M1734" i="4" s="1"/>
  <c r="M1762" i="4" s="1"/>
  <c r="M1767" i="4" s="1"/>
  <c r="M1777" i="4" s="1"/>
  <c r="M1805" i="4" s="1"/>
  <c r="M1810" i="4" s="1"/>
  <c r="M1820" i="4" s="1"/>
  <c r="M1848" i="4" s="1"/>
  <c r="M1853" i="4" s="1"/>
  <c r="M1863" i="4" s="1"/>
  <c r="M1891" i="4" s="1"/>
  <c r="M1896" i="4" s="1"/>
  <c r="M1906" i="4" s="1"/>
  <c r="M1934" i="4" s="1"/>
  <c r="M1939" i="4" s="1"/>
  <c r="M1949" i="4" s="1"/>
  <c r="M1977" i="4" s="1"/>
  <c r="M1982" i="4" s="1"/>
  <c r="M1992" i="4" s="1"/>
  <c r="M2020" i="4" s="1"/>
  <c r="M2025" i="4" s="1"/>
  <c r="M2035" i="4" s="1"/>
  <c r="M2063" i="4" s="1"/>
  <c r="L42" i="4"/>
  <c r="L47" i="4" s="1"/>
  <c r="L57" i="4" s="1"/>
  <c r="L85" i="4" s="1"/>
  <c r="L90" i="4" s="1"/>
  <c r="L100" i="4" s="1"/>
  <c r="L128" i="4" s="1"/>
  <c r="L133" i="4" s="1"/>
  <c r="L143" i="4" s="1"/>
  <c r="L171" i="4" s="1"/>
  <c r="L176" i="4" s="1"/>
  <c r="L186" i="4" s="1"/>
  <c r="L214" i="4" s="1"/>
  <c r="L219" i="4" s="1"/>
  <c r="L229" i="4" s="1"/>
  <c r="L257" i="4" s="1"/>
  <c r="L262" i="4" s="1"/>
  <c r="L272" i="4" s="1"/>
  <c r="L300" i="4" s="1"/>
  <c r="L305" i="4" s="1"/>
  <c r="L315" i="4" s="1"/>
  <c r="L343" i="4" s="1"/>
  <c r="L348" i="4" s="1"/>
  <c r="L358" i="4" s="1"/>
  <c r="L386" i="4" s="1"/>
  <c r="L391" i="4" s="1"/>
  <c r="L401" i="4" s="1"/>
  <c r="L429" i="4" s="1"/>
  <c r="L434" i="4" s="1"/>
  <c r="L444" i="4" s="1"/>
  <c r="L472" i="4" s="1"/>
  <c r="L477" i="4" s="1"/>
  <c r="L487" i="4" s="1"/>
  <c r="L515" i="4" s="1"/>
  <c r="L520" i="4" s="1"/>
  <c r="L530" i="4" s="1"/>
  <c r="L558" i="4" s="1"/>
  <c r="L563" i="4" s="1"/>
  <c r="L573" i="4" s="1"/>
  <c r="L601" i="4" s="1"/>
  <c r="L606" i="4" s="1"/>
  <c r="L616" i="4" s="1"/>
  <c r="L644" i="4" s="1"/>
  <c r="L649" i="4" s="1"/>
  <c r="L659" i="4" s="1"/>
  <c r="L687" i="4" s="1"/>
  <c r="L692" i="4" s="1"/>
  <c r="L702" i="4" s="1"/>
  <c r="L730" i="4" s="1"/>
  <c r="L735" i="4" s="1"/>
  <c r="L745" i="4" s="1"/>
  <c r="L773" i="4" s="1"/>
  <c r="L778" i="4" s="1"/>
  <c r="L788" i="4" s="1"/>
  <c r="L816" i="4" s="1"/>
  <c r="L821" i="4" s="1"/>
  <c r="L831" i="4" s="1"/>
  <c r="L859" i="4" s="1"/>
  <c r="L864" i="4" s="1"/>
  <c r="L874" i="4" s="1"/>
  <c r="L902" i="4" s="1"/>
  <c r="L907" i="4" s="1"/>
  <c r="L917" i="4" s="1"/>
  <c r="L945" i="4" s="1"/>
  <c r="L950" i="4" s="1"/>
  <c r="L960" i="4" s="1"/>
  <c r="L988" i="4" s="1"/>
  <c r="L993" i="4" s="1"/>
  <c r="L1003" i="4" s="1"/>
  <c r="L1031" i="4" s="1"/>
  <c r="L1036" i="4" s="1"/>
  <c r="L1046" i="4" s="1"/>
  <c r="L1074" i="4" s="1"/>
  <c r="L1079" i="4" s="1"/>
  <c r="L1089" i="4" s="1"/>
  <c r="L1117" i="4" s="1"/>
  <c r="L1122" i="4" s="1"/>
  <c r="L1132" i="4" s="1"/>
  <c r="L1160" i="4" s="1"/>
  <c r="L1165" i="4" s="1"/>
  <c r="L1175" i="4" s="1"/>
  <c r="L1203" i="4" s="1"/>
  <c r="L1208" i="4" s="1"/>
  <c r="L1218" i="4" s="1"/>
  <c r="L1246" i="4" s="1"/>
  <c r="L1251" i="4" s="1"/>
  <c r="L1261" i="4" s="1"/>
  <c r="L1289" i="4" s="1"/>
  <c r="L1294" i="4" s="1"/>
  <c r="L1304" i="4" s="1"/>
  <c r="L1332" i="4" s="1"/>
  <c r="L1337" i="4" s="1"/>
  <c r="L1347" i="4" s="1"/>
  <c r="L1375" i="4" s="1"/>
  <c r="L1380" i="4" s="1"/>
  <c r="L1390" i="4" s="1"/>
  <c r="L1418" i="4" s="1"/>
  <c r="L1423" i="4" s="1"/>
  <c r="L1433" i="4" s="1"/>
  <c r="L1461" i="4" s="1"/>
  <c r="L1466" i="4" s="1"/>
  <c r="L1476" i="4" s="1"/>
  <c r="L1504" i="4" s="1"/>
  <c r="L1509" i="4" s="1"/>
  <c r="L1519" i="4" s="1"/>
  <c r="L1547" i="4" s="1"/>
  <c r="L1552" i="4" s="1"/>
  <c r="L1562" i="4" s="1"/>
  <c r="L1590" i="4" s="1"/>
  <c r="L1595" i="4" s="1"/>
  <c r="L1605" i="4" s="1"/>
  <c r="L1633" i="4" s="1"/>
  <c r="L1638" i="4" s="1"/>
  <c r="L1648" i="4" s="1"/>
  <c r="L1676" i="4" s="1"/>
  <c r="L1681" i="4" s="1"/>
  <c r="L1691" i="4" s="1"/>
  <c r="L1719" i="4" s="1"/>
  <c r="L1724" i="4" s="1"/>
  <c r="L1734" i="4" s="1"/>
  <c r="L1762" i="4" s="1"/>
  <c r="L1767" i="4" s="1"/>
  <c r="L1777" i="4" s="1"/>
  <c r="L1805" i="4" s="1"/>
  <c r="L1810" i="4" s="1"/>
  <c r="L1820" i="4" s="1"/>
  <c r="L1848" i="4" s="1"/>
  <c r="L1853" i="4" s="1"/>
  <c r="L1863" i="4" s="1"/>
  <c r="L1891" i="4" s="1"/>
  <c r="L1896" i="4" s="1"/>
  <c r="L1906" i="4" s="1"/>
  <c r="L1934" i="4" s="1"/>
  <c r="L1939" i="4" s="1"/>
  <c r="L1949" i="4" s="1"/>
  <c r="L1977" i="4" s="1"/>
  <c r="L1982" i="4" s="1"/>
  <c r="L1992" i="4" s="1"/>
  <c r="L2020" i="4" s="1"/>
  <c r="L2025" i="4" s="1"/>
  <c r="L2035" i="4" s="1"/>
  <c r="L2063" i="4" s="1"/>
  <c r="K42" i="4"/>
  <c r="K47" i="4" s="1"/>
  <c r="K57" i="4" s="1"/>
  <c r="K85" i="4" s="1"/>
  <c r="K90" i="4" s="1"/>
  <c r="K100" i="4" s="1"/>
  <c r="K128" i="4" s="1"/>
  <c r="K133" i="4" s="1"/>
  <c r="K143" i="4" s="1"/>
  <c r="K171" i="4" s="1"/>
  <c r="K176" i="4" s="1"/>
  <c r="K186" i="4" s="1"/>
  <c r="K214" i="4" s="1"/>
  <c r="K219" i="4" s="1"/>
  <c r="K229" i="4" s="1"/>
  <c r="K257" i="4" s="1"/>
  <c r="K262" i="4" s="1"/>
  <c r="K272" i="4" s="1"/>
  <c r="K300" i="4" s="1"/>
  <c r="K305" i="4" s="1"/>
  <c r="K315" i="4" s="1"/>
  <c r="K343" i="4" s="1"/>
  <c r="K348" i="4" s="1"/>
  <c r="K358" i="4" s="1"/>
  <c r="K386" i="4" s="1"/>
  <c r="K391" i="4" s="1"/>
  <c r="K401" i="4" s="1"/>
  <c r="K429" i="4" s="1"/>
  <c r="K434" i="4" s="1"/>
  <c r="K444" i="4" s="1"/>
  <c r="K472" i="4" s="1"/>
  <c r="K477" i="4" s="1"/>
  <c r="K487" i="4" s="1"/>
  <c r="K515" i="4" s="1"/>
  <c r="K520" i="4" s="1"/>
  <c r="K530" i="4" s="1"/>
  <c r="K558" i="4" s="1"/>
  <c r="K563" i="4" s="1"/>
  <c r="K573" i="4" s="1"/>
  <c r="K601" i="4" s="1"/>
  <c r="K606" i="4" s="1"/>
  <c r="K616" i="4" s="1"/>
  <c r="K644" i="4" s="1"/>
  <c r="K649" i="4" s="1"/>
  <c r="K659" i="4" s="1"/>
  <c r="K687" i="4" s="1"/>
  <c r="K692" i="4" s="1"/>
  <c r="K702" i="4" s="1"/>
  <c r="K730" i="4" s="1"/>
  <c r="K735" i="4" s="1"/>
  <c r="K745" i="4" s="1"/>
  <c r="K773" i="4" s="1"/>
  <c r="K778" i="4" s="1"/>
  <c r="K788" i="4" s="1"/>
  <c r="K816" i="4" s="1"/>
  <c r="K821" i="4" s="1"/>
  <c r="K831" i="4" s="1"/>
  <c r="K859" i="4" s="1"/>
  <c r="K864" i="4" s="1"/>
  <c r="K874" i="4" s="1"/>
  <c r="K902" i="4" s="1"/>
  <c r="K907" i="4" s="1"/>
  <c r="K917" i="4" s="1"/>
  <c r="K945" i="4" s="1"/>
  <c r="K950" i="4" s="1"/>
  <c r="K960" i="4" s="1"/>
  <c r="K988" i="4" s="1"/>
  <c r="K993" i="4" s="1"/>
  <c r="K1003" i="4" s="1"/>
  <c r="K1031" i="4" s="1"/>
  <c r="K1036" i="4" s="1"/>
  <c r="K1046" i="4" s="1"/>
  <c r="K1074" i="4" s="1"/>
  <c r="K1079" i="4" s="1"/>
  <c r="K1089" i="4" s="1"/>
  <c r="K1117" i="4" s="1"/>
  <c r="K1122" i="4" s="1"/>
  <c r="K1132" i="4" s="1"/>
  <c r="K1160" i="4" s="1"/>
  <c r="K1165" i="4" s="1"/>
  <c r="K1175" i="4" s="1"/>
  <c r="K1203" i="4" s="1"/>
  <c r="K1208" i="4" s="1"/>
  <c r="K1218" i="4" s="1"/>
  <c r="K1246" i="4" s="1"/>
  <c r="K1251" i="4" s="1"/>
  <c r="K1261" i="4" s="1"/>
  <c r="K1289" i="4" s="1"/>
  <c r="K1294" i="4" s="1"/>
  <c r="K1304" i="4" s="1"/>
  <c r="K1332" i="4" s="1"/>
  <c r="K1337" i="4" s="1"/>
  <c r="K1347" i="4" s="1"/>
  <c r="K1375" i="4" s="1"/>
  <c r="K1380" i="4" s="1"/>
  <c r="J42" i="4"/>
  <c r="J47" i="4" s="1"/>
  <c r="B42" i="3"/>
  <c r="B47" i="3" s="1"/>
  <c r="B57" i="3" s="1"/>
  <c r="B85" i="3" s="1"/>
  <c r="B90" i="3" s="1"/>
  <c r="F42" i="5"/>
  <c r="F47" i="5" s="1"/>
  <c r="F56" i="5" s="1"/>
  <c r="F84" i="5" s="1"/>
  <c r="F89" i="5" s="1"/>
  <c r="F98" i="5" s="1"/>
  <c r="F126" i="5" s="1"/>
  <c r="F131" i="5" s="1"/>
  <c r="F140" i="5" s="1"/>
  <c r="F168" i="5" s="1"/>
  <c r="F173" i="5" s="1"/>
  <c r="F182" i="5" s="1"/>
  <c r="F210" i="5" s="1"/>
  <c r="F215" i="5" s="1"/>
  <c r="F224" i="5" s="1"/>
  <c r="F252" i="5" s="1"/>
  <c r="F257" i="5" s="1"/>
  <c r="F266" i="5" s="1"/>
  <c r="F294" i="5" s="1"/>
  <c r="F299" i="5" s="1"/>
  <c r="F308" i="5" s="1"/>
  <c r="F336" i="5" s="1"/>
  <c r="F341" i="5" s="1"/>
  <c r="F350" i="5" s="1"/>
  <c r="F378" i="5" s="1"/>
  <c r="F383" i="5" s="1"/>
  <c r="F392" i="5" s="1"/>
  <c r="F420" i="5" s="1"/>
  <c r="F425" i="5" s="1"/>
  <c r="F434" i="5" s="1"/>
  <c r="F462" i="5" s="1"/>
  <c r="F467" i="5" s="1"/>
  <c r="F476" i="5" s="1"/>
  <c r="F504" i="5" s="1"/>
  <c r="F509" i="5" s="1"/>
  <c r="F518" i="5" s="1"/>
  <c r="F546" i="5" s="1"/>
  <c r="F551" i="5" s="1"/>
  <c r="F560" i="5" s="1"/>
  <c r="F588" i="5" s="1"/>
  <c r="F593" i="5" s="1"/>
  <c r="F602" i="5" s="1"/>
  <c r="F630" i="5" s="1"/>
  <c r="F635" i="5" s="1"/>
  <c r="F644" i="5" s="1"/>
  <c r="F672" i="5" s="1"/>
  <c r="F677" i="5" s="1"/>
  <c r="F686" i="5" s="1"/>
  <c r="F714" i="5" s="1"/>
  <c r="F719" i="5" s="1"/>
  <c r="F728" i="5" s="1"/>
  <c r="F756" i="5" s="1"/>
  <c r="F761" i="5" s="1"/>
  <c r="F770" i="5" s="1"/>
  <c r="F798" i="5" s="1"/>
  <c r="F803" i="5" s="1"/>
  <c r="F812" i="5" s="1"/>
  <c r="F840" i="5" s="1"/>
  <c r="F845" i="5" s="1"/>
  <c r="F854" i="5" s="1"/>
  <c r="F882" i="5" s="1"/>
  <c r="F887" i="5" s="1"/>
  <c r="E42" i="5"/>
  <c r="E47" i="5" s="1"/>
  <c r="E56" i="5" s="1"/>
  <c r="E84" i="5" s="1"/>
  <c r="E89" i="5" s="1"/>
  <c r="E98" i="5" s="1"/>
  <c r="E126" i="5" s="1"/>
  <c r="E131" i="5" s="1"/>
  <c r="E140" i="5" s="1"/>
  <c r="E168" i="5" s="1"/>
  <c r="E173" i="5" s="1"/>
  <c r="E182" i="5" s="1"/>
  <c r="E210" i="5" s="1"/>
  <c r="E215" i="5" s="1"/>
  <c r="E224" i="5" s="1"/>
  <c r="E252" i="5" s="1"/>
  <c r="E257" i="5" s="1"/>
  <c r="E266" i="5" s="1"/>
  <c r="E294" i="5" s="1"/>
  <c r="E299" i="5" s="1"/>
  <c r="E308" i="5" s="1"/>
  <c r="E336" i="5" s="1"/>
  <c r="E341" i="5" s="1"/>
  <c r="E350" i="5" s="1"/>
  <c r="E378" i="5" s="1"/>
  <c r="E383" i="5" s="1"/>
  <c r="E392" i="5" s="1"/>
  <c r="E420" i="5" s="1"/>
  <c r="E425" i="5" s="1"/>
  <c r="E434" i="5" s="1"/>
  <c r="E462" i="5" s="1"/>
  <c r="E467" i="5" s="1"/>
  <c r="E476" i="5" s="1"/>
  <c r="E504" i="5" s="1"/>
  <c r="E509" i="5" s="1"/>
  <c r="E518" i="5" s="1"/>
  <c r="E546" i="5" s="1"/>
  <c r="E551" i="5" s="1"/>
  <c r="E560" i="5" s="1"/>
  <c r="E588" i="5" s="1"/>
  <c r="E593" i="5" s="1"/>
  <c r="D42" i="6"/>
  <c r="D47" i="6" s="1"/>
  <c r="D56" i="6" s="1"/>
  <c r="D84" i="6" s="1"/>
  <c r="D89" i="6" s="1"/>
  <c r="D98" i="6" s="1"/>
  <c r="D126" i="6" s="1"/>
  <c r="D131" i="6" s="1"/>
  <c r="D140" i="6" s="1"/>
  <c r="D168" i="6" s="1"/>
  <c r="D173" i="6" s="1"/>
  <c r="D182" i="6" s="1"/>
  <c r="D210" i="6" s="1"/>
  <c r="D215" i="6" s="1"/>
  <c r="D224" i="6" s="1"/>
  <c r="D252" i="6" s="1"/>
  <c r="D257" i="6" s="1"/>
  <c r="D266" i="6" s="1"/>
  <c r="D294" i="6" s="1"/>
  <c r="D299" i="6" s="1"/>
  <c r="D308" i="6" s="1"/>
  <c r="D336" i="6" s="1"/>
  <c r="D341" i="6" s="1"/>
  <c r="D350" i="6" s="1"/>
  <c r="D378" i="6" s="1"/>
  <c r="D383" i="6" s="1"/>
  <c r="D392" i="6" s="1"/>
  <c r="D420" i="6" s="1"/>
  <c r="D425" i="6" s="1"/>
  <c r="D434" i="6" s="1"/>
  <c r="D462" i="6" s="1"/>
  <c r="D467" i="6" s="1"/>
  <c r="D476" i="6" s="1"/>
  <c r="D504" i="6" s="1"/>
  <c r="D509" i="6" s="1"/>
  <c r="D518" i="6" s="1"/>
  <c r="D546" i="6" s="1"/>
  <c r="D551" i="6" s="1"/>
  <c r="D560" i="6" s="1"/>
  <c r="D588" i="6" s="1"/>
  <c r="D593" i="6" s="1"/>
  <c r="D602" i="6" s="1"/>
  <c r="D630" i="6" s="1"/>
  <c r="D635" i="6" s="1"/>
  <c r="D644" i="6" s="1"/>
  <c r="D672" i="6" s="1"/>
  <c r="D677" i="6" s="1"/>
  <c r="D686" i="6" s="1"/>
  <c r="D714" i="6" s="1"/>
  <c r="D719" i="6" s="1"/>
  <c r="D728" i="6" s="1"/>
  <c r="D756" i="6" s="1"/>
  <c r="D761" i="6" s="1"/>
  <c r="D770" i="6" s="1"/>
  <c r="D798" i="6" s="1"/>
  <c r="D803" i="6" s="1"/>
  <c r="D812" i="6" s="1"/>
  <c r="D840" i="6" s="1"/>
  <c r="D845" i="6" s="1"/>
  <c r="D854" i="6" s="1"/>
  <c r="D882" i="6" s="1"/>
  <c r="D887" i="6" s="1"/>
  <c r="D896" i="6" s="1"/>
  <c r="D924" i="6" s="1"/>
  <c r="D929" i="6" s="1"/>
  <c r="D938" i="6" s="1"/>
  <c r="D966" i="6" s="1"/>
  <c r="D971" i="6" s="1"/>
  <c r="D980" i="6" s="1"/>
  <c r="D1008" i="6" s="1"/>
  <c r="D1013" i="6" s="1"/>
  <c r="D1022" i="6" s="1"/>
  <c r="D1050" i="6" s="1"/>
  <c r="D1055" i="6" s="1"/>
  <c r="D1064" i="6" s="1"/>
  <c r="D1092" i="6" s="1"/>
  <c r="D1097" i="6" s="1"/>
  <c r="D1106" i="6" s="1"/>
  <c r="D1134" i="6" s="1"/>
  <c r="D1139" i="6" s="1"/>
  <c r="D1148" i="6" s="1"/>
  <c r="D1176" i="6" s="1"/>
  <c r="B42" i="6"/>
  <c r="B47" i="6" s="1"/>
  <c r="B56" i="6" s="1"/>
  <c r="B84" i="6" s="1"/>
  <c r="B89" i="6" s="1"/>
  <c r="B98" i="6" s="1"/>
  <c r="B126" i="6" s="1"/>
  <c r="B131" i="6" s="1"/>
  <c r="B140" i="6" s="1"/>
  <c r="B168" i="6" s="1"/>
  <c r="B173" i="6" s="1"/>
  <c r="B182" i="6" s="1"/>
  <c r="B210" i="6" s="1"/>
  <c r="B215" i="6" s="1"/>
  <c r="B224" i="6" s="1"/>
  <c r="B252" i="6" s="1"/>
  <c r="B257" i="6" s="1"/>
  <c r="B266" i="6" s="1"/>
  <c r="B294" i="6" s="1"/>
  <c r="B299" i="6" s="1"/>
  <c r="B308" i="6" s="1"/>
  <c r="B336" i="6" s="1"/>
  <c r="B341" i="6" s="1"/>
  <c r="B350" i="6" s="1"/>
  <c r="B378" i="6" s="1"/>
  <c r="B383" i="6" s="1"/>
  <c r="B392" i="6" s="1"/>
  <c r="B420" i="6" s="1"/>
  <c r="B425" i="6" s="1"/>
  <c r="B434" i="6" s="1"/>
  <c r="B462" i="6" s="1"/>
  <c r="B467" i="6" s="1"/>
  <c r="B476" i="6" s="1"/>
  <c r="B504" i="6" s="1"/>
  <c r="B509" i="6" s="1"/>
  <c r="B518" i="6" s="1"/>
  <c r="B546" i="6" s="1"/>
  <c r="B551" i="6" s="1"/>
  <c r="B560" i="6" s="1"/>
  <c r="B588" i="6" s="1"/>
  <c r="B593" i="6" s="1"/>
  <c r="N42" i="6"/>
  <c r="N47" i="6" s="1"/>
  <c r="N56" i="6" s="1"/>
  <c r="N84" i="6" s="1"/>
  <c r="N89" i="6" s="1"/>
  <c r="N98" i="6" s="1"/>
  <c r="N126" i="6" s="1"/>
  <c r="N131" i="6" s="1"/>
  <c r="N140" i="6" s="1"/>
  <c r="N168" i="6" s="1"/>
  <c r="N173" i="6" s="1"/>
  <c r="N182" i="6" s="1"/>
  <c r="N210" i="6" s="1"/>
  <c r="N215" i="6" s="1"/>
  <c r="N224" i="6" s="1"/>
  <c r="N252" i="6" s="1"/>
  <c r="N257" i="6" s="1"/>
  <c r="N266" i="6" s="1"/>
  <c r="N294" i="6" s="1"/>
  <c r="N299" i="6" s="1"/>
  <c r="N308" i="6" s="1"/>
  <c r="N336" i="6" s="1"/>
  <c r="N341" i="6" s="1"/>
  <c r="N350" i="6" s="1"/>
  <c r="N378" i="6" s="1"/>
  <c r="N383" i="6" s="1"/>
  <c r="N392" i="6" s="1"/>
  <c r="N420" i="6" s="1"/>
  <c r="N425" i="6" s="1"/>
  <c r="N434" i="6" s="1"/>
  <c r="N462" i="6" s="1"/>
  <c r="N467" i="6" s="1"/>
  <c r="N476" i="6" s="1"/>
  <c r="N504" i="6" s="1"/>
  <c r="N509" i="6" s="1"/>
  <c r="N518" i="6" s="1"/>
  <c r="N546" i="6" s="1"/>
  <c r="N551" i="6" s="1"/>
  <c r="N560" i="6" s="1"/>
  <c r="N588" i="6" s="1"/>
  <c r="N593" i="6" s="1"/>
  <c r="N602" i="6" s="1"/>
  <c r="N630" i="6" s="1"/>
  <c r="N635" i="6" s="1"/>
  <c r="N644" i="6" s="1"/>
  <c r="N672" i="6" s="1"/>
  <c r="N677" i="6" s="1"/>
  <c r="N686" i="6" s="1"/>
  <c r="N714" i="6" s="1"/>
  <c r="N719" i="6" s="1"/>
  <c r="N728" i="6" s="1"/>
  <c r="N756" i="6" s="1"/>
  <c r="N761" i="6" s="1"/>
  <c r="N770" i="6" s="1"/>
  <c r="N798" i="6" s="1"/>
  <c r="N803" i="6" s="1"/>
  <c r="N812" i="6" s="1"/>
  <c r="N840" i="6" s="1"/>
  <c r="N845" i="6" s="1"/>
  <c r="N854" i="6" s="1"/>
  <c r="N882" i="6" s="1"/>
  <c r="N887" i="6" s="1"/>
  <c r="N896" i="6" s="1"/>
  <c r="N924" i="6" s="1"/>
  <c r="N929" i="6" s="1"/>
  <c r="N938" i="6" s="1"/>
  <c r="N966" i="6" s="1"/>
  <c r="N971" i="6" s="1"/>
  <c r="N980" i="6" s="1"/>
  <c r="N1008" i="6" s="1"/>
  <c r="N1013" i="6" s="1"/>
  <c r="N1022" i="6" s="1"/>
  <c r="N1050" i="6" s="1"/>
  <c r="N1055" i="6" s="1"/>
  <c r="N1064" i="6" s="1"/>
  <c r="N1092" i="6" s="1"/>
  <c r="N1097" i="6" s="1"/>
  <c r="N1106" i="6" s="1"/>
  <c r="N1134" i="6" s="1"/>
  <c r="N1139" i="6" s="1"/>
  <c r="N1148" i="6" s="1"/>
  <c r="N1176" i="6" s="1"/>
  <c r="N1181" i="6" s="1"/>
  <c r="N1190" i="6" s="1"/>
  <c r="N1218" i="6" s="1"/>
  <c r="N1223" i="6" s="1"/>
  <c r="N1232" i="6" s="1"/>
  <c r="N1260" i="6" s="1"/>
  <c r="N1265" i="6" s="1"/>
  <c r="N1274" i="6" s="1"/>
  <c r="N1302" i="6" s="1"/>
  <c r="N1307" i="6" s="1"/>
  <c r="N1316" i="6" s="1"/>
  <c r="N1344" i="6" s="1"/>
  <c r="N1349" i="6" s="1"/>
  <c r="N1358" i="6" s="1"/>
  <c r="N1386" i="6" s="1"/>
  <c r="N1391" i="6" s="1"/>
  <c r="N1400" i="6" s="1"/>
  <c r="N1428" i="6" s="1"/>
  <c r="N1433" i="6" s="1"/>
  <c r="N1442" i="6" s="1"/>
  <c r="N1470" i="6" s="1"/>
  <c r="N1475" i="6" s="1"/>
  <c r="N1484" i="6" s="1"/>
  <c r="N1512" i="6" s="1"/>
  <c r="N1517" i="6" s="1"/>
  <c r="N1526" i="6" s="1"/>
  <c r="N1554" i="6" s="1"/>
  <c r="O461" i="5"/>
  <c r="C42" i="3"/>
  <c r="C47" i="3" s="1"/>
  <c r="C57" i="3" s="1"/>
  <c r="C85" i="3" s="1"/>
  <c r="C90" i="3" s="1"/>
  <c r="C100" i="3" s="1"/>
  <c r="C128" i="3" s="1"/>
  <c r="C133" i="3" s="1"/>
  <c r="C143" i="3" s="1"/>
  <c r="C171" i="3" s="1"/>
  <c r="C176" i="3" s="1"/>
  <c r="C186" i="3" s="1"/>
  <c r="C214" i="3" s="1"/>
  <c r="C219" i="3" s="1"/>
  <c r="C229" i="3" s="1"/>
  <c r="C257" i="3" s="1"/>
  <c r="C262" i="3" s="1"/>
  <c r="C272" i="3" s="1"/>
  <c r="C300" i="3" s="1"/>
  <c r="C305" i="3" s="1"/>
  <c r="C315" i="3" s="1"/>
  <c r="C343" i="3" s="1"/>
  <c r="C348" i="3" s="1"/>
  <c r="C358" i="3" s="1"/>
  <c r="C386" i="3" s="1"/>
  <c r="C391" i="3" s="1"/>
  <c r="C401" i="3" s="1"/>
  <c r="C429" i="3" s="1"/>
  <c r="C434" i="3" s="1"/>
  <c r="C444" i="3" s="1"/>
  <c r="C472" i="3" s="1"/>
  <c r="C477" i="3" s="1"/>
  <c r="C487" i="3" s="1"/>
  <c r="C515" i="3" s="1"/>
  <c r="C520" i="3" s="1"/>
  <c r="C530" i="3" s="1"/>
  <c r="C558" i="3" s="1"/>
  <c r="C563" i="3" s="1"/>
  <c r="C573" i="3" s="1"/>
  <c r="C601" i="3" s="1"/>
  <c r="C606" i="3" s="1"/>
  <c r="C616" i="3" s="1"/>
  <c r="C644" i="3" s="1"/>
  <c r="C649" i="3" s="1"/>
  <c r="C659" i="3" s="1"/>
  <c r="C687" i="3" s="1"/>
  <c r="C692" i="3" s="1"/>
  <c r="C702" i="3" s="1"/>
  <c r="C730" i="3" s="1"/>
  <c r="C735" i="3" s="1"/>
  <c r="C745" i="3" s="1"/>
  <c r="C773" i="3" s="1"/>
  <c r="C778" i="3" s="1"/>
  <c r="C788" i="3" s="1"/>
  <c r="C816" i="3" s="1"/>
  <c r="C821" i="3" s="1"/>
  <c r="C831" i="3" s="1"/>
  <c r="C859" i="3" s="1"/>
  <c r="C864" i="3" s="1"/>
  <c r="C874" i="3" s="1"/>
  <c r="C902" i="3" s="1"/>
  <c r="C907" i="3" s="1"/>
  <c r="C917" i="3" s="1"/>
  <c r="C945" i="3" s="1"/>
  <c r="C950" i="3" s="1"/>
  <c r="C960" i="3" s="1"/>
  <c r="C988" i="3" s="1"/>
  <c r="C993" i="3" s="1"/>
  <c r="C1036" i="3" s="1"/>
  <c r="C1046" i="3" s="1"/>
  <c r="C1074" i="3" s="1"/>
  <c r="D42" i="4"/>
  <c r="D47" i="4" s="1"/>
  <c r="D57" i="4" s="1"/>
  <c r="D85" i="4" s="1"/>
  <c r="D90" i="4" s="1"/>
  <c r="D100" i="4" s="1"/>
  <c r="D128" i="4" s="1"/>
  <c r="D133" i="4" s="1"/>
  <c r="D143" i="4" s="1"/>
  <c r="D171" i="4" s="1"/>
  <c r="D176" i="4" s="1"/>
  <c r="D186" i="4" s="1"/>
  <c r="D214" i="4" s="1"/>
  <c r="D219" i="4" s="1"/>
  <c r="D229" i="4" s="1"/>
  <c r="D257" i="4" s="1"/>
  <c r="D262" i="4" s="1"/>
  <c r="D272" i="4" s="1"/>
  <c r="D300" i="4" s="1"/>
  <c r="D305" i="4" s="1"/>
  <c r="D315" i="4" s="1"/>
  <c r="D343" i="4" s="1"/>
  <c r="D348" i="4" s="1"/>
  <c r="D358" i="4" s="1"/>
  <c r="D386" i="4" s="1"/>
  <c r="D391" i="4" s="1"/>
  <c r="D401" i="4" s="1"/>
  <c r="D429" i="4" s="1"/>
  <c r="D434" i="4" s="1"/>
  <c r="D444" i="4" s="1"/>
  <c r="D472" i="4" s="1"/>
  <c r="D477" i="4" s="1"/>
  <c r="D487" i="4" s="1"/>
  <c r="D515" i="4" s="1"/>
  <c r="D520" i="4" s="1"/>
  <c r="D530" i="4" s="1"/>
  <c r="D558" i="4" s="1"/>
  <c r="D563" i="4" s="1"/>
  <c r="D573" i="4" s="1"/>
  <c r="D601" i="4" s="1"/>
  <c r="D606" i="4" s="1"/>
  <c r="D616" i="4" s="1"/>
  <c r="D644" i="4" s="1"/>
  <c r="D649" i="4" s="1"/>
  <c r="D659" i="4" s="1"/>
  <c r="D687" i="4" s="1"/>
  <c r="D692" i="4" s="1"/>
  <c r="D702" i="4" s="1"/>
  <c r="D730" i="4" s="1"/>
  <c r="D735" i="4" s="1"/>
  <c r="D745" i="4" s="1"/>
  <c r="D773" i="4" s="1"/>
  <c r="D778" i="4" s="1"/>
  <c r="D788" i="4" s="1"/>
  <c r="D816" i="4" s="1"/>
  <c r="D821" i="4" s="1"/>
  <c r="D831" i="4" s="1"/>
  <c r="D859" i="4" s="1"/>
  <c r="D864" i="4" s="1"/>
  <c r="D874" i="4" s="1"/>
  <c r="D902" i="4" s="1"/>
  <c r="D907" i="4" s="1"/>
  <c r="D917" i="4" s="1"/>
  <c r="D945" i="4" s="1"/>
  <c r="D950" i="4" s="1"/>
  <c r="D960" i="4" s="1"/>
  <c r="D988" i="4" s="1"/>
  <c r="D993" i="4" s="1"/>
  <c r="D1003" i="4" s="1"/>
  <c r="D1031" i="4" s="1"/>
  <c r="D1036" i="4" s="1"/>
  <c r="D1046" i="4" s="1"/>
  <c r="D1074" i="4" s="1"/>
  <c r="D1079" i="4" s="1"/>
  <c r="D1089" i="4" s="1"/>
  <c r="D1117" i="4" s="1"/>
  <c r="D1122" i="4" s="1"/>
  <c r="D1132" i="4" s="1"/>
  <c r="D1160" i="4" s="1"/>
  <c r="D1165" i="4" s="1"/>
  <c r="D1175" i="4" s="1"/>
  <c r="D1203" i="4" s="1"/>
  <c r="D1208" i="4" s="1"/>
  <c r="D1218" i="4" s="1"/>
  <c r="D1246" i="4" s="1"/>
  <c r="D1251" i="4" s="1"/>
  <c r="D1261" i="4" s="1"/>
  <c r="D1289" i="4" s="1"/>
  <c r="D1294" i="4" s="1"/>
  <c r="D1304" i="4" s="1"/>
  <c r="D1332" i="4" s="1"/>
  <c r="D1337" i="4" s="1"/>
  <c r="D1347" i="4" s="1"/>
  <c r="D1375" i="4" s="1"/>
  <c r="D1380" i="4" s="1"/>
  <c r="D1390" i="4" s="1"/>
  <c r="D1418" i="4" s="1"/>
  <c r="D1423" i="4" s="1"/>
  <c r="D1433" i="4" s="1"/>
  <c r="D1461" i="4" s="1"/>
  <c r="D1466" i="4" s="1"/>
  <c r="D1476" i="4" s="1"/>
  <c r="D1504" i="4" s="1"/>
  <c r="D1509" i="4" s="1"/>
  <c r="D1519" i="4" s="1"/>
  <c r="D1547" i="4" s="1"/>
  <c r="D1552" i="4" s="1"/>
  <c r="D1562" i="4" s="1"/>
  <c r="D1590" i="4" s="1"/>
  <c r="D1595" i="4" s="1"/>
  <c r="D1605" i="4" s="1"/>
  <c r="D1633" i="4" s="1"/>
  <c r="D1638" i="4" s="1"/>
  <c r="D1648" i="4" s="1"/>
  <c r="D1676" i="4" s="1"/>
  <c r="D1681" i="4" s="1"/>
  <c r="D1691" i="4" s="1"/>
  <c r="D1719" i="4" s="1"/>
  <c r="D1724" i="4" s="1"/>
  <c r="C42" i="5"/>
  <c r="C47" i="5" s="1"/>
  <c r="C56" i="5" s="1"/>
  <c r="C84" i="5" s="1"/>
  <c r="C89" i="5" s="1"/>
  <c r="O419" i="7"/>
  <c r="C42" i="6"/>
  <c r="C47" i="6" s="1"/>
  <c r="C56" i="6" s="1"/>
  <c r="C84" i="6" s="1"/>
  <c r="C89" i="6" s="1"/>
  <c r="C98" i="6" s="1"/>
  <c r="C126" i="6" s="1"/>
  <c r="C131" i="6" s="1"/>
  <c r="M42" i="6"/>
  <c r="M47" i="6" s="1"/>
  <c r="M56" i="6" s="1"/>
  <c r="M84" i="6" s="1"/>
  <c r="M89" i="6" s="1"/>
  <c r="M98" i="6" s="1"/>
  <c r="M126" i="6" s="1"/>
  <c r="M131" i="6" s="1"/>
  <c r="M140" i="6" s="1"/>
  <c r="M168" i="6" s="1"/>
  <c r="M173" i="6" s="1"/>
  <c r="M182" i="6" s="1"/>
  <c r="M210" i="6" s="1"/>
  <c r="M215" i="6" s="1"/>
  <c r="M224" i="6" s="1"/>
  <c r="M252" i="6" s="1"/>
  <c r="M257" i="6" s="1"/>
  <c r="M266" i="6" s="1"/>
  <c r="M294" i="6" s="1"/>
  <c r="M299" i="6" s="1"/>
  <c r="M308" i="6" s="1"/>
  <c r="M336" i="6" s="1"/>
  <c r="M341" i="6" s="1"/>
  <c r="M350" i="6" s="1"/>
  <c r="M378" i="6" s="1"/>
  <c r="M383" i="6" s="1"/>
  <c r="M392" i="6" s="1"/>
  <c r="M420" i="6" s="1"/>
  <c r="M425" i="6" s="1"/>
  <c r="M434" i="6" s="1"/>
  <c r="M462" i="6" s="1"/>
  <c r="M467" i="6" s="1"/>
  <c r="M476" i="6" s="1"/>
  <c r="M504" i="6" s="1"/>
  <c r="M509" i="6" s="1"/>
  <c r="M518" i="6" s="1"/>
  <c r="M546" i="6" s="1"/>
  <c r="M551" i="6" s="1"/>
  <c r="M560" i="6" s="1"/>
  <c r="M588" i="6" s="1"/>
  <c r="M593" i="6" s="1"/>
  <c r="M602" i="6" s="1"/>
  <c r="M630" i="6" s="1"/>
  <c r="M635" i="6" s="1"/>
  <c r="M644" i="6" s="1"/>
  <c r="M672" i="6" s="1"/>
  <c r="M677" i="6" s="1"/>
  <c r="M686" i="6" s="1"/>
  <c r="M714" i="6" s="1"/>
  <c r="M719" i="6" s="1"/>
  <c r="M728" i="6" s="1"/>
  <c r="M756" i="6" s="1"/>
  <c r="M761" i="6" s="1"/>
  <c r="M770" i="6" s="1"/>
  <c r="M798" i="6" s="1"/>
  <c r="M803" i="6" s="1"/>
  <c r="M812" i="6" s="1"/>
  <c r="M840" i="6" s="1"/>
  <c r="M845" i="6" s="1"/>
  <c r="M854" i="6" s="1"/>
  <c r="M882" i="6" s="1"/>
  <c r="M887" i="6" s="1"/>
  <c r="M896" i="6" s="1"/>
  <c r="M924" i="6" s="1"/>
  <c r="M929" i="6" s="1"/>
  <c r="M938" i="6" s="1"/>
  <c r="M966" i="6" s="1"/>
  <c r="M971" i="6" s="1"/>
  <c r="M980" i="6" s="1"/>
  <c r="M1008" i="6" s="1"/>
  <c r="M1013" i="6" s="1"/>
  <c r="M1022" i="6" s="1"/>
  <c r="M1050" i="6" s="1"/>
  <c r="M1055" i="6" s="1"/>
  <c r="M1064" i="6" s="1"/>
  <c r="M1092" i="6" s="1"/>
  <c r="M1097" i="6" s="1"/>
  <c r="M1106" i="6" s="1"/>
  <c r="M1134" i="6" s="1"/>
  <c r="M1139" i="6" s="1"/>
  <c r="M1148" i="6" s="1"/>
  <c r="M1176" i="6" s="1"/>
  <c r="M1181" i="6" s="1"/>
  <c r="M1190" i="6" s="1"/>
  <c r="M1218" i="6" s="1"/>
  <c r="M1223" i="6" s="1"/>
  <c r="M1232" i="6" s="1"/>
  <c r="M1260" i="6" s="1"/>
  <c r="M1265" i="6" s="1"/>
  <c r="M1274" i="6" s="1"/>
  <c r="M1302" i="6" s="1"/>
  <c r="M1307" i="6" s="1"/>
  <c r="M1316" i="6" s="1"/>
  <c r="M1344" i="6" s="1"/>
  <c r="M1349" i="6" s="1"/>
  <c r="M1358" i="6" s="1"/>
  <c r="M1386" i="6" s="1"/>
  <c r="M1391" i="6" s="1"/>
  <c r="M1400" i="6" s="1"/>
  <c r="M1428" i="6" s="1"/>
  <c r="M1433" i="6" s="1"/>
  <c r="M1442" i="6" s="1"/>
  <c r="M1470" i="6" s="1"/>
  <c r="M1475" i="6" s="1"/>
  <c r="M1484" i="6" s="1"/>
  <c r="M1512" i="6" s="1"/>
  <c r="M1517" i="6" s="1"/>
  <c r="J42" i="6"/>
  <c r="J47" i="6" s="1"/>
  <c r="J56" i="6" s="1"/>
  <c r="J84" i="6" s="1"/>
  <c r="J89" i="6" s="1"/>
  <c r="J98" i="6" s="1"/>
  <c r="J126" i="6" s="1"/>
  <c r="J131" i="6" s="1"/>
  <c r="O686" i="3"/>
  <c r="G461" i="7"/>
  <c r="G503" i="5"/>
  <c r="N42" i="3"/>
  <c r="N47" i="3" s="1"/>
  <c r="N57" i="3" s="1"/>
  <c r="N85" i="3" s="1"/>
  <c r="N90" i="3" s="1"/>
  <c r="N100" i="3" s="1"/>
  <c r="N128" i="3" s="1"/>
  <c r="N133" i="3" s="1"/>
  <c r="N143" i="3" s="1"/>
  <c r="N171" i="3" s="1"/>
  <c r="N176" i="3" s="1"/>
  <c r="N186" i="3" s="1"/>
  <c r="N214" i="3" s="1"/>
  <c r="N219" i="3" s="1"/>
  <c r="N229" i="3" s="1"/>
  <c r="N257" i="3" s="1"/>
  <c r="N262" i="3" s="1"/>
  <c r="N272" i="3" s="1"/>
  <c r="N300" i="3" s="1"/>
  <c r="N305" i="3" s="1"/>
  <c r="N315" i="3" s="1"/>
  <c r="N343" i="3" s="1"/>
  <c r="N348" i="3" s="1"/>
  <c r="N358" i="3" s="1"/>
  <c r="N386" i="3" s="1"/>
  <c r="N391" i="3" s="1"/>
  <c r="N401" i="3" s="1"/>
  <c r="N429" i="3" s="1"/>
  <c r="N434" i="3" s="1"/>
  <c r="N444" i="3" s="1"/>
  <c r="N472" i="3" s="1"/>
  <c r="N477" i="3" s="1"/>
  <c r="N487" i="3" s="1"/>
  <c r="N515" i="3" s="1"/>
  <c r="N520" i="3" s="1"/>
  <c r="N530" i="3" s="1"/>
  <c r="N558" i="3" s="1"/>
  <c r="N563" i="3" s="1"/>
  <c r="N573" i="3" s="1"/>
  <c r="N601" i="3" s="1"/>
  <c r="N606" i="3" s="1"/>
  <c r="N616" i="3" s="1"/>
  <c r="N644" i="3" s="1"/>
  <c r="N649" i="3" s="1"/>
  <c r="N659" i="3" s="1"/>
  <c r="N687" i="3" s="1"/>
  <c r="N692" i="3" s="1"/>
  <c r="N702" i="3" s="1"/>
  <c r="N730" i="3" s="1"/>
  <c r="N735" i="3" s="1"/>
  <c r="N745" i="3" s="1"/>
  <c r="N773" i="3" s="1"/>
  <c r="N778" i="3" s="1"/>
  <c r="N788" i="3" s="1"/>
  <c r="N816" i="3" s="1"/>
  <c r="N821" i="3" s="1"/>
  <c r="N831" i="3" s="1"/>
  <c r="N859" i="3" s="1"/>
  <c r="N864" i="3" s="1"/>
  <c r="N874" i="3" s="1"/>
  <c r="N902" i="3" s="1"/>
  <c r="N907" i="3" s="1"/>
  <c r="N917" i="3" s="1"/>
  <c r="N945" i="3" s="1"/>
  <c r="N950" i="3" s="1"/>
  <c r="N960" i="3" s="1"/>
  <c r="N988" i="3" s="1"/>
  <c r="N993" i="3" s="1"/>
  <c r="M42" i="3"/>
  <c r="M47" i="3" s="1"/>
  <c r="M57" i="3" s="1"/>
  <c r="M85" i="3" s="1"/>
  <c r="M90" i="3" s="1"/>
  <c r="M100" i="3" s="1"/>
  <c r="M128" i="3" s="1"/>
  <c r="M133" i="3" s="1"/>
  <c r="M143" i="3" s="1"/>
  <c r="M171" i="3" s="1"/>
  <c r="M176" i="3" s="1"/>
  <c r="M186" i="3" s="1"/>
  <c r="M214" i="3" s="1"/>
  <c r="M219" i="3" s="1"/>
  <c r="M229" i="3" s="1"/>
  <c r="M257" i="3" s="1"/>
  <c r="M262" i="3" s="1"/>
  <c r="M272" i="3" s="1"/>
  <c r="M300" i="3" s="1"/>
  <c r="M305" i="3" s="1"/>
  <c r="M315" i="3" s="1"/>
  <c r="M343" i="3" s="1"/>
  <c r="M348" i="3" s="1"/>
  <c r="M358" i="3" s="1"/>
  <c r="M386" i="3" s="1"/>
  <c r="M391" i="3" s="1"/>
  <c r="M401" i="3" s="1"/>
  <c r="M429" i="3" s="1"/>
  <c r="M434" i="3" s="1"/>
  <c r="M444" i="3" s="1"/>
  <c r="M472" i="3" s="1"/>
  <c r="M477" i="3" s="1"/>
  <c r="M487" i="3" s="1"/>
  <c r="M515" i="3" s="1"/>
  <c r="M520" i="3" s="1"/>
  <c r="M530" i="3" s="1"/>
  <c r="M558" i="3" s="1"/>
  <c r="M563" i="3" s="1"/>
  <c r="M573" i="3" s="1"/>
  <c r="M601" i="3" s="1"/>
  <c r="M606" i="3" s="1"/>
  <c r="M616" i="3" s="1"/>
  <c r="M644" i="3" s="1"/>
  <c r="M649" i="3" s="1"/>
  <c r="M659" i="3" s="1"/>
  <c r="M687" i="3" s="1"/>
  <c r="M692" i="3" s="1"/>
  <c r="M702" i="3" s="1"/>
  <c r="M730" i="3" s="1"/>
  <c r="M735" i="3" s="1"/>
  <c r="M745" i="3" s="1"/>
  <c r="M773" i="3" s="1"/>
  <c r="M778" i="3" s="1"/>
  <c r="M788" i="3" s="1"/>
  <c r="M816" i="3" s="1"/>
  <c r="M821" i="3" s="1"/>
  <c r="M831" i="3" s="1"/>
  <c r="M859" i="3" s="1"/>
  <c r="M864" i="3" s="1"/>
  <c r="M874" i="3" s="1"/>
  <c r="M902" i="3" s="1"/>
  <c r="M907" i="3" s="1"/>
  <c r="M917" i="3" s="1"/>
  <c r="M945" i="3" s="1"/>
  <c r="M950" i="3" s="1"/>
  <c r="M960" i="3" s="1"/>
  <c r="M988" i="3" s="1"/>
  <c r="M993" i="3" s="1"/>
  <c r="M1003" i="3" s="1"/>
  <c r="M1031" i="3" s="1"/>
  <c r="M1036" i="3" s="1"/>
  <c r="M1046" i="3" s="1"/>
  <c r="M1074" i="3" s="1"/>
  <c r="L42" i="3"/>
  <c r="L47" i="3" s="1"/>
  <c r="L57" i="3" s="1"/>
  <c r="L85" i="3" s="1"/>
  <c r="L90" i="3" s="1"/>
  <c r="L100" i="3" s="1"/>
  <c r="L128" i="3" s="1"/>
  <c r="L133" i="3" s="1"/>
  <c r="L143" i="3" s="1"/>
  <c r="L171" i="3" s="1"/>
  <c r="L176" i="3" s="1"/>
  <c r="L186" i="3" s="1"/>
  <c r="L214" i="3" s="1"/>
  <c r="L219" i="3" s="1"/>
  <c r="L229" i="3" s="1"/>
  <c r="L257" i="3" s="1"/>
  <c r="L262" i="3" s="1"/>
  <c r="L272" i="3" s="1"/>
  <c r="L300" i="3" s="1"/>
  <c r="L305" i="3" s="1"/>
  <c r="L315" i="3" s="1"/>
  <c r="L343" i="3" s="1"/>
  <c r="L348" i="3" s="1"/>
  <c r="L358" i="3" s="1"/>
  <c r="L386" i="3" s="1"/>
  <c r="L391" i="3" s="1"/>
  <c r="L401" i="3" s="1"/>
  <c r="L429" i="3" s="1"/>
  <c r="L434" i="3" s="1"/>
  <c r="L444" i="3" s="1"/>
  <c r="L472" i="3" s="1"/>
  <c r="L477" i="3" s="1"/>
  <c r="L487" i="3" s="1"/>
  <c r="L515" i="3" s="1"/>
  <c r="L520" i="3" s="1"/>
  <c r="L530" i="3" s="1"/>
  <c r="L558" i="3" s="1"/>
  <c r="L563" i="3" s="1"/>
  <c r="L573" i="3" s="1"/>
  <c r="L601" i="3" s="1"/>
  <c r="L606" i="3" s="1"/>
  <c r="L616" i="3" s="1"/>
  <c r="L644" i="3" s="1"/>
  <c r="L649" i="3" s="1"/>
  <c r="L659" i="3" s="1"/>
  <c r="L687" i="3" s="1"/>
  <c r="L692" i="3" s="1"/>
  <c r="L702" i="3" s="1"/>
  <c r="L730" i="3" s="1"/>
  <c r="L735" i="3" s="1"/>
  <c r="L745" i="3" s="1"/>
  <c r="L773" i="3" s="1"/>
  <c r="L778" i="3" s="1"/>
  <c r="L788" i="3" s="1"/>
  <c r="L816" i="3" s="1"/>
  <c r="L821" i="3" s="1"/>
  <c r="L831" i="3" s="1"/>
  <c r="L859" i="3" s="1"/>
  <c r="L864" i="3" s="1"/>
  <c r="L874" i="3" s="1"/>
  <c r="L902" i="3" s="1"/>
  <c r="L907" i="3" s="1"/>
  <c r="K42" i="3"/>
  <c r="K47" i="3" s="1"/>
  <c r="K57" i="3" s="1"/>
  <c r="K85" i="3" s="1"/>
  <c r="K90" i="3" s="1"/>
  <c r="K100" i="3" s="1"/>
  <c r="K128" i="3" s="1"/>
  <c r="K133" i="3" s="1"/>
  <c r="K143" i="3" s="1"/>
  <c r="K171" i="3" s="1"/>
  <c r="K176" i="3" s="1"/>
  <c r="K186" i="3" s="1"/>
  <c r="K214" i="3" s="1"/>
  <c r="K219" i="3" s="1"/>
  <c r="K229" i="3" s="1"/>
  <c r="K257" i="3" s="1"/>
  <c r="K262" i="3" s="1"/>
  <c r="K272" i="3" s="1"/>
  <c r="K300" i="3" s="1"/>
  <c r="K305" i="3" s="1"/>
  <c r="K315" i="3" s="1"/>
  <c r="K343" i="3" s="1"/>
  <c r="K348" i="3" s="1"/>
  <c r="K358" i="3" s="1"/>
  <c r="K386" i="3" s="1"/>
  <c r="K391" i="3" s="1"/>
  <c r="K401" i="3" s="1"/>
  <c r="K429" i="3" s="1"/>
  <c r="K434" i="3" s="1"/>
  <c r="K444" i="3" s="1"/>
  <c r="K472" i="3" s="1"/>
  <c r="K477" i="3" s="1"/>
  <c r="K487" i="3" s="1"/>
  <c r="K515" i="3" s="1"/>
  <c r="K520" i="3" s="1"/>
  <c r="K530" i="3" s="1"/>
  <c r="K558" i="3" s="1"/>
  <c r="K563" i="3" s="1"/>
  <c r="K573" i="3" s="1"/>
  <c r="K601" i="3" s="1"/>
  <c r="K606" i="3" s="1"/>
  <c r="K616" i="3" s="1"/>
  <c r="K644" i="3" s="1"/>
  <c r="K649" i="3" s="1"/>
  <c r="K659" i="3" s="1"/>
  <c r="K687" i="3" s="1"/>
  <c r="K692" i="3" s="1"/>
  <c r="K702" i="3" s="1"/>
  <c r="K730" i="3" s="1"/>
  <c r="K735" i="3" s="1"/>
  <c r="K745" i="3" s="1"/>
  <c r="K773" i="3" s="1"/>
  <c r="K778" i="3" s="1"/>
  <c r="K788" i="3" s="1"/>
  <c r="K816" i="3" s="1"/>
  <c r="K821" i="3" s="1"/>
  <c r="K831" i="3" s="1"/>
  <c r="K859" i="3" s="1"/>
  <c r="K864" i="3" s="1"/>
  <c r="K874" i="3" s="1"/>
  <c r="K902" i="3" s="1"/>
  <c r="K907" i="3" s="1"/>
  <c r="K917" i="3" s="1"/>
  <c r="K945" i="3" s="1"/>
  <c r="K950" i="3" s="1"/>
  <c r="K960" i="3" s="1"/>
  <c r="K988" i="3" s="1"/>
  <c r="K993" i="3" s="1"/>
  <c r="K1003" i="3" s="1"/>
  <c r="K1031" i="3" s="1"/>
  <c r="K1036" i="3" s="1"/>
  <c r="K1046" i="3" s="1"/>
  <c r="K1074" i="3" s="1"/>
  <c r="J42" i="3"/>
  <c r="J47" i="3" s="1"/>
  <c r="J57" i="3" s="1"/>
  <c r="J85" i="3" s="1"/>
  <c r="J90" i="3" s="1"/>
  <c r="G1374" i="4"/>
  <c r="F42" i="4"/>
  <c r="F47" i="4" s="1"/>
  <c r="F57" i="4" s="1"/>
  <c r="F85" i="4" s="1"/>
  <c r="F90" i="4" s="1"/>
  <c r="F100" i="4" s="1"/>
  <c r="F128" i="4" s="1"/>
  <c r="F133" i="4" s="1"/>
  <c r="F143" i="4" s="1"/>
  <c r="F171" i="4" s="1"/>
  <c r="F176" i="4" s="1"/>
  <c r="F186" i="4" s="1"/>
  <c r="F214" i="4" s="1"/>
  <c r="F219" i="4" s="1"/>
  <c r="F229" i="4" s="1"/>
  <c r="F257" i="4" s="1"/>
  <c r="F262" i="4" s="1"/>
  <c r="F272" i="4" s="1"/>
  <c r="F300" i="4" s="1"/>
  <c r="F305" i="4" s="1"/>
  <c r="F315" i="4" s="1"/>
  <c r="F343" i="4" s="1"/>
  <c r="F348" i="4" s="1"/>
  <c r="F358" i="4" s="1"/>
  <c r="F386" i="4" s="1"/>
  <c r="F391" i="4" s="1"/>
  <c r="F401" i="4" s="1"/>
  <c r="F429" i="4" s="1"/>
  <c r="F434" i="4" s="1"/>
  <c r="F444" i="4" s="1"/>
  <c r="F472" i="4" s="1"/>
  <c r="F477" i="4" s="1"/>
  <c r="F487" i="4" s="1"/>
  <c r="F515" i="4" s="1"/>
  <c r="F520" i="4" s="1"/>
  <c r="F530" i="4" s="1"/>
  <c r="F558" i="4" s="1"/>
  <c r="F563" i="4" s="1"/>
  <c r="F573" i="4" s="1"/>
  <c r="F601" i="4" s="1"/>
  <c r="F606" i="4" s="1"/>
  <c r="F616" i="4" s="1"/>
  <c r="F644" i="4" s="1"/>
  <c r="F649" i="4" s="1"/>
  <c r="F659" i="4" s="1"/>
  <c r="F687" i="4" s="1"/>
  <c r="F692" i="4" s="1"/>
  <c r="F702" i="4" s="1"/>
  <c r="F730" i="4" s="1"/>
  <c r="F735" i="4" s="1"/>
  <c r="F745" i="4" s="1"/>
  <c r="F773" i="4" s="1"/>
  <c r="F778" i="4" s="1"/>
  <c r="F788" i="4" s="1"/>
  <c r="F816" i="4" s="1"/>
  <c r="F821" i="4" s="1"/>
  <c r="F831" i="4" s="1"/>
  <c r="F859" i="4" s="1"/>
  <c r="F864" i="4" s="1"/>
  <c r="F874" i="4" s="1"/>
  <c r="F902" i="4" s="1"/>
  <c r="F907" i="4" s="1"/>
  <c r="F917" i="4" s="1"/>
  <c r="F945" i="4" s="1"/>
  <c r="F950" i="4" s="1"/>
  <c r="F960" i="4" s="1"/>
  <c r="F988" i="4" s="1"/>
  <c r="F993" i="4" s="1"/>
  <c r="F1003" i="4" s="1"/>
  <c r="F1031" i="4" s="1"/>
  <c r="F1036" i="4" s="1"/>
  <c r="F1046" i="4" s="1"/>
  <c r="F1074" i="4" s="1"/>
  <c r="F1079" i="4" s="1"/>
  <c r="F1089" i="4" s="1"/>
  <c r="F1117" i="4" s="1"/>
  <c r="F1122" i="4" s="1"/>
  <c r="F1132" i="4" s="1"/>
  <c r="F1160" i="4" s="1"/>
  <c r="F1165" i="4" s="1"/>
  <c r="F1175" i="4" s="1"/>
  <c r="F1203" i="4" s="1"/>
  <c r="F1208" i="4" s="1"/>
  <c r="F1218" i="4" s="1"/>
  <c r="F1246" i="4" s="1"/>
  <c r="F1251" i="4" s="1"/>
  <c r="F1261" i="4" s="1"/>
  <c r="F1289" i="4" s="1"/>
  <c r="F1294" i="4" s="1"/>
  <c r="F1304" i="4" s="1"/>
  <c r="F1332" i="4" s="1"/>
  <c r="F1337" i="4" s="1"/>
  <c r="F1347" i="4" s="1"/>
  <c r="F1375" i="4" s="1"/>
  <c r="F1380" i="4" s="1"/>
  <c r="F1390" i="4" s="1"/>
  <c r="F1418" i="4" s="1"/>
  <c r="F1423" i="4" s="1"/>
  <c r="F1433" i="4" s="1"/>
  <c r="F1461" i="4" s="1"/>
  <c r="F1466" i="4" s="1"/>
  <c r="F1476" i="4" s="1"/>
  <c r="F1504" i="4" s="1"/>
  <c r="F1509" i="4" s="1"/>
  <c r="F1519" i="4" s="1"/>
  <c r="F1547" i="4" s="1"/>
  <c r="F1552" i="4" s="1"/>
  <c r="F1562" i="4" s="1"/>
  <c r="F1590" i="4" s="1"/>
  <c r="F1595" i="4" s="1"/>
  <c r="F1605" i="4" s="1"/>
  <c r="F1633" i="4" s="1"/>
  <c r="F1638" i="4" s="1"/>
  <c r="F1648" i="4" s="1"/>
  <c r="F1676" i="4" s="1"/>
  <c r="F1681" i="4" s="1"/>
  <c r="F1691" i="4" s="1"/>
  <c r="F1719" i="4" s="1"/>
  <c r="F1724" i="4" s="1"/>
  <c r="F1734" i="4" s="1"/>
  <c r="F1762" i="4" s="1"/>
  <c r="F1767" i="4" s="1"/>
  <c r="F1777" i="4" s="1"/>
  <c r="F1805" i="4" s="1"/>
  <c r="F1810" i="4" s="1"/>
  <c r="F1820" i="4" s="1"/>
  <c r="F1848" i="4" s="1"/>
  <c r="F1853" i="4" s="1"/>
  <c r="F1863" i="4" s="1"/>
  <c r="F1891" i="4" s="1"/>
  <c r="F1896" i="4" s="1"/>
  <c r="F1906" i="4" s="1"/>
  <c r="F1934" i="4" s="1"/>
  <c r="F1939" i="4" s="1"/>
  <c r="F1949" i="4" s="1"/>
  <c r="F1977" i="4" s="1"/>
  <c r="E42" i="4"/>
  <c r="E47" i="4" s="1"/>
  <c r="O1374" i="4"/>
  <c r="O503" i="5"/>
  <c r="N42" i="5"/>
  <c r="N47" i="5" s="1"/>
  <c r="N56" i="5" s="1"/>
  <c r="N84" i="5" s="1"/>
  <c r="N89" i="5" s="1"/>
  <c r="N98" i="5" s="1"/>
  <c r="N126" i="5" s="1"/>
  <c r="N131" i="5" s="1"/>
  <c r="N140" i="5" s="1"/>
  <c r="N168" i="5" s="1"/>
  <c r="N173" i="5" s="1"/>
  <c r="N182" i="5" s="1"/>
  <c r="N210" i="5" s="1"/>
  <c r="N215" i="5" s="1"/>
  <c r="N224" i="5" s="1"/>
  <c r="N252" i="5" s="1"/>
  <c r="N257" i="5" s="1"/>
  <c r="N266" i="5" s="1"/>
  <c r="N294" i="5" s="1"/>
  <c r="N299" i="5" s="1"/>
  <c r="N308" i="5" s="1"/>
  <c r="N336" i="5" s="1"/>
  <c r="N341" i="5" s="1"/>
  <c r="N350" i="5" s="1"/>
  <c r="N378" i="5" s="1"/>
  <c r="N383" i="5" s="1"/>
  <c r="N392" i="5" s="1"/>
  <c r="N420" i="5" s="1"/>
  <c r="N425" i="5" s="1"/>
  <c r="N434" i="5" s="1"/>
  <c r="N462" i="5" s="1"/>
  <c r="N467" i="5" s="1"/>
  <c r="N476" i="5" s="1"/>
  <c r="N504" i="5" s="1"/>
  <c r="N509" i="5" s="1"/>
  <c r="N518" i="5" s="1"/>
  <c r="N546" i="5" s="1"/>
  <c r="N551" i="5" s="1"/>
  <c r="N560" i="5" s="1"/>
  <c r="N588" i="5" s="1"/>
  <c r="N593" i="5" s="1"/>
  <c r="N602" i="5" s="1"/>
  <c r="N630" i="5" s="1"/>
  <c r="N635" i="5" s="1"/>
  <c r="N644" i="5" s="1"/>
  <c r="N672" i="5" s="1"/>
  <c r="N677" i="5" s="1"/>
  <c r="N686" i="5" s="1"/>
  <c r="N714" i="5" s="1"/>
  <c r="N719" i="5" s="1"/>
  <c r="N728" i="5" s="1"/>
  <c r="N756" i="5" s="1"/>
  <c r="N761" i="5" s="1"/>
  <c r="N770" i="5" s="1"/>
  <c r="N798" i="5" s="1"/>
  <c r="N803" i="5" s="1"/>
  <c r="N812" i="5" s="1"/>
  <c r="N840" i="5" s="1"/>
  <c r="N845" i="5" s="1"/>
  <c r="N854" i="5" s="1"/>
  <c r="N882" i="5" s="1"/>
  <c r="N887" i="5" s="1"/>
  <c r="N896" i="5" s="1"/>
  <c r="N924" i="5" s="1"/>
  <c r="N929" i="5" s="1"/>
  <c r="N938" i="5" s="1"/>
  <c r="N966" i="5" s="1"/>
  <c r="N971" i="5" s="1"/>
  <c r="N980" i="5" s="1"/>
  <c r="N1008" i="5" s="1"/>
  <c r="N1013" i="5" s="1"/>
  <c r="N1022" i="5" s="1"/>
  <c r="N1050" i="5" s="1"/>
  <c r="N1055" i="5" s="1"/>
  <c r="N1064" i="5" s="1"/>
  <c r="N1092" i="5" s="1"/>
  <c r="N1097" i="5" s="1"/>
  <c r="N1106" i="5" s="1"/>
  <c r="N1134" i="5" s="1"/>
  <c r="N1139" i="5" s="1"/>
  <c r="N1148" i="5" s="1"/>
  <c r="N1176" i="5" s="1"/>
  <c r="N1181" i="5" s="1"/>
  <c r="N1190" i="5" s="1"/>
  <c r="N1218" i="5" s="1"/>
  <c r="N1223" i="5" s="1"/>
  <c r="N1232" i="5" s="1"/>
  <c r="N1260" i="5" s="1"/>
  <c r="N1265" i="5" s="1"/>
  <c r="N1274" i="5" s="1"/>
  <c r="N1302" i="5" s="1"/>
  <c r="N1307" i="5" s="1"/>
  <c r="N1316" i="5" s="1"/>
  <c r="N1344" i="5" s="1"/>
  <c r="N1349" i="5" s="1"/>
  <c r="N1358" i="5" s="1"/>
  <c r="N1386" i="5" s="1"/>
  <c r="N1391" i="5" s="1"/>
  <c r="N1400" i="5" s="1"/>
  <c r="N1428" i="5" s="1"/>
  <c r="N1433" i="5" s="1"/>
  <c r="N1442" i="5" s="1"/>
  <c r="N1470" i="5" s="1"/>
  <c r="N1475" i="5" s="1"/>
  <c r="N1484" i="5" s="1"/>
  <c r="N1512" i="5" s="1"/>
  <c r="N1517" i="5" s="1"/>
  <c r="N1526" i="5" s="1"/>
  <c r="N1554" i="5" s="1"/>
  <c r="M42" i="5"/>
  <c r="M47" i="5" s="1"/>
  <c r="M56" i="5" s="1"/>
  <c r="M84" i="5" s="1"/>
  <c r="M89" i="5" s="1"/>
  <c r="M98" i="5" s="1"/>
  <c r="M126" i="5" s="1"/>
  <c r="M131" i="5" s="1"/>
  <c r="M140" i="5" s="1"/>
  <c r="M168" i="5" s="1"/>
  <c r="M173" i="5" s="1"/>
  <c r="M182" i="5" s="1"/>
  <c r="M210" i="5" s="1"/>
  <c r="M215" i="5" s="1"/>
  <c r="M224" i="5" s="1"/>
  <c r="M252" i="5" s="1"/>
  <c r="M257" i="5" s="1"/>
  <c r="M266" i="5" s="1"/>
  <c r="M294" i="5" s="1"/>
  <c r="M299" i="5" s="1"/>
  <c r="M308" i="5" s="1"/>
  <c r="M336" i="5" s="1"/>
  <c r="M341" i="5" s="1"/>
  <c r="M350" i="5" s="1"/>
  <c r="M378" i="5" s="1"/>
  <c r="M383" i="5" s="1"/>
  <c r="M392" i="5" s="1"/>
  <c r="M420" i="5" s="1"/>
  <c r="M425" i="5" s="1"/>
  <c r="M434" i="5" s="1"/>
  <c r="M462" i="5" s="1"/>
  <c r="M467" i="5" s="1"/>
  <c r="M476" i="5" s="1"/>
  <c r="M504" i="5" s="1"/>
  <c r="M509" i="5" s="1"/>
  <c r="M518" i="5" s="1"/>
  <c r="M546" i="5" s="1"/>
  <c r="M551" i="5" s="1"/>
  <c r="M560" i="5" s="1"/>
  <c r="M588" i="5" s="1"/>
  <c r="M593" i="5" s="1"/>
  <c r="M602" i="5" s="1"/>
  <c r="M630" i="5" s="1"/>
  <c r="M635" i="5" s="1"/>
  <c r="M644" i="5" s="1"/>
  <c r="M672" i="5" s="1"/>
  <c r="M677" i="5" s="1"/>
  <c r="M686" i="5" s="1"/>
  <c r="M714" i="5" s="1"/>
  <c r="M719" i="5" s="1"/>
  <c r="M728" i="5" s="1"/>
  <c r="M756" i="5" s="1"/>
  <c r="M761" i="5" s="1"/>
  <c r="M770" i="5" s="1"/>
  <c r="M798" i="5" s="1"/>
  <c r="M803" i="5" s="1"/>
  <c r="M812" i="5" s="1"/>
  <c r="M840" i="5" s="1"/>
  <c r="M845" i="5" s="1"/>
  <c r="M854" i="5" s="1"/>
  <c r="M882" i="5" s="1"/>
  <c r="M887" i="5" s="1"/>
  <c r="M896" i="5" s="1"/>
  <c r="M924" i="5" s="1"/>
  <c r="M929" i="5" s="1"/>
  <c r="M938" i="5" s="1"/>
  <c r="M966" i="5" s="1"/>
  <c r="M971" i="5" s="1"/>
  <c r="M980" i="5" s="1"/>
  <c r="M1008" i="5" s="1"/>
  <c r="M1013" i="5" s="1"/>
  <c r="M1022" i="5" s="1"/>
  <c r="M1050" i="5" s="1"/>
  <c r="M1055" i="5" s="1"/>
  <c r="M1064" i="5" s="1"/>
  <c r="M1092" i="5" s="1"/>
  <c r="M1097" i="5" s="1"/>
  <c r="M1106" i="5" s="1"/>
  <c r="M1134" i="5" s="1"/>
  <c r="M1139" i="5" s="1"/>
  <c r="M1148" i="5" s="1"/>
  <c r="M1176" i="5" s="1"/>
  <c r="M1181" i="5" s="1"/>
  <c r="M1190" i="5" s="1"/>
  <c r="M1218" i="5" s="1"/>
  <c r="M1223" i="5" s="1"/>
  <c r="M1232" i="5" s="1"/>
  <c r="M1260" i="5" s="1"/>
  <c r="M1265" i="5" s="1"/>
  <c r="M1274" i="5" s="1"/>
  <c r="M1302" i="5" s="1"/>
  <c r="M1307" i="5" s="1"/>
  <c r="M1316" i="5" s="1"/>
  <c r="M1344" i="5" s="1"/>
  <c r="M1349" i="5" s="1"/>
  <c r="M1358" i="5" s="1"/>
  <c r="M1386" i="5" s="1"/>
  <c r="M1391" i="5" s="1"/>
  <c r="M1400" i="5" s="1"/>
  <c r="M1428" i="5" s="1"/>
  <c r="M1433" i="5" s="1"/>
  <c r="M1442" i="5" s="1"/>
  <c r="M1470" i="5" s="1"/>
  <c r="M1475" i="5" s="1"/>
  <c r="M1484" i="5" s="1"/>
  <c r="M1512" i="5" s="1"/>
  <c r="M1517" i="5" s="1"/>
  <c r="M1526" i="5" s="1"/>
  <c r="M1554" i="5" s="1"/>
  <c r="L42" i="5"/>
  <c r="L47" i="5" s="1"/>
  <c r="L56" i="5" s="1"/>
  <c r="L84" i="5" s="1"/>
  <c r="L89" i="5" s="1"/>
  <c r="L98" i="5" s="1"/>
  <c r="L126" i="5" s="1"/>
  <c r="L131" i="5" s="1"/>
  <c r="L140" i="5" s="1"/>
  <c r="L168" i="5" s="1"/>
  <c r="L173" i="5" s="1"/>
  <c r="L182" i="5" s="1"/>
  <c r="L210" i="5" s="1"/>
  <c r="L215" i="5" s="1"/>
  <c r="L224" i="5" s="1"/>
  <c r="L252" i="5" s="1"/>
  <c r="L257" i="5" s="1"/>
  <c r="L266" i="5" s="1"/>
  <c r="L294" i="5" s="1"/>
  <c r="L299" i="5" s="1"/>
  <c r="L308" i="5" s="1"/>
  <c r="L336" i="5" s="1"/>
  <c r="L341" i="5" s="1"/>
  <c r="L350" i="5" s="1"/>
  <c r="L378" i="5" s="1"/>
  <c r="L383" i="5" s="1"/>
  <c r="L392" i="5" s="1"/>
  <c r="L420" i="5" s="1"/>
  <c r="L425" i="5" s="1"/>
  <c r="L434" i="5" s="1"/>
  <c r="L462" i="5" s="1"/>
  <c r="L467" i="5" s="1"/>
  <c r="L476" i="5" s="1"/>
  <c r="L504" i="5" s="1"/>
  <c r="L509" i="5" s="1"/>
  <c r="L518" i="5" s="1"/>
  <c r="L546" i="5" s="1"/>
  <c r="L551" i="5" s="1"/>
  <c r="L560" i="5" s="1"/>
  <c r="L588" i="5" s="1"/>
  <c r="L593" i="5" s="1"/>
  <c r="L602" i="5" s="1"/>
  <c r="L630" i="5" s="1"/>
  <c r="L635" i="5" s="1"/>
  <c r="L644" i="5" s="1"/>
  <c r="L672" i="5" s="1"/>
  <c r="L677" i="5" s="1"/>
  <c r="L686" i="5" s="1"/>
  <c r="L714" i="5" s="1"/>
  <c r="L719" i="5" s="1"/>
  <c r="L728" i="5" s="1"/>
  <c r="L756" i="5" s="1"/>
  <c r="L761" i="5" s="1"/>
  <c r="L770" i="5" s="1"/>
  <c r="L798" i="5" s="1"/>
  <c r="L803" i="5" s="1"/>
  <c r="L812" i="5" s="1"/>
  <c r="L840" i="5" s="1"/>
  <c r="L845" i="5" s="1"/>
  <c r="L854" i="5" s="1"/>
  <c r="L882" i="5" s="1"/>
  <c r="L887" i="5" s="1"/>
  <c r="L896" i="5" s="1"/>
  <c r="L924" i="5" s="1"/>
  <c r="L929" i="5" s="1"/>
  <c r="L938" i="5" s="1"/>
  <c r="L966" i="5" s="1"/>
  <c r="L971" i="5" s="1"/>
  <c r="L980" i="5" s="1"/>
  <c r="L1008" i="5" s="1"/>
  <c r="L1013" i="5" s="1"/>
  <c r="L1022" i="5" s="1"/>
  <c r="L1050" i="5" s="1"/>
  <c r="L1055" i="5" s="1"/>
  <c r="L1064" i="5" s="1"/>
  <c r="L1092" i="5" s="1"/>
  <c r="L1097" i="5" s="1"/>
  <c r="L1106" i="5" s="1"/>
  <c r="L1134" i="5" s="1"/>
  <c r="L1139" i="5" s="1"/>
  <c r="L1148" i="5" s="1"/>
  <c r="L1176" i="5" s="1"/>
  <c r="L1181" i="5" s="1"/>
  <c r="L1190" i="5" s="1"/>
  <c r="L1218" i="5" s="1"/>
  <c r="L1223" i="5" s="1"/>
  <c r="L1232" i="5" s="1"/>
  <c r="L1260" i="5" s="1"/>
  <c r="L1265" i="5" s="1"/>
  <c r="L1274" i="5" s="1"/>
  <c r="L1302" i="5" s="1"/>
  <c r="L1307" i="5" s="1"/>
  <c r="L1316" i="5" s="1"/>
  <c r="L1344" i="5" s="1"/>
  <c r="L1349" i="5" s="1"/>
  <c r="L1358" i="5" s="1"/>
  <c r="L1386" i="5" s="1"/>
  <c r="L1391" i="5" s="1"/>
  <c r="L1400" i="5" s="1"/>
  <c r="L1428" i="5" s="1"/>
  <c r="L1433" i="5" s="1"/>
  <c r="L1442" i="5" s="1"/>
  <c r="L1470" i="5" s="1"/>
  <c r="L1475" i="5" s="1"/>
  <c r="L1484" i="5" s="1"/>
  <c r="L1512" i="5" s="1"/>
  <c r="L1517" i="5" s="1"/>
  <c r="L1526" i="5" s="1"/>
  <c r="L1554" i="5" s="1"/>
  <c r="K42" i="5"/>
  <c r="K47" i="5" s="1"/>
  <c r="K56" i="5" s="1"/>
  <c r="K84" i="5" s="1"/>
  <c r="K89" i="5" s="1"/>
  <c r="K98" i="5" s="1"/>
  <c r="K126" i="5" s="1"/>
  <c r="K131" i="5" s="1"/>
  <c r="K140" i="5" s="1"/>
  <c r="K168" i="5" s="1"/>
  <c r="K173" i="5" s="1"/>
  <c r="K182" i="5" s="1"/>
  <c r="K210" i="5" s="1"/>
  <c r="K215" i="5" s="1"/>
  <c r="K224" i="5" s="1"/>
  <c r="K252" i="5" s="1"/>
  <c r="K257" i="5" s="1"/>
  <c r="K266" i="5" s="1"/>
  <c r="K294" i="5" s="1"/>
  <c r="K299" i="5" s="1"/>
  <c r="K308" i="5" s="1"/>
  <c r="K336" i="5" s="1"/>
  <c r="K341" i="5" s="1"/>
  <c r="K350" i="5" s="1"/>
  <c r="K378" i="5" s="1"/>
  <c r="K383" i="5" s="1"/>
  <c r="K392" i="5" s="1"/>
  <c r="K420" i="5" s="1"/>
  <c r="K425" i="5" s="1"/>
  <c r="K434" i="5" s="1"/>
  <c r="K462" i="5" s="1"/>
  <c r="K467" i="5" s="1"/>
  <c r="K476" i="5" s="1"/>
  <c r="K504" i="5" s="1"/>
  <c r="K509" i="5" s="1"/>
  <c r="K518" i="5" s="1"/>
  <c r="K546" i="5" s="1"/>
  <c r="K551" i="5" s="1"/>
  <c r="K560" i="5" s="1"/>
  <c r="K588" i="5" s="1"/>
  <c r="K593" i="5" s="1"/>
  <c r="K602" i="5" s="1"/>
  <c r="K630" i="5" s="1"/>
  <c r="K635" i="5" s="1"/>
  <c r="K644" i="5" s="1"/>
  <c r="K672" i="5" s="1"/>
  <c r="K677" i="5" s="1"/>
  <c r="K686" i="5" s="1"/>
  <c r="K714" i="5" s="1"/>
  <c r="K719" i="5" s="1"/>
  <c r="K728" i="5" s="1"/>
  <c r="K756" i="5" s="1"/>
  <c r="K761" i="5" s="1"/>
  <c r="K770" i="5" s="1"/>
  <c r="K798" i="5" s="1"/>
  <c r="K803" i="5" s="1"/>
  <c r="K812" i="5" s="1"/>
  <c r="K840" i="5" s="1"/>
  <c r="K845" i="5" s="1"/>
  <c r="K854" i="5" s="1"/>
  <c r="K882" i="5" s="1"/>
  <c r="K887" i="5" s="1"/>
  <c r="J42" i="5"/>
  <c r="J47" i="5" s="1"/>
  <c r="D42" i="7"/>
  <c r="D47" i="7" s="1"/>
  <c r="O461" i="7"/>
  <c r="M42" i="7"/>
  <c r="M47" i="7" s="1"/>
  <c r="F42" i="6"/>
  <c r="F47" i="6" s="1"/>
  <c r="F56" i="6" s="1"/>
  <c r="F84" i="6" s="1"/>
  <c r="F89" i="6" s="1"/>
  <c r="F98" i="6" s="1"/>
  <c r="F126" i="6" s="1"/>
  <c r="F131" i="6" s="1"/>
  <c r="F140" i="6" s="1"/>
  <c r="F168" i="6" s="1"/>
  <c r="F173" i="6" s="1"/>
  <c r="F182" i="6" s="1"/>
  <c r="F210" i="6" s="1"/>
  <c r="F215" i="6" s="1"/>
  <c r="F224" i="6" s="1"/>
  <c r="F252" i="6" s="1"/>
  <c r="F257" i="6" s="1"/>
  <c r="F266" i="6" s="1"/>
  <c r="F294" i="6" s="1"/>
  <c r="F299" i="6" s="1"/>
  <c r="F308" i="6" s="1"/>
  <c r="F336" i="6" s="1"/>
  <c r="F341" i="6" s="1"/>
  <c r="F350" i="6" s="1"/>
  <c r="F378" i="6" s="1"/>
  <c r="F383" i="6" s="1"/>
  <c r="F392" i="6" s="1"/>
  <c r="F420" i="6" s="1"/>
  <c r="F425" i="6" s="1"/>
  <c r="F434" i="6" s="1"/>
  <c r="F462" i="6" s="1"/>
  <c r="F467" i="6" s="1"/>
  <c r="F476" i="6" s="1"/>
  <c r="F504" i="6" s="1"/>
  <c r="F509" i="6" s="1"/>
  <c r="F518" i="6" s="1"/>
  <c r="F546" i="6" s="1"/>
  <c r="F551" i="6" s="1"/>
  <c r="F560" i="6" s="1"/>
  <c r="F588" i="6" s="1"/>
  <c r="F593" i="6" s="1"/>
  <c r="F602" i="6" s="1"/>
  <c r="F630" i="6" s="1"/>
  <c r="F635" i="6" s="1"/>
  <c r="E42" i="6"/>
  <c r="E47" i="6" s="1"/>
  <c r="L42" i="6"/>
  <c r="L47" i="6" s="1"/>
  <c r="F42" i="2"/>
  <c r="F47" i="2" s="1"/>
  <c r="F57" i="2" s="1"/>
  <c r="F85" i="2" s="1"/>
  <c r="F90" i="2" s="1"/>
  <c r="F100" i="2" s="1"/>
  <c r="F128" i="2" s="1"/>
  <c r="F133" i="2" s="1"/>
  <c r="F143" i="2" s="1"/>
  <c r="F171" i="2" s="1"/>
  <c r="F176" i="2" s="1"/>
  <c r="F186" i="2" s="1"/>
  <c r="F214" i="2" s="1"/>
  <c r="F219" i="2" s="1"/>
  <c r="F229" i="2" s="1"/>
  <c r="F257" i="2" s="1"/>
  <c r="F262" i="2" s="1"/>
  <c r="F272" i="2" s="1"/>
  <c r="F300" i="2" s="1"/>
  <c r="F305" i="2" s="1"/>
  <c r="F315" i="2" s="1"/>
  <c r="F343" i="2" s="1"/>
  <c r="F348" i="2" s="1"/>
  <c r="F358" i="2" s="1"/>
  <c r="F386" i="2" s="1"/>
  <c r="F391" i="2" s="1"/>
  <c r="F401" i="2" s="1"/>
  <c r="F429" i="2" s="1"/>
  <c r="F434" i="2" s="1"/>
  <c r="F444" i="2" s="1"/>
  <c r="F472" i="2" s="1"/>
  <c r="F477" i="2" s="1"/>
  <c r="F487" i="2" s="1"/>
  <c r="F515" i="2" s="1"/>
  <c r="F520" i="2" s="1"/>
  <c r="F530" i="2" s="1"/>
  <c r="F558" i="2" s="1"/>
  <c r="F563" i="2" s="1"/>
  <c r="F573" i="2" s="1"/>
  <c r="F601" i="2" s="1"/>
  <c r="F606" i="2" s="1"/>
  <c r="F616" i="2" s="1"/>
  <c r="F644" i="2" s="1"/>
  <c r="F649" i="2" s="1"/>
  <c r="F659" i="2" s="1"/>
  <c r="F687" i="2" s="1"/>
  <c r="F692" i="2" s="1"/>
  <c r="F702" i="2" s="1"/>
  <c r="F730" i="2" s="1"/>
  <c r="F735" i="2" s="1"/>
  <c r="F745" i="2" s="1"/>
  <c r="F773" i="2" s="1"/>
  <c r="F778" i="2" s="1"/>
  <c r="F788" i="2" s="1"/>
  <c r="F816" i="2" s="1"/>
  <c r="F821" i="2" s="1"/>
  <c r="F831" i="2" s="1"/>
  <c r="F859" i="2" s="1"/>
  <c r="F864" i="2" s="1"/>
  <c r="F874" i="2" s="1"/>
  <c r="F902" i="2" s="1"/>
  <c r="F907" i="2" s="1"/>
  <c r="F917" i="2" s="1"/>
  <c r="F945" i="2" s="1"/>
  <c r="F950" i="2" s="1"/>
  <c r="F960" i="2" s="1"/>
  <c r="F988" i="2" s="1"/>
  <c r="F993" i="2" s="1"/>
  <c r="F1003" i="2" s="1"/>
  <c r="F1031" i="2" s="1"/>
  <c r="E42" i="2"/>
  <c r="E47" i="2" s="1"/>
  <c r="E57" i="2" s="1"/>
  <c r="E85" i="2" s="1"/>
  <c r="E90" i="2" s="1"/>
  <c r="E100" i="2" s="1"/>
  <c r="E128" i="2" s="1"/>
  <c r="E133" i="2" s="1"/>
  <c r="E143" i="2" s="1"/>
  <c r="E171" i="2" s="1"/>
  <c r="E176" i="2" s="1"/>
  <c r="E186" i="2" s="1"/>
  <c r="E214" i="2" s="1"/>
  <c r="E219" i="2" s="1"/>
  <c r="E229" i="2" s="1"/>
  <c r="E257" i="2" s="1"/>
  <c r="E262" i="2" s="1"/>
  <c r="E272" i="2" s="1"/>
  <c r="E300" i="2" s="1"/>
  <c r="E305" i="2" s="1"/>
  <c r="E315" i="2" s="1"/>
  <c r="E343" i="2" s="1"/>
  <c r="E348" i="2" s="1"/>
  <c r="E358" i="2" s="1"/>
  <c r="E386" i="2" s="1"/>
  <c r="E391" i="2" s="1"/>
  <c r="E401" i="2" s="1"/>
  <c r="E429" i="2" s="1"/>
  <c r="E434" i="2" s="1"/>
  <c r="E444" i="2" s="1"/>
  <c r="E472" i="2" s="1"/>
  <c r="E477" i="2" s="1"/>
  <c r="E487" i="2" s="1"/>
  <c r="E515" i="2" s="1"/>
  <c r="E520" i="2" s="1"/>
  <c r="E530" i="2" s="1"/>
  <c r="E558" i="2" s="1"/>
  <c r="E563" i="2" s="1"/>
  <c r="E573" i="2" s="1"/>
  <c r="E601" i="2" s="1"/>
  <c r="E606" i="2" s="1"/>
  <c r="E616" i="2" s="1"/>
  <c r="E644" i="2" s="1"/>
  <c r="E649" i="2" s="1"/>
  <c r="E659" i="2" s="1"/>
  <c r="E687" i="2" s="1"/>
  <c r="E692" i="2" s="1"/>
  <c r="E702" i="2" s="1"/>
  <c r="E730" i="2" s="1"/>
  <c r="E735" i="2" s="1"/>
  <c r="E745" i="2" s="1"/>
  <c r="E773" i="2" s="1"/>
  <c r="E778" i="2" s="1"/>
  <c r="E788" i="2" s="1"/>
  <c r="E816" i="2" s="1"/>
  <c r="E821" i="2" s="1"/>
  <c r="E831" i="2" s="1"/>
  <c r="E859" i="2" s="1"/>
  <c r="E864" i="2" s="1"/>
  <c r="E874" i="2" s="1"/>
  <c r="E902" i="2" s="1"/>
  <c r="E907" i="2" s="1"/>
  <c r="E917" i="2" s="1"/>
  <c r="E945" i="2" s="1"/>
  <c r="E950" i="2" s="1"/>
  <c r="E960" i="2" s="1"/>
  <c r="D42" i="2"/>
  <c r="D47" i="2" s="1"/>
  <c r="D57" i="2" s="1"/>
  <c r="D85" i="2" s="1"/>
  <c r="D90" i="2" s="1"/>
  <c r="D100" i="2" s="1"/>
  <c r="D128" i="2" s="1"/>
  <c r="D133" i="2" s="1"/>
  <c r="D143" i="2" s="1"/>
  <c r="D171" i="2" s="1"/>
  <c r="D176" i="2" s="1"/>
  <c r="D186" i="2" s="1"/>
  <c r="D214" i="2" s="1"/>
  <c r="D219" i="2" s="1"/>
  <c r="D229" i="2" s="1"/>
  <c r="D257" i="2" s="1"/>
  <c r="D262" i="2" s="1"/>
  <c r="D272" i="2" s="1"/>
  <c r="D300" i="2" s="1"/>
  <c r="D305" i="2" s="1"/>
  <c r="D315" i="2" s="1"/>
  <c r="D343" i="2" s="1"/>
  <c r="D348" i="2" s="1"/>
  <c r="D358" i="2" s="1"/>
  <c r="D386" i="2" s="1"/>
  <c r="D391" i="2" s="1"/>
  <c r="D401" i="2" s="1"/>
  <c r="D429" i="2" s="1"/>
  <c r="D434" i="2" s="1"/>
  <c r="D444" i="2" s="1"/>
  <c r="D472" i="2" s="1"/>
  <c r="D477" i="2" s="1"/>
  <c r="D487" i="2" s="1"/>
  <c r="D515" i="2" s="1"/>
  <c r="D520" i="2" s="1"/>
  <c r="D530" i="2" s="1"/>
  <c r="D558" i="2" s="1"/>
  <c r="D563" i="2" s="1"/>
  <c r="D573" i="2" s="1"/>
  <c r="D601" i="2" s="1"/>
  <c r="D606" i="2" s="1"/>
  <c r="D616" i="2" s="1"/>
  <c r="D644" i="2" s="1"/>
  <c r="D649" i="2" s="1"/>
  <c r="D659" i="2" s="1"/>
  <c r="D687" i="2" s="1"/>
  <c r="D692" i="2" s="1"/>
  <c r="D702" i="2" s="1"/>
  <c r="D730" i="2" s="1"/>
  <c r="D735" i="2" s="1"/>
  <c r="D745" i="2" s="1"/>
  <c r="D773" i="2" s="1"/>
  <c r="D778" i="2" s="1"/>
  <c r="D788" i="2" s="1"/>
  <c r="D816" i="2" s="1"/>
  <c r="D821" i="2" s="1"/>
  <c r="D831" i="2" s="1"/>
  <c r="D859" i="2" s="1"/>
  <c r="D864" i="2" s="1"/>
  <c r="D874" i="2" s="1"/>
  <c r="D902" i="2" s="1"/>
  <c r="D907" i="2" s="1"/>
  <c r="D917" i="2" s="1"/>
  <c r="D945" i="2" s="1"/>
  <c r="D950" i="2" s="1"/>
  <c r="D960" i="2" s="1"/>
  <c r="D988" i="2" s="1"/>
  <c r="D993" i="2" s="1"/>
  <c r="D1003" i="2" s="1"/>
  <c r="D1031" i="2" s="1"/>
  <c r="B42" i="2"/>
  <c r="B47" i="2" s="1"/>
  <c r="N42" i="2"/>
  <c r="N47" i="2" s="1"/>
  <c r="G858" i="2"/>
  <c r="G686" i="3"/>
  <c r="O858" i="2"/>
  <c r="G545" i="6"/>
  <c r="M1526" i="6" l="1"/>
  <c r="L2068" i="4"/>
  <c r="L2078" i="4" s="1"/>
  <c r="L2106" i="4" s="1"/>
  <c r="L2111" i="4" s="1"/>
  <c r="L2121" i="4" s="1"/>
  <c r="L2149" i="4" s="1"/>
  <c r="L2154" i="4" s="1"/>
  <c r="L2164" i="4" s="1"/>
  <c r="L2192" i="4" s="1"/>
  <c r="L2197" i="4" s="1"/>
  <c r="L2207" i="4" s="1"/>
  <c r="L2235" i="4" s="1"/>
  <c r="L2240" i="4" s="1"/>
  <c r="L2250" i="4" s="1"/>
  <c r="L2278" i="4" s="1"/>
  <c r="M2068" i="4"/>
  <c r="M2078" i="4" s="1"/>
  <c r="M2106" i="4" s="1"/>
  <c r="M2111" i="4" s="1"/>
  <c r="M2121" i="4" s="1"/>
  <c r="M2149" i="4" s="1"/>
  <c r="M2154" i="4" s="1"/>
  <c r="M2164" i="4" s="1"/>
  <c r="M2192" i="4" s="1"/>
  <c r="M2197" i="4" s="1"/>
  <c r="M2207" i="4" s="1"/>
  <c r="M2235" i="4" s="1"/>
  <c r="M2240" i="4" s="1"/>
  <c r="M2250" i="4" s="1"/>
  <c r="M2278" i="4" s="1"/>
  <c r="E1022" i="7"/>
  <c r="E1050" i="7" s="1"/>
  <c r="N1003" i="3"/>
  <c r="N1031" i="3" s="1"/>
  <c r="N1036" i="3" s="1"/>
  <c r="N1046" i="3" s="1"/>
  <c r="N1074" i="3" s="1"/>
  <c r="D1232" i="5"/>
  <c r="D1260" i="5" s="1"/>
  <c r="D1265" i="5" s="1"/>
  <c r="D1274" i="5" s="1"/>
  <c r="D1302" i="5" s="1"/>
  <c r="D1307" i="5" s="1"/>
  <c r="D1316" i="5" s="1"/>
  <c r="D1344" i="5" s="1"/>
  <c r="D1349" i="5" s="1"/>
  <c r="D1358" i="5" s="1"/>
  <c r="D1386" i="5" s="1"/>
  <c r="D1181" i="6"/>
  <c r="D1190" i="6" s="1"/>
  <c r="D1218" i="6" s="1"/>
  <c r="D1223" i="6" s="1"/>
  <c r="D1232" i="6" s="1"/>
  <c r="D1260" i="6" s="1"/>
  <c r="D1265" i="6" s="1"/>
  <c r="D1274" i="6" s="1"/>
  <c r="D1302" i="6" s="1"/>
  <c r="D1307" i="6" s="1"/>
  <c r="D1316" i="6" s="1"/>
  <c r="D1344" i="6" s="1"/>
  <c r="D1349" i="6" s="1"/>
  <c r="D1358" i="6" s="1"/>
  <c r="D1386" i="6" s="1"/>
  <c r="D1391" i="6" s="1"/>
  <c r="D1400" i="6" s="1"/>
  <c r="D1428" i="6" s="1"/>
  <c r="D1433" i="6" s="1"/>
  <c r="D1442" i="6" s="1"/>
  <c r="D1470" i="6" s="1"/>
  <c r="L917" i="3"/>
  <c r="L945" i="3" s="1"/>
  <c r="L950" i="3" s="1"/>
  <c r="L960" i="3" s="1"/>
  <c r="L988" i="3" s="1"/>
  <c r="L993" i="3" s="1"/>
  <c r="L1003" i="3" s="1"/>
  <c r="L1031" i="3" s="1"/>
  <c r="L1036" i="3" s="1"/>
  <c r="L1046" i="3" s="1"/>
  <c r="D917" i="3"/>
  <c r="D945" i="3" s="1"/>
  <c r="D950" i="3" s="1"/>
  <c r="D960" i="3" s="1"/>
  <c r="D988" i="3" s="1"/>
  <c r="D993" i="3" s="1"/>
  <c r="D1003" i="3" s="1"/>
  <c r="D1031" i="3" s="1"/>
  <c r="D1036" i="3" s="1"/>
  <c r="G42" i="5"/>
  <c r="G42" i="3"/>
  <c r="G42" i="7"/>
  <c r="O42" i="7"/>
  <c r="G42" i="2"/>
  <c r="O42" i="6"/>
  <c r="D1734" i="4"/>
  <c r="D1762" i="4" s="1"/>
  <c r="D1767" i="4" s="1"/>
  <c r="D1777" i="4" s="1"/>
  <c r="D1805" i="4" s="1"/>
  <c r="D1810" i="4" s="1"/>
  <c r="D1820" i="4" s="1"/>
  <c r="D1848" i="4" s="1"/>
  <c r="D1853" i="4" s="1"/>
  <c r="D1863" i="4" s="1"/>
  <c r="D1891" i="4" s="1"/>
  <c r="D1896" i="4" s="1"/>
  <c r="D1906" i="4" s="1"/>
  <c r="D1934" i="4" s="1"/>
  <c r="D1939" i="4" s="1"/>
  <c r="D1949" i="4" s="1"/>
  <c r="D1977" i="4" s="1"/>
  <c r="O42" i="5"/>
  <c r="O42" i="3"/>
  <c r="F896" i="5"/>
  <c r="F924" i="5" s="1"/>
  <c r="F929" i="5" s="1"/>
  <c r="F938" i="5" s="1"/>
  <c r="F966" i="5" s="1"/>
  <c r="F971" i="5" s="1"/>
  <c r="F980" i="5" s="1"/>
  <c r="F1008" i="5" s="1"/>
  <c r="F1013" i="5" s="1"/>
  <c r="F1022" i="5" s="1"/>
  <c r="F1050" i="5" s="1"/>
  <c r="F1055" i="5" s="1"/>
  <c r="F1064" i="5" s="1"/>
  <c r="F1092" i="5" s="1"/>
  <c r="F1097" i="5" s="1"/>
  <c r="F1106" i="5" s="1"/>
  <c r="F1134" i="5" s="1"/>
  <c r="F1139" i="5" s="1"/>
  <c r="F1148" i="5" s="1"/>
  <c r="F1176" i="5" s="1"/>
  <c r="F1181" i="5" s="1"/>
  <c r="F1190" i="5" s="1"/>
  <c r="F1218" i="5" s="1"/>
  <c r="F1223" i="5" s="1"/>
  <c r="F1232" i="5" s="1"/>
  <c r="F1260" i="5" s="1"/>
  <c r="F1265" i="5" s="1"/>
  <c r="F1274" i="5" s="1"/>
  <c r="F1302" i="5" s="1"/>
  <c r="F1307" i="5" s="1"/>
  <c r="F1316" i="5" s="1"/>
  <c r="F1344" i="5" s="1"/>
  <c r="F1349" i="5" s="1"/>
  <c r="C770" i="7"/>
  <c r="C798" i="7" s="1"/>
  <c r="C803" i="7" s="1"/>
  <c r="C812" i="7" s="1"/>
  <c r="C840" i="7" s="1"/>
  <c r="C845" i="7" s="1"/>
  <c r="K896" i="5"/>
  <c r="K924" i="5" s="1"/>
  <c r="K929" i="5" s="1"/>
  <c r="K938" i="5" s="1"/>
  <c r="K966" i="5" s="1"/>
  <c r="K971" i="5" s="1"/>
  <c r="K980" i="5" s="1"/>
  <c r="K1008" i="5" s="1"/>
  <c r="K1013" i="5" s="1"/>
  <c r="K1022" i="5" s="1"/>
  <c r="K1050" i="5" s="1"/>
  <c r="K1055" i="5" s="1"/>
  <c r="K1064" i="5" s="1"/>
  <c r="K1092" i="5" s="1"/>
  <c r="K1097" i="5" s="1"/>
  <c r="K1106" i="5" s="1"/>
  <c r="K1134" i="5" s="1"/>
  <c r="K1139" i="5" s="1"/>
  <c r="K1148" i="5" s="1"/>
  <c r="K1176" i="5" s="1"/>
  <c r="K1181" i="5" s="1"/>
  <c r="K1190" i="5" s="1"/>
  <c r="K1218" i="5" s="1"/>
  <c r="K1223" i="5" s="1"/>
  <c r="K1232" i="5" s="1"/>
  <c r="K1260" i="5" s="1"/>
  <c r="K1265" i="5" s="1"/>
  <c r="K1274" i="5" s="1"/>
  <c r="K1302" i="5" s="1"/>
  <c r="K1307" i="5" s="1"/>
  <c r="K1316" i="5" s="1"/>
  <c r="K1344" i="5" s="1"/>
  <c r="K1349" i="5" s="1"/>
  <c r="K1358" i="5" s="1"/>
  <c r="K1386" i="5" s="1"/>
  <c r="K1391" i="5" s="1"/>
  <c r="K1400" i="5" s="1"/>
  <c r="K1428" i="5" s="1"/>
  <c r="K1433" i="5" s="1"/>
  <c r="K1442" i="5" s="1"/>
  <c r="K1470" i="5" s="1"/>
  <c r="K1475" i="5" s="1"/>
  <c r="K1484" i="5" s="1"/>
  <c r="K1512" i="5" s="1"/>
  <c r="K1517" i="5" s="1"/>
  <c r="K1526" i="5" s="1"/>
  <c r="K1554" i="5" s="1"/>
  <c r="O42" i="4"/>
  <c r="G42" i="6"/>
  <c r="G47" i="3"/>
  <c r="G57" i="3" s="1"/>
  <c r="G85" i="3" s="1"/>
  <c r="O47" i="3"/>
  <c r="O57" i="3" s="1"/>
  <c r="O85" i="3" s="1"/>
  <c r="G47" i="5"/>
  <c r="G56" i="5" s="1"/>
  <c r="G84" i="5" s="1"/>
  <c r="G42" i="4"/>
  <c r="E602" i="5"/>
  <c r="E630" i="5" s="1"/>
  <c r="E635" i="5" s="1"/>
  <c r="E644" i="5" s="1"/>
  <c r="E672" i="5" s="1"/>
  <c r="E677" i="5" s="1"/>
  <c r="E686" i="5" s="1"/>
  <c r="E714" i="5" s="1"/>
  <c r="E719" i="5" s="1"/>
  <c r="E728" i="5" s="1"/>
  <c r="E756" i="5" s="1"/>
  <c r="E761" i="5" s="1"/>
  <c r="E770" i="5" s="1"/>
  <c r="E798" i="5" s="1"/>
  <c r="E803" i="5" s="1"/>
  <c r="E812" i="5" s="1"/>
  <c r="E840" i="5" s="1"/>
  <c r="E845" i="5" s="1"/>
  <c r="F644" i="6"/>
  <c r="B602" i="6"/>
  <c r="O42" i="2"/>
  <c r="B1390" i="4"/>
  <c r="B1418" i="4" s="1"/>
  <c r="B1423" i="4" s="1"/>
  <c r="K1390" i="4"/>
  <c r="K1418" i="4" s="1"/>
  <c r="K1423" i="4" s="1"/>
  <c r="K1433" i="4" s="1"/>
  <c r="K1461" i="4" s="1"/>
  <c r="K1466" i="4" s="1"/>
  <c r="K1476" i="4" s="1"/>
  <c r="K1504" i="4" s="1"/>
  <c r="K1509" i="4" s="1"/>
  <c r="K1519" i="4" s="1"/>
  <c r="K1547" i="4" s="1"/>
  <c r="K1552" i="4" s="1"/>
  <c r="K1562" i="4" s="1"/>
  <c r="K1590" i="4" s="1"/>
  <c r="K1595" i="4" s="1"/>
  <c r="K1605" i="4" s="1"/>
  <c r="K1633" i="4" s="1"/>
  <c r="K1638" i="4" s="1"/>
  <c r="K1648" i="4" s="1"/>
  <c r="K1676" i="4" s="1"/>
  <c r="K1681" i="4" s="1"/>
  <c r="K1691" i="4" s="1"/>
  <c r="K1719" i="4" s="1"/>
  <c r="K1724" i="4" s="1"/>
  <c r="K1734" i="4" s="1"/>
  <c r="K1762" i="4" s="1"/>
  <c r="K1767" i="4" s="1"/>
  <c r="K1777" i="4" s="1"/>
  <c r="K1805" i="4" s="1"/>
  <c r="K1810" i="4" s="1"/>
  <c r="K1820" i="4" s="1"/>
  <c r="K1848" i="4" s="1"/>
  <c r="K1853" i="4" s="1"/>
  <c r="K1863" i="4" s="1"/>
  <c r="K1891" i="4" s="1"/>
  <c r="K1896" i="4" s="1"/>
  <c r="K1906" i="4" s="1"/>
  <c r="K1934" i="4" s="1"/>
  <c r="K1939" i="4" s="1"/>
  <c r="K1949" i="4" s="1"/>
  <c r="K1977" i="4" s="1"/>
  <c r="K1982" i="4" s="1"/>
  <c r="K1992" i="4" s="1"/>
  <c r="K2020" i="4" s="1"/>
  <c r="K2025" i="4" s="1"/>
  <c r="K2035" i="4" s="1"/>
  <c r="K2063" i="4" s="1"/>
  <c r="J57" i="4"/>
  <c r="J85" i="4" s="1"/>
  <c r="J90" i="4" s="1"/>
  <c r="O47" i="4"/>
  <c r="O57" i="4" s="1"/>
  <c r="O85" i="4" s="1"/>
  <c r="J140" i="6"/>
  <c r="N57" i="2"/>
  <c r="N85" i="2" s="1"/>
  <c r="N90" i="2" s="1"/>
  <c r="O47" i="2"/>
  <c r="O57" i="2" s="1"/>
  <c r="O85" i="2" s="1"/>
  <c r="B57" i="2"/>
  <c r="B85" i="2" s="1"/>
  <c r="B90" i="2" s="1"/>
  <c r="G47" i="2"/>
  <c r="G57" i="2" s="1"/>
  <c r="G85" i="2" s="1"/>
  <c r="L56" i="6"/>
  <c r="O47" i="6"/>
  <c r="M56" i="7"/>
  <c r="M84" i="7" s="1"/>
  <c r="M89" i="7" s="1"/>
  <c r="O47" i="7"/>
  <c r="O56" i="7" s="1"/>
  <c r="O84" i="7" s="1"/>
  <c r="D56" i="7"/>
  <c r="D84" i="7" s="1"/>
  <c r="D89" i="7" s="1"/>
  <c r="G47" i="7"/>
  <c r="G56" i="7" s="1"/>
  <c r="G84" i="7" s="1"/>
  <c r="E57" i="4"/>
  <c r="E85" i="4" s="1"/>
  <c r="E90" i="4" s="1"/>
  <c r="G47" i="4"/>
  <c r="G57" i="4" s="1"/>
  <c r="G85" i="4" s="1"/>
  <c r="J143" i="2"/>
  <c r="J171" i="2" s="1"/>
  <c r="J176" i="2" s="1"/>
  <c r="C140" i="6"/>
  <c r="J140" i="7"/>
  <c r="J168" i="7" s="1"/>
  <c r="J173" i="7" s="1"/>
  <c r="B140" i="7"/>
  <c r="B168" i="7" s="1"/>
  <c r="B173" i="7" s="1"/>
  <c r="B140" i="5"/>
  <c r="B168" i="5" s="1"/>
  <c r="B173" i="5" s="1"/>
  <c r="E56" i="6"/>
  <c r="G47" i="6"/>
  <c r="J56" i="5"/>
  <c r="J84" i="5" s="1"/>
  <c r="J89" i="5" s="1"/>
  <c r="O47" i="5"/>
  <c r="O56" i="5" s="1"/>
  <c r="O84" i="5" s="1"/>
  <c r="C143" i="4"/>
  <c r="C171" i="4" s="1"/>
  <c r="C176" i="4" s="1"/>
  <c r="C98" i="5"/>
  <c r="C126" i="5" s="1"/>
  <c r="C131" i="5" s="1"/>
  <c r="C140" i="5" s="1"/>
  <c r="C168" i="5" s="1"/>
  <c r="C173" i="5" s="1"/>
  <c r="C182" i="5" s="1"/>
  <c r="C210" i="5" s="1"/>
  <c r="C215" i="5" s="1"/>
  <c r="C224" i="5" s="1"/>
  <c r="C252" i="5" s="1"/>
  <c r="C257" i="5" s="1"/>
  <c r="C266" i="5" s="1"/>
  <c r="C294" i="5" s="1"/>
  <c r="C299" i="5" s="1"/>
  <c r="C308" i="5" s="1"/>
  <c r="C336" i="5" s="1"/>
  <c r="C341" i="5" s="1"/>
  <c r="C350" i="5" s="1"/>
  <c r="C378" i="5" s="1"/>
  <c r="C383" i="5" s="1"/>
  <c r="C392" i="5" s="1"/>
  <c r="C420" i="5" s="1"/>
  <c r="C425" i="5" s="1"/>
  <c r="C434" i="5" s="1"/>
  <c r="C462" i="5" s="1"/>
  <c r="C467" i="5" s="1"/>
  <c r="C476" i="5" s="1"/>
  <c r="C504" i="5" s="1"/>
  <c r="C509" i="5" s="1"/>
  <c r="G89" i="5"/>
  <c r="G98" i="5" s="1"/>
  <c r="G126" i="5" s="1"/>
  <c r="L745" i="2"/>
  <c r="L773" i="2" s="1"/>
  <c r="L778" i="2" s="1"/>
  <c r="B100" i="3"/>
  <c r="B128" i="3" s="1"/>
  <c r="B133" i="3" s="1"/>
  <c r="G90" i="3"/>
  <c r="G100" i="3" s="1"/>
  <c r="G128" i="3" s="1"/>
  <c r="J100" i="3"/>
  <c r="J128" i="3" s="1"/>
  <c r="J133" i="3" s="1"/>
  <c r="O90" i="3"/>
  <c r="O100" i="3" s="1"/>
  <c r="O128" i="3" s="1"/>
  <c r="M1554" i="6" l="1"/>
  <c r="D1046" i="3"/>
  <c r="D1074" i="3" s="1"/>
  <c r="D1079" i="3" s="1"/>
  <c r="K2068" i="4"/>
  <c r="K2078" i="4" s="1"/>
  <c r="K2106" i="4" s="1"/>
  <c r="K2111" i="4" s="1"/>
  <c r="K2121" i="4" s="1"/>
  <c r="K2149" i="4" s="1"/>
  <c r="K2154" i="4" s="1"/>
  <c r="F1358" i="5"/>
  <c r="F1386" i="5" s="1"/>
  <c r="C854" i="7"/>
  <c r="C882" i="7" s="1"/>
  <c r="C887" i="7" s="1"/>
  <c r="C896" i="7" s="1"/>
  <c r="C924" i="7" s="1"/>
  <c r="C929" i="7" s="1"/>
  <c r="C938" i="7" s="1"/>
  <c r="C966" i="7" s="1"/>
  <c r="C971" i="7" s="1"/>
  <c r="C980" i="7" s="1"/>
  <c r="C1008" i="7" s="1"/>
  <c r="C1013" i="7" s="1"/>
  <c r="C1022" i="7" s="1"/>
  <c r="C1050" i="7" s="1"/>
  <c r="E854" i="5"/>
  <c r="E882" i="5" s="1"/>
  <c r="E887" i="5" s="1"/>
  <c r="E896" i="5" s="1"/>
  <c r="E924" i="5" s="1"/>
  <c r="E929" i="5" s="1"/>
  <c r="E938" i="5" s="1"/>
  <c r="E966" i="5" s="1"/>
  <c r="E971" i="5" s="1"/>
  <c r="E980" i="5" s="1"/>
  <c r="E1008" i="5" s="1"/>
  <c r="E1013" i="5" s="1"/>
  <c r="E1022" i="5" s="1"/>
  <c r="E1050" i="5" s="1"/>
  <c r="E1055" i="5" s="1"/>
  <c r="E1064" i="5" s="1"/>
  <c r="E1092" i="5" s="1"/>
  <c r="E1097" i="5" s="1"/>
  <c r="E1106" i="5" s="1"/>
  <c r="E1134" i="5" s="1"/>
  <c r="E1139" i="5" s="1"/>
  <c r="E1148" i="5" s="1"/>
  <c r="E1176" i="5" s="1"/>
  <c r="E1181" i="5" s="1"/>
  <c r="E1190" i="5" s="1"/>
  <c r="E1218" i="5" s="1"/>
  <c r="E1223" i="5" s="1"/>
  <c r="E1232" i="5" s="1"/>
  <c r="E1260" i="5" s="1"/>
  <c r="E1265" i="5" s="1"/>
  <c r="E1274" i="5" s="1"/>
  <c r="E1302" i="5" s="1"/>
  <c r="E1307" i="5" s="1"/>
  <c r="E1316" i="5" s="1"/>
  <c r="E1344" i="5" s="1"/>
  <c r="E1349" i="5" s="1"/>
  <c r="E1358" i="5" s="1"/>
  <c r="E1386" i="5" s="1"/>
  <c r="E1391" i="5" s="1"/>
  <c r="F672" i="6"/>
  <c r="F677" i="6" s="1"/>
  <c r="F686" i="6" s="1"/>
  <c r="F714" i="6" s="1"/>
  <c r="F719" i="6" s="1"/>
  <c r="F728" i="6" s="1"/>
  <c r="F756" i="6" s="1"/>
  <c r="F761" i="6" s="1"/>
  <c r="F770" i="6" s="1"/>
  <c r="F798" i="6" s="1"/>
  <c r="F803" i="6" s="1"/>
  <c r="F812" i="6" s="1"/>
  <c r="F840" i="6" s="1"/>
  <c r="F845" i="6" s="1"/>
  <c r="F854" i="6" s="1"/>
  <c r="F882" i="6" s="1"/>
  <c r="F887" i="6" s="1"/>
  <c r="F896" i="6" s="1"/>
  <c r="F924" i="6" s="1"/>
  <c r="F929" i="6" s="1"/>
  <c r="F938" i="6" s="1"/>
  <c r="F966" i="6" s="1"/>
  <c r="F971" i="6" s="1"/>
  <c r="F980" i="6" s="1"/>
  <c r="F1008" i="6" s="1"/>
  <c r="F1013" i="6" s="1"/>
  <c r="F1022" i="6" s="1"/>
  <c r="F1050" i="6" s="1"/>
  <c r="F1055" i="6" s="1"/>
  <c r="F1064" i="6" s="1"/>
  <c r="F1092" i="6" s="1"/>
  <c r="F1097" i="6" s="1"/>
  <c r="F1106" i="6" s="1"/>
  <c r="F1134" i="6" s="1"/>
  <c r="F1139" i="6" s="1"/>
  <c r="F1148" i="6" s="1"/>
  <c r="F1176" i="6" s="1"/>
  <c r="B1433" i="4"/>
  <c r="B1461" i="4" s="1"/>
  <c r="B1466" i="4" s="1"/>
  <c r="B630" i="6"/>
  <c r="B635" i="6" s="1"/>
  <c r="J100" i="4"/>
  <c r="J128" i="4" s="1"/>
  <c r="J133" i="4" s="1"/>
  <c r="O90" i="4"/>
  <c r="O100" i="4" s="1"/>
  <c r="O128" i="4" s="1"/>
  <c r="C518" i="5"/>
  <c r="C546" i="5" s="1"/>
  <c r="C551" i="5" s="1"/>
  <c r="G131" i="5"/>
  <c r="G140" i="5" s="1"/>
  <c r="G168" i="5" s="1"/>
  <c r="C186" i="4"/>
  <c r="C214" i="4" s="1"/>
  <c r="C219" i="4" s="1"/>
  <c r="J98" i="5"/>
  <c r="J126" i="5" s="1"/>
  <c r="J131" i="5" s="1"/>
  <c r="O89" i="5"/>
  <c r="O98" i="5" s="1"/>
  <c r="O126" i="5" s="1"/>
  <c r="E84" i="6"/>
  <c r="E89" i="6" s="1"/>
  <c r="G56" i="6"/>
  <c r="G84" i="6" s="1"/>
  <c r="B182" i="5"/>
  <c r="B210" i="5" s="1"/>
  <c r="B215" i="5" s="1"/>
  <c r="G173" i="5"/>
  <c r="G182" i="5" s="1"/>
  <c r="G210" i="5" s="1"/>
  <c r="B182" i="7"/>
  <c r="B210" i="7" s="1"/>
  <c r="B215" i="7" s="1"/>
  <c r="J182" i="7"/>
  <c r="J210" i="7" s="1"/>
  <c r="J215" i="7" s="1"/>
  <c r="C168" i="6"/>
  <c r="C173" i="6" s="1"/>
  <c r="J186" i="2"/>
  <c r="J214" i="2" s="1"/>
  <c r="J219" i="2" s="1"/>
  <c r="E100" i="4"/>
  <c r="E128" i="4" s="1"/>
  <c r="E133" i="4" s="1"/>
  <c r="G90" i="4"/>
  <c r="G100" i="4" s="1"/>
  <c r="G128" i="4" s="1"/>
  <c r="D98" i="7"/>
  <c r="D126" i="7" s="1"/>
  <c r="D131" i="7" s="1"/>
  <c r="G89" i="7"/>
  <c r="G98" i="7" s="1"/>
  <c r="G126" i="7" s="1"/>
  <c r="M98" i="7"/>
  <c r="M126" i="7" s="1"/>
  <c r="M131" i="7" s="1"/>
  <c r="O89" i="7"/>
  <c r="O98" i="7" s="1"/>
  <c r="O126" i="7" s="1"/>
  <c r="L84" i="6"/>
  <c r="L89" i="6" s="1"/>
  <c r="O56" i="6"/>
  <c r="O84" i="6" s="1"/>
  <c r="B100" i="2"/>
  <c r="B128" i="2" s="1"/>
  <c r="B133" i="2" s="1"/>
  <c r="G90" i="2"/>
  <c r="G100" i="2" s="1"/>
  <c r="G128" i="2" s="1"/>
  <c r="N100" i="2"/>
  <c r="N128" i="2" s="1"/>
  <c r="N133" i="2" s="1"/>
  <c r="O90" i="2"/>
  <c r="O100" i="2" s="1"/>
  <c r="O128" i="2" s="1"/>
  <c r="J168" i="6"/>
  <c r="J173" i="6" s="1"/>
  <c r="J143" i="3"/>
  <c r="J171" i="3" s="1"/>
  <c r="J176" i="3" s="1"/>
  <c r="O133" i="3"/>
  <c r="O143" i="3" s="1"/>
  <c r="O171" i="3" s="1"/>
  <c r="B143" i="3"/>
  <c r="B171" i="3" s="1"/>
  <c r="B176" i="3" s="1"/>
  <c r="G133" i="3"/>
  <c r="G143" i="3" s="1"/>
  <c r="G171" i="3" s="1"/>
  <c r="L788" i="2"/>
  <c r="L816" i="2" s="1"/>
  <c r="L821" i="2" s="1"/>
  <c r="D1089" i="3" l="1"/>
  <c r="D1117" i="3" s="1"/>
  <c r="G1079" i="3"/>
  <c r="G1089" i="3" s="1"/>
  <c r="G1117" i="3" s="1"/>
  <c r="K2164" i="4"/>
  <c r="K2192" i="4" s="1"/>
  <c r="K2197" i="4" s="1"/>
  <c r="K2207" i="4" s="1"/>
  <c r="K2235" i="4" s="1"/>
  <c r="K2240" i="4" s="1"/>
  <c r="K2250" i="4" s="1"/>
  <c r="K2278" i="4" s="1"/>
  <c r="E1400" i="5"/>
  <c r="E1428" i="5" s="1"/>
  <c r="E1433" i="5" s="1"/>
  <c r="G1391" i="5"/>
  <c r="G1400" i="5" s="1"/>
  <c r="G1428" i="5" s="1"/>
  <c r="F1181" i="6"/>
  <c r="F1190" i="6" s="1"/>
  <c r="F1218" i="6" s="1"/>
  <c r="F1223" i="6" s="1"/>
  <c r="F1232" i="6" s="1"/>
  <c r="F1260" i="6" s="1"/>
  <c r="F1265" i="6" s="1"/>
  <c r="F1274" i="6" s="1"/>
  <c r="F1302" i="6" s="1"/>
  <c r="F1307" i="6" s="1"/>
  <c r="F1316" i="6" s="1"/>
  <c r="F1344" i="6" s="1"/>
  <c r="F1349" i="6" s="1"/>
  <c r="B1476" i="4"/>
  <c r="B1504" i="4" s="1"/>
  <c r="B1509" i="4" s="1"/>
  <c r="B644" i="6"/>
  <c r="C560" i="5"/>
  <c r="C588" i="5" s="1"/>
  <c r="C593" i="5" s="1"/>
  <c r="O133" i="4"/>
  <c r="O143" i="4" s="1"/>
  <c r="O171" i="4" s="1"/>
  <c r="J143" i="4"/>
  <c r="J171" i="4" s="1"/>
  <c r="J176" i="4" s="1"/>
  <c r="J182" i="6"/>
  <c r="N143" i="2"/>
  <c r="N171" i="2" s="1"/>
  <c r="N176" i="2" s="1"/>
  <c r="O133" i="2"/>
  <c r="O143" i="2" s="1"/>
  <c r="O171" i="2" s="1"/>
  <c r="B143" i="2"/>
  <c r="B171" i="2" s="1"/>
  <c r="B176" i="2" s="1"/>
  <c r="G133" i="2"/>
  <c r="G143" i="2" s="1"/>
  <c r="G171" i="2" s="1"/>
  <c r="L98" i="6"/>
  <c r="O89" i="6"/>
  <c r="M140" i="7"/>
  <c r="M168" i="7" s="1"/>
  <c r="M173" i="7" s="1"/>
  <c r="O131" i="7"/>
  <c r="O140" i="7" s="1"/>
  <c r="O168" i="7" s="1"/>
  <c r="D140" i="7"/>
  <c r="D168" i="7" s="1"/>
  <c r="D173" i="7" s="1"/>
  <c r="G131" i="7"/>
  <c r="G140" i="7" s="1"/>
  <c r="G168" i="7" s="1"/>
  <c r="E143" i="4"/>
  <c r="E171" i="4" s="1"/>
  <c r="E176" i="4" s="1"/>
  <c r="G133" i="4"/>
  <c r="G143" i="4" s="1"/>
  <c r="G171" i="4" s="1"/>
  <c r="J229" i="2"/>
  <c r="J257" i="2" s="1"/>
  <c r="J262" i="2" s="1"/>
  <c r="C182" i="6"/>
  <c r="J224" i="7"/>
  <c r="J252" i="7" s="1"/>
  <c r="J257" i="7" s="1"/>
  <c r="B224" i="7"/>
  <c r="B252" i="7" s="1"/>
  <c r="B257" i="7" s="1"/>
  <c r="B224" i="5"/>
  <c r="B252" i="5" s="1"/>
  <c r="B257" i="5" s="1"/>
  <c r="G215" i="5"/>
  <c r="G224" i="5" s="1"/>
  <c r="G252" i="5" s="1"/>
  <c r="E98" i="6"/>
  <c r="G89" i="6"/>
  <c r="J140" i="5"/>
  <c r="J168" i="5" s="1"/>
  <c r="J173" i="5" s="1"/>
  <c r="O131" i="5"/>
  <c r="O140" i="5" s="1"/>
  <c r="O168" i="5" s="1"/>
  <c r="C229" i="4"/>
  <c r="C257" i="4" s="1"/>
  <c r="C262" i="4" s="1"/>
  <c r="L831" i="2"/>
  <c r="L859" i="2" s="1"/>
  <c r="L864" i="2" s="1"/>
  <c r="L874" i="2" s="1"/>
  <c r="L902" i="2" s="1"/>
  <c r="L907" i="2" s="1"/>
  <c r="L917" i="2" s="1"/>
  <c r="L945" i="2" s="1"/>
  <c r="L950" i="2" s="1"/>
  <c r="L960" i="2" s="1"/>
  <c r="L988" i="2" s="1"/>
  <c r="B186" i="3"/>
  <c r="B214" i="3" s="1"/>
  <c r="B219" i="3" s="1"/>
  <c r="G176" i="3"/>
  <c r="G186" i="3" s="1"/>
  <c r="G214" i="3" s="1"/>
  <c r="J186" i="3"/>
  <c r="J214" i="3" s="1"/>
  <c r="J219" i="3" s="1"/>
  <c r="O176" i="3"/>
  <c r="O186" i="3" s="1"/>
  <c r="O214" i="3" s="1"/>
  <c r="E1442" i="5" l="1"/>
  <c r="E1470" i="5" s="1"/>
  <c r="E1475" i="5" s="1"/>
  <c r="G1433" i="5"/>
  <c r="G1442" i="5" s="1"/>
  <c r="G1470" i="5" s="1"/>
  <c r="F1358" i="6"/>
  <c r="B1519" i="4"/>
  <c r="B1547" i="4" s="1"/>
  <c r="B1552" i="4" s="1"/>
  <c r="C602" i="5"/>
  <c r="C630" i="5" s="1"/>
  <c r="C635" i="5" s="1"/>
  <c r="C644" i="5" s="1"/>
  <c r="C672" i="5" s="1"/>
  <c r="C677" i="5" s="1"/>
  <c r="C686" i="5" s="1"/>
  <c r="C714" i="5" s="1"/>
  <c r="C719" i="5" s="1"/>
  <c r="C728" i="5" s="1"/>
  <c r="C756" i="5" s="1"/>
  <c r="C761" i="5" s="1"/>
  <c r="C770" i="5" s="1"/>
  <c r="C798" i="5" s="1"/>
  <c r="C803" i="5" s="1"/>
  <c r="C812" i="5" s="1"/>
  <c r="C840" i="5" s="1"/>
  <c r="C845" i="5" s="1"/>
  <c r="C854" i="5" s="1"/>
  <c r="C882" i="5" s="1"/>
  <c r="C887" i="5" s="1"/>
  <c r="B672" i="6"/>
  <c r="B677" i="6" s="1"/>
  <c r="J186" i="4"/>
  <c r="J214" i="4" s="1"/>
  <c r="J219" i="4" s="1"/>
  <c r="O176" i="4"/>
  <c r="O186" i="4" s="1"/>
  <c r="O214" i="4" s="1"/>
  <c r="C272" i="4"/>
  <c r="C300" i="4" s="1"/>
  <c r="C305" i="4" s="1"/>
  <c r="J182" i="5"/>
  <c r="J210" i="5" s="1"/>
  <c r="J215" i="5" s="1"/>
  <c r="O173" i="5"/>
  <c r="O182" i="5" s="1"/>
  <c r="O210" i="5" s="1"/>
  <c r="E126" i="6"/>
  <c r="E131" i="6" s="1"/>
  <c r="G98" i="6"/>
  <c r="G126" i="6" s="1"/>
  <c r="B266" i="5"/>
  <c r="B294" i="5" s="1"/>
  <c r="B299" i="5" s="1"/>
  <c r="G257" i="5"/>
  <c r="G266" i="5" s="1"/>
  <c r="G294" i="5" s="1"/>
  <c r="B266" i="7"/>
  <c r="B294" i="7" s="1"/>
  <c r="B299" i="7" s="1"/>
  <c r="J266" i="7"/>
  <c r="J294" i="7" s="1"/>
  <c r="J299" i="7" s="1"/>
  <c r="C210" i="6"/>
  <c r="C215" i="6" s="1"/>
  <c r="J272" i="2"/>
  <c r="J300" i="2" s="1"/>
  <c r="J305" i="2" s="1"/>
  <c r="E186" i="4"/>
  <c r="E214" i="4" s="1"/>
  <c r="E219" i="4" s="1"/>
  <c r="G176" i="4"/>
  <c r="G186" i="4" s="1"/>
  <c r="G214" i="4" s="1"/>
  <c r="D182" i="7"/>
  <c r="D210" i="7" s="1"/>
  <c r="D215" i="7" s="1"/>
  <c r="G173" i="7"/>
  <c r="G182" i="7" s="1"/>
  <c r="G210" i="7" s="1"/>
  <c r="M182" i="7"/>
  <c r="M210" i="7" s="1"/>
  <c r="M215" i="7" s="1"/>
  <c r="O173" i="7"/>
  <c r="O182" i="7" s="1"/>
  <c r="O210" i="7" s="1"/>
  <c r="L126" i="6"/>
  <c r="L131" i="6" s="1"/>
  <c r="O98" i="6"/>
  <c r="O126" i="6" s="1"/>
  <c r="B186" i="2"/>
  <c r="B214" i="2" s="1"/>
  <c r="B219" i="2" s="1"/>
  <c r="G176" i="2"/>
  <c r="G186" i="2" s="1"/>
  <c r="G214" i="2" s="1"/>
  <c r="N186" i="2"/>
  <c r="N214" i="2" s="1"/>
  <c r="N219" i="2" s="1"/>
  <c r="O176" i="2"/>
  <c r="O186" i="2" s="1"/>
  <c r="O214" i="2" s="1"/>
  <c r="J210" i="6"/>
  <c r="J215" i="6" s="1"/>
  <c r="J229" i="3"/>
  <c r="J257" i="3" s="1"/>
  <c r="J262" i="3" s="1"/>
  <c r="O219" i="3"/>
  <c r="O229" i="3" s="1"/>
  <c r="O257" i="3" s="1"/>
  <c r="B229" i="3"/>
  <c r="B257" i="3" s="1"/>
  <c r="B262" i="3" s="1"/>
  <c r="G219" i="3"/>
  <c r="G229" i="3" s="1"/>
  <c r="G257" i="3" s="1"/>
  <c r="E1484" i="5" l="1"/>
  <c r="E1512" i="5" s="1"/>
  <c r="G1475" i="5"/>
  <c r="G1484" i="5" s="1"/>
  <c r="G1512" i="5" s="1"/>
  <c r="F1386" i="6"/>
  <c r="F1391" i="6" s="1"/>
  <c r="F1400" i="6" s="1"/>
  <c r="F1428" i="6" s="1"/>
  <c r="F1433" i="6" s="1"/>
  <c r="F1442" i="6" s="1"/>
  <c r="F1470" i="6" s="1"/>
  <c r="F1475" i="6" s="1"/>
  <c r="C896" i="5"/>
  <c r="C924" i="5" s="1"/>
  <c r="C929" i="5" s="1"/>
  <c r="C938" i="5" s="1"/>
  <c r="C966" i="5" s="1"/>
  <c r="C971" i="5" s="1"/>
  <c r="C980" i="5" s="1"/>
  <c r="C1008" i="5" s="1"/>
  <c r="C1013" i="5" s="1"/>
  <c r="C1022" i="5" s="1"/>
  <c r="C1050" i="5" s="1"/>
  <c r="C1055" i="5" s="1"/>
  <c r="C1064" i="5" s="1"/>
  <c r="C1092" i="5" s="1"/>
  <c r="C1097" i="5" s="1"/>
  <c r="C1106" i="5" s="1"/>
  <c r="C1134" i="5" s="1"/>
  <c r="C1139" i="5" s="1"/>
  <c r="C1148" i="5" s="1"/>
  <c r="C1176" i="5" s="1"/>
  <c r="C1181" i="5" s="1"/>
  <c r="C1190" i="5" s="1"/>
  <c r="C1218" i="5" s="1"/>
  <c r="C1223" i="5" s="1"/>
  <c r="B1562" i="4"/>
  <c r="B1590" i="4" s="1"/>
  <c r="B1595" i="4" s="1"/>
  <c r="B686" i="6"/>
  <c r="O219" i="4"/>
  <c r="O229" i="4" s="1"/>
  <c r="O257" i="4" s="1"/>
  <c r="J229" i="4"/>
  <c r="J257" i="4" s="1"/>
  <c r="J262" i="4" s="1"/>
  <c r="J224" i="6"/>
  <c r="B229" i="2"/>
  <c r="B257" i="2" s="1"/>
  <c r="B262" i="2" s="1"/>
  <c r="G219" i="2"/>
  <c r="G229" i="2" s="1"/>
  <c r="G257" i="2" s="1"/>
  <c r="L140" i="6"/>
  <c r="O131" i="6"/>
  <c r="D224" i="7"/>
  <c r="D252" i="7" s="1"/>
  <c r="D257" i="7" s="1"/>
  <c r="G215" i="7"/>
  <c r="G224" i="7" s="1"/>
  <c r="G252" i="7" s="1"/>
  <c r="E229" i="4"/>
  <c r="E257" i="4" s="1"/>
  <c r="E262" i="4" s="1"/>
  <c r="G219" i="4"/>
  <c r="G229" i="4" s="1"/>
  <c r="G257" i="4" s="1"/>
  <c r="J315" i="2"/>
  <c r="J343" i="2" s="1"/>
  <c r="J348" i="2" s="1"/>
  <c r="J308" i="7"/>
  <c r="J336" i="7" s="1"/>
  <c r="J341" i="7" s="1"/>
  <c r="B308" i="7"/>
  <c r="B336" i="7" s="1"/>
  <c r="B341" i="7" s="1"/>
  <c r="B308" i="5"/>
  <c r="B336" i="5" s="1"/>
  <c r="B341" i="5" s="1"/>
  <c r="G299" i="5"/>
  <c r="G308" i="5" s="1"/>
  <c r="G336" i="5" s="1"/>
  <c r="E140" i="6"/>
  <c r="G131" i="6"/>
  <c r="J224" i="5"/>
  <c r="J252" i="5" s="1"/>
  <c r="J257" i="5" s="1"/>
  <c r="O215" i="5"/>
  <c r="O224" i="5" s="1"/>
  <c r="O252" i="5" s="1"/>
  <c r="C315" i="4"/>
  <c r="C343" i="4" s="1"/>
  <c r="C348" i="4" s="1"/>
  <c r="N229" i="2"/>
  <c r="N257" i="2" s="1"/>
  <c r="N262" i="2" s="1"/>
  <c r="O219" i="2"/>
  <c r="O229" i="2" s="1"/>
  <c r="O257" i="2" s="1"/>
  <c r="M224" i="7"/>
  <c r="M252" i="7" s="1"/>
  <c r="M257" i="7" s="1"/>
  <c r="O215" i="7"/>
  <c r="O224" i="7" s="1"/>
  <c r="O252" i="7" s="1"/>
  <c r="C224" i="6"/>
  <c r="B272" i="3"/>
  <c r="B300" i="3" s="1"/>
  <c r="B305" i="3" s="1"/>
  <c r="G262" i="3"/>
  <c r="G272" i="3" s="1"/>
  <c r="G300" i="3" s="1"/>
  <c r="J272" i="3"/>
  <c r="J300" i="3" s="1"/>
  <c r="J305" i="3" s="1"/>
  <c r="O262" i="3"/>
  <c r="O272" i="3" s="1"/>
  <c r="O300" i="3" s="1"/>
  <c r="F1484" i="6" l="1"/>
  <c r="G1475" i="6"/>
  <c r="C1232" i="5"/>
  <c r="C1260" i="5" s="1"/>
  <c r="C1265" i="5" s="1"/>
  <c r="B1605" i="4"/>
  <c r="B1633" i="4" s="1"/>
  <c r="B1638" i="4" s="1"/>
  <c r="B1648" i="4" s="1"/>
  <c r="B1676" i="4" s="1"/>
  <c r="B1681" i="4" s="1"/>
  <c r="B714" i="6"/>
  <c r="B719" i="6" s="1"/>
  <c r="O262" i="4"/>
  <c r="O272" i="4" s="1"/>
  <c r="O300" i="4" s="1"/>
  <c r="J272" i="4"/>
  <c r="J300" i="4" s="1"/>
  <c r="J305" i="4" s="1"/>
  <c r="C252" i="6"/>
  <c r="C257" i="6" s="1"/>
  <c r="M266" i="7"/>
  <c r="M294" i="7" s="1"/>
  <c r="M299" i="7" s="1"/>
  <c r="O257" i="7"/>
  <c r="O266" i="7" s="1"/>
  <c r="O294" i="7" s="1"/>
  <c r="C358" i="4"/>
  <c r="C386" i="4" s="1"/>
  <c r="C391" i="4" s="1"/>
  <c r="J266" i="5"/>
  <c r="J294" i="5" s="1"/>
  <c r="J299" i="5" s="1"/>
  <c r="O257" i="5"/>
  <c r="O266" i="5" s="1"/>
  <c r="O294" i="5" s="1"/>
  <c r="B350" i="5"/>
  <c r="B378" i="5" s="1"/>
  <c r="B383" i="5" s="1"/>
  <c r="G341" i="5"/>
  <c r="G350" i="5" s="1"/>
  <c r="G378" i="5" s="1"/>
  <c r="B350" i="7"/>
  <c r="B378" i="7" s="1"/>
  <c r="B383" i="7" s="1"/>
  <c r="J350" i="7"/>
  <c r="J378" i="7" s="1"/>
  <c r="J383" i="7" s="1"/>
  <c r="J358" i="2"/>
  <c r="J386" i="2" s="1"/>
  <c r="J391" i="2" s="1"/>
  <c r="E272" i="4"/>
  <c r="E300" i="4" s="1"/>
  <c r="E305" i="4" s="1"/>
  <c r="G262" i="4"/>
  <c r="G272" i="4" s="1"/>
  <c r="G300" i="4" s="1"/>
  <c r="D266" i="7"/>
  <c r="D294" i="7" s="1"/>
  <c r="D299" i="7" s="1"/>
  <c r="G257" i="7"/>
  <c r="G266" i="7" s="1"/>
  <c r="G294" i="7" s="1"/>
  <c r="L168" i="6"/>
  <c r="L173" i="6" s="1"/>
  <c r="O140" i="6"/>
  <c r="O168" i="6" s="1"/>
  <c r="B272" i="2"/>
  <c r="B300" i="2" s="1"/>
  <c r="B305" i="2" s="1"/>
  <c r="G262" i="2"/>
  <c r="G272" i="2" s="1"/>
  <c r="G300" i="2" s="1"/>
  <c r="J252" i="6"/>
  <c r="J257" i="6" s="1"/>
  <c r="N272" i="2"/>
  <c r="N300" i="2" s="1"/>
  <c r="N305" i="2" s="1"/>
  <c r="O262" i="2"/>
  <c r="O272" i="2" s="1"/>
  <c r="O300" i="2" s="1"/>
  <c r="E168" i="6"/>
  <c r="E173" i="6" s="1"/>
  <c r="G140" i="6"/>
  <c r="G168" i="6" s="1"/>
  <c r="J315" i="3"/>
  <c r="J343" i="3" s="1"/>
  <c r="J348" i="3" s="1"/>
  <c r="O305" i="3"/>
  <c r="O315" i="3" s="1"/>
  <c r="O343" i="3" s="1"/>
  <c r="B315" i="3"/>
  <c r="B343" i="3" s="1"/>
  <c r="B348" i="3" s="1"/>
  <c r="G305" i="3"/>
  <c r="G315" i="3" s="1"/>
  <c r="G343" i="3" s="1"/>
  <c r="F1512" i="6" l="1"/>
  <c r="G1484" i="6"/>
  <c r="G1512" i="6" s="1"/>
  <c r="C1274" i="5"/>
  <c r="C1302" i="5" s="1"/>
  <c r="C1307" i="5" s="1"/>
  <c r="C1316" i="5" s="1"/>
  <c r="C1344" i="5" s="1"/>
  <c r="C1349" i="5" s="1"/>
  <c r="C1358" i="5" s="1"/>
  <c r="C1386" i="5" s="1"/>
  <c r="B1691" i="4"/>
  <c r="B1719" i="4" s="1"/>
  <c r="B1724" i="4" s="1"/>
  <c r="B728" i="6"/>
  <c r="J315" i="4"/>
  <c r="J343" i="4" s="1"/>
  <c r="J348" i="4" s="1"/>
  <c r="O305" i="4"/>
  <c r="O315" i="4" s="1"/>
  <c r="O343" i="4" s="1"/>
  <c r="E182" i="6"/>
  <c r="G173" i="6"/>
  <c r="J266" i="6"/>
  <c r="B315" i="2"/>
  <c r="B343" i="2" s="1"/>
  <c r="B348" i="2" s="1"/>
  <c r="G305" i="2"/>
  <c r="G315" i="2" s="1"/>
  <c r="G343" i="2" s="1"/>
  <c r="L182" i="6"/>
  <c r="O173" i="6"/>
  <c r="D308" i="7"/>
  <c r="D336" i="7" s="1"/>
  <c r="D341" i="7" s="1"/>
  <c r="G299" i="7"/>
  <c r="G308" i="7" s="1"/>
  <c r="G336" i="7" s="1"/>
  <c r="E315" i="4"/>
  <c r="E343" i="4" s="1"/>
  <c r="E348" i="4" s="1"/>
  <c r="G305" i="4"/>
  <c r="G315" i="4" s="1"/>
  <c r="G343" i="4" s="1"/>
  <c r="J401" i="2"/>
  <c r="J429" i="2" s="1"/>
  <c r="J434" i="2" s="1"/>
  <c r="J392" i="7"/>
  <c r="J420" i="7" s="1"/>
  <c r="J425" i="7" s="1"/>
  <c r="B392" i="7"/>
  <c r="B420" i="7" s="1"/>
  <c r="B425" i="7" s="1"/>
  <c r="B392" i="5"/>
  <c r="B420" i="5" s="1"/>
  <c r="B425" i="5" s="1"/>
  <c r="G383" i="5"/>
  <c r="G392" i="5" s="1"/>
  <c r="G420" i="5" s="1"/>
  <c r="J308" i="5"/>
  <c r="J336" i="5" s="1"/>
  <c r="J341" i="5" s="1"/>
  <c r="O299" i="5"/>
  <c r="O308" i="5" s="1"/>
  <c r="O336" i="5" s="1"/>
  <c r="C401" i="4"/>
  <c r="C429" i="4" s="1"/>
  <c r="C434" i="4" s="1"/>
  <c r="M308" i="7"/>
  <c r="M336" i="7" s="1"/>
  <c r="M341" i="7" s="1"/>
  <c r="O299" i="7"/>
  <c r="O308" i="7" s="1"/>
  <c r="O336" i="7" s="1"/>
  <c r="C266" i="6"/>
  <c r="N315" i="2"/>
  <c r="N343" i="2" s="1"/>
  <c r="N348" i="2" s="1"/>
  <c r="O305" i="2"/>
  <c r="O315" i="2" s="1"/>
  <c r="O343" i="2" s="1"/>
  <c r="B358" i="3"/>
  <c r="B386" i="3" s="1"/>
  <c r="B391" i="3" s="1"/>
  <c r="G348" i="3"/>
  <c r="G358" i="3" s="1"/>
  <c r="G386" i="3" s="1"/>
  <c r="J358" i="3"/>
  <c r="J386" i="3" s="1"/>
  <c r="J391" i="3" s="1"/>
  <c r="O348" i="3"/>
  <c r="O358" i="3" s="1"/>
  <c r="O386" i="3" s="1"/>
  <c r="B1734" i="4" l="1"/>
  <c r="B1762" i="4" s="1"/>
  <c r="B1767" i="4" s="1"/>
  <c r="B1777" i="4" s="1"/>
  <c r="B1805" i="4" s="1"/>
  <c r="B1810" i="4" s="1"/>
  <c r="B756" i="6"/>
  <c r="B761" i="6" s="1"/>
  <c r="B770" i="6" s="1"/>
  <c r="B798" i="6" s="1"/>
  <c r="B803" i="6" s="1"/>
  <c r="J358" i="4"/>
  <c r="J386" i="4" s="1"/>
  <c r="J391" i="4" s="1"/>
  <c r="O348" i="4"/>
  <c r="O358" i="4" s="1"/>
  <c r="O386" i="4" s="1"/>
  <c r="N358" i="2"/>
  <c r="N386" i="2" s="1"/>
  <c r="N391" i="2" s="1"/>
  <c r="O348" i="2"/>
  <c r="O358" i="2" s="1"/>
  <c r="O386" i="2" s="1"/>
  <c r="C294" i="6"/>
  <c r="C299" i="6" s="1"/>
  <c r="M350" i="7"/>
  <c r="M378" i="7" s="1"/>
  <c r="M383" i="7" s="1"/>
  <c r="O341" i="7"/>
  <c r="O350" i="7" s="1"/>
  <c r="O378" i="7" s="1"/>
  <c r="J350" i="5"/>
  <c r="J378" i="5" s="1"/>
  <c r="J383" i="5" s="1"/>
  <c r="O341" i="5"/>
  <c r="O350" i="5" s="1"/>
  <c r="O378" i="5" s="1"/>
  <c r="B434" i="5"/>
  <c r="B462" i="5" s="1"/>
  <c r="B467" i="5" s="1"/>
  <c r="G425" i="5"/>
  <c r="G434" i="5" s="1"/>
  <c r="G462" i="5" s="1"/>
  <c r="B434" i="7"/>
  <c r="B462" i="7" s="1"/>
  <c r="B467" i="7" s="1"/>
  <c r="J434" i="7"/>
  <c r="J462" i="7" s="1"/>
  <c r="J467" i="7" s="1"/>
  <c r="J444" i="2"/>
  <c r="J472" i="2" s="1"/>
  <c r="J477" i="2" s="1"/>
  <c r="E358" i="4"/>
  <c r="E386" i="4" s="1"/>
  <c r="E391" i="4" s="1"/>
  <c r="G348" i="4"/>
  <c r="G358" i="4" s="1"/>
  <c r="G386" i="4" s="1"/>
  <c r="D350" i="7"/>
  <c r="D378" i="7" s="1"/>
  <c r="D383" i="7" s="1"/>
  <c r="G341" i="7"/>
  <c r="G350" i="7" s="1"/>
  <c r="G378" i="7" s="1"/>
  <c r="L210" i="6"/>
  <c r="L215" i="6" s="1"/>
  <c r="O182" i="6"/>
  <c r="O210" i="6" s="1"/>
  <c r="B358" i="2"/>
  <c r="B386" i="2" s="1"/>
  <c r="B391" i="2" s="1"/>
  <c r="G348" i="2"/>
  <c r="G358" i="2" s="1"/>
  <c r="G386" i="2" s="1"/>
  <c r="J294" i="6"/>
  <c r="J299" i="6" s="1"/>
  <c r="E210" i="6"/>
  <c r="E215" i="6" s="1"/>
  <c r="G182" i="6"/>
  <c r="G210" i="6" s="1"/>
  <c r="C444" i="4"/>
  <c r="C472" i="4" s="1"/>
  <c r="C477" i="4" s="1"/>
  <c r="J401" i="3"/>
  <c r="J429" i="3" s="1"/>
  <c r="J434" i="3" s="1"/>
  <c r="O391" i="3"/>
  <c r="O401" i="3" s="1"/>
  <c r="O429" i="3" s="1"/>
  <c r="B401" i="3"/>
  <c r="B429" i="3" s="1"/>
  <c r="B434" i="3" s="1"/>
  <c r="G391" i="3"/>
  <c r="G401" i="3" s="1"/>
  <c r="G429" i="3" s="1"/>
  <c r="B1820" i="4" l="1"/>
  <c r="B1848" i="4" s="1"/>
  <c r="B1853" i="4" s="1"/>
  <c r="B812" i="6"/>
  <c r="B476" i="7"/>
  <c r="B504" i="7" s="1"/>
  <c r="B509" i="7" s="1"/>
  <c r="J401" i="4"/>
  <c r="J429" i="4" s="1"/>
  <c r="J434" i="4" s="1"/>
  <c r="O391" i="4"/>
  <c r="O401" i="4" s="1"/>
  <c r="O429" i="4" s="1"/>
  <c r="J476" i="7"/>
  <c r="J504" i="7" s="1"/>
  <c r="J509" i="7" s="1"/>
  <c r="C487" i="4"/>
  <c r="C515" i="4" s="1"/>
  <c r="C520" i="4" s="1"/>
  <c r="E224" i="6"/>
  <c r="G215" i="6"/>
  <c r="J308" i="6"/>
  <c r="B401" i="2"/>
  <c r="B429" i="2" s="1"/>
  <c r="B434" i="2" s="1"/>
  <c r="G391" i="2"/>
  <c r="G401" i="2" s="1"/>
  <c r="G429" i="2" s="1"/>
  <c r="L224" i="6"/>
  <c r="O215" i="6"/>
  <c r="D392" i="7"/>
  <c r="D420" i="7" s="1"/>
  <c r="D425" i="7" s="1"/>
  <c r="G383" i="7"/>
  <c r="G392" i="7" s="1"/>
  <c r="G420" i="7" s="1"/>
  <c r="E401" i="4"/>
  <c r="E429" i="4" s="1"/>
  <c r="E434" i="4" s="1"/>
  <c r="G391" i="4"/>
  <c r="G401" i="4" s="1"/>
  <c r="G429" i="4" s="1"/>
  <c r="J487" i="2"/>
  <c r="J515" i="2" s="1"/>
  <c r="J520" i="2" s="1"/>
  <c r="B476" i="5"/>
  <c r="B504" i="5" s="1"/>
  <c r="B509" i="5" s="1"/>
  <c r="G467" i="5"/>
  <c r="G476" i="5" s="1"/>
  <c r="G504" i="5" s="1"/>
  <c r="J392" i="5"/>
  <c r="J420" i="5" s="1"/>
  <c r="J425" i="5" s="1"/>
  <c r="O383" i="5"/>
  <c r="O392" i="5" s="1"/>
  <c r="O420" i="5" s="1"/>
  <c r="M392" i="7"/>
  <c r="M420" i="7" s="1"/>
  <c r="M425" i="7" s="1"/>
  <c r="O383" i="7"/>
  <c r="O392" i="7" s="1"/>
  <c r="O420" i="7" s="1"/>
  <c r="C308" i="6"/>
  <c r="N401" i="2"/>
  <c r="N429" i="2" s="1"/>
  <c r="N434" i="2" s="1"/>
  <c r="O391" i="2"/>
  <c r="O401" i="2" s="1"/>
  <c r="O429" i="2" s="1"/>
  <c r="B444" i="3"/>
  <c r="B472" i="3" s="1"/>
  <c r="B477" i="3" s="1"/>
  <c r="G434" i="3"/>
  <c r="G444" i="3" s="1"/>
  <c r="G472" i="3" s="1"/>
  <c r="J444" i="3"/>
  <c r="J472" i="3" s="1"/>
  <c r="J477" i="3" s="1"/>
  <c r="O434" i="3"/>
  <c r="O444" i="3" s="1"/>
  <c r="O472" i="3" s="1"/>
  <c r="B1863" i="4" l="1"/>
  <c r="B1891" i="4" s="1"/>
  <c r="B1896" i="4" s="1"/>
  <c r="B840" i="6"/>
  <c r="B845" i="6" s="1"/>
  <c r="B518" i="7"/>
  <c r="B546" i="7" s="1"/>
  <c r="B551" i="7" s="1"/>
  <c r="J518" i="7"/>
  <c r="J546" i="7" s="1"/>
  <c r="J551" i="7" s="1"/>
  <c r="O434" i="4"/>
  <c r="O444" i="4" s="1"/>
  <c r="O472" i="4" s="1"/>
  <c r="J444" i="4"/>
  <c r="J472" i="4" s="1"/>
  <c r="J477" i="4" s="1"/>
  <c r="B518" i="5"/>
  <c r="B546" i="5" s="1"/>
  <c r="B551" i="5" s="1"/>
  <c r="G509" i="5"/>
  <c r="G518" i="5" s="1"/>
  <c r="G546" i="5" s="1"/>
  <c r="N444" i="2"/>
  <c r="N472" i="2" s="1"/>
  <c r="N477" i="2" s="1"/>
  <c r="O434" i="2"/>
  <c r="O444" i="2" s="1"/>
  <c r="O472" i="2" s="1"/>
  <c r="C336" i="6"/>
  <c r="C341" i="6" s="1"/>
  <c r="M434" i="7"/>
  <c r="M462" i="7" s="1"/>
  <c r="M467" i="7" s="1"/>
  <c r="O425" i="7"/>
  <c r="O434" i="7" s="1"/>
  <c r="O462" i="7" s="1"/>
  <c r="J434" i="5"/>
  <c r="J462" i="5" s="1"/>
  <c r="J467" i="5" s="1"/>
  <c r="O425" i="5"/>
  <c r="O434" i="5" s="1"/>
  <c r="O462" i="5" s="1"/>
  <c r="J530" i="2"/>
  <c r="J558" i="2" s="1"/>
  <c r="J563" i="2" s="1"/>
  <c r="E444" i="4"/>
  <c r="E472" i="4" s="1"/>
  <c r="E477" i="4" s="1"/>
  <c r="G434" i="4"/>
  <c r="G444" i="4" s="1"/>
  <c r="G472" i="4" s="1"/>
  <c r="D434" i="7"/>
  <c r="D462" i="7" s="1"/>
  <c r="D467" i="7" s="1"/>
  <c r="G425" i="7"/>
  <c r="G434" i="7" s="1"/>
  <c r="G462" i="7" s="1"/>
  <c r="L252" i="6"/>
  <c r="L257" i="6" s="1"/>
  <c r="O224" i="6"/>
  <c r="O252" i="6" s="1"/>
  <c r="B444" i="2"/>
  <c r="B472" i="2" s="1"/>
  <c r="B477" i="2" s="1"/>
  <c r="G434" i="2"/>
  <c r="G444" i="2" s="1"/>
  <c r="G472" i="2" s="1"/>
  <c r="J336" i="6"/>
  <c r="J341" i="6" s="1"/>
  <c r="E252" i="6"/>
  <c r="E257" i="6" s="1"/>
  <c r="G224" i="6"/>
  <c r="G252" i="6" s="1"/>
  <c r="C530" i="4"/>
  <c r="C558" i="4" s="1"/>
  <c r="C563" i="4" s="1"/>
  <c r="J487" i="3"/>
  <c r="J515" i="3" s="1"/>
  <c r="J520" i="3" s="1"/>
  <c r="O477" i="3"/>
  <c r="O487" i="3" s="1"/>
  <c r="O515" i="3" s="1"/>
  <c r="B487" i="3"/>
  <c r="B515" i="3" s="1"/>
  <c r="B520" i="3" s="1"/>
  <c r="G477" i="3"/>
  <c r="G487" i="3" s="1"/>
  <c r="G515" i="3" s="1"/>
  <c r="B1906" i="4" l="1"/>
  <c r="B1934" i="4" s="1"/>
  <c r="B1939" i="4" s="1"/>
  <c r="B854" i="6"/>
  <c r="J560" i="7"/>
  <c r="J588" i="7" s="1"/>
  <c r="J593" i="7" s="1"/>
  <c r="B560" i="7"/>
  <c r="B588" i="7" s="1"/>
  <c r="B593" i="7" s="1"/>
  <c r="B560" i="5"/>
  <c r="B588" i="5" s="1"/>
  <c r="B593" i="5" s="1"/>
  <c r="G551" i="5"/>
  <c r="G560" i="5" s="1"/>
  <c r="G588" i="5" s="1"/>
  <c r="J487" i="4"/>
  <c r="J515" i="4" s="1"/>
  <c r="J520" i="4" s="1"/>
  <c r="O477" i="4"/>
  <c r="O487" i="4" s="1"/>
  <c r="O515" i="4" s="1"/>
  <c r="D476" i="7"/>
  <c r="D504" i="7" s="1"/>
  <c r="D509" i="7" s="1"/>
  <c r="G467" i="7"/>
  <c r="G476" i="7" s="1"/>
  <c r="G504" i="7" s="1"/>
  <c r="M476" i="7"/>
  <c r="M504" i="7" s="1"/>
  <c r="M509" i="7" s="1"/>
  <c r="O467" i="7"/>
  <c r="O476" i="7" s="1"/>
  <c r="O504" i="7" s="1"/>
  <c r="C573" i="4"/>
  <c r="C601" i="4" s="1"/>
  <c r="C606" i="4" s="1"/>
  <c r="E266" i="6"/>
  <c r="G257" i="6"/>
  <c r="J350" i="6"/>
  <c r="B487" i="2"/>
  <c r="B515" i="2" s="1"/>
  <c r="B520" i="2" s="1"/>
  <c r="G477" i="2"/>
  <c r="G487" i="2" s="1"/>
  <c r="G515" i="2" s="1"/>
  <c r="L266" i="6"/>
  <c r="O257" i="6"/>
  <c r="E487" i="4"/>
  <c r="E515" i="4" s="1"/>
  <c r="E520" i="4" s="1"/>
  <c r="G477" i="4"/>
  <c r="G487" i="4" s="1"/>
  <c r="G515" i="4" s="1"/>
  <c r="J573" i="2"/>
  <c r="J601" i="2" s="1"/>
  <c r="J606" i="2" s="1"/>
  <c r="J476" i="5"/>
  <c r="J504" i="5" s="1"/>
  <c r="J509" i="5" s="1"/>
  <c r="O467" i="5"/>
  <c r="O476" i="5" s="1"/>
  <c r="O504" i="5" s="1"/>
  <c r="C350" i="6"/>
  <c r="N487" i="2"/>
  <c r="N515" i="2" s="1"/>
  <c r="N520" i="2" s="1"/>
  <c r="O477" i="2"/>
  <c r="O487" i="2" s="1"/>
  <c r="O515" i="2" s="1"/>
  <c r="B530" i="3"/>
  <c r="B558" i="3" s="1"/>
  <c r="B563" i="3" s="1"/>
  <c r="G520" i="3"/>
  <c r="G530" i="3" s="1"/>
  <c r="G558" i="3" s="1"/>
  <c r="J530" i="3"/>
  <c r="J558" i="3" s="1"/>
  <c r="J563" i="3" s="1"/>
  <c r="O520" i="3"/>
  <c r="O530" i="3" s="1"/>
  <c r="O558" i="3" s="1"/>
  <c r="B1949" i="4" l="1"/>
  <c r="B1977" i="4" s="1"/>
  <c r="B882" i="6"/>
  <c r="B887" i="6" s="1"/>
  <c r="B602" i="7"/>
  <c r="B630" i="7" s="1"/>
  <c r="B635" i="7" s="1"/>
  <c r="J602" i="7"/>
  <c r="J630" i="7" s="1"/>
  <c r="J635" i="7" s="1"/>
  <c r="B602" i="5"/>
  <c r="B630" i="5" s="1"/>
  <c r="B635" i="5" s="1"/>
  <c r="G593" i="5"/>
  <c r="G602" i="5" s="1"/>
  <c r="G630" i="5" s="1"/>
  <c r="D518" i="7"/>
  <c r="D546" i="7" s="1"/>
  <c r="D551" i="7" s="1"/>
  <c r="G509" i="7"/>
  <c r="G518" i="7" s="1"/>
  <c r="G546" i="7" s="1"/>
  <c r="M518" i="7"/>
  <c r="M546" i="7" s="1"/>
  <c r="M551" i="7" s="1"/>
  <c r="O509" i="7"/>
  <c r="O518" i="7" s="1"/>
  <c r="O546" i="7" s="1"/>
  <c r="O520" i="4"/>
  <c r="O530" i="4" s="1"/>
  <c r="O558" i="4" s="1"/>
  <c r="J530" i="4"/>
  <c r="J558" i="4" s="1"/>
  <c r="J563" i="4" s="1"/>
  <c r="J518" i="5"/>
  <c r="J546" i="5" s="1"/>
  <c r="J551" i="5" s="1"/>
  <c r="O509" i="5"/>
  <c r="O518" i="5" s="1"/>
  <c r="O546" i="5" s="1"/>
  <c r="N530" i="2"/>
  <c r="N558" i="2" s="1"/>
  <c r="N563" i="2" s="1"/>
  <c r="O520" i="2"/>
  <c r="O530" i="2" s="1"/>
  <c r="O558" i="2" s="1"/>
  <c r="C378" i="6"/>
  <c r="C383" i="6" s="1"/>
  <c r="J616" i="2"/>
  <c r="J644" i="2" s="1"/>
  <c r="J649" i="2" s="1"/>
  <c r="E530" i="4"/>
  <c r="E558" i="4" s="1"/>
  <c r="E563" i="4" s="1"/>
  <c r="G520" i="4"/>
  <c r="G530" i="4" s="1"/>
  <c r="G558" i="4" s="1"/>
  <c r="L294" i="6"/>
  <c r="L299" i="6" s="1"/>
  <c r="O266" i="6"/>
  <c r="O294" i="6" s="1"/>
  <c r="B530" i="2"/>
  <c r="B558" i="2" s="1"/>
  <c r="B563" i="2" s="1"/>
  <c r="G520" i="2"/>
  <c r="G530" i="2" s="1"/>
  <c r="G558" i="2" s="1"/>
  <c r="J378" i="6"/>
  <c r="J383" i="6" s="1"/>
  <c r="E294" i="6"/>
  <c r="E299" i="6" s="1"/>
  <c r="G266" i="6"/>
  <c r="G294" i="6" s="1"/>
  <c r="C616" i="4"/>
  <c r="C644" i="4" s="1"/>
  <c r="C649" i="4" s="1"/>
  <c r="J573" i="3"/>
  <c r="J601" i="3" s="1"/>
  <c r="J606" i="3" s="1"/>
  <c r="O563" i="3"/>
  <c r="O573" i="3" s="1"/>
  <c r="O601" i="3" s="1"/>
  <c r="B573" i="3"/>
  <c r="B601" i="3" s="1"/>
  <c r="B606" i="3" s="1"/>
  <c r="G563" i="3"/>
  <c r="G573" i="3" s="1"/>
  <c r="G601" i="3" s="1"/>
  <c r="B896" i="6" l="1"/>
  <c r="B644" i="7"/>
  <c r="B672" i="7" s="1"/>
  <c r="B677" i="7" s="1"/>
  <c r="J644" i="7"/>
  <c r="J672" i="7" s="1"/>
  <c r="J677" i="7" s="1"/>
  <c r="G635" i="5"/>
  <c r="G644" i="5" s="1"/>
  <c r="G672" i="5" s="1"/>
  <c r="B644" i="5"/>
  <c r="B672" i="5" s="1"/>
  <c r="B677" i="5" s="1"/>
  <c r="M560" i="7"/>
  <c r="M588" i="7" s="1"/>
  <c r="M593" i="7" s="1"/>
  <c r="O551" i="7"/>
  <c r="O560" i="7" s="1"/>
  <c r="O588" i="7" s="1"/>
  <c r="D560" i="7"/>
  <c r="D588" i="7" s="1"/>
  <c r="D593" i="7" s="1"/>
  <c r="G551" i="7"/>
  <c r="G560" i="7" s="1"/>
  <c r="G588" i="7" s="1"/>
  <c r="J560" i="5"/>
  <c r="J588" i="5" s="1"/>
  <c r="J593" i="5" s="1"/>
  <c r="O551" i="5"/>
  <c r="O560" i="5" s="1"/>
  <c r="O588" i="5" s="1"/>
  <c r="J573" i="4"/>
  <c r="J601" i="4" s="1"/>
  <c r="J606" i="4" s="1"/>
  <c r="O563" i="4"/>
  <c r="O573" i="4" s="1"/>
  <c r="O601" i="4" s="1"/>
  <c r="C659" i="4"/>
  <c r="C687" i="4" s="1"/>
  <c r="C692" i="4" s="1"/>
  <c r="E308" i="6"/>
  <c r="G299" i="6"/>
  <c r="J392" i="6"/>
  <c r="B573" i="2"/>
  <c r="B601" i="2" s="1"/>
  <c r="B606" i="2" s="1"/>
  <c r="G563" i="2"/>
  <c r="G573" i="2" s="1"/>
  <c r="G601" i="2" s="1"/>
  <c r="L308" i="6"/>
  <c r="O299" i="6"/>
  <c r="E573" i="4"/>
  <c r="E601" i="4" s="1"/>
  <c r="E606" i="4" s="1"/>
  <c r="G563" i="4"/>
  <c r="G573" i="4" s="1"/>
  <c r="G601" i="4" s="1"/>
  <c r="J659" i="2"/>
  <c r="J687" i="2" s="1"/>
  <c r="J692" i="2" s="1"/>
  <c r="C392" i="6"/>
  <c r="N573" i="2"/>
  <c r="N601" i="2" s="1"/>
  <c r="N606" i="2" s="1"/>
  <c r="O563" i="2"/>
  <c r="O573" i="2" s="1"/>
  <c r="O601" i="2" s="1"/>
  <c r="B616" i="3"/>
  <c r="B644" i="3" s="1"/>
  <c r="B649" i="3" s="1"/>
  <c r="G606" i="3"/>
  <c r="G616" i="3" s="1"/>
  <c r="G644" i="3" s="1"/>
  <c r="J616" i="3"/>
  <c r="J644" i="3" s="1"/>
  <c r="J649" i="3" s="1"/>
  <c r="O606" i="3"/>
  <c r="O616" i="3" s="1"/>
  <c r="O644" i="3" s="1"/>
  <c r="B924" i="6" l="1"/>
  <c r="B929" i="6" s="1"/>
  <c r="B686" i="7"/>
  <c r="B714" i="7" s="1"/>
  <c r="B719" i="7" s="1"/>
  <c r="J686" i="7"/>
  <c r="J714" i="7" s="1"/>
  <c r="J719" i="7" s="1"/>
  <c r="D602" i="7"/>
  <c r="D630" i="7" s="1"/>
  <c r="D635" i="7" s="1"/>
  <c r="G593" i="7"/>
  <c r="G602" i="7" s="1"/>
  <c r="G630" i="7" s="1"/>
  <c r="G677" i="5"/>
  <c r="G686" i="5" s="1"/>
  <c r="G714" i="5" s="1"/>
  <c r="B686" i="5"/>
  <c r="B714" i="5" s="1"/>
  <c r="B719" i="5" s="1"/>
  <c r="M602" i="7"/>
  <c r="M630" i="7" s="1"/>
  <c r="M635" i="7" s="1"/>
  <c r="O593" i="7"/>
  <c r="O602" i="7" s="1"/>
  <c r="O630" i="7" s="1"/>
  <c r="J602" i="5"/>
  <c r="J630" i="5" s="1"/>
  <c r="J635" i="5" s="1"/>
  <c r="O593" i="5"/>
  <c r="O602" i="5" s="1"/>
  <c r="O630" i="5" s="1"/>
  <c r="J616" i="4"/>
  <c r="J644" i="4" s="1"/>
  <c r="J649" i="4" s="1"/>
  <c r="O606" i="4"/>
  <c r="O616" i="4" s="1"/>
  <c r="O644" i="4" s="1"/>
  <c r="N616" i="2"/>
  <c r="N644" i="2" s="1"/>
  <c r="N649" i="2" s="1"/>
  <c r="O606" i="2"/>
  <c r="O616" i="2" s="1"/>
  <c r="O644" i="2" s="1"/>
  <c r="C420" i="6"/>
  <c r="C425" i="6" s="1"/>
  <c r="J702" i="2"/>
  <c r="J730" i="2" s="1"/>
  <c r="J735" i="2" s="1"/>
  <c r="E616" i="4"/>
  <c r="E644" i="4" s="1"/>
  <c r="E649" i="4" s="1"/>
  <c r="G606" i="4"/>
  <c r="G616" i="4" s="1"/>
  <c r="G644" i="4" s="1"/>
  <c r="L336" i="6"/>
  <c r="L341" i="6" s="1"/>
  <c r="O308" i="6"/>
  <c r="O336" i="6" s="1"/>
  <c r="B616" i="2"/>
  <c r="B644" i="2" s="1"/>
  <c r="B649" i="2" s="1"/>
  <c r="G606" i="2"/>
  <c r="G616" i="2" s="1"/>
  <c r="G644" i="2" s="1"/>
  <c r="J420" i="6"/>
  <c r="J425" i="6" s="1"/>
  <c r="E336" i="6"/>
  <c r="E341" i="6" s="1"/>
  <c r="G308" i="6"/>
  <c r="G336" i="6" s="1"/>
  <c r="C702" i="4"/>
  <c r="C730" i="4" s="1"/>
  <c r="C735" i="4" s="1"/>
  <c r="O649" i="3"/>
  <c r="O659" i="3" s="1"/>
  <c r="O687" i="3" s="1"/>
  <c r="J659" i="3"/>
  <c r="J687" i="3" s="1"/>
  <c r="J692" i="3" s="1"/>
  <c r="G649" i="3"/>
  <c r="G659" i="3" s="1"/>
  <c r="G687" i="3" s="1"/>
  <c r="B659" i="3"/>
  <c r="B687" i="3" s="1"/>
  <c r="B692" i="3" s="1"/>
  <c r="B938" i="6" l="1"/>
  <c r="J728" i="7"/>
  <c r="J756" i="7" s="1"/>
  <c r="J761" i="7" s="1"/>
  <c r="B728" i="7"/>
  <c r="B756" i="7" s="1"/>
  <c r="B761" i="7" s="1"/>
  <c r="D644" i="7"/>
  <c r="D672" i="7" s="1"/>
  <c r="D677" i="7" s="1"/>
  <c r="G635" i="7"/>
  <c r="G644" i="7" s="1"/>
  <c r="G672" i="7" s="1"/>
  <c r="M644" i="7"/>
  <c r="M672" i="7" s="1"/>
  <c r="M677" i="7" s="1"/>
  <c r="O635" i="7"/>
  <c r="O644" i="7" s="1"/>
  <c r="O672" i="7" s="1"/>
  <c r="G719" i="5"/>
  <c r="G728" i="5" s="1"/>
  <c r="G756" i="5" s="1"/>
  <c r="B728" i="5"/>
  <c r="B756" i="5" s="1"/>
  <c r="B761" i="5" s="1"/>
  <c r="O635" i="5"/>
  <c r="O644" i="5" s="1"/>
  <c r="O672" i="5" s="1"/>
  <c r="J644" i="5"/>
  <c r="J672" i="5" s="1"/>
  <c r="J677" i="5" s="1"/>
  <c r="G692" i="3"/>
  <c r="G702" i="3" s="1"/>
  <c r="G730" i="3" s="1"/>
  <c r="B702" i="3"/>
  <c r="B730" i="3" s="1"/>
  <c r="B735" i="3" s="1"/>
  <c r="O692" i="3"/>
  <c r="O702" i="3" s="1"/>
  <c r="O730" i="3" s="1"/>
  <c r="J702" i="3"/>
  <c r="J730" i="3" s="1"/>
  <c r="J735" i="3" s="1"/>
  <c r="O649" i="4"/>
  <c r="O659" i="4" s="1"/>
  <c r="O687" i="4" s="1"/>
  <c r="J659" i="4"/>
  <c r="J687" i="4" s="1"/>
  <c r="J692" i="4" s="1"/>
  <c r="C745" i="4"/>
  <c r="C773" i="4" s="1"/>
  <c r="C778" i="4" s="1"/>
  <c r="E350" i="6"/>
  <c r="G341" i="6"/>
  <c r="J434" i="6"/>
  <c r="B659" i="2"/>
  <c r="B687" i="2" s="1"/>
  <c r="B692" i="2" s="1"/>
  <c r="G649" i="2"/>
  <c r="G659" i="2" s="1"/>
  <c r="G687" i="2" s="1"/>
  <c r="L350" i="6"/>
  <c r="O341" i="6"/>
  <c r="E659" i="4"/>
  <c r="E687" i="4" s="1"/>
  <c r="E692" i="4" s="1"/>
  <c r="G649" i="4"/>
  <c r="G659" i="4" s="1"/>
  <c r="G687" i="4" s="1"/>
  <c r="J745" i="2"/>
  <c r="J773" i="2" s="1"/>
  <c r="J778" i="2" s="1"/>
  <c r="C434" i="6"/>
  <c r="N659" i="2"/>
  <c r="N687" i="2" s="1"/>
  <c r="N692" i="2" s="1"/>
  <c r="O649" i="2"/>
  <c r="O659" i="2" s="1"/>
  <c r="O687" i="2" s="1"/>
  <c r="B966" i="6" l="1"/>
  <c r="B971" i="6" s="1"/>
  <c r="B980" i="6" s="1"/>
  <c r="B1008" i="6" s="1"/>
  <c r="B1013" i="6" s="1"/>
  <c r="B770" i="7"/>
  <c r="B798" i="7" s="1"/>
  <c r="B803" i="7" s="1"/>
  <c r="J770" i="7"/>
  <c r="J798" i="7" s="1"/>
  <c r="J803" i="7" s="1"/>
  <c r="J745" i="3"/>
  <c r="J773" i="3" s="1"/>
  <c r="J778" i="3" s="1"/>
  <c r="O735" i="3"/>
  <c r="O745" i="3" s="1"/>
  <c r="O773" i="3" s="1"/>
  <c r="B745" i="3"/>
  <c r="B773" i="3" s="1"/>
  <c r="B778" i="3" s="1"/>
  <c r="G735" i="3"/>
  <c r="G745" i="3" s="1"/>
  <c r="G773" i="3" s="1"/>
  <c r="D686" i="7"/>
  <c r="D714" i="7" s="1"/>
  <c r="D719" i="7" s="1"/>
  <c r="G677" i="7"/>
  <c r="G686" i="7" s="1"/>
  <c r="G714" i="7" s="1"/>
  <c r="M686" i="7"/>
  <c r="M714" i="7" s="1"/>
  <c r="M719" i="7" s="1"/>
  <c r="O677" i="7"/>
  <c r="O686" i="7" s="1"/>
  <c r="O714" i="7" s="1"/>
  <c r="G761" i="5"/>
  <c r="G770" i="5" s="1"/>
  <c r="G798" i="5" s="1"/>
  <c r="B770" i="5"/>
  <c r="B798" i="5" s="1"/>
  <c r="B803" i="5" s="1"/>
  <c r="O677" i="5"/>
  <c r="O686" i="5" s="1"/>
  <c r="O714" i="5" s="1"/>
  <c r="J686" i="5"/>
  <c r="J714" i="5" s="1"/>
  <c r="J719" i="5" s="1"/>
  <c r="O692" i="4"/>
  <c r="O702" i="4" s="1"/>
  <c r="O730" i="4" s="1"/>
  <c r="J702" i="4"/>
  <c r="J730" i="4" s="1"/>
  <c r="J735" i="4" s="1"/>
  <c r="N702" i="2"/>
  <c r="N730" i="2" s="1"/>
  <c r="N735" i="2" s="1"/>
  <c r="O692" i="2"/>
  <c r="O702" i="2" s="1"/>
  <c r="O730" i="2" s="1"/>
  <c r="C462" i="6"/>
  <c r="C467" i="6" s="1"/>
  <c r="J788" i="2"/>
  <c r="J816" i="2" s="1"/>
  <c r="J821" i="2" s="1"/>
  <c r="E702" i="4"/>
  <c r="E730" i="4" s="1"/>
  <c r="E735" i="4" s="1"/>
  <c r="G692" i="4"/>
  <c r="G702" i="4" s="1"/>
  <c r="G730" i="4" s="1"/>
  <c r="L378" i="6"/>
  <c r="L383" i="6" s="1"/>
  <c r="O350" i="6"/>
  <c r="O378" i="6" s="1"/>
  <c r="B702" i="2"/>
  <c r="B730" i="2" s="1"/>
  <c r="B735" i="2" s="1"/>
  <c r="G692" i="2"/>
  <c r="G702" i="2" s="1"/>
  <c r="G730" i="2" s="1"/>
  <c r="J462" i="6"/>
  <c r="J467" i="6" s="1"/>
  <c r="E378" i="6"/>
  <c r="E383" i="6" s="1"/>
  <c r="G350" i="6"/>
  <c r="G378" i="6" s="1"/>
  <c r="C788" i="4"/>
  <c r="C816" i="4" s="1"/>
  <c r="C821" i="4" s="1"/>
  <c r="B1022" i="6" l="1"/>
  <c r="B788" i="3"/>
  <c r="B816" i="3" s="1"/>
  <c r="B821" i="3" s="1"/>
  <c r="G778" i="3"/>
  <c r="G788" i="3" s="1"/>
  <c r="G816" i="3" s="1"/>
  <c r="J788" i="3"/>
  <c r="J816" i="3" s="1"/>
  <c r="J821" i="3" s="1"/>
  <c r="O778" i="3"/>
  <c r="O788" i="3" s="1"/>
  <c r="O816" i="3" s="1"/>
  <c r="B812" i="7"/>
  <c r="B840" i="7" s="1"/>
  <c r="B845" i="7" s="1"/>
  <c r="J812" i="7"/>
  <c r="J840" i="7" s="1"/>
  <c r="J845" i="7" s="1"/>
  <c r="G803" i="5"/>
  <c r="G812" i="5" s="1"/>
  <c r="G840" i="5" s="1"/>
  <c r="B812" i="5"/>
  <c r="B840" i="5" s="1"/>
  <c r="B845" i="5" s="1"/>
  <c r="M728" i="7"/>
  <c r="M756" i="7" s="1"/>
  <c r="M761" i="7" s="1"/>
  <c r="O719" i="7"/>
  <c r="O728" i="7" s="1"/>
  <c r="O756" i="7" s="1"/>
  <c r="D728" i="7"/>
  <c r="D756" i="7" s="1"/>
  <c r="D761" i="7" s="1"/>
  <c r="G719" i="7"/>
  <c r="G728" i="7" s="1"/>
  <c r="G756" i="7" s="1"/>
  <c r="O719" i="5"/>
  <c r="O728" i="5" s="1"/>
  <c r="O756" i="5" s="1"/>
  <c r="J728" i="5"/>
  <c r="J756" i="5" s="1"/>
  <c r="J761" i="5" s="1"/>
  <c r="O735" i="4"/>
  <c r="O745" i="4" s="1"/>
  <c r="O773" i="4" s="1"/>
  <c r="J745" i="4"/>
  <c r="J773" i="4" s="1"/>
  <c r="J778" i="4" s="1"/>
  <c r="C831" i="4"/>
  <c r="C859" i="4" s="1"/>
  <c r="C864" i="4" s="1"/>
  <c r="E392" i="6"/>
  <c r="G383" i="6"/>
  <c r="J476" i="6"/>
  <c r="B745" i="2"/>
  <c r="B773" i="2" s="1"/>
  <c r="B778" i="2" s="1"/>
  <c r="G735" i="2"/>
  <c r="G745" i="2" s="1"/>
  <c r="G773" i="2" s="1"/>
  <c r="L392" i="6"/>
  <c r="O383" i="6"/>
  <c r="E745" i="4"/>
  <c r="E773" i="4" s="1"/>
  <c r="E778" i="4" s="1"/>
  <c r="G735" i="4"/>
  <c r="G745" i="4" s="1"/>
  <c r="G773" i="4" s="1"/>
  <c r="J831" i="2"/>
  <c r="J859" i="2" s="1"/>
  <c r="J864" i="2" s="1"/>
  <c r="C476" i="6"/>
  <c r="N745" i="2"/>
  <c r="N773" i="2" s="1"/>
  <c r="N778" i="2" s="1"/>
  <c r="O735" i="2"/>
  <c r="O745" i="2" s="1"/>
  <c r="O773" i="2" s="1"/>
  <c r="J831" i="3" l="1"/>
  <c r="J859" i="3" s="1"/>
  <c r="J864" i="3" s="1"/>
  <c r="O821" i="3"/>
  <c r="O831" i="3" s="1"/>
  <c r="O859" i="3" s="1"/>
  <c r="B831" i="3"/>
  <c r="B859" i="3" s="1"/>
  <c r="B864" i="3" s="1"/>
  <c r="G821" i="3"/>
  <c r="G831" i="3" s="1"/>
  <c r="G859" i="3" s="1"/>
  <c r="B1050" i="6"/>
  <c r="B1055" i="6" s="1"/>
  <c r="B854" i="7"/>
  <c r="B882" i="7" s="1"/>
  <c r="B887" i="7" s="1"/>
  <c r="J854" i="7"/>
  <c r="J882" i="7" s="1"/>
  <c r="J887" i="7" s="1"/>
  <c r="D770" i="7"/>
  <c r="D798" i="7" s="1"/>
  <c r="D803" i="7" s="1"/>
  <c r="G761" i="7"/>
  <c r="G770" i="7" s="1"/>
  <c r="G798" i="7" s="1"/>
  <c r="M770" i="7"/>
  <c r="M798" i="7" s="1"/>
  <c r="M803" i="7" s="1"/>
  <c r="O761" i="7"/>
  <c r="O770" i="7" s="1"/>
  <c r="O798" i="7" s="1"/>
  <c r="B854" i="5"/>
  <c r="B882" i="5" s="1"/>
  <c r="B887" i="5" s="1"/>
  <c r="G845" i="5"/>
  <c r="G854" i="5" s="1"/>
  <c r="G882" i="5" s="1"/>
  <c r="O761" i="5"/>
  <c r="O770" i="5" s="1"/>
  <c r="O798" i="5" s="1"/>
  <c r="J770" i="5"/>
  <c r="J798" i="5" s="1"/>
  <c r="J803" i="5" s="1"/>
  <c r="J874" i="2"/>
  <c r="J902" i="2" s="1"/>
  <c r="J907" i="2" s="1"/>
  <c r="O778" i="4"/>
  <c r="O788" i="4" s="1"/>
  <c r="O816" i="4" s="1"/>
  <c r="J788" i="4"/>
  <c r="J816" i="4" s="1"/>
  <c r="J821" i="4" s="1"/>
  <c r="N788" i="2"/>
  <c r="N816" i="2" s="1"/>
  <c r="N821" i="2" s="1"/>
  <c r="O778" i="2"/>
  <c r="O788" i="2" s="1"/>
  <c r="O816" i="2" s="1"/>
  <c r="C504" i="6"/>
  <c r="C509" i="6" s="1"/>
  <c r="E788" i="4"/>
  <c r="E816" i="4" s="1"/>
  <c r="E821" i="4" s="1"/>
  <c r="G778" i="4"/>
  <c r="G788" i="4" s="1"/>
  <c r="G816" i="4" s="1"/>
  <c r="L420" i="6"/>
  <c r="L425" i="6" s="1"/>
  <c r="O392" i="6"/>
  <c r="O420" i="6" s="1"/>
  <c r="B788" i="2"/>
  <c r="B816" i="2" s="1"/>
  <c r="B821" i="2" s="1"/>
  <c r="G778" i="2"/>
  <c r="G788" i="2" s="1"/>
  <c r="G816" i="2" s="1"/>
  <c r="J504" i="6"/>
  <c r="J509" i="6" s="1"/>
  <c r="E420" i="6"/>
  <c r="E425" i="6" s="1"/>
  <c r="G392" i="6"/>
  <c r="G420" i="6" s="1"/>
  <c r="C874" i="4"/>
  <c r="C902" i="4" s="1"/>
  <c r="C907" i="4" s="1"/>
  <c r="B874" i="3" l="1"/>
  <c r="B902" i="3" s="1"/>
  <c r="B907" i="3" s="1"/>
  <c r="G864" i="3"/>
  <c r="G874" i="3" s="1"/>
  <c r="G902" i="3" s="1"/>
  <c r="J874" i="3"/>
  <c r="J902" i="3" s="1"/>
  <c r="J907" i="3" s="1"/>
  <c r="O864" i="3"/>
  <c r="O874" i="3" s="1"/>
  <c r="O902" i="3" s="1"/>
  <c r="B896" i="7"/>
  <c r="B924" i="7" s="1"/>
  <c r="B929" i="7" s="1"/>
  <c r="J896" i="7"/>
  <c r="J924" i="7" s="1"/>
  <c r="J929" i="7" s="1"/>
  <c r="B1064" i="6"/>
  <c r="J917" i="2"/>
  <c r="J945" i="2" s="1"/>
  <c r="J950" i="2" s="1"/>
  <c r="D812" i="7"/>
  <c r="D840" i="7" s="1"/>
  <c r="D845" i="7" s="1"/>
  <c r="G803" i="7"/>
  <c r="G812" i="7" s="1"/>
  <c r="G840" i="7" s="1"/>
  <c r="M812" i="7"/>
  <c r="M840" i="7" s="1"/>
  <c r="M845" i="7" s="1"/>
  <c r="O803" i="7"/>
  <c r="O812" i="7" s="1"/>
  <c r="O840" i="7" s="1"/>
  <c r="B896" i="5"/>
  <c r="B924" i="5" s="1"/>
  <c r="B929" i="5" s="1"/>
  <c r="G887" i="5"/>
  <c r="G896" i="5" s="1"/>
  <c r="G924" i="5" s="1"/>
  <c r="O803" i="5"/>
  <c r="O812" i="5" s="1"/>
  <c r="O840" i="5" s="1"/>
  <c r="J812" i="5"/>
  <c r="J840" i="5" s="1"/>
  <c r="J845" i="5" s="1"/>
  <c r="O821" i="4"/>
  <c r="O831" i="4" s="1"/>
  <c r="O859" i="4" s="1"/>
  <c r="J831" i="4"/>
  <c r="J859" i="4" s="1"/>
  <c r="J864" i="4" s="1"/>
  <c r="C917" i="4"/>
  <c r="C945" i="4" s="1"/>
  <c r="C950" i="4" s="1"/>
  <c r="E434" i="6"/>
  <c r="G425" i="6"/>
  <c r="J518" i="6"/>
  <c r="B831" i="2"/>
  <c r="B859" i="2" s="1"/>
  <c r="B864" i="2" s="1"/>
  <c r="G821" i="2"/>
  <c r="G831" i="2" s="1"/>
  <c r="G859" i="2" s="1"/>
  <c r="L434" i="6"/>
  <c r="O425" i="6"/>
  <c r="E831" i="4"/>
  <c r="E859" i="4" s="1"/>
  <c r="E864" i="4" s="1"/>
  <c r="G821" i="4"/>
  <c r="G831" i="4" s="1"/>
  <c r="G859" i="4" s="1"/>
  <c r="C518" i="6"/>
  <c r="N831" i="2"/>
  <c r="N859" i="2" s="1"/>
  <c r="N864" i="2" s="1"/>
  <c r="O821" i="2"/>
  <c r="O831" i="2" s="1"/>
  <c r="O859" i="2" s="1"/>
  <c r="J938" i="7" l="1"/>
  <c r="J966" i="7" s="1"/>
  <c r="J971" i="7" s="1"/>
  <c r="B938" i="7"/>
  <c r="B966" i="7" s="1"/>
  <c r="B971" i="7" s="1"/>
  <c r="J917" i="3"/>
  <c r="J945" i="3" s="1"/>
  <c r="J950" i="3" s="1"/>
  <c r="O907" i="3"/>
  <c r="O917" i="3" s="1"/>
  <c r="O945" i="3" s="1"/>
  <c r="B917" i="3"/>
  <c r="B945" i="3" s="1"/>
  <c r="B950" i="3" s="1"/>
  <c r="G907" i="3"/>
  <c r="G917" i="3" s="1"/>
  <c r="G945" i="3" s="1"/>
  <c r="J960" i="2"/>
  <c r="J988" i="2" s="1"/>
  <c r="B1092" i="6"/>
  <c r="B1097" i="6" s="1"/>
  <c r="D854" i="7"/>
  <c r="D882" i="7" s="1"/>
  <c r="D887" i="7" s="1"/>
  <c r="G845" i="7"/>
  <c r="G854" i="7" s="1"/>
  <c r="G882" i="7" s="1"/>
  <c r="M854" i="7"/>
  <c r="M882" i="7" s="1"/>
  <c r="M887" i="7" s="1"/>
  <c r="O845" i="7"/>
  <c r="O854" i="7" s="1"/>
  <c r="O882" i="7" s="1"/>
  <c r="G929" i="5"/>
  <c r="G938" i="5" s="1"/>
  <c r="G966" i="5" s="1"/>
  <c r="B938" i="5"/>
  <c r="B966" i="5" s="1"/>
  <c r="B971" i="5" s="1"/>
  <c r="J854" i="5"/>
  <c r="J882" i="5" s="1"/>
  <c r="J887" i="5" s="1"/>
  <c r="O845" i="5"/>
  <c r="O854" i="5" s="1"/>
  <c r="O882" i="5" s="1"/>
  <c r="G864" i="2"/>
  <c r="G874" i="2" s="1"/>
  <c r="G902" i="2" s="1"/>
  <c r="B874" i="2"/>
  <c r="B902" i="2" s="1"/>
  <c r="B907" i="2" s="1"/>
  <c r="N874" i="2"/>
  <c r="N902" i="2" s="1"/>
  <c r="N907" i="2" s="1"/>
  <c r="O864" i="2"/>
  <c r="O874" i="2" s="1"/>
  <c r="O902" i="2" s="1"/>
  <c r="J874" i="4"/>
  <c r="J902" i="4" s="1"/>
  <c r="J907" i="4" s="1"/>
  <c r="O864" i="4"/>
  <c r="O874" i="4" s="1"/>
  <c r="O902" i="4" s="1"/>
  <c r="C546" i="6"/>
  <c r="C551" i="6" s="1"/>
  <c r="E874" i="4"/>
  <c r="E902" i="4" s="1"/>
  <c r="E907" i="4" s="1"/>
  <c r="G864" i="4"/>
  <c r="G874" i="4" s="1"/>
  <c r="G902" i="4" s="1"/>
  <c r="L462" i="6"/>
  <c r="L467" i="6" s="1"/>
  <c r="O434" i="6"/>
  <c r="O462" i="6" s="1"/>
  <c r="J546" i="6"/>
  <c r="J551" i="6" s="1"/>
  <c r="E462" i="6"/>
  <c r="E467" i="6" s="1"/>
  <c r="G434" i="6"/>
  <c r="G462" i="6" s="1"/>
  <c r="C960" i="4"/>
  <c r="C988" i="4" s="1"/>
  <c r="C993" i="4" s="1"/>
  <c r="B980" i="7" l="1"/>
  <c r="B1008" i="7" s="1"/>
  <c r="B1013" i="7" s="1"/>
  <c r="J980" i="7"/>
  <c r="J1008" i="7" s="1"/>
  <c r="J1013" i="7" s="1"/>
  <c r="J960" i="3"/>
  <c r="J988" i="3" s="1"/>
  <c r="J993" i="3" s="1"/>
  <c r="O950" i="3"/>
  <c r="O960" i="3" s="1"/>
  <c r="O988" i="3" s="1"/>
  <c r="B960" i="3"/>
  <c r="B988" i="3" s="1"/>
  <c r="B993" i="3" s="1"/>
  <c r="G950" i="3"/>
  <c r="G960" i="3" s="1"/>
  <c r="G988" i="3" s="1"/>
  <c r="B1106" i="6"/>
  <c r="D896" i="7"/>
  <c r="D924" i="7" s="1"/>
  <c r="D929" i="7" s="1"/>
  <c r="G887" i="7"/>
  <c r="G896" i="7" s="1"/>
  <c r="G924" i="7" s="1"/>
  <c r="M896" i="7"/>
  <c r="M924" i="7" s="1"/>
  <c r="M929" i="7" s="1"/>
  <c r="O887" i="7"/>
  <c r="O896" i="7" s="1"/>
  <c r="O924" i="7" s="1"/>
  <c r="B980" i="5"/>
  <c r="B1008" i="5" s="1"/>
  <c r="B1013" i="5" s="1"/>
  <c r="G971" i="5"/>
  <c r="G980" i="5" s="1"/>
  <c r="G1008" i="5" s="1"/>
  <c r="N917" i="2"/>
  <c r="N945" i="2" s="1"/>
  <c r="N950" i="2" s="1"/>
  <c r="O907" i="2"/>
  <c r="O917" i="2" s="1"/>
  <c r="O945" i="2" s="1"/>
  <c r="G907" i="2"/>
  <c r="G917" i="2" s="1"/>
  <c r="G945" i="2" s="1"/>
  <c r="B917" i="2"/>
  <c r="B945" i="2" s="1"/>
  <c r="B950" i="2" s="1"/>
  <c r="J896" i="5"/>
  <c r="J924" i="5" s="1"/>
  <c r="J929" i="5" s="1"/>
  <c r="O887" i="5"/>
  <c r="O896" i="5" s="1"/>
  <c r="O924" i="5" s="1"/>
  <c r="O907" i="4"/>
  <c r="O917" i="4" s="1"/>
  <c r="O945" i="4" s="1"/>
  <c r="J917" i="4"/>
  <c r="J945" i="4" s="1"/>
  <c r="J950" i="4" s="1"/>
  <c r="C1003" i="4"/>
  <c r="C1031" i="4" s="1"/>
  <c r="C1036" i="4" s="1"/>
  <c r="E476" i="6"/>
  <c r="G467" i="6"/>
  <c r="J560" i="6"/>
  <c r="L476" i="6"/>
  <c r="O467" i="6"/>
  <c r="E917" i="4"/>
  <c r="E945" i="4" s="1"/>
  <c r="E950" i="4" s="1"/>
  <c r="G907" i="4"/>
  <c r="G917" i="4" s="1"/>
  <c r="G945" i="4" s="1"/>
  <c r="C560" i="6"/>
  <c r="J1022" i="7" l="1"/>
  <c r="B1022" i="7"/>
  <c r="B1050" i="7" s="1"/>
  <c r="B1003" i="3"/>
  <c r="B1031" i="3" s="1"/>
  <c r="B1036" i="3" s="1"/>
  <c r="B1046" i="3" s="1"/>
  <c r="B1074" i="3" s="1"/>
  <c r="G993" i="3"/>
  <c r="G1003" i="3" s="1"/>
  <c r="G1031" i="3" s="1"/>
  <c r="J1003" i="3"/>
  <c r="J1031" i="3" s="1"/>
  <c r="J1036" i="3" s="1"/>
  <c r="O993" i="3"/>
  <c r="O1003" i="3" s="1"/>
  <c r="O1031" i="3" s="1"/>
  <c r="M938" i="7"/>
  <c r="M966" i="7" s="1"/>
  <c r="M971" i="7" s="1"/>
  <c r="O929" i="7"/>
  <c r="O938" i="7" s="1"/>
  <c r="O966" i="7" s="1"/>
  <c r="D938" i="7"/>
  <c r="D966" i="7" s="1"/>
  <c r="D971" i="7" s="1"/>
  <c r="G929" i="7"/>
  <c r="G938" i="7" s="1"/>
  <c r="G966" i="7" s="1"/>
  <c r="G950" i="2"/>
  <c r="G960" i="2" s="1"/>
  <c r="G988" i="2" s="1"/>
  <c r="B960" i="2"/>
  <c r="B988" i="2" s="1"/>
  <c r="B993" i="2" s="1"/>
  <c r="N960" i="2"/>
  <c r="N988" i="2" s="1"/>
  <c r="O950" i="2"/>
  <c r="O960" i="2" s="1"/>
  <c r="O988" i="2" s="1"/>
  <c r="B1134" i="6"/>
  <c r="B1139" i="6" s="1"/>
  <c r="B1022" i="5"/>
  <c r="B1050" i="5" s="1"/>
  <c r="B1055" i="5" s="1"/>
  <c r="G1013" i="5"/>
  <c r="G1022" i="5" s="1"/>
  <c r="G1050" i="5" s="1"/>
  <c r="O929" i="5"/>
  <c r="O938" i="5" s="1"/>
  <c r="O966" i="5" s="1"/>
  <c r="J938" i="5"/>
  <c r="J966" i="5" s="1"/>
  <c r="J971" i="5" s="1"/>
  <c r="O950" i="4"/>
  <c r="O960" i="4" s="1"/>
  <c r="O988" i="4" s="1"/>
  <c r="J960" i="4"/>
  <c r="J988" i="4" s="1"/>
  <c r="J993" i="4" s="1"/>
  <c r="C588" i="6"/>
  <c r="C593" i="6" s="1"/>
  <c r="E960" i="4"/>
  <c r="E988" i="4" s="1"/>
  <c r="E993" i="4" s="1"/>
  <c r="G950" i="4"/>
  <c r="G960" i="4" s="1"/>
  <c r="G988" i="4" s="1"/>
  <c r="L504" i="6"/>
  <c r="L509" i="6" s="1"/>
  <c r="O476" i="6"/>
  <c r="O504" i="6" s="1"/>
  <c r="J588" i="6"/>
  <c r="J593" i="6" s="1"/>
  <c r="E504" i="6"/>
  <c r="E509" i="6" s="1"/>
  <c r="G476" i="6"/>
  <c r="G504" i="6" s="1"/>
  <c r="C1046" i="4"/>
  <c r="C1074" i="4" s="1"/>
  <c r="C1079" i="4" s="1"/>
  <c r="B1003" i="2" l="1"/>
  <c r="B1031" i="2" s="1"/>
  <c r="G993" i="2"/>
  <c r="G1003" i="2" s="1"/>
  <c r="G1031" i="2" s="1"/>
  <c r="O1036" i="3"/>
  <c r="O1046" i="3" s="1"/>
  <c r="O1074" i="3" s="1"/>
  <c r="J1046" i="3"/>
  <c r="J1074" i="3" s="1"/>
  <c r="G1036" i="3"/>
  <c r="G1046" i="3" s="1"/>
  <c r="G1074" i="3" s="1"/>
  <c r="D980" i="7"/>
  <c r="D1008" i="7" s="1"/>
  <c r="D1013" i="7" s="1"/>
  <c r="G971" i="7"/>
  <c r="G980" i="7" s="1"/>
  <c r="G1008" i="7" s="1"/>
  <c r="M980" i="7"/>
  <c r="M1008" i="7" s="1"/>
  <c r="M1013" i="7" s="1"/>
  <c r="O971" i="7"/>
  <c r="O980" i="7" s="1"/>
  <c r="O1008" i="7" s="1"/>
  <c r="B1148" i="6"/>
  <c r="G1055" i="5"/>
  <c r="G1064" i="5" s="1"/>
  <c r="G1092" i="5" s="1"/>
  <c r="B1064" i="5"/>
  <c r="B1092" i="5" s="1"/>
  <c r="B1097" i="5" s="1"/>
  <c r="J980" i="5"/>
  <c r="J1008" i="5" s="1"/>
  <c r="J1013" i="5" s="1"/>
  <c r="O971" i="5"/>
  <c r="O980" i="5" s="1"/>
  <c r="O1008" i="5" s="1"/>
  <c r="C602" i="6"/>
  <c r="J602" i="6"/>
  <c r="J1003" i="4"/>
  <c r="J1031" i="4" s="1"/>
  <c r="J1036" i="4" s="1"/>
  <c r="O993" i="4"/>
  <c r="O1003" i="4" s="1"/>
  <c r="O1031" i="4" s="1"/>
  <c r="C1089" i="4"/>
  <c r="C1117" i="4" s="1"/>
  <c r="C1122" i="4" s="1"/>
  <c r="E518" i="6"/>
  <c r="G509" i="6"/>
  <c r="L518" i="6"/>
  <c r="O509" i="6"/>
  <c r="E1003" i="4"/>
  <c r="E1031" i="4" s="1"/>
  <c r="E1036" i="4" s="1"/>
  <c r="G993" i="4"/>
  <c r="G1003" i="4" s="1"/>
  <c r="G1031" i="4" s="1"/>
  <c r="M1022" i="7" l="1"/>
  <c r="M1050" i="7" s="1"/>
  <c r="M1055" i="7" s="1"/>
  <c r="O1013" i="7"/>
  <c r="O1022" i="7" s="1"/>
  <c r="O1050" i="7" s="1"/>
  <c r="D1022" i="7"/>
  <c r="D1050" i="7" s="1"/>
  <c r="G1013" i="7"/>
  <c r="G1022" i="7" s="1"/>
  <c r="G1050" i="7" s="1"/>
  <c r="B1176" i="6"/>
  <c r="B1181" i="6" s="1"/>
  <c r="G1097" i="5"/>
  <c r="G1106" i="5" s="1"/>
  <c r="G1134" i="5" s="1"/>
  <c r="B1106" i="5"/>
  <c r="B1134" i="5" s="1"/>
  <c r="B1139" i="5" s="1"/>
  <c r="J1022" i="5"/>
  <c r="J1050" i="5" s="1"/>
  <c r="J1055" i="5" s="1"/>
  <c r="O1013" i="5"/>
  <c r="O1022" i="5" s="1"/>
  <c r="O1050" i="5" s="1"/>
  <c r="C630" i="6"/>
  <c r="C635" i="6" s="1"/>
  <c r="J630" i="6"/>
  <c r="J635" i="6" s="1"/>
  <c r="O1036" i="4"/>
  <c r="O1046" i="4" s="1"/>
  <c r="O1074" i="4" s="1"/>
  <c r="J1046" i="4"/>
  <c r="J1074" i="4" s="1"/>
  <c r="J1079" i="4" s="1"/>
  <c r="E1046" i="4"/>
  <c r="E1074" i="4" s="1"/>
  <c r="E1079" i="4" s="1"/>
  <c r="G1036" i="4"/>
  <c r="G1046" i="4" s="1"/>
  <c r="G1074" i="4" s="1"/>
  <c r="L546" i="6"/>
  <c r="L551" i="6" s="1"/>
  <c r="O518" i="6"/>
  <c r="O546" i="6" s="1"/>
  <c r="E546" i="6"/>
  <c r="E551" i="6" s="1"/>
  <c r="G518" i="6"/>
  <c r="G546" i="6" s="1"/>
  <c r="C1132" i="4"/>
  <c r="C1160" i="4" s="1"/>
  <c r="C1165" i="4" s="1"/>
  <c r="M1064" i="7" l="1"/>
  <c r="M1092" i="7" s="1"/>
  <c r="O1055" i="7"/>
  <c r="O1064" i="7" s="1"/>
  <c r="O1092" i="7" s="1"/>
  <c r="B1190" i="6"/>
  <c r="B1148" i="5"/>
  <c r="B1176" i="5" s="1"/>
  <c r="B1181" i="5" s="1"/>
  <c r="G1139" i="5"/>
  <c r="G1148" i="5" s="1"/>
  <c r="G1176" i="5" s="1"/>
  <c r="O1055" i="5"/>
  <c r="O1064" i="5" s="1"/>
  <c r="O1092" i="5" s="1"/>
  <c r="J1064" i="5"/>
  <c r="J1092" i="5" s="1"/>
  <c r="J1097" i="5" s="1"/>
  <c r="C644" i="6"/>
  <c r="J644" i="6"/>
  <c r="O1079" i="4"/>
  <c r="O1089" i="4" s="1"/>
  <c r="O1117" i="4" s="1"/>
  <c r="J1089" i="4"/>
  <c r="J1117" i="4" s="1"/>
  <c r="J1122" i="4" s="1"/>
  <c r="C1175" i="4"/>
  <c r="C1203" i="4" s="1"/>
  <c r="C1208" i="4" s="1"/>
  <c r="E560" i="6"/>
  <c r="G551" i="6"/>
  <c r="L560" i="6"/>
  <c r="O551" i="6"/>
  <c r="E1089" i="4"/>
  <c r="E1117" i="4" s="1"/>
  <c r="E1122" i="4" s="1"/>
  <c r="G1079" i="4"/>
  <c r="G1089" i="4" s="1"/>
  <c r="G1117" i="4" s="1"/>
  <c r="B1190" i="5" l="1"/>
  <c r="B1218" i="5" s="1"/>
  <c r="B1223" i="5" s="1"/>
  <c r="G1181" i="5"/>
  <c r="G1190" i="5" s="1"/>
  <c r="G1218" i="5" s="1"/>
  <c r="B1218" i="6"/>
  <c r="B1223" i="6" s="1"/>
  <c r="O1097" i="5"/>
  <c r="O1106" i="5" s="1"/>
  <c r="O1134" i="5" s="1"/>
  <c r="J1106" i="5"/>
  <c r="J1134" i="5" s="1"/>
  <c r="J1139" i="5" s="1"/>
  <c r="C672" i="6"/>
  <c r="C677" i="6" s="1"/>
  <c r="J672" i="6"/>
  <c r="J677" i="6" s="1"/>
  <c r="J1132" i="4"/>
  <c r="J1160" i="4" s="1"/>
  <c r="J1165" i="4" s="1"/>
  <c r="O1122" i="4"/>
  <c r="O1132" i="4" s="1"/>
  <c r="O1160" i="4" s="1"/>
  <c r="C1218" i="4"/>
  <c r="C1246" i="4" s="1"/>
  <c r="C1251" i="4" s="1"/>
  <c r="E1132" i="4"/>
  <c r="E1160" i="4" s="1"/>
  <c r="E1165" i="4" s="1"/>
  <c r="G1122" i="4"/>
  <c r="G1132" i="4" s="1"/>
  <c r="G1160" i="4" s="1"/>
  <c r="L588" i="6"/>
  <c r="L593" i="6" s="1"/>
  <c r="O560" i="6"/>
  <c r="O588" i="6" s="1"/>
  <c r="E588" i="6"/>
  <c r="E593" i="6" s="1"/>
  <c r="G560" i="6"/>
  <c r="G588" i="6" s="1"/>
  <c r="B1232" i="5" l="1"/>
  <c r="B1260" i="5" s="1"/>
  <c r="B1265" i="5" s="1"/>
  <c r="G1223" i="5"/>
  <c r="G1232" i="5" s="1"/>
  <c r="G1260" i="5" s="1"/>
  <c r="B1232" i="6"/>
  <c r="J1148" i="5"/>
  <c r="J1176" i="5" s="1"/>
  <c r="J1181" i="5" s="1"/>
  <c r="O1139" i="5"/>
  <c r="O1148" i="5" s="1"/>
  <c r="O1176" i="5" s="1"/>
  <c r="J686" i="6"/>
  <c r="C686" i="6"/>
  <c r="E602" i="6"/>
  <c r="G593" i="6"/>
  <c r="L602" i="6"/>
  <c r="O593" i="6"/>
  <c r="J1175" i="4"/>
  <c r="J1203" i="4" s="1"/>
  <c r="J1208" i="4" s="1"/>
  <c r="O1165" i="4"/>
  <c r="O1175" i="4" s="1"/>
  <c r="O1203" i="4" s="1"/>
  <c r="E1175" i="4"/>
  <c r="E1203" i="4" s="1"/>
  <c r="E1208" i="4" s="1"/>
  <c r="G1165" i="4"/>
  <c r="G1175" i="4" s="1"/>
  <c r="G1203" i="4" s="1"/>
  <c r="C1261" i="4"/>
  <c r="C1289" i="4" s="1"/>
  <c r="C1294" i="4" s="1"/>
  <c r="B1274" i="5" l="1"/>
  <c r="B1302" i="5" s="1"/>
  <c r="B1307" i="5" s="1"/>
  <c r="G1265" i="5"/>
  <c r="G1274" i="5" s="1"/>
  <c r="G1302" i="5" s="1"/>
  <c r="B1260" i="6"/>
  <c r="B1265" i="6" s="1"/>
  <c r="J1190" i="5"/>
  <c r="J1218" i="5" s="1"/>
  <c r="J1223" i="5" s="1"/>
  <c r="O1181" i="5"/>
  <c r="O1190" i="5" s="1"/>
  <c r="O1218" i="5" s="1"/>
  <c r="J714" i="6"/>
  <c r="J719" i="6" s="1"/>
  <c r="C714" i="6"/>
  <c r="C719" i="6" s="1"/>
  <c r="E630" i="6"/>
  <c r="E635" i="6" s="1"/>
  <c r="G602" i="6"/>
  <c r="G630" i="6" s="1"/>
  <c r="L630" i="6"/>
  <c r="L635" i="6" s="1"/>
  <c r="O602" i="6"/>
  <c r="O630" i="6" s="1"/>
  <c r="J1218" i="4"/>
  <c r="J1246" i="4" s="1"/>
  <c r="J1251" i="4" s="1"/>
  <c r="O1208" i="4"/>
  <c r="O1218" i="4" s="1"/>
  <c r="O1246" i="4" s="1"/>
  <c r="C1304" i="4"/>
  <c r="C1332" i="4" s="1"/>
  <c r="C1337" i="4" s="1"/>
  <c r="E1218" i="4"/>
  <c r="E1246" i="4" s="1"/>
  <c r="E1251" i="4" s="1"/>
  <c r="G1208" i="4"/>
  <c r="G1218" i="4" s="1"/>
  <c r="G1246" i="4" s="1"/>
  <c r="G1307" i="5" l="1"/>
  <c r="G1316" i="5" s="1"/>
  <c r="G1344" i="5" s="1"/>
  <c r="B1316" i="5"/>
  <c r="B1344" i="5" s="1"/>
  <c r="B1349" i="5" s="1"/>
  <c r="O1223" i="5"/>
  <c r="O1232" i="5" s="1"/>
  <c r="O1260" i="5" s="1"/>
  <c r="J1232" i="5"/>
  <c r="J1260" i="5" s="1"/>
  <c r="J1265" i="5" s="1"/>
  <c r="B1274" i="6"/>
  <c r="C728" i="6"/>
  <c r="J728" i="6"/>
  <c r="E644" i="6"/>
  <c r="G635" i="6"/>
  <c r="L644" i="6"/>
  <c r="O635" i="6"/>
  <c r="J1261" i="4"/>
  <c r="J1289" i="4" s="1"/>
  <c r="J1294" i="4" s="1"/>
  <c r="O1251" i="4"/>
  <c r="O1261" i="4" s="1"/>
  <c r="O1289" i="4" s="1"/>
  <c r="E1261" i="4"/>
  <c r="E1289" i="4" s="1"/>
  <c r="E1294" i="4" s="1"/>
  <c r="G1251" i="4"/>
  <c r="G1261" i="4" s="1"/>
  <c r="G1289" i="4" s="1"/>
  <c r="C1347" i="4"/>
  <c r="C1375" i="4" s="1"/>
  <c r="C1380" i="4" s="1"/>
  <c r="C1390" i="4" s="1"/>
  <c r="C1418" i="4" s="1"/>
  <c r="C1423" i="4" s="1"/>
  <c r="B1358" i="5" l="1"/>
  <c r="B1386" i="5" s="1"/>
  <c r="G1349" i="5"/>
  <c r="G1358" i="5" s="1"/>
  <c r="G1386" i="5" s="1"/>
  <c r="J1274" i="5"/>
  <c r="J1302" i="5" s="1"/>
  <c r="J1307" i="5" s="1"/>
  <c r="O1265" i="5"/>
  <c r="O1274" i="5" s="1"/>
  <c r="O1302" i="5" s="1"/>
  <c r="B1302" i="6"/>
  <c r="B1307" i="6" s="1"/>
  <c r="B1316" i="6" s="1"/>
  <c r="B1344" i="6" s="1"/>
  <c r="B1349" i="6" s="1"/>
  <c r="C756" i="6"/>
  <c r="C761" i="6" s="1"/>
  <c r="J756" i="6"/>
  <c r="J761" i="6" s="1"/>
  <c r="E672" i="6"/>
  <c r="E677" i="6" s="1"/>
  <c r="G644" i="6"/>
  <c r="G672" i="6" s="1"/>
  <c r="L672" i="6"/>
  <c r="L677" i="6" s="1"/>
  <c r="O644" i="6"/>
  <c r="O672" i="6" s="1"/>
  <c r="C1433" i="4"/>
  <c r="C1461" i="4" s="1"/>
  <c r="C1466" i="4" s="1"/>
  <c r="O1294" i="4"/>
  <c r="O1304" i="4" s="1"/>
  <c r="O1332" i="4" s="1"/>
  <c r="J1304" i="4"/>
  <c r="J1332" i="4" s="1"/>
  <c r="J1337" i="4" s="1"/>
  <c r="E1304" i="4"/>
  <c r="E1332" i="4" s="1"/>
  <c r="E1337" i="4" s="1"/>
  <c r="G1294" i="4"/>
  <c r="G1304" i="4" s="1"/>
  <c r="G1332" i="4" s="1"/>
  <c r="O1307" i="5" l="1"/>
  <c r="O1316" i="5" s="1"/>
  <c r="O1344" i="5" s="1"/>
  <c r="J1316" i="5"/>
  <c r="J1344" i="5" s="1"/>
  <c r="J1349" i="5" s="1"/>
  <c r="B1358" i="6"/>
  <c r="C770" i="6"/>
  <c r="J770" i="6"/>
  <c r="C1476" i="4"/>
  <c r="C1504" i="4" s="1"/>
  <c r="C1509" i="4" s="1"/>
  <c r="L686" i="6"/>
  <c r="O677" i="6"/>
  <c r="E686" i="6"/>
  <c r="G677" i="6"/>
  <c r="J1347" i="4"/>
  <c r="J1375" i="4" s="1"/>
  <c r="J1380" i="4" s="1"/>
  <c r="O1337" i="4"/>
  <c r="O1347" i="4" s="1"/>
  <c r="O1375" i="4" s="1"/>
  <c r="E1347" i="4"/>
  <c r="E1375" i="4" s="1"/>
  <c r="E1380" i="4" s="1"/>
  <c r="G1337" i="4"/>
  <c r="G1347" i="4" s="1"/>
  <c r="G1375" i="4" s="1"/>
  <c r="O1349" i="5" l="1"/>
  <c r="O1358" i="5" s="1"/>
  <c r="O1386" i="5" s="1"/>
  <c r="J1358" i="5"/>
  <c r="J1386" i="5" s="1"/>
  <c r="J1391" i="5" s="1"/>
  <c r="B1386" i="6"/>
  <c r="B1391" i="6" s="1"/>
  <c r="B1400" i="6" s="1"/>
  <c r="B1428" i="6" s="1"/>
  <c r="B1433" i="6" s="1"/>
  <c r="C798" i="6"/>
  <c r="C803" i="6" s="1"/>
  <c r="J798" i="6"/>
  <c r="J803" i="6" s="1"/>
  <c r="C1519" i="4"/>
  <c r="C1547" i="4" s="1"/>
  <c r="C1552" i="4" s="1"/>
  <c r="L714" i="6"/>
  <c r="L719" i="6" s="1"/>
  <c r="O686" i="6"/>
  <c r="O714" i="6" s="1"/>
  <c r="E714" i="6"/>
  <c r="E719" i="6" s="1"/>
  <c r="G686" i="6"/>
  <c r="G714" i="6" s="1"/>
  <c r="E1390" i="4"/>
  <c r="E1418" i="4" s="1"/>
  <c r="E1423" i="4" s="1"/>
  <c r="G1380" i="4"/>
  <c r="G1390" i="4" s="1"/>
  <c r="G1418" i="4" s="1"/>
  <c r="J1390" i="4"/>
  <c r="J1418" i="4" s="1"/>
  <c r="J1423" i="4" s="1"/>
  <c r="O1380" i="4"/>
  <c r="O1390" i="4" s="1"/>
  <c r="O1418" i="4" s="1"/>
  <c r="B1442" i="6" l="1"/>
  <c r="J1400" i="5"/>
  <c r="J1428" i="5" s="1"/>
  <c r="J1433" i="5" s="1"/>
  <c r="O1391" i="5"/>
  <c r="O1400" i="5" s="1"/>
  <c r="O1428" i="5" s="1"/>
  <c r="C812" i="6"/>
  <c r="J812" i="6"/>
  <c r="C1562" i="4"/>
  <c r="C1590" i="4" s="1"/>
  <c r="C1595" i="4" s="1"/>
  <c r="E728" i="6"/>
  <c r="G719" i="6"/>
  <c r="L728" i="6"/>
  <c r="O719" i="6"/>
  <c r="O1423" i="4"/>
  <c r="O1433" i="4" s="1"/>
  <c r="O1461" i="4" s="1"/>
  <c r="J1433" i="4"/>
  <c r="J1461" i="4" s="1"/>
  <c r="J1466" i="4" s="1"/>
  <c r="E1433" i="4"/>
  <c r="E1461" i="4" s="1"/>
  <c r="E1466" i="4" s="1"/>
  <c r="G1423" i="4"/>
  <c r="G1433" i="4" s="1"/>
  <c r="G1461" i="4" s="1"/>
  <c r="J1442" i="5" l="1"/>
  <c r="J1470" i="5" s="1"/>
  <c r="J1475" i="5" s="1"/>
  <c r="O1433" i="5"/>
  <c r="O1442" i="5" s="1"/>
  <c r="O1470" i="5" s="1"/>
  <c r="B1470" i="6"/>
  <c r="C1605" i="4"/>
  <c r="C1633" i="4" s="1"/>
  <c r="C1638" i="4" s="1"/>
  <c r="C840" i="6"/>
  <c r="C845" i="6" s="1"/>
  <c r="J840" i="6"/>
  <c r="J845" i="6" s="1"/>
  <c r="E756" i="6"/>
  <c r="E761" i="6" s="1"/>
  <c r="G728" i="6"/>
  <c r="G756" i="6" s="1"/>
  <c r="L756" i="6"/>
  <c r="L761" i="6" s="1"/>
  <c r="O728" i="6"/>
  <c r="O756" i="6" s="1"/>
  <c r="E1476" i="4"/>
  <c r="E1504" i="4" s="1"/>
  <c r="E1509" i="4" s="1"/>
  <c r="G1466" i="4"/>
  <c r="G1476" i="4" s="1"/>
  <c r="G1504" i="4" s="1"/>
  <c r="J1476" i="4"/>
  <c r="J1504" i="4" s="1"/>
  <c r="J1509" i="4" s="1"/>
  <c r="O1466" i="4"/>
  <c r="O1476" i="4" s="1"/>
  <c r="O1504" i="4" s="1"/>
  <c r="O1475" i="5" l="1"/>
  <c r="O1484" i="5" s="1"/>
  <c r="O1512" i="5" s="1"/>
  <c r="J1484" i="5"/>
  <c r="J1512" i="5" s="1"/>
  <c r="J1517" i="5" s="1"/>
  <c r="C854" i="6"/>
  <c r="C1648" i="4"/>
  <c r="C1676" i="4" s="1"/>
  <c r="C1681" i="4" s="1"/>
  <c r="J854" i="6"/>
  <c r="E770" i="6"/>
  <c r="G761" i="6"/>
  <c r="L770" i="6"/>
  <c r="O761" i="6"/>
  <c r="E1519" i="4"/>
  <c r="E1547" i="4" s="1"/>
  <c r="E1552" i="4" s="1"/>
  <c r="G1509" i="4"/>
  <c r="G1519" i="4" s="1"/>
  <c r="G1547" i="4" s="1"/>
  <c r="J1519" i="4"/>
  <c r="J1547" i="4" s="1"/>
  <c r="J1552" i="4" s="1"/>
  <c r="O1509" i="4"/>
  <c r="O1519" i="4" s="1"/>
  <c r="O1547" i="4" s="1"/>
  <c r="J1526" i="5" l="1"/>
  <c r="J1554" i="5" s="1"/>
  <c r="O1517" i="5"/>
  <c r="O1526" i="5" s="1"/>
  <c r="O1554" i="5" s="1"/>
  <c r="C1691" i="4"/>
  <c r="C1719" i="4" s="1"/>
  <c r="C1724" i="4" s="1"/>
  <c r="C882" i="6"/>
  <c r="C887" i="6" s="1"/>
  <c r="J882" i="6"/>
  <c r="J887" i="6" s="1"/>
  <c r="E798" i="6"/>
  <c r="E803" i="6" s="1"/>
  <c r="G770" i="6"/>
  <c r="G798" i="6" s="1"/>
  <c r="L798" i="6"/>
  <c r="L803" i="6" s="1"/>
  <c r="O770" i="6"/>
  <c r="O798" i="6" s="1"/>
  <c r="E1562" i="4"/>
  <c r="E1590" i="4" s="1"/>
  <c r="E1595" i="4" s="1"/>
  <c r="G1552" i="4"/>
  <c r="G1562" i="4" s="1"/>
  <c r="G1590" i="4" s="1"/>
  <c r="J1562" i="4"/>
  <c r="J1590" i="4" s="1"/>
  <c r="J1595" i="4" s="1"/>
  <c r="O1552" i="4"/>
  <c r="O1562" i="4" s="1"/>
  <c r="O1590" i="4" s="1"/>
  <c r="C1734" i="4" l="1"/>
  <c r="C1762" i="4" s="1"/>
  <c r="C1767" i="4" s="1"/>
  <c r="C1777" i="4" s="1"/>
  <c r="C1805" i="4" s="1"/>
  <c r="C1810" i="4" s="1"/>
  <c r="J896" i="6"/>
  <c r="C896" i="6"/>
  <c r="E1605" i="4"/>
  <c r="E1633" i="4" s="1"/>
  <c r="E1638" i="4" s="1"/>
  <c r="G1595" i="4"/>
  <c r="G1605" i="4" s="1"/>
  <c r="G1633" i="4" s="1"/>
  <c r="E812" i="6"/>
  <c r="G803" i="6"/>
  <c r="J1605" i="4"/>
  <c r="J1633" i="4" s="1"/>
  <c r="J1638" i="4" s="1"/>
  <c r="O1595" i="4"/>
  <c r="O1605" i="4" s="1"/>
  <c r="O1633" i="4" s="1"/>
  <c r="L812" i="6"/>
  <c r="O803" i="6"/>
  <c r="C1820" i="4" l="1"/>
  <c r="C1848" i="4" s="1"/>
  <c r="C1853" i="4" s="1"/>
  <c r="C924" i="6"/>
  <c r="C929" i="6" s="1"/>
  <c r="J924" i="6"/>
  <c r="J929" i="6" s="1"/>
  <c r="E1648" i="4"/>
  <c r="E1676" i="4" s="1"/>
  <c r="E1681" i="4" s="1"/>
  <c r="G1638" i="4"/>
  <c r="G1648" i="4" s="1"/>
  <c r="G1676" i="4" s="1"/>
  <c r="J1648" i="4"/>
  <c r="J1676" i="4" s="1"/>
  <c r="J1681" i="4" s="1"/>
  <c r="O1638" i="4"/>
  <c r="O1648" i="4" s="1"/>
  <c r="O1676" i="4" s="1"/>
  <c r="E840" i="6"/>
  <c r="E845" i="6" s="1"/>
  <c r="G812" i="6"/>
  <c r="G840" i="6" s="1"/>
  <c r="L840" i="6"/>
  <c r="L845" i="6" s="1"/>
  <c r="O812" i="6"/>
  <c r="O840" i="6" s="1"/>
  <c r="C1863" i="4" l="1"/>
  <c r="C1891" i="4" s="1"/>
  <c r="C1896" i="4" s="1"/>
  <c r="C938" i="6"/>
  <c r="J938" i="6"/>
  <c r="J1691" i="4"/>
  <c r="J1719" i="4" s="1"/>
  <c r="J1724" i="4" s="1"/>
  <c r="O1681" i="4"/>
  <c r="O1691" i="4" s="1"/>
  <c r="O1719" i="4" s="1"/>
  <c r="E1691" i="4"/>
  <c r="E1719" i="4" s="1"/>
  <c r="E1724" i="4" s="1"/>
  <c r="G1681" i="4"/>
  <c r="G1691" i="4" s="1"/>
  <c r="G1719" i="4" s="1"/>
  <c r="E854" i="6"/>
  <c r="G845" i="6"/>
  <c r="L854" i="6"/>
  <c r="O845" i="6"/>
  <c r="C1906" i="4" l="1"/>
  <c r="C1934" i="4" s="1"/>
  <c r="C1939" i="4" s="1"/>
  <c r="E1734" i="4"/>
  <c r="E1762" i="4" s="1"/>
  <c r="E1767" i="4" s="1"/>
  <c r="G1724" i="4"/>
  <c r="G1734" i="4" s="1"/>
  <c r="G1762" i="4" s="1"/>
  <c r="C966" i="6"/>
  <c r="C971" i="6" s="1"/>
  <c r="J1734" i="4"/>
  <c r="J1762" i="4" s="1"/>
  <c r="J1767" i="4" s="1"/>
  <c r="O1724" i="4"/>
  <c r="O1734" i="4" s="1"/>
  <c r="O1762" i="4" s="1"/>
  <c r="J966" i="6"/>
  <c r="J971" i="6" s="1"/>
  <c r="E882" i="6"/>
  <c r="E887" i="6" s="1"/>
  <c r="G854" i="6"/>
  <c r="G882" i="6" s="1"/>
  <c r="L882" i="6"/>
  <c r="L887" i="6" s="1"/>
  <c r="O854" i="6"/>
  <c r="O882" i="6" s="1"/>
  <c r="C1949" i="4" l="1"/>
  <c r="C1977" i="4" s="1"/>
  <c r="G1767" i="4"/>
  <c r="G1777" i="4" s="1"/>
  <c r="G1805" i="4" s="1"/>
  <c r="E1777" i="4"/>
  <c r="E1805" i="4" s="1"/>
  <c r="E1810" i="4" s="1"/>
  <c r="J1777" i="4"/>
  <c r="J1805" i="4" s="1"/>
  <c r="J1810" i="4" s="1"/>
  <c r="O1767" i="4"/>
  <c r="O1777" i="4" s="1"/>
  <c r="O1805" i="4" s="1"/>
  <c r="C980" i="6"/>
  <c r="J980" i="6"/>
  <c r="L896" i="6"/>
  <c r="O887" i="6"/>
  <c r="E896" i="6"/>
  <c r="G887" i="6"/>
  <c r="E1820" i="4" l="1"/>
  <c r="E1848" i="4" s="1"/>
  <c r="E1853" i="4" s="1"/>
  <c r="G1810" i="4"/>
  <c r="G1820" i="4" s="1"/>
  <c r="G1848" i="4" s="1"/>
  <c r="J1820" i="4"/>
  <c r="J1848" i="4" s="1"/>
  <c r="J1853" i="4" s="1"/>
  <c r="O1810" i="4"/>
  <c r="O1820" i="4" s="1"/>
  <c r="O1848" i="4" s="1"/>
  <c r="C1008" i="6"/>
  <c r="C1013" i="6" s="1"/>
  <c r="J1008" i="6"/>
  <c r="J1013" i="6" s="1"/>
  <c r="E924" i="6"/>
  <c r="E929" i="6" s="1"/>
  <c r="G896" i="6"/>
  <c r="G924" i="6" s="1"/>
  <c r="L924" i="6"/>
  <c r="L929" i="6" s="1"/>
  <c r="O896" i="6"/>
  <c r="O924" i="6" s="1"/>
  <c r="E1863" i="4" l="1"/>
  <c r="E1891" i="4" s="1"/>
  <c r="E1896" i="4" s="1"/>
  <c r="G1853" i="4"/>
  <c r="G1863" i="4" s="1"/>
  <c r="G1891" i="4" s="1"/>
  <c r="O1853" i="4"/>
  <c r="O1863" i="4" s="1"/>
  <c r="O1891" i="4" s="1"/>
  <c r="J1863" i="4"/>
  <c r="J1891" i="4" s="1"/>
  <c r="J1896" i="4" s="1"/>
  <c r="C1022" i="6"/>
  <c r="J1022" i="6"/>
  <c r="E938" i="6"/>
  <c r="G929" i="6"/>
  <c r="L938" i="6"/>
  <c r="O929" i="6"/>
  <c r="E1906" i="4" l="1"/>
  <c r="E1934" i="4" s="1"/>
  <c r="E1939" i="4" s="1"/>
  <c r="G1896" i="4"/>
  <c r="G1906" i="4" s="1"/>
  <c r="G1934" i="4" s="1"/>
  <c r="O1896" i="4"/>
  <c r="O1906" i="4" s="1"/>
  <c r="O1934" i="4" s="1"/>
  <c r="J1906" i="4"/>
  <c r="J1934" i="4" s="1"/>
  <c r="J1939" i="4" s="1"/>
  <c r="C1050" i="6"/>
  <c r="C1055" i="6" s="1"/>
  <c r="J1050" i="6"/>
  <c r="J1055" i="6" s="1"/>
  <c r="E966" i="6"/>
  <c r="E971" i="6" s="1"/>
  <c r="G938" i="6"/>
  <c r="G966" i="6" s="1"/>
  <c r="L966" i="6"/>
  <c r="L971" i="6" s="1"/>
  <c r="O938" i="6"/>
  <c r="O966" i="6" s="1"/>
  <c r="E1949" i="4" l="1"/>
  <c r="E1977" i="4" s="1"/>
  <c r="G1939" i="4"/>
  <c r="G1949" i="4" s="1"/>
  <c r="G1977" i="4" s="1"/>
  <c r="O1939" i="4"/>
  <c r="O1949" i="4" s="1"/>
  <c r="O1977" i="4" s="1"/>
  <c r="O1982" i="4" s="1"/>
  <c r="O1992" i="4" s="1"/>
  <c r="O2020" i="4" s="1"/>
  <c r="O2021" i="4" s="1"/>
  <c r="J1949" i="4"/>
  <c r="J1977" i="4" s="1"/>
  <c r="J1982" i="4" s="1"/>
  <c r="J1992" i="4" s="1"/>
  <c r="J2020" i="4" s="1"/>
  <c r="J2025" i="4" s="1"/>
  <c r="C1064" i="6"/>
  <c r="J1064" i="6"/>
  <c r="E980" i="6"/>
  <c r="G971" i="6"/>
  <c r="L980" i="6"/>
  <c r="O971" i="6"/>
  <c r="N2064" i="4" l="1"/>
  <c r="L2064" i="4"/>
  <c r="M2064" i="4"/>
  <c r="K2064" i="4"/>
  <c r="O2025" i="4"/>
  <c r="O2035" i="4" s="1"/>
  <c r="O2063" i="4" s="1"/>
  <c r="O2064" i="4" s="1"/>
  <c r="J2035" i="4"/>
  <c r="J2063" i="4" s="1"/>
  <c r="C1092" i="6"/>
  <c r="C1097" i="6" s="1"/>
  <c r="J1092" i="6"/>
  <c r="J1097" i="6" s="1"/>
  <c r="E1008" i="6"/>
  <c r="E1013" i="6" s="1"/>
  <c r="G980" i="6"/>
  <c r="G1008" i="6" s="1"/>
  <c r="L1008" i="6"/>
  <c r="L1013" i="6" s="1"/>
  <c r="O980" i="6"/>
  <c r="O1008" i="6" s="1"/>
  <c r="J2064" i="4" l="1"/>
  <c r="J2068" i="4"/>
  <c r="J1106" i="6"/>
  <c r="C1106" i="6"/>
  <c r="E1022" i="6"/>
  <c r="G1013" i="6"/>
  <c r="L1022" i="6"/>
  <c r="O1013" i="6"/>
  <c r="J2078" i="4" l="1"/>
  <c r="J2106" i="4" s="1"/>
  <c r="J2111" i="4" s="1"/>
  <c r="O2068" i="4"/>
  <c r="O2078" i="4" s="1"/>
  <c r="O2106" i="4" s="1"/>
  <c r="J1134" i="6"/>
  <c r="J1139" i="6" s="1"/>
  <c r="C1134" i="6"/>
  <c r="C1139" i="6" s="1"/>
  <c r="E1050" i="6"/>
  <c r="E1055" i="6" s="1"/>
  <c r="G1022" i="6"/>
  <c r="G1050" i="6" s="1"/>
  <c r="L1050" i="6"/>
  <c r="L1055" i="6" s="1"/>
  <c r="O1022" i="6"/>
  <c r="O1050" i="6" s="1"/>
  <c r="O2111" i="4" l="1"/>
  <c r="O2121" i="4" s="1"/>
  <c r="O2149" i="4" s="1"/>
  <c r="J2121" i="4"/>
  <c r="J2149" i="4" s="1"/>
  <c r="J2154" i="4" s="1"/>
  <c r="C1148" i="6"/>
  <c r="J1148" i="6"/>
  <c r="E1064" i="6"/>
  <c r="G1055" i="6"/>
  <c r="L1064" i="6"/>
  <c r="O1055" i="6"/>
  <c r="J2164" i="4" l="1"/>
  <c r="J2192" i="4" s="1"/>
  <c r="J2197" i="4" s="1"/>
  <c r="O2154" i="4"/>
  <c r="O2164" i="4" s="1"/>
  <c r="O2192" i="4" s="1"/>
  <c r="J1176" i="6"/>
  <c r="J1181" i="6" s="1"/>
  <c r="C1176" i="6"/>
  <c r="C1181" i="6" s="1"/>
  <c r="E1092" i="6"/>
  <c r="E1097" i="6" s="1"/>
  <c r="G1064" i="6"/>
  <c r="G1092" i="6" s="1"/>
  <c r="L1092" i="6"/>
  <c r="L1097" i="6" s="1"/>
  <c r="O1064" i="6"/>
  <c r="O1092" i="6" s="1"/>
  <c r="J2207" i="4" l="1"/>
  <c r="J2235" i="4" s="1"/>
  <c r="J2240" i="4" s="1"/>
  <c r="O2197" i="4"/>
  <c r="O2207" i="4" s="1"/>
  <c r="O2235" i="4" s="1"/>
  <c r="C1190" i="6"/>
  <c r="J1190" i="6"/>
  <c r="L1106" i="6"/>
  <c r="O1097" i="6"/>
  <c r="E1106" i="6"/>
  <c r="G1097" i="6"/>
  <c r="J2250" i="4" l="1"/>
  <c r="J2278" i="4" s="1"/>
  <c r="O2240" i="4"/>
  <c r="O2250" i="4" s="1"/>
  <c r="O2278" i="4" s="1"/>
  <c r="J1218" i="6"/>
  <c r="J1223" i="6" s="1"/>
  <c r="C1218" i="6"/>
  <c r="C1223" i="6" s="1"/>
  <c r="E1134" i="6"/>
  <c r="E1139" i="6" s="1"/>
  <c r="G1106" i="6"/>
  <c r="G1134" i="6" s="1"/>
  <c r="L1134" i="6"/>
  <c r="L1139" i="6" s="1"/>
  <c r="O1106" i="6"/>
  <c r="O1134" i="6" s="1"/>
  <c r="J1232" i="6" l="1"/>
  <c r="C1232" i="6"/>
  <c r="L1148" i="6"/>
  <c r="O1139" i="6"/>
  <c r="E1148" i="6"/>
  <c r="G1139" i="6"/>
  <c r="J1260" i="6" l="1"/>
  <c r="J1265" i="6" s="1"/>
  <c r="C1260" i="6"/>
  <c r="C1265" i="6" s="1"/>
  <c r="E1176" i="6"/>
  <c r="E1181" i="6" s="1"/>
  <c r="G1148" i="6"/>
  <c r="G1176" i="6" s="1"/>
  <c r="L1176" i="6"/>
  <c r="L1181" i="6" s="1"/>
  <c r="O1148" i="6"/>
  <c r="O1176" i="6" s="1"/>
  <c r="C1274" i="6" l="1"/>
  <c r="J1274" i="6"/>
  <c r="L1190" i="6"/>
  <c r="O1181" i="6"/>
  <c r="E1190" i="6"/>
  <c r="G1181" i="6"/>
  <c r="C1302" i="6" l="1"/>
  <c r="C1307" i="6" s="1"/>
  <c r="J1302" i="6"/>
  <c r="J1307" i="6" s="1"/>
  <c r="E1218" i="6"/>
  <c r="E1223" i="6" s="1"/>
  <c r="G1190" i="6"/>
  <c r="G1218" i="6" s="1"/>
  <c r="L1218" i="6"/>
  <c r="L1223" i="6" s="1"/>
  <c r="O1190" i="6"/>
  <c r="O1218" i="6" s="1"/>
  <c r="J1316" i="6" l="1"/>
  <c r="C1316" i="6"/>
  <c r="L1232" i="6"/>
  <c r="O1223" i="6"/>
  <c r="E1232" i="6"/>
  <c r="G1223" i="6"/>
  <c r="J1344" i="6" l="1"/>
  <c r="J1349" i="6" s="1"/>
  <c r="C1344" i="6"/>
  <c r="C1349" i="6" s="1"/>
  <c r="L1260" i="6"/>
  <c r="L1265" i="6" s="1"/>
  <c r="O1232" i="6"/>
  <c r="O1260" i="6" s="1"/>
  <c r="E1260" i="6"/>
  <c r="E1265" i="6" s="1"/>
  <c r="G1232" i="6"/>
  <c r="G1260" i="6" s="1"/>
  <c r="C1358" i="6" l="1"/>
  <c r="J1358" i="6"/>
  <c r="E1274" i="6"/>
  <c r="G1265" i="6"/>
  <c r="L1274" i="6"/>
  <c r="O1265" i="6"/>
  <c r="C1386" i="6" l="1"/>
  <c r="C1391" i="6" s="1"/>
  <c r="J1386" i="6"/>
  <c r="J1391" i="6" s="1"/>
  <c r="E1302" i="6"/>
  <c r="E1307" i="6" s="1"/>
  <c r="G1274" i="6"/>
  <c r="G1302" i="6" s="1"/>
  <c r="L1302" i="6"/>
  <c r="L1307" i="6" s="1"/>
  <c r="O1274" i="6"/>
  <c r="O1302" i="6" s="1"/>
  <c r="J1400" i="6" l="1"/>
  <c r="C1400" i="6"/>
  <c r="L1316" i="6"/>
  <c r="O1307" i="6"/>
  <c r="E1316" i="6"/>
  <c r="G1307" i="6"/>
  <c r="J1428" i="6" l="1"/>
  <c r="J1433" i="6" s="1"/>
  <c r="J1442" i="6" s="1"/>
  <c r="C1428" i="6"/>
  <c r="C1433" i="6" s="1"/>
  <c r="E1344" i="6"/>
  <c r="E1349" i="6" s="1"/>
  <c r="G1316" i="6"/>
  <c r="G1344" i="6" s="1"/>
  <c r="L1344" i="6"/>
  <c r="L1349" i="6" s="1"/>
  <c r="O1316" i="6"/>
  <c r="O1344" i="6" s="1"/>
  <c r="K2021" i="4"/>
  <c r="L2021" i="4"/>
  <c r="M2021" i="4"/>
  <c r="J2021" i="4"/>
  <c r="N2021" i="4"/>
  <c r="C1442" i="6" l="1"/>
  <c r="J1470" i="6"/>
  <c r="J1475" i="6" s="1"/>
  <c r="E1358" i="6"/>
  <c r="G1349" i="6"/>
  <c r="L1358" i="6"/>
  <c r="O1349" i="6"/>
  <c r="J1484" i="6" l="1"/>
  <c r="C1470" i="6"/>
  <c r="E1386" i="6"/>
  <c r="E1391" i="6" s="1"/>
  <c r="G1358" i="6"/>
  <c r="G1386" i="6" s="1"/>
  <c r="L1386" i="6"/>
  <c r="L1391" i="6" s="1"/>
  <c r="O1358" i="6"/>
  <c r="O1386" i="6" s="1"/>
  <c r="J1512" i="6" l="1"/>
  <c r="J1517" i="6" s="1"/>
  <c r="L1400" i="6"/>
  <c r="O1391" i="6"/>
  <c r="E1400" i="6"/>
  <c r="G1391" i="6"/>
  <c r="J1526" i="6" l="1"/>
  <c r="E1428" i="6"/>
  <c r="E1433" i="6" s="1"/>
  <c r="G1400" i="6"/>
  <c r="G1428" i="6" s="1"/>
  <c r="L1428" i="6"/>
  <c r="L1433" i="6" s="1"/>
  <c r="O1400" i="6"/>
  <c r="O1428" i="6" s="1"/>
  <c r="J1554" i="6" l="1"/>
  <c r="E1442" i="6"/>
  <c r="G1433" i="6"/>
  <c r="O1433" i="6"/>
  <c r="L1442" i="6"/>
  <c r="E1470" i="6" l="1"/>
  <c r="G1442" i="6"/>
  <c r="G1470" i="6" s="1"/>
  <c r="L1470" i="6"/>
  <c r="L1475" i="6" s="1"/>
  <c r="O1442" i="6"/>
  <c r="O1470" i="6" s="1"/>
  <c r="L1484" i="6" l="1"/>
  <c r="O1475" i="6"/>
  <c r="L1512" i="6" l="1"/>
  <c r="L1517" i="6" s="1"/>
  <c r="O1484" i="6"/>
  <c r="O1512" i="6" s="1"/>
  <c r="L1526" i="6" l="1"/>
  <c r="O1517" i="6"/>
  <c r="L1554" i="6" l="1"/>
  <c r="O1526" i="6"/>
  <c r="O1554" i="6" s="1"/>
</calcChain>
</file>

<file path=xl/sharedStrings.xml><?xml version="1.0" encoding="utf-8"?>
<sst xmlns="http://schemas.openxmlformats.org/spreadsheetml/2006/main" count="18453" uniqueCount="1669">
  <si>
    <t>カラー</t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</si>
  <si>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</si>
  <si>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</si>
  <si>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</si>
  <si>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</si>
  <si>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</si>
  <si>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</si>
  <si>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</si>
  <si>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セシール</t>
  </si>
  <si>
    <t>夢販</t>
    <rPh sb="0" eb="2">
      <t>ユメハン</t>
    </rPh>
    <phoneticPr fontId="2"/>
  </si>
  <si>
    <t>JOD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</si>
  <si>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</si>
  <si>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</si>
  <si>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</si>
  <si>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</si>
  <si>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>追加1</t>
    <rPh sb="0" eb="2">
      <t>ツイカ</t>
    </rPh>
    <phoneticPr fontId="2"/>
  </si>
  <si>
    <t>追加2</t>
    <rPh sb="0" eb="2">
      <t>ツイカ</t>
    </rPh>
    <phoneticPr fontId="2"/>
  </si>
  <si>
    <t>JOD返品</t>
    <rPh sb="3" eb="5">
      <t>ヘンピン</t>
    </rPh>
    <phoneticPr fontId="2"/>
  </si>
  <si>
    <t>追加3</t>
    <rPh sb="0" eb="2">
      <t>ツイカ</t>
    </rPh>
    <phoneticPr fontId="2"/>
  </si>
  <si>
    <t>セシール返品</t>
    <rPh sb="4" eb="6">
      <t>ヘンピン</t>
    </rPh>
    <phoneticPr fontId="2"/>
  </si>
  <si>
    <t>追加4</t>
    <rPh sb="0" eb="2">
      <t>ツイカ</t>
    </rPh>
    <phoneticPr fontId="2"/>
  </si>
  <si>
    <t>JALUX返品</t>
    <rPh sb="5" eb="7">
      <t>ヘンピン</t>
    </rPh>
    <phoneticPr fontId="2"/>
  </si>
  <si>
    <t>セシール</t>
    <phoneticPr fontId="10"/>
  </si>
  <si>
    <t>セシール返品</t>
    <rPh sb="4" eb="6">
      <t>ヘンピン</t>
    </rPh>
    <phoneticPr fontId="10"/>
  </si>
  <si>
    <t>夢販</t>
    <rPh sb="0" eb="2">
      <t>ユメハン</t>
    </rPh>
    <phoneticPr fontId="10"/>
  </si>
  <si>
    <t>JOD</t>
    <phoneticPr fontId="10"/>
  </si>
  <si>
    <t>ファイン返品</t>
    <rPh sb="4" eb="6">
      <t>ヘンピン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</si>
  <si>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</si>
  <si>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10"/>
  </si>
  <si>
    <t>ネット</t>
    <phoneticPr fontId="10"/>
  </si>
  <si>
    <t>ロイヤルステージ</t>
    <phoneticPr fontId="10"/>
  </si>
  <si>
    <t>はぴねすくらぶ</t>
    <phoneticPr fontId="10"/>
  </si>
  <si>
    <t>JALUX</t>
    <phoneticPr fontId="10"/>
  </si>
  <si>
    <t>JR東日本</t>
    <rPh sb="2" eb="5">
      <t>ヒガシニホン</t>
    </rPh>
    <phoneticPr fontId="10"/>
  </si>
  <si>
    <t>ロイヤルステージ返品</t>
    <rPh sb="8" eb="10">
      <t>ヘンピン</t>
    </rPh>
    <phoneticPr fontId="10"/>
  </si>
  <si>
    <t>はぴねすくらぶsample返却</t>
    <rPh sb="13" eb="15">
      <t>ヘンキャク</t>
    </rPh>
    <phoneticPr fontId="10"/>
  </si>
  <si>
    <t>はぴねすくらぶ返品</t>
    <rPh sb="7" eb="9">
      <t>ヘンピン</t>
    </rPh>
    <phoneticPr fontId="10"/>
  </si>
  <si>
    <t>夢販</t>
    <rPh sb="0" eb="1">
      <t>ユメ</t>
    </rPh>
    <rPh sb="1" eb="2">
      <t>ハン</t>
    </rPh>
    <phoneticPr fontId="10"/>
  </si>
  <si>
    <t>トラスト＆カンパニー</t>
    <phoneticPr fontId="10"/>
  </si>
  <si>
    <t>ロイヤルS返品</t>
    <rPh sb="5" eb="7">
      <t>ヘンピン</t>
    </rPh>
    <phoneticPr fontId="10"/>
  </si>
  <si>
    <t>JR東日本返品</t>
    <rPh sb="2" eb="5">
      <t>ヒガシニホン</t>
    </rPh>
    <rPh sb="5" eb="7">
      <t>ヘンピン</t>
    </rPh>
    <phoneticPr fontId="10"/>
  </si>
  <si>
    <t>JALUX返品</t>
    <rPh sb="5" eb="7">
      <t>ヘンピン</t>
    </rPh>
    <phoneticPr fontId="10"/>
  </si>
  <si>
    <t>M</t>
    <phoneticPr fontId="10"/>
  </si>
  <si>
    <t>L</t>
    <phoneticPr fontId="10"/>
  </si>
  <si>
    <t>LL</t>
    <phoneticPr fontId="10"/>
  </si>
  <si>
    <t>3L</t>
    <phoneticPr fontId="10"/>
  </si>
  <si>
    <t>4L</t>
    <phoneticPr fontId="10"/>
  </si>
  <si>
    <t>選べるフィットネス　トップス（袖なし）</t>
    <rPh sb="0" eb="1">
      <t>エラ</t>
    </rPh>
    <rPh sb="15" eb="16">
      <t>ソデ</t>
    </rPh>
    <phoneticPr fontId="2"/>
  </si>
  <si>
    <t>YMN16000</t>
    <phoneticPr fontId="10"/>
  </si>
  <si>
    <t>選べるフィットネス　トップス（袖無し）</t>
    <rPh sb="0" eb="1">
      <t>エラ</t>
    </rPh>
    <rPh sb="15" eb="16">
      <t>ソデ</t>
    </rPh>
    <rPh sb="16" eb="17">
      <t>ナ</t>
    </rPh>
    <phoneticPr fontId="10"/>
  </si>
  <si>
    <t>YMN16004</t>
    <phoneticPr fontId="10"/>
  </si>
  <si>
    <t>選べるフィットネス　トップス（袖有り）</t>
    <rPh sb="0" eb="1">
      <t>エラ</t>
    </rPh>
    <rPh sb="15" eb="16">
      <t>ソデ</t>
    </rPh>
    <rPh sb="16" eb="17">
      <t>ア</t>
    </rPh>
    <phoneticPr fontId="2"/>
  </si>
  <si>
    <t>選べるフィットネス　トップス（袖有り）</t>
    <rPh sb="0" eb="1">
      <t>エラ</t>
    </rPh>
    <rPh sb="15" eb="16">
      <t>ソデ</t>
    </rPh>
    <rPh sb="16" eb="17">
      <t>ア</t>
    </rPh>
    <phoneticPr fontId="10"/>
  </si>
  <si>
    <t>夢販在庫</t>
    <rPh sb="0" eb="1">
      <t>ユメ</t>
    </rPh>
    <rPh sb="1" eb="2">
      <t>ハン</t>
    </rPh>
    <rPh sb="2" eb="4">
      <t>ザイコ</t>
    </rPh>
    <phoneticPr fontId="10"/>
  </si>
  <si>
    <t>ゼクー在庫</t>
    <rPh sb="3" eb="5">
      <t>ザイコ</t>
    </rPh>
    <phoneticPr fontId="10"/>
  </si>
  <si>
    <t>選べるフィットネス　3分丈ボトム</t>
    <rPh sb="0" eb="1">
      <t>エラ</t>
    </rPh>
    <rPh sb="11" eb="13">
      <t>ブタケ</t>
    </rPh>
    <phoneticPr fontId="2"/>
  </si>
  <si>
    <t>YMN16002</t>
    <phoneticPr fontId="10"/>
  </si>
  <si>
    <t>選べるフィットネス　3分丈ボトム</t>
    <rPh sb="0" eb="1">
      <t>エラ</t>
    </rPh>
    <rPh sb="11" eb="13">
      <t>ブタケ</t>
    </rPh>
    <phoneticPr fontId="10"/>
  </si>
  <si>
    <t>YMN16000</t>
    <phoneticPr fontId="10"/>
  </si>
  <si>
    <t>YMN16004</t>
    <phoneticPr fontId="10"/>
  </si>
  <si>
    <t>電話注文</t>
    <rPh sb="0" eb="4">
      <t>デンワチュウモン</t>
    </rPh>
    <phoneticPr fontId="10"/>
  </si>
  <si>
    <t>セシール</t>
    <phoneticPr fontId="10"/>
  </si>
  <si>
    <t>セシール</t>
    <phoneticPr fontId="10"/>
  </si>
  <si>
    <t>夢販</t>
    <rPh sb="0" eb="1">
      <t>ユメ</t>
    </rPh>
    <rPh sb="1" eb="2">
      <t>ハン</t>
    </rPh>
    <phoneticPr fontId="10"/>
  </si>
  <si>
    <t>夢販</t>
    <rPh sb="0" eb="1">
      <t>ユメ</t>
    </rPh>
    <rPh sb="1" eb="2">
      <t>ハン</t>
    </rPh>
    <phoneticPr fontId="10"/>
  </si>
  <si>
    <t>JALUX</t>
    <phoneticPr fontId="10"/>
  </si>
  <si>
    <t>JALUX</t>
    <phoneticPr fontId="10"/>
  </si>
  <si>
    <t>JALUX</t>
    <phoneticPr fontId="10"/>
  </si>
  <si>
    <t>ディノス16夏撮影sample</t>
    <rPh sb="6" eb="7">
      <t>ナツ</t>
    </rPh>
    <rPh sb="7" eb="9">
      <t>サツエイ</t>
    </rPh>
    <phoneticPr fontId="10"/>
  </si>
  <si>
    <t>検査用</t>
    <rPh sb="0" eb="3">
      <t>ケンサヨウ</t>
    </rPh>
    <phoneticPr fontId="10"/>
  </si>
  <si>
    <t>JALUX</t>
    <phoneticPr fontId="10"/>
  </si>
  <si>
    <t>JALUX</t>
    <phoneticPr fontId="10"/>
  </si>
  <si>
    <t>セシール</t>
    <phoneticPr fontId="10"/>
  </si>
  <si>
    <t>ファインサンプル</t>
    <phoneticPr fontId="10"/>
  </si>
  <si>
    <t>ファインサンプル返却</t>
    <rPh sb="8" eb="10">
      <t>ヘンキャク</t>
    </rPh>
    <phoneticPr fontId="10"/>
  </si>
  <si>
    <t>ファインサンプル返却</t>
    <rPh sb="8" eb="10">
      <t>ヘンキャク</t>
    </rPh>
    <phoneticPr fontId="10"/>
  </si>
  <si>
    <t>JALUX</t>
    <phoneticPr fontId="10"/>
  </si>
  <si>
    <t>JALUX</t>
    <phoneticPr fontId="10"/>
  </si>
  <si>
    <t>ディノス事前搬入</t>
    <rPh sb="4" eb="8">
      <t>ジゼンハンニュウ</t>
    </rPh>
    <phoneticPr fontId="10"/>
  </si>
  <si>
    <t>残在庫</t>
    <rPh sb="0" eb="3">
      <t>ザンザイコ</t>
    </rPh>
    <phoneticPr fontId="2"/>
  </si>
  <si>
    <t>追加5</t>
    <rPh sb="0" eb="2">
      <t>ツイカ</t>
    </rPh>
    <phoneticPr fontId="2"/>
  </si>
  <si>
    <t>追加6</t>
    <rPh sb="0" eb="2">
      <t>ツイカ</t>
    </rPh>
    <phoneticPr fontId="2"/>
  </si>
  <si>
    <t>追加7</t>
    <rPh sb="0" eb="2">
      <t>ツイカ</t>
    </rPh>
    <phoneticPr fontId="2"/>
  </si>
  <si>
    <t>追加8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</si>
  <si>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</si>
  <si>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</si>
  <si>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</si>
  <si>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追加９</t>
    <rPh sb="0" eb="2">
      <t>ツイカ</t>
    </rPh>
    <phoneticPr fontId="2"/>
  </si>
  <si>
    <t>追加８</t>
    <rPh sb="0" eb="2">
      <t>ツイカ</t>
    </rPh>
    <phoneticPr fontId="10"/>
  </si>
  <si>
    <t>追加７</t>
    <rPh sb="0" eb="2">
      <t>ツイカ</t>
    </rPh>
    <phoneticPr fontId="10"/>
  </si>
  <si>
    <t>くらし企画sample</t>
    <rPh sb="3" eb="5">
      <t>キカク</t>
    </rPh>
    <phoneticPr fontId="10"/>
  </si>
  <si>
    <t>検査返却</t>
    <rPh sb="0" eb="2">
      <t>ケンサ</t>
    </rPh>
    <rPh sb="2" eb="4">
      <t>ヘンキャク</t>
    </rPh>
    <phoneticPr fontId="10"/>
  </si>
  <si>
    <t>検査返却</t>
    <rPh sb="0" eb="4">
      <t>ケンサヘンキャク</t>
    </rPh>
    <phoneticPr fontId="10"/>
  </si>
  <si>
    <t>千趣会sample</t>
    <rPh sb="0" eb="3">
      <t>センシュカイ</t>
    </rPh>
    <phoneticPr fontId="10"/>
  </si>
  <si>
    <t>夢販</t>
    <rPh sb="0" eb="1">
      <t>ユメ</t>
    </rPh>
    <rPh sb="1" eb="2">
      <t>ハン</t>
    </rPh>
    <phoneticPr fontId="10"/>
  </si>
  <si>
    <t>はぴねすくらぶ</t>
    <phoneticPr fontId="10"/>
  </si>
  <si>
    <t>はぴねすくらぶ</t>
    <phoneticPr fontId="10"/>
  </si>
  <si>
    <t>はぴねすくらぶ</t>
    <phoneticPr fontId="10"/>
  </si>
  <si>
    <t>酒井個人買い</t>
    <rPh sb="0" eb="2">
      <t>サカイ</t>
    </rPh>
    <rPh sb="2" eb="4">
      <t>コジン</t>
    </rPh>
    <rPh sb="4" eb="5">
      <t>ガ</t>
    </rPh>
    <phoneticPr fontId="10"/>
  </si>
  <si>
    <t>夢販</t>
    <rPh sb="0" eb="1">
      <t>ユメ</t>
    </rPh>
    <rPh sb="1" eb="2">
      <t>ハン</t>
    </rPh>
    <phoneticPr fontId="10"/>
  </si>
  <si>
    <t>ディノスサンプル返却</t>
    <rPh sb="8" eb="10">
      <t>ヘンキャク</t>
    </rPh>
    <phoneticPr fontId="2"/>
  </si>
  <si>
    <t>夢販</t>
    <rPh sb="0" eb="1">
      <t>ユメ</t>
    </rPh>
    <rPh sb="1" eb="2">
      <t>ハン</t>
    </rPh>
    <phoneticPr fontId="2"/>
  </si>
  <si>
    <t>東洋ナセン</t>
    <rPh sb="0" eb="2">
      <t>トウヨウ</t>
    </rPh>
    <phoneticPr fontId="10"/>
  </si>
  <si>
    <t>JR東日本</t>
    <rPh sb="2" eb="5">
      <t>ヒガシニホン</t>
    </rPh>
    <phoneticPr fontId="10"/>
  </si>
  <si>
    <t>JODサンプル</t>
    <phoneticPr fontId="10"/>
  </si>
  <si>
    <t>JODサンプル</t>
    <phoneticPr fontId="10"/>
  </si>
  <si>
    <t>セシール</t>
    <phoneticPr fontId="10"/>
  </si>
  <si>
    <t>セシール</t>
    <phoneticPr fontId="10"/>
  </si>
  <si>
    <t>千趣会sample返却</t>
    <rPh sb="0" eb="3">
      <t>センシュカイ</t>
    </rPh>
    <rPh sb="9" eb="11">
      <t>ヘンキャク</t>
    </rPh>
    <phoneticPr fontId="10"/>
  </si>
  <si>
    <t>ネット</t>
    <phoneticPr fontId="10"/>
  </si>
  <si>
    <t>千趣会</t>
    <rPh sb="0" eb="3">
      <t>センシュカイ</t>
    </rPh>
    <phoneticPr fontId="10"/>
  </si>
  <si>
    <t>ディノス返品</t>
    <rPh sb="4" eb="6">
      <t>ヘンピン</t>
    </rPh>
    <phoneticPr fontId="2"/>
  </si>
  <si>
    <t>ネット</t>
    <phoneticPr fontId="10"/>
  </si>
  <si>
    <t>ネット</t>
    <phoneticPr fontId="10"/>
  </si>
  <si>
    <t>千趣会返品</t>
    <rPh sb="0" eb="3">
      <t>センシュカイ</t>
    </rPh>
    <rPh sb="3" eb="5">
      <t>ヘンピン</t>
    </rPh>
    <phoneticPr fontId="10"/>
  </si>
  <si>
    <t>東洋ナセン</t>
    <rPh sb="0" eb="2">
      <t>トウヨウ</t>
    </rPh>
    <phoneticPr fontId="10"/>
  </si>
  <si>
    <t>東洋ナセン</t>
    <rPh sb="0" eb="2">
      <t>トウヨウ</t>
    </rPh>
    <phoneticPr fontId="10"/>
  </si>
  <si>
    <t>かりん</t>
    <phoneticPr fontId="10"/>
  </si>
  <si>
    <t>かりん</t>
    <phoneticPr fontId="10"/>
  </si>
  <si>
    <t>はぴねすくらぶ</t>
    <phoneticPr fontId="10"/>
  </si>
  <si>
    <t>はぴねすくらぶ</t>
    <phoneticPr fontId="10"/>
  </si>
  <si>
    <t>はぴねすくらぶ</t>
    <phoneticPr fontId="10"/>
  </si>
  <si>
    <t>JOD</t>
    <phoneticPr fontId="10"/>
  </si>
  <si>
    <t>JOD</t>
    <phoneticPr fontId="10"/>
  </si>
  <si>
    <t>セシール</t>
    <phoneticPr fontId="10"/>
  </si>
  <si>
    <t>夢販</t>
    <rPh sb="0" eb="1">
      <t>ユメ</t>
    </rPh>
    <rPh sb="1" eb="2">
      <t>ハン</t>
    </rPh>
    <phoneticPr fontId="10"/>
  </si>
  <si>
    <t>ディノス</t>
    <phoneticPr fontId="10"/>
  </si>
  <si>
    <t>ディノス返品</t>
    <rPh sb="4" eb="6">
      <t>ヘンピン</t>
    </rPh>
    <phoneticPr fontId="10"/>
  </si>
  <si>
    <t>マイジールsample</t>
    <phoneticPr fontId="10"/>
  </si>
  <si>
    <t>くらし企画sample返却</t>
    <rPh sb="3" eb="5">
      <t>キカク</t>
    </rPh>
    <rPh sb="11" eb="13">
      <t>ヘンキャク</t>
    </rPh>
    <phoneticPr fontId="10"/>
  </si>
  <si>
    <t>かりん</t>
    <phoneticPr fontId="10"/>
  </si>
  <si>
    <t>かりん</t>
    <phoneticPr fontId="10"/>
  </si>
  <si>
    <t>ネット</t>
    <phoneticPr fontId="10"/>
  </si>
  <si>
    <t>かりん</t>
    <phoneticPr fontId="10"/>
  </si>
  <si>
    <t>トラスト＆カンパニー</t>
    <phoneticPr fontId="10"/>
  </si>
  <si>
    <t>トラスト＆カンパニー</t>
    <phoneticPr fontId="10"/>
  </si>
  <si>
    <t>千趣会</t>
    <phoneticPr fontId="10"/>
  </si>
  <si>
    <t>はぴねす返品</t>
    <rPh sb="4" eb="6">
      <t>ヘンピン</t>
    </rPh>
    <phoneticPr fontId="2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</si>
  <si>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</si>
  <si>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</si>
  <si>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</si>
  <si>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かりん</t>
    <phoneticPr fontId="10"/>
  </si>
  <si>
    <t>かりん</t>
    <phoneticPr fontId="10"/>
  </si>
  <si>
    <t>ファイン</t>
    <phoneticPr fontId="10"/>
  </si>
  <si>
    <t>トラスト＆カンパニー</t>
    <phoneticPr fontId="10"/>
  </si>
  <si>
    <t>ファイン</t>
    <phoneticPr fontId="10"/>
  </si>
  <si>
    <t>ファイン直送</t>
    <rPh sb="4" eb="6">
      <t>チョクソウ</t>
    </rPh>
    <phoneticPr fontId="10"/>
  </si>
  <si>
    <t>JOD</t>
    <phoneticPr fontId="10"/>
  </si>
  <si>
    <t>JOD</t>
    <phoneticPr fontId="10"/>
  </si>
  <si>
    <t>はぴねすsample返却</t>
    <rPh sb="10" eb="12">
      <t>ヘンキャク</t>
    </rPh>
    <phoneticPr fontId="2"/>
  </si>
  <si>
    <t>ファイン</t>
    <phoneticPr fontId="10"/>
  </si>
  <si>
    <t>夢販</t>
    <rPh sb="0" eb="1">
      <t>ユメ</t>
    </rPh>
    <rPh sb="1" eb="2">
      <t>ハン</t>
    </rPh>
    <phoneticPr fontId="10"/>
  </si>
  <si>
    <t>セシール返品</t>
    <rPh sb="4" eb="6">
      <t>ヘンピン</t>
    </rPh>
    <phoneticPr fontId="10"/>
  </si>
  <si>
    <t>セシール</t>
    <phoneticPr fontId="10"/>
  </si>
  <si>
    <t>セシール</t>
    <phoneticPr fontId="10"/>
  </si>
  <si>
    <t>ネット</t>
    <phoneticPr fontId="10"/>
  </si>
  <si>
    <t>Meteo</t>
    <phoneticPr fontId="10"/>
  </si>
  <si>
    <t>くらしサンプル返却</t>
    <rPh sb="7" eb="9">
      <t>ヘンキャク</t>
    </rPh>
    <phoneticPr fontId="2"/>
  </si>
  <si>
    <t>くらしサンプル返却</t>
    <rPh sb="7" eb="9">
      <t>ヘンキャク</t>
    </rPh>
    <phoneticPr fontId="10"/>
  </si>
  <si>
    <t>追加9</t>
    <rPh sb="0" eb="2">
      <t>ツイカ</t>
    </rPh>
    <phoneticPr fontId="2"/>
  </si>
  <si>
    <t>ディノス</t>
    <phoneticPr fontId="10"/>
  </si>
  <si>
    <t>千趣会</t>
    <phoneticPr fontId="10"/>
  </si>
  <si>
    <t>ネット</t>
    <phoneticPr fontId="10"/>
  </si>
  <si>
    <t>ファイン</t>
    <phoneticPr fontId="10"/>
  </si>
  <si>
    <t>ファイン</t>
    <phoneticPr fontId="10"/>
  </si>
  <si>
    <t>かりん</t>
    <phoneticPr fontId="10"/>
  </si>
  <si>
    <t>Metao</t>
    <phoneticPr fontId="10"/>
  </si>
  <si>
    <t>Metao</t>
    <phoneticPr fontId="10"/>
  </si>
  <si>
    <t>セシール返品</t>
    <rPh sb="4" eb="6">
      <t>ヘンピン</t>
    </rPh>
    <phoneticPr fontId="10"/>
  </si>
  <si>
    <t>セシール</t>
    <phoneticPr fontId="10"/>
  </si>
  <si>
    <t>ネット</t>
    <phoneticPr fontId="10"/>
  </si>
  <si>
    <t>ファイン</t>
    <phoneticPr fontId="10"/>
  </si>
  <si>
    <t>ファイン</t>
    <phoneticPr fontId="10"/>
  </si>
  <si>
    <t>かりん</t>
    <phoneticPr fontId="10"/>
  </si>
  <si>
    <t>かりん</t>
    <phoneticPr fontId="10"/>
  </si>
  <si>
    <t>JOD返品</t>
    <rPh sb="3" eb="5">
      <t>ヘンピン</t>
    </rPh>
    <phoneticPr fontId="10"/>
  </si>
  <si>
    <t>セシール</t>
    <phoneticPr fontId="10"/>
  </si>
  <si>
    <t>JOD</t>
    <phoneticPr fontId="10"/>
  </si>
  <si>
    <t>ディノス</t>
    <phoneticPr fontId="10"/>
  </si>
  <si>
    <t>ディノス</t>
    <phoneticPr fontId="10"/>
  </si>
  <si>
    <t>ネット</t>
    <phoneticPr fontId="10"/>
  </si>
  <si>
    <t>ネット</t>
    <phoneticPr fontId="10"/>
  </si>
  <si>
    <t>全国通販</t>
    <rPh sb="0" eb="2">
      <t>ゼンコク</t>
    </rPh>
    <rPh sb="2" eb="4">
      <t>ツウハン</t>
    </rPh>
    <phoneticPr fontId="10"/>
  </si>
  <si>
    <t>千趣会返品</t>
    <rPh sb="0" eb="3">
      <t>センシュカイ</t>
    </rPh>
    <rPh sb="3" eb="5">
      <t>ヘンピン</t>
    </rPh>
    <phoneticPr fontId="2"/>
  </si>
  <si>
    <t>ファイン</t>
    <phoneticPr fontId="10"/>
  </si>
  <si>
    <t>ファイン</t>
    <phoneticPr fontId="10"/>
  </si>
  <si>
    <t>千趣会</t>
    <rPh sb="0" eb="3">
      <t>センシュカイ</t>
    </rPh>
    <phoneticPr fontId="10"/>
  </si>
  <si>
    <t>ディノス返品</t>
    <rPh sb="4" eb="6">
      <t>ヘンピン</t>
    </rPh>
    <phoneticPr fontId="10"/>
  </si>
  <si>
    <t>ネット</t>
    <phoneticPr fontId="10"/>
  </si>
  <si>
    <t>再生</t>
    <rPh sb="0" eb="2">
      <t>サイセイ</t>
    </rPh>
    <phoneticPr fontId="10"/>
  </si>
  <si>
    <t>ネット</t>
    <phoneticPr fontId="10"/>
  </si>
  <si>
    <t>セシール返品</t>
    <rPh sb="4" eb="6">
      <t>ヘンピン</t>
    </rPh>
    <phoneticPr fontId="10"/>
  </si>
  <si>
    <t>ディノス返品</t>
    <rPh sb="4" eb="6">
      <t>ヘンピン</t>
    </rPh>
    <phoneticPr fontId="10"/>
  </si>
  <si>
    <t>トラスト＆カンパニー</t>
    <phoneticPr fontId="10"/>
  </si>
  <si>
    <t>トラスト＆カンパニー</t>
    <phoneticPr fontId="10"/>
  </si>
  <si>
    <t>マイジール（いずみ7-2w）①</t>
    <phoneticPr fontId="10"/>
  </si>
  <si>
    <t>マイジール（いずみ7-2w）①</t>
    <phoneticPr fontId="10"/>
  </si>
  <si>
    <t>かりん</t>
    <phoneticPr fontId="10"/>
  </si>
  <si>
    <t>生活クラブ①</t>
    <rPh sb="0" eb="2">
      <t>セイカツ</t>
    </rPh>
    <phoneticPr fontId="10"/>
  </si>
  <si>
    <t>ディノス</t>
    <phoneticPr fontId="10"/>
  </si>
  <si>
    <t>夢販</t>
    <rPh sb="0" eb="1">
      <t>ユメ</t>
    </rPh>
    <rPh sb="1" eb="2">
      <t>ハン</t>
    </rPh>
    <phoneticPr fontId="10"/>
  </si>
  <si>
    <t>JOD</t>
    <phoneticPr fontId="10"/>
  </si>
  <si>
    <t>JOD</t>
    <phoneticPr fontId="10"/>
  </si>
  <si>
    <t>マイジール（いずみ7-2w）②</t>
    <phoneticPr fontId="10"/>
  </si>
  <si>
    <t>マイジール（いずみ7-2w）②</t>
    <phoneticPr fontId="10"/>
  </si>
  <si>
    <t>ディノス</t>
    <phoneticPr fontId="10"/>
  </si>
  <si>
    <t>マイジール（いずみ7-2w）③</t>
    <phoneticPr fontId="10"/>
  </si>
  <si>
    <t>マイジール（いずみ7-2w）③</t>
    <phoneticPr fontId="10"/>
  </si>
  <si>
    <t>マイジール（いずみ7-2w）④</t>
    <phoneticPr fontId="10"/>
  </si>
  <si>
    <t>.</t>
    <phoneticPr fontId="10"/>
  </si>
  <si>
    <t>夢企覚販売</t>
    <rPh sb="0" eb="5">
      <t>ユメ</t>
    </rPh>
    <phoneticPr fontId="10"/>
  </si>
  <si>
    <t>千趣会</t>
    <rPh sb="0" eb="3">
      <t>センシュカイ</t>
    </rPh>
    <phoneticPr fontId="10"/>
  </si>
  <si>
    <t>かりん</t>
    <phoneticPr fontId="10"/>
  </si>
  <si>
    <t>東洋ナセン返品</t>
    <rPh sb="0" eb="2">
      <t>トウヨウ</t>
    </rPh>
    <rPh sb="5" eb="7">
      <t>ヘンピン</t>
    </rPh>
    <phoneticPr fontId="2"/>
  </si>
  <si>
    <t>東洋ナセン返品</t>
    <rPh sb="0" eb="2">
      <t>トウヨウ</t>
    </rPh>
    <rPh sb="5" eb="7">
      <t>ヘンピン</t>
    </rPh>
    <phoneticPr fontId="10"/>
  </si>
  <si>
    <t>ロイヤルS</t>
    <phoneticPr fontId="10"/>
  </si>
  <si>
    <t>ロイヤルS</t>
    <phoneticPr fontId="10"/>
  </si>
  <si>
    <t>夢販</t>
    <rPh sb="0" eb="1">
      <t>ユメ</t>
    </rPh>
    <rPh sb="1" eb="2">
      <t>ハン</t>
    </rPh>
    <phoneticPr fontId="10"/>
  </si>
  <si>
    <t>千趣会</t>
    <phoneticPr fontId="10"/>
  </si>
  <si>
    <t>ディノス</t>
    <phoneticPr fontId="10"/>
  </si>
  <si>
    <t>ディノス</t>
    <phoneticPr fontId="10"/>
  </si>
  <si>
    <t>ディノス返品</t>
    <rPh sb="4" eb="6">
      <t>ヘンピン</t>
    </rPh>
    <phoneticPr fontId="10"/>
  </si>
  <si>
    <t>セシール</t>
    <phoneticPr fontId="10"/>
  </si>
  <si>
    <t>セシール</t>
    <phoneticPr fontId="10"/>
  </si>
  <si>
    <t>セシール</t>
    <phoneticPr fontId="10"/>
  </si>
  <si>
    <t>生活クラブ30週①</t>
    <rPh sb="7" eb="8">
      <t>シュウ</t>
    </rPh>
    <phoneticPr fontId="10"/>
  </si>
  <si>
    <t>生活クラブ30週①</t>
    <phoneticPr fontId="10"/>
  </si>
  <si>
    <t>JOD</t>
    <phoneticPr fontId="10"/>
  </si>
  <si>
    <t>ロイヤルS</t>
    <phoneticPr fontId="10"/>
  </si>
  <si>
    <t>ロイヤルS</t>
    <phoneticPr fontId="10"/>
  </si>
  <si>
    <t>生活クラブ30週②</t>
    <rPh sb="7" eb="8">
      <t>シュウ</t>
    </rPh>
    <phoneticPr fontId="10"/>
  </si>
  <si>
    <t>生活クラブ30週②</t>
    <phoneticPr fontId="10"/>
  </si>
  <si>
    <t>ロイヤルS</t>
    <phoneticPr fontId="10"/>
  </si>
  <si>
    <t>ロイヤルS</t>
    <phoneticPr fontId="10"/>
  </si>
  <si>
    <t>夢販</t>
    <rPh sb="0" eb="1">
      <t>ユメ</t>
    </rPh>
    <rPh sb="1" eb="2">
      <t>ハン</t>
    </rPh>
    <phoneticPr fontId="10"/>
  </si>
  <si>
    <t>千趣会</t>
    <rPh sb="0" eb="3">
      <t>センシュカイ</t>
    </rPh>
    <phoneticPr fontId="10"/>
  </si>
  <si>
    <t>JOD返品</t>
    <rPh sb="3" eb="5">
      <t>ヘンピン</t>
    </rPh>
    <phoneticPr fontId="10"/>
  </si>
  <si>
    <t>夢販</t>
    <rPh sb="0" eb="2">
      <t>ユメハン</t>
    </rPh>
    <phoneticPr fontId="10"/>
  </si>
  <si>
    <t>JODサンプル返却</t>
    <rPh sb="7" eb="9">
      <t>ヘンキャク</t>
    </rPh>
    <phoneticPr fontId="10"/>
  </si>
  <si>
    <t>千趣会</t>
    <phoneticPr fontId="10"/>
  </si>
  <si>
    <t>セシール</t>
    <phoneticPr fontId="10"/>
  </si>
  <si>
    <t>セシール</t>
    <phoneticPr fontId="10"/>
  </si>
  <si>
    <t>千趣会返品</t>
    <rPh sb="0" eb="3">
      <t>センシュカイ</t>
    </rPh>
    <rPh sb="3" eb="5">
      <t>ヘンピン</t>
    </rPh>
    <phoneticPr fontId="10"/>
  </si>
  <si>
    <t>千趣会返品</t>
    <rPh sb="3" eb="5">
      <t>ヘンピン</t>
    </rPh>
    <phoneticPr fontId="10"/>
  </si>
  <si>
    <t>再生</t>
    <rPh sb="0" eb="2">
      <t>サイセイ</t>
    </rPh>
    <phoneticPr fontId="10"/>
  </si>
  <si>
    <t>ファイン返品</t>
    <rPh sb="4" eb="6">
      <t>ヘンピン</t>
    </rPh>
    <phoneticPr fontId="10"/>
  </si>
  <si>
    <t>千趣会</t>
    <phoneticPr fontId="10"/>
  </si>
  <si>
    <t>千趣会</t>
    <phoneticPr fontId="10"/>
  </si>
  <si>
    <t>JOD返品</t>
    <rPh sb="3" eb="5">
      <t>ヘンピン</t>
    </rPh>
    <phoneticPr fontId="10"/>
  </si>
  <si>
    <t>千趣会</t>
    <phoneticPr fontId="10"/>
  </si>
  <si>
    <t>セシール返品</t>
    <rPh sb="4" eb="6">
      <t>ヘンピン</t>
    </rPh>
    <phoneticPr fontId="10"/>
  </si>
  <si>
    <t>ネット</t>
    <phoneticPr fontId="10"/>
  </si>
  <si>
    <t>JOD</t>
    <phoneticPr fontId="10"/>
  </si>
  <si>
    <t>ネット</t>
    <phoneticPr fontId="10"/>
  </si>
  <si>
    <t>ディノス</t>
    <phoneticPr fontId="10"/>
  </si>
  <si>
    <t>夢販</t>
    <rPh sb="0" eb="2">
      <t>ユメハン</t>
    </rPh>
    <phoneticPr fontId="10"/>
  </si>
  <si>
    <t>セシール</t>
    <phoneticPr fontId="10"/>
  </si>
  <si>
    <t>夢販</t>
    <rPh sb="0" eb="2">
      <t>ユメハン</t>
    </rPh>
    <phoneticPr fontId="10"/>
  </si>
  <si>
    <t>ネット</t>
    <phoneticPr fontId="10"/>
  </si>
  <si>
    <t>ネット</t>
    <phoneticPr fontId="10"/>
  </si>
  <si>
    <t>東洋ナセン</t>
    <rPh sb="0" eb="2">
      <t>トウヨウ</t>
    </rPh>
    <phoneticPr fontId="10"/>
  </si>
  <si>
    <t>マイジール返品</t>
    <rPh sb="5" eb="7">
      <t>ヘンピン</t>
    </rPh>
    <phoneticPr fontId="2"/>
  </si>
  <si>
    <t>ネット</t>
    <phoneticPr fontId="10"/>
  </si>
  <si>
    <t>JOD</t>
    <phoneticPr fontId="10"/>
  </si>
  <si>
    <t>全国通販</t>
    <rPh sb="0" eb="2">
      <t>ゼンコク</t>
    </rPh>
    <rPh sb="2" eb="4">
      <t>ツウハン</t>
    </rPh>
    <phoneticPr fontId="10"/>
  </si>
  <si>
    <t>全国通販</t>
    <rPh sb="0" eb="2">
      <t>ゼンコク</t>
    </rPh>
    <rPh sb="2" eb="4">
      <t>ツウハン</t>
    </rPh>
    <phoneticPr fontId="10"/>
  </si>
  <si>
    <t>セシール返品</t>
    <rPh sb="4" eb="6">
      <t>ヘンピン</t>
    </rPh>
    <phoneticPr fontId="10"/>
  </si>
  <si>
    <t>くらし返品</t>
    <rPh sb="3" eb="5">
      <t>ヘンピン</t>
    </rPh>
    <phoneticPr fontId="10"/>
  </si>
  <si>
    <t>セシール撮影用サンプル</t>
    <rPh sb="4" eb="6">
      <t>サツエイ</t>
    </rPh>
    <rPh sb="6" eb="7">
      <t>ヨウ</t>
    </rPh>
    <phoneticPr fontId="10"/>
  </si>
  <si>
    <t>セシール撮影用サンプル</t>
    <rPh sb="4" eb="7">
      <t>サツエイヨウ</t>
    </rPh>
    <phoneticPr fontId="10"/>
  </si>
  <si>
    <t>マイジール返却</t>
    <rPh sb="5" eb="7">
      <t>ヘンキャク</t>
    </rPh>
    <phoneticPr fontId="2"/>
  </si>
  <si>
    <t>ロイヤルS返品</t>
    <rPh sb="5" eb="7">
      <t>ヘンピン</t>
    </rPh>
    <phoneticPr fontId="2"/>
  </si>
  <si>
    <t>ディノス返品</t>
    <rPh sb="4" eb="6">
      <t>ヘンピン</t>
    </rPh>
    <phoneticPr fontId="10"/>
  </si>
  <si>
    <t>ネット</t>
    <phoneticPr fontId="10"/>
  </si>
  <si>
    <t>ネット</t>
    <phoneticPr fontId="10"/>
  </si>
  <si>
    <t>JOD返品</t>
    <rPh sb="3" eb="5">
      <t>ヘンピン</t>
    </rPh>
    <phoneticPr fontId="10"/>
  </si>
  <si>
    <t>全国通販</t>
    <phoneticPr fontId="10"/>
  </si>
  <si>
    <t>ネット</t>
    <phoneticPr fontId="10"/>
  </si>
  <si>
    <t>ネット</t>
    <phoneticPr fontId="10"/>
  </si>
  <si>
    <t>セシール</t>
    <phoneticPr fontId="10"/>
  </si>
  <si>
    <t>千趣会</t>
    <rPh sb="0" eb="3">
      <t>センシュカイ</t>
    </rPh>
    <phoneticPr fontId="10"/>
  </si>
  <si>
    <t>ネット</t>
    <phoneticPr fontId="10"/>
  </si>
  <si>
    <t>セシール返品</t>
    <rPh sb="4" eb="6">
      <t>ヘンピン</t>
    </rPh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</si>
  <si>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</si>
  <si>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</si>
  <si>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</si>
  <si>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</si>
  <si>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セシール</t>
    <phoneticPr fontId="10"/>
  </si>
  <si>
    <t>JOD</t>
    <phoneticPr fontId="10"/>
  </si>
  <si>
    <t>ネット</t>
    <phoneticPr fontId="10"/>
  </si>
  <si>
    <t>ネットサイズ交換</t>
    <rPh sb="6" eb="8">
      <t>コウカン</t>
    </rPh>
    <phoneticPr fontId="10"/>
  </si>
  <si>
    <t>夢販</t>
    <rPh sb="0" eb="2">
      <t>ユメハン</t>
    </rPh>
    <phoneticPr fontId="10"/>
  </si>
  <si>
    <t>JOD</t>
    <phoneticPr fontId="10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</si>
  <si>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</si>
  <si>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</si>
  <si>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</si>
  <si>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かりん</t>
    <phoneticPr fontId="10"/>
  </si>
  <si>
    <t>セシール</t>
    <phoneticPr fontId="10"/>
  </si>
  <si>
    <t>セシール</t>
    <phoneticPr fontId="10"/>
  </si>
  <si>
    <t>ネット</t>
    <phoneticPr fontId="10"/>
  </si>
  <si>
    <t>ネット</t>
    <phoneticPr fontId="10"/>
  </si>
  <si>
    <t>棚卸調整</t>
    <rPh sb="0" eb="4">
      <t>タナオロシチョウセイ</t>
    </rPh>
    <phoneticPr fontId="10"/>
  </si>
  <si>
    <t>棚卸調整</t>
    <rPh sb="0" eb="4">
      <t>タナオロシチョウセイ</t>
    </rPh>
    <phoneticPr fontId="10"/>
  </si>
  <si>
    <t>はぴねすくらぶ</t>
    <phoneticPr fontId="10"/>
  </si>
  <si>
    <t>ネット</t>
    <phoneticPr fontId="10"/>
  </si>
  <si>
    <t>セシール</t>
    <phoneticPr fontId="10"/>
  </si>
  <si>
    <t>セシール返品</t>
    <rPh sb="4" eb="6">
      <t>ヘンピン</t>
    </rPh>
    <phoneticPr fontId="10"/>
  </si>
  <si>
    <t>千趣会</t>
    <rPh sb="0" eb="3">
      <t>センシュカイ</t>
    </rPh>
    <phoneticPr fontId="10"/>
  </si>
  <si>
    <t>セシール</t>
    <phoneticPr fontId="10"/>
  </si>
  <si>
    <t>夢販</t>
    <rPh sb="0" eb="2">
      <t>ユメハン</t>
    </rPh>
    <phoneticPr fontId="10"/>
  </si>
  <si>
    <t>ディノス</t>
    <phoneticPr fontId="10"/>
  </si>
  <si>
    <t>ディノス</t>
    <phoneticPr fontId="10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</si>
  <si>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</si>
  <si>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</si>
  <si>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</si>
  <si>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JOD</t>
    <phoneticPr fontId="10"/>
  </si>
  <si>
    <t>セシール</t>
    <phoneticPr fontId="10"/>
  </si>
  <si>
    <t>セシール</t>
    <phoneticPr fontId="10"/>
  </si>
  <si>
    <t>セシール</t>
    <phoneticPr fontId="10"/>
  </si>
  <si>
    <t>夢販</t>
    <rPh sb="0" eb="2">
      <t>ユメハン</t>
    </rPh>
    <phoneticPr fontId="10"/>
  </si>
  <si>
    <t>はぴねすくらぶ</t>
    <phoneticPr fontId="10"/>
  </si>
  <si>
    <t>はぴねすくらぶ</t>
    <phoneticPr fontId="10"/>
  </si>
  <si>
    <t>全国通販返品</t>
    <rPh sb="0" eb="2">
      <t>ゼンコク</t>
    </rPh>
    <rPh sb="2" eb="4">
      <t>ツウハン</t>
    </rPh>
    <rPh sb="4" eb="6">
      <t>ヘンピン</t>
    </rPh>
    <phoneticPr fontId="2"/>
  </si>
  <si>
    <t>全国通販返品</t>
    <rPh sb="0" eb="2">
      <t>ゼンコク</t>
    </rPh>
    <rPh sb="2" eb="4">
      <t>ツウハン</t>
    </rPh>
    <rPh sb="4" eb="6">
      <t>ヘンピン</t>
    </rPh>
    <phoneticPr fontId="10"/>
  </si>
  <si>
    <t>再生</t>
    <rPh sb="0" eb="2">
      <t>サイセイ</t>
    </rPh>
    <phoneticPr fontId="2"/>
  </si>
  <si>
    <t>千趣会</t>
    <rPh sb="0" eb="3">
      <t>センシュカイ</t>
    </rPh>
    <phoneticPr fontId="10"/>
  </si>
  <si>
    <t>千趣会返品</t>
    <rPh sb="0" eb="3">
      <t>センシュカイ</t>
    </rPh>
    <rPh sb="3" eb="5">
      <t>ヘンピン</t>
    </rPh>
    <phoneticPr fontId="10"/>
  </si>
  <si>
    <t>千趣会返品</t>
    <rPh sb="0" eb="3">
      <t>センシュカイ</t>
    </rPh>
    <rPh sb="3" eb="5">
      <t>ヘンピン</t>
    </rPh>
    <phoneticPr fontId="10"/>
  </si>
  <si>
    <t>セシール</t>
    <phoneticPr fontId="10"/>
  </si>
  <si>
    <t>ロイヤルＳ</t>
    <phoneticPr fontId="10"/>
  </si>
  <si>
    <t>JOD</t>
    <phoneticPr fontId="10"/>
  </si>
  <si>
    <t>ネット</t>
    <phoneticPr fontId="10"/>
  </si>
  <si>
    <t>夢販</t>
    <rPh sb="0" eb="2">
      <t>ユメハン</t>
    </rPh>
    <phoneticPr fontId="10"/>
  </si>
  <si>
    <t>セシール返品</t>
    <rPh sb="4" eb="6">
      <t>ヘンピン</t>
    </rPh>
    <phoneticPr fontId="10"/>
  </si>
  <si>
    <t>全国通販</t>
    <phoneticPr fontId="10"/>
  </si>
  <si>
    <t>はぴねす返品</t>
    <rPh sb="4" eb="6">
      <t>ヘンピン</t>
    </rPh>
    <phoneticPr fontId="10"/>
  </si>
  <si>
    <t>セシール</t>
    <phoneticPr fontId="10"/>
  </si>
  <si>
    <t>ロイヤルＳ</t>
    <phoneticPr fontId="10"/>
  </si>
  <si>
    <t>ロイヤルＳ</t>
    <phoneticPr fontId="10"/>
  </si>
  <si>
    <t>ロイヤルＳ</t>
    <phoneticPr fontId="10"/>
  </si>
  <si>
    <t>千趣会</t>
    <rPh sb="0" eb="3">
      <t>センシュカイ</t>
    </rPh>
    <phoneticPr fontId="10"/>
  </si>
  <si>
    <t>ネット</t>
    <phoneticPr fontId="10"/>
  </si>
  <si>
    <t>千趣会</t>
    <rPh sb="0" eb="3">
      <t>センシュカイ</t>
    </rPh>
    <phoneticPr fontId="10"/>
  </si>
  <si>
    <t>夢販</t>
    <rPh sb="0" eb="2">
      <t>ユメハン</t>
    </rPh>
    <phoneticPr fontId="10"/>
  </si>
  <si>
    <t>ネット</t>
    <phoneticPr fontId="10"/>
  </si>
  <si>
    <t>JOD</t>
    <phoneticPr fontId="10"/>
  </si>
  <si>
    <t>JOD</t>
    <phoneticPr fontId="10"/>
  </si>
  <si>
    <t>千趣会</t>
    <rPh sb="0" eb="3">
      <t>センシュカイ</t>
    </rPh>
    <phoneticPr fontId="10"/>
  </si>
  <si>
    <t>JOD</t>
    <phoneticPr fontId="10"/>
  </si>
  <si>
    <t>セシール</t>
    <phoneticPr fontId="10"/>
  </si>
  <si>
    <t>ネット</t>
    <phoneticPr fontId="10"/>
  </si>
  <si>
    <t>ネット</t>
    <phoneticPr fontId="10"/>
  </si>
  <si>
    <t>夢販</t>
    <rPh sb="0" eb="2">
      <t>ユメハン</t>
    </rPh>
    <phoneticPr fontId="10"/>
  </si>
  <si>
    <t>追加(下げ札なし分）</t>
    <rPh sb="0" eb="2">
      <t>ツイカ</t>
    </rPh>
    <rPh sb="3" eb="4">
      <t>サ</t>
    </rPh>
    <rPh sb="5" eb="6">
      <t>フダ</t>
    </rPh>
    <rPh sb="8" eb="9">
      <t>ブン</t>
    </rPh>
    <phoneticPr fontId="10"/>
  </si>
  <si>
    <t>追加7（下げ札なし分）</t>
    <rPh sb="0" eb="2">
      <t>ツイカ</t>
    </rPh>
    <rPh sb="4" eb="5">
      <t>サ</t>
    </rPh>
    <rPh sb="6" eb="7">
      <t>フダ</t>
    </rPh>
    <rPh sb="9" eb="10">
      <t>ブン</t>
    </rPh>
    <phoneticPr fontId="2"/>
  </si>
  <si>
    <t>追加1（下げ札なし分）</t>
    <rPh sb="0" eb="2">
      <t>ツイカ</t>
    </rPh>
    <rPh sb="4" eb="5">
      <t>サ</t>
    </rPh>
    <rPh sb="6" eb="7">
      <t>フダ</t>
    </rPh>
    <rPh sb="9" eb="10">
      <t>ブン</t>
    </rPh>
    <phoneticPr fontId="2"/>
  </si>
  <si>
    <t>JR東日本返品</t>
    <rPh sb="2" eb="3">
      <t>ヒガシ</t>
    </rPh>
    <rPh sb="3" eb="5">
      <t>ニホン</t>
    </rPh>
    <rPh sb="5" eb="7">
      <t>ヘンピン</t>
    </rPh>
    <phoneticPr fontId="2"/>
  </si>
  <si>
    <t>YMN16002</t>
    <phoneticPr fontId="10"/>
  </si>
  <si>
    <t>ネット</t>
    <phoneticPr fontId="10"/>
  </si>
  <si>
    <t>セシール</t>
    <phoneticPr fontId="10"/>
  </si>
  <si>
    <t>セシール</t>
    <phoneticPr fontId="10"/>
  </si>
  <si>
    <t>セシール</t>
    <phoneticPr fontId="10"/>
  </si>
  <si>
    <t>夢販</t>
    <rPh sb="0" eb="2">
      <t>ユメハン</t>
    </rPh>
    <phoneticPr fontId="10"/>
  </si>
  <si>
    <t>千趣会</t>
    <rPh sb="0" eb="3">
      <t>センシュカイ</t>
    </rPh>
    <phoneticPr fontId="10"/>
  </si>
  <si>
    <t>ロイヤルＳ</t>
    <phoneticPr fontId="10"/>
  </si>
  <si>
    <t>ネット</t>
    <phoneticPr fontId="10"/>
  </si>
  <si>
    <t>ネット</t>
    <phoneticPr fontId="10"/>
  </si>
  <si>
    <t>セシール</t>
    <phoneticPr fontId="10"/>
  </si>
  <si>
    <t>ネット</t>
    <phoneticPr fontId="10"/>
  </si>
  <si>
    <t>JOD</t>
    <phoneticPr fontId="10"/>
  </si>
  <si>
    <t>ロイヤルＳ</t>
    <phoneticPr fontId="10"/>
  </si>
  <si>
    <t>千趣会</t>
    <rPh sb="0" eb="3">
      <t>センシュカイ</t>
    </rPh>
    <phoneticPr fontId="10"/>
  </si>
  <si>
    <t>JOD</t>
    <phoneticPr fontId="10"/>
  </si>
  <si>
    <t>はぴねしくらぶ返品</t>
    <rPh sb="7" eb="9">
      <t>ヘンピン</t>
    </rPh>
    <phoneticPr fontId="2"/>
  </si>
  <si>
    <t>ネット</t>
    <phoneticPr fontId="10"/>
  </si>
  <si>
    <t>ネット</t>
    <phoneticPr fontId="10"/>
  </si>
  <si>
    <t>ディノス</t>
    <phoneticPr fontId="10"/>
  </si>
  <si>
    <t>千趣会</t>
    <rPh sb="0" eb="3">
      <t>センシュカイ</t>
    </rPh>
    <phoneticPr fontId="10"/>
  </si>
  <si>
    <t>ネット</t>
    <phoneticPr fontId="10"/>
  </si>
  <si>
    <t>ネット</t>
    <phoneticPr fontId="10"/>
  </si>
  <si>
    <t>全国通販返品</t>
    <rPh sb="4" eb="6">
      <t>ヘンピン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</si>
  <si>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</si>
  <si>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</si>
  <si>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ロイヤルＳ返品</t>
    <rPh sb="5" eb="7">
      <t>ヘンピン</t>
    </rPh>
    <phoneticPr fontId="2"/>
  </si>
  <si>
    <t>ディノス17秋提案sample</t>
    <rPh sb="6" eb="7">
      <t>アキ</t>
    </rPh>
    <rPh sb="7" eb="9">
      <t>テイアン</t>
    </rPh>
    <phoneticPr fontId="10"/>
  </si>
  <si>
    <t>セシール返品</t>
    <rPh sb="4" eb="6">
      <t>ヘンピン</t>
    </rPh>
    <phoneticPr fontId="10"/>
  </si>
  <si>
    <t>千趣会</t>
    <rPh sb="0" eb="3">
      <t>センシュカイ</t>
    </rPh>
    <phoneticPr fontId="10"/>
  </si>
  <si>
    <t>夢販</t>
    <rPh sb="0" eb="2">
      <t>ユメハン</t>
    </rPh>
    <phoneticPr fontId="10"/>
  </si>
  <si>
    <t>JOD</t>
    <phoneticPr fontId="10"/>
  </si>
  <si>
    <t>JOD</t>
    <phoneticPr fontId="10"/>
  </si>
  <si>
    <t>選べるフィットネス　5分丈ボトム</t>
    <rPh sb="0" eb="1">
      <t>エラ</t>
    </rPh>
    <rPh sb="11" eb="13">
      <t>ブタケ</t>
    </rPh>
    <phoneticPr fontId="2"/>
  </si>
  <si>
    <t>YMN16003</t>
    <phoneticPr fontId="10"/>
  </si>
  <si>
    <t>選べるフィットネス　5分丈ボトム</t>
    <rPh sb="0" eb="1">
      <t>エラ</t>
    </rPh>
    <rPh sb="11" eb="13">
      <t>ブタケ</t>
    </rPh>
    <phoneticPr fontId="10"/>
  </si>
  <si>
    <t>K-PORT在庫</t>
    <rPh sb="6" eb="8">
      <t>ザイコ</t>
    </rPh>
    <phoneticPr fontId="10"/>
  </si>
  <si>
    <t>千趣会</t>
    <rPh sb="0" eb="3">
      <t>センシュカイ</t>
    </rPh>
    <phoneticPr fontId="10"/>
  </si>
  <si>
    <t>ディノス17秋提案sample返却</t>
    <rPh sb="6" eb="7">
      <t>アキ</t>
    </rPh>
    <rPh sb="7" eb="9">
      <t>テイアン</t>
    </rPh>
    <rPh sb="15" eb="17">
      <t>ヘンキャク</t>
    </rPh>
    <phoneticPr fontId="10"/>
  </si>
  <si>
    <t>JOD</t>
    <phoneticPr fontId="10"/>
  </si>
  <si>
    <t>JR東日本</t>
    <rPh sb="2" eb="3">
      <t>ヒガシ</t>
    </rPh>
    <rPh sb="3" eb="5">
      <t>ニホン</t>
    </rPh>
    <phoneticPr fontId="2"/>
  </si>
  <si>
    <t>夢販</t>
    <rPh sb="0" eb="2">
      <t>ユメハン</t>
    </rPh>
    <phoneticPr fontId="10"/>
  </si>
  <si>
    <t>ロイヤルS</t>
    <phoneticPr fontId="10"/>
  </si>
  <si>
    <t>ロイヤルＳ返品</t>
    <rPh sb="5" eb="7">
      <t>ヘンピン</t>
    </rPh>
    <phoneticPr fontId="10"/>
  </si>
  <si>
    <t>かりん</t>
    <phoneticPr fontId="10"/>
  </si>
  <si>
    <t>千趣会</t>
    <rPh sb="0" eb="3">
      <t>センシュカイ</t>
    </rPh>
    <phoneticPr fontId="10"/>
  </si>
  <si>
    <t>セシール</t>
    <phoneticPr fontId="10"/>
  </si>
  <si>
    <t>セシール</t>
    <phoneticPr fontId="10"/>
  </si>
  <si>
    <t>セシール17秋　撮影用サンプル</t>
    <rPh sb="6" eb="7">
      <t>アキ</t>
    </rPh>
    <rPh sb="8" eb="11">
      <t>サツエイヨウ</t>
    </rPh>
    <phoneticPr fontId="10"/>
  </si>
  <si>
    <t>セシール返品</t>
    <phoneticPr fontId="10"/>
  </si>
  <si>
    <t>ネット</t>
    <phoneticPr fontId="10"/>
  </si>
  <si>
    <t>ネット</t>
    <phoneticPr fontId="10"/>
  </si>
  <si>
    <t>ネット</t>
    <phoneticPr fontId="10"/>
  </si>
  <si>
    <t>夢販</t>
    <rPh sb="0" eb="2">
      <t>ユメハン</t>
    </rPh>
    <phoneticPr fontId="10"/>
  </si>
  <si>
    <t>ＪＯＤ返品</t>
    <rPh sb="3" eb="5">
      <t>ヘンピン</t>
    </rPh>
    <phoneticPr fontId="2"/>
  </si>
  <si>
    <t>ネット</t>
    <phoneticPr fontId="10"/>
  </si>
  <si>
    <t>YM18001（花柄）</t>
    <rPh sb="8" eb="10">
      <t>ハナガラ</t>
    </rPh>
    <phoneticPr fontId="10"/>
  </si>
  <si>
    <t>YMN16000（サークル柄）</t>
    <rPh sb="13" eb="14">
      <t>ガラ</t>
    </rPh>
    <phoneticPr fontId="10"/>
  </si>
  <si>
    <t>YM18002（花柄）</t>
    <rPh sb="8" eb="10">
      <t>ハナガラ</t>
    </rPh>
    <phoneticPr fontId="10"/>
  </si>
  <si>
    <t>セシール</t>
    <phoneticPr fontId="10"/>
  </si>
  <si>
    <t>セシール</t>
    <phoneticPr fontId="10"/>
  </si>
  <si>
    <t>ネット</t>
    <phoneticPr fontId="10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</si>
  <si>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</si>
  <si>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</si>
  <si>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</si>
  <si>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夢販</t>
    <rPh sb="0" eb="2">
      <t>ユメハン</t>
    </rPh>
    <phoneticPr fontId="10"/>
  </si>
  <si>
    <t>JOD</t>
    <phoneticPr fontId="10"/>
  </si>
  <si>
    <t>電話注文</t>
    <rPh sb="0" eb="2">
      <t>デンワ</t>
    </rPh>
    <rPh sb="2" eb="4">
      <t>チュウモン</t>
    </rPh>
    <phoneticPr fontId="10"/>
  </si>
  <si>
    <t>全国通販</t>
    <rPh sb="0" eb="2">
      <t>ゼンコク</t>
    </rPh>
    <rPh sb="2" eb="4">
      <t>ツウハン</t>
    </rPh>
    <phoneticPr fontId="10"/>
  </si>
  <si>
    <t>千趣会</t>
    <rPh sb="0" eb="3">
      <t>センシュカイ</t>
    </rPh>
    <phoneticPr fontId="10"/>
  </si>
  <si>
    <t>セシール</t>
    <phoneticPr fontId="10"/>
  </si>
  <si>
    <t>JOD</t>
    <phoneticPr fontId="10"/>
  </si>
  <si>
    <t>ロイヤルＳ</t>
    <phoneticPr fontId="10"/>
  </si>
  <si>
    <t>ロイヤルＳ</t>
    <phoneticPr fontId="10"/>
  </si>
  <si>
    <t>千趣会</t>
    <rPh sb="0" eb="3">
      <t>センシュカイ</t>
    </rPh>
    <phoneticPr fontId="10"/>
  </si>
  <si>
    <t>全国通販6481号色校sample</t>
    <rPh sb="0" eb="2">
      <t>ゼンコク</t>
    </rPh>
    <rPh sb="2" eb="4">
      <t>ツウハン</t>
    </rPh>
    <rPh sb="8" eb="9">
      <t>ゴウ</t>
    </rPh>
    <rPh sb="9" eb="11">
      <t>イロコウ</t>
    </rPh>
    <phoneticPr fontId="10"/>
  </si>
  <si>
    <t>ディノス返品</t>
    <rPh sb="4" eb="6">
      <t>ヘンピン</t>
    </rPh>
    <phoneticPr fontId="10"/>
  </si>
  <si>
    <t>マイジールいずみサンプル</t>
    <phoneticPr fontId="10"/>
  </si>
  <si>
    <t>マイジールいずみサンプル</t>
    <phoneticPr fontId="10"/>
  </si>
  <si>
    <t>千趣会</t>
    <rPh sb="0" eb="3">
      <t>センシュカイ</t>
    </rPh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</si>
  <si>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</si>
  <si>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</si>
  <si>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</si>
  <si>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</si>
  <si>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追加</t>
    <rPh sb="0" eb="2">
      <t>ツイカ</t>
    </rPh>
    <phoneticPr fontId="10"/>
  </si>
  <si>
    <t>セシール</t>
    <phoneticPr fontId="10"/>
  </si>
  <si>
    <t>セシール</t>
    <phoneticPr fontId="10"/>
  </si>
  <si>
    <t>夢販</t>
    <rPh sb="0" eb="2">
      <t>ユメハン</t>
    </rPh>
    <phoneticPr fontId="10"/>
  </si>
  <si>
    <t>ロイヤルS</t>
    <phoneticPr fontId="10"/>
  </si>
  <si>
    <t>ネット</t>
    <phoneticPr fontId="10"/>
  </si>
  <si>
    <t>ネット</t>
    <phoneticPr fontId="10"/>
  </si>
  <si>
    <t>セシール事前確認用</t>
    <rPh sb="4" eb="6">
      <t>ジゼン</t>
    </rPh>
    <rPh sb="6" eb="9">
      <t>カクニンヨウ</t>
    </rPh>
    <phoneticPr fontId="10"/>
  </si>
  <si>
    <t>セシール事前確認用</t>
    <rPh sb="4" eb="9">
      <t>ジゼンカクニンヨウ</t>
    </rPh>
    <phoneticPr fontId="10"/>
  </si>
  <si>
    <t>セシール事前確認用</t>
    <rPh sb="4" eb="9">
      <t>ジゼンカクニンヨウ</t>
    </rPh>
    <phoneticPr fontId="10"/>
  </si>
  <si>
    <t>JOD</t>
    <phoneticPr fontId="10"/>
  </si>
  <si>
    <t>再生</t>
    <rPh sb="0" eb="2">
      <t>サイセイ</t>
    </rPh>
    <phoneticPr fontId="10"/>
  </si>
  <si>
    <t>セシール17冬号</t>
    <rPh sb="6" eb="7">
      <t>フユ</t>
    </rPh>
    <rPh sb="7" eb="8">
      <t>ゴウ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</si>
  <si>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</si>
  <si>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</si>
  <si>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残在庫</t>
    <rPh sb="0" eb="1">
      <t>ザン</t>
    </rPh>
    <rPh sb="1" eb="3">
      <t>ザイコ</t>
    </rPh>
    <phoneticPr fontId="2"/>
  </si>
  <si>
    <t>セシール返品</t>
    <rPh sb="4" eb="6">
      <t>ヘンピン</t>
    </rPh>
    <phoneticPr fontId="10"/>
  </si>
  <si>
    <t>ネット</t>
    <phoneticPr fontId="10"/>
  </si>
  <si>
    <t>ネット</t>
    <phoneticPr fontId="10"/>
  </si>
  <si>
    <t>ネット</t>
    <phoneticPr fontId="10"/>
  </si>
  <si>
    <t>夢販</t>
    <rPh sb="0" eb="2">
      <t>ユメハン</t>
    </rPh>
    <phoneticPr fontId="10"/>
  </si>
  <si>
    <t>上杉佐藤様</t>
    <rPh sb="0" eb="2">
      <t>ウエスギ</t>
    </rPh>
    <rPh sb="2" eb="5">
      <t>サトウサマ</t>
    </rPh>
    <phoneticPr fontId="10"/>
  </si>
  <si>
    <t>夢販</t>
    <rPh sb="0" eb="2">
      <t>ユメハン</t>
    </rPh>
    <phoneticPr fontId="10"/>
  </si>
  <si>
    <t>電話注文</t>
    <rPh sb="0" eb="2">
      <t>デンワ</t>
    </rPh>
    <rPh sb="2" eb="4">
      <t>チュウモン</t>
    </rPh>
    <phoneticPr fontId="10"/>
  </si>
  <si>
    <t xml:space="preserve"> </t>
    <phoneticPr fontId="10"/>
  </si>
  <si>
    <t>マイジールいずみサンプル返却</t>
    <rPh sb="12" eb="14">
      <t>ヘンキャク</t>
    </rPh>
    <phoneticPr fontId="10"/>
  </si>
  <si>
    <t>10月発刊9月上旬から随時納品</t>
    <rPh sb="2" eb="3">
      <t>ガツ</t>
    </rPh>
    <rPh sb="3" eb="5">
      <t>ハッカン</t>
    </rPh>
    <rPh sb="6" eb="7">
      <t>ガツ</t>
    </rPh>
    <rPh sb="7" eb="9">
      <t>ジョウジュン</t>
    </rPh>
    <rPh sb="11" eb="13">
      <t>ズイジ</t>
    </rPh>
    <rPh sb="13" eb="15">
      <t>ノウヒン</t>
    </rPh>
    <phoneticPr fontId="10"/>
  </si>
  <si>
    <t>全国通販6481号色校sample返却</t>
    <rPh sb="0" eb="2">
      <t>ゼンコク</t>
    </rPh>
    <rPh sb="2" eb="4">
      <t>ツウハン</t>
    </rPh>
    <rPh sb="8" eb="9">
      <t>ゴウ</t>
    </rPh>
    <rPh sb="9" eb="11">
      <t>イロコウ</t>
    </rPh>
    <rPh sb="17" eb="19">
      <t>ヘンキャク</t>
    </rPh>
    <phoneticPr fontId="10"/>
  </si>
  <si>
    <t>ネット</t>
    <phoneticPr fontId="10"/>
  </si>
  <si>
    <t>セシール事前確認用返却</t>
    <rPh sb="4" eb="6">
      <t>ジゼン</t>
    </rPh>
    <rPh sb="6" eb="9">
      <t>カクニンヨウ</t>
    </rPh>
    <rPh sb="9" eb="11">
      <t>ヘンキャク</t>
    </rPh>
    <phoneticPr fontId="10"/>
  </si>
  <si>
    <t>セシール事前確認用返却</t>
    <rPh sb="4" eb="9">
      <t>ジゼンカクニンヨウ</t>
    </rPh>
    <rPh sb="9" eb="11">
      <t>ヘンキャク</t>
    </rPh>
    <phoneticPr fontId="10"/>
  </si>
  <si>
    <t>はぴねすくらぶsample</t>
    <phoneticPr fontId="10"/>
  </si>
  <si>
    <t>ｾｼｰﾙ撮影用sample返却</t>
    <rPh sb="4" eb="7">
      <t>サツエイヨウ</t>
    </rPh>
    <rPh sb="13" eb="15">
      <t>ヘンキャク</t>
    </rPh>
    <phoneticPr fontId="10"/>
  </si>
  <si>
    <t>ｾｼｰﾙ撮影用sample返却</t>
    <rPh sb="4" eb="6">
      <t>サツエイ</t>
    </rPh>
    <rPh sb="6" eb="7">
      <t>ヨウ</t>
    </rPh>
    <rPh sb="13" eb="15">
      <t>ヘンキャク</t>
    </rPh>
    <phoneticPr fontId="10"/>
  </si>
  <si>
    <t>ｾｼｰﾙ撮影用sample</t>
    <rPh sb="4" eb="7">
      <t>サツエイヨウ</t>
    </rPh>
    <phoneticPr fontId="10"/>
  </si>
  <si>
    <t>セシール17秋撮影用返却</t>
    <rPh sb="6" eb="7">
      <t>アキ</t>
    </rPh>
    <rPh sb="7" eb="10">
      <t>サツエイヨウ</t>
    </rPh>
    <rPh sb="10" eb="12">
      <t>ヘンキャク</t>
    </rPh>
    <phoneticPr fontId="10"/>
  </si>
  <si>
    <t>いずみ7-2（マイジール）</t>
    <phoneticPr fontId="10"/>
  </si>
  <si>
    <t>追加</t>
    <rPh sb="0" eb="2">
      <t>ツイカ</t>
    </rPh>
    <phoneticPr fontId="10"/>
  </si>
  <si>
    <t>JOD</t>
    <phoneticPr fontId="10"/>
  </si>
  <si>
    <t>JOD</t>
    <phoneticPr fontId="10"/>
  </si>
  <si>
    <t>いずみ7-2（マイジール）②</t>
    <phoneticPr fontId="10"/>
  </si>
  <si>
    <t>いずみ7-2（マイジール）②</t>
    <phoneticPr fontId="10"/>
  </si>
  <si>
    <t>追加</t>
    <rPh sb="0" eb="2">
      <t>ツイカ</t>
    </rPh>
    <phoneticPr fontId="10"/>
  </si>
  <si>
    <t>セシール</t>
    <phoneticPr fontId="10"/>
  </si>
  <si>
    <t>ネット交換</t>
    <rPh sb="3" eb="5">
      <t>コウカン</t>
    </rPh>
    <phoneticPr fontId="10"/>
  </si>
  <si>
    <t>いずみ7-2（マイジール）①</t>
    <phoneticPr fontId="10"/>
  </si>
  <si>
    <t>いずみ7-2（マイジール）①</t>
    <phoneticPr fontId="10"/>
  </si>
  <si>
    <t>JR東日本返品</t>
    <rPh sb="5" eb="7">
      <t>ヘンピン</t>
    </rPh>
    <phoneticPr fontId="10"/>
  </si>
  <si>
    <t>マイジール直送</t>
    <rPh sb="5" eb="7">
      <t>チョクソウ</t>
    </rPh>
    <phoneticPr fontId="10"/>
  </si>
  <si>
    <t>全国通販</t>
    <rPh sb="0" eb="2">
      <t>ゼンコク</t>
    </rPh>
    <rPh sb="2" eb="4">
      <t>ツウハン</t>
    </rPh>
    <phoneticPr fontId="10"/>
  </si>
  <si>
    <t>夢販</t>
    <rPh sb="0" eb="2">
      <t>ユメハン</t>
    </rPh>
    <phoneticPr fontId="10"/>
  </si>
  <si>
    <t>ネット</t>
    <phoneticPr fontId="10"/>
  </si>
  <si>
    <t>いずみ7-2（マイジール）③</t>
    <phoneticPr fontId="10"/>
  </si>
  <si>
    <t>いずみ7-2（マイジール）③</t>
    <phoneticPr fontId="10"/>
  </si>
  <si>
    <t>ネット</t>
    <phoneticPr fontId="10"/>
  </si>
  <si>
    <t>再生</t>
    <rPh sb="0" eb="2">
      <t>サイセイ</t>
    </rPh>
    <phoneticPr fontId="10"/>
  </si>
  <si>
    <t>ネット</t>
    <phoneticPr fontId="10"/>
  </si>
  <si>
    <t>ネット</t>
    <phoneticPr fontId="10"/>
  </si>
  <si>
    <t>セシール</t>
    <phoneticPr fontId="10"/>
  </si>
  <si>
    <t>夢販</t>
    <rPh sb="0" eb="2">
      <t>ユメハン</t>
    </rPh>
    <phoneticPr fontId="10"/>
  </si>
  <si>
    <t>7/31伝票12月末</t>
    <rPh sb="4" eb="6">
      <t>デンピョウ</t>
    </rPh>
    <rPh sb="8" eb="9">
      <t>ガツ</t>
    </rPh>
    <rPh sb="9" eb="10">
      <t>マツ</t>
    </rPh>
    <phoneticPr fontId="10"/>
  </si>
  <si>
    <t>7/31伝票12/末</t>
    <rPh sb="4" eb="6">
      <t>デンピョウ</t>
    </rPh>
    <rPh sb="9" eb="10">
      <t>マツ</t>
    </rPh>
    <phoneticPr fontId="10"/>
  </si>
  <si>
    <t>ネット</t>
    <phoneticPr fontId="10"/>
  </si>
  <si>
    <t>ネット</t>
    <phoneticPr fontId="10"/>
  </si>
  <si>
    <t>セシール返品</t>
    <rPh sb="4" eb="6">
      <t>ヘンピン</t>
    </rPh>
    <phoneticPr fontId="10"/>
  </si>
  <si>
    <t>かりん</t>
    <phoneticPr fontId="10"/>
  </si>
  <si>
    <t>全国通販</t>
    <rPh sb="0" eb="2">
      <t>ゼンコク</t>
    </rPh>
    <rPh sb="2" eb="4">
      <t>ツウハン</t>
    </rPh>
    <phoneticPr fontId="10"/>
  </si>
  <si>
    <t>ネット</t>
    <phoneticPr fontId="10"/>
  </si>
  <si>
    <t>夢販</t>
    <rPh sb="0" eb="2">
      <t>ユメハン</t>
    </rPh>
    <phoneticPr fontId="10"/>
  </si>
  <si>
    <t>千趣会返品</t>
    <rPh sb="0" eb="3">
      <t>センシュカイ</t>
    </rPh>
    <rPh sb="3" eb="5">
      <t>ヘンピン</t>
    </rPh>
    <phoneticPr fontId="10"/>
  </si>
  <si>
    <t>JOD返品</t>
    <rPh sb="3" eb="5">
      <t>ヘンピン</t>
    </rPh>
    <phoneticPr fontId="10"/>
  </si>
  <si>
    <t>全国通販</t>
    <rPh sb="0" eb="2">
      <t>ゼンコク</t>
    </rPh>
    <rPh sb="2" eb="4">
      <t>ツウハン</t>
    </rPh>
    <phoneticPr fontId="10"/>
  </si>
  <si>
    <t>ネット</t>
    <phoneticPr fontId="10"/>
  </si>
  <si>
    <t>ネット</t>
    <phoneticPr fontId="10"/>
  </si>
  <si>
    <t>いずみ7-2（マイジール）④</t>
    <phoneticPr fontId="10"/>
  </si>
  <si>
    <t>セシール返品</t>
    <rPh sb="4" eb="6">
      <t>ヘンピン</t>
    </rPh>
    <phoneticPr fontId="10"/>
  </si>
  <si>
    <t>セシール返品</t>
    <rPh sb="4" eb="6">
      <t>ヘンピン</t>
    </rPh>
    <phoneticPr fontId="10"/>
  </si>
  <si>
    <t>夢販</t>
    <rPh sb="0" eb="2">
      <t>ユメハン</t>
    </rPh>
    <phoneticPr fontId="10"/>
  </si>
  <si>
    <t>セシール返品</t>
    <rPh sb="4" eb="6">
      <t>ヘンピン</t>
    </rPh>
    <phoneticPr fontId="10"/>
  </si>
  <si>
    <t>全国通販</t>
    <rPh sb="0" eb="2">
      <t>ゼンコク</t>
    </rPh>
    <rPh sb="2" eb="4">
      <t>ツウハン</t>
    </rPh>
    <phoneticPr fontId="10"/>
  </si>
  <si>
    <t>かりん</t>
    <phoneticPr fontId="10"/>
  </si>
  <si>
    <t>かりん</t>
    <phoneticPr fontId="10"/>
  </si>
  <si>
    <t>ロイヤルＳ</t>
    <phoneticPr fontId="10"/>
  </si>
  <si>
    <t>JOD</t>
    <phoneticPr fontId="10"/>
  </si>
  <si>
    <t>セシール</t>
    <phoneticPr fontId="10"/>
  </si>
  <si>
    <t>セシール</t>
    <phoneticPr fontId="10"/>
  </si>
  <si>
    <t>残数</t>
    <rPh sb="0" eb="1">
      <t>ザン</t>
    </rPh>
    <rPh sb="1" eb="2">
      <t>スウ</t>
    </rPh>
    <phoneticPr fontId="2"/>
  </si>
  <si>
    <t>夢販</t>
    <rPh sb="0" eb="2">
      <t>ユメハン</t>
    </rPh>
    <phoneticPr fontId="10"/>
  </si>
  <si>
    <t>夢販</t>
    <rPh sb="0" eb="2">
      <t>ユメハン</t>
    </rPh>
    <phoneticPr fontId="10"/>
  </si>
  <si>
    <t>千趣会</t>
    <rPh sb="0" eb="3">
      <t>センシュカイ</t>
    </rPh>
    <phoneticPr fontId="10"/>
  </si>
  <si>
    <t>ネット</t>
    <phoneticPr fontId="10"/>
  </si>
  <si>
    <t>ネット</t>
    <phoneticPr fontId="10"/>
  </si>
  <si>
    <t>セシール</t>
    <phoneticPr fontId="10"/>
  </si>
  <si>
    <t>全国通販</t>
    <rPh sb="0" eb="2">
      <t>ゼンコク</t>
    </rPh>
    <rPh sb="2" eb="4">
      <t>ツウハン</t>
    </rPh>
    <phoneticPr fontId="10"/>
  </si>
  <si>
    <t>電話注文</t>
    <rPh sb="0" eb="2">
      <t>デンワ</t>
    </rPh>
    <rPh sb="2" eb="4">
      <t>チュウモン</t>
    </rPh>
    <phoneticPr fontId="10"/>
  </si>
  <si>
    <t>ネット</t>
    <phoneticPr fontId="10"/>
  </si>
  <si>
    <t>追加</t>
    <rPh sb="0" eb="2">
      <t>ツイカ</t>
    </rPh>
    <phoneticPr fontId="10"/>
  </si>
  <si>
    <t>10L/10</t>
    <phoneticPr fontId="10"/>
  </si>
  <si>
    <t>5L/90</t>
    <phoneticPr fontId="10"/>
  </si>
  <si>
    <t>6L/50</t>
    <phoneticPr fontId="10"/>
  </si>
  <si>
    <t>8L/40</t>
    <phoneticPr fontId="10"/>
  </si>
  <si>
    <t>5L/30</t>
    <phoneticPr fontId="10"/>
  </si>
  <si>
    <t>6L/35</t>
    <phoneticPr fontId="10"/>
  </si>
  <si>
    <t>8L/10</t>
    <phoneticPr fontId="10"/>
  </si>
  <si>
    <t>追加</t>
    <rPh sb="0" eb="2">
      <t>ツイカ</t>
    </rPh>
    <phoneticPr fontId="10"/>
  </si>
  <si>
    <t>JOD色校正用サンプル</t>
    <rPh sb="3" eb="7">
      <t>イロコウセイヨウ</t>
    </rPh>
    <phoneticPr fontId="10"/>
  </si>
  <si>
    <t>ネット</t>
    <phoneticPr fontId="10"/>
  </si>
  <si>
    <t>ネット</t>
    <phoneticPr fontId="10"/>
  </si>
  <si>
    <t>セシール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</si>
  <si>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</si>
  <si>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</si>
  <si>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</si>
  <si>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</si>
  <si>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セシール返品</t>
    <rPh sb="4" eb="6">
      <t>ヘンピン</t>
    </rPh>
    <phoneticPr fontId="10"/>
  </si>
  <si>
    <t>千趣会</t>
    <rPh sb="0" eb="3">
      <t>センシュカイ</t>
    </rPh>
    <phoneticPr fontId="10"/>
  </si>
  <si>
    <t>JOD</t>
    <phoneticPr fontId="10"/>
  </si>
  <si>
    <t>JOD</t>
    <phoneticPr fontId="10"/>
  </si>
  <si>
    <t>JOD色校正用サンプル返却</t>
    <rPh sb="3" eb="7">
      <t>イロコウセイヨウ</t>
    </rPh>
    <rPh sb="11" eb="13">
      <t>ヘンキャク</t>
    </rPh>
    <phoneticPr fontId="10"/>
  </si>
  <si>
    <t>夢販</t>
    <rPh sb="0" eb="2">
      <t>ユメハン</t>
    </rPh>
    <phoneticPr fontId="10"/>
  </si>
  <si>
    <t>JOD</t>
    <phoneticPr fontId="10"/>
  </si>
  <si>
    <t>千趣会返品</t>
    <rPh sb="0" eb="3">
      <t>センシュカイ</t>
    </rPh>
    <rPh sb="3" eb="5">
      <t>ヘンピン</t>
    </rPh>
    <phoneticPr fontId="10"/>
  </si>
  <si>
    <t>ニッセン2/20納品</t>
    <rPh sb="8" eb="10">
      <t>ノウヒン</t>
    </rPh>
    <phoneticPr fontId="10"/>
  </si>
  <si>
    <t>ニッセン２/２０納品</t>
    <rPh sb="8" eb="10">
      <t>ノウヒン</t>
    </rPh>
    <phoneticPr fontId="10"/>
  </si>
  <si>
    <t>追加</t>
    <rPh sb="0" eb="2">
      <t>ツイカ</t>
    </rPh>
    <phoneticPr fontId="10"/>
  </si>
  <si>
    <t>JOD</t>
    <phoneticPr fontId="10"/>
  </si>
  <si>
    <t>JOD</t>
    <phoneticPr fontId="10"/>
  </si>
  <si>
    <t>JOD</t>
    <phoneticPr fontId="10"/>
  </si>
  <si>
    <t>追加</t>
    <rPh sb="0" eb="2">
      <t>ツイカ</t>
    </rPh>
    <phoneticPr fontId="10"/>
  </si>
  <si>
    <t>ネット</t>
    <phoneticPr fontId="10"/>
  </si>
  <si>
    <t>丸藤（九州）sample</t>
    <rPh sb="0" eb="2">
      <t>マルフジ</t>
    </rPh>
    <rPh sb="3" eb="5">
      <t>キュウシュウ</t>
    </rPh>
    <phoneticPr fontId="10"/>
  </si>
  <si>
    <t>夢販</t>
    <rPh sb="0" eb="2">
      <t>ユメハン</t>
    </rPh>
    <phoneticPr fontId="10"/>
  </si>
  <si>
    <t>ネット</t>
    <phoneticPr fontId="10"/>
  </si>
  <si>
    <t>セシール</t>
    <phoneticPr fontId="10"/>
  </si>
  <si>
    <t>JOD</t>
    <phoneticPr fontId="10"/>
  </si>
  <si>
    <t>セシール</t>
    <phoneticPr fontId="10"/>
  </si>
  <si>
    <t>セシール</t>
    <phoneticPr fontId="10"/>
  </si>
  <si>
    <t>ネット</t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</si>
  <si>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</si>
  <si>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</si>
  <si>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千趣会</t>
    <rPh sb="0" eb="3">
      <t>センシュカイ</t>
    </rPh>
    <phoneticPr fontId="10"/>
  </si>
  <si>
    <t>セシール</t>
    <phoneticPr fontId="10"/>
  </si>
  <si>
    <t>ネット</t>
    <phoneticPr fontId="10"/>
  </si>
  <si>
    <t>L</t>
    <phoneticPr fontId="10"/>
  </si>
  <si>
    <t>ネット</t>
    <phoneticPr fontId="10"/>
  </si>
  <si>
    <t>セシール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</si>
  <si>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</si>
  <si>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</si>
  <si>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はぴねすくらぶ２月号</t>
    <rPh sb="8" eb="9">
      <t>ガツ</t>
    </rPh>
    <rPh sb="9" eb="10">
      <t>ゴウ</t>
    </rPh>
    <phoneticPr fontId="10"/>
  </si>
  <si>
    <t>はぴねすくらぶ２月号</t>
    <rPh sb="8" eb="10">
      <t>ガツゴウ</t>
    </rPh>
    <phoneticPr fontId="10"/>
  </si>
  <si>
    <t>ネット</t>
    <phoneticPr fontId="10"/>
  </si>
  <si>
    <t>セシール</t>
    <phoneticPr fontId="10"/>
  </si>
  <si>
    <t>追加</t>
    <rPh sb="0" eb="2">
      <t>ツイカ</t>
    </rPh>
    <phoneticPr fontId="10"/>
  </si>
  <si>
    <t>グリーンコープ52号</t>
    <rPh sb="9" eb="10">
      <t>ゴウ</t>
    </rPh>
    <phoneticPr fontId="10"/>
  </si>
  <si>
    <t>ネット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</si>
  <si>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</si>
  <si>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</si>
  <si>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ネット</t>
    <phoneticPr fontId="10"/>
  </si>
  <si>
    <t>ネット</t>
    <phoneticPr fontId="10"/>
  </si>
  <si>
    <t>セシール</t>
    <phoneticPr fontId="10"/>
  </si>
  <si>
    <t>夢販</t>
    <rPh sb="0" eb="2">
      <t>ユメハン</t>
    </rPh>
    <phoneticPr fontId="10"/>
  </si>
  <si>
    <t>ロイヤルS</t>
    <phoneticPr fontId="10"/>
  </si>
  <si>
    <t>ロイヤルS</t>
    <phoneticPr fontId="10"/>
  </si>
  <si>
    <t>JOD返品</t>
    <rPh sb="3" eb="5">
      <t>ヘンピン</t>
    </rPh>
    <phoneticPr fontId="10"/>
  </si>
  <si>
    <t>ネット</t>
    <phoneticPr fontId="10"/>
  </si>
  <si>
    <t>追加</t>
    <rPh sb="0" eb="2">
      <t>ツイカ</t>
    </rPh>
    <phoneticPr fontId="10"/>
  </si>
  <si>
    <t>追加</t>
    <rPh sb="0" eb="2">
      <t>ツイカ</t>
    </rPh>
    <phoneticPr fontId="10"/>
  </si>
  <si>
    <t>JOD返品</t>
    <rPh sb="3" eb="5">
      <t>ヘンピン</t>
    </rPh>
    <phoneticPr fontId="10"/>
  </si>
  <si>
    <t>ネット</t>
    <phoneticPr fontId="10"/>
  </si>
  <si>
    <t>ネット</t>
    <phoneticPr fontId="10"/>
  </si>
  <si>
    <t>追加</t>
    <rPh sb="0" eb="2">
      <t>ツイカ</t>
    </rPh>
    <phoneticPr fontId="10"/>
  </si>
  <si>
    <t>上杉</t>
    <rPh sb="0" eb="2">
      <t>ウエスギ</t>
    </rPh>
    <phoneticPr fontId="2"/>
  </si>
  <si>
    <t>上杉</t>
    <rPh sb="0" eb="2">
      <t>ウエスギ</t>
    </rPh>
    <phoneticPr fontId="10"/>
  </si>
  <si>
    <t>セシール</t>
    <phoneticPr fontId="10"/>
  </si>
  <si>
    <t>夢販</t>
    <rPh sb="0" eb="2">
      <t>ユメハン</t>
    </rPh>
    <phoneticPr fontId="10"/>
  </si>
  <si>
    <t>千趣会３月Web提案sample</t>
    <rPh sb="0" eb="3">
      <t>センシュカイ</t>
    </rPh>
    <rPh sb="4" eb="5">
      <t>ガツ</t>
    </rPh>
    <rPh sb="8" eb="10">
      <t>テイアン</t>
    </rPh>
    <phoneticPr fontId="10"/>
  </si>
  <si>
    <t>ネット返品</t>
    <rPh sb="3" eb="5">
      <t>ヘンピン</t>
    </rPh>
    <phoneticPr fontId="2"/>
  </si>
  <si>
    <t>ネット</t>
    <phoneticPr fontId="10"/>
  </si>
  <si>
    <t>追加</t>
    <rPh sb="0" eb="2">
      <t>ツイカ</t>
    </rPh>
    <phoneticPr fontId="10"/>
  </si>
  <si>
    <t>千趣会</t>
    <phoneticPr fontId="10"/>
  </si>
  <si>
    <t>セシール</t>
    <phoneticPr fontId="10"/>
  </si>
  <si>
    <t>追加</t>
    <rPh sb="0" eb="2">
      <t>ツイカ</t>
    </rPh>
    <phoneticPr fontId="10"/>
  </si>
  <si>
    <t>ネット</t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</si>
  <si>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</si>
  <si>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</si>
  <si>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</si>
  <si>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セシール</t>
    <phoneticPr fontId="10"/>
  </si>
  <si>
    <t>セシール</t>
    <phoneticPr fontId="10"/>
  </si>
  <si>
    <t>セシール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</si>
  <si>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</si>
  <si>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</si>
  <si>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千趣会</t>
    <rPh sb="0" eb="3">
      <t>センシュカイ</t>
    </rPh>
    <phoneticPr fontId="10"/>
  </si>
  <si>
    <t>千趣会</t>
    <rPh sb="0" eb="3">
      <t>センシュカイ</t>
    </rPh>
    <phoneticPr fontId="10"/>
  </si>
  <si>
    <t>セシール返品</t>
  </si>
  <si>
    <t>追加</t>
    <rPh sb="0" eb="2">
      <t>ツイカ</t>
    </rPh>
    <phoneticPr fontId="10"/>
  </si>
  <si>
    <t>全国通販</t>
    <rPh sb="0" eb="2">
      <t>ゼンコク</t>
    </rPh>
    <rPh sb="2" eb="4">
      <t>ツウハン</t>
    </rPh>
    <phoneticPr fontId="10"/>
  </si>
  <si>
    <t>JOD返品</t>
    <rPh sb="3" eb="5">
      <t>ヘンピン</t>
    </rPh>
    <phoneticPr fontId="10"/>
  </si>
  <si>
    <t>夢販</t>
    <rPh sb="0" eb="2">
      <t>ユメハン</t>
    </rPh>
    <phoneticPr fontId="10"/>
  </si>
  <si>
    <t>全国通販（小椋さん）sample</t>
    <rPh sb="0" eb="4">
      <t>ゼンコクツウハン</t>
    </rPh>
    <rPh sb="5" eb="7">
      <t>オグラ</t>
    </rPh>
    <phoneticPr fontId="10"/>
  </si>
  <si>
    <t>はぴねすくらぶ２月号②</t>
    <rPh sb="8" eb="9">
      <t>ガツ</t>
    </rPh>
    <rPh sb="9" eb="10">
      <t>ゴウ</t>
    </rPh>
    <phoneticPr fontId="10"/>
  </si>
  <si>
    <t>はぴねすくらぶ２月号②</t>
    <rPh sb="8" eb="10">
      <t>ガツゴウ</t>
    </rPh>
    <phoneticPr fontId="10"/>
  </si>
  <si>
    <t>夢販</t>
    <rPh sb="0" eb="2">
      <t>ユメハン</t>
    </rPh>
    <phoneticPr fontId="10"/>
  </si>
  <si>
    <t>ネット</t>
    <phoneticPr fontId="10"/>
  </si>
  <si>
    <t>はぴねすくらぶ２月号③</t>
    <rPh sb="8" eb="9">
      <t>ガツ</t>
    </rPh>
    <rPh sb="9" eb="10">
      <t>ゴウ</t>
    </rPh>
    <phoneticPr fontId="10"/>
  </si>
  <si>
    <t>はぴねすくらぶ２月号③</t>
    <rPh sb="8" eb="10">
      <t>ガツゴウ</t>
    </rPh>
    <phoneticPr fontId="10"/>
  </si>
  <si>
    <t>はぴねすくらぶ２月号④</t>
    <rPh sb="8" eb="9">
      <t>ガツ</t>
    </rPh>
    <rPh sb="9" eb="10">
      <t>ゴウ</t>
    </rPh>
    <phoneticPr fontId="10"/>
  </si>
  <si>
    <t>はぴねすくらぶ２月号④</t>
    <rPh sb="8" eb="10">
      <t>ガツゴウ</t>
    </rPh>
    <phoneticPr fontId="10"/>
  </si>
  <si>
    <t>ネット交換</t>
    <rPh sb="3" eb="5">
      <t>コウカン</t>
    </rPh>
    <phoneticPr fontId="10"/>
  </si>
  <si>
    <t>はぴねすくらぶ２月号⑤</t>
    <rPh sb="8" eb="9">
      <t>ガツ</t>
    </rPh>
    <rPh sb="9" eb="10">
      <t>ゴウ</t>
    </rPh>
    <phoneticPr fontId="10"/>
  </si>
  <si>
    <t>はぴねすくらぶ２月号⑤</t>
    <rPh sb="8" eb="10">
      <t>ガツゴウ</t>
    </rPh>
    <phoneticPr fontId="10"/>
  </si>
  <si>
    <t>グリーンコープ52号②</t>
    <rPh sb="9" eb="10">
      <t>ゴウ</t>
    </rPh>
    <phoneticPr fontId="10"/>
  </si>
  <si>
    <t>追加</t>
    <rPh sb="0" eb="2">
      <t>ツイカ</t>
    </rPh>
    <phoneticPr fontId="10"/>
  </si>
  <si>
    <t>グリーンコープ52号③</t>
    <rPh sb="9" eb="10">
      <t>ゴウ</t>
    </rPh>
    <phoneticPr fontId="10"/>
  </si>
  <si>
    <t>はぴねすくらぶ２月号⑥</t>
    <rPh sb="8" eb="9">
      <t>ガツ</t>
    </rPh>
    <rPh sb="9" eb="10">
      <t>ゴウ</t>
    </rPh>
    <phoneticPr fontId="10"/>
  </si>
  <si>
    <t>はぴねすくらぶ２月号⑥</t>
    <rPh sb="8" eb="10">
      <t>ガツゴウ</t>
    </rPh>
    <phoneticPr fontId="10"/>
  </si>
  <si>
    <t>かりん</t>
    <phoneticPr fontId="10"/>
  </si>
  <si>
    <t>千趣会</t>
    <rPh sb="0" eb="3">
      <t>センシュカイ</t>
    </rPh>
    <phoneticPr fontId="10"/>
  </si>
  <si>
    <t>追加</t>
    <rPh sb="0" eb="2">
      <t>ツイカ</t>
    </rPh>
    <phoneticPr fontId="10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</si>
  <si>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</si>
  <si>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</si>
  <si>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</si>
  <si>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はぴねすくらぶ２月号⑦</t>
    <rPh sb="8" eb="9">
      <t>ガツ</t>
    </rPh>
    <rPh sb="9" eb="10">
      <t>ゴウ</t>
    </rPh>
    <phoneticPr fontId="10"/>
  </si>
  <si>
    <t>追加</t>
    <rPh sb="0" eb="2">
      <t>ツイカ</t>
    </rPh>
    <phoneticPr fontId="10"/>
  </si>
  <si>
    <t>はぴねすくらぶ２月号⑦</t>
    <rPh sb="8" eb="10">
      <t>ガツゴウ</t>
    </rPh>
    <phoneticPr fontId="10"/>
  </si>
  <si>
    <t>夢販</t>
    <rPh sb="0" eb="2">
      <t>ユメハン</t>
    </rPh>
    <phoneticPr fontId="10"/>
  </si>
  <si>
    <t>セシール</t>
    <phoneticPr fontId="10"/>
  </si>
  <si>
    <t>夢販</t>
    <rPh sb="0" eb="2">
      <t>ユメハン</t>
    </rPh>
    <phoneticPr fontId="10"/>
  </si>
  <si>
    <t>はぴねすくらぶ２月号⑧</t>
    <rPh sb="8" eb="9">
      <t>ガツ</t>
    </rPh>
    <rPh sb="9" eb="10">
      <t>ゴウ</t>
    </rPh>
    <phoneticPr fontId="10"/>
  </si>
  <si>
    <t>はぴねすくらぶ２月号⑧</t>
    <rPh sb="8" eb="10">
      <t>ガツゴウ</t>
    </rPh>
    <phoneticPr fontId="10"/>
  </si>
  <si>
    <t>セシール</t>
    <phoneticPr fontId="10"/>
  </si>
  <si>
    <t>セシール</t>
    <phoneticPr fontId="10"/>
  </si>
  <si>
    <t>セシール返品</t>
    <rPh sb="4" eb="6">
      <t>ヘンピン</t>
    </rPh>
    <phoneticPr fontId="10"/>
  </si>
  <si>
    <t>はぴねすくらぶ２月号⑨</t>
    <rPh sb="8" eb="9">
      <t>ガツ</t>
    </rPh>
    <rPh sb="9" eb="10">
      <t>ゴウ</t>
    </rPh>
    <phoneticPr fontId="10"/>
  </si>
  <si>
    <t>はぴねすくらぶ２月号⑨</t>
    <rPh sb="8" eb="10">
      <t>ガツゴウ</t>
    </rPh>
    <phoneticPr fontId="10"/>
  </si>
  <si>
    <t>はぴねすくらぶ２月号⑩</t>
    <rPh sb="8" eb="10">
      <t>ガツゴウ</t>
    </rPh>
    <phoneticPr fontId="10"/>
  </si>
  <si>
    <t>セシール</t>
    <phoneticPr fontId="10"/>
  </si>
  <si>
    <t>ニッセン7/10納品分</t>
    <rPh sb="8" eb="10">
      <t>ノウヒン</t>
    </rPh>
    <rPh sb="10" eb="11">
      <t>ブン</t>
    </rPh>
    <phoneticPr fontId="10"/>
  </si>
  <si>
    <t>5L/51</t>
    <phoneticPr fontId="10"/>
  </si>
  <si>
    <t>6L/61</t>
    <phoneticPr fontId="10"/>
  </si>
  <si>
    <t>8L/42</t>
    <phoneticPr fontId="10"/>
  </si>
  <si>
    <t>10L/12</t>
    <phoneticPr fontId="10"/>
  </si>
  <si>
    <t>5L/43</t>
    <phoneticPr fontId="10"/>
  </si>
  <si>
    <t>6L/105</t>
    <phoneticPr fontId="10"/>
  </si>
  <si>
    <t>8L/49</t>
    <phoneticPr fontId="10"/>
  </si>
  <si>
    <t>10L/43</t>
    <phoneticPr fontId="10"/>
  </si>
  <si>
    <t>丸藤返品</t>
    <rPh sb="0" eb="2">
      <t>マルフジ</t>
    </rPh>
    <rPh sb="2" eb="4">
      <t>ヘンピン</t>
    </rPh>
    <phoneticPr fontId="2"/>
  </si>
  <si>
    <t>ネット</t>
    <phoneticPr fontId="10"/>
  </si>
  <si>
    <t>はぴねすくらぶ２月号⑪</t>
    <rPh sb="8" eb="10">
      <t>ガツゴウ</t>
    </rPh>
    <phoneticPr fontId="10"/>
  </si>
  <si>
    <t>ロイヤルステージ特別号</t>
    <rPh sb="8" eb="10">
      <t>トクベツ</t>
    </rPh>
    <rPh sb="10" eb="11">
      <t>ゴウ</t>
    </rPh>
    <phoneticPr fontId="10"/>
  </si>
  <si>
    <t>ネット</t>
    <phoneticPr fontId="10"/>
  </si>
  <si>
    <t>ネット</t>
    <phoneticPr fontId="10"/>
  </si>
  <si>
    <t>電話注文</t>
    <rPh sb="0" eb="2">
      <t>デンワ</t>
    </rPh>
    <rPh sb="2" eb="4">
      <t>チュウモン</t>
    </rPh>
    <phoneticPr fontId="10"/>
  </si>
  <si>
    <t>ネット</t>
    <phoneticPr fontId="10"/>
  </si>
  <si>
    <t>はぴねすくらぶ２月号⑫</t>
    <rPh sb="8" eb="10">
      <t>ガツゴウ</t>
    </rPh>
    <phoneticPr fontId="10"/>
  </si>
  <si>
    <t>JOD返品</t>
    <rPh sb="3" eb="5">
      <t>ヘンピン</t>
    </rPh>
    <phoneticPr fontId="10"/>
  </si>
  <si>
    <t>夢販</t>
    <rPh sb="0" eb="2">
      <t>ユメハン</t>
    </rPh>
    <phoneticPr fontId="10"/>
  </si>
  <si>
    <t>ネット返品</t>
    <rPh sb="3" eb="5">
      <t>ヘンピン</t>
    </rPh>
    <phoneticPr fontId="10"/>
  </si>
  <si>
    <t>ネット</t>
    <phoneticPr fontId="10"/>
  </si>
  <si>
    <t>はぴねすくらぶ２月号⑩</t>
    <rPh sb="8" eb="9">
      <t>ガツ</t>
    </rPh>
    <rPh sb="9" eb="10">
      <t>ゴウ</t>
    </rPh>
    <phoneticPr fontId="10"/>
  </si>
  <si>
    <t>はぴねすくらぶ２月号⑬</t>
    <rPh sb="8" eb="10">
      <t>ガツゴウ</t>
    </rPh>
    <phoneticPr fontId="10"/>
  </si>
  <si>
    <t>はぴねすくらぶ２月号⑭</t>
    <rPh sb="8" eb="10">
      <t>ガツゴウ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</si>
  <si>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</si>
  <si>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</si>
  <si>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ネット</t>
    <phoneticPr fontId="10"/>
  </si>
  <si>
    <t>ネット</t>
    <phoneticPr fontId="10"/>
  </si>
  <si>
    <t>夢販持ち帰り</t>
    <rPh sb="0" eb="2">
      <t>ユメハン</t>
    </rPh>
    <rPh sb="2" eb="3">
      <t>モ</t>
    </rPh>
    <rPh sb="4" eb="5">
      <t>カエ</t>
    </rPh>
    <phoneticPr fontId="10"/>
  </si>
  <si>
    <t>ネット</t>
    <phoneticPr fontId="10"/>
  </si>
  <si>
    <t>セシール返品</t>
    <phoneticPr fontId="2"/>
  </si>
  <si>
    <t>夢販</t>
    <rPh sb="0" eb="2">
      <t>ユメハン</t>
    </rPh>
    <phoneticPr fontId="10"/>
  </si>
  <si>
    <t>トラスト＆カンパニー</t>
    <phoneticPr fontId="10"/>
  </si>
  <si>
    <t>キレイラインVIP</t>
    <phoneticPr fontId="10"/>
  </si>
  <si>
    <t>キレイラインＶＩＰ</t>
    <phoneticPr fontId="10"/>
  </si>
  <si>
    <t>セシール</t>
    <phoneticPr fontId="10"/>
  </si>
  <si>
    <t>ネット</t>
  </si>
  <si>
    <t>追加</t>
    <rPh sb="0" eb="2">
      <t>ツイカ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</si>
  <si>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</si>
  <si>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</si>
  <si>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</si>
  <si>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</si>
  <si>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千趣会</t>
    <phoneticPr fontId="10"/>
  </si>
  <si>
    <t>千趣会</t>
    <rPh sb="0" eb="3">
      <t>センシュカイ</t>
    </rPh>
    <phoneticPr fontId="10"/>
  </si>
  <si>
    <t>JOD交換分</t>
    <rPh sb="3" eb="5">
      <t>コウカン</t>
    </rPh>
    <rPh sb="5" eb="6">
      <t>ブン</t>
    </rPh>
    <phoneticPr fontId="10"/>
  </si>
  <si>
    <t>JOD</t>
    <phoneticPr fontId="10"/>
  </si>
  <si>
    <t>ネット</t>
    <phoneticPr fontId="10"/>
  </si>
  <si>
    <t>かりん</t>
    <phoneticPr fontId="10"/>
  </si>
  <si>
    <t>JOD返品</t>
    <rPh sb="3" eb="5">
      <t>ヘンピン</t>
    </rPh>
    <phoneticPr fontId="10"/>
  </si>
  <si>
    <t>追加</t>
    <rPh sb="0" eb="2">
      <t>ツイカ</t>
    </rPh>
    <phoneticPr fontId="10"/>
  </si>
  <si>
    <t>ネット</t>
    <phoneticPr fontId="10"/>
  </si>
  <si>
    <t>ネット</t>
    <phoneticPr fontId="10"/>
  </si>
  <si>
    <t>ロイヤルステージ</t>
    <phoneticPr fontId="10"/>
  </si>
  <si>
    <t>ロイヤルステージ</t>
    <phoneticPr fontId="10"/>
  </si>
  <si>
    <t>セシール</t>
    <phoneticPr fontId="10"/>
  </si>
  <si>
    <t>ネット</t>
    <phoneticPr fontId="10"/>
  </si>
  <si>
    <t>追加</t>
    <rPh sb="0" eb="2">
      <t>ツイカ</t>
    </rPh>
    <phoneticPr fontId="10"/>
  </si>
  <si>
    <t>キレイラインサンプル</t>
    <phoneticPr fontId="10"/>
  </si>
  <si>
    <t>キレイラインサンプル</t>
    <phoneticPr fontId="10"/>
  </si>
  <si>
    <t>キレイラインサンプル</t>
    <phoneticPr fontId="10"/>
  </si>
  <si>
    <t>キレイラインサンプル</t>
    <phoneticPr fontId="10"/>
  </si>
  <si>
    <t>ロイヤルステージ</t>
    <phoneticPr fontId="10"/>
  </si>
  <si>
    <t>キレイラインVIP</t>
    <phoneticPr fontId="10"/>
  </si>
  <si>
    <t>夢販</t>
    <rPh sb="0" eb="2">
      <t>ユメハン</t>
    </rPh>
    <phoneticPr fontId="10"/>
  </si>
  <si>
    <t>JOD</t>
    <phoneticPr fontId="10"/>
  </si>
  <si>
    <t>ネット</t>
    <phoneticPr fontId="10"/>
  </si>
  <si>
    <t>持ち帰り</t>
    <rPh sb="0" eb="1">
      <t>モ</t>
    </rPh>
    <rPh sb="2" eb="3">
      <t>カエ</t>
    </rPh>
    <phoneticPr fontId="10"/>
  </si>
  <si>
    <t>夢販</t>
    <rPh sb="0" eb="2">
      <t>ユメハン</t>
    </rPh>
    <phoneticPr fontId="10"/>
  </si>
  <si>
    <t>全国通販</t>
    <rPh sb="0" eb="2">
      <t>ゼンコク</t>
    </rPh>
    <rPh sb="2" eb="4">
      <t>ツウハン</t>
    </rPh>
    <phoneticPr fontId="10"/>
  </si>
  <si>
    <t>全国通販</t>
    <rPh sb="0" eb="4">
      <t>ゼンコクツウハン</t>
    </rPh>
    <phoneticPr fontId="10"/>
  </si>
  <si>
    <t>セシール</t>
    <phoneticPr fontId="10"/>
  </si>
  <si>
    <t>ロイヤルステージ</t>
    <phoneticPr fontId="10"/>
  </si>
  <si>
    <t>ロイヤルステージ</t>
    <phoneticPr fontId="10"/>
  </si>
  <si>
    <t>持ち帰り</t>
    <rPh sb="0" eb="1">
      <t>モ</t>
    </rPh>
    <rPh sb="2" eb="3">
      <t>カエ</t>
    </rPh>
    <phoneticPr fontId="10"/>
  </si>
  <si>
    <t>ネット</t>
    <phoneticPr fontId="10"/>
  </si>
  <si>
    <t>かりん</t>
    <phoneticPr fontId="10"/>
  </si>
  <si>
    <t>夢販</t>
    <rPh sb="0" eb="2">
      <t>ユメハン</t>
    </rPh>
    <phoneticPr fontId="10"/>
  </si>
  <si>
    <t>ネット</t>
    <phoneticPr fontId="10"/>
  </si>
  <si>
    <t>かりん</t>
    <phoneticPr fontId="10"/>
  </si>
  <si>
    <t>かりん</t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</si>
  <si>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</si>
  <si>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</si>
  <si>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キレイラインVIP</t>
    <phoneticPr fontId="10"/>
  </si>
  <si>
    <t>ネット</t>
    <phoneticPr fontId="10"/>
  </si>
  <si>
    <t>JOD</t>
    <phoneticPr fontId="10"/>
  </si>
  <si>
    <t>JOD</t>
    <phoneticPr fontId="10"/>
  </si>
  <si>
    <t>丸藤(九州sample)</t>
    <rPh sb="0" eb="2">
      <t>マルフジ</t>
    </rPh>
    <rPh sb="3" eb="5">
      <t>キュウシュウ</t>
    </rPh>
    <phoneticPr fontId="10"/>
  </si>
  <si>
    <t>丸藤（九州sample）</t>
    <rPh sb="0" eb="2">
      <t>マルフジ</t>
    </rPh>
    <rPh sb="3" eb="5">
      <t>キュウシュウ</t>
    </rPh>
    <phoneticPr fontId="10"/>
  </si>
  <si>
    <t>追加</t>
    <rPh sb="0" eb="2">
      <t>ツイカ</t>
    </rPh>
    <phoneticPr fontId="10"/>
  </si>
  <si>
    <t>ネット</t>
    <phoneticPr fontId="10"/>
  </si>
  <si>
    <t>持ち帰り</t>
    <rPh sb="0" eb="1">
      <t>モ</t>
    </rPh>
    <rPh sb="2" eb="3">
      <t>カエ</t>
    </rPh>
    <phoneticPr fontId="10"/>
  </si>
  <si>
    <t>持ち帰り</t>
    <rPh sb="0" eb="1">
      <t>モ</t>
    </rPh>
    <rPh sb="2" eb="3">
      <t>カエ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</si>
  <si>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</si>
  <si>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</si>
  <si>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セシール</t>
    <phoneticPr fontId="10"/>
  </si>
  <si>
    <t>追加</t>
    <rPh sb="0" eb="2">
      <t>ツイカ</t>
    </rPh>
    <phoneticPr fontId="10"/>
  </si>
  <si>
    <t>全国通販　別冊6697</t>
    <rPh sb="0" eb="4">
      <t>ゼンコクツウハン</t>
    </rPh>
    <rPh sb="5" eb="7">
      <t>ベッサツ</t>
    </rPh>
    <phoneticPr fontId="10"/>
  </si>
  <si>
    <t>10/12～12/31</t>
    <phoneticPr fontId="10"/>
  </si>
  <si>
    <t>千趣会</t>
    <rPh sb="0" eb="3">
      <t>センシュカイ</t>
    </rPh>
    <phoneticPr fontId="10"/>
  </si>
  <si>
    <t>千趣会</t>
    <rPh sb="0" eb="3">
      <t>センシュカイ</t>
    </rPh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</si>
  <si>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</si>
  <si>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</si>
  <si>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</si>
  <si>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ネット</t>
    <phoneticPr fontId="10"/>
  </si>
  <si>
    <t>千趣会</t>
    <rPh sb="0" eb="3">
      <t>センシュカイ</t>
    </rPh>
    <phoneticPr fontId="10"/>
  </si>
  <si>
    <t>ネット</t>
    <phoneticPr fontId="10"/>
  </si>
  <si>
    <t>ネット</t>
    <phoneticPr fontId="10"/>
  </si>
  <si>
    <t>千趣会</t>
    <rPh sb="0" eb="3">
      <t>センシュカイ</t>
    </rPh>
    <phoneticPr fontId="10"/>
  </si>
  <si>
    <t>ネット</t>
    <phoneticPr fontId="10"/>
  </si>
  <si>
    <t>ネット</t>
    <phoneticPr fontId="10"/>
  </si>
  <si>
    <t>トラスト＆カンパニー</t>
    <phoneticPr fontId="2"/>
  </si>
  <si>
    <t>持ち帰り</t>
    <rPh sb="0" eb="1">
      <t>モ</t>
    </rPh>
    <rPh sb="2" eb="3">
      <t>カエ</t>
    </rPh>
    <phoneticPr fontId="10"/>
  </si>
  <si>
    <t>全国通販（小椋さん）sample返却</t>
    <rPh sb="0" eb="4">
      <t>ゼンコクツウハン</t>
    </rPh>
    <rPh sb="5" eb="7">
      <t>オグラ</t>
    </rPh>
    <rPh sb="16" eb="18">
      <t>ヘンキャク</t>
    </rPh>
    <phoneticPr fontId="10"/>
  </si>
  <si>
    <t>ロイヤルステージ</t>
  </si>
  <si>
    <t>ネット</t>
    <phoneticPr fontId="10"/>
  </si>
  <si>
    <t>セシール</t>
    <phoneticPr fontId="10"/>
  </si>
  <si>
    <t>セシール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</si>
  <si>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</si>
  <si>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</si>
  <si>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</si>
  <si>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</si>
  <si>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</si>
  <si>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</si>
  <si>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</si>
  <si>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</si>
  <si>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ネット</t>
    <phoneticPr fontId="10"/>
  </si>
  <si>
    <t>セシール9月号チラシ</t>
    <rPh sb="5" eb="6">
      <t>ガツ</t>
    </rPh>
    <rPh sb="6" eb="7">
      <t>ゴウ</t>
    </rPh>
    <phoneticPr fontId="10"/>
  </si>
  <si>
    <t>9/1発刊</t>
    <rPh sb="3" eb="5">
      <t>ハッカン</t>
    </rPh>
    <phoneticPr fontId="10"/>
  </si>
  <si>
    <t>セシール</t>
    <phoneticPr fontId="10"/>
  </si>
  <si>
    <t>夢販</t>
    <rPh sb="0" eb="2">
      <t>ユメハン</t>
    </rPh>
    <phoneticPr fontId="10"/>
  </si>
  <si>
    <t>セシール</t>
    <phoneticPr fontId="10"/>
  </si>
  <si>
    <t>キレイラインVIP</t>
    <phoneticPr fontId="10"/>
  </si>
  <si>
    <t>キレイラインVIP</t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</si>
  <si>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</si>
  <si>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</si>
  <si>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セシール返品</t>
    <rPh sb="4" eb="6">
      <t>ヘンピン</t>
    </rPh>
    <phoneticPr fontId="10"/>
  </si>
  <si>
    <t>セシール</t>
    <phoneticPr fontId="10"/>
  </si>
  <si>
    <t>ネット</t>
    <phoneticPr fontId="10"/>
  </si>
  <si>
    <t>ネット</t>
    <phoneticPr fontId="10"/>
  </si>
  <si>
    <t>追加</t>
    <rPh sb="0" eb="2">
      <t>ツイカ</t>
    </rPh>
    <phoneticPr fontId="10"/>
  </si>
  <si>
    <t>JOD返品</t>
    <rPh sb="3" eb="5">
      <t>ヘンピン</t>
    </rPh>
    <phoneticPr fontId="10"/>
  </si>
  <si>
    <t>かりん</t>
    <phoneticPr fontId="10"/>
  </si>
  <si>
    <t>持ち帰り</t>
    <rPh sb="0" eb="1">
      <t>モ</t>
    </rPh>
    <rPh sb="2" eb="3">
      <t>カエ</t>
    </rPh>
    <phoneticPr fontId="10"/>
  </si>
  <si>
    <t>セシール</t>
    <phoneticPr fontId="10"/>
  </si>
  <si>
    <t>全国通販</t>
    <rPh sb="0" eb="2">
      <t>ゼンコク</t>
    </rPh>
    <rPh sb="2" eb="4">
      <t>ツウハン</t>
    </rPh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</si>
  <si>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</si>
  <si>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</si>
  <si>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</si>
  <si>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千趣会</t>
    <rPh sb="0" eb="3">
      <t>センシュカイ</t>
    </rPh>
    <phoneticPr fontId="10"/>
  </si>
  <si>
    <t>追加</t>
    <rPh sb="0" eb="2">
      <t>ツイカ</t>
    </rPh>
    <phoneticPr fontId="10"/>
  </si>
  <si>
    <t>ネット</t>
    <phoneticPr fontId="10"/>
  </si>
  <si>
    <t>ネット</t>
    <phoneticPr fontId="10"/>
  </si>
  <si>
    <t>持ち帰り</t>
    <rPh sb="0" eb="1">
      <t>モ</t>
    </rPh>
    <rPh sb="2" eb="3">
      <t>カエ</t>
    </rPh>
    <phoneticPr fontId="10"/>
  </si>
  <si>
    <t>ロイヤルステージ返品</t>
    <rPh sb="8" eb="10">
      <t>ヘンピン</t>
    </rPh>
    <phoneticPr fontId="2"/>
  </si>
  <si>
    <t>かりん交換</t>
    <rPh sb="3" eb="5">
      <t>コウカン</t>
    </rPh>
    <phoneticPr fontId="10"/>
  </si>
  <si>
    <t>ネット</t>
    <phoneticPr fontId="10"/>
  </si>
  <si>
    <t>かりん</t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</si>
  <si>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</si>
  <si>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</si>
  <si>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</si>
  <si>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セシール</t>
    <phoneticPr fontId="10"/>
  </si>
  <si>
    <t>かりん</t>
    <phoneticPr fontId="10"/>
  </si>
  <si>
    <t>かりん交換</t>
    <rPh sb="3" eb="5">
      <t>コウカン</t>
    </rPh>
    <phoneticPr fontId="10"/>
  </si>
  <si>
    <t>追加</t>
    <rPh sb="0" eb="2">
      <t>ツイカ</t>
    </rPh>
    <phoneticPr fontId="10"/>
  </si>
  <si>
    <t>かりん</t>
    <phoneticPr fontId="10"/>
  </si>
  <si>
    <t>かりん</t>
    <phoneticPr fontId="10"/>
  </si>
  <si>
    <t>追加</t>
    <rPh sb="0" eb="2">
      <t>ツイカ</t>
    </rPh>
    <phoneticPr fontId="10"/>
  </si>
  <si>
    <t>千趣会</t>
    <rPh sb="0" eb="3">
      <t>センシュカイ</t>
    </rPh>
    <phoneticPr fontId="10"/>
  </si>
  <si>
    <t>ネット</t>
    <phoneticPr fontId="10"/>
  </si>
  <si>
    <t>再生</t>
    <rPh sb="0" eb="2">
      <t>サイセイ</t>
    </rPh>
    <phoneticPr fontId="10"/>
  </si>
  <si>
    <t>ニッセン</t>
    <phoneticPr fontId="10"/>
  </si>
  <si>
    <t>5Ｌ/130、6Ｌ/100、8Ｌ/60、10Ｌ/20　計600ｐ</t>
    <rPh sb="27" eb="28">
      <t>ケイ</t>
    </rPh>
    <phoneticPr fontId="10"/>
  </si>
  <si>
    <t>ネット</t>
    <phoneticPr fontId="10"/>
  </si>
  <si>
    <t>夢販</t>
    <rPh sb="0" eb="2">
      <t>ユメハン</t>
    </rPh>
    <phoneticPr fontId="10"/>
  </si>
  <si>
    <t>ロイヤルS返品</t>
    <rPh sb="5" eb="7">
      <t>ヘンピン</t>
    </rPh>
    <phoneticPr fontId="10"/>
  </si>
  <si>
    <t>持ち帰り</t>
    <rPh sb="0" eb="1">
      <t>モ</t>
    </rPh>
    <rPh sb="2" eb="3">
      <t>カエ</t>
    </rPh>
    <phoneticPr fontId="10"/>
  </si>
  <si>
    <t>千趣会</t>
    <rPh sb="0" eb="3">
      <t>センシュカイ</t>
    </rPh>
    <phoneticPr fontId="10"/>
  </si>
  <si>
    <t>セシール</t>
    <phoneticPr fontId="10"/>
  </si>
  <si>
    <t>夢販</t>
    <rPh sb="0" eb="2">
      <t>ユメハン</t>
    </rPh>
    <phoneticPr fontId="10"/>
  </si>
  <si>
    <t>全国通販</t>
    <rPh sb="0" eb="2">
      <t>ゼンコク</t>
    </rPh>
    <rPh sb="2" eb="4">
      <t>ツウハン</t>
    </rPh>
    <phoneticPr fontId="10"/>
  </si>
  <si>
    <t>夢販</t>
    <rPh sb="0" eb="2">
      <t>ユメハン</t>
    </rPh>
    <phoneticPr fontId="10"/>
  </si>
  <si>
    <t>セシール19夏特別号</t>
    <rPh sb="6" eb="10">
      <t>ナツトクベツゴウ</t>
    </rPh>
    <phoneticPr fontId="10"/>
  </si>
  <si>
    <t>セシール返品</t>
    <rPh sb="4" eb="6">
      <t>ヘンピン</t>
    </rPh>
    <phoneticPr fontId="10"/>
  </si>
  <si>
    <t>グリーンコープ33号①</t>
    <rPh sb="9" eb="10">
      <t>ゴウ</t>
    </rPh>
    <phoneticPr fontId="10"/>
  </si>
  <si>
    <t>千趣会</t>
    <rPh sb="0" eb="3">
      <t>センシュカイ</t>
    </rPh>
    <phoneticPr fontId="10"/>
  </si>
  <si>
    <t>11/24～</t>
    <phoneticPr fontId="10"/>
  </si>
  <si>
    <t>JOD特別版1124</t>
    <rPh sb="3" eb="5">
      <t>トクベツ</t>
    </rPh>
    <rPh sb="5" eb="6">
      <t>バン</t>
    </rPh>
    <phoneticPr fontId="10"/>
  </si>
  <si>
    <t>夢販</t>
    <rPh sb="0" eb="2">
      <t>ユメハン</t>
    </rPh>
    <phoneticPr fontId="10"/>
  </si>
  <si>
    <t>かりん</t>
    <phoneticPr fontId="10"/>
  </si>
  <si>
    <t>グリーンコープ33号②</t>
    <rPh sb="9" eb="10">
      <t>ゴウ</t>
    </rPh>
    <phoneticPr fontId="10"/>
  </si>
  <si>
    <t>千趣会３月Web提案sample返却</t>
    <rPh sb="0" eb="3">
      <t>センシュカイ</t>
    </rPh>
    <rPh sb="4" eb="5">
      <t>ガツ</t>
    </rPh>
    <rPh sb="8" eb="10">
      <t>テイアン</t>
    </rPh>
    <rPh sb="16" eb="18">
      <t>ヘンキャク</t>
    </rPh>
    <phoneticPr fontId="10"/>
  </si>
  <si>
    <t>JOD</t>
    <phoneticPr fontId="10"/>
  </si>
  <si>
    <t>セシール</t>
    <phoneticPr fontId="10"/>
  </si>
  <si>
    <t>くらしパルサンプル</t>
    <phoneticPr fontId="10"/>
  </si>
  <si>
    <t>くらしパルサンプル</t>
    <phoneticPr fontId="10"/>
  </si>
  <si>
    <t>セシール</t>
    <phoneticPr fontId="10"/>
  </si>
  <si>
    <t>12/14～</t>
    <phoneticPr fontId="10"/>
  </si>
  <si>
    <t>JOD特別号9598</t>
    <rPh sb="3" eb="6">
      <t>トクベツゴウ</t>
    </rPh>
    <phoneticPr fontId="10"/>
  </si>
  <si>
    <t>追加</t>
    <rPh sb="0" eb="2">
      <t>ツイカ</t>
    </rPh>
    <phoneticPr fontId="10"/>
  </si>
  <si>
    <t>セシール</t>
    <phoneticPr fontId="10"/>
  </si>
  <si>
    <t>JOD返品</t>
    <rPh sb="3" eb="5">
      <t>ヘンピン</t>
    </rPh>
    <phoneticPr fontId="10"/>
  </si>
  <si>
    <t>JOD特別号Ｒ9867</t>
    <rPh sb="3" eb="5">
      <t>トクベツ</t>
    </rPh>
    <rPh sb="5" eb="6">
      <t>ゴウ</t>
    </rPh>
    <phoneticPr fontId="10"/>
  </si>
  <si>
    <t>12/8～</t>
    <phoneticPr fontId="10"/>
  </si>
  <si>
    <t>ＪＯＤ特別号Ｒ9867</t>
    <rPh sb="3" eb="6">
      <t>トクベツゴウ</t>
    </rPh>
    <phoneticPr fontId="10"/>
  </si>
  <si>
    <t>かりん</t>
    <phoneticPr fontId="10"/>
  </si>
  <si>
    <t>追加</t>
    <rPh sb="0" eb="2">
      <t>ツイカ</t>
    </rPh>
    <phoneticPr fontId="10"/>
  </si>
  <si>
    <t>セシール</t>
    <phoneticPr fontId="10"/>
  </si>
  <si>
    <t>セシール</t>
    <phoneticPr fontId="10"/>
  </si>
  <si>
    <t>夢販</t>
    <rPh sb="0" eb="2">
      <t>ユメハン</t>
    </rPh>
    <phoneticPr fontId="10"/>
  </si>
  <si>
    <t>かりん</t>
    <phoneticPr fontId="10"/>
  </si>
  <si>
    <t>夢販</t>
    <rPh sb="0" eb="2">
      <t>ユメハン</t>
    </rPh>
    <phoneticPr fontId="10"/>
  </si>
  <si>
    <t>ニッセン12/18</t>
    <phoneticPr fontId="10"/>
  </si>
  <si>
    <t>2019/4/1発刊</t>
    <rPh sb="8" eb="10">
      <t>ハッカン</t>
    </rPh>
    <phoneticPr fontId="10"/>
  </si>
  <si>
    <t>ネット返品</t>
    <rPh sb="3" eb="5">
      <t>ヘンピン</t>
    </rPh>
    <phoneticPr fontId="10"/>
  </si>
  <si>
    <t>1/9～</t>
    <phoneticPr fontId="10"/>
  </si>
  <si>
    <t>JODプリマナ7247</t>
    <phoneticPr fontId="10"/>
  </si>
  <si>
    <t>かりん</t>
    <phoneticPr fontId="10"/>
  </si>
  <si>
    <t>夢販</t>
    <rPh sb="0" eb="2">
      <t>ユメハン</t>
    </rPh>
    <phoneticPr fontId="10"/>
  </si>
  <si>
    <t>5Ｌ/131、6Ｌ/100、8Ｌ/61、10Ｌ/21　計600ｐ</t>
    <rPh sb="27" eb="28">
      <t>ケイ</t>
    </rPh>
    <phoneticPr fontId="10"/>
  </si>
  <si>
    <t>かりん</t>
    <phoneticPr fontId="10"/>
  </si>
  <si>
    <t>かりん</t>
    <phoneticPr fontId="10"/>
  </si>
  <si>
    <t>夢販</t>
    <rPh sb="0" eb="2">
      <t>ユメハン</t>
    </rPh>
    <phoneticPr fontId="10"/>
  </si>
  <si>
    <t>ネット</t>
    <phoneticPr fontId="10"/>
  </si>
  <si>
    <t>ネット</t>
    <phoneticPr fontId="10"/>
  </si>
  <si>
    <t>かりん</t>
    <phoneticPr fontId="10"/>
  </si>
  <si>
    <t>JOD</t>
    <phoneticPr fontId="10"/>
  </si>
  <si>
    <t>JOD</t>
    <phoneticPr fontId="10"/>
  </si>
  <si>
    <t>JOD</t>
    <phoneticPr fontId="10"/>
  </si>
  <si>
    <t>全国通販</t>
    <rPh sb="0" eb="2">
      <t>ゼンコク</t>
    </rPh>
    <rPh sb="2" eb="4">
      <t>ツウハン</t>
    </rPh>
    <phoneticPr fontId="10"/>
  </si>
  <si>
    <t>セシール返品</t>
    <rPh sb="4" eb="6">
      <t>ヘンピン</t>
    </rPh>
    <phoneticPr fontId="10"/>
  </si>
  <si>
    <t>全国通販</t>
    <rPh sb="0" eb="2">
      <t>ゼンコク</t>
    </rPh>
    <rPh sb="2" eb="4">
      <t>ツウハン</t>
    </rPh>
    <phoneticPr fontId="10"/>
  </si>
  <si>
    <t>ロイヤルステージ</t>
    <phoneticPr fontId="10"/>
  </si>
  <si>
    <t>ネット</t>
    <phoneticPr fontId="10"/>
  </si>
  <si>
    <t>かりん</t>
    <phoneticPr fontId="10"/>
  </si>
  <si>
    <t>かりん返品</t>
    <rPh sb="3" eb="5">
      <t>ヘンピン</t>
    </rPh>
    <phoneticPr fontId="10"/>
  </si>
  <si>
    <t>IEIサンプル</t>
    <phoneticPr fontId="10"/>
  </si>
  <si>
    <t>IEIサンプル</t>
    <phoneticPr fontId="10"/>
  </si>
  <si>
    <t>くらし石出さんサンプル</t>
    <rPh sb="3" eb="5">
      <t>イシデ</t>
    </rPh>
    <phoneticPr fontId="10"/>
  </si>
  <si>
    <t>くらし石出さんサンプル</t>
    <rPh sb="3" eb="5">
      <t>イシデ</t>
    </rPh>
    <phoneticPr fontId="10"/>
  </si>
  <si>
    <t>IEI 4月号</t>
    <rPh sb="5" eb="6">
      <t>ガツ</t>
    </rPh>
    <rPh sb="6" eb="7">
      <t>ゴウ</t>
    </rPh>
    <phoneticPr fontId="10"/>
  </si>
  <si>
    <t>IEI　4月号</t>
    <rPh sb="5" eb="6">
      <t>ガツ</t>
    </rPh>
    <rPh sb="6" eb="7">
      <t>ゴウ</t>
    </rPh>
    <phoneticPr fontId="10"/>
  </si>
  <si>
    <t>セシール19春号</t>
    <rPh sb="6" eb="8">
      <t>ハルゴウ</t>
    </rPh>
    <phoneticPr fontId="10"/>
  </si>
  <si>
    <t>2月25日発刊</t>
    <rPh sb="1" eb="2">
      <t>ガツ</t>
    </rPh>
    <rPh sb="4" eb="5">
      <t>ニチ</t>
    </rPh>
    <rPh sb="5" eb="7">
      <t>ハッカン</t>
    </rPh>
    <phoneticPr fontId="10"/>
  </si>
  <si>
    <t>セシール19春号</t>
    <rPh sb="6" eb="7">
      <t>ハル</t>
    </rPh>
    <phoneticPr fontId="10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</si>
  <si>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2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</si>
  <si>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10"/>
  </si>
  <si>
    <t>千趣会</t>
    <rPh sb="0" eb="3">
      <t>センシュカイ</t>
    </rPh>
    <phoneticPr fontId="10"/>
  </si>
  <si>
    <t>全国通販</t>
    <rPh sb="0" eb="2">
      <t>ゼンコク</t>
    </rPh>
    <rPh sb="2" eb="4">
      <t>ツウハン</t>
    </rPh>
    <phoneticPr fontId="10"/>
  </si>
  <si>
    <t>JODメルシースポーツ7580</t>
    <phoneticPr fontId="10"/>
  </si>
  <si>
    <t>3/12～</t>
    <phoneticPr fontId="10"/>
  </si>
  <si>
    <t>ＪＯＤメルシースポーツ7580</t>
    <phoneticPr fontId="10"/>
  </si>
  <si>
    <t>キレイライン赤坂</t>
    <phoneticPr fontId="10"/>
  </si>
  <si>
    <t>ロイヤルS</t>
    <phoneticPr fontId="10"/>
  </si>
  <si>
    <t>ロイヤルS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</si>
  <si>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</si>
  <si>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</si>
  <si>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ネト返品</t>
    <rPh sb="2" eb="4">
      <t>ヘンピン</t>
    </rPh>
    <phoneticPr fontId="2"/>
  </si>
  <si>
    <t>キレイライン赤坂</t>
    <phoneticPr fontId="10"/>
  </si>
  <si>
    <t>マイジールサンプル（小山さん）</t>
    <rPh sb="10" eb="12">
      <t>コヤマ</t>
    </rPh>
    <phoneticPr fontId="10"/>
  </si>
  <si>
    <t>4/5～</t>
    <phoneticPr fontId="10"/>
  </si>
  <si>
    <t>JODメルシー0405</t>
    <phoneticPr fontId="10"/>
  </si>
  <si>
    <t>ＪＯＤメルシー0405</t>
    <phoneticPr fontId="10"/>
  </si>
  <si>
    <t>かりん</t>
    <phoneticPr fontId="10"/>
  </si>
  <si>
    <t>かりん</t>
    <phoneticPr fontId="10"/>
  </si>
  <si>
    <t>夢販</t>
    <rPh sb="0" eb="2">
      <t>ユメハン</t>
    </rPh>
    <phoneticPr fontId="10"/>
  </si>
  <si>
    <t>ネット</t>
    <phoneticPr fontId="10"/>
  </si>
  <si>
    <t>夢販</t>
    <rPh sb="0" eb="2">
      <t>ユメハン</t>
    </rPh>
    <phoneticPr fontId="10"/>
  </si>
  <si>
    <t>JODプリマナ7248</t>
    <phoneticPr fontId="10"/>
  </si>
  <si>
    <t>4/11～</t>
    <phoneticPr fontId="10"/>
  </si>
  <si>
    <t>４月号</t>
    <rPh sb="1" eb="2">
      <t>ガツ</t>
    </rPh>
    <rPh sb="2" eb="3">
      <t>ゴウ</t>
    </rPh>
    <phoneticPr fontId="10"/>
  </si>
  <si>
    <t>4/下旬</t>
    <rPh sb="2" eb="4">
      <t>ゲジュン</t>
    </rPh>
    <phoneticPr fontId="10"/>
  </si>
  <si>
    <t>かりん</t>
    <phoneticPr fontId="10"/>
  </si>
  <si>
    <t>JOD</t>
    <phoneticPr fontId="10"/>
  </si>
  <si>
    <t>JOD</t>
    <phoneticPr fontId="10"/>
  </si>
  <si>
    <t>かりん</t>
    <phoneticPr fontId="10"/>
  </si>
  <si>
    <t>4/19～</t>
    <phoneticPr fontId="10"/>
  </si>
  <si>
    <t>JODダイエット7484表紙</t>
    <rPh sb="12" eb="14">
      <t>ヒョウシ</t>
    </rPh>
    <phoneticPr fontId="10"/>
  </si>
  <si>
    <t>ロイヤルS</t>
    <phoneticPr fontId="10"/>
  </si>
  <si>
    <t>ロイヤルS</t>
    <phoneticPr fontId="10"/>
  </si>
  <si>
    <t>夢販</t>
    <rPh sb="0" eb="2">
      <t>ユメハン</t>
    </rPh>
    <phoneticPr fontId="10"/>
  </si>
  <si>
    <t>大阪パルコープ6-1ｗ</t>
    <rPh sb="0" eb="2">
      <t>オオサカ</t>
    </rPh>
    <phoneticPr fontId="10"/>
  </si>
  <si>
    <t>ディノス盛夏号（協賛）</t>
    <rPh sb="4" eb="6">
      <t>セイカ</t>
    </rPh>
    <rPh sb="6" eb="7">
      <t>ゴウ</t>
    </rPh>
    <rPh sb="8" eb="10">
      <t>キョウサン</t>
    </rPh>
    <phoneticPr fontId="10"/>
  </si>
  <si>
    <t>事前5/23　6/1～9/30</t>
    <rPh sb="0" eb="2">
      <t>ジゼン</t>
    </rPh>
    <phoneticPr fontId="10"/>
  </si>
  <si>
    <t>確保4/2　　</t>
    <rPh sb="0" eb="2">
      <t>カクホ</t>
    </rPh>
    <phoneticPr fontId="10"/>
  </si>
  <si>
    <t>かりん</t>
    <phoneticPr fontId="10"/>
  </si>
  <si>
    <t>かりん</t>
    <phoneticPr fontId="10"/>
  </si>
  <si>
    <t>IEIサンプル返却</t>
    <rPh sb="7" eb="9">
      <t>ヘンキャク</t>
    </rPh>
    <phoneticPr fontId="10"/>
  </si>
  <si>
    <t>IEI</t>
    <phoneticPr fontId="10"/>
  </si>
  <si>
    <t>IEI</t>
    <phoneticPr fontId="10"/>
  </si>
  <si>
    <t>セシール19B&amp;H Vol3</t>
    <phoneticPr fontId="10"/>
  </si>
  <si>
    <t>6/17～</t>
    <phoneticPr fontId="10"/>
  </si>
  <si>
    <t>4/1～</t>
    <phoneticPr fontId="10"/>
  </si>
  <si>
    <t>かりん</t>
    <phoneticPr fontId="10"/>
  </si>
  <si>
    <t>かりん</t>
    <phoneticPr fontId="10"/>
  </si>
  <si>
    <t>かりん</t>
    <phoneticPr fontId="10"/>
  </si>
  <si>
    <t>ネット</t>
    <phoneticPr fontId="10"/>
  </si>
  <si>
    <t>夢販</t>
    <rPh sb="0" eb="2">
      <t>ユメハン</t>
    </rPh>
    <phoneticPr fontId="10"/>
  </si>
  <si>
    <t>トラスト＆カンパニー</t>
  </si>
  <si>
    <t>6/1～9/30</t>
    <phoneticPr fontId="10"/>
  </si>
  <si>
    <t>5/31～</t>
    <phoneticPr fontId="10"/>
  </si>
  <si>
    <t>千趣会19年夏号</t>
    <rPh sb="0" eb="3">
      <t>センシュカイ</t>
    </rPh>
    <rPh sb="5" eb="6">
      <t>ネン</t>
    </rPh>
    <rPh sb="6" eb="7">
      <t>ナツ</t>
    </rPh>
    <rPh sb="7" eb="8">
      <t>ゴウ</t>
    </rPh>
    <phoneticPr fontId="10"/>
  </si>
  <si>
    <t>夢販</t>
    <rPh sb="0" eb="2">
      <t>ユメハン</t>
    </rPh>
    <phoneticPr fontId="10"/>
  </si>
  <si>
    <t>(6/末ship)</t>
    <rPh sb="3" eb="4">
      <t>マツ</t>
    </rPh>
    <phoneticPr fontId="10"/>
  </si>
  <si>
    <t>全国通販　花まる/まるごと7782</t>
    <rPh sb="0" eb="2">
      <t>ゼンコク</t>
    </rPh>
    <rPh sb="2" eb="4">
      <t>ツウハン</t>
    </rPh>
    <rPh sb="5" eb="6">
      <t>ハナ</t>
    </rPh>
    <phoneticPr fontId="10"/>
  </si>
  <si>
    <t>JOD</t>
    <phoneticPr fontId="10"/>
  </si>
  <si>
    <t>7/1～9/30</t>
    <phoneticPr fontId="10"/>
  </si>
  <si>
    <t>丸藤（九州）sample返却</t>
    <rPh sb="0" eb="2">
      <t>マルフジ</t>
    </rPh>
    <rPh sb="3" eb="5">
      <t>キュウシュウ</t>
    </rPh>
    <rPh sb="12" eb="14">
      <t>ヘンキャク</t>
    </rPh>
    <phoneticPr fontId="10"/>
  </si>
  <si>
    <t>丸藤（九州sample）返却</t>
    <rPh sb="0" eb="2">
      <t>マルフジ</t>
    </rPh>
    <rPh sb="3" eb="5">
      <t>キュウシュウ</t>
    </rPh>
    <rPh sb="12" eb="14">
      <t>ヘンキャク</t>
    </rPh>
    <phoneticPr fontId="10"/>
  </si>
  <si>
    <t>丸藤(九州sample)返却</t>
    <rPh sb="0" eb="2">
      <t>マルフジ</t>
    </rPh>
    <rPh sb="3" eb="5">
      <t>キュウシュウ</t>
    </rPh>
    <rPh sb="12" eb="14">
      <t>ヘンキャク</t>
    </rPh>
    <phoneticPr fontId="10"/>
  </si>
  <si>
    <t>千趣会①</t>
    <rPh sb="0" eb="3">
      <t>センシュカイ</t>
    </rPh>
    <phoneticPr fontId="10"/>
  </si>
  <si>
    <t>千趣会②</t>
    <rPh sb="0" eb="3">
      <t>センシュカイ</t>
    </rPh>
    <phoneticPr fontId="10"/>
  </si>
  <si>
    <t>千趣会③</t>
    <rPh sb="0" eb="3">
      <t>センシュカイ</t>
    </rPh>
    <phoneticPr fontId="10"/>
  </si>
  <si>
    <t>千趣会④</t>
    <rPh sb="0" eb="3">
      <t>センシュカイ</t>
    </rPh>
    <phoneticPr fontId="10"/>
  </si>
  <si>
    <t>千趣会⑤</t>
    <rPh sb="0" eb="3">
      <t>センシュカイ</t>
    </rPh>
    <phoneticPr fontId="10"/>
  </si>
  <si>
    <t>千趣会⑥</t>
    <rPh sb="0" eb="3">
      <t>センシュカイ</t>
    </rPh>
    <phoneticPr fontId="10"/>
  </si>
  <si>
    <t>千趣会⑦</t>
    <rPh sb="0" eb="3">
      <t>センシュカイ</t>
    </rPh>
    <phoneticPr fontId="10"/>
  </si>
  <si>
    <t>IEI返品</t>
    <rPh sb="3" eb="5">
      <t>ヘンピン</t>
    </rPh>
    <phoneticPr fontId="2"/>
  </si>
  <si>
    <t>ＩＥＩ返品</t>
    <rPh sb="3" eb="5">
      <t>ヘンピン</t>
    </rPh>
    <phoneticPr fontId="2"/>
  </si>
  <si>
    <t>IEI交換</t>
    <rPh sb="3" eb="5">
      <t>コウカン</t>
    </rPh>
    <phoneticPr fontId="10"/>
  </si>
  <si>
    <t>千趣会⑧</t>
    <rPh sb="0" eb="3">
      <t>センシュカイ</t>
    </rPh>
    <phoneticPr fontId="10"/>
  </si>
  <si>
    <t>JOD</t>
    <phoneticPr fontId="10"/>
  </si>
  <si>
    <t>6/28～</t>
    <phoneticPr fontId="10"/>
  </si>
  <si>
    <t>千趣会⑨</t>
    <rPh sb="0" eb="3">
      <t>センシュカイ</t>
    </rPh>
    <phoneticPr fontId="10"/>
  </si>
  <si>
    <t>千趣会⑩</t>
    <rPh sb="0" eb="3">
      <t>センシュカイ</t>
    </rPh>
    <phoneticPr fontId="10"/>
  </si>
  <si>
    <t>KPORT移動</t>
    <rPh sb="5" eb="7">
      <t>イドウ</t>
    </rPh>
    <phoneticPr fontId="10"/>
  </si>
  <si>
    <t>夢販移動</t>
    <rPh sb="0" eb="2">
      <t>ユメハン</t>
    </rPh>
    <rPh sb="2" eb="4">
      <t>イドウ</t>
    </rPh>
    <phoneticPr fontId="2"/>
  </si>
  <si>
    <t>JOD</t>
    <phoneticPr fontId="10"/>
  </si>
  <si>
    <t>千趣会⑪</t>
    <rPh sb="0" eb="3">
      <t>センシュカイ</t>
    </rPh>
    <phoneticPr fontId="10"/>
  </si>
  <si>
    <t>かりん返品</t>
    <rPh sb="3" eb="5">
      <t>ヘンピン</t>
    </rPh>
    <phoneticPr fontId="2"/>
  </si>
  <si>
    <t>全国通販</t>
    <rPh sb="0" eb="2">
      <t>ゼンコク</t>
    </rPh>
    <rPh sb="2" eb="4">
      <t>ツウハン</t>
    </rPh>
    <phoneticPr fontId="10"/>
  </si>
  <si>
    <t>千趣会⑫</t>
    <rPh sb="0" eb="3">
      <t>センシュカイ</t>
    </rPh>
    <phoneticPr fontId="10"/>
  </si>
  <si>
    <t>ネット</t>
    <phoneticPr fontId="10"/>
  </si>
  <si>
    <t>千趣会⑬</t>
    <rPh sb="0" eb="3">
      <t>センシュカイ</t>
    </rPh>
    <phoneticPr fontId="10"/>
  </si>
  <si>
    <t>かりん</t>
    <phoneticPr fontId="10"/>
  </si>
  <si>
    <t>かりん</t>
    <phoneticPr fontId="10"/>
  </si>
  <si>
    <t>JOD返品</t>
    <rPh sb="3" eb="5">
      <t>ヘンピン</t>
    </rPh>
    <phoneticPr fontId="10"/>
  </si>
  <si>
    <t>千趣会⑭</t>
    <rPh sb="0" eb="3">
      <t>センシュカイ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</si>
  <si>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</si>
  <si>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</si>
  <si>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JOD</t>
    <phoneticPr fontId="10"/>
  </si>
  <si>
    <t>大阪パルコープ6-1ｗ①</t>
    <rPh sb="0" eb="2">
      <t>オオサカ</t>
    </rPh>
    <phoneticPr fontId="10"/>
  </si>
  <si>
    <t>千趣会⑮</t>
    <rPh sb="0" eb="3">
      <t>センシュカイ</t>
    </rPh>
    <phoneticPr fontId="10"/>
  </si>
  <si>
    <t>IEI交換</t>
    <rPh sb="3" eb="5">
      <t>コウカン</t>
    </rPh>
    <phoneticPr fontId="10"/>
  </si>
  <si>
    <t>追加</t>
    <rPh sb="0" eb="2">
      <t>ツイカ</t>
    </rPh>
    <phoneticPr fontId="10"/>
  </si>
  <si>
    <t>千趣会⑯</t>
    <rPh sb="0" eb="3">
      <t>センシュカイ</t>
    </rPh>
    <phoneticPr fontId="10"/>
  </si>
  <si>
    <t>6/3～6/12</t>
    <phoneticPr fontId="10"/>
  </si>
  <si>
    <t>はぴねすくらぶ8月号</t>
    <rPh sb="8" eb="10">
      <t>ガツゴウ</t>
    </rPh>
    <phoneticPr fontId="10"/>
  </si>
  <si>
    <t>ディノス</t>
    <phoneticPr fontId="10"/>
  </si>
  <si>
    <t>千趣会⑰</t>
    <rPh sb="0" eb="3">
      <t>センシュカイ</t>
    </rPh>
    <phoneticPr fontId="10"/>
  </si>
  <si>
    <t>千趣会⑱</t>
    <rPh sb="0" eb="3">
      <t>センシュカイ</t>
    </rPh>
    <phoneticPr fontId="10"/>
  </si>
  <si>
    <t>ディノス盛夏号（協賛）事前搬入①</t>
    <rPh sb="4" eb="6">
      <t>セイカ</t>
    </rPh>
    <rPh sb="6" eb="7">
      <t>ゴウ</t>
    </rPh>
    <rPh sb="8" eb="10">
      <t>キョウサン</t>
    </rPh>
    <rPh sb="11" eb="15">
      <t>ジゼンハンニュウ</t>
    </rPh>
    <phoneticPr fontId="10"/>
  </si>
  <si>
    <t>ディノス盛夏号（協賛）②</t>
    <rPh sb="4" eb="6">
      <t>セイカ</t>
    </rPh>
    <rPh sb="6" eb="7">
      <t>ゴウ</t>
    </rPh>
    <rPh sb="8" eb="10">
      <t>キョウサン</t>
    </rPh>
    <phoneticPr fontId="10"/>
  </si>
  <si>
    <t>ディノス盛夏号（協賛）③</t>
    <rPh sb="4" eb="6">
      <t>セイカ</t>
    </rPh>
    <rPh sb="6" eb="7">
      <t>ゴウ</t>
    </rPh>
    <rPh sb="8" eb="10">
      <t>キョウサン</t>
    </rPh>
    <phoneticPr fontId="10"/>
  </si>
  <si>
    <t>ディノス盛夏号（協賛）事前搬入①</t>
    <rPh sb="4" eb="6">
      <t>セイカ</t>
    </rPh>
    <rPh sb="6" eb="7">
      <t>ゴウ</t>
    </rPh>
    <rPh sb="8" eb="10">
      <t>キョウサン</t>
    </rPh>
    <rPh sb="11" eb="13">
      <t>ジゼン</t>
    </rPh>
    <rPh sb="13" eb="15">
      <t>ハンニュウ</t>
    </rPh>
    <phoneticPr fontId="10"/>
  </si>
  <si>
    <t>セシール19B&amp;Hｾﾚｸｼｮﾝ8月</t>
    <rPh sb="16" eb="17">
      <t>ガツ</t>
    </rPh>
    <phoneticPr fontId="10"/>
  </si>
  <si>
    <t>8/15～3/31</t>
    <phoneticPr fontId="10"/>
  </si>
  <si>
    <t>ロイヤルＳ　返品</t>
    <rPh sb="6" eb="8">
      <t>ヘンピン</t>
    </rPh>
    <phoneticPr fontId="2"/>
  </si>
  <si>
    <t>KPORT移動</t>
    <rPh sb="5" eb="7">
      <t>イドウ</t>
    </rPh>
    <phoneticPr fontId="10"/>
  </si>
  <si>
    <t>KPORT移動</t>
    <rPh sb="5" eb="7">
      <t>イドウ</t>
    </rPh>
    <phoneticPr fontId="10"/>
  </si>
  <si>
    <t>KPORT移動</t>
    <rPh sb="5" eb="7">
      <t>イドウ</t>
    </rPh>
    <phoneticPr fontId="10"/>
  </si>
  <si>
    <t>KPORT移動</t>
    <rPh sb="5" eb="7">
      <t>イドウ</t>
    </rPh>
    <phoneticPr fontId="10"/>
  </si>
  <si>
    <t>JOD</t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</si>
  <si>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</si>
  <si>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</si>
  <si>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セシール</t>
    <phoneticPr fontId="10"/>
  </si>
  <si>
    <t>夢販</t>
    <rPh sb="0" eb="2">
      <t>ユメハン</t>
    </rPh>
    <phoneticPr fontId="10"/>
  </si>
  <si>
    <t>IEI</t>
    <phoneticPr fontId="10"/>
  </si>
  <si>
    <t>追加９</t>
    <rPh sb="0" eb="2">
      <t>ツイカ</t>
    </rPh>
    <phoneticPr fontId="10"/>
  </si>
  <si>
    <t>千趣会⑲</t>
    <rPh sb="0" eb="3">
      <t>センシュカイ</t>
    </rPh>
    <phoneticPr fontId="10"/>
  </si>
  <si>
    <t>千趣会⑳</t>
    <rPh sb="0" eb="3">
      <t>センシュカイ</t>
    </rPh>
    <phoneticPr fontId="10"/>
  </si>
  <si>
    <t>ディノス盛夏号（協賛）④</t>
    <rPh sb="4" eb="6">
      <t>セイカ</t>
    </rPh>
    <rPh sb="6" eb="7">
      <t>ゴウ</t>
    </rPh>
    <rPh sb="8" eb="10">
      <t>キョウサン</t>
    </rPh>
    <phoneticPr fontId="10"/>
  </si>
  <si>
    <t>かりん</t>
    <phoneticPr fontId="10"/>
  </si>
  <si>
    <t>かりん</t>
    <phoneticPr fontId="10"/>
  </si>
  <si>
    <t>セシール</t>
    <phoneticPr fontId="10"/>
  </si>
  <si>
    <t>追加</t>
    <rPh sb="0" eb="2">
      <t>ツイカ</t>
    </rPh>
    <phoneticPr fontId="10"/>
  </si>
  <si>
    <t>JOD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</si>
  <si>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</si>
  <si>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</si>
  <si>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千趣会㉑</t>
    <rPh sb="0" eb="3">
      <t>センシュカイ</t>
    </rPh>
    <phoneticPr fontId="10"/>
  </si>
  <si>
    <t>かりん</t>
    <phoneticPr fontId="10"/>
  </si>
  <si>
    <t>JOD返品</t>
    <rPh sb="3" eb="5">
      <t>ヘンピン</t>
    </rPh>
    <phoneticPr fontId="10"/>
  </si>
  <si>
    <t>JOD特別版0807</t>
    <rPh sb="3" eb="5">
      <t>トクベツ</t>
    </rPh>
    <rPh sb="5" eb="6">
      <t>バン</t>
    </rPh>
    <phoneticPr fontId="10"/>
  </si>
  <si>
    <t>8/6～</t>
    <phoneticPr fontId="10"/>
  </si>
  <si>
    <t>納前分</t>
    <rPh sb="0" eb="1">
      <t>ノウ</t>
    </rPh>
    <rPh sb="1" eb="2">
      <t>マエ</t>
    </rPh>
    <rPh sb="2" eb="3">
      <t>ブン</t>
    </rPh>
    <phoneticPr fontId="2"/>
  </si>
  <si>
    <t>全国通販②</t>
    <rPh sb="0" eb="2">
      <t>ゼンコク</t>
    </rPh>
    <rPh sb="2" eb="4">
      <t>ツウハン</t>
    </rPh>
    <phoneticPr fontId="10"/>
  </si>
  <si>
    <t>ディノス返品</t>
    <rPh sb="4" eb="6">
      <t>ヘンピン</t>
    </rPh>
    <phoneticPr fontId="10"/>
  </si>
  <si>
    <t>ディノス返品</t>
    <rPh sb="4" eb="6">
      <t>ヘンピン</t>
    </rPh>
    <phoneticPr fontId="10"/>
  </si>
  <si>
    <t>千趣会㉒</t>
    <rPh sb="0" eb="3">
      <t>センシュカイ</t>
    </rPh>
    <phoneticPr fontId="10"/>
  </si>
  <si>
    <t>8/5～</t>
    <phoneticPr fontId="10"/>
  </si>
  <si>
    <t>ネット返品</t>
    <rPh sb="3" eb="5">
      <t>ヘンピン</t>
    </rPh>
    <phoneticPr fontId="10"/>
  </si>
  <si>
    <t>全国通販③</t>
    <rPh sb="0" eb="2">
      <t>ゼンコク</t>
    </rPh>
    <rPh sb="2" eb="4">
      <t>ツウハン</t>
    </rPh>
    <phoneticPr fontId="10"/>
  </si>
  <si>
    <t>全国通販　花まる/まるごと7782①</t>
    <rPh sb="0" eb="2">
      <t>ゼンコク</t>
    </rPh>
    <rPh sb="2" eb="4">
      <t>ツウハン</t>
    </rPh>
    <rPh sb="5" eb="6">
      <t>ハナ</t>
    </rPh>
    <phoneticPr fontId="10"/>
  </si>
  <si>
    <t>かりん返品</t>
    <rPh sb="3" eb="5">
      <t>ヘンピン</t>
    </rPh>
    <phoneticPr fontId="10"/>
  </si>
  <si>
    <t>千趣会㉓</t>
    <rPh sb="0" eb="3">
      <t>センシュカイ</t>
    </rPh>
    <phoneticPr fontId="10"/>
  </si>
  <si>
    <t>ディノス盛夏号（協賛）⑤</t>
    <rPh sb="4" eb="6">
      <t>セイカ</t>
    </rPh>
    <rPh sb="6" eb="7">
      <t>ゴウ</t>
    </rPh>
    <rPh sb="8" eb="10">
      <t>キョウサン</t>
    </rPh>
    <phoneticPr fontId="10"/>
  </si>
  <si>
    <t>5Ｌ/95、6Ｌ/105、8Ｌ/75、10Ｌ/30</t>
    <phoneticPr fontId="10"/>
  </si>
  <si>
    <t>ニッセン10/中旬</t>
    <rPh sb="7" eb="9">
      <t>チュウジュン</t>
    </rPh>
    <phoneticPr fontId="10"/>
  </si>
  <si>
    <t>はぴねすくらぶ8月号①</t>
    <rPh sb="8" eb="10">
      <t>ガツゴウ</t>
    </rPh>
    <phoneticPr fontId="10"/>
  </si>
  <si>
    <t>はぴねすくらぶ8月号①</t>
    <rPh sb="8" eb="9">
      <t>ガツ</t>
    </rPh>
    <rPh sb="9" eb="10">
      <t>ゴウ</t>
    </rPh>
    <phoneticPr fontId="10"/>
  </si>
  <si>
    <t>全国通販　花まる/まるごと7782②</t>
    <rPh sb="0" eb="2">
      <t>ゼンコク</t>
    </rPh>
    <rPh sb="2" eb="4">
      <t>ツウハン</t>
    </rPh>
    <rPh sb="5" eb="6">
      <t>ハナ</t>
    </rPh>
    <phoneticPr fontId="10"/>
  </si>
  <si>
    <t>かりん</t>
    <phoneticPr fontId="10"/>
  </si>
  <si>
    <t>ネット返品</t>
    <rPh sb="3" eb="5">
      <t>ヘンピン</t>
    </rPh>
    <phoneticPr fontId="10"/>
  </si>
  <si>
    <t>JODメルシー0903</t>
    <phoneticPr fontId="10"/>
  </si>
  <si>
    <t>9/3～</t>
    <phoneticPr fontId="10"/>
  </si>
  <si>
    <t>全国通販④</t>
    <rPh sb="0" eb="2">
      <t>ゼンコク</t>
    </rPh>
    <rPh sb="2" eb="4">
      <t>ツウハン</t>
    </rPh>
    <phoneticPr fontId="10"/>
  </si>
  <si>
    <t>JOD返品</t>
    <rPh sb="3" eb="5">
      <t>ヘンピン</t>
    </rPh>
    <phoneticPr fontId="10"/>
  </si>
  <si>
    <t>全国通販⑤</t>
    <rPh sb="0" eb="2">
      <t>ゼンコク</t>
    </rPh>
    <rPh sb="2" eb="4">
      <t>ツウハン</t>
    </rPh>
    <phoneticPr fontId="10"/>
  </si>
  <si>
    <t>千趣会㉔</t>
    <rPh sb="0" eb="3">
      <t>センシュカイ</t>
    </rPh>
    <phoneticPr fontId="10"/>
  </si>
  <si>
    <t>セシール19B&amp;H秋スペシャル</t>
    <rPh sb="9" eb="10">
      <t>アキ</t>
    </rPh>
    <phoneticPr fontId="10"/>
  </si>
  <si>
    <t>全国通販　花まる/まるごと7782③</t>
    <rPh sb="0" eb="2">
      <t>ゼンコク</t>
    </rPh>
    <rPh sb="2" eb="4">
      <t>ツウハン</t>
    </rPh>
    <rPh sb="5" eb="6">
      <t>ハナ</t>
    </rPh>
    <phoneticPr fontId="10"/>
  </si>
  <si>
    <t>全国通販⑥</t>
    <rPh sb="0" eb="2">
      <t>ゼンコク</t>
    </rPh>
    <rPh sb="2" eb="4">
      <t>ツウハン</t>
    </rPh>
    <phoneticPr fontId="10"/>
  </si>
  <si>
    <t>マイジール返品</t>
    <rPh sb="5" eb="7">
      <t>ヘンピン</t>
    </rPh>
    <phoneticPr fontId="10"/>
  </si>
  <si>
    <t>全国通販　花まる/まるごと7782④</t>
    <rPh sb="0" eb="2">
      <t>ゼンコク</t>
    </rPh>
    <rPh sb="2" eb="4">
      <t>ツウハン</t>
    </rPh>
    <rPh sb="5" eb="6">
      <t>ハナ</t>
    </rPh>
    <phoneticPr fontId="10"/>
  </si>
  <si>
    <t>夢販</t>
    <rPh sb="0" eb="2">
      <t>ユメハン</t>
    </rPh>
    <phoneticPr fontId="10"/>
  </si>
  <si>
    <t>ネット</t>
    <phoneticPr fontId="10"/>
  </si>
  <si>
    <t>ネット</t>
    <phoneticPr fontId="10"/>
  </si>
  <si>
    <t>夢販</t>
    <rPh sb="0" eb="2">
      <t>ユメハン</t>
    </rPh>
    <phoneticPr fontId="10"/>
  </si>
  <si>
    <t>全国通販⑦</t>
    <rPh sb="0" eb="2">
      <t>ゼンコク</t>
    </rPh>
    <rPh sb="2" eb="4">
      <t>ツウハン</t>
    </rPh>
    <phoneticPr fontId="10"/>
  </si>
  <si>
    <t>千趣会㉕</t>
    <rPh sb="0" eb="3">
      <t>センシュカイ</t>
    </rPh>
    <phoneticPr fontId="10"/>
  </si>
  <si>
    <t>夢販</t>
    <rPh sb="0" eb="2">
      <t>ユメハン</t>
    </rPh>
    <phoneticPr fontId="10"/>
  </si>
  <si>
    <t>全国通販　花まる/まるごと7782⑤</t>
    <rPh sb="0" eb="2">
      <t>ゼンコク</t>
    </rPh>
    <rPh sb="2" eb="4">
      <t>ツウハン</t>
    </rPh>
    <rPh sb="5" eb="6">
      <t>ハナ</t>
    </rPh>
    <phoneticPr fontId="10"/>
  </si>
  <si>
    <t>JOD</t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</si>
  <si>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</si>
  <si>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</si>
  <si>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千趣会</t>
    <rPh sb="0" eb="3">
      <t>センシュカイ</t>
    </rPh>
    <phoneticPr fontId="10"/>
  </si>
  <si>
    <t>千趣会㉖</t>
    <rPh sb="0" eb="3">
      <t>センシュカイ</t>
    </rPh>
    <phoneticPr fontId="10"/>
  </si>
  <si>
    <t>かりん</t>
    <phoneticPr fontId="10"/>
  </si>
  <si>
    <t>かりん</t>
    <phoneticPr fontId="10"/>
  </si>
  <si>
    <t>かりん</t>
    <phoneticPr fontId="10"/>
  </si>
  <si>
    <t>かりん</t>
    <phoneticPr fontId="10"/>
  </si>
  <si>
    <t>全国通販　花まる/まるごと7782⑥</t>
    <rPh sb="0" eb="2">
      <t>ゼンコク</t>
    </rPh>
    <rPh sb="2" eb="4">
      <t>ツウハン</t>
    </rPh>
    <rPh sb="5" eb="6">
      <t>ハナ</t>
    </rPh>
    <phoneticPr fontId="10"/>
  </si>
  <si>
    <t>IEI交換</t>
    <rPh sb="3" eb="5">
      <t>コウカン</t>
    </rPh>
    <phoneticPr fontId="10"/>
  </si>
  <si>
    <t>はぴねすくらぶ8月号②</t>
    <rPh sb="8" eb="10">
      <t>ガツゴウ</t>
    </rPh>
    <phoneticPr fontId="10"/>
  </si>
  <si>
    <t>はぴねすくらぶ8月号②</t>
    <rPh sb="8" eb="9">
      <t>ガツ</t>
    </rPh>
    <rPh sb="9" eb="10">
      <t>ゴウ</t>
    </rPh>
    <phoneticPr fontId="10"/>
  </si>
  <si>
    <t>夢販</t>
    <rPh sb="0" eb="2">
      <t>ユメハン</t>
    </rPh>
    <phoneticPr fontId="10"/>
  </si>
  <si>
    <t>千趣会㉗</t>
    <rPh sb="0" eb="3">
      <t>センシュカイ</t>
    </rPh>
    <phoneticPr fontId="10"/>
  </si>
  <si>
    <t>全国通販　花まる/まるごと7782⑦</t>
    <rPh sb="0" eb="2">
      <t>ゼンコク</t>
    </rPh>
    <rPh sb="2" eb="4">
      <t>ツウハン</t>
    </rPh>
    <rPh sb="5" eb="6">
      <t>ハナ</t>
    </rPh>
    <phoneticPr fontId="10"/>
  </si>
  <si>
    <t>JOD特別版0918</t>
    <rPh sb="3" eb="5">
      <t>トクベツ</t>
    </rPh>
    <rPh sb="5" eb="6">
      <t>バン</t>
    </rPh>
    <phoneticPr fontId="10"/>
  </si>
  <si>
    <t>ネット返品</t>
    <rPh sb="3" eb="5">
      <t>ヘンピン</t>
    </rPh>
    <phoneticPr fontId="10"/>
  </si>
  <si>
    <t>9/17～</t>
    <phoneticPr fontId="10"/>
  </si>
  <si>
    <t>はぴねすくらぶ8月号③</t>
    <rPh sb="8" eb="10">
      <t>ガツゴウ</t>
    </rPh>
    <phoneticPr fontId="10"/>
  </si>
  <si>
    <t>はぴねすくらぶ8月号③</t>
    <rPh sb="8" eb="9">
      <t>ガツ</t>
    </rPh>
    <rPh sb="9" eb="10">
      <t>ゴウ</t>
    </rPh>
    <phoneticPr fontId="10"/>
  </si>
  <si>
    <t>9/27～</t>
    <phoneticPr fontId="10"/>
  </si>
  <si>
    <t>JOD特別版0928</t>
    <rPh sb="3" eb="5">
      <t>トクベツ</t>
    </rPh>
    <rPh sb="5" eb="6">
      <t>バン</t>
    </rPh>
    <phoneticPr fontId="10"/>
  </si>
  <si>
    <t>調整</t>
    <rPh sb="0" eb="2">
      <t>チョウセイ</t>
    </rPh>
    <phoneticPr fontId="2"/>
  </si>
  <si>
    <t>セシール</t>
    <phoneticPr fontId="10"/>
  </si>
  <si>
    <t>全国通販　花まる/まるごと7782⑧</t>
    <rPh sb="0" eb="2">
      <t>ゼンコク</t>
    </rPh>
    <rPh sb="2" eb="4">
      <t>ツウハン</t>
    </rPh>
    <rPh sb="5" eb="6">
      <t>ハナ</t>
    </rPh>
    <phoneticPr fontId="10"/>
  </si>
  <si>
    <t>夢販</t>
    <rPh sb="0" eb="2">
      <t>ユメハン</t>
    </rPh>
    <phoneticPr fontId="10"/>
  </si>
  <si>
    <t>かりん</t>
    <phoneticPr fontId="10"/>
  </si>
  <si>
    <t>全国通販⑧</t>
    <rPh sb="0" eb="2">
      <t>ゼンコク</t>
    </rPh>
    <rPh sb="2" eb="4">
      <t>ツウハン</t>
    </rPh>
    <phoneticPr fontId="10"/>
  </si>
  <si>
    <t>セシール撮影用sample</t>
    <rPh sb="4" eb="7">
      <t>サツエイヨウ</t>
    </rPh>
    <phoneticPr fontId="10"/>
  </si>
  <si>
    <t>セシール撮影用sample</t>
    <rPh sb="4" eb="7">
      <t>サツエイヨウ</t>
    </rPh>
    <phoneticPr fontId="10"/>
  </si>
  <si>
    <t>はぴねすくらぶ8月号④</t>
    <rPh sb="8" eb="10">
      <t>ガツゴウ</t>
    </rPh>
    <phoneticPr fontId="10"/>
  </si>
  <si>
    <t>はぴねすくらぶ8月号④</t>
    <rPh sb="8" eb="9">
      <t>ガツ</t>
    </rPh>
    <rPh sb="9" eb="10">
      <t>ゴウ</t>
    </rPh>
    <phoneticPr fontId="10"/>
  </si>
  <si>
    <t>全国通販　花まる/まるごと7782⑨</t>
    <rPh sb="0" eb="2">
      <t>ゼンコク</t>
    </rPh>
    <rPh sb="2" eb="4">
      <t>ツウハン</t>
    </rPh>
    <rPh sb="5" eb="6">
      <t>ハナ</t>
    </rPh>
    <phoneticPr fontId="10"/>
  </si>
  <si>
    <t>JOD</t>
    <phoneticPr fontId="10"/>
  </si>
  <si>
    <t>JOD</t>
    <phoneticPr fontId="10"/>
  </si>
  <si>
    <t>セシール20B&amp;H Vol.1</t>
    <phoneticPr fontId="10"/>
  </si>
  <si>
    <t>12/2～</t>
    <phoneticPr fontId="10"/>
  </si>
  <si>
    <t>7/1～9/30</t>
    <phoneticPr fontId="10"/>
  </si>
  <si>
    <t>6/1～9/30</t>
    <phoneticPr fontId="10"/>
  </si>
  <si>
    <t>ネット</t>
    <phoneticPr fontId="10"/>
  </si>
  <si>
    <t>はぴねすくらぶ8月号⑤</t>
    <rPh sb="8" eb="10">
      <t>ガツゴウ</t>
    </rPh>
    <phoneticPr fontId="10"/>
  </si>
  <si>
    <t>はぴねすくらぶ8月号⑤</t>
    <rPh sb="8" eb="9">
      <t>ガツ</t>
    </rPh>
    <rPh sb="9" eb="10">
      <t>ゴウ</t>
    </rPh>
    <phoneticPr fontId="10"/>
  </si>
  <si>
    <t>IEI　１０月号</t>
    <rPh sb="6" eb="8">
      <t>ガツゴウ</t>
    </rPh>
    <phoneticPr fontId="10"/>
  </si>
  <si>
    <t>10月</t>
    <rPh sb="2" eb="3">
      <t>ガツ</t>
    </rPh>
    <phoneticPr fontId="10"/>
  </si>
  <si>
    <t>IEI１０月号</t>
    <rPh sb="5" eb="7">
      <t>ガツゴウ</t>
    </rPh>
    <phoneticPr fontId="10"/>
  </si>
  <si>
    <t>１０月</t>
    <rPh sb="2" eb="3">
      <t>ガツ</t>
    </rPh>
    <phoneticPr fontId="10"/>
  </si>
  <si>
    <t>調整</t>
    <rPh sb="0" eb="2">
      <t>チョウセイ</t>
    </rPh>
    <phoneticPr fontId="10"/>
  </si>
  <si>
    <t>はぴねすくらぶ8月号⑥</t>
    <rPh sb="8" eb="9">
      <t>ガツ</t>
    </rPh>
    <rPh sb="9" eb="10">
      <t>ゴウ</t>
    </rPh>
    <phoneticPr fontId="10"/>
  </si>
  <si>
    <t>10/10～</t>
    <phoneticPr fontId="10"/>
  </si>
  <si>
    <t>JODメルシースポーツ7593（裏）</t>
    <rPh sb="16" eb="17">
      <t>ウラ</t>
    </rPh>
    <phoneticPr fontId="10"/>
  </si>
  <si>
    <t>JODメルシー0903</t>
    <phoneticPr fontId="10"/>
  </si>
  <si>
    <t>9/3～</t>
    <phoneticPr fontId="10"/>
  </si>
  <si>
    <t>はぴねすくらぶ8月号⑥</t>
    <rPh sb="8" eb="10">
      <t>ガツゴウ</t>
    </rPh>
    <phoneticPr fontId="10"/>
  </si>
  <si>
    <t>はぴねすくらぶ8月号⑦</t>
    <rPh sb="8" eb="9">
      <t>ガツ</t>
    </rPh>
    <rPh sb="9" eb="10">
      <t>ゴウ</t>
    </rPh>
    <phoneticPr fontId="10"/>
  </si>
  <si>
    <t>夢販</t>
    <rPh sb="0" eb="2">
      <t>ユメハン</t>
    </rPh>
    <phoneticPr fontId="10"/>
  </si>
  <si>
    <t>ネット返品</t>
    <rPh sb="3" eb="5">
      <t>ヘンピン</t>
    </rPh>
    <phoneticPr fontId="10"/>
  </si>
  <si>
    <t>KPORT</t>
    <phoneticPr fontId="10"/>
  </si>
  <si>
    <t>KPORT</t>
    <phoneticPr fontId="10"/>
  </si>
  <si>
    <t>JODアクセス7065</t>
    <phoneticPr fontId="10"/>
  </si>
  <si>
    <t>11/14～</t>
    <phoneticPr fontId="10"/>
  </si>
  <si>
    <t>かりん</t>
    <phoneticPr fontId="10"/>
  </si>
  <si>
    <t>かりん</t>
    <phoneticPr fontId="10"/>
  </si>
  <si>
    <t>はぴねすくらぶ8月号⑦</t>
    <rPh sb="8" eb="10">
      <t>ガツゴウ</t>
    </rPh>
    <phoneticPr fontId="10"/>
  </si>
  <si>
    <t>はぴねすくらぶ8月⑤</t>
    <rPh sb="8" eb="9">
      <t>ガツ</t>
    </rPh>
    <phoneticPr fontId="10"/>
  </si>
  <si>
    <t>はぴねすくらぶ8月号⑧</t>
    <rPh sb="8" eb="9">
      <t>ガツ</t>
    </rPh>
    <rPh sb="9" eb="10">
      <t>ゴウ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</si>
  <si>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</si>
  <si>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</si>
  <si>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</si>
  <si>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</si>
  <si>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追加</t>
    <rPh sb="0" eb="2">
      <t>ツイカ</t>
    </rPh>
    <phoneticPr fontId="10"/>
  </si>
  <si>
    <t>ネット</t>
    <phoneticPr fontId="10"/>
  </si>
  <si>
    <t>ニッセン10/15</t>
    <phoneticPr fontId="10"/>
  </si>
  <si>
    <t>JOD</t>
    <phoneticPr fontId="10"/>
  </si>
  <si>
    <t>全国通販⑨</t>
    <rPh sb="0" eb="2">
      <t>ゼンコク</t>
    </rPh>
    <rPh sb="2" eb="4">
      <t>ツウハン</t>
    </rPh>
    <phoneticPr fontId="10"/>
  </si>
  <si>
    <t>セシール返品</t>
    <rPh sb="4" eb="6">
      <t>ヘンピン</t>
    </rPh>
    <phoneticPr fontId="10"/>
  </si>
  <si>
    <t>セシール</t>
    <phoneticPr fontId="10"/>
  </si>
  <si>
    <t>千趣会㉘</t>
    <rPh sb="0" eb="3">
      <t>センシュカイ</t>
    </rPh>
    <phoneticPr fontId="10"/>
  </si>
  <si>
    <t>追加</t>
    <rPh sb="0" eb="2">
      <t>ツイカ</t>
    </rPh>
    <phoneticPr fontId="10"/>
  </si>
  <si>
    <t>KPORT</t>
    <phoneticPr fontId="10"/>
  </si>
  <si>
    <t>はぴねすくらぶ8月号⑧</t>
    <rPh sb="8" eb="10">
      <t>ガツゴウ</t>
    </rPh>
    <phoneticPr fontId="10"/>
  </si>
  <si>
    <t>はぴねすくらぶ8月号⑨</t>
    <rPh sb="8" eb="9">
      <t>ガツ</t>
    </rPh>
    <rPh sb="9" eb="10">
      <t>ゴウ</t>
    </rPh>
    <phoneticPr fontId="10"/>
  </si>
  <si>
    <t>追加</t>
    <rPh sb="0" eb="2">
      <t>ツイカ</t>
    </rPh>
    <phoneticPr fontId="10"/>
  </si>
  <si>
    <t>JOD</t>
    <phoneticPr fontId="10"/>
  </si>
  <si>
    <t>全国通販返品</t>
    <rPh sb="0" eb="2">
      <t>ゼンコク</t>
    </rPh>
    <rPh sb="2" eb="4">
      <t>ツウハン</t>
    </rPh>
    <rPh sb="4" eb="6">
      <t>ヘンピン</t>
    </rPh>
    <phoneticPr fontId="10"/>
  </si>
  <si>
    <t>夢販</t>
    <rPh sb="0" eb="2">
      <t>ユメハン</t>
    </rPh>
    <phoneticPr fontId="10"/>
  </si>
  <si>
    <t>はぴねすくらぶ8月号⑩</t>
    <rPh sb="8" eb="9">
      <t>ガツ</t>
    </rPh>
    <rPh sb="9" eb="10">
      <t>ゴウ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</si>
  <si>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</si>
  <si>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</si>
  <si>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5Ｌ/96、6Ｌ/106、8Ｌ/76、10Ｌ/31</t>
    <phoneticPr fontId="10"/>
  </si>
  <si>
    <t>IEI　１２月号</t>
    <rPh sb="6" eb="8">
      <t>ガツゴウ</t>
    </rPh>
    <phoneticPr fontId="10"/>
  </si>
  <si>
    <t>12/4～</t>
    <phoneticPr fontId="10"/>
  </si>
  <si>
    <t>IEI１２月号</t>
    <rPh sb="5" eb="7">
      <t>ガツゴウ</t>
    </rPh>
    <phoneticPr fontId="10"/>
  </si>
  <si>
    <t>12/4～</t>
    <phoneticPr fontId="10"/>
  </si>
  <si>
    <t>セシール2020年夏特別号</t>
    <rPh sb="8" eb="9">
      <t>ネン</t>
    </rPh>
    <rPh sb="9" eb="13">
      <t>ナツトクベツゴウ</t>
    </rPh>
    <phoneticPr fontId="10"/>
  </si>
  <si>
    <t>3/上旬～</t>
    <rPh sb="2" eb="4">
      <t>ジョウジュン</t>
    </rPh>
    <phoneticPr fontId="10"/>
  </si>
  <si>
    <t>セシール20年夏特別号</t>
    <rPh sb="6" eb="7">
      <t>ネン</t>
    </rPh>
    <rPh sb="7" eb="11">
      <t>ナツトクベツゴウ</t>
    </rPh>
    <phoneticPr fontId="10"/>
  </si>
  <si>
    <t>3/上旬～</t>
    <rPh sb="2" eb="5">
      <t>ジョウジュンカラ</t>
    </rPh>
    <phoneticPr fontId="10"/>
  </si>
  <si>
    <t>セシール20年夏特別号</t>
    <rPh sb="6" eb="11">
      <t>ネンナツトクベツゴウ</t>
    </rPh>
    <phoneticPr fontId="10"/>
  </si>
  <si>
    <t>はぴねすくらぶ8月号⑨</t>
    <rPh sb="8" eb="10">
      <t>ガツゴウ</t>
    </rPh>
    <phoneticPr fontId="10"/>
  </si>
  <si>
    <t>はぴねすくらぶ8月号⑪</t>
    <rPh sb="8" eb="9">
      <t>ガツ</t>
    </rPh>
    <rPh sb="9" eb="10">
      <t>ゴウ</t>
    </rPh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</si>
  <si>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</si>
  <si>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</si>
  <si>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</si>
  <si>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セシール</t>
    <phoneticPr fontId="10"/>
  </si>
  <si>
    <t>JOD返品</t>
    <rPh sb="3" eb="5">
      <t>ヘンピン</t>
    </rPh>
    <phoneticPr fontId="10"/>
  </si>
  <si>
    <t>ＪＯＤ返品</t>
    <rPh sb="3" eb="5">
      <t>ヘンピン</t>
    </rPh>
    <phoneticPr fontId="10"/>
  </si>
  <si>
    <t>JOD特別版1128</t>
    <rPh sb="3" eb="5">
      <t>トクベツ</t>
    </rPh>
    <rPh sb="5" eb="6">
      <t>バン</t>
    </rPh>
    <phoneticPr fontId="10"/>
  </si>
  <si>
    <t>11/27～</t>
    <phoneticPr fontId="10"/>
  </si>
  <si>
    <t>11/27～</t>
    <phoneticPr fontId="10"/>
  </si>
  <si>
    <t>JOD特別版1128</t>
    <rPh sb="3" eb="6">
      <t>トクベツバン</t>
    </rPh>
    <phoneticPr fontId="10"/>
  </si>
  <si>
    <t>かりん</t>
    <phoneticPr fontId="10"/>
  </si>
  <si>
    <t>かりん</t>
    <phoneticPr fontId="10"/>
  </si>
  <si>
    <t>KPORT</t>
    <phoneticPr fontId="10"/>
  </si>
  <si>
    <t>KPORT</t>
    <phoneticPr fontId="10"/>
  </si>
  <si>
    <t>KPORT</t>
    <phoneticPr fontId="10"/>
  </si>
  <si>
    <t>KPORT</t>
    <phoneticPr fontId="10"/>
  </si>
  <si>
    <t>KPORT</t>
    <phoneticPr fontId="10"/>
  </si>
  <si>
    <t>JOD返品</t>
    <rPh sb="3" eb="5">
      <t>ヘンピン</t>
    </rPh>
    <phoneticPr fontId="10"/>
  </si>
  <si>
    <t>納前検品分</t>
    <rPh sb="0" eb="1">
      <t>ノウ</t>
    </rPh>
    <rPh sb="1" eb="2">
      <t>マエ</t>
    </rPh>
    <rPh sb="2" eb="4">
      <t>ケンピン</t>
    </rPh>
    <rPh sb="4" eb="5">
      <t>ブン</t>
    </rPh>
    <phoneticPr fontId="10"/>
  </si>
  <si>
    <t>納前検品分</t>
    <rPh sb="0" eb="1">
      <t>ノウ</t>
    </rPh>
    <rPh sb="1" eb="2">
      <t>マエ</t>
    </rPh>
    <phoneticPr fontId="2"/>
  </si>
  <si>
    <t>電話注文</t>
    <rPh sb="0" eb="2">
      <t>デンワ</t>
    </rPh>
    <rPh sb="2" eb="4">
      <t>チュウモン</t>
    </rPh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</si>
  <si>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</si>
  <si>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</si>
  <si>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</si>
  <si>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夢販</t>
    <rPh sb="0" eb="2">
      <t>ユメハン</t>
    </rPh>
    <phoneticPr fontId="10"/>
  </si>
  <si>
    <t>全国通販</t>
    <rPh sb="0" eb="2">
      <t>ゼンコク</t>
    </rPh>
    <rPh sb="2" eb="4">
      <t>ツウハン</t>
    </rPh>
    <phoneticPr fontId="10"/>
  </si>
  <si>
    <t>ネット交換</t>
    <rPh sb="3" eb="5">
      <t>コウカン</t>
    </rPh>
    <phoneticPr fontId="10"/>
  </si>
  <si>
    <t>KPORT</t>
    <phoneticPr fontId="10"/>
  </si>
  <si>
    <t>セシール</t>
    <phoneticPr fontId="10"/>
  </si>
  <si>
    <t>2019/12/13伝</t>
    <rPh sb="10" eb="11">
      <t>デン</t>
    </rPh>
    <phoneticPr fontId="10"/>
  </si>
  <si>
    <t>JOD</t>
    <phoneticPr fontId="10"/>
  </si>
  <si>
    <t>全国通販サンプル</t>
    <rPh sb="0" eb="2">
      <t>ゼンコク</t>
    </rPh>
    <rPh sb="2" eb="4">
      <t>ツウハン</t>
    </rPh>
    <phoneticPr fontId="10"/>
  </si>
  <si>
    <t>IEI　２月号</t>
    <rPh sb="5" eb="7">
      <t>ガツゴウ</t>
    </rPh>
    <phoneticPr fontId="10"/>
  </si>
  <si>
    <t>2/10～</t>
  </si>
  <si>
    <t>2/10～</t>
    <phoneticPr fontId="10"/>
  </si>
  <si>
    <t>マイジールサンプル返却</t>
    <rPh sb="9" eb="11">
      <t>ヘンキャク</t>
    </rPh>
    <phoneticPr fontId="2"/>
  </si>
  <si>
    <t>マイジールサンプル返却</t>
    <rPh sb="9" eb="11">
      <t>ヘンキャク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</si>
  <si>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</si>
  <si>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</si>
  <si>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セシール20B&amp;H春スペシャル</t>
    <rPh sb="9" eb="10">
      <t>ハル</t>
    </rPh>
    <phoneticPr fontId="10"/>
  </si>
  <si>
    <t>3/2～</t>
    <phoneticPr fontId="10"/>
  </si>
  <si>
    <t>セシール返品</t>
    <rPh sb="4" eb="6">
      <t>ヘンピン</t>
    </rPh>
    <phoneticPr fontId="10"/>
  </si>
  <si>
    <t>2/27～</t>
    <phoneticPr fontId="10"/>
  </si>
  <si>
    <t>JODメルシー0227</t>
    <phoneticPr fontId="10"/>
  </si>
  <si>
    <t>JODメルシー0227</t>
    <phoneticPr fontId="10"/>
  </si>
  <si>
    <t>2/27～</t>
    <phoneticPr fontId="10"/>
  </si>
  <si>
    <t>かりん</t>
    <phoneticPr fontId="10"/>
  </si>
  <si>
    <t>かりん</t>
    <phoneticPr fontId="10"/>
  </si>
  <si>
    <t>千趣会返品</t>
    <rPh sb="0" eb="3">
      <t>センシュカイ</t>
    </rPh>
    <rPh sb="3" eb="5">
      <t>ヘンピン</t>
    </rPh>
    <phoneticPr fontId="10"/>
  </si>
  <si>
    <t>大阪パルコープ（集）3-3ｗ</t>
    <rPh sb="0" eb="2">
      <t>オオサカ</t>
    </rPh>
    <rPh sb="8" eb="9">
      <t>シュウ</t>
    </rPh>
    <phoneticPr fontId="10"/>
  </si>
  <si>
    <t>3/16～3/25　1～3回</t>
    <rPh sb="13" eb="14">
      <t>カイ</t>
    </rPh>
    <phoneticPr fontId="10"/>
  </si>
  <si>
    <t>KPORT</t>
    <phoneticPr fontId="10"/>
  </si>
  <si>
    <t>KPORT</t>
    <phoneticPr fontId="10"/>
  </si>
  <si>
    <t>KPORT</t>
    <phoneticPr fontId="10"/>
  </si>
  <si>
    <t>KPORT</t>
    <phoneticPr fontId="10"/>
  </si>
  <si>
    <t>追加</t>
    <rPh sb="0" eb="2">
      <t>ツイカ</t>
    </rPh>
    <phoneticPr fontId="10"/>
  </si>
  <si>
    <t>全国通販sample</t>
    <rPh sb="0" eb="4">
      <t>ゼンコクツウハン</t>
    </rPh>
    <phoneticPr fontId="10"/>
  </si>
  <si>
    <t>JOD</t>
    <phoneticPr fontId="10"/>
  </si>
  <si>
    <t>ネット</t>
    <phoneticPr fontId="10"/>
  </si>
  <si>
    <t>ネット</t>
    <phoneticPr fontId="10"/>
  </si>
  <si>
    <t>夢販</t>
    <rPh sb="0" eb="2">
      <t>ユメハン</t>
    </rPh>
    <phoneticPr fontId="10"/>
  </si>
  <si>
    <t>JOD特別版0317</t>
    <rPh sb="3" eb="5">
      <t>トクベツ</t>
    </rPh>
    <rPh sb="5" eb="6">
      <t>バン</t>
    </rPh>
    <phoneticPr fontId="10"/>
  </si>
  <si>
    <t>3/16～</t>
    <phoneticPr fontId="10"/>
  </si>
  <si>
    <t>JOD特別版0317</t>
    <rPh sb="3" eb="6">
      <t>トクベツバン</t>
    </rPh>
    <phoneticPr fontId="10"/>
  </si>
  <si>
    <t>3/16～</t>
    <phoneticPr fontId="10"/>
  </si>
  <si>
    <t>全国通販返品</t>
    <rPh sb="0" eb="4">
      <t>ゼンコクツウハン</t>
    </rPh>
    <rPh sb="4" eb="6">
      <t>ヘンピン</t>
    </rPh>
    <phoneticPr fontId="2"/>
  </si>
  <si>
    <t>KPORT</t>
    <phoneticPr fontId="10"/>
  </si>
  <si>
    <t>KPORT</t>
    <phoneticPr fontId="10"/>
  </si>
  <si>
    <t>かりん</t>
    <phoneticPr fontId="10"/>
  </si>
  <si>
    <t>IEI　4月号</t>
    <rPh sb="5" eb="7">
      <t>ガツゴウ</t>
    </rPh>
    <phoneticPr fontId="10"/>
  </si>
  <si>
    <t>4/13～</t>
    <phoneticPr fontId="10"/>
  </si>
  <si>
    <t>IEI　２月号①</t>
    <rPh sb="5" eb="7">
      <t>ガツゴウ</t>
    </rPh>
    <phoneticPr fontId="10"/>
  </si>
  <si>
    <t>IEI　２月号②</t>
    <rPh sb="5" eb="7">
      <t>ガツゴウ</t>
    </rPh>
    <phoneticPr fontId="10"/>
  </si>
  <si>
    <t>IEI　２月号③</t>
    <rPh sb="5" eb="7">
      <t>ガツゴウ</t>
    </rPh>
    <phoneticPr fontId="10"/>
  </si>
  <si>
    <t>電話注文</t>
    <rPh sb="0" eb="2">
      <t>デンワ</t>
    </rPh>
    <rPh sb="2" eb="4">
      <t>チュウモン</t>
    </rPh>
    <phoneticPr fontId="10"/>
  </si>
  <si>
    <t>電話注文</t>
    <rPh sb="0" eb="4">
      <t>デンワチュウモン</t>
    </rPh>
    <phoneticPr fontId="10"/>
  </si>
  <si>
    <t>3/25～</t>
    <phoneticPr fontId="10"/>
  </si>
  <si>
    <t>JOD特別版0326</t>
    <rPh sb="3" eb="6">
      <t>トクベツバン</t>
    </rPh>
    <phoneticPr fontId="10"/>
  </si>
  <si>
    <t>JOD特別版0326</t>
    <rPh sb="3" eb="5">
      <t>トクベツ</t>
    </rPh>
    <rPh sb="5" eb="6">
      <t>バン</t>
    </rPh>
    <phoneticPr fontId="10"/>
  </si>
  <si>
    <t>夢販</t>
    <rPh sb="0" eb="2">
      <t>ユメハン</t>
    </rPh>
    <phoneticPr fontId="10"/>
  </si>
  <si>
    <t>かりん</t>
    <phoneticPr fontId="10"/>
  </si>
  <si>
    <t>IEI　２月号④</t>
    <rPh sb="5" eb="7">
      <t>ガツゴウ</t>
    </rPh>
    <phoneticPr fontId="10"/>
  </si>
  <si>
    <t>全国通販ﾐｾｽ/ﾅｲｽ7891</t>
    <rPh sb="0" eb="4">
      <t>ゼンコクツウハン</t>
    </rPh>
    <phoneticPr fontId="10"/>
  </si>
  <si>
    <t>6/1～8/31</t>
    <phoneticPr fontId="10"/>
  </si>
  <si>
    <t>全国通販ﾐｾｽ/ﾅｲｽ7891</t>
    <rPh sb="0" eb="2">
      <t>ゼンコク</t>
    </rPh>
    <rPh sb="2" eb="4">
      <t>ツウハン</t>
    </rPh>
    <phoneticPr fontId="10"/>
  </si>
  <si>
    <t>JOD</t>
    <phoneticPr fontId="10"/>
  </si>
  <si>
    <t>かりん</t>
    <phoneticPr fontId="10"/>
  </si>
  <si>
    <t>JODアクセス7068</t>
    <phoneticPr fontId="10"/>
  </si>
  <si>
    <t>4/23～</t>
    <phoneticPr fontId="10"/>
  </si>
  <si>
    <t>大阪パルコープ（集）3-3ｗ①</t>
    <rPh sb="0" eb="2">
      <t>オオサカ</t>
    </rPh>
    <rPh sb="8" eb="9">
      <t>シュウ</t>
    </rPh>
    <phoneticPr fontId="10"/>
  </si>
  <si>
    <t>マイジール</t>
    <phoneticPr fontId="10"/>
  </si>
  <si>
    <t>IEI　２月号⑤</t>
    <rPh sb="5" eb="7">
      <t>ガツゴウ</t>
    </rPh>
    <phoneticPr fontId="10"/>
  </si>
  <si>
    <t>千趣会</t>
    <rPh sb="0" eb="3">
      <t>センシュカイ</t>
    </rPh>
    <phoneticPr fontId="10"/>
  </si>
  <si>
    <t>セシール20B&amp;H秋保存版</t>
    <rPh sb="9" eb="10">
      <t>アキ</t>
    </rPh>
    <rPh sb="10" eb="12">
      <t>ホゾン</t>
    </rPh>
    <rPh sb="12" eb="13">
      <t>バン</t>
    </rPh>
    <phoneticPr fontId="10"/>
  </si>
  <si>
    <t>7/1～</t>
    <phoneticPr fontId="10"/>
  </si>
  <si>
    <t>セシール20年秋保存版</t>
    <rPh sb="6" eb="7">
      <t>ネン</t>
    </rPh>
    <rPh sb="7" eb="10">
      <t>アキホゾン</t>
    </rPh>
    <rPh sb="10" eb="11">
      <t>バン</t>
    </rPh>
    <phoneticPr fontId="10"/>
  </si>
  <si>
    <t>セシール20B&amp;H秋保存版</t>
    <rPh sb="9" eb="13">
      <t>アキホゾンバン</t>
    </rPh>
    <phoneticPr fontId="10"/>
  </si>
  <si>
    <t>セシール2020年秋保存版</t>
    <rPh sb="8" eb="9">
      <t>ネン</t>
    </rPh>
    <rPh sb="9" eb="13">
      <t>アキホゾンバン</t>
    </rPh>
    <phoneticPr fontId="10"/>
  </si>
  <si>
    <t>IEI　4月号①</t>
    <rPh sb="5" eb="7">
      <t>ガツゴウ</t>
    </rPh>
    <phoneticPr fontId="10"/>
  </si>
  <si>
    <t>かりん</t>
    <phoneticPr fontId="10"/>
  </si>
  <si>
    <t>かりん</t>
    <phoneticPr fontId="10"/>
  </si>
  <si>
    <t>IEI交換</t>
    <rPh sb="3" eb="5">
      <t>コウカン</t>
    </rPh>
    <phoneticPr fontId="10"/>
  </si>
  <si>
    <t>IEI　4月号②</t>
    <rPh sb="5" eb="7">
      <t>ガツゴウ</t>
    </rPh>
    <phoneticPr fontId="10"/>
  </si>
  <si>
    <t>JOD</t>
    <phoneticPr fontId="10"/>
  </si>
  <si>
    <t>かりん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</si>
  <si>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</si>
  <si>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</si>
  <si>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全国通販ダイジェスト7890</t>
    <rPh sb="0" eb="2">
      <t>ゼンコク</t>
    </rPh>
    <rPh sb="2" eb="4">
      <t>ツウハン</t>
    </rPh>
    <phoneticPr fontId="10"/>
  </si>
  <si>
    <t>6/13～8/31</t>
    <phoneticPr fontId="10"/>
  </si>
  <si>
    <t>全国通販ダイジェスト7890</t>
    <rPh sb="0" eb="4">
      <t>ゼンコクツウハン</t>
    </rPh>
    <phoneticPr fontId="10"/>
  </si>
  <si>
    <t>ネット</t>
    <phoneticPr fontId="10"/>
  </si>
  <si>
    <t>全国通販</t>
    <rPh sb="0" eb="2">
      <t>ゼンコク</t>
    </rPh>
    <rPh sb="2" eb="4">
      <t>ツウハン</t>
    </rPh>
    <phoneticPr fontId="10"/>
  </si>
  <si>
    <t>全国通販</t>
    <rPh sb="0" eb="2">
      <t>ゼンコク</t>
    </rPh>
    <rPh sb="2" eb="4">
      <t>ツウハン</t>
    </rPh>
    <phoneticPr fontId="10"/>
  </si>
  <si>
    <t>全国通販</t>
    <rPh sb="0" eb="4">
      <t>ゼンコクツウハン</t>
    </rPh>
    <phoneticPr fontId="10"/>
  </si>
  <si>
    <t>JODメルシー0625</t>
    <phoneticPr fontId="10"/>
  </si>
  <si>
    <t>6/25～</t>
    <phoneticPr fontId="10"/>
  </si>
  <si>
    <t>ネット</t>
    <phoneticPr fontId="10"/>
  </si>
  <si>
    <t>IEI　4月号③</t>
    <rPh sb="5" eb="7">
      <t>ガツゴウ</t>
    </rPh>
    <phoneticPr fontId="10"/>
  </si>
  <si>
    <t>ネット</t>
    <phoneticPr fontId="10"/>
  </si>
  <si>
    <t>JOD</t>
    <phoneticPr fontId="10"/>
  </si>
  <si>
    <t>かりん</t>
    <phoneticPr fontId="10"/>
  </si>
  <si>
    <t>IEI　4月号④</t>
    <rPh sb="5" eb="7">
      <t>ガツゴウ</t>
    </rPh>
    <phoneticPr fontId="10"/>
  </si>
  <si>
    <t>追加</t>
    <rPh sb="0" eb="2">
      <t>ツイカ</t>
    </rPh>
    <phoneticPr fontId="10"/>
  </si>
  <si>
    <t>追加</t>
    <rPh sb="0" eb="2">
      <t>ツイカ</t>
    </rPh>
    <phoneticPr fontId="10"/>
  </si>
  <si>
    <t>IEI　4月号⑤</t>
    <rPh sb="5" eb="7">
      <t>ガツゴウ</t>
    </rPh>
    <phoneticPr fontId="10"/>
  </si>
  <si>
    <t>JOD</t>
    <phoneticPr fontId="10"/>
  </si>
  <si>
    <t>夢販</t>
    <rPh sb="0" eb="2">
      <t>ユメハン</t>
    </rPh>
    <phoneticPr fontId="10"/>
  </si>
  <si>
    <t>全国通販</t>
    <rPh sb="0" eb="2">
      <t>ゼンコク</t>
    </rPh>
    <rPh sb="2" eb="4">
      <t>ツウハン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</si>
  <si>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</si>
  <si>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</si>
  <si>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ネット</t>
    <phoneticPr fontId="10"/>
  </si>
  <si>
    <t>かりん</t>
    <phoneticPr fontId="10"/>
  </si>
  <si>
    <t>かりん</t>
    <phoneticPr fontId="10"/>
  </si>
  <si>
    <t>ネット</t>
    <phoneticPr fontId="10"/>
  </si>
  <si>
    <t>夢販</t>
    <rPh sb="0" eb="2">
      <t>ユメハン</t>
    </rPh>
    <phoneticPr fontId="10"/>
  </si>
  <si>
    <t>セシール21B&amp;H春夏保存版</t>
    <rPh sb="9" eb="11">
      <t>ハルナツ</t>
    </rPh>
    <rPh sb="11" eb="13">
      <t>ホゾン</t>
    </rPh>
    <rPh sb="13" eb="14">
      <t>バン</t>
    </rPh>
    <phoneticPr fontId="10"/>
  </si>
  <si>
    <t>12/1～</t>
    <phoneticPr fontId="10"/>
  </si>
  <si>
    <t>セシール21年春夏保存版</t>
    <rPh sb="6" eb="7">
      <t>ネン</t>
    </rPh>
    <rPh sb="7" eb="9">
      <t>ハルナツ</t>
    </rPh>
    <rPh sb="9" eb="11">
      <t>ホゾン</t>
    </rPh>
    <rPh sb="11" eb="12">
      <t>バン</t>
    </rPh>
    <phoneticPr fontId="10"/>
  </si>
  <si>
    <t>セシール2021年春夏保存版</t>
    <rPh sb="8" eb="9">
      <t>ネン</t>
    </rPh>
    <rPh sb="9" eb="11">
      <t>ハルナツ</t>
    </rPh>
    <rPh sb="11" eb="13">
      <t>ホゾン</t>
    </rPh>
    <rPh sb="13" eb="14">
      <t>バン</t>
    </rPh>
    <phoneticPr fontId="10"/>
  </si>
  <si>
    <t>全国通販サンプル返却</t>
    <rPh sb="0" eb="2">
      <t>ゼンコク</t>
    </rPh>
    <rPh sb="2" eb="4">
      <t>ツウハン</t>
    </rPh>
    <rPh sb="8" eb="10">
      <t>ヘンキャク</t>
    </rPh>
    <phoneticPr fontId="10"/>
  </si>
  <si>
    <t>全国通販sample返却</t>
    <rPh sb="0" eb="4">
      <t>ゼンコクツウハン</t>
    </rPh>
    <rPh sb="10" eb="12">
      <t>ヘンキャク</t>
    </rPh>
    <phoneticPr fontId="10"/>
  </si>
  <si>
    <t>電話注文</t>
    <rPh sb="0" eb="2">
      <t>デンワ</t>
    </rPh>
    <rPh sb="2" eb="4">
      <t>チュウモン</t>
    </rPh>
    <phoneticPr fontId="10"/>
  </si>
  <si>
    <t>電話注文</t>
    <rPh sb="0" eb="4">
      <t>デンワチュウモン</t>
    </rPh>
    <phoneticPr fontId="10"/>
  </si>
  <si>
    <t>かりん</t>
  </si>
  <si>
    <t>夢販</t>
    <rPh sb="0" eb="2">
      <t>ユメハン</t>
    </rPh>
    <phoneticPr fontId="10"/>
  </si>
  <si>
    <t>KPORT</t>
    <phoneticPr fontId="10"/>
  </si>
  <si>
    <t>夢販</t>
    <rPh sb="0" eb="2">
      <t>ユメハン</t>
    </rPh>
    <phoneticPr fontId="10"/>
  </si>
  <si>
    <t>かりん</t>
    <phoneticPr fontId="10"/>
  </si>
  <si>
    <t>かりん</t>
    <phoneticPr fontId="10"/>
  </si>
  <si>
    <t>在庫確認</t>
    <rPh sb="0" eb="4">
      <t>ザイコカクニン</t>
    </rPh>
    <phoneticPr fontId="2"/>
  </si>
  <si>
    <t>在庫確認</t>
    <rPh sb="0" eb="2">
      <t>ザイコ</t>
    </rPh>
    <rPh sb="2" eb="4">
      <t>カクニン</t>
    </rPh>
    <phoneticPr fontId="2"/>
  </si>
  <si>
    <t>全国返品</t>
    <rPh sb="0" eb="2">
      <t>ゼンコク</t>
    </rPh>
    <rPh sb="2" eb="4">
      <t>ヘンピン</t>
    </rPh>
    <phoneticPr fontId="2"/>
  </si>
  <si>
    <t>セシール返品</t>
    <rPh sb="4" eb="6">
      <t>ヘンピン</t>
    </rPh>
    <phoneticPr fontId="10"/>
  </si>
  <si>
    <t>かりん</t>
    <phoneticPr fontId="10"/>
  </si>
  <si>
    <t>かりん</t>
    <phoneticPr fontId="10"/>
  </si>
  <si>
    <t>かりん</t>
    <phoneticPr fontId="10"/>
  </si>
  <si>
    <t>KPORT</t>
    <phoneticPr fontId="10"/>
  </si>
  <si>
    <t>KPORT</t>
    <phoneticPr fontId="10"/>
  </si>
  <si>
    <t>KPORT</t>
    <phoneticPr fontId="10"/>
  </si>
  <si>
    <t>KPORT</t>
    <phoneticPr fontId="10"/>
  </si>
  <si>
    <t>JOD</t>
    <phoneticPr fontId="10"/>
  </si>
  <si>
    <t>ネット</t>
    <phoneticPr fontId="10"/>
  </si>
  <si>
    <t>ネット返品</t>
    <rPh sb="3" eb="5">
      <t>ヘンピン</t>
    </rPh>
    <phoneticPr fontId="10"/>
  </si>
  <si>
    <t>JODメルシー1027</t>
    <phoneticPr fontId="10"/>
  </si>
  <si>
    <t>10/27～</t>
    <phoneticPr fontId="10"/>
  </si>
  <si>
    <t>ＪＯＤメルシー1027</t>
    <phoneticPr fontId="10"/>
  </si>
  <si>
    <t>JODメルシー1027</t>
  </si>
  <si>
    <t>10/27～</t>
  </si>
  <si>
    <t>JOD返品</t>
    <rPh sb="3" eb="5">
      <t>ヘンピン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</si>
  <si>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</si>
  <si>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</si>
  <si>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全国通販返品</t>
    <rPh sb="0" eb="4">
      <t>ゼンコクツウハン</t>
    </rPh>
    <rPh sb="4" eb="6">
      <t>ヘンピン</t>
    </rPh>
    <phoneticPr fontId="10"/>
  </si>
  <si>
    <t>全国通販返品</t>
    <rPh sb="0" eb="6">
      <t>ゼンコクツウハンヘンピン</t>
    </rPh>
    <phoneticPr fontId="2"/>
  </si>
  <si>
    <t>IEI</t>
    <phoneticPr fontId="10"/>
  </si>
  <si>
    <t>IEI</t>
    <phoneticPr fontId="10"/>
  </si>
  <si>
    <t>ＪＯＤ特別号9570</t>
    <rPh sb="3" eb="5">
      <t>トクベツ</t>
    </rPh>
    <rPh sb="5" eb="6">
      <t>ゴウ</t>
    </rPh>
    <phoneticPr fontId="10"/>
  </si>
  <si>
    <t>11/21～</t>
    <phoneticPr fontId="10"/>
  </si>
  <si>
    <t>JOD特別号9570</t>
    <rPh sb="3" eb="5">
      <t>トクベツ</t>
    </rPh>
    <rPh sb="5" eb="6">
      <t>ゴウ</t>
    </rPh>
    <phoneticPr fontId="10"/>
  </si>
  <si>
    <t>JOD特別号9570</t>
    <rPh sb="3" eb="5">
      <t>トクベツ</t>
    </rPh>
    <rPh sb="5" eb="6">
      <t>ゴウ</t>
    </rPh>
    <phoneticPr fontId="10"/>
  </si>
  <si>
    <t>11/21～</t>
    <phoneticPr fontId="10"/>
  </si>
  <si>
    <t>追加</t>
    <rPh sb="0" eb="2">
      <t>ツイカ</t>
    </rPh>
    <phoneticPr fontId="10"/>
  </si>
  <si>
    <t>くらし石出さんsample返却</t>
    <rPh sb="3" eb="5">
      <t>イシデ</t>
    </rPh>
    <rPh sb="13" eb="15">
      <t>ヘンキャク</t>
    </rPh>
    <phoneticPr fontId="10"/>
  </si>
  <si>
    <t>12/1～</t>
  </si>
  <si>
    <t>夢販</t>
    <rPh sb="0" eb="2">
      <t>ユメハン</t>
    </rPh>
    <phoneticPr fontId="10"/>
  </si>
  <si>
    <t>JOD</t>
    <phoneticPr fontId="10"/>
  </si>
  <si>
    <t>JOD</t>
    <phoneticPr fontId="10"/>
  </si>
  <si>
    <t>千趣会</t>
    <rPh sb="0" eb="3">
      <t>センシュカイ</t>
    </rPh>
    <phoneticPr fontId="10"/>
  </si>
  <si>
    <t>JOD</t>
    <phoneticPr fontId="10"/>
  </si>
  <si>
    <t>夢販</t>
    <rPh sb="0" eb="2">
      <t>ユメハン</t>
    </rPh>
    <phoneticPr fontId="10"/>
  </si>
  <si>
    <t>ネット</t>
    <phoneticPr fontId="10"/>
  </si>
  <si>
    <t>JOD</t>
    <phoneticPr fontId="10"/>
  </si>
  <si>
    <t>かりん</t>
    <phoneticPr fontId="10"/>
  </si>
  <si>
    <t>ネット</t>
    <phoneticPr fontId="10"/>
  </si>
  <si>
    <t>夢販</t>
    <rPh sb="0" eb="2">
      <t>ユメハン</t>
    </rPh>
    <phoneticPr fontId="10"/>
  </si>
  <si>
    <t>かりん</t>
    <phoneticPr fontId="10"/>
  </si>
  <si>
    <t>夢販</t>
    <rPh sb="0" eb="2">
      <t>ユメハン</t>
    </rPh>
    <phoneticPr fontId="10"/>
  </si>
  <si>
    <t>追加</t>
    <rPh sb="0" eb="2">
      <t>ツイカ</t>
    </rPh>
    <phoneticPr fontId="10"/>
  </si>
  <si>
    <t>かりん</t>
    <phoneticPr fontId="10"/>
  </si>
  <si>
    <t>かりん</t>
    <phoneticPr fontId="10"/>
  </si>
  <si>
    <t>かりん</t>
    <phoneticPr fontId="10"/>
  </si>
  <si>
    <t>ＪＯＤ返品</t>
    <rPh sb="3" eb="5">
      <t>ヘンピン</t>
    </rPh>
    <phoneticPr fontId="10"/>
  </si>
  <si>
    <t>千趣会⑩</t>
    <phoneticPr fontId="10"/>
  </si>
  <si>
    <t>JOD返品</t>
    <rPh sb="3" eb="5">
      <t>ヘンピン</t>
    </rPh>
    <phoneticPr fontId="10"/>
  </si>
  <si>
    <t>KPORT</t>
    <phoneticPr fontId="10"/>
  </si>
  <si>
    <t>KPORT</t>
    <phoneticPr fontId="10"/>
  </si>
  <si>
    <t>セシール21B&amp;H秋号</t>
    <rPh sb="9" eb="10">
      <t>アキ</t>
    </rPh>
    <rPh sb="10" eb="11">
      <t>ゴウ</t>
    </rPh>
    <phoneticPr fontId="10"/>
  </si>
  <si>
    <t>セシールＢ＆Ｈ21年秋号</t>
    <rPh sb="9" eb="10">
      <t>ネン</t>
    </rPh>
    <rPh sb="10" eb="11">
      <t>アキ</t>
    </rPh>
    <rPh sb="11" eb="12">
      <t>ゴウ</t>
    </rPh>
    <phoneticPr fontId="10"/>
  </si>
  <si>
    <t>セシール2021年秋号</t>
    <rPh sb="8" eb="9">
      <t>ネン</t>
    </rPh>
    <rPh sb="9" eb="10">
      <t>アキ</t>
    </rPh>
    <rPh sb="10" eb="11">
      <t>ゴウ</t>
    </rPh>
    <phoneticPr fontId="10"/>
  </si>
  <si>
    <t>かりん</t>
    <phoneticPr fontId="10"/>
  </si>
  <si>
    <t>ネット</t>
    <phoneticPr fontId="10"/>
  </si>
  <si>
    <t>夢販</t>
    <rPh sb="0" eb="2">
      <t>ユメハン</t>
    </rPh>
    <phoneticPr fontId="10"/>
  </si>
  <si>
    <t>かりん</t>
    <phoneticPr fontId="10"/>
  </si>
  <si>
    <t>ネット</t>
    <phoneticPr fontId="10"/>
  </si>
  <si>
    <t>かりん</t>
    <phoneticPr fontId="10"/>
  </si>
  <si>
    <t>JOD</t>
    <phoneticPr fontId="10"/>
  </si>
  <si>
    <t>6月上旬～</t>
    <rPh sb="1" eb="2">
      <t>ガツ</t>
    </rPh>
    <rPh sb="2" eb="4">
      <t>ジョウジュン</t>
    </rPh>
    <phoneticPr fontId="10"/>
  </si>
  <si>
    <t>夢販</t>
    <rPh sb="0" eb="2">
      <t>ユメハン</t>
    </rPh>
    <phoneticPr fontId="10"/>
  </si>
  <si>
    <t>全国返品</t>
    <rPh sb="0" eb="4">
      <t>ゼンコクヘンピン</t>
    </rPh>
    <phoneticPr fontId="2"/>
  </si>
  <si>
    <t>全国返品</t>
    <rPh sb="0" eb="4">
      <t>ゼンコクヘンピン</t>
    </rPh>
    <phoneticPr fontId="10"/>
  </si>
  <si>
    <t>かりん返品</t>
    <rPh sb="3" eb="5">
      <t>ヘンピン</t>
    </rPh>
    <phoneticPr fontId="10"/>
  </si>
  <si>
    <t>KPORT</t>
    <phoneticPr fontId="10"/>
  </si>
  <si>
    <t>KPORT</t>
    <phoneticPr fontId="10"/>
  </si>
  <si>
    <t>KPORT</t>
    <phoneticPr fontId="10"/>
  </si>
  <si>
    <t>追加</t>
    <rPh sb="0" eb="2">
      <t>ツイカ</t>
    </rPh>
    <phoneticPr fontId="10"/>
  </si>
  <si>
    <t>かりん</t>
    <phoneticPr fontId="10"/>
  </si>
  <si>
    <t>KPORT</t>
    <phoneticPr fontId="10"/>
  </si>
  <si>
    <t>ネット</t>
    <phoneticPr fontId="10"/>
  </si>
  <si>
    <t>夢販</t>
    <rPh sb="0" eb="2">
      <t>ユメハン</t>
    </rPh>
    <phoneticPr fontId="10"/>
  </si>
  <si>
    <t>かりん</t>
    <phoneticPr fontId="10"/>
  </si>
  <si>
    <t>2019/2～</t>
    <phoneticPr fontId="10"/>
  </si>
  <si>
    <t>2019/3～</t>
  </si>
  <si>
    <t>M</t>
    <phoneticPr fontId="10"/>
  </si>
  <si>
    <t>L</t>
    <phoneticPr fontId="10"/>
  </si>
  <si>
    <t>LL</t>
    <phoneticPr fontId="10"/>
  </si>
  <si>
    <t>3L</t>
    <phoneticPr fontId="10"/>
  </si>
  <si>
    <t>4L</t>
    <phoneticPr fontId="10"/>
  </si>
  <si>
    <t>M</t>
    <phoneticPr fontId="10"/>
  </si>
  <si>
    <t>L</t>
    <phoneticPr fontId="10"/>
  </si>
  <si>
    <t>かりん</t>
    <phoneticPr fontId="10"/>
  </si>
  <si>
    <t>かりん</t>
    <phoneticPr fontId="10"/>
  </si>
  <si>
    <t>ネット交換</t>
    <rPh sb="3" eb="5">
      <t>コウカン</t>
    </rPh>
    <phoneticPr fontId="10"/>
  </si>
  <si>
    <t>千趣会</t>
    <rPh sb="0" eb="3">
      <t>センシュカイ</t>
    </rPh>
    <phoneticPr fontId="10"/>
  </si>
  <si>
    <t>千趣会⑪</t>
    <phoneticPr fontId="10"/>
  </si>
  <si>
    <t>かりん</t>
    <phoneticPr fontId="10"/>
  </si>
  <si>
    <t>かりん</t>
    <phoneticPr fontId="10"/>
  </si>
  <si>
    <t>かりん</t>
    <phoneticPr fontId="10"/>
  </si>
  <si>
    <t>ネット返品</t>
    <rPh sb="3" eb="5">
      <t>ヘンピン</t>
    </rPh>
    <phoneticPr fontId="10"/>
  </si>
  <si>
    <t>ネット返品</t>
    <rPh sb="3" eb="5">
      <t>ヘンピン</t>
    </rPh>
    <phoneticPr fontId="10"/>
  </si>
  <si>
    <t>千趣会</t>
    <rPh sb="0" eb="3">
      <t>センシュカイ</t>
    </rPh>
    <phoneticPr fontId="10"/>
  </si>
  <si>
    <t>セシール22B&amp;H春夏号</t>
    <rPh sb="9" eb="11">
      <t>ハルナツ</t>
    </rPh>
    <rPh sb="11" eb="12">
      <t>ゴウ</t>
    </rPh>
    <phoneticPr fontId="10"/>
  </si>
  <si>
    <t>セシール2022年春夏号</t>
    <rPh sb="8" eb="9">
      <t>ネン</t>
    </rPh>
    <rPh sb="9" eb="11">
      <t>ハルナツ</t>
    </rPh>
    <rPh sb="11" eb="12">
      <t>ゴウ</t>
    </rPh>
    <phoneticPr fontId="10"/>
  </si>
  <si>
    <t>セシールＢ＆Ｈ22年春夏号</t>
    <rPh sb="9" eb="10">
      <t>ネン</t>
    </rPh>
    <rPh sb="10" eb="12">
      <t>ハルナツ</t>
    </rPh>
    <rPh sb="12" eb="13">
      <t>ゴウ</t>
    </rPh>
    <phoneticPr fontId="10"/>
  </si>
  <si>
    <t>全国通販</t>
    <rPh sb="0" eb="4">
      <t>ゼンコクツウハン</t>
    </rPh>
    <phoneticPr fontId="10"/>
  </si>
  <si>
    <t>かりん</t>
    <phoneticPr fontId="10"/>
  </si>
  <si>
    <t>夢販</t>
    <rPh sb="0" eb="2">
      <t>ユメハン</t>
    </rPh>
    <phoneticPr fontId="10"/>
  </si>
  <si>
    <t>ネット交換</t>
    <rPh sb="3" eb="5">
      <t>コウカン</t>
    </rPh>
    <phoneticPr fontId="10"/>
  </si>
  <si>
    <t>夢販</t>
    <rPh sb="0" eb="2">
      <t>ユメハン</t>
    </rPh>
    <phoneticPr fontId="10"/>
  </si>
  <si>
    <t>千趣会</t>
    <rPh sb="0" eb="3">
      <t>センシュカイ</t>
    </rPh>
    <phoneticPr fontId="10"/>
  </si>
  <si>
    <t>全国通販</t>
    <rPh sb="0" eb="4">
      <t>ゼンコクツウハン</t>
    </rPh>
    <phoneticPr fontId="10"/>
  </si>
  <si>
    <t>追加</t>
    <rPh sb="0" eb="2">
      <t>ツイカ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</si>
  <si>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</si>
  <si>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</si>
  <si>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かりん</t>
    <phoneticPr fontId="10"/>
  </si>
  <si>
    <t>ネット</t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</si>
  <si>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</si>
  <si>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</si>
  <si>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</si>
  <si>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</si>
  <si>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かりん</t>
    <phoneticPr fontId="10"/>
  </si>
  <si>
    <t>セシール</t>
    <phoneticPr fontId="10"/>
  </si>
  <si>
    <t>千趣会返品</t>
    <rPh sb="0" eb="5">
      <t>センシュカイヘンピン</t>
    </rPh>
    <phoneticPr fontId="2"/>
  </si>
  <si>
    <t>棚卸</t>
    <rPh sb="0" eb="2">
      <t>タナオロシ</t>
    </rPh>
    <phoneticPr fontId="2"/>
  </si>
  <si>
    <t>棚卸</t>
    <rPh sb="0" eb="2">
      <t>タナオロシ</t>
    </rPh>
    <phoneticPr fontId="10"/>
  </si>
  <si>
    <t>かりん</t>
    <phoneticPr fontId="10"/>
  </si>
  <si>
    <t>不良</t>
    <rPh sb="0" eb="2">
      <t>フリョウ</t>
    </rPh>
    <phoneticPr fontId="10"/>
  </si>
  <si>
    <t>納前分</t>
    <rPh sb="0" eb="2">
      <t>ノウマエ</t>
    </rPh>
    <rPh sb="2" eb="3">
      <t>ブン</t>
    </rPh>
    <phoneticPr fontId="2"/>
  </si>
  <si>
    <t>納前分</t>
    <rPh sb="0" eb="3">
      <t>ノウマエブン</t>
    </rPh>
    <phoneticPr fontId="2"/>
  </si>
  <si>
    <t>JOD特別版1028</t>
    <rPh sb="3" eb="6">
      <t>トクベツバン</t>
    </rPh>
    <phoneticPr fontId="10"/>
  </si>
  <si>
    <t>かりん</t>
    <phoneticPr fontId="10"/>
  </si>
  <si>
    <t>不足分</t>
    <rPh sb="0" eb="3">
      <t>フソクブン</t>
    </rPh>
    <phoneticPr fontId="2"/>
  </si>
  <si>
    <t>夢販</t>
    <rPh sb="0" eb="2">
      <t>ユメハン</t>
    </rPh>
    <phoneticPr fontId="10"/>
  </si>
  <si>
    <t>JOD特別号9547</t>
    <rPh sb="3" eb="5">
      <t>トクベツ</t>
    </rPh>
    <rPh sb="5" eb="6">
      <t>ゴウ</t>
    </rPh>
    <phoneticPr fontId="10"/>
  </si>
  <si>
    <t>2022/10/6数伝</t>
    <rPh sb="9" eb="10">
      <t>スウ</t>
    </rPh>
    <rPh sb="10" eb="11">
      <t>デン</t>
    </rPh>
    <phoneticPr fontId="10"/>
  </si>
  <si>
    <t>夢販</t>
    <rPh sb="0" eb="2">
      <t>ユメハン</t>
    </rPh>
    <phoneticPr fontId="10"/>
  </si>
  <si>
    <t>JOD①</t>
    <phoneticPr fontId="10"/>
  </si>
  <si>
    <t>JOD①</t>
    <phoneticPr fontId="10"/>
  </si>
  <si>
    <t>JOD②</t>
    <phoneticPr fontId="10"/>
  </si>
  <si>
    <t>JOD①</t>
    <phoneticPr fontId="10"/>
  </si>
  <si>
    <t>JOD①</t>
    <phoneticPr fontId="10"/>
  </si>
  <si>
    <t>JOD②</t>
    <phoneticPr fontId="10"/>
  </si>
  <si>
    <t>JOD③</t>
    <phoneticPr fontId="10"/>
  </si>
  <si>
    <t>JOD②</t>
    <phoneticPr fontId="10"/>
  </si>
  <si>
    <t>JOD④</t>
    <phoneticPr fontId="10"/>
  </si>
  <si>
    <t>JOD③</t>
    <phoneticPr fontId="10"/>
  </si>
  <si>
    <t>JOD③</t>
    <phoneticPr fontId="10"/>
  </si>
  <si>
    <t>JOD⑤</t>
    <phoneticPr fontId="10"/>
  </si>
  <si>
    <t>JOD④</t>
    <phoneticPr fontId="10"/>
  </si>
  <si>
    <t>JOD④</t>
    <phoneticPr fontId="10"/>
  </si>
  <si>
    <t>JOD⑥</t>
    <phoneticPr fontId="10"/>
  </si>
  <si>
    <t>JOD⑤</t>
    <phoneticPr fontId="10"/>
  </si>
  <si>
    <t>JOD⑦</t>
    <phoneticPr fontId="10"/>
  </si>
  <si>
    <t>JOD③</t>
    <phoneticPr fontId="10"/>
  </si>
  <si>
    <t>JOD⑥</t>
    <phoneticPr fontId="10"/>
  </si>
  <si>
    <t>JOD⑦</t>
    <phoneticPr fontId="10"/>
  </si>
  <si>
    <t>JOD⑧</t>
    <phoneticPr fontId="10"/>
  </si>
  <si>
    <t>JOD⑤</t>
    <phoneticPr fontId="10"/>
  </si>
  <si>
    <t>JOD⑧</t>
    <phoneticPr fontId="10"/>
  </si>
  <si>
    <t>JOD⑦</t>
    <phoneticPr fontId="10"/>
  </si>
  <si>
    <t>JOD⑥</t>
    <phoneticPr fontId="10"/>
  </si>
  <si>
    <t>JOD⑨</t>
    <phoneticPr fontId="10"/>
  </si>
  <si>
    <t>JOD⑦</t>
    <phoneticPr fontId="10"/>
  </si>
  <si>
    <t>JOD⑨</t>
    <phoneticPr fontId="10"/>
  </si>
  <si>
    <t>JOD⑧</t>
    <phoneticPr fontId="10"/>
  </si>
  <si>
    <t>JOD⑩</t>
    <phoneticPr fontId="10"/>
  </si>
  <si>
    <t>JOD⑨</t>
    <phoneticPr fontId="10"/>
  </si>
  <si>
    <t>夢販</t>
    <rPh sb="0" eb="2">
      <t>ユメハン</t>
    </rPh>
    <phoneticPr fontId="10"/>
  </si>
  <si>
    <t>JOD⑨</t>
    <phoneticPr fontId="10"/>
  </si>
  <si>
    <t>JOD⑩</t>
    <phoneticPr fontId="10"/>
  </si>
  <si>
    <t>JOD⑪</t>
    <phoneticPr fontId="10"/>
  </si>
  <si>
    <t>JOD⑪</t>
    <phoneticPr fontId="10"/>
  </si>
  <si>
    <t>JOD⑩</t>
    <phoneticPr fontId="10"/>
  </si>
  <si>
    <t>JOD⑪</t>
    <phoneticPr fontId="10"/>
  </si>
  <si>
    <t>JOD⑫</t>
    <phoneticPr fontId="10"/>
  </si>
  <si>
    <t>JOD⑪</t>
    <phoneticPr fontId="10"/>
  </si>
  <si>
    <t>JOD⑫</t>
    <phoneticPr fontId="10"/>
  </si>
  <si>
    <t>JOD⑬</t>
    <phoneticPr fontId="10"/>
  </si>
  <si>
    <t>JOD⑬</t>
    <phoneticPr fontId="10"/>
  </si>
  <si>
    <t>JOD⑭</t>
    <phoneticPr fontId="10"/>
  </si>
  <si>
    <t>夢販</t>
    <rPh sb="0" eb="2">
      <t>ユメハン</t>
    </rPh>
    <phoneticPr fontId="10"/>
  </si>
  <si>
    <t>JOD⑫</t>
    <phoneticPr fontId="10"/>
  </si>
  <si>
    <t>JOD⑬</t>
    <phoneticPr fontId="10"/>
  </si>
  <si>
    <t>JOD⑭</t>
    <phoneticPr fontId="10"/>
  </si>
  <si>
    <t>JOD⑬</t>
    <phoneticPr fontId="10"/>
  </si>
  <si>
    <t>JOD⑭</t>
    <phoneticPr fontId="10"/>
  </si>
  <si>
    <t>JOD⑮</t>
    <phoneticPr fontId="10"/>
  </si>
  <si>
    <t>JOD⑯</t>
    <phoneticPr fontId="10"/>
  </si>
  <si>
    <t>JOD⑭</t>
    <phoneticPr fontId="10"/>
  </si>
  <si>
    <t>JOD⑮</t>
    <phoneticPr fontId="10"/>
  </si>
  <si>
    <t>JOD⑰</t>
    <phoneticPr fontId="10"/>
  </si>
  <si>
    <t>JOD⑱</t>
    <phoneticPr fontId="10"/>
  </si>
  <si>
    <t>サクラマチsample</t>
    <phoneticPr fontId="10"/>
  </si>
  <si>
    <t>JOD⑮</t>
    <phoneticPr fontId="10"/>
  </si>
  <si>
    <t>JOD⑮</t>
    <phoneticPr fontId="10"/>
  </si>
  <si>
    <t>JOD⑲</t>
    <phoneticPr fontId="10"/>
  </si>
  <si>
    <t>JOD⑯</t>
    <phoneticPr fontId="10"/>
  </si>
  <si>
    <t>JOD⑯</t>
    <phoneticPr fontId="10"/>
  </si>
  <si>
    <t>JOD⑯</t>
    <phoneticPr fontId="10"/>
  </si>
  <si>
    <t>JOD⑰</t>
    <phoneticPr fontId="10"/>
  </si>
  <si>
    <t>かりん</t>
    <phoneticPr fontId="10"/>
  </si>
  <si>
    <t>JOD⑱</t>
    <phoneticPr fontId="10"/>
  </si>
  <si>
    <t>かりん</t>
    <phoneticPr fontId="10"/>
  </si>
  <si>
    <t>かりん</t>
    <phoneticPr fontId="10"/>
  </si>
  <si>
    <t>JOD⑳</t>
    <phoneticPr fontId="10"/>
  </si>
  <si>
    <t>夢販</t>
    <rPh sb="0" eb="2">
      <t>ユメハン</t>
    </rPh>
    <phoneticPr fontId="10"/>
  </si>
  <si>
    <t>JOD⑲</t>
    <phoneticPr fontId="10"/>
  </si>
  <si>
    <t>JOD㉑</t>
    <phoneticPr fontId="10"/>
  </si>
  <si>
    <t>JOD㉒</t>
    <phoneticPr fontId="10"/>
  </si>
  <si>
    <t>大阪いずみ4-1ｗ</t>
    <rPh sb="0" eb="2">
      <t>オオサカ</t>
    </rPh>
    <phoneticPr fontId="10"/>
  </si>
  <si>
    <t>3/27～4/17（1～10回）</t>
    <rPh sb="14" eb="15">
      <t>カイ</t>
    </rPh>
    <phoneticPr fontId="10"/>
  </si>
  <si>
    <t>ネット交換</t>
    <rPh sb="3" eb="5">
      <t>コウカン</t>
    </rPh>
    <phoneticPr fontId="10"/>
  </si>
  <si>
    <t>JOD</t>
    <phoneticPr fontId="10"/>
  </si>
  <si>
    <t>JOD⑳</t>
    <phoneticPr fontId="10"/>
  </si>
  <si>
    <t>JOD⑰</t>
    <phoneticPr fontId="10"/>
  </si>
  <si>
    <t>JOD⑱</t>
    <phoneticPr fontId="10"/>
  </si>
  <si>
    <t>JOD㉑</t>
    <phoneticPr fontId="10"/>
  </si>
  <si>
    <t>夢販</t>
    <rPh sb="0" eb="2">
      <t>ユメハン</t>
    </rPh>
    <phoneticPr fontId="10"/>
  </si>
  <si>
    <t>大阪いずみ4-1ｗ①</t>
    <rPh sb="0" eb="2">
      <t>オオサカ</t>
    </rPh>
    <phoneticPr fontId="10"/>
  </si>
  <si>
    <t>大阪いずみ4-1ｗ②</t>
    <rPh sb="0" eb="2">
      <t>オオサカ</t>
    </rPh>
    <phoneticPr fontId="10"/>
  </si>
  <si>
    <t>かりん</t>
    <phoneticPr fontId="10"/>
  </si>
  <si>
    <t>かりん</t>
    <phoneticPr fontId="10"/>
  </si>
  <si>
    <t>大阪いずみ4-1ｗ③</t>
    <rPh sb="0" eb="2">
      <t>オオサカ</t>
    </rPh>
    <phoneticPr fontId="10"/>
  </si>
  <si>
    <t>大阪いずみ4-1ｗ④</t>
    <rPh sb="0" eb="2">
      <t>オオサカ</t>
    </rPh>
    <phoneticPr fontId="10"/>
  </si>
  <si>
    <t>大阪いずみ4-1ｗ⑤</t>
    <rPh sb="0" eb="2">
      <t>オオサカ</t>
    </rPh>
    <phoneticPr fontId="10"/>
  </si>
  <si>
    <t>大阪いずみ4-1ｗ⑥</t>
    <rPh sb="0" eb="2">
      <t>オオサカ</t>
    </rPh>
    <phoneticPr fontId="10"/>
  </si>
  <si>
    <t>電話注文</t>
    <rPh sb="0" eb="4">
      <t>デンワチュウモン</t>
    </rPh>
    <phoneticPr fontId="10"/>
  </si>
  <si>
    <t>サクラマチ返品</t>
    <rPh sb="5" eb="7">
      <t>ヘンピン</t>
    </rPh>
    <phoneticPr fontId="2"/>
  </si>
  <si>
    <t>かりん</t>
    <phoneticPr fontId="10"/>
  </si>
  <si>
    <t>かりん</t>
    <phoneticPr fontId="10"/>
  </si>
  <si>
    <t>くらし企画棚橋さんsample</t>
    <rPh sb="3" eb="7">
      <t>キカクタナハシ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</si>
  <si>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</si>
  <si>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</si>
  <si>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在庫確認</t>
    <rPh sb="0" eb="2">
      <t>ザイコ</t>
    </rPh>
    <rPh sb="2" eb="4">
      <t>カクニン</t>
    </rPh>
    <phoneticPr fontId="10"/>
  </si>
  <si>
    <t>ネット</t>
    <phoneticPr fontId="10"/>
  </si>
  <si>
    <t>すこやかびと24夏号</t>
    <rPh sb="8" eb="10">
      <t>ナツゴウ</t>
    </rPh>
    <phoneticPr fontId="10"/>
  </si>
  <si>
    <t>在庫調整</t>
    <rPh sb="0" eb="4">
      <t>ザイコチョウセイ</t>
    </rPh>
    <phoneticPr fontId="2"/>
  </si>
  <si>
    <t>検査用</t>
    <rPh sb="0" eb="2">
      <t>ケンサ</t>
    </rPh>
    <rPh sb="2" eb="3">
      <t>ヨウ</t>
    </rPh>
    <phoneticPr fontId="10"/>
  </si>
  <si>
    <t>検査用</t>
    <rPh sb="0" eb="3">
      <t>ケンサヨウ</t>
    </rPh>
    <phoneticPr fontId="10"/>
  </si>
  <si>
    <t>日生協カタログ撮影用sample</t>
    <rPh sb="0" eb="3">
      <t>ニッセイキョウ</t>
    </rPh>
    <rPh sb="7" eb="10">
      <t>サツエイヨウ</t>
    </rPh>
    <phoneticPr fontId="10"/>
  </si>
  <si>
    <t>再検査用</t>
    <rPh sb="0" eb="1">
      <t>サイ</t>
    </rPh>
    <rPh sb="1" eb="4">
      <t>ケンサヨウ</t>
    </rPh>
    <phoneticPr fontId="10"/>
  </si>
  <si>
    <t>かりん</t>
    <phoneticPr fontId="10"/>
  </si>
  <si>
    <t>かりん</t>
    <phoneticPr fontId="10"/>
  </si>
  <si>
    <t>ネット交換</t>
    <rPh sb="3" eb="5">
      <t>コウカン</t>
    </rPh>
    <phoneticPr fontId="10"/>
  </si>
  <si>
    <t>電話注文</t>
    <rPh sb="0" eb="4">
      <t>デンワチュウモン</t>
    </rPh>
    <phoneticPr fontId="10"/>
  </si>
  <si>
    <t>3/25～9/19（展開開始3週間前に計画数の30％納品）</t>
    <rPh sb="19" eb="22">
      <t>ケイカクスウ</t>
    </rPh>
    <rPh sb="26" eb="28">
      <t>ノウヒン</t>
    </rPh>
    <phoneticPr fontId="10"/>
  </si>
  <si>
    <t>3/25～9/19（展開開始3週間前に計画数の30％納品）</t>
    <phoneticPr fontId="10"/>
  </si>
  <si>
    <t>かりん</t>
    <phoneticPr fontId="10"/>
  </si>
  <si>
    <t>日生協カタログ事前検査用sample</t>
    <rPh sb="0" eb="3">
      <t>ニッセイキョウ</t>
    </rPh>
    <rPh sb="7" eb="11">
      <t>ジゼンケンサ</t>
    </rPh>
    <rPh sb="11" eb="12">
      <t>ヨウ</t>
    </rPh>
    <phoneticPr fontId="10"/>
  </si>
  <si>
    <t>すこやかびと24夏号①</t>
    <rPh sb="8" eb="9">
      <t>ナツ</t>
    </rPh>
    <rPh sb="9" eb="10">
      <t>ゴウ</t>
    </rPh>
    <phoneticPr fontId="10"/>
  </si>
  <si>
    <t>すこやかびと24夏号①</t>
    <rPh sb="8" eb="10">
      <t>ナツゴウ</t>
    </rPh>
    <phoneticPr fontId="10"/>
  </si>
  <si>
    <t>全国通販</t>
    <rPh sb="0" eb="2">
      <t>ゼンコク</t>
    </rPh>
    <rPh sb="2" eb="4">
      <t>ツウハン</t>
    </rPh>
    <phoneticPr fontId="10"/>
  </si>
  <si>
    <t>すこやかびと24夏号追加分</t>
    <rPh sb="8" eb="10">
      <t>ナツゴウ</t>
    </rPh>
    <rPh sb="10" eb="12">
      <t>ツイカ</t>
    </rPh>
    <rPh sb="12" eb="13">
      <t>ブン</t>
    </rPh>
    <phoneticPr fontId="10"/>
  </si>
  <si>
    <t>すこやかびと24夏号②</t>
    <rPh sb="8" eb="9">
      <t>ナツ</t>
    </rPh>
    <rPh sb="9" eb="10">
      <t>ゴウ</t>
    </rPh>
    <phoneticPr fontId="10"/>
  </si>
  <si>
    <t>すこやかびと24夏号②</t>
    <rPh sb="8" eb="10">
      <t>ナツゴウ</t>
    </rPh>
    <phoneticPr fontId="10"/>
  </si>
  <si>
    <t>くらし返品予定</t>
    <rPh sb="3" eb="7">
      <t>ヘンピンヨテイ</t>
    </rPh>
    <phoneticPr fontId="2"/>
  </si>
  <si>
    <t>アテニア柿原さん</t>
    <rPh sb="4" eb="6">
      <t>カキハラ</t>
    </rPh>
    <phoneticPr fontId="10"/>
  </si>
  <si>
    <t>すこやかびと24夏号③</t>
    <rPh sb="8" eb="9">
      <t>ナツ</t>
    </rPh>
    <rPh sb="9" eb="10">
      <t>ゴウ</t>
    </rPh>
    <phoneticPr fontId="10"/>
  </si>
  <si>
    <t>すこやかびと24夏号③</t>
    <rPh sb="8" eb="10">
      <t>ナツゴウ</t>
    </rPh>
    <phoneticPr fontId="10"/>
  </si>
  <si>
    <t>すこやかびと24夏号④</t>
    <rPh sb="8" eb="9">
      <t>ナツ</t>
    </rPh>
    <rPh sb="9" eb="10">
      <t>ゴウ</t>
    </rPh>
    <phoneticPr fontId="10"/>
  </si>
  <si>
    <t>すこやかびと24夏号④</t>
    <rPh sb="8" eb="10">
      <t>ナツゴウ</t>
    </rPh>
    <phoneticPr fontId="10"/>
  </si>
  <si>
    <t>すこやかびと24夏号⑤</t>
    <rPh sb="8" eb="9">
      <t>ナツ</t>
    </rPh>
    <rPh sb="9" eb="10">
      <t>ゴウ</t>
    </rPh>
    <phoneticPr fontId="10"/>
  </si>
  <si>
    <t>すこやかびと24夏号⑤</t>
    <rPh sb="8" eb="10">
      <t>ナツゴウ</t>
    </rPh>
    <phoneticPr fontId="10"/>
  </si>
  <si>
    <t>すこやかびと24夏号⑥</t>
    <rPh sb="8" eb="10">
      <t>ナツゴウ</t>
    </rPh>
    <phoneticPr fontId="10"/>
  </si>
  <si>
    <t>すこやかびと24夏号⑥</t>
    <rPh sb="8" eb="9">
      <t>ナツ</t>
    </rPh>
    <rPh sb="9" eb="10">
      <t>ゴウ</t>
    </rPh>
    <phoneticPr fontId="10"/>
  </si>
  <si>
    <t>すこやかびと24夏号⑦</t>
    <rPh sb="8" eb="9">
      <t>ナツ</t>
    </rPh>
    <rPh sb="9" eb="10">
      <t>ゴウ</t>
    </rPh>
    <phoneticPr fontId="10"/>
  </si>
  <si>
    <t>すこやかびと24夏号⑦</t>
    <rPh sb="8" eb="10">
      <t>ナツゴウ</t>
    </rPh>
    <phoneticPr fontId="10"/>
  </si>
  <si>
    <t>すこやかびと24夏号⑧</t>
    <rPh sb="8" eb="9">
      <t>ナツ</t>
    </rPh>
    <rPh sb="9" eb="10">
      <t>ゴウ</t>
    </rPh>
    <phoneticPr fontId="10"/>
  </si>
  <si>
    <t>すこやかびと24夏号⑧</t>
    <rPh sb="8" eb="10">
      <t>ナツゴウ</t>
    </rPh>
    <phoneticPr fontId="10"/>
  </si>
  <si>
    <t>すこやかびと24夏号⑨</t>
    <rPh sb="8" eb="9">
      <t>ナツ</t>
    </rPh>
    <rPh sb="9" eb="10">
      <t>ゴウ</t>
    </rPh>
    <phoneticPr fontId="10"/>
  </si>
  <si>
    <t>すこやかびと24夏号⑨</t>
    <rPh sb="8" eb="10">
      <t>ナツゴウ</t>
    </rPh>
    <phoneticPr fontId="10"/>
  </si>
  <si>
    <t>すこやかびと24夏号⑩</t>
    <rPh sb="8" eb="9">
      <t>ナツ</t>
    </rPh>
    <rPh sb="9" eb="10">
      <t>ゴウ</t>
    </rPh>
    <phoneticPr fontId="10"/>
  </si>
  <si>
    <t>すこやかびと24夏号⑩</t>
    <rPh sb="8" eb="10">
      <t>ナツゴウ</t>
    </rPh>
    <phoneticPr fontId="10"/>
  </si>
  <si>
    <t>くらし企画返品</t>
    <rPh sb="3" eb="7">
      <t>キカクヘンピン</t>
    </rPh>
    <phoneticPr fontId="2"/>
  </si>
  <si>
    <t>Ｋ－ＰＯＲＴ</t>
    <phoneticPr fontId="10"/>
  </si>
  <si>
    <t>すこやかびと24夏号⑪</t>
    <rPh sb="8" eb="10">
      <t>ナツゴウ</t>
    </rPh>
    <phoneticPr fontId="10"/>
  </si>
  <si>
    <t>すこやかびと24夏号⑪</t>
    <rPh sb="8" eb="9">
      <t>ナツ</t>
    </rPh>
    <rPh sb="9" eb="10">
      <t>ゴウ</t>
    </rPh>
    <phoneticPr fontId="10"/>
  </si>
  <si>
    <t>すこやかびと24夏号⑫</t>
    <rPh sb="8" eb="9">
      <t>ナツ</t>
    </rPh>
    <rPh sb="9" eb="10">
      <t>ゴウ</t>
    </rPh>
    <phoneticPr fontId="10"/>
  </si>
  <si>
    <t>すこやかびと24夏号⑫</t>
    <rPh sb="8" eb="10">
      <t>ナツゴウ</t>
    </rPh>
    <phoneticPr fontId="10"/>
  </si>
  <si>
    <t>すこやかびと24夏号⑬</t>
    <rPh sb="8" eb="9">
      <t>ナツ</t>
    </rPh>
    <rPh sb="9" eb="10">
      <t>ゴウ</t>
    </rPh>
    <phoneticPr fontId="10"/>
  </si>
  <si>
    <t>すこやかびと24夏号⑭</t>
    <rPh sb="8" eb="9">
      <t>ナツ</t>
    </rPh>
    <rPh sb="9" eb="10">
      <t>ゴウ</t>
    </rPh>
    <phoneticPr fontId="10"/>
  </si>
  <si>
    <t>すこやかびと24夏号⑮</t>
    <rPh sb="8" eb="9">
      <t>ナツ</t>
    </rPh>
    <rPh sb="9" eb="10">
      <t>ゴウ</t>
    </rPh>
    <phoneticPr fontId="10"/>
  </si>
  <si>
    <t>すこやかびと24夏号⑯</t>
    <rPh sb="8" eb="9">
      <t>ナツ</t>
    </rPh>
    <rPh sb="9" eb="10">
      <t>ゴウ</t>
    </rPh>
    <phoneticPr fontId="10"/>
  </si>
  <si>
    <t>すこやかびと24夏号⑬</t>
    <rPh sb="8" eb="10">
      <t>ナツゴウ</t>
    </rPh>
    <phoneticPr fontId="10"/>
  </si>
  <si>
    <t>かりん</t>
    <phoneticPr fontId="10"/>
  </si>
  <si>
    <t>在庫確認</t>
    <rPh sb="0" eb="4">
      <t>ザイコカクニン</t>
    </rPh>
    <phoneticPr fontId="10"/>
  </si>
  <si>
    <t>K-PORT</t>
    <phoneticPr fontId="10"/>
  </si>
  <si>
    <t>かりん</t>
    <phoneticPr fontId="10"/>
  </si>
  <si>
    <t>かりん</t>
    <phoneticPr fontId="10"/>
  </si>
  <si>
    <t>すこやかびと24夏号⑰</t>
    <rPh sb="8" eb="9">
      <t>ナツ</t>
    </rPh>
    <rPh sb="9" eb="10">
      <t>ゴウ</t>
    </rPh>
    <phoneticPr fontId="10"/>
  </si>
  <si>
    <t>すこやかびと24夏号⑭</t>
    <rPh sb="8" eb="10">
      <t>ナツゴウ</t>
    </rPh>
    <phoneticPr fontId="10"/>
  </si>
  <si>
    <t>すこやかびと24夏号⑱</t>
    <rPh sb="8" eb="9">
      <t>ナツ</t>
    </rPh>
    <rPh sb="9" eb="10">
      <t>ゴウ</t>
    </rPh>
    <phoneticPr fontId="10"/>
  </si>
  <si>
    <t>かりん</t>
    <phoneticPr fontId="10"/>
  </si>
  <si>
    <t>サクラマチサンプル</t>
    <phoneticPr fontId="10"/>
  </si>
  <si>
    <t>サクラマチサンプル返却</t>
    <rPh sb="9" eb="11">
      <t>ヘンキャク</t>
    </rPh>
    <phoneticPr fontId="10"/>
  </si>
  <si>
    <t>サクラマチサンプル返却</t>
    <rPh sb="9" eb="11">
      <t>ヘンキャク</t>
    </rPh>
    <phoneticPr fontId="10"/>
  </si>
  <si>
    <t>かりん</t>
    <phoneticPr fontId="10"/>
  </si>
  <si>
    <t>ネット返品</t>
    <rPh sb="3" eb="5">
      <t>ヘンピン</t>
    </rPh>
    <phoneticPr fontId="10"/>
  </si>
  <si>
    <t>夢販</t>
    <rPh sb="0" eb="2">
      <t>ユメハン</t>
    </rPh>
    <phoneticPr fontId="10"/>
  </si>
  <si>
    <t>夢販</t>
    <rPh sb="0" eb="2">
      <t>ユメハン</t>
    </rPh>
    <phoneticPr fontId="10"/>
  </si>
  <si>
    <t>ネット交換</t>
    <phoneticPr fontId="10"/>
  </si>
  <si>
    <t>夢販</t>
    <rPh sb="0" eb="2">
      <t>ユメハン</t>
    </rPh>
    <phoneticPr fontId="10"/>
  </si>
  <si>
    <t>在庫調整</t>
    <rPh sb="0" eb="4">
      <t>ザイコチョウセイ</t>
    </rPh>
    <phoneticPr fontId="10"/>
  </si>
  <si>
    <t>かりん</t>
    <phoneticPr fontId="10"/>
  </si>
  <si>
    <t>ゆめはん</t>
    <phoneticPr fontId="10"/>
  </si>
  <si>
    <t>夢販</t>
    <rPh sb="0" eb="2">
      <t>y</t>
    </rPh>
    <phoneticPr fontId="10"/>
  </si>
  <si>
    <t>JODメルシー0407半袖+3分ボトム</t>
    <rPh sb="11" eb="13">
      <t>ハンソデ</t>
    </rPh>
    <rPh sb="15" eb="16">
      <t>ブ</t>
    </rPh>
    <phoneticPr fontId="10"/>
  </si>
  <si>
    <t>4/7～</t>
    <phoneticPr fontId="10"/>
  </si>
  <si>
    <t>ネット</t>
    <phoneticPr fontId="10"/>
  </si>
  <si>
    <t>ゆめはん</t>
    <phoneticPr fontId="10"/>
  </si>
  <si>
    <t>電話注文</t>
    <rPh sb="0" eb="4">
      <t>デンワチュウモン</t>
    </rPh>
    <phoneticPr fontId="10"/>
  </si>
  <si>
    <t>終売</t>
    <rPh sb="0" eb="2">
      <t>シュウバイ</t>
    </rPh>
    <phoneticPr fontId="10"/>
  </si>
  <si>
    <t>終売</t>
    <phoneticPr fontId="10"/>
  </si>
  <si>
    <t>KPORT</t>
    <phoneticPr fontId="10"/>
  </si>
  <si>
    <t>ゆめはん移動</t>
    <rPh sb="4" eb="6">
      <t>イドウ</t>
    </rPh>
    <phoneticPr fontId="2"/>
  </si>
  <si>
    <t>JOD</t>
    <phoneticPr fontId="10"/>
  </si>
  <si>
    <t>JOD</t>
    <phoneticPr fontId="10"/>
  </si>
  <si>
    <t>ゆめはん</t>
    <phoneticPr fontId="10"/>
  </si>
  <si>
    <t>ネット</t>
    <phoneticPr fontId="10"/>
  </si>
  <si>
    <t>JOD</t>
    <phoneticPr fontId="10"/>
  </si>
  <si>
    <t>ゆめはん</t>
    <phoneticPr fontId="10"/>
  </si>
  <si>
    <t>ゆめはん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</si>
</sst>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theme="8" tint="0.79998168889431442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5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5" xfId="1" applyBorder="1"/>
    <xf numFmtId="0" fontId="1" fillId="0" borderId="16" xfId="1" applyBorder="1"/>
    <xf numFmtId="0" fontId="4" fillId="0" borderId="8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/>
    <xf numFmtId="0" fontId="5" fillId="0" borderId="2" xfId="1" applyFont="1" applyBorder="1"/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0" borderId="29" xfId="1" applyBorder="1"/>
    <xf numFmtId="0" fontId="1" fillId="0" borderId="30" xfId="1" applyBorder="1"/>
    <xf numFmtId="0" fontId="1" fillId="0" borderId="3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4" xfId="1" applyBorder="1"/>
    <xf numFmtId="56" fontId="1" fillId="0" borderId="0" xfId="1" applyNumberFormat="1"/>
    <xf numFmtId="0" fontId="1" fillId="0" borderId="23" xfId="1" applyBorder="1"/>
    <xf numFmtId="0" fontId="1" fillId="0" borderId="22" xfId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" fillId="0" borderId="32" xfId="1" applyBorder="1"/>
    <xf numFmtId="0" fontId="1" fillId="0" borderId="3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9" fillId="0" borderId="16" xfId="1" applyFont="1" applyBorder="1"/>
    <xf numFmtId="0" fontId="9" fillId="0" borderId="23" xfId="1" applyFont="1" applyBorder="1"/>
    <xf numFmtId="0" fontId="9" fillId="0" borderId="24" xfId="1" applyFont="1" applyBorder="1"/>
    <xf numFmtId="0" fontId="9" fillId="0" borderId="26" xfId="1" applyFont="1" applyBorder="1"/>
    <xf numFmtId="0" fontId="11" fillId="0" borderId="0" xfId="0" applyFont="1">
      <alignment vertical="center"/>
    </xf>
    <xf numFmtId="56" fontId="0" fillId="0" borderId="0" xfId="0" applyNumberFormat="1">
      <alignment vertical="center"/>
    </xf>
    <xf numFmtId="56" fontId="11" fillId="0" borderId="0" xfId="0" applyNumberFormat="1" applyFont="1">
      <alignment vertical="center"/>
    </xf>
    <xf numFmtId="0" fontId="1" fillId="0" borderId="45" xfId="1" applyBorder="1"/>
    <xf numFmtId="0" fontId="1" fillId="0" borderId="46" xfId="1" applyBorder="1"/>
    <xf numFmtId="0" fontId="9" fillId="0" borderId="6" xfId="1" applyFont="1" applyBorder="1"/>
    <xf numFmtId="0" fontId="6" fillId="0" borderId="17" xfId="1" applyFont="1" applyBorder="1" applyAlignment="1">
      <alignment horizontal="center" vertical="center"/>
    </xf>
    <xf numFmtId="0" fontId="5" fillId="0" borderId="12" xfId="1" applyFont="1" applyBorder="1"/>
    <xf numFmtId="0" fontId="6" fillId="0" borderId="6" xfId="1" applyFont="1" applyBorder="1" applyAlignment="1">
      <alignment horizontal="center" vertical="center"/>
    </xf>
    <xf numFmtId="0" fontId="9" fillId="0" borderId="7" xfId="1" applyFont="1" applyBorder="1"/>
    <xf numFmtId="0" fontId="9" fillId="0" borderId="9" xfId="1" applyFont="1" applyBorder="1"/>
    <xf numFmtId="0" fontId="9" fillId="0" borderId="28" xfId="1" applyFont="1" applyBorder="1"/>
    <xf numFmtId="0" fontId="12" fillId="0" borderId="0" xfId="0" applyFont="1">
      <alignment vertical="center"/>
    </xf>
    <xf numFmtId="0" fontId="9" fillId="0" borderId="0" xfId="1" applyFont="1"/>
    <xf numFmtId="0" fontId="5" fillId="0" borderId="18" xfId="1" applyFont="1" applyBorder="1"/>
    <xf numFmtId="0" fontId="5" fillId="0" borderId="21" xfId="1" applyFont="1" applyBorder="1"/>
    <xf numFmtId="0" fontId="9" fillId="0" borderId="12" xfId="1" applyFont="1" applyBorder="1" applyAlignment="1">
      <alignment horizontal="center" vertical="center"/>
    </xf>
    <xf numFmtId="0" fontId="9" fillId="0" borderId="1" xfId="1" applyFont="1" applyBorder="1"/>
    <xf numFmtId="0" fontId="9" fillId="0" borderId="13" xfId="1" applyFont="1" applyBorder="1"/>
    <xf numFmtId="0" fontId="9" fillId="0" borderId="31" xfId="1" applyFont="1" applyBorder="1"/>
    <xf numFmtId="0" fontId="9" fillId="0" borderId="2" xfId="1" applyFont="1" applyBorder="1"/>
    <xf numFmtId="0" fontId="1" fillId="2" borderId="0" xfId="1" applyFill="1"/>
    <xf numFmtId="0" fontId="13" fillId="2" borderId="0" xfId="1" applyFont="1" applyFill="1"/>
    <xf numFmtId="0" fontId="8" fillId="3" borderId="0" xfId="1" applyFont="1" applyFill="1"/>
    <xf numFmtId="0" fontId="1" fillId="3" borderId="0" xfId="1" applyFill="1"/>
    <xf numFmtId="0" fontId="13" fillId="3" borderId="0" xfId="1" applyFont="1" applyFill="1"/>
    <xf numFmtId="0" fontId="14" fillId="3" borderId="0" xfId="1" applyFont="1" applyFill="1"/>
    <xf numFmtId="0" fontId="14" fillId="2" borderId="0" xfId="1" applyFont="1" applyFill="1"/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14" fillId="4" borderId="0" xfId="1" applyFont="1" applyFill="1"/>
    <xf numFmtId="0" fontId="1" fillId="4" borderId="0" xfId="1" applyFill="1"/>
    <xf numFmtId="0" fontId="13" fillId="4" borderId="0" xfId="1" applyFont="1" applyFill="1"/>
    <xf numFmtId="0" fontId="15" fillId="4" borderId="0" xfId="0" applyFont="1" applyFill="1">
      <alignment vertical="center"/>
    </xf>
    <xf numFmtId="56" fontId="9" fillId="0" borderId="0" xfId="1" applyNumberFormat="1" applyFont="1"/>
    <xf numFmtId="0" fontId="9" fillId="0" borderId="10" xfId="1" applyFont="1" applyBorder="1"/>
    <xf numFmtId="0" fontId="9" fillId="0" borderId="11" xfId="1" applyFont="1" applyBorder="1"/>
    <xf numFmtId="0" fontId="9" fillId="0" borderId="29" xfId="1" applyFont="1" applyBorder="1"/>
    <xf numFmtId="0" fontId="9" fillId="0" borderId="6" xfId="1" applyFont="1" applyBorder="1" applyAlignment="1">
      <alignment horizontal="center" vertical="center"/>
    </xf>
    <xf numFmtId="0" fontId="9" fillId="0" borderId="15" xfId="1" applyFont="1" applyBorder="1"/>
    <xf numFmtId="0" fontId="9" fillId="0" borderId="14" xfId="1" applyFont="1" applyBorder="1" applyAlignment="1">
      <alignment horizontal="center" vertical="center"/>
    </xf>
    <xf numFmtId="0" fontId="9" fillId="0" borderId="36" xfId="1" applyFont="1" applyBorder="1"/>
    <xf numFmtId="0" fontId="9" fillId="0" borderId="42" xfId="1" applyFont="1" applyBorder="1"/>
    <xf numFmtId="0" fontId="1" fillId="0" borderId="47" xfId="1" applyBorder="1"/>
    <xf numFmtId="0" fontId="1" fillId="0" borderId="48" xfId="1" applyBorder="1"/>
    <xf numFmtId="0" fontId="1" fillId="0" borderId="49" xfId="1" applyBorder="1"/>
    <xf numFmtId="0" fontId="1" fillId="0" borderId="17" xfId="1" applyBorder="1"/>
    <xf numFmtId="0" fontId="1" fillId="0" borderId="44" xfId="1" applyBorder="1"/>
    <xf numFmtId="0" fontId="1" fillId="0" borderId="50" xfId="1" applyBorder="1"/>
    <xf numFmtId="0" fontId="9" fillId="0" borderId="25" xfId="1" applyFont="1" applyBorder="1"/>
    <xf numFmtId="0" fontId="9" fillId="0" borderId="2" xfId="1" applyFont="1" applyBorder="1" applyAlignment="1">
      <alignment horizontal="center" vertical="center"/>
    </xf>
    <xf numFmtId="0" fontId="9" fillId="0" borderId="21" xfId="1" applyFont="1" applyBorder="1"/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36" xfId="1" applyBorder="1"/>
    <xf numFmtId="0" fontId="1" fillId="0" borderId="37" xfId="1" applyBorder="1"/>
    <xf numFmtId="56" fontId="12" fillId="0" borderId="0" xfId="0" applyNumberFormat="1" applyFont="1">
      <alignment vertical="center"/>
    </xf>
    <xf numFmtId="0" fontId="9" fillId="0" borderId="48" xfId="1" applyFont="1" applyBorder="1"/>
    <xf numFmtId="0" fontId="1" fillId="0" borderId="54" xfId="1" applyBorder="1"/>
    <xf numFmtId="0" fontId="9" fillId="0" borderId="16" xfId="1" applyFon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55" xfId="1" applyBorder="1"/>
    <xf numFmtId="0" fontId="1" fillId="0" borderId="56" xfId="1" applyBorder="1"/>
    <xf numFmtId="0" fontId="16" fillId="0" borderId="17" xfId="1" applyFont="1" applyBorder="1" applyAlignment="1">
      <alignment horizontal="center" vertical="center"/>
    </xf>
    <xf numFmtId="0" fontId="3" fillId="0" borderId="10" xfId="1" applyFont="1" applyBorder="1"/>
    <xf numFmtId="0" fontId="3" fillId="0" borderId="11" xfId="1" applyFont="1" applyBorder="1"/>
    <xf numFmtId="0" fontId="3" fillId="0" borderId="29" xfId="1" applyFont="1" applyBorder="1"/>
    <xf numFmtId="0" fontId="3" fillId="0" borderId="6" xfId="1" applyFont="1" applyBorder="1"/>
    <xf numFmtId="56" fontId="17" fillId="0" borderId="0" xfId="0" applyNumberFormat="1" applyFont="1">
      <alignment vertical="center"/>
    </xf>
    <xf numFmtId="0" fontId="1" fillId="0" borderId="54" xfId="1" applyBorder="1" applyAlignment="1">
      <alignment horizontal="center" vertical="center"/>
    </xf>
    <xf numFmtId="0" fontId="1" fillId="0" borderId="57" xfId="1" applyBorder="1"/>
    <xf numFmtId="0" fontId="1" fillId="0" borderId="58" xfId="1" applyBorder="1"/>
    <xf numFmtId="0" fontId="18" fillId="0" borderId="8" xfId="1" applyFont="1" applyBorder="1" applyAlignment="1">
      <alignment horizontal="center" vertical="center"/>
    </xf>
    <xf numFmtId="0" fontId="19" fillId="0" borderId="0" xfId="0" applyFont="1">
      <alignment vertical="center"/>
    </xf>
    <xf numFmtId="0" fontId="9" fillId="0" borderId="43" xfId="1" applyFont="1" applyBorder="1"/>
    <xf numFmtId="0" fontId="9" fillId="0" borderId="8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" fillId="0" borderId="59" xfId="1" applyBorder="1"/>
    <xf numFmtId="0" fontId="1" fillId="0" borderId="60" xfId="1" applyBorder="1"/>
    <xf numFmtId="56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9" fillId="0" borderId="19" xfId="1" applyFont="1" applyBorder="1"/>
    <xf numFmtId="0" fontId="1" fillId="0" borderId="16" xfId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3" fillId="0" borderId="7" xfId="1" applyFont="1" applyBorder="1"/>
    <xf numFmtId="0" fontId="3" fillId="0" borderId="9" xfId="1" applyFont="1" applyBorder="1"/>
    <xf numFmtId="0" fontId="3" fillId="0" borderId="28" xfId="1" applyFont="1" applyBorder="1"/>
    <xf numFmtId="0" fontId="17" fillId="0" borderId="0" xfId="0" applyFont="1">
      <alignment vertical="center"/>
    </xf>
    <xf numFmtId="0" fontId="3" fillId="0" borderId="17" xfId="1" applyFont="1" applyBorder="1" applyAlignment="1">
      <alignment horizontal="center" vertical="center"/>
    </xf>
    <xf numFmtId="0" fontId="6" fillId="0" borderId="6" xfId="1" applyFont="1" applyBorder="1"/>
    <xf numFmtId="0" fontId="22" fillId="0" borderId="0" xfId="0" applyFont="1">
      <alignment vertical="center"/>
    </xf>
    <xf numFmtId="0" fontId="6" fillId="0" borderId="54" xfId="1" applyFont="1" applyBorder="1" applyAlignment="1">
      <alignment horizontal="center" vertical="center"/>
    </xf>
    <xf numFmtId="0" fontId="1" fillId="0" borderId="15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16" xfId="1" applyBorder="1" applyAlignment="1">
      <alignment horizontal="center"/>
    </xf>
    <xf numFmtId="5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23" fillId="0" borderId="7" xfId="1" applyFont="1" applyBorder="1"/>
    <xf numFmtId="0" fontId="23" fillId="0" borderId="9" xfId="1" applyFont="1" applyBorder="1"/>
    <xf numFmtId="0" fontId="23" fillId="0" borderId="28" xfId="1" applyFont="1" applyBorder="1"/>
    <xf numFmtId="0" fontId="23" fillId="0" borderId="6" xfId="1" applyFont="1" applyBorder="1"/>
    <xf numFmtId="56" fontId="22" fillId="0" borderId="0" xfId="0" applyNumberFormat="1" applyFont="1">
      <alignment vertical="center"/>
    </xf>
    <xf numFmtId="56" fontId="24" fillId="0" borderId="0" xfId="0" applyNumberFormat="1" applyFont="1">
      <alignment vertical="center"/>
    </xf>
    <xf numFmtId="56" fontId="25" fillId="0" borderId="0" xfId="0" applyNumberFormat="1" applyFont="1">
      <alignment vertical="center"/>
    </xf>
    <xf numFmtId="0" fontId="9" fillId="0" borderId="8" xfId="1" applyFont="1" applyBorder="1"/>
    <xf numFmtId="0" fontId="23" fillId="0" borderId="10" xfId="1" applyFont="1" applyBorder="1"/>
    <xf numFmtId="0" fontId="23" fillId="0" borderId="11" xfId="1" applyFont="1" applyBorder="1"/>
    <xf numFmtId="0" fontId="23" fillId="0" borderId="29" xfId="1" applyFont="1" applyBorder="1"/>
    <xf numFmtId="0" fontId="1" fillId="0" borderId="6" xfId="1" applyBorder="1" applyAlignment="1">
      <alignment horizontal="center" vertical="center" shrinkToFit="1"/>
    </xf>
    <xf numFmtId="0" fontId="1" fillId="0" borderId="8" xfId="1" applyBorder="1" applyAlignment="1">
      <alignment horizontal="center" vertical="center" shrinkToFit="1"/>
    </xf>
    <xf numFmtId="56" fontId="11" fillId="0" borderId="0" xfId="0" applyNumberFormat="1" applyFont="1" applyAlignment="1">
      <alignment horizontal="left" vertical="center"/>
    </xf>
    <xf numFmtId="0" fontId="26" fillId="0" borderId="8" xfId="1" applyFont="1" applyBorder="1" applyAlignment="1">
      <alignment horizontal="center" vertical="center"/>
    </xf>
    <xf numFmtId="0" fontId="23" fillId="0" borderId="54" xfId="1" applyFont="1" applyBorder="1"/>
    <xf numFmtId="0" fontId="25" fillId="0" borderId="0" xfId="0" applyFont="1">
      <alignment vertical="center"/>
    </xf>
    <xf numFmtId="0" fontId="27" fillId="0" borderId="14" xfId="1" applyFont="1" applyBorder="1" applyAlignment="1">
      <alignment horizontal="center" vertical="center"/>
    </xf>
    <xf numFmtId="0" fontId="27" fillId="0" borderId="23" xfId="1" applyFont="1" applyBorder="1"/>
    <xf numFmtId="0" fontId="27" fillId="0" borderId="24" xfId="1" applyFont="1" applyBorder="1"/>
    <xf numFmtId="0" fontId="27" fillId="0" borderId="26" xfId="1" applyFont="1" applyBorder="1"/>
    <xf numFmtId="0" fontId="27" fillId="0" borderId="6" xfId="1" applyFont="1" applyBorder="1"/>
    <xf numFmtId="56" fontId="21" fillId="0" borderId="0" xfId="0" applyNumberFormat="1" applyFont="1">
      <alignment vertical="center"/>
    </xf>
    <xf numFmtId="0" fontId="27" fillId="0" borderId="22" xfId="1" applyFont="1" applyBorder="1" applyAlignment="1">
      <alignment horizontal="center" vertical="center"/>
    </xf>
    <xf numFmtId="0" fontId="27" fillId="0" borderId="7" xfId="1" applyFont="1" applyBorder="1"/>
    <xf numFmtId="0" fontId="27" fillId="0" borderId="9" xfId="1" applyFont="1" applyBorder="1"/>
    <xf numFmtId="0" fontId="27" fillId="0" borderId="8" xfId="1" applyFont="1" applyBorder="1"/>
    <xf numFmtId="0" fontId="27" fillId="0" borderId="28" xfId="1" applyFont="1" applyBorder="1"/>
    <xf numFmtId="0" fontId="27" fillId="0" borderId="10" xfId="1" applyFont="1" applyBorder="1"/>
    <xf numFmtId="0" fontId="27" fillId="0" borderId="48" xfId="1" applyFont="1" applyBorder="1"/>
    <xf numFmtId="0" fontId="27" fillId="0" borderId="52" xfId="1" applyFont="1" applyBorder="1"/>
    <xf numFmtId="0" fontId="27" fillId="0" borderId="32" xfId="1" applyFont="1" applyBorder="1"/>
    <xf numFmtId="0" fontId="27" fillId="0" borderId="35" xfId="1" applyFont="1" applyBorder="1"/>
    <xf numFmtId="0" fontId="27" fillId="0" borderId="38" xfId="1" applyFont="1" applyBorder="1"/>
    <xf numFmtId="0" fontId="3" fillId="0" borderId="26" xfId="1" applyFont="1" applyBorder="1"/>
    <xf numFmtId="56" fontId="21" fillId="0" borderId="0" xfId="0" applyNumberFormat="1" applyFont="1" applyAlignment="1">
      <alignment horizontal="left" vertical="center"/>
    </xf>
    <xf numFmtId="0" fontId="23" fillId="0" borderId="6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3" xfId="1" applyFont="1" applyBorder="1"/>
    <xf numFmtId="0" fontId="23" fillId="0" borderId="24" xfId="1" applyFont="1" applyBorder="1"/>
    <xf numFmtId="0" fontId="23" fillId="0" borderId="26" xfId="1" applyFont="1" applyBorder="1"/>
    <xf numFmtId="0" fontId="0" fillId="0" borderId="35" xfId="0" applyBorder="1">
      <alignment vertical="center"/>
    </xf>
    <xf numFmtId="176" fontId="0" fillId="0" borderId="35" xfId="0" applyNumberFormat="1" applyBorder="1">
      <alignment vertical="center"/>
    </xf>
    <xf numFmtId="176" fontId="0" fillId="0" borderId="0" xfId="0" applyNumberFormat="1">
      <alignment vertical="center"/>
    </xf>
    <xf numFmtId="0" fontId="0" fillId="5" borderId="0" xfId="0" applyFill="1">
      <alignment vertical="center"/>
    </xf>
    <xf numFmtId="0" fontId="1" fillId="6" borderId="3" xfId="1" applyFill="1" applyBorder="1"/>
    <xf numFmtId="0" fontId="1" fillId="6" borderId="5" xfId="1" applyFill="1" applyBorder="1"/>
    <xf numFmtId="0" fontId="1" fillId="6" borderId="30" xfId="1" applyFill="1" applyBorder="1"/>
    <xf numFmtId="0" fontId="5" fillId="6" borderId="13" xfId="1" applyFont="1" applyFill="1" applyBorder="1"/>
    <xf numFmtId="0" fontId="5" fillId="6" borderId="21" xfId="1" applyFont="1" applyFill="1" applyBorder="1"/>
    <xf numFmtId="0" fontId="5" fillId="6" borderId="18" xfId="1" applyFont="1" applyFill="1" applyBorder="1"/>
    <xf numFmtId="0" fontId="1" fillId="7" borderId="30" xfId="1" applyFill="1" applyBorder="1"/>
    <xf numFmtId="0" fontId="5" fillId="7" borderId="18" xfId="1" applyFont="1" applyFill="1" applyBorder="1"/>
    <xf numFmtId="176" fontId="19" fillId="0" borderId="0" xfId="0" applyNumberFormat="1" applyFont="1">
      <alignment vertical="center"/>
    </xf>
    <xf numFmtId="0" fontId="9" fillId="0" borderId="18" xfId="1" applyFont="1" applyBorder="1"/>
    <xf numFmtId="0" fontId="5" fillId="0" borderId="0" xfId="1" applyFont="1" applyAlignment="1">
      <alignment horizontal="center" vertical="center"/>
    </xf>
    <xf numFmtId="0" fontId="5" fillId="0" borderId="0" xfId="1" applyFont="1"/>
    <xf numFmtId="176" fontId="1" fillId="2" borderId="0" xfId="1" applyNumberFormat="1" applyFill="1"/>
    <xf numFmtId="0" fontId="9" fillId="0" borderId="52" xfId="1" applyFont="1" applyBorder="1"/>
    <xf numFmtId="0" fontId="1" fillId="6" borderId="28" xfId="1" applyFill="1" applyBorder="1"/>
    <xf numFmtId="0" fontId="1" fillId="6" borderId="29" xfId="1" applyFill="1" applyBorder="1"/>
    <xf numFmtId="0" fontId="1" fillId="7" borderId="3" xfId="1" applyFill="1" applyBorder="1"/>
    <xf numFmtId="0" fontId="5" fillId="7" borderId="21" xfId="1" applyFont="1" applyFill="1" applyBorder="1"/>
    <xf numFmtId="56" fontId="1" fillId="0" borderId="6" xfId="1" applyNumberForma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3" fillId="0" borderId="14" xfId="1" applyFont="1" applyBorder="1" applyAlignment="1">
      <alignment horizontal="center" vertical="center"/>
    </xf>
    <xf numFmtId="0" fontId="23" fillId="0" borderId="48" xfId="1" applyFont="1" applyBorder="1"/>
    <xf numFmtId="0" fontId="23" fillId="0" borderId="49" xfId="1" applyFont="1" applyBorder="1"/>
    <xf numFmtId="0" fontId="23" fillId="0" borderId="17" xfId="1" applyFont="1" applyBorder="1"/>
    <xf numFmtId="1" fontId="19" fillId="0" borderId="0" xfId="0" applyNumberFormat="1" applyFont="1">
      <alignment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S1032"/>
  <sheetViews>
    <sheetView topLeftCell="A1008" zoomScale="90" zoomScaleNormal="90" workbookViewId="0">
      <selection activeCell="J1031" sqref="J1031"/>
    </sheetView>
  </sheetViews>
  <sheetFormatPr defaultRowHeight="13.5" x14ac:dyDescent="0.15"/>
  <cols>
    <col min="1" max="1" width="21.875" customWidth="1"/>
    <col min="8" max="8" width="9.25" bestFit="1" customWidth="1"/>
    <col min="9" max="9" width="21.875" customWidth="1"/>
    <col min="16" max="16" width="9.25" bestFit="1" customWidth="1"/>
  </cols>
  <sheetData>
    <row r="1" spans="1:16" ht="21" x14ac:dyDescent="0.2">
      <c r="A1" s="83" t="s">
        <v>48</v>
      </c>
      <c r="B1" s="77"/>
      <c r="C1" s="77"/>
      <c r="D1" s="77"/>
      <c r="E1" s="77"/>
      <c r="F1" s="77"/>
      <c r="G1" s="77"/>
      <c r="H1" s="1"/>
      <c r="I1" s="83" t="s">
        <v>58</v>
      </c>
      <c r="J1" s="77"/>
      <c r="K1" s="77"/>
      <c r="L1" s="77"/>
      <c r="M1" s="77"/>
      <c r="N1" s="77"/>
      <c r="O1" s="77"/>
      <c r="P1" s="1"/>
    </row>
    <row r="2" spans="1:16" ht="21.75" thickBot="1" x14ac:dyDescent="0.25">
      <c r="A2" s="83" t="s">
        <v>47</v>
      </c>
      <c r="B2" s="77"/>
      <c r="C2" s="77"/>
      <c r="D2" s="77"/>
      <c r="E2" s="84"/>
      <c r="F2" s="78" t="s">
        <v>53</v>
      </c>
      <c r="G2" s="77"/>
      <c r="H2" s="1"/>
      <c r="I2" s="83" t="s">
        <v>47</v>
      </c>
      <c r="J2" s="77"/>
      <c r="K2" s="77"/>
      <c r="L2" s="77"/>
      <c r="M2" s="84"/>
      <c r="N2" s="78" t="s">
        <v>54</v>
      </c>
      <c r="O2" s="77"/>
      <c r="P2" s="1"/>
    </row>
    <row r="3" spans="1:16" ht="14.25" thickBot="1" x14ac:dyDescent="0.2">
      <c r="A3" s="13" t="s">
        <v>0</v>
      </c>
      <c r="B3" s="228" t="s">
        <v>49</v>
      </c>
      <c r="C3" s="229"/>
      <c r="D3" s="229"/>
      <c r="E3" s="229"/>
      <c r="F3" s="230"/>
      <c r="G3" s="231"/>
      <c r="H3" s="1"/>
      <c r="I3" s="13" t="s">
        <v>0</v>
      </c>
      <c r="J3" s="228" t="s">
        <v>49</v>
      </c>
      <c r="K3" s="229"/>
      <c r="L3" s="229"/>
      <c r="M3" s="229"/>
      <c r="N3" s="230"/>
      <c r="O3" s="231"/>
      <c r="P3" s="1"/>
    </row>
    <row r="4" spans="1:16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4" t="s">
        <v>2</v>
      </c>
      <c r="H4" s="1"/>
      <c r="I4" s="3" t="s">
        <v>1</v>
      </c>
      <c r="J4" s="2" t="s">
        <v>42</v>
      </c>
      <c r="K4" s="21" t="s">
        <v>43</v>
      </c>
      <c r="L4" s="21" t="s">
        <v>44</v>
      </c>
      <c r="M4" s="24" t="s">
        <v>45</v>
      </c>
      <c r="N4" s="33" t="s">
        <v>46</v>
      </c>
      <c r="O4" s="3" t="s">
        <v>2</v>
      </c>
      <c r="P4" s="1"/>
    </row>
    <row r="5" spans="1:16" x14ac:dyDescent="0.15">
      <c r="A5" s="15" t="s">
        <v>14</v>
      </c>
      <c r="B5" s="17">
        <v>10</v>
      </c>
      <c r="C5" s="22">
        <v>10</v>
      </c>
      <c r="D5" s="22">
        <v>10</v>
      </c>
      <c r="E5" s="22">
        <v>10</v>
      </c>
      <c r="F5" s="29">
        <v>10</v>
      </c>
      <c r="G5" s="18">
        <f t="shared" ref="G5:G16" si="0">SUM(B5:F5)</f>
        <v>50</v>
      </c>
      <c r="H5" s="36">
        <v>42335</v>
      </c>
      <c r="I5" s="15" t="s">
        <v>14</v>
      </c>
      <c r="J5" s="37">
        <v>10</v>
      </c>
      <c r="K5" s="35">
        <v>10</v>
      </c>
      <c r="L5" s="35">
        <v>10</v>
      </c>
      <c r="M5" s="35">
        <v>10</v>
      </c>
      <c r="N5" s="28">
        <v>10</v>
      </c>
      <c r="O5" s="18">
        <f t="shared" ref="O5:O16" si="1">SUM(J5:N5)</f>
        <v>50</v>
      </c>
      <c r="P5" s="36">
        <v>42335</v>
      </c>
    </row>
    <row r="6" spans="1:16" x14ac:dyDescent="0.15">
      <c r="A6" s="15" t="s">
        <v>3</v>
      </c>
      <c r="B6" s="8">
        <v>1</v>
      </c>
      <c r="C6" s="10">
        <v>1</v>
      </c>
      <c r="D6" s="10"/>
      <c r="E6" s="10"/>
      <c r="F6" s="28"/>
      <c r="G6" s="9">
        <f t="shared" si="0"/>
        <v>2</v>
      </c>
      <c r="H6" s="36">
        <v>42360</v>
      </c>
      <c r="I6" s="15" t="s">
        <v>3</v>
      </c>
      <c r="J6" s="8">
        <v>101</v>
      </c>
      <c r="K6" s="10">
        <v>109</v>
      </c>
      <c r="L6" s="10">
        <v>104</v>
      </c>
      <c r="M6" s="10">
        <v>107</v>
      </c>
      <c r="N6" s="28">
        <v>91</v>
      </c>
      <c r="O6" s="9">
        <f t="shared" si="1"/>
        <v>512</v>
      </c>
      <c r="P6" s="36">
        <v>42359</v>
      </c>
    </row>
    <row r="7" spans="1:16" x14ac:dyDescent="0.15">
      <c r="A7" s="15" t="s">
        <v>4</v>
      </c>
      <c r="B7" s="8">
        <v>5</v>
      </c>
      <c r="C7" s="10">
        <v>5</v>
      </c>
      <c r="D7" s="10">
        <v>5</v>
      </c>
      <c r="E7" s="10">
        <v>4</v>
      </c>
      <c r="F7" s="28">
        <v>4</v>
      </c>
      <c r="G7" s="9">
        <f t="shared" si="0"/>
        <v>23</v>
      </c>
      <c r="H7" s="36">
        <v>42360</v>
      </c>
      <c r="I7" s="15" t="s">
        <v>4</v>
      </c>
      <c r="J7" s="8"/>
      <c r="K7" s="10"/>
      <c r="L7" s="10"/>
      <c r="M7" s="10"/>
      <c r="N7" s="28"/>
      <c r="O7" s="9">
        <f t="shared" si="1"/>
        <v>0</v>
      </c>
      <c r="P7" s="36"/>
    </row>
    <row r="8" spans="1:16" x14ac:dyDescent="0.15">
      <c r="A8" s="15" t="s">
        <v>5</v>
      </c>
      <c r="B8" s="8">
        <v>10</v>
      </c>
      <c r="C8" s="10">
        <v>10</v>
      </c>
      <c r="D8" s="10">
        <v>10</v>
      </c>
      <c r="E8" s="10">
        <v>10</v>
      </c>
      <c r="F8" s="28">
        <v>10</v>
      </c>
      <c r="G8" s="9">
        <f t="shared" si="0"/>
        <v>50</v>
      </c>
      <c r="H8" s="36">
        <v>42377</v>
      </c>
      <c r="I8" s="15" t="s">
        <v>5</v>
      </c>
      <c r="J8" s="8"/>
      <c r="K8" s="10"/>
      <c r="L8" s="10"/>
      <c r="M8" s="10"/>
      <c r="N8" s="28"/>
      <c r="O8" s="9">
        <f t="shared" si="1"/>
        <v>0</v>
      </c>
      <c r="P8" s="1"/>
    </row>
    <row r="9" spans="1:16" x14ac:dyDescent="0.15">
      <c r="A9" s="15" t="s">
        <v>6</v>
      </c>
      <c r="B9" s="8"/>
      <c r="C9" s="10">
        <v>5</v>
      </c>
      <c r="D9" s="10">
        <v>10</v>
      </c>
      <c r="E9" s="10"/>
      <c r="F9" s="28"/>
      <c r="G9" s="9">
        <f t="shared" si="0"/>
        <v>15</v>
      </c>
      <c r="H9" s="36">
        <v>42384</v>
      </c>
      <c r="I9" s="15" t="s">
        <v>6</v>
      </c>
      <c r="J9" s="8"/>
      <c r="K9" s="10"/>
      <c r="L9" s="10"/>
      <c r="M9" s="10"/>
      <c r="N9" s="28"/>
      <c r="O9" s="9">
        <f t="shared" si="1"/>
        <v>0</v>
      </c>
      <c r="P9" s="1"/>
    </row>
    <row r="10" spans="1:16" x14ac:dyDescent="0.15">
      <c r="A10" s="15" t="s">
        <v>84</v>
      </c>
      <c r="B10" s="11">
        <v>10</v>
      </c>
      <c r="C10" s="12"/>
      <c r="D10" s="12"/>
      <c r="E10" s="12"/>
      <c r="F10" s="31">
        <v>10</v>
      </c>
      <c r="G10" s="7">
        <f t="shared" si="0"/>
        <v>20</v>
      </c>
      <c r="H10" s="36">
        <v>42390</v>
      </c>
      <c r="I10" s="15" t="s">
        <v>84</v>
      </c>
      <c r="J10" s="11"/>
      <c r="K10" s="12"/>
      <c r="L10" s="12"/>
      <c r="M10" s="12"/>
      <c r="N10" s="31"/>
      <c r="O10" s="7">
        <f t="shared" si="1"/>
        <v>0</v>
      </c>
      <c r="P10" s="1"/>
    </row>
    <row r="11" spans="1:16" x14ac:dyDescent="0.15">
      <c r="A11" s="15" t="s">
        <v>85</v>
      </c>
      <c r="B11" s="8"/>
      <c r="C11" s="10"/>
      <c r="D11" s="10"/>
      <c r="E11" s="10">
        <v>10</v>
      </c>
      <c r="F11" s="30"/>
      <c r="G11" s="7">
        <f t="shared" si="0"/>
        <v>10</v>
      </c>
      <c r="H11" s="36">
        <v>42397</v>
      </c>
      <c r="I11" s="15" t="s">
        <v>85</v>
      </c>
      <c r="J11" s="8"/>
      <c r="K11" s="10"/>
      <c r="L11" s="10"/>
      <c r="M11" s="10"/>
      <c r="N11" s="30"/>
      <c r="O11" s="7">
        <f t="shared" si="1"/>
        <v>0</v>
      </c>
      <c r="P11" s="1"/>
    </row>
    <row r="12" spans="1:16" x14ac:dyDescent="0.15">
      <c r="A12" s="16" t="s">
        <v>88</v>
      </c>
      <c r="B12" s="8"/>
      <c r="C12" s="10">
        <v>20</v>
      </c>
      <c r="D12" s="10"/>
      <c r="E12" s="10"/>
      <c r="F12" s="30"/>
      <c r="G12" s="7">
        <f t="shared" si="0"/>
        <v>20</v>
      </c>
      <c r="H12" s="36">
        <v>42412</v>
      </c>
      <c r="I12" s="16" t="s">
        <v>88</v>
      </c>
      <c r="J12" s="8"/>
      <c r="K12" s="10"/>
      <c r="L12" s="10"/>
      <c r="M12" s="10"/>
      <c r="N12" s="30"/>
      <c r="O12" s="7">
        <f t="shared" si="1"/>
        <v>0</v>
      </c>
      <c r="P12" s="1"/>
    </row>
    <row r="13" spans="1:16" ht="14.25" thickBot="1" x14ac:dyDescent="0.2">
      <c r="A13" s="15" t="s">
        <v>87</v>
      </c>
      <c r="B13" s="11">
        <v>10</v>
      </c>
      <c r="C13" s="100">
        <v>15</v>
      </c>
      <c r="D13" s="100">
        <v>20</v>
      </c>
      <c r="E13" s="100">
        <v>10</v>
      </c>
      <c r="F13" s="101">
        <v>10</v>
      </c>
      <c r="G13" s="102">
        <f t="shared" si="0"/>
        <v>65</v>
      </c>
      <c r="H13" s="36">
        <v>42426</v>
      </c>
      <c r="I13" s="15" t="s">
        <v>87</v>
      </c>
      <c r="J13" s="11"/>
      <c r="K13" s="100"/>
      <c r="L13" s="100"/>
      <c r="M13" s="100"/>
      <c r="N13" s="101"/>
      <c r="O13" s="102">
        <f t="shared" si="1"/>
        <v>0</v>
      </c>
      <c r="P13" s="1"/>
    </row>
    <row r="14" spans="1:16" ht="14.25" thickBot="1" x14ac:dyDescent="0.2">
      <c r="A14" s="72" t="s">
        <v>7</v>
      </c>
      <c r="B14" s="73">
        <f>SUM(B5:B13)</f>
        <v>46</v>
      </c>
      <c r="C14" s="74">
        <f t="shared" ref="C14:F14" si="2">SUM(C5:C13)</f>
        <v>66</v>
      </c>
      <c r="D14" s="74">
        <f t="shared" si="2"/>
        <v>55</v>
      </c>
      <c r="E14" s="74">
        <f t="shared" si="2"/>
        <v>44</v>
      </c>
      <c r="F14" s="105">
        <f t="shared" si="2"/>
        <v>44</v>
      </c>
      <c r="G14" s="76">
        <f t="shared" si="0"/>
        <v>255</v>
      </c>
      <c r="H14" s="1"/>
      <c r="I14" s="72" t="s">
        <v>7</v>
      </c>
      <c r="J14" s="73">
        <f>SUM(J5:J13)</f>
        <v>111</v>
      </c>
      <c r="K14" s="74">
        <f t="shared" ref="K14" si="3">SUM(K5:K13)</f>
        <v>119</v>
      </c>
      <c r="L14" s="74">
        <f t="shared" ref="L14" si="4">SUM(L5:L13)</f>
        <v>114</v>
      </c>
      <c r="M14" s="74">
        <f t="shared" ref="M14" si="5">SUM(M5:M13)</f>
        <v>117</v>
      </c>
      <c r="N14" s="105">
        <f t="shared" ref="N14" si="6">SUM(N5:N13)</f>
        <v>101</v>
      </c>
      <c r="O14" s="76">
        <f t="shared" si="1"/>
        <v>562</v>
      </c>
      <c r="P14" s="69"/>
    </row>
    <row r="15" spans="1:16" x14ac:dyDescent="0.15">
      <c r="A15" s="16" t="s">
        <v>61</v>
      </c>
      <c r="B15" s="37">
        <v>10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50</v>
      </c>
      <c r="H15" s="36">
        <v>42338</v>
      </c>
      <c r="I15" s="16" t="s">
        <v>63</v>
      </c>
      <c r="J15" s="17">
        <v>10</v>
      </c>
      <c r="K15" s="22">
        <v>10</v>
      </c>
      <c r="L15" s="22">
        <v>10</v>
      </c>
      <c r="M15" s="22">
        <v>10</v>
      </c>
      <c r="N15" s="29">
        <v>10</v>
      </c>
      <c r="O15" s="18">
        <f t="shared" si="1"/>
        <v>50</v>
      </c>
      <c r="P15" s="36">
        <v>42335</v>
      </c>
    </row>
    <row r="16" spans="1:16" x14ac:dyDescent="0.15">
      <c r="A16" s="39" t="s">
        <v>68</v>
      </c>
      <c r="B16" s="8">
        <v>1</v>
      </c>
      <c r="C16" s="10">
        <v>1</v>
      </c>
      <c r="D16" s="10"/>
      <c r="E16" s="10"/>
      <c r="F16" s="30"/>
      <c r="G16" s="7">
        <f t="shared" si="0"/>
        <v>2</v>
      </c>
      <c r="H16" s="36">
        <v>42363</v>
      </c>
      <c r="I16" s="16" t="s">
        <v>37</v>
      </c>
      <c r="J16" s="8">
        <v>1</v>
      </c>
      <c r="K16" s="10">
        <v>1</v>
      </c>
      <c r="L16" s="10"/>
      <c r="M16" s="10"/>
      <c r="N16" s="30"/>
      <c r="O16" s="7">
        <f t="shared" si="1"/>
        <v>2</v>
      </c>
      <c r="P16" s="36">
        <v>42360</v>
      </c>
    </row>
    <row r="17" spans="1:16" x14ac:dyDescent="0.15">
      <c r="A17" s="14" t="s">
        <v>65</v>
      </c>
      <c r="B17" s="8">
        <v>3</v>
      </c>
      <c r="C17" s="10">
        <v>3</v>
      </c>
      <c r="D17" s="10">
        <v>3</v>
      </c>
      <c r="E17" s="10">
        <v>2</v>
      </c>
      <c r="F17" s="30">
        <v>2</v>
      </c>
      <c r="G17" s="7">
        <f t="shared" ref="G17:G40" si="7">SUM(B17:F17)</f>
        <v>13</v>
      </c>
      <c r="H17" s="36">
        <v>42363</v>
      </c>
      <c r="I17" s="16" t="s">
        <v>37</v>
      </c>
      <c r="J17" s="8">
        <v>5</v>
      </c>
      <c r="K17" s="10">
        <v>5</v>
      </c>
      <c r="L17" s="10">
        <v>5</v>
      </c>
      <c r="M17" s="10">
        <v>4</v>
      </c>
      <c r="N17" s="30">
        <v>4</v>
      </c>
      <c r="O17" s="7">
        <f t="shared" ref="O17:O40" si="8">SUM(J17:N17)</f>
        <v>23</v>
      </c>
      <c r="P17" s="36">
        <v>42360</v>
      </c>
    </row>
    <row r="18" spans="1:16" x14ac:dyDescent="0.15">
      <c r="A18" s="14" t="s">
        <v>69</v>
      </c>
      <c r="B18" s="8">
        <v>1</v>
      </c>
      <c r="C18" s="10">
        <v>1</v>
      </c>
      <c r="D18" s="10">
        <v>1</v>
      </c>
      <c r="E18" s="10">
        <v>1</v>
      </c>
      <c r="F18" s="30">
        <v>1</v>
      </c>
      <c r="G18" s="7">
        <f t="shared" si="7"/>
        <v>5</v>
      </c>
      <c r="H18" s="36">
        <v>42363</v>
      </c>
      <c r="I18" s="16" t="s">
        <v>37</v>
      </c>
      <c r="J18" s="8">
        <v>10</v>
      </c>
      <c r="K18" s="10">
        <v>10</v>
      </c>
      <c r="L18" s="10">
        <v>10</v>
      </c>
      <c r="M18" s="10">
        <v>10</v>
      </c>
      <c r="N18" s="30">
        <v>10</v>
      </c>
      <c r="O18" s="7">
        <f t="shared" si="8"/>
        <v>50</v>
      </c>
      <c r="P18" s="36">
        <v>42377</v>
      </c>
    </row>
    <row r="19" spans="1:16" x14ac:dyDescent="0.15">
      <c r="A19" s="14" t="s">
        <v>32</v>
      </c>
      <c r="B19" s="8"/>
      <c r="C19" s="10">
        <v>5</v>
      </c>
      <c r="D19" s="10"/>
      <c r="E19" s="10"/>
      <c r="F19" s="30"/>
      <c r="G19" s="7">
        <f t="shared" si="7"/>
        <v>5</v>
      </c>
      <c r="H19" s="36">
        <v>42384</v>
      </c>
      <c r="I19" s="16" t="s">
        <v>37</v>
      </c>
      <c r="J19" s="8"/>
      <c r="K19" s="10">
        <v>5</v>
      </c>
      <c r="L19" s="10">
        <v>10</v>
      </c>
      <c r="M19" s="10"/>
      <c r="N19" s="30"/>
      <c r="O19" s="7">
        <f t="shared" si="8"/>
        <v>15</v>
      </c>
      <c r="P19" s="36">
        <v>42384</v>
      </c>
    </row>
    <row r="20" spans="1:16" x14ac:dyDescent="0.15">
      <c r="A20" s="16" t="s">
        <v>22</v>
      </c>
      <c r="B20" s="8"/>
      <c r="C20" s="10"/>
      <c r="D20" s="10">
        <v>10</v>
      </c>
      <c r="E20" s="10"/>
      <c r="F20" s="30"/>
      <c r="G20" s="7">
        <f t="shared" si="7"/>
        <v>10</v>
      </c>
      <c r="H20" s="36">
        <v>42387</v>
      </c>
      <c r="I20" s="16" t="s">
        <v>37</v>
      </c>
      <c r="J20" s="8">
        <v>10</v>
      </c>
      <c r="K20" s="10"/>
      <c r="L20" s="10"/>
      <c r="M20" s="10"/>
      <c r="N20" s="30">
        <v>10</v>
      </c>
      <c r="O20" s="7">
        <f t="shared" si="8"/>
        <v>20</v>
      </c>
      <c r="P20" s="36">
        <v>42390</v>
      </c>
    </row>
    <row r="21" spans="1:16" x14ac:dyDescent="0.15">
      <c r="A21" s="16" t="s">
        <v>73</v>
      </c>
      <c r="B21" s="8">
        <v>1</v>
      </c>
      <c r="C21" s="10"/>
      <c r="D21" s="10"/>
      <c r="E21" s="10"/>
      <c r="F21" s="30"/>
      <c r="G21" s="7">
        <f t="shared" si="7"/>
        <v>1</v>
      </c>
      <c r="H21" s="36">
        <v>42383</v>
      </c>
      <c r="I21" s="16" t="s">
        <v>37</v>
      </c>
      <c r="J21" s="8"/>
      <c r="K21" s="10"/>
      <c r="L21" s="10"/>
      <c r="M21" s="10">
        <v>10</v>
      </c>
      <c r="N21" s="30"/>
      <c r="O21" s="7">
        <f t="shared" si="8"/>
        <v>10</v>
      </c>
      <c r="P21" s="36">
        <v>42397</v>
      </c>
    </row>
    <row r="22" spans="1:16" x14ac:dyDescent="0.15">
      <c r="A22" s="14" t="s">
        <v>32</v>
      </c>
      <c r="B22" s="8"/>
      <c r="C22" s="10"/>
      <c r="D22" s="10">
        <v>2</v>
      </c>
      <c r="E22" s="10"/>
      <c r="F22" s="30"/>
      <c r="G22" s="7">
        <f t="shared" si="7"/>
        <v>2</v>
      </c>
      <c r="H22" s="36">
        <v>42390</v>
      </c>
      <c r="I22" s="16" t="s">
        <v>37</v>
      </c>
      <c r="J22" s="8"/>
      <c r="K22" s="10">
        <v>20</v>
      </c>
      <c r="L22" s="10"/>
      <c r="M22" s="10"/>
      <c r="N22" s="30"/>
      <c r="O22" s="7">
        <f t="shared" si="8"/>
        <v>20</v>
      </c>
      <c r="P22" s="36">
        <v>42412</v>
      </c>
    </row>
    <row r="23" spans="1:16" x14ac:dyDescent="0.15">
      <c r="A23" s="39" t="s">
        <v>72</v>
      </c>
      <c r="B23" s="8">
        <v>10</v>
      </c>
      <c r="C23" s="10"/>
      <c r="D23" s="10"/>
      <c r="E23" s="10"/>
      <c r="F23" s="30">
        <v>10</v>
      </c>
      <c r="G23" s="7">
        <f t="shared" si="7"/>
        <v>20</v>
      </c>
      <c r="H23" s="36">
        <v>42394</v>
      </c>
      <c r="I23" s="16" t="s">
        <v>37</v>
      </c>
      <c r="J23" s="8">
        <v>10</v>
      </c>
      <c r="K23" s="10">
        <v>15</v>
      </c>
      <c r="L23" s="10">
        <v>20</v>
      </c>
      <c r="M23" s="10">
        <v>10</v>
      </c>
      <c r="N23" s="30">
        <v>10</v>
      </c>
      <c r="O23" s="7">
        <f t="shared" si="8"/>
        <v>65</v>
      </c>
      <c r="P23" s="36">
        <v>42426</v>
      </c>
    </row>
    <row r="24" spans="1:16" x14ac:dyDescent="0.15">
      <c r="A24" s="14" t="s">
        <v>91</v>
      </c>
      <c r="B24" s="11"/>
      <c r="C24" s="12">
        <v>-1</v>
      </c>
      <c r="D24" s="12">
        <v>-1</v>
      </c>
      <c r="E24" s="12">
        <v>-1</v>
      </c>
      <c r="F24" s="31">
        <v>-1</v>
      </c>
      <c r="G24" s="7">
        <f t="shared" si="7"/>
        <v>-4</v>
      </c>
      <c r="H24" s="36">
        <v>42384</v>
      </c>
      <c r="I24" s="16"/>
      <c r="J24" s="11"/>
      <c r="K24" s="12"/>
      <c r="L24" s="12"/>
      <c r="M24" s="12"/>
      <c r="N24" s="31"/>
      <c r="O24" s="7">
        <f t="shared" si="8"/>
        <v>0</v>
      </c>
      <c r="P24" s="1"/>
    </row>
    <row r="25" spans="1:16" x14ac:dyDescent="0.15">
      <c r="A25" s="16" t="s">
        <v>74</v>
      </c>
      <c r="B25" s="8">
        <v>-1</v>
      </c>
      <c r="C25" s="10"/>
      <c r="D25" s="10"/>
      <c r="E25" s="10"/>
      <c r="F25" s="30"/>
      <c r="G25" s="7">
        <f t="shared" si="7"/>
        <v>-1</v>
      </c>
      <c r="H25" s="36">
        <v>42390</v>
      </c>
      <c r="I25" s="16"/>
      <c r="J25" s="8"/>
      <c r="K25" s="10"/>
      <c r="L25" s="10"/>
      <c r="M25" s="10"/>
      <c r="N25" s="30"/>
      <c r="O25" s="7">
        <f t="shared" si="8"/>
        <v>0</v>
      </c>
      <c r="P25" s="1"/>
    </row>
    <row r="26" spans="1:16" x14ac:dyDescent="0.15">
      <c r="A26" s="14" t="s">
        <v>32</v>
      </c>
      <c r="B26" s="8"/>
      <c r="C26" s="10"/>
      <c r="D26" s="10"/>
      <c r="E26" s="10">
        <v>3</v>
      </c>
      <c r="F26" s="30"/>
      <c r="G26" s="7">
        <f t="shared" si="7"/>
        <v>3</v>
      </c>
      <c r="H26" s="36">
        <v>42396</v>
      </c>
      <c r="I26" s="14"/>
      <c r="J26" s="8"/>
      <c r="K26" s="10"/>
      <c r="L26" s="10"/>
      <c r="M26" s="10"/>
      <c r="N26" s="30"/>
      <c r="O26" s="7">
        <f t="shared" si="8"/>
        <v>0</v>
      </c>
      <c r="P26" s="1"/>
    </row>
    <row r="27" spans="1:16" x14ac:dyDescent="0.15">
      <c r="A27" s="14" t="s">
        <v>32</v>
      </c>
      <c r="B27" s="8"/>
      <c r="C27" s="10">
        <v>2</v>
      </c>
      <c r="D27" s="10"/>
      <c r="E27" s="10"/>
      <c r="F27" s="30"/>
      <c r="G27" s="7">
        <f t="shared" si="7"/>
        <v>2</v>
      </c>
      <c r="H27" s="36">
        <v>42397</v>
      </c>
      <c r="I27" s="16"/>
      <c r="J27" s="8"/>
      <c r="K27" s="10"/>
      <c r="L27" s="10"/>
      <c r="M27" s="10"/>
      <c r="N27" s="30"/>
      <c r="O27" s="7">
        <f t="shared" si="8"/>
        <v>0</v>
      </c>
      <c r="P27" s="1"/>
    </row>
    <row r="28" spans="1:16" x14ac:dyDescent="0.15">
      <c r="A28" s="39" t="s">
        <v>22</v>
      </c>
      <c r="B28" s="8"/>
      <c r="C28" s="10"/>
      <c r="D28" s="10"/>
      <c r="E28" s="10">
        <v>10</v>
      </c>
      <c r="F28" s="30"/>
      <c r="G28" s="7">
        <f t="shared" si="7"/>
        <v>10</v>
      </c>
      <c r="H28" s="36">
        <v>42401</v>
      </c>
      <c r="I28" s="16"/>
      <c r="J28" s="8"/>
      <c r="K28" s="10"/>
      <c r="L28" s="10"/>
      <c r="M28" s="10"/>
      <c r="N28" s="30"/>
      <c r="O28" s="7">
        <f t="shared" si="8"/>
        <v>0</v>
      </c>
      <c r="P28" s="1"/>
    </row>
    <row r="29" spans="1:16" x14ac:dyDescent="0.15">
      <c r="A29" s="16"/>
      <c r="B29" s="8"/>
      <c r="C29" s="10"/>
      <c r="D29" s="10"/>
      <c r="E29" s="10"/>
      <c r="F29" s="30"/>
      <c r="G29" s="7">
        <f t="shared" si="7"/>
        <v>0</v>
      </c>
      <c r="H29" s="36"/>
      <c r="I29" s="16"/>
      <c r="J29" s="8"/>
      <c r="K29" s="10"/>
      <c r="L29" s="10"/>
      <c r="M29" s="10"/>
      <c r="N29" s="30"/>
      <c r="O29" s="7">
        <f t="shared" si="8"/>
        <v>0</v>
      </c>
      <c r="P29" s="1"/>
    </row>
    <row r="30" spans="1:16" x14ac:dyDescent="0.15">
      <c r="A30" s="14" t="s">
        <v>32</v>
      </c>
      <c r="B30" s="8">
        <v>1</v>
      </c>
      <c r="C30" s="10">
        <v>3</v>
      </c>
      <c r="D30" s="10">
        <v>1</v>
      </c>
      <c r="E30" s="10"/>
      <c r="F30" s="30"/>
      <c r="G30" s="7">
        <f t="shared" si="7"/>
        <v>5</v>
      </c>
      <c r="H30" s="36">
        <v>42409</v>
      </c>
      <c r="I30" s="16"/>
      <c r="J30" s="8"/>
      <c r="K30" s="10"/>
      <c r="L30" s="10"/>
      <c r="M30" s="10"/>
      <c r="N30" s="30"/>
      <c r="O30" s="7">
        <f t="shared" si="8"/>
        <v>0</v>
      </c>
      <c r="P30" s="1"/>
    </row>
    <row r="31" spans="1:16" x14ac:dyDescent="0.15">
      <c r="A31" s="39" t="s">
        <v>22</v>
      </c>
      <c r="B31" s="8"/>
      <c r="C31" s="10">
        <v>10</v>
      </c>
      <c r="D31" s="10"/>
      <c r="E31" s="10"/>
      <c r="F31" s="30"/>
      <c r="G31" s="7">
        <f t="shared" si="7"/>
        <v>10</v>
      </c>
      <c r="H31" s="36">
        <v>42415</v>
      </c>
      <c r="I31" s="14"/>
      <c r="J31" s="8"/>
      <c r="K31" s="10"/>
      <c r="L31" s="10"/>
      <c r="M31" s="10"/>
      <c r="N31" s="30"/>
      <c r="O31" s="7">
        <f t="shared" si="8"/>
        <v>0</v>
      </c>
      <c r="P31" s="1"/>
    </row>
    <row r="32" spans="1:16" x14ac:dyDescent="0.15">
      <c r="A32" s="39" t="s">
        <v>22</v>
      </c>
      <c r="B32" s="8"/>
      <c r="C32" s="10">
        <v>10</v>
      </c>
      <c r="D32" s="10"/>
      <c r="E32" s="10"/>
      <c r="F32" s="30">
        <v>10</v>
      </c>
      <c r="G32" s="7">
        <f t="shared" si="7"/>
        <v>20</v>
      </c>
      <c r="H32" s="36">
        <v>42422</v>
      </c>
      <c r="I32" s="16"/>
      <c r="J32" s="8"/>
      <c r="K32" s="10"/>
      <c r="L32" s="10"/>
      <c r="M32" s="10"/>
      <c r="N32" s="30"/>
      <c r="O32" s="7">
        <f t="shared" si="8"/>
        <v>0</v>
      </c>
      <c r="P32" s="1"/>
    </row>
    <row r="33" spans="1:16" x14ac:dyDescent="0.15">
      <c r="A33" s="16" t="s">
        <v>90</v>
      </c>
      <c r="B33" s="8">
        <v>1</v>
      </c>
      <c r="C33" s="10"/>
      <c r="D33" s="10"/>
      <c r="E33" s="10"/>
      <c r="F33" s="30"/>
      <c r="G33" s="7">
        <f t="shared" si="7"/>
        <v>1</v>
      </c>
      <c r="H33" s="36">
        <v>42418</v>
      </c>
      <c r="I33" s="16"/>
      <c r="J33" s="8"/>
      <c r="K33" s="10"/>
      <c r="L33" s="10"/>
      <c r="M33" s="10"/>
      <c r="N33" s="30"/>
      <c r="O33" s="7">
        <f t="shared" si="8"/>
        <v>0</v>
      </c>
      <c r="P33" s="1"/>
    </row>
    <row r="34" spans="1:16" x14ac:dyDescent="0.15">
      <c r="A34" s="16" t="s">
        <v>93</v>
      </c>
      <c r="B34" s="8">
        <v>1</v>
      </c>
      <c r="C34" s="10"/>
      <c r="D34" s="10"/>
      <c r="E34" s="10"/>
      <c r="F34" s="30"/>
      <c r="G34" s="7">
        <f t="shared" si="7"/>
        <v>1</v>
      </c>
      <c r="H34" s="36">
        <v>42422</v>
      </c>
      <c r="I34" s="16"/>
      <c r="J34" s="8"/>
      <c r="K34" s="10"/>
      <c r="L34" s="10"/>
      <c r="M34" s="10"/>
      <c r="N34" s="30"/>
      <c r="O34" s="7">
        <f t="shared" si="8"/>
        <v>0</v>
      </c>
      <c r="P34" s="1"/>
    </row>
    <row r="35" spans="1:16" x14ac:dyDescent="0.15">
      <c r="A35" s="39" t="s">
        <v>22</v>
      </c>
      <c r="B35" s="8"/>
      <c r="C35" s="10"/>
      <c r="D35" s="10">
        <v>10</v>
      </c>
      <c r="E35" s="10"/>
      <c r="F35" s="30"/>
      <c r="G35" s="7">
        <f t="shared" si="7"/>
        <v>10</v>
      </c>
      <c r="H35" s="36">
        <v>42430</v>
      </c>
      <c r="I35" s="14"/>
      <c r="J35" s="8"/>
      <c r="K35" s="10"/>
      <c r="L35" s="10"/>
      <c r="M35" s="10"/>
      <c r="N35" s="30"/>
      <c r="O35" s="7">
        <f t="shared" si="8"/>
        <v>0</v>
      </c>
      <c r="P35" s="1"/>
    </row>
    <row r="36" spans="1:16" x14ac:dyDescent="0.15">
      <c r="A36" s="16" t="s">
        <v>96</v>
      </c>
      <c r="B36" s="11"/>
      <c r="C36" s="12">
        <v>2</v>
      </c>
      <c r="D36" s="12">
        <v>2</v>
      </c>
      <c r="E36" s="12"/>
      <c r="F36" s="31"/>
      <c r="G36" s="7">
        <f t="shared" si="7"/>
        <v>4</v>
      </c>
      <c r="H36" s="36">
        <v>42427</v>
      </c>
      <c r="I36" s="16"/>
      <c r="J36" s="11"/>
      <c r="K36" s="12"/>
      <c r="L36" s="12"/>
      <c r="M36" s="12"/>
      <c r="N36" s="31"/>
      <c r="O36" s="7">
        <f t="shared" si="8"/>
        <v>0</v>
      </c>
      <c r="P36" s="1"/>
    </row>
    <row r="37" spans="1:16" x14ac:dyDescent="0.15">
      <c r="A37" s="16"/>
      <c r="B37" s="8"/>
      <c r="C37" s="10"/>
      <c r="D37" s="10"/>
      <c r="E37" s="10"/>
      <c r="F37" s="30"/>
      <c r="G37" s="7">
        <f t="shared" si="7"/>
        <v>0</v>
      </c>
      <c r="H37" s="36"/>
      <c r="I37" s="14"/>
      <c r="J37" s="8"/>
      <c r="K37" s="10"/>
      <c r="L37" s="10"/>
      <c r="M37" s="10"/>
      <c r="N37" s="30"/>
      <c r="O37" s="7">
        <f t="shared" si="8"/>
        <v>0</v>
      </c>
      <c r="P37" s="1"/>
    </row>
    <row r="38" spans="1:16" x14ac:dyDescent="0.15">
      <c r="A38" s="16" t="s">
        <v>78</v>
      </c>
      <c r="B38" s="37">
        <v>10</v>
      </c>
      <c r="C38" s="35">
        <v>15</v>
      </c>
      <c r="D38" s="35">
        <v>15</v>
      </c>
      <c r="E38" s="35">
        <v>10</v>
      </c>
      <c r="F38" s="28">
        <v>10</v>
      </c>
      <c r="G38" s="7">
        <f t="shared" ref="G38" si="9">SUM(B38:F38)</f>
        <v>60</v>
      </c>
      <c r="H38" s="36">
        <v>42431</v>
      </c>
      <c r="I38" s="14"/>
      <c r="J38" s="8"/>
      <c r="K38" s="10"/>
      <c r="L38" s="10"/>
      <c r="M38" s="10"/>
      <c r="N38" s="30"/>
      <c r="O38" s="7">
        <f t="shared" si="8"/>
        <v>0</v>
      </c>
      <c r="P38" s="36"/>
    </row>
    <row r="39" spans="1:16" x14ac:dyDescent="0.15">
      <c r="A39" s="16"/>
      <c r="B39" s="8"/>
      <c r="C39" s="10"/>
      <c r="D39" s="10"/>
      <c r="E39" s="10"/>
      <c r="F39" s="30"/>
      <c r="G39" s="9">
        <f t="shared" si="7"/>
        <v>0</v>
      </c>
      <c r="H39" s="36"/>
      <c r="I39" s="14"/>
      <c r="J39" s="8"/>
      <c r="K39" s="10"/>
      <c r="L39" s="10"/>
      <c r="M39" s="10"/>
      <c r="N39" s="30"/>
      <c r="O39" s="7">
        <f t="shared" si="8"/>
        <v>0</v>
      </c>
      <c r="P39" s="36"/>
    </row>
    <row r="40" spans="1:16" ht="14.25" thickBot="1" x14ac:dyDescent="0.2">
      <c r="A40" s="16"/>
      <c r="B40" s="37"/>
      <c r="C40" s="35"/>
      <c r="D40" s="35"/>
      <c r="E40" s="35"/>
      <c r="F40" s="28"/>
      <c r="G40" s="7">
        <f t="shared" si="7"/>
        <v>0</v>
      </c>
      <c r="H40" s="36"/>
      <c r="I40" s="20"/>
      <c r="J40" s="11"/>
      <c r="K40" s="12"/>
      <c r="L40" s="12"/>
      <c r="M40" s="12"/>
      <c r="N40" s="31"/>
      <c r="O40" s="7">
        <f t="shared" si="8"/>
        <v>0</v>
      </c>
      <c r="P40" s="36"/>
    </row>
    <row r="41" spans="1:16" ht="14.25" thickBot="1" x14ac:dyDescent="0.2">
      <c r="A41" s="3" t="s">
        <v>11</v>
      </c>
      <c r="B41" s="23">
        <f>SUM(B15:B40)</f>
        <v>38</v>
      </c>
      <c r="C41" s="4">
        <f>SUM(C15:C40)</f>
        <v>61</v>
      </c>
      <c r="D41" s="4">
        <f>SUM(D15:D40)</f>
        <v>53</v>
      </c>
      <c r="E41" s="6">
        <f>SUM(E15:E40)</f>
        <v>35</v>
      </c>
      <c r="F41" s="32">
        <f>SUM(F15:F40)</f>
        <v>42</v>
      </c>
      <c r="G41" s="5">
        <f>SUM(B41:F41)</f>
        <v>229</v>
      </c>
      <c r="H41" s="1"/>
      <c r="I41" s="3" t="s">
        <v>11</v>
      </c>
      <c r="J41" s="23">
        <f>SUM(J15:J40)</f>
        <v>46</v>
      </c>
      <c r="K41" s="4">
        <f>SUM(K15:K40)</f>
        <v>66</v>
      </c>
      <c r="L41" s="4">
        <f>SUM(L15:L40)</f>
        <v>55</v>
      </c>
      <c r="M41" s="6">
        <f>SUM(M15:M40)</f>
        <v>44</v>
      </c>
      <c r="N41" s="32">
        <f>SUM(N15:N40)</f>
        <v>44</v>
      </c>
      <c r="O41" s="5">
        <f>SUM(J41:N41)</f>
        <v>255</v>
      </c>
      <c r="P41" s="1"/>
    </row>
    <row r="42" spans="1:16" ht="14.25" thickBot="1" x14ac:dyDescent="0.2">
      <c r="A42" s="25" t="s">
        <v>12</v>
      </c>
      <c r="B42" s="63">
        <f>B14-B41</f>
        <v>8</v>
      </c>
      <c r="C42" s="26">
        <f t="shared" ref="C42:G42" si="10">C14-C41</f>
        <v>5</v>
      </c>
      <c r="D42" s="71">
        <f t="shared" si="10"/>
        <v>2</v>
      </c>
      <c r="E42" s="26">
        <f t="shared" si="10"/>
        <v>9</v>
      </c>
      <c r="F42" s="70">
        <f t="shared" si="10"/>
        <v>2</v>
      </c>
      <c r="G42" s="27">
        <f t="shared" si="10"/>
        <v>26</v>
      </c>
      <c r="H42" s="1"/>
      <c r="I42" s="25" t="s">
        <v>12</v>
      </c>
      <c r="J42" s="63">
        <f>J14-J41</f>
        <v>65</v>
      </c>
      <c r="K42" s="26">
        <f t="shared" ref="K42" si="11">K14-K41</f>
        <v>53</v>
      </c>
      <c r="L42" s="71">
        <f t="shared" ref="L42" si="12">L14-L41</f>
        <v>59</v>
      </c>
      <c r="M42" s="26">
        <f t="shared" ref="M42" si="13">M14-M41</f>
        <v>73</v>
      </c>
      <c r="N42" s="70">
        <f t="shared" ref="N42" si="14">N14-N41</f>
        <v>57</v>
      </c>
      <c r="O42" s="27">
        <f t="shared" ref="O42" si="15">O14-O41</f>
        <v>307</v>
      </c>
      <c r="P42" s="1"/>
    </row>
    <row r="43" spans="1:16" ht="21" x14ac:dyDescent="0.2">
      <c r="A43" s="83" t="s">
        <v>48</v>
      </c>
      <c r="B43" s="77"/>
      <c r="C43" s="77"/>
      <c r="D43" s="77"/>
      <c r="E43" s="77"/>
      <c r="F43" s="77"/>
      <c r="G43" s="77"/>
      <c r="H43" s="1"/>
      <c r="I43" s="83" t="s">
        <v>48</v>
      </c>
      <c r="J43" s="77"/>
      <c r="K43" s="77"/>
      <c r="L43" s="77"/>
      <c r="M43" s="77"/>
      <c r="N43" s="77"/>
      <c r="O43" s="77"/>
      <c r="P43" s="1"/>
    </row>
    <row r="44" spans="1:16" ht="21.75" thickBot="1" x14ac:dyDescent="0.25">
      <c r="A44" s="83" t="s">
        <v>47</v>
      </c>
      <c r="B44" s="77"/>
      <c r="C44" s="77"/>
      <c r="D44" s="77"/>
      <c r="E44" s="84"/>
      <c r="F44" s="78" t="s">
        <v>53</v>
      </c>
      <c r="G44" s="77"/>
      <c r="H44" s="1"/>
      <c r="I44" s="83" t="s">
        <v>47</v>
      </c>
      <c r="J44" s="77"/>
      <c r="K44" s="77"/>
      <c r="L44" s="77"/>
      <c r="M44" s="84"/>
      <c r="N44" s="78" t="s">
        <v>54</v>
      </c>
      <c r="O44" s="77"/>
      <c r="P44" s="1"/>
    </row>
    <row r="45" spans="1:16" ht="14.25" thickBot="1" x14ac:dyDescent="0.2">
      <c r="A45" s="13" t="s">
        <v>0</v>
      </c>
      <c r="B45" s="228" t="s">
        <v>49</v>
      </c>
      <c r="C45" s="229"/>
      <c r="D45" s="229"/>
      <c r="E45" s="229"/>
      <c r="F45" s="230"/>
      <c r="G45" s="231"/>
      <c r="H45" s="1"/>
      <c r="I45" s="13" t="s">
        <v>0</v>
      </c>
      <c r="J45" s="232" t="s">
        <v>49</v>
      </c>
      <c r="K45" s="233"/>
      <c r="L45" s="233"/>
      <c r="M45" s="233"/>
      <c r="N45" s="233"/>
      <c r="O45" s="234"/>
      <c r="P45" s="1"/>
    </row>
    <row r="46" spans="1:16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4" t="s">
        <v>2</v>
      </c>
      <c r="H46" s="1"/>
      <c r="I46" s="3" t="s">
        <v>1</v>
      </c>
      <c r="J46" s="2" t="s">
        <v>42</v>
      </c>
      <c r="K46" s="21" t="s">
        <v>43</v>
      </c>
      <c r="L46" s="21" t="s">
        <v>44</v>
      </c>
      <c r="M46" s="24" t="s">
        <v>45</v>
      </c>
      <c r="N46" s="33" t="s">
        <v>46</v>
      </c>
      <c r="O46" s="3" t="s">
        <v>2</v>
      </c>
      <c r="P46" s="1"/>
    </row>
    <row r="47" spans="1:16" ht="14.25" thickBot="1" x14ac:dyDescent="0.2">
      <c r="A47" s="106" t="s">
        <v>79</v>
      </c>
      <c r="B47" s="95">
        <f>B42</f>
        <v>8</v>
      </c>
      <c r="C47" s="97">
        <f t="shared" ref="C47:F47" si="16">C42</f>
        <v>5</v>
      </c>
      <c r="D47" s="55">
        <f t="shared" si="16"/>
        <v>2</v>
      </c>
      <c r="E47" s="98">
        <f t="shared" si="16"/>
        <v>9</v>
      </c>
      <c r="F47" s="98">
        <f t="shared" si="16"/>
        <v>2</v>
      </c>
      <c r="G47" s="52">
        <f t="shared" ref="G47:G83" si="17">SUM(B47:F47)</f>
        <v>26</v>
      </c>
      <c r="H47" s="36"/>
      <c r="I47" s="72" t="s">
        <v>79</v>
      </c>
      <c r="J47" s="73">
        <f>J42</f>
        <v>65</v>
      </c>
      <c r="K47" s="74">
        <f t="shared" ref="K47:N47" si="18">K42</f>
        <v>53</v>
      </c>
      <c r="L47" s="107">
        <f t="shared" si="18"/>
        <v>59</v>
      </c>
      <c r="M47" s="75">
        <f t="shared" si="18"/>
        <v>73</v>
      </c>
      <c r="N47" s="75">
        <f t="shared" si="18"/>
        <v>57</v>
      </c>
      <c r="O47" s="76">
        <f t="shared" ref="O47:O56" si="19">SUM(J47:N47)</f>
        <v>307</v>
      </c>
      <c r="P47" s="36"/>
    </row>
    <row r="48" spans="1:16" x14ac:dyDescent="0.15">
      <c r="A48" s="38" t="s">
        <v>14</v>
      </c>
      <c r="B48" s="17">
        <v>5</v>
      </c>
      <c r="C48" s="22">
        <v>5</v>
      </c>
      <c r="D48" s="22">
        <v>10</v>
      </c>
      <c r="E48" s="22">
        <v>5</v>
      </c>
      <c r="F48" s="29">
        <v>10</v>
      </c>
      <c r="G48" s="18">
        <f t="shared" si="17"/>
        <v>35</v>
      </c>
      <c r="H48" s="36">
        <v>42430</v>
      </c>
      <c r="I48" s="38" t="s">
        <v>14</v>
      </c>
      <c r="J48" s="37">
        <v>9</v>
      </c>
      <c r="K48" s="35">
        <v>2</v>
      </c>
      <c r="L48" s="35">
        <v>5</v>
      </c>
      <c r="M48" s="35">
        <v>14</v>
      </c>
      <c r="N48" s="28">
        <v>0</v>
      </c>
      <c r="O48" s="7">
        <f t="shared" si="19"/>
        <v>30</v>
      </c>
      <c r="P48" s="36">
        <v>42432</v>
      </c>
    </row>
    <row r="49" spans="1:16" x14ac:dyDescent="0.15">
      <c r="A49" s="15" t="s">
        <v>100</v>
      </c>
      <c r="B49" s="8">
        <v>1</v>
      </c>
      <c r="C49" s="10">
        <v>1</v>
      </c>
      <c r="D49" s="10"/>
      <c r="E49" s="10"/>
      <c r="F49" s="28"/>
      <c r="G49" s="9">
        <f t="shared" si="17"/>
        <v>2</v>
      </c>
      <c r="H49" s="36">
        <v>42430</v>
      </c>
      <c r="I49" s="15" t="s">
        <v>3</v>
      </c>
      <c r="J49" s="8"/>
      <c r="K49" s="10"/>
      <c r="L49" s="10"/>
      <c r="M49" s="10"/>
      <c r="N49" s="28"/>
      <c r="O49" s="9">
        <f t="shared" si="19"/>
        <v>0</v>
      </c>
      <c r="P49" s="36"/>
    </row>
    <row r="50" spans="1:16" x14ac:dyDescent="0.15">
      <c r="A50" s="15" t="s">
        <v>4</v>
      </c>
      <c r="B50" s="8"/>
      <c r="C50" s="10">
        <v>5</v>
      </c>
      <c r="D50" s="10">
        <v>5</v>
      </c>
      <c r="E50" s="10"/>
      <c r="F50" s="28">
        <v>5</v>
      </c>
      <c r="G50" s="9">
        <f t="shared" si="17"/>
        <v>15</v>
      </c>
      <c r="H50" s="36">
        <v>42432</v>
      </c>
      <c r="I50" s="15" t="s">
        <v>4</v>
      </c>
      <c r="J50" s="8"/>
      <c r="K50" s="10"/>
      <c r="L50" s="10"/>
      <c r="M50" s="10"/>
      <c r="N50" s="28"/>
      <c r="O50" s="9">
        <f t="shared" si="19"/>
        <v>0</v>
      </c>
      <c r="P50" s="1"/>
    </row>
    <row r="51" spans="1:16" x14ac:dyDescent="0.15">
      <c r="A51" s="15" t="s">
        <v>19</v>
      </c>
      <c r="B51" s="8">
        <v>1</v>
      </c>
      <c r="C51" s="10"/>
      <c r="D51" s="10"/>
      <c r="E51" s="10"/>
      <c r="F51" s="28"/>
      <c r="G51" s="9">
        <f t="shared" si="17"/>
        <v>1</v>
      </c>
      <c r="H51" s="36">
        <v>42436</v>
      </c>
      <c r="I51" s="15" t="s">
        <v>5</v>
      </c>
      <c r="J51" s="8"/>
      <c r="K51" s="10"/>
      <c r="L51" s="10"/>
      <c r="M51" s="10"/>
      <c r="N51" s="28"/>
      <c r="O51" s="9">
        <f t="shared" si="19"/>
        <v>0</v>
      </c>
      <c r="P51" s="1"/>
    </row>
    <row r="52" spans="1:16" x14ac:dyDescent="0.15">
      <c r="A52" s="15" t="s">
        <v>6</v>
      </c>
      <c r="B52" s="8">
        <v>5</v>
      </c>
      <c r="C52" s="10">
        <v>5</v>
      </c>
      <c r="D52" s="10">
        <v>5</v>
      </c>
      <c r="E52" s="10">
        <v>5</v>
      </c>
      <c r="F52" s="28"/>
      <c r="G52" s="9">
        <f t="shared" si="17"/>
        <v>20</v>
      </c>
      <c r="H52" s="36">
        <v>42444</v>
      </c>
      <c r="I52" s="15" t="s">
        <v>6</v>
      </c>
      <c r="J52" s="8"/>
      <c r="K52" s="10"/>
      <c r="L52" s="10"/>
      <c r="M52" s="10"/>
      <c r="N52" s="28"/>
      <c r="O52" s="9">
        <f t="shared" si="19"/>
        <v>0</v>
      </c>
      <c r="P52" s="1"/>
    </row>
    <row r="53" spans="1:16" x14ac:dyDescent="0.15">
      <c r="A53" s="15" t="s">
        <v>84</v>
      </c>
      <c r="B53" s="11">
        <v>5</v>
      </c>
      <c r="C53" s="12">
        <v>10</v>
      </c>
      <c r="D53" s="12">
        <v>10</v>
      </c>
      <c r="E53" s="12">
        <v>5</v>
      </c>
      <c r="F53" s="31"/>
      <c r="G53" s="7">
        <f t="shared" si="17"/>
        <v>30</v>
      </c>
      <c r="H53" s="36">
        <v>42455</v>
      </c>
      <c r="I53" s="15" t="s">
        <v>84</v>
      </c>
      <c r="J53" s="11"/>
      <c r="K53" s="12"/>
      <c r="L53" s="12"/>
      <c r="M53" s="12"/>
      <c r="N53" s="31"/>
      <c r="O53" s="7">
        <f t="shared" si="19"/>
        <v>0</v>
      </c>
      <c r="P53" s="1"/>
    </row>
    <row r="54" spans="1:16" x14ac:dyDescent="0.15">
      <c r="A54" s="15" t="s">
        <v>85</v>
      </c>
      <c r="B54" s="8"/>
      <c r="C54" s="10"/>
      <c r="D54" s="10"/>
      <c r="E54" s="10"/>
      <c r="F54" s="30">
        <v>10</v>
      </c>
      <c r="G54" s="7">
        <f t="shared" si="17"/>
        <v>10</v>
      </c>
      <c r="H54" s="36">
        <v>42460</v>
      </c>
      <c r="I54" s="15" t="s">
        <v>85</v>
      </c>
      <c r="J54" s="8"/>
      <c r="K54" s="10"/>
      <c r="L54" s="10"/>
      <c r="M54" s="10"/>
      <c r="N54" s="30"/>
      <c r="O54" s="7">
        <f t="shared" si="19"/>
        <v>0</v>
      </c>
      <c r="P54" s="1"/>
    </row>
    <row r="55" spans="1:16" x14ac:dyDescent="0.15">
      <c r="A55" s="16" t="s">
        <v>88</v>
      </c>
      <c r="B55" s="8">
        <v>10</v>
      </c>
      <c r="C55" s="10">
        <v>10</v>
      </c>
      <c r="D55" s="10">
        <v>5</v>
      </c>
      <c r="E55" s="10"/>
      <c r="F55" s="30">
        <v>5</v>
      </c>
      <c r="G55" s="7">
        <f t="shared" si="17"/>
        <v>30</v>
      </c>
      <c r="H55" s="36">
        <v>42471</v>
      </c>
      <c r="I55" s="16" t="s">
        <v>88</v>
      </c>
      <c r="J55" s="8"/>
      <c r="K55" s="10"/>
      <c r="L55" s="10"/>
      <c r="M55" s="10"/>
      <c r="N55" s="30"/>
      <c r="O55" s="7">
        <f t="shared" si="19"/>
        <v>0</v>
      </c>
      <c r="P55" s="1"/>
    </row>
    <row r="56" spans="1:16" ht="14.25" thickBot="1" x14ac:dyDescent="0.2">
      <c r="A56" s="15" t="s">
        <v>19</v>
      </c>
      <c r="B56" s="11"/>
      <c r="C56" s="100">
        <v>1</v>
      </c>
      <c r="D56" s="100"/>
      <c r="E56" s="100"/>
      <c r="F56" s="101"/>
      <c r="G56" s="102">
        <f t="shared" si="17"/>
        <v>1</v>
      </c>
      <c r="H56" s="36">
        <v>42485</v>
      </c>
      <c r="I56" s="15" t="s">
        <v>87</v>
      </c>
      <c r="J56" s="11"/>
      <c r="K56" s="100"/>
      <c r="L56" s="100"/>
      <c r="M56" s="100"/>
      <c r="N56" s="101"/>
      <c r="O56" s="102">
        <f t="shared" si="19"/>
        <v>0</v>
      </c>
      <c r="P56" s="1"/>
    </row>
    <row r="57" spans="1:16" ht="14.25" thickBot="1" x14ac:dyDescent="0.2">
      <c r="A57" s="72" t="s">
        <v>7</v>
      </c>
      <c r="B57" s="73">
        <f>SUM(B47:B56)</f>
        <v>35</v>
      </c>
      <c r="C57" s="74">
        <f t="shared" ref="C57:G57" si="20">SUM(C47:C56)</f>
        <v>42</v>
      </c>
      <c r="D57" s="74">
        <f t="shared" si="20"/>
        <v>37</v>
      </c>
      <c r="E57" s="74">
        <f t="shared" si="20"/>
        <v>24</v>
      </c>
      <c r="F57" s="105">
        <f t="shared" si="20"/>
        <v>32</v>
      </c>
      <c r="G57" s="105">
        <f t="shared" si="20"/>
        <v>170</v>
      </c>
      <c r="H57" s="1"/>
      <c r="I57" s="72" t="s">
        <v>7</v>
      </c>
      <c r="J57" s="73">
        <f>SUM(J47:J56)</f>
        <v>74</v>
      </c>
      <c r="K57" s="74">
        <f t="shared" ref="K57" si="21">SUM(K47:K56)</f>
        <v>55</v>
      </c>
      <c r="L57" s="74">
        <f t="shared" ref="L57" si="22">SUM(L47:L56)</f>
        <v>64</v>
      </c>
      <c r="M57" s="74">
        <f t="shared" ref="M57" si="23">SUM(M47:M56)</f>
        <v>87</v>
      </c>
      <c r="N57" s="105">
        <f t="shared" ref="N57" si="24">SUM(N47:N56)</f>
        <v>57</v>
      </c>
      <c r="O57" s="105">
        <f t="shared" ref="O57" si="25">SUM(O47:O56)</f>
        <v>337</v>
      </c>
      <c r="P57" s="69"/>
    </row>
    <row r="58" spans="1:16" x14ac:dyDescent="0.15">
      <c r="A58" s="16" t="s">
        <v>31</v>
      </c>
      <c r="B58" s="8"/>
      <c r="C58" s="10"/>
      <c r="D58" s="10"/>
      <c r="E58" s="10"/>
      <c r="F58" s="30">
        <v>1</v>
      </c>
      <c r="G58" s="7">
        <f t="shared" ref="G58" si="26">SUM(B58:F58)</f>
        <v>1</v>
      </c>
      <c r="H58" s="36">
        <v>42432</v>
      </c>
      <c r="I58" s="16" t="s">
        <v>99</v>
      </c>
      <c r="J58" s="17">
        <v>5</v>
      </c>
      <c r="K58" s="22">
        <v>5</v>
      </c>
      <c r="L58" s="22">
        <v>10</v>
      </c>
      <c r="M58" s="22">
        <v>5</v>
      </c>
      <c r="N58" s="29">
        <v>10</v>
      </c>
      <c r="O58" s="18">
        <f t="shared" ref="O58:O59" si="27">SUM(J58:N58)</f>
        <v>35</v>
      </c>
      <c r="P58" s="36">
        <v>42430</v>
      </c>
    </row>
    <row r="59" spans="1:16" x14ac:dyDescent="0.15">
      <c r="A59" s="16" t="s">
        <v>31</v>
      </c>
      <c r="B59" s="8">
        <v>2</v>
      </c>
      <c r="C59" s="10">
        <v>3</v>
      </c>
      <c r="D59" s="10">
        <v>6</v>
      </c>
      <c r="E59" s="10"/>
      <c r="F59" s="30">
        <v>4</v>
      </c>
      <c r="G59" s="9">
        <f t="shared" si="17"/>
        <v>15</v>
      </c>
      <c r="H59" s="36">
        <v>42433</v>
      </c>
      <c r="I59" s="16" t="s">
        <v>37</v>
      </c>
      <c r="J59" s="8"/>
      <c r="K59" s="10">
        <v>5</v>
      </c>
      <c r="L59" s="10">
        <v>5</v>
      </c>
      <c r="M59" s="10"/>
      <c r="N59" s="28">
        <v>5</v>
      </c>
      <c r="O59" s="9">
        <f t="shared" si="27"/>
        <v>15</v>
      </c>
      <c r="P59" s="36">
        <v>42432</v>
      </c>
    </row>
    <row r="60" spans="1:16" x14ac:dyDescent="0.15">
      <c r="A60" s="16" t="s">
        <v>31</v>
      </c>
      <c r="B60" s="8">
        <v>1</v>
      </c>
      <c r="C60" s="10">
        <v>2</v>
      </c>
      <c r="D60" s="10">
        <v>2</v>
      </c>
      <c r="E60" s="10">
        <v>2</v>
      </c>
      <c r="F60" s="30"/>
      <c r="G60" s="7">
        <f t="shared" si="17"/>
        <v>7</v>
      </c>
      <c r="H60" s="36">
        <v>42436</v>
      </c>
      <c r="I60" s="16" t="s">
        <v>37</v>
      </c>
      <c r="J60" s="8">
        <v>5</v>
      </c>
      <c r="K60" s="10">
        <v>5</v>
      </c>
      <c r="L60" s="10">
        <v>5</v>
      </c>
      <c r="M60" s="10">
        <v>5</v>
      </c>
      <c r="N60" s="30"/>
      <c r="O60" s="7">
        <f t="shared" ref="O60:O83" si="28">SUM(J60:N60)</f>
        <v>20</v>
      </c>
      <c r="P60" s="36">
        <v>42444</v>
      </c>
    </row>
    <row r="61" spans="1:16" x14ac:dyDescent="0.15">
      <c r="A61" s="16" t="s">
        <v>31</v>
      </c>
      <c r="B61" s="8">
        <v>2</v>
      </c>
      <c r="C61" s="10">
        <v>2</v>
      </c>
      <c r="D61" s="10"/>
      <c r="E61" s="10"/>
      <c r="F61" s="30"/>
      <c r="G61" s="7">
        <f t="shared" si="17"/>
        <v>4</v>
      </c>
      <c r="H61" s="36">
        <v>42440</v>
      </c>
      <c r="I61" s="16" t="s">
        <v>37</v>
      </c>
      <c r="J61" s="8">
        <v>5</v>
      </c>
      <c r="K61" s="10">
        <v>10</v>
      </c>
      <c r="L61" s="10">
        <v>10</v>
      </c>
      <c r="M61" s="10">
        <v>5</v>
      </c>
      <c r="N61" s="30"/>
      <c r="O61" s="7">
        <f t="shared" si="28"/>
        <v>30</v>
      </c>
      <c r="P61" s="36">
        <v>42455</v>
      </c>
    </row>
    <row r="62" spans="1:16" x14ac:dyDescent="0.15">
      <c r="A62" s="16" t="s">
        <v>31</v>
      </c>
      <c r="B62" s="8">
        <v>3</v>
      </c>
      <c r="C62" s="10">
        <v>3</v>
      </c>
      <c r="D62" s="10"/>
      <c r="E62" s="10">
        <v>2</v>
      </c>
      <c r="F62" s="30"/>
      <c r="G62" s="7">
        <f t="shared" si="17"/>
        <v>8</v>
      </c>
      <c r="H62" s="36">
        <v>42445</v>
      </c>
      <c r="I62" s="16" t="s">
        <v>37</v>
      </c>
      <c r="J62" s="8"/>
      <c r="K62" s="10"/>
      <c r="L62" s="10"/>
      <c r="M62" s="10"/>
      <c r="N62" s="30">
        <v>10</v>
      </c>
      <c r="O62" s="7">
        <f t="shared" si="28"/>
        <v>10</v>
      </c>
      <c r="P62" s="36">
        <v>42460</v>
      </c>
    </row>
    <row r="63" spans="1:16" x14ac:dyDescent="0.15">
      <c r="A63" s="16" t="s">
        <v>31</v>
      </c>
      <c r="B63" s="8"/>
      <c r="C63" s="10">
        <v>1</v>
      </c>
      <c r="D63" s="10"/>
      <c r="E63" s="10">
        <v>2</v>
      </c>
      <c r="F63" s="30"/>
      <c r="G63" s="7">
        <f t="shared" si="17"/>
        <v>3</v>
      </c>
      <c r="H63" s="36">
        <v>42446</v>
      </c>
      <c r="I63" s="16" t="s">
        <v>37</v>
      </c>
      <c r="J63" s="8">
        <v>10</v>
      </c>
      <c r="K63" s="10">
        <v>10</v>
      </c>
      <c r="L63" s="10">
        <v>5</v>
      </c>
      <c r="M63" s="10"/>
      <c r="N63" s="30">
        <v>5</v>
      </c>
      <c r="O63" s="7">
        <f t="shared" si="28"/>
        <v>30</v>
      </c>
      <c r="P63" s="36">
        <v>42471</v>
      </c>
    </row>
    <row r="64" spans="1:16" x14ac:dyDescent="0.15">
      <c r="A64" s="16" t="s">
        <v>31</v>
      </c>
      <c r="B64" s="8">
        <v>1</v>
      </c>
      <c r="C64" s="10">
        <v>1</v>
      </c>
      <c r="D64" s="10">
        <v>6</v>
      </c>
      <c r="E64" s="10"/>
      <c r="F64" s="30"/>
      <c r="G64" s="7">
        <f t="shared" si="17"/>
        <v>8</v>
      </c>
      <c r="H64" s="36">
        <v>42448</v>
      </c>
      <c r="I64" s="16"/>
      <c r="J64" s="8"/>
      <c r="K64" s="10"/>
      <c r="L64" s="10"/>
      <c r="M64" s="10"/>
      <c r="N64" s="30"/>
      <c r="O64" s="7">
        <f t="shared" si="28"/>
        <v>0</v>
      </c>
      <c r="P64" s="36"/>
    </row>
    <row r="65" spans="1:17" x14ac:dyDescent="0.15">
      <c r="A65" s="16" t="s">
        <v>31</v>
      </c>
      <c r="B65" s="8"/>
      <c r="C65" s="10">
        <v>3</v>
      </c>
      <c r="D65" s="10">
        <v>1</v>
      </c>
      <c r="E65" s="10">
        <v>1</v>
      </c>
      <c r="F65" s="30"/>
      <c r="G65" s="7">
        <f t="shared" si="17"/>
        <v>5</v>
      </c>
      <c r="H65" s="36">
        <v>42455</v>
      </c>
      <c r="I65" s="16"/>
      <c r="J65" s="8"/>
      <c r="K65" s="10"/>
      <c r="L65" s="10"/>
      <c r="M65" s="10"/>
      <c r="N65" s="30"/>
      <c r="O65" s="7">
        <f t="shared" si="28"/>
        <v>0</v>
      </c>
      <c r="P65" s="1"/>
    </row>
    <row r="66" spans="1:17" x14ac:dyDescent="0.15">
      <c r="A66" s="39" t="s">
        <v>103</v>
      </c>
      <c r="B66" s="8">
        <v>1</v>
      </c>
      <c r="C66" s="10">
        <v>2</v>
      </c>
      <c r="D66" s="10">
        <v>1</v>
      </c>
      <c r="E66" s="10">
        <v>1</v>
      </c>
      <c r="F66" s="30">
        <v>1</v>
      </c>
      <c r="G66" s="7">
        <f t="shared" si="17"/>
        <v>6</v>
      </c>
      <c r="H66" s="36">
        <v>42454</v>
      </c>
      <c r="I66" s="39"/>
      <c r="J66" s="8"/>
      <c r="K66" s="10"/>
      <c r="L66" s="10"/>
      <c r="M66" s="10"/>
      <c r="N66" s="30"/>
      <c r="O66" s="7">
        <f t="shared" si="28"/>
        <v>0</v>
      </c>
      <c r="P66" s="1"/>
    </row>
    <row r="67" spans="1:17" x14ac:dyDescent="0.15">
      <c r="A67" s="39" t="s">
        <v>33</v>
      </c>
      <c r="B67" s="11"/>
      <c r="C67" s="12">
        <v>1</v>
      </c>
      <c r="D67" s="12">
        <v>1</v>
      </c>
      <c r="E67" s="12">
        <v>1</v>
      </c>
      <c r="F67" s="31"/>
      <c r="G67" s="7">
        <f t="shared" si="17"/>
        <v>3</v>
      </c>
      <c r="H67" s="36">
        <v>42457</v>
      </c>
      <c r="I67" s="16"/>
      <c r="J67" s="11"/>
      <c r="K67" s="12"/>
      <c r="L67" s="12"/>
      <c r="M67" s="12"/>
      <c r="N67" s="31"/>
      <c r="O67" s="7">
        <f t="shared" si="28"/>
        <v>0</v>
      </c>
      <c r="P67" s="1"/>
    </row>
    <row r="68" spans="1:17" x14ac:dyDescent="0.15">
      <c r="A68" s="16" t="s">
        <v>104</v>
      </c>
      <c r="B68" s="8">
        <v>1</v>
      </c>
      <c r="C68" s="10"/>
      <c r="D68" s="10"/>
      <c r="E68" s="10"/>
      <c r="F68" s="30"/>
      <c r="G68" s="7">
        <f t="shared" si="17"/>
        <v>1</v>
      </c>
      <c r="H68" s="36">
        <v>42454</v>
      </c>
      <c r="I68" s="16"/>
      <c r="J68" s="8"/>
      <c r="K68" s="10"/>
      <c r="L68" s="10"/>
      <c r="M68" s="10"/>
      <c r="N68" s="30"/>
      <c r="O68" s="7">
        <f t="shared" si="28"/>
        <v>0</v>
      </c>
      <c r="P68" s="1"/>
    </row>
    <row r="69" spans="1:17" x14ac:dyDescent="0.15">
      <c r="A69" s="14" t="s">
        <v>106</v>
      </c>
      <c r="B69" s="8"/>
      <c r="C69" s="10"/>
      <c r="D69" s="10"/>
      <c r="E69" s="10"/>
      <c r="F69" s="30">
        <v>10</v>
      </c>
      <c r="G69" s="7">
        <f t="shared" si="17"/>
        <v>10</v>
      </c>
      <c r="H69" s="36">
        <v>42464</v>
      </c>
      <c r="I69" s="14"/>
      <c r="J69" s="8"/>
      <c r="K69" s="10"/>
      <c r="L69" s="10"/>
      <c r="M69" s="10"/>
      <c r="N69" s="30"/>
      <c r="O69" s="7">
        <f t="shared" si="28"/>
        <v>0</v>
      </c>
      <c r="P69" s="1"/>
    </row>
    <row r="70" spans="1:17" x14ac:dyDescent="0.15">
      <c r="A70" s="16" t="s">
        <v>108</v>
      </c>
      <c r="B70" s="8">
        <v>-1</v>
      </c>
      <c r="C70" s="10"/>
      <c r="D70" s="10"/>
      <c r="E70" s="10"/>
      <c r="F70" s="30"/>
      <c r="G70" s="7">
        <f t="shared" si="17"/>
        <v>-1</v>
      </c>
      <c r="H70" s="36">
        <v>42459</v>
      </c>
      <c r="I70" s="16"/>
      <c r="J70" s="8"/>
      <c r="K70" s="10"/>
      <c r="L70" s="10"/>
      <c r="M70" s="10"/>
      <c r="N70" s="30"/>
      <c r="O70" s="7">
        <f t="shared" si="28"/>
        <v>0</v>
      </c>
      <c r="P70" s="1"/>
    </row>
    <row r="71" spans="1:17" x14ac:dyDescent="0.15">
      <c r="A71" s="39" t="s">
        <v>33</v>
      </c>
      <c r="B71" s="8"/>
      <c r="C71" s="10">
        <v>1</v>
      </c>
      <c r="D71" s="10">
        <v>1</v>
      </c>
      <c r="E71" s="10"/>
      <c r="F71" s="30"/>
      <c r="G71" s="7">
        <f t="shared" si="17"/>
        <v>2</v>
      </c>
      <c r="H71" s="36">
        <v>42467</v>
      </c>
      <c r="I71" s="16"/>
      <c r="J71" s="8"/>
      <c r="K71" s="10"/>
      <c r="L71" s="10"/>
      <c r="M71" s="10"/>
      <c r="N71" s="30"/>
      <c r="O71" s="7">
        <f t="shared" si="28"/>
        <v>0</v>
      </c>
      <c r="P71" s="1"/>
    </row>
    <row r="72" spans="1:17" x14ac:dyDescent="0.15">
      <c r="A72" s="16" t="s">
        <v>110</v>
      </c>
      <c r="B72" s="8">
        <v>4</v>
      </c>
      <c r="C72" s="10">
        <v>5</v>
      </c>
      <c r="D72" s="10">
        <v>4</v>
      </c>
      <c r="E72" s="10">
        <v>3</v>
      </c>
      <c r="F72" s="30">
        <v>3</v>
      </c>
      <c r="G72" s="7">
        <f t="shared" si="17"/>
        <v>19</v>
      </c>
      <c r="H72" s="36">
        <v>42471</v>
      </c>
      <c r="I72" s="16"/>
      <c r="J72" s="8"/>
      <c r="K72" s="10"/>
      <c r="L72" s="10"/>
      <c r="M72" s="10"/>
      <c r="N72" s="30"/>
      <c r="O72" s="7">
        <f t="shared" si="28"/>
        <v>0</v>
      </c>
      <c r="P72" s="1"/>
    </row>
    <row r="73" spans="1:17" x14ac:dyDescent="0.15">
      <c r="A73" s="39" t="s">
        <v>33</v>
      </c>
      <c r="B73" s="8"/>
      <c r="C73" s="10">
        <v>2</v>
      </c>
      <c r="D73" s="10"/>
      <c r="E73" s="10"/>
      <c r="F73" s="30"/>
      <c r="G73" s="7">
        <f t="shared" si="17"/>
        <v>2</v>
      </c>
      <c r="H73" s="36">
        <v>42468</v>
      </c>
      <c r="I73" s="16"/>
      <c r="J73" s="8"/>
      <c r="K73" s="10"/>
      <c r="L73" s="10"/>
      <c r="M73" s="10"/>
      <c r="N73" s="30"/>
      <c r="O73" s="7">
        <f t="shared" si="28"/>
        <v>0</v>
      </c>
      <c r="P73" s="1"/>
    </row>
    <row r="74" spans="1:17" x14ac:dyDescent="0.15">
      <c r="A74" s="16" t="s">
        <v>31</v>
      </c>
      <c r="B74" s="8">
        <v>3</v>
      </c>
      <c r="C74" s="10"/>
      <c r="D74" s="10"/>
      <c r="E74" s="10"/>
      <c r="F74" s="30"/>
      <c r="G74" s="7">
        <f t="shared" si="17"/>
        <v>3</v>
      </c>
      <c r="H74" s="36">
        <v>42471</v>
      </c>
      <c r="I74" s="14"/>
      <c r="J74" s="8"/>
      <c r="K74" s="10"/>
      <c r="L74" s="10"/>
      <c r="M74" s="10"/>
      <c r="N74" s="30"/>
      <c r="O74" s="7">
        <f t="shared" si="28"/>
        <v>0</v>
      </c>
      <c r="P74" s="1"/>
      <c r="Q74" s="1"/>
    </row>
    <row r="75" spans="1:17" x14ac:dyDescent="0.15">
      <c r="A75" s="16" t="s">
        <v>115</v>
      </c>
      <c r="B75" s="8"/>
      <c r="C75" s="10">
        <v>1</v>
      </c>
      <c r="D75" s="10"/>
      <c r="E75" s="10"/>
      <c r="F75" s="30"/>
      <c r="G75" s="7">
        <f t="shared" si="17"/>
        <v>1</v>
      </c>
      <c r="H75" s="36">
        <v>42481</v>
      </c>
      <c r="I75" s="16"/>
      <c r="J75" s="8"/>
      <c r="K75" s="10"/>
      <c r="L75" s="10"/>
      <c r="M75" s="10"/>
      <c r="N75" s="30"/>
      <c r="O75" s="7">
        <f t="shared" si="28"/>
        <v>0</v>
      </c>
      <c r="P75" s="1"/>
      <c r="Q75" s="1"/>
    </row>
    <row r="76" spans="1:17" x14ac:dyDescent="0.15">
      <c r="A76" s="16" t="s">
        <v>102</v>
      </c>
      <c r="B76" s="8"/>
      <c r="C76" s="10"/>
      <c r="D76" s="10">
        <v>1</v>
      </c>
      <c r="E76" s="10"/>
      <c r="F76" s="30"/>
      <c r="G76" s="7">
        <f t="shared" si="17"/>
        <v>1</v>
      </c>
      <c r="H76" s="36">
        <v>42485</v>
      </c>
      <c r="I76" s="16"/>
      <c r="J76" s="8"/>
      <c r="K76" s="10"/>
      <c r="L76" s="10"/>
      <c r="M76" s="10"/>
      <c r="N76" s="30"/>
      <c r="O76" s="7">
        <f t="shared" si="28"/>
        <v>0</v>
      </c>
      <c r="P76" s="1"/>
      <c r="Q76" s="1"/>
    </row>
    <row r="77" spans="1:17" x14ac:dyDescent="0.15">
      <c r="A77" s="39" t="s">
        <v>33</v>
      </c>
      <c r="B77" s="8">
        <v>1</v>
      </c>
      <c r="C77" s="10">
        <v>1</v>
      </c>
      <c r="D77" s="10">
        <v>1</v>
      </c>
      <c r="E77" s="10"/>
      <c r="F77" s="30"/>
      <c r="G77" s="7">
        <f t="shared" si="17"/>
        <v>3</v>
      </c>
      <c r="H77" s="36">
        <v>42486</v>
      </c>
      <c r="I77" s="16"/>
      <c r="J77" s="8"/>
      <c r="K77" s="10"/>
      <c r="L77" s="10"/>
      <c r="M77" s="10"/>
      <c r="N77" s="30"/>
      <c r="O77" s="7">
        <f t="shared" si="28"/>
        <v>0</v>
      </c>
      <c r="P77" s="1"/>
      <c r="Q77" s="1"/>
    </row>
    <row r="78" spans="1:17" x14ac:dyDescent="0.15">
      <c r="A78" s="16" t="s">
        <v>102</v>
      </c>
      <c r="B78" s="8">
        <v>1</v>
      </c>
      <c r="C78" s="10">
        <v>1</v>
      </c>
      <c r="D78" s="10"/>
      <c r="E78" s="10"/>
      <c r="F78" s="30"/>
      <c r="G78" s="7">
        <f t="shared" si="17"/>
        <v>2</v>
      </c>
      <c r="H78" s="36">
        <v>42485</v>
      </c>
      <c r="I78" s="14"/>
      <c r="J78" s="8"/>
      <c r="K78" s="10"/>
      <c r="L78" s="10"/>
      <c r="M78" s="10"/>
      <c r="N78" s="30"/>
      <c r="O78" s="7">
        <f t="shared" si="28"/>
        <v>0</v>
      </c>
      <c r="P78" s="1"/>
      <c r="Q78" s="1"/>
    </row>
    <row r="79" spans="1:17" x14ac:dyDescent="0.15">
      <c r="A79" s="16" t="s">
        <v>122</v>
      </c>
      <c r="B79" s="11">
        <v>2</v>
      </c>
      <c r="C79" s="12">
        <v>2</v>
      </c>
      <c r="D79" s="12">
        <v>2</v>
      </c>
      <c r="E79" s="12">
        <v>2</v>
      </c>
      <c r="F79" s="31">
        <v>2</v>
      </c>
      <c r="G79" s="7">
        <f t="shared" si="17"/>
        <v>10</v>
      </c>
      <c r="H79" s="36">
        <v>42486</v>
      </c>
      <c r="I79" s="16"/>
      <c r="J79" s="11"/>
      <c r="K79" s="12"/>
      <c r="L79" s="12"/>
      <c r="M79" s="12"/>
      <c r="N79" s="31"/>
      <c r="O79" s="7">
        <f t="shared" si="28"/>
        <v>0</v>
      </c>
      <c r="P79" s="1"/>
      <c r="Q79" s="1"/>
    </row>
    <row r="80" spans="1:17" x14ac:dyDescent="0.15">
      <c r="A80" s="16" t="s">
        <v>102</v>
      </c>
      <c r="B80" s="8"/>
      <c r="C80" s="10"/>
      <c r="D80" s="10">
        <v>1</v>
      </c>
      <c r="E80" s="10"/>
      <c r="F80" s="30"/>
      <c r="G80" s="7">
        <f t="shared" si="17"/>
        <v>1</v>
      </c>
      <c r="H80" s="36">
        <v>42488</v>
      </c>
      <c r="I80" s="14"/>
      <c r="J80" s="8"/>
      <c r="K80" s="10"/>
      <c r="L80" s="10"/>
      <c r="M80" s="10"/>
      <c r="N80" s="30"/>
      <c r="O80" s="7">
        <f t="shared" si="28"/>
        <v>0</v>
      </c>
      <c r="P80" s="1"/>
      <c r="Q80" s="1"/>
    </row>
    <row r="81" spans="1:17" x14ac:dyDescent="0.15">
      <c r="A81" s="14" t="s">
        <v>127</v>
      </c>
      <c r="B81" s="8"/>
      <c r="C81" s="10"/>
      <c r="D81" s="10">
        <v>-1</v>
      </c>
      <c r="E81" s="10"/>
      <c r="F81" s="30"/>
      <c r="G81" s="7">
        <f t="shared" si="17"/>
        <v>-1</v>
      </c>
      <c r="H81" s="36">
        <v>42487</v>
      </c>
      <c r="I81" s="14"/>
      <c r="J81" s="8"/>
      <c r="K81" s="10"/>
      <c r="L81" s="10"/>
      <c r="M81" s="10"/>
      <c r="N81" s="30"/>
      <c r="O81" s="7">
        <f t="shared" si="28"/>
        <v>0</v>
      </c>
      <c r="P81" s="36"/>
      <c r="Q81" s="1"/>
    </row>
    <row r="82" spans="1:17" x14ac:dyDescent="0.15">
      <c r="A82" s="14"/>
      <c r="B82" s="8"/>
      <c r="C82" s="10"/>
      <c r="D82" s="10"/>
      <c r="E82" s="10"/>
      <c r="F82" s="30"/>
      <c r="G82" s="7">
        <f t="shared" si="17"/>
        <v>0</v>
      </c>
      <c r="H82" s="36"/>
      <c r="I82" s="14"/>
      <c r="J82" s="8"/>
      <c r="K82" s="10"/>
      <c r="L82" s="10"/>
      <c r="M82" s="10"/>
      <c r="N82" s="30"/>
      <c r="O82" s="7">
        <f t="shared" si="28"/>
        <v>0</v>
      </c>
      <c r="P82" s="36"/>
      <c r="Q82" s="1"/>
    </row>
    <row r="83" spans="1:17" ht="14.25" thickBot="1" x14ac:dyDescent="0.2">
      <c r="A83" s="20"/>
      <c r="B83" s="11"/>
      <c r="C83" s="12"/>
      <c r="D83" s="12"/>
      <c r="E83" s="12"/>
      <c r="F83" s="31"/>
      <c r="G83" s="7">
        <f t="shared" si="17"/>
        <v>0</v>
      </c>
      <c r="H83" s="1"/>
      <c r="I83" s="20"/>
      <c r="J83" s="11"/>
      <c r="K83" s="12"/>
      <c r="L83" s="12"/>
      <c r="M83" s="12"/>
      <c r="N83" s="31"/>
      <c r="O83" s="7">
        <f t="shared" si="28"/>
        <v>0</v>
      </c>
      <c r="P83" s="36"/>
      <c r="Q83" s="1"/>
    </row>
    <row r="84" spans="1:17" ht="14.25" thickBot="1" x14ac:dyDescent="0.2">
      <c r="A84" s="3" t="s">
        <v>11</v>
      </c>
      <c r="B84" s="23">
        <f>SUM(B58:B83)</f>
        <v>21</v>
      </c>
      <c r="C84" s="4">
        <f>SUM(C58:C83)</f>
        <v>31</v>
      </c>
      <c r="D84" s="4">
        <f>SUM(D58:D83)</f>
        <v>26</v>
      </c>
      <c r="E84" s="6">
        <f>SUM(E58:E83)</f>
        <v>14</v>
      </c>
      <c r="F84" s="32">
        <f>SUM(F58:F83)</f>
        <v>21</v>
      </c>
      <c r="G84" s="5">
        <f>SUM(B84:F84)</f>
        <v>113</v>
      </c>
      <c r="H84" s="1"/>
      <c r="I84" s="3" t="s">
        <v>11</v>
      </c>
      <c r="J84" s="23">
        <f>SUM(J58:J83)</f>
        <v>25</v>
      </c>
      <c r="K84" s="4">
        <f>SUM(K58:K83)</f>
        <v>35</v>
      </c>
      <c r="L84" s="4">
        <f>SUM(L58:L83)</f>
        <v>35</v>
      </c>
      <c r="M84" s="6">
        <f>SUM(M58:M83)</f>
        <v>15</v>
      </c>
      <c r="N84" s="32">
        <f>SUM(N58:N83)</f>
        <v>30</v>
      </c>
      <c r="O84" s="5">
        <f>SUM(J84:N84)</f>
        <v>140</v>
      </c>
      <c r="P84" s="1"/>
      <c r="Q84" s="1"/>
    </row>
    <row r="85" spans="1:17" ht="14.25" thickBot="1" x14ac:dyDescent="0.2">
      <c r="A85" s="25" t="s">
        <v>12</v>
      </c>
      <c r="B85" s="63">
        <f>B57-B84</f>
        <v>14</v>
      </c>
      <c r="C85" s="26">
        <f t="shared" ref="C85:G85" si="29">C57-C84</f>
        <v>11</v>
      </c>
      <c r="D85" s="71">
        <f t="shared" si="29"/>
        <v>11</v>
      </c>
      <c r="E85" s="26">
        <f t="shared" si="29"/>
        <v>10</v>
      </c>
      <c r="F85" s="70">
        <f t="shared" si="29"/>
        <v>11</v>
      </c>
      <c r="G85" s="27">
        <f t="shared" si="29"/>
        <v>57</v>
      </c>
      <c r="H85" s="1"/>
      <c r="I85" s="25" t="s">
        <v>12</v>
      </c>
      <c r="J85" s="63">
        <f>J57-J84</f>
        <v>49</v>
      </c>
      <c r="K85" s="26">
        <f t="shared" ref="K85:O85" si="30">K57-K84</f>
        <v>20</v>
      </c>
      <c r="L85" s="71">
        <f t="shared" si="30"/>
        <v>29</v>
      </c>
      <c r="M85" s="26">
        <f t="shared" si="30"/>
        <v>72</v>
      </c>
      <c r="N85" s="70">
        <f t="shared" si="30"/>
        <v>27</v>
      </c>
      <c r="O85" s="27">
        <f t="shared" si="30"/>
        <v>197</v>
      </c>
      <c r="P85" s="1"/>
      <c r="Q85" s="1"/>
    </row>
    <row r="86" spans="1:17" ht="21" x14ac:dyDescent="0.2">
      <c r="A86" s="83" t="s">
        <v>48</v>
      </c>
      <c r="B86" s="77"/>
      <c r="C86" s="77"/>
      <c r="D86" s="77"/>
      <c r="E86" s="77"/>
      <c r="F86" s="77"/>
      <c r="G86" s="77"/>
      <c r="H86" s="1"/>
      <c r="I86" s="83" t="s">
        <v>48</v>
      </c>
      <c r="J86" s="77"/>
      <c r="K86" s="77"/>
      <c r="L86" s="77"/>
      <c r="M86" s="77"/>
      <c r="N86" s="77"/>
      <c r="O86" s="77"/>
      <c r="P86" s="1"/>
      <c r="Q86" s="1"/>
    </row>
    <row r="87" spans="1:17" ht="21.75" thickBot="1" x14ac:dyDescent="0.25">
      <c r="A87" s="83" t="s">
        <v>47</v>
      </c>
      <c r="B87" s="77"/>
      <c r="C87" s="77"/>
      <c r="D87" s="77"/>
      <c r="E87" s="84"/>
      <c r="F87" s="78" t="s">
        <v>53</v>
      </c>
      <c r="G87" s="77"/>
      <c r="H87" s="56"/>
      <c r="I87" s="83" t="s">
        <v>47</v>
      </c>
      <c r="J87" s="77"/>
      <c r="K87" s="77"/>
      <c r="L87" s="77"/>
      <c r="M87" s="84"/>
      <c r="N87" s="78" t="s">
        <v>54</v>
      </c>
      <c r="O87" s="77"/>
    </row>
    <row r="88" spans="1:17" ht="14.25" thickBot="1" x14ac:dyDescent="0.2">
      <c r="A88" s="13" t="s">
        <v>0</v>
      </c>
      <c r="B88" s="228" t="s">
        <v>49</v>
      </c>
      <c r="C88" s="229"/>
      <c r="D88" s="229"/>
      <c r="E88" s="229"/>
      <c r="F88" s="230"/>
      <c r="G88" s="231"/>
      <c r="H88" s="1"/>
      <c r="I88" s="13" t="s">
        <v>0</v>
      </c>
      <c r="J88" s="232" t="s">
        <v>49</v>
      </c>
      <c r="K88" s="233"/>
      <c r="L88" s="233"/>
      <c r="M88" s="233"/>
      <c r="N88" s="233"/>
      <c r="O88" s="234"/>
      <c r="P88" s="1"/>
      <c r="Q88" s="1"/>
    </row>
    <row r="89" spans="1:17" ht="14.25" thickBot="1" x14ac:dyDescent="0.2">
      <c r="A89" s="3" t="s">
        <v>1</v>
      </c>
      <c r="B89" s="2" t="s">
        <v>42</v>
      </c>
      <c r="C89" s="21" t="s">
        <v>43</v>
      </c>
      <c r="D89" s="21" t="s">
        <v>44</v>
      </c>
      <c r="E89" s="24" t="s">
        <v>45</v>
      </c>
      <c r="F89" s="33" t="s">
        <v>46</v>
      </c>
      <c r="G89" s="34" t="s">
        <v>2</v>
      </c>
      <c r="H89" s="1"/>
      <c r="I89" s="3" t="s">
        <v>1</v>
      </c>
      <c r="J89" s="2" t="s">
        <v>42</v>
      </c>
      <c r="K89" s="21" t="s">
        <v>43</v>
      </c>
      <c r="L89" s="21" t="s">
        <v>44</v>
      </c>
      <c r="M89" s="24" t="s">
        <v>45</v>
      </c>
      <c r="N89" s="33" t="s">
        <v>46</v>
      </c>
      <c r="O89" s="3" t="s">
        <v>2</v>
      </c>
      <c r="P89" s="1"/>
      <c r="Q89" s="1"/>
    </row>
    <row r="90" spans="1:17" ht="14.25" thickBot="1" x14ac:dyDescent="0.2">
      <c r="A90" s="106" t="s">
        <v>79</v>
      </c>
      <c r="B90" s="95">
        <f>B85</f>
        <v>14</v>
      </c>
      <c r="C90" s="97">
        <f t="shared" ref="C90:F90" si="31">C85</f>
        <v>11</v>
      </c>
      <c r="D90" s="55">
        <f t="shared" si="31"/>
        <v>11</v>
      </c>
      <c r="E90" s="98">
        <f t="shared" si="31"/>
        <v>10</v>
      </c>
      <c r="F90" s="98">
        <f t="shared" si="31"/>
        <v>11</v>
      </c>
      <c r="G90" s="52">
        <f t="shared" ref="G90:G99" si="32">SUM(B90:F90)</f>
        <v>57</v>
      </c>
      <c r="H90" s="1"/>
      <c r="I90" s="72" t="s">
        <v>79</v>
      </c>
      <c r="J90" s="73">
        <f>J85</f>
        <v>49</v>
      </c>
      <c r="K90" s="74">
        <f t="shared" ref="K90:N90" si="33">K85</f>
        <v>20</v>
      </c>
      <c r="L90" s="107">
        <f t="shared" si="33"/>
        <v>29</v>
      </c>
      <c r="M90" s="75">
        <f t="shared" si="33"/>
        <v>72</v>
      </c>
      <c r="N90" s="75">
        <f t="shared" si="33"/>
        <v>27</v>
      </c>
      <c r="O90" s="76">
        <f t="shared" ref="O90:O126" si="34">SUM(J90:N90)</f>
        <v>197</v>
      </c>
      <c r="P90" s="1"/>
    </row>
    <row r="91" spans="1:17" x14ac:dyDescent="0.15">
      <c r="A91" s="38" t="s">
        <v>14</v>
      </c>
      <c r="B91" s="17"/>
      <c r="C91" s="22"/>
      <c r="D91" s="22">
        <v>10</v>
      </c>
      <c r="E91" s="22">
        <v>10</v>
      </c>
      <c r="F91" s="29"/>
      <c r="G91" s="18">
        <f t="shared" si="32"/>
        <v>20</v>
      </c>
      <c r="H91" s="36">
        <v>42490</v>
      </c>
      <c r="I91" s="38" t="s">
        <v>14</v>
      </c>
      <c r="J91" s="37"/>
      <c r="K91" s="35"/>
      <c r="L91" s="35"/>
      <c r="M91" s="35"/>
      <c r="N91" s="28"/>
      <c r="O91" s="7">
        <f t="shared" si="34"/>
        <v>0</v>
      </c>
      <c r="P91" s="1"/>
    </row>
    <row r="92" spans="1:17" x14ac:dyDescent="0.15">
      <c r="A92" s="15" t="s">
        <v>3</v>
      </c>
      <c r="B92" s="8"/>
      <c r="C92" s="10">
        <v>5</v>
      </c>
      <c r="D92" s="10">
        <v>5</v>
      </c>
      <c r="E92" s="10">
        <v>5</v>
      </c>
      <c r="F92" s="28">
        <v>5</v>
      </c>
      <c r="G92" s="9">
        <f t="shared" si="32"/>
        <v>20</v>
      </c>
      <c r="H92" s="36">
        <v>42492</v>
      </c>
      <c r="I92" s="15" t="s">
        <v>3</v>
      </c>
      <c r="J92" s="8"/>
      <c r="K92" s="10"/>
      <c r="L92" s="10"/>
      <c r="M92" s="10"/>
      <c r="N92" s="28"/>
      <c r="O92" s="9">
        <f t="shared" si="34"/>
        <v>0</v>
      </c>
      <c r="P92" s="36"/>
    </row>
    <row r="93" spans="1:17" x14ac:dyDescent="0.15">
      <c r="A93" s="15" t="s">
        <v>4</v>
      </c>
      <c r="B93" s="8">
        <v>10</v>
      </c>
      <c r="C93" s="10">
        <v>5</v>
      </c>
      <c r="D93" s="10">
        <v>10</v>
      </c>
      <c r="E93" s="10">
        <v>15</v>
      </c>
      <c r="F93" s="28">
        <v>10</v>
      </c>
      <c r="G93" s="9">
        <f t="shared" si="32"/>
        <v>50</v>
      </c>
      <c r="H93" s="36">
        <v>42501</v>
      </c>
      <c r="I93" s="15" t="s">
        <v>4</v>
      </c>
      <c r="J93" s="8"/>
      <c r="K93" s="10"/>
      <c r="L93" s="10"/>
      <c r="M93" s="10"/>
      <c r="N93" s="28"/>
      <c r="O93" s="9">
        <f t="shared" si="34"/>
        <v>0</v>
      </c>
      <c r="P93" s="1"/>
    </row>
    <row r="94" spans="1:17" x14ac:dyDescent="0.15">
      <c r="A94" s="16" t="s">
        <v>129</v>
      </c>
      <c r="B94" s="8">
        <v>1</v>
      </c>
      <c r="C94" s="10"/>
      <c r="D94" s="10"/>
      <c r="E94" s="10"/>
      <c r="F94" s="28"/>
      <c r="G94" s="9">
        <f t="shared" si="32"/>
        <v>1</v>
      </c>
      <c r="H94" s="36">
        <v>42501</v>
      </c>
      <c r="I94" s="15" t="s">
        <v>5</v>
      </c>
      <c r="J94" s="8"/>
      <c r="K94" s="10"/>
      <c r="L94" s="10"/>
      <c r="M94" s="10"/>
      <c r="N94" s="28"/>
      <c r="O94" s="9">
        <f t="shared" si="34"/>
        <v>0</v>
      </c>
      <c r="P94" s="36"/>
    </row>
    <row r="95" spans="1:17" x14ac:dyDescent="0.15">
      <c r="A95" s="15" t="s">
        <v>111</v>
      </c>
      <c r="B95" s="8"/>
      <c r="C95" s="10"/>
      <c r="D95" s="10">
        <v>1</v>
      </c>
      <c r="E95" s="10"/>
      <c r="F95" s="28"/>
      <c r="G95" s="9">
        <f t="shared" si="32"/>
        <v>1</v>
      </c>
      <c r="H95" s="36">
        <v>42504</v>
      </c>
      <c r="I95" s="15" t="s">
        <v>6</v>
      </c>
      <c r="J95" s="8"/>
      <c r="K95" s="10"/>
      <c r="L95" s="10"/>
      <c r="M95" s="10"/>
      <c r="N95" s="28"/>
      <c r="O95" s="9">
        <f t="shared" si="34"/>
        <v>0</v>
      </c>
      <c r="P95" s="1"/>
    </row>
    <row r="96" spans="1:17" x14ac:dyDescent="0.15">
      <c r="A96" s="15" t="s">
        <v>19</v>
      </c>
      <c r="B96" s="11"/>
      <c r="C96" s="12"/>
      <c r="D96" s="12">
        <v>1</v>
      </c>
      <c r="E96" s="12"/>
      <c r="F96" s="31">
        <v>1</v>
      </c>
      <c r="G96" s="7">
        <f t="shared" si="32"/>
        <v>2</v>
      </c>
      <c r="H96" s="36">
        <v>42511</v>
      </c>
      <c r="I96" s="15" t="s">
        <v>84</v>
      </c>
      <c r="J96" s="11"/>
      <c r="K96" s="12"/>
      <c r="L96" s="12"/>
      <c r="M96" s="12"/>
      <c r="N96" s="31"/>
      <c r="O96" s="7">
        <f t="shared" si="34"/>
        <v>0</v>
      </c>
      <c r="P96" s="1"/>
    </row>
    <row r="97" spans="1:18" x14ac:dyDescent="0.15">
      <c r="A97" s="15" t="s">
        <v>137</v>
      </c>
      <c r="B97" s="8">
        <v>1</v>
      </c>
      <c r="C97" s="10">
        <v>2</v>
      </c>
      <c r="D97" s="10">
        <v>2</v>
      </c>
      <c r="E97" s="10">
        <v>1</v>
      </c>
      <c r="F97" s="30"/>
      <c r="G97" s="7">
        <f t="shared" si="32"/>
        <v>6</v>
      </c>
      <c r="H97" s="36">
        <v>42511</v>
      </c>
      <c r="I97" s="15" t="s">
        <v>85</v>
      </c>
      <c r="J97" s="8"/>
      <c r="K97" s="10"/>
      <c r="L97" s="10"/>
      <c r="M97" s="10"/>
      <c r="N97" s="30"/>
      <c r="O97" s="7">
        <f t="shared" si="34"/>
        <v>0</v>
      </c>
      <c r="P97" s="1"/>
    </row>
    <row r="98" spans="1:18" x14ac:dyDescent="0.15">
      <c r="A98" s="16" t="s">
        <v>41</v>
      </c>
      <c r="B98" s="8"/>
      <c r="C98" s="10">
        <v>2</v>
      </c>
      <c r="D98" s="10"/>
      <c r="E98" s="10">
        <v>2</v>
      </c>
      <c r="F98" s="30">
        <v>1</v>
      </c>
      <c r="G98" s="7">
        <f t="shared" si="32"/>
        <v>5</v>
      </c>
      <c r="H98" s="36">
        <v>42516</v>
      </c>
      <c r="I98" s="16" t="s">
        <v>88</v>
      </c>
      <c r="J98" s="8"/>
      <c r="K98" s="10"/>
      <c r="L98" s="10"/>
      <c r="M98" s="10"/>
      <c r="N98" s="30"/>
      <c r="O98" s="7">
        <f t="shared" si="34"/>
        <v>0</v>
      </c>
      <c r="P98" s="36"/>
    </row>
    <row r="99" spans="1:18" ht="14.25" thickBot="1" x14ac:dyDescent="0.2">
      <c r="A99" s="15" t="s">
        <v>17</v>
      </c>
      <c r="B99" s="11"/>
      <c r="C99" s="100"/>
      <c r="D99" s="100">
        <v>1</v>
      </c>
      <c r="E99" s="100">
        <v>3</v>
      </c>
      <c r="F99" s="101">
        <v>1</v>
      </c>
      <c r="G99" s="102">
        <f t="shared" si="32"/>
        <v>5</v>
      </c>
      <c r="H99" s="36">
        <v>42517</v>
      </c>
      <c r="I99" s="15" t="s">
        <v>87</v>
      </c>
      <c r="J99" s="11"/>
      <c r="K99" s="100"/>
      <c r="L99" s="100"/>
      <c r="M99" s="100"/>
      <c r="N99" s="101"/>
      <c r="O99" s="102">
        <f t="shared" si="34"/>
        <v>0</v>
      </c>
      <c r="P99" s="1"/>
    </row>
    <row r="100" spans="1:18" ht="14.25" thickBot="1" x14ac:dyDescent="0.2">
      <c r="A100" s="72" t="s">
        <v>7</v>
      </c>
      <c r="B100" s="73">
        <f>SUM(B90:B99)</f>
        <v>26</v>
      </c>
      <c r="C100" s="74">
        <f t="shared" ref="C100" si="35">SUM(C90:C99)</f>
        <v>25</v>
      </c>
      <c r="D100" s="74">
        <f t="shared" ref="D100" si="36">SUM(D90:D99)</f>
        <v>41</v>
      </c>
      <c r="E100" s="74">
        <f t="shared" ref="E100" si="37">SUM(E90:E99)</f>
        <v>46</v>
      </c>
      <c r="F100" s="105">
        <f t="shared" ref="F100" si="38">SUM(F90:F99)</f>
        <v>29</v>
      </c>
      <c r="G100" s="105">
        <f t="shared" ref="G100" si="39">SUM(G90:G99)</f>
        <v>167</v>
      </c>
      <c r="H100" s="36"/>
      <c r="I100" s="72" t="s">
        <v>7</v>
      </c>
      <c r="J100" s="73">
        <f>SUM(J90:J99)</f>
        <v>49</v>
      </c>
      <c r="K100" s="74">
        <f t="shared" ref="K100" si="40">SUM(K90:K99)</f>
        <v>20</v>
      </c>
      <c r="L100" s="74">
        <f t="shared" ref="L100" si="41">SUM(L90:L99)</f>
        <v>29</v>
      </c>
      <c r="M100" s="74">
        <f t="shared" ref="M100" si="42">SUM(M90:M99)</f>
        <v>72</v>
      </c>
      <c r="N100" s="105">
        <f t="shared" ref="N100" si="43">SUM(N90:N99)</f>
        <v>27</v>
      </c>
      <c r="O100" s="105">
        <f t="shared" ref="O100" si="44">SUM(O90:O99)</f>
        <v>197</v>
      </c>
      <c r="P100" s="1"/>
    </row>
    <row r="101" spans="1:18" x14ac:dyDescent="0.15">
      <c r="A101" s="16" t="s">
        <v>124</v>
      </c>
      <c r="B101" s="37"/>
      <c r="C101" s="35"/>
      <c r="D101" s="35">
        <v>10</v>
      </c>
      <c r="E101" s="35">
        <v>10</v>
      </c>
      <c r="F101" s="28"/>
      <c r="G101" s="18">
        <f t="shared" ref="G101:G126" si="45">SUM(B101:F101)</f>
        <v>20</v>
      </c>
      <c r="H101" s="36">
        <v>42500</v>
      </c>
      <c r="I101" s="16" t="s">
        <v>125</v>
      </c>
      <c r="J101" s="17"/>
      <c r="K101" s="22"/>
      <c r="L101" s="22">
        <v>10</v>
      </c>
      <c r="M101" s="22">
        <v>10</v>
      </c>
      <c r="N101" s="29"/>
      <c r="O101" s="18">
        <f t="shared" si="34"/>
        <v>20</v>
      </c>
      <c r="P101" s="36">
        <v>42490</v>
      </c>
    </row>
    <row r="102" spans="1:18" x14ac:dyDescent="0.15">
      <c r="A102" s="16" t="s">
        <v>102</v>
      </c>
      <c r="B102" s="8"/>
      <c r="C102" s="10">
        <v>1</v>
      </c>
      <c r="D102" s="10"/>
      <c r="E102" s="10"/>
      <c r="F102" s="30"/>
      <c r="G102" s="7">
        <f t="shared" si="45"/>
        <v>1</v>
      </c>
      <c r="H102" s="36">
        <v>42492</v>
      </c>
      <c r="I102" s="16" t="s">
        <v>37</v>
      </c>
      <c r="J102" s="8"/>
      <c r="K102" s="10">
        <v>5</v>
      </c>
      <c r="L102" s="10">
        <v>5</v>
      </c>
      <c r="M102" s="10">
        <v>5</v>
      </c>
      <c r="N102" s="30">
        <v>5</v>
      </c>
      <c r="O102" s="7">
        <f t="shared" si="34"/>
        <v>20</v>
      </c>
      <c r="P102" s="36">
        <v>42492</v>
      </c>
    </row>
    <row r="103" spans="1:18" x14ac:dyDescent="0.15">
      <c r="A103" s="16" t="s">
        <v>122</v>
      </c>
      <c r="B103" s="8"/>
      <c r="C103" s="10"/>
      <c r="D103" s="10">
        <v>2</v>
      </c>
      <c r="E103" s="10"/>
      <c r="F103" s="30">
        <v>3</v>
      </c>
      <c r="G103" s="7">
        <f t="shared" si="45"/>
        <v>5</v>
      </c>
      <c r="H103" s="36">
        <v>42499</v>
      </c>
      <c r="I103" s="16" t="s">
        <v>37</v>
      </c>
      <c r="J103" s="8">
        <v>10</v>
      </c>
      <c r="K103" s="10">
        <v>5</v>
      </c>
      <c r="L103" s="10">
        <v>10</v>
      </c>
      <c r="M103" s="10">
        <v>15</v>
      </c>
      <c r="N103" s="28">
        <v>10</v>
      </c>
      <c r="O103" s="9">
        <f t="shared" si="34"/>
        <v>50</v>
      </c>
      <c r="P103" s="36">
        <v>42501</v>
      </c>
      <c r="Q103" s="56"/>
      <c r="R103" s="56"/>
    </row>
    <row r="104" spans="1:18" x14ac:dyDescent="0.15">
      <c r="A104" s="14" t="s">
        <v>128</v>
      </c>
      <c r="B104" s="8">
        <v>1</v>
      </c>
      <c r="C104" s="10"/>
      <c r="D104" s="10"/>
      <c r="E104" s="10"/>
      <c r="F104" s="30"/>
      <c r="G104" s="7">
        <f t="shared" si="45"/>
        <v>1</v>
      </c>
      <c r="H104" s="36">
        <v>42499</v>
      </c>
      <c r="I104" s="16"/>
      <c r="J104" s="8"/>
      <c r="K104" s="10"/>
      <c r="L104" s="10"/>
      <c r="M104" s="10"/>
      <c r="N104" s="30"/>
      <c r="O104" s="7">
        <f t="shared" si="34"/>
        <v>0</v>
      </c>
      <c r="P104" s="1"/>
      <c r="Q104" s="56"/>
      <c r="R104" s="56"/>
    </row>
    <row r="105" spans="1:18" x14ac:dyDescent="0.15">
      <c r="A105" s="16" t="s">
        <v>102</v>
      </c>
      <c r="B105" s="8"/>
      <c r="C105" s="10"/>
      <c r="D105" s="10"/>
      <c r="E105" s="10">
        <v>2</v>
      </c>
      <c r="F105" s="30"/>
      <c r="G105" s="7">
        <f t="shared" si="45"/>
        <v>2</v>
      </c>
      <c r="H105" s="36">
        <v>42501</v>
      </c>
      <c r="I105" s="16"/>
      <c r="J105" s="8"/>
      <c r="K105" s="10"/>
      <c r="L105" s="10"/>
      <c r="M105" s="10"/>
      <c r="N105" s="30"/>
      <c r="O105" s="7">
        <f t="shared" si="34"/>
        <v>0</v>
      </c>
      <c r="P105" s="1"/>
    </row>
    <row r="106" spans="1:18" x14ac:dyDescent="0.15">
      <c r="A106" s="16" t="s">
        <v>25</v>
      </c>
      <c r="B106" s="8">
        <v>10</v>
      </c>
      <c r="C106" s="10">
        <v>5</v>
      </c>
      <c r="D106" s="10">
        <v>5</v>
      </c>
      <c r="E106" s="10">
        <v>12</v>
      </c>
      <c r="F106" s="30">
        <v>11</v>
      </c>
      <c r="G106" s="7">
        <f t="shared" si="45"/>
        <v>43</v>
      </c>
      <c r="H106" s="36">
        <v>42501</v>
      </c>
      <c r="I106" s="16"/>
      <c r="J106" s="8"/>
      <c r="K106" s="10"/>
      <c r="L106" s="10"/>
      <c r="M106" s="10"/>
      <c r="N106" s="30"/>
      <c r="O106" s="7">
        <f t="shared" si="34"/>
        <v>0</v>
      </c>
      <c r="P106" s="1"/>
      <c r="Q106" s="1"/>
    </row>
    <row r="107" spans="1:18" x14ac:dyDescent="0.15">
      <c r="A107" s="16" t="s">
        <v>25</v>
      </c>
      <c r="B107" s="8"/>
      <c r="C107" s="10"/>
      <c r="D107" s="10"/>
      <c r="E107" s="10">
        <v>4</v>
      </c>
      <c r="F107" s="30"/>
      <c r="G107" s="7">
        <f t="shared" si="45"/>
        <v>4</v>
      </c>
      <c r="H107" s="36">
        <v>42503</v>
      </c>
      <c r="I107" s="16"/>
      <c r="J107" s="8"/>
      <c r="K107" s="10"/>
      <c r="L107" s="10"/>
      <c r="M107" s="10"/>
      <c r="N107" s="30"/>
      <c r="O107" s="7">
        <f t="shared" si="34"/>
        <v>0</v>
      </c>
      <c r="P107" s="1"/>
      <c r="Q107" s="1"/>
    </row>
    <row r="108" spans="1:18" x14ac:dyDescent="0.15">
      <c r="A108" s="14" t="s">
        <v>130</v>
      </c>
      <c r="B108" s="8">
        <v>1</v>
      </c>
      <c r="C108" s="10"/>
      <c r="D108" s="10"/>
      <c r="E108" s="10"/>
      <c r="F108" s="30"/>
      <c r="G108" s="7">
        <f t="shared" si="45"/>
        <v>1</v>
      </c>
      <c r="H108" s="36">
        <v>42503</v>
      </c>
      <c r="I108" s="16"/>
      <c r="J108" s="8"/>
      <c r="K108" s="10"/>
      <c r="L108" s="10"/>
      <c r="M108" s="10"/>
      <c r="N108" s="30"/>
      <c r="O108" s="7">
        <f t="shared" si="34"/>
        <v>0</v>
      </c>
      <c r="P108" s="1"/>
      <c r="Q108" s="1"/>
    </row>
    <row r="109" spans="1:18" x14ac:dyDescent="0.15">
      <c r="A109" s="39" t="s">
        <v>138</v>
      </c>
      <c r="B109" s="8">
        <v>1</v>
      </c>
      <c r="C109" s="10"/>
      <c r="D109" s="10"/>
      <c r="E109" s="10"/>
      <c r="F109" s="30"/>
      <c r="G109" s="7">
        <f t="shared" si="45"/>
        <v>1</v>
      </c>
      <c r="H109" s="36">
        <v>42502</v>
      </c>
      <c r="I109" s="39"/>
      <c r="J109" s="8"/>
      <c r="K109" s="10"/>
      <c r="L109" s="10"/>
      <c r="M109" s="10"/>
      <c r="N109" s="30"/>
      <c r="O109" s="7">
        <f t="shared" si="34"/>
        <v>0</v>
      </c>
      <c r="P109" s="1"/>
      <c r="Q109" s="1"/>
    </row>
    <row r="110" spans="1:18" x14ac:dyDescent="0.15">
      <c r="A110" s="14" t="s">
        <v>117</v>
      </c>
      <c r="B110" s="11"/>
      <c r="C110" s="12">
        <v>1</v>
      </c>
      <c r="D110" s="12"/>
      <c r="E110" s="12"/>
      <c r="F110" s="31"/>
      <c r="G110" s="7">
        <f t="shared" si="45"/>
        <v>1</v>
      </c>
      <c r="H110" s="36">
        <v>42506</v>
      </c>
      <c r="I110" s="16"/>
      <c r="J110" s="11"/>
      <c r="K110" s="12"/>
      <c r="L110" s="12"/>
      <c r="M110" s="12"/>
      <c r="N110" s="31"/>
      <c r="O110" s="7">
        <f t="shared" si="34"/>
        <v>0</v>
      </c>
      <c r="P110" s="1"/>
      <c r="Q110" s="1"/>
    </row>
    <row r="111" spans="1:18" x14ac:dyDescent="0.15">
      <c r="A111" s="16" t="s">
        <v>25</v>
      </c>
      <c r="B111" s="8"/>
      <c r="C111" s="10">
        <v>2</v>
      </c>
      <c r="D111" s="10">
        <v>1</v>
      </c>
      <c r="E111" s="10">
        <v>1</v>
      </c>
      <c r="F111" s="30"/>
      <c r="G111" s="7">
        <f t="shared" si="45"/>
        <v>4</v>
      </c>
      <c r="H111" s="36">
        <v>42507</v>
      </c>
      <c r="I111" s="16"/>
      <c r="J111" s="8"/>
      <c r="K111" s="10"/>
      <c r="L111" s="10"/>
      <c r="M111" s="10"/>
      <c r="N111" s="30"/>
      <c r="O111" s="7">
        <f t="shared" si="34"/>
        <v>0</v>
      </c>
      <c r="P111" s="1"/>
      <c r="Q111" s="1"/>
    </row>
    <row r="112" spans="1:18" x14ac:dyDescent="0.15">
      <c r="A112" s="14" t="s">
        <v>22</v>
      </c>
      <c r="B112" s="8"/>
      <c r="C112" s="10"/>
      <c r="D112" s="10"/>
      <c r="E112" s="10"/>
      <c r="F112" s="30">
        <v>5</v>
      </c>
      <c r="G112" s="7">
        <f t="shared" si="45"/>
        <v>5</v>
      </c>
      <c r="H112" s="36">
        <v>42513</v>
      </c>
      <c r="I112" s="14"/>
      <c r="J112" s="8"/>
      <c r="K112" s="10"/>
      <c r="L112" s="10"/>
      <c r="M112" s="10"/>
      <c r="N112" s="30"/>
      <c r="O112" s="7">
        <f t="shared" si="34"/>
        <v>0</v>
      </c>
      <c r="P112" s="1"/>
      <c r="Q112" s="1"/>
    </row>
    <row r="113" spans="1:17" x14ac:dyDescent="0.15">
      <c r="A113" s="14" t="s">
        <v>139</v>
      </c>
      <c r="B113" s="8"/>
      <c r="C113" s="10"/>
      <c r="D113" s="10"/>
      <c r="E113" s="10">
        <v>2</v>
      </c>
      <c r="F113" s="30"/>
      <c r="G113" s="7">
        <f t="shared" si="45"/>
        <v>2</v>
      </c>
      <c r="H113" s="36">
        <v>42511</v>
      </c>
      <c r="I113" s="16"/>
      <c r="J113" s="8"/>
      <c r="K113" s="10"/>
      <c r="L113" s="10"/>
      <c r="M113" s="10"/>
      <c r="N113" s="30"/>
      <c r="O113" s="7">
        <f t="shared" si="34"/>
        <v>0</v>
      </c>
      <c r="P113" s="1"/>
      <c r="Q113" s="1"/>
    </row>
    <row r="114" spans="1:17" x14ac:dyDescent="0.15">
      <c r="A114" s="39" t="s">
        <v>140</v>
      </c>
      <c r="B114" s="8"/>
      <c r="C114" s="10"/>
      <c r="D114" s="10">
        <v>2</v>
      </c>
      <c r="E114" s="10"/>
      <c r="F114" s="30">
        <v>2</v>
      </c>
      <c r="G114" s="7">
        <f t="shared" si="45"/>
        <v>4</v>
      </c>
      <c r="H114" s="36">
        <v>42520</v>
      </c>
      <c r="I114" s="16"/>
      <c r="J114" s="8"/>
      <c r="K114" s="10"/>
      <c r="L114" s="10"/>
      <c r="M114" s="10"/>
      <c r="N114" s="30"/>
      <c r="O114" s="7">
        <f t="shared" si="34"/>
        <v>0</v>
      </c>
      <c r="P114" s="1"/>
      <c r="Q114" s="1"/>
    </row>
    <row r="115" spans="1:17" x14ac:dyDescent="0.15">
      <c r="A115" s="16" t="s">
        <v>25</v>
      </c>
      <c r="B115" s="8"/>
      <c r="C115" s="10">
        <v>1</v>
      </c>
      <c r="D115" s="10"/>
      <c r="E115" s="10"/>
      <c r="F115" s="30"/>
      <c r="G115" s="7">
        <f t="shared" si="45"/>
        <v>1</v>
      </c>
      <c r="H115" s="36">
        <v>42515</v>
      </c>
      <c r="I115" s="16"/>
      <c r="J115" s="8"/>
      <c r="K115" s="10"/>
      <c r="L115" s="10"/>
      <c r="M115" s="10"/>
      <c r="N115" s="30"/>
      <c r="O115" s="7">
        <f t="shared" si="34"/>
        <v>0</v>
      </c>
      <c r="P115" s="1"/>
      <c r="Q115" s="1"/>
    </row>
    <row r="116" spans="1:17" x14ac:dyDescent="0.15">
      <c r="A116" s="16" t="s">
        <v>143</v>
      </c>
      <c r="B116" s="8"/>
      <c r="C116" s="10"/>
      <c r="D116" s="10">
        <v>1</v>
      </c>
      <c r="E116" s="10"/>
      <c r="F116" s="30"/>
      <c r="G116" s="7">
        <f t="shared" si="45"/>
        <v>1</v>
      </c>
      <c r="H116" s="36">
        <v>42515</v>
      </c>
      <c r="I116" s="16"/>
      <c r="J116" s="8"/>
      <c r="K116" s="10"/>
      <c r="L116" s="10"/>
      <c r="M116" s="10"/>
      <c r="N116" s="30"/>
      <c r="O116" s="7">
        <f t="shared" si="34"/>
        <v>0</v>
      </c>
      <c r="P116" s="1"/>
      <c r="Q116" s="1"/>
    </row>
    <row r="117" spans="1:17" x14ac:dyDescent="0.15">
      <c r="A117" s="16" t="s">
        <v>25</v>
      </c>
      <c r="B117" s="8"/>
      <c r="C117" s="10"/>
      <c r="D117" s="10">
        <v>4</v>
      </c>
      <c r="E117" s="10">
        <v>2</v>
      </c>
      <c r="F117" s="30"/>
      <c r="G117" s="7">
        <f t="shared" si="45"/>
        <v>6</v>
      </c>
      <c r="H117" s="36">
        <v>42517</v>
      </c>
      <c r="I117" s="14"/>
      <c r="J117" s="8"/>
      <c r="K117" s="10"/>
      <c r="L117" s="10"/>
      <c r="M117" s="10"/>
      <c r="N117" s="30"/>
      <c r="O117" s="7">
        <f t="shared" si="34"/>
        <v>0</v>
      </c>
      <c r="P117" s="1"/>
      <c r="Q117" s="1"/>
    </row>
    <row r="118" spans="1:17" x14ac:dyDescent="0.15">
      <c r="A118" s="16" t="s">
        <v>144</v>
      </c>
      <c r="B118" s="8">
        <v>1</v>
      </c>
      <c r="C118" s="10"/>
      <c r="D118" s="10"/>
      <c r="E118" s="10"/>
      <c r="F118" s="30"/>
      <c r="G118" s="7">
        <f t="shared" si="45"/>
        <v>1</v>
      </c>
      <c r="H118" s="36">
        <v>42517</v>
      </c>
      <c r="I118" s="16"/>
      <c r="J118" s="8"/>
      <c r="K118" s="10"/>
      <c r="L118" s="10"/>
      <c r="M118" s="10"/>
      <c r="N118" s="30"/>
      <c r="O118" s="7">
        <f t="shared" si="34"/>
        <v>0</v>
      </c>
      <c r="P118" s="1"/>
      <c r="Q118" s="1"/>
    </row>
    <row r="119" spans="1:17" x14ac:dyDescent="0.15">
      <c r="A119" s="16" t="s">
        <v>146</v>
      </c>
      <c r="B119" s="8"/>
      <c r="C119" s="10">
        <v>1</v>
      </c>
      <c r="D119" s="10"/>
      <c r="E119" s="10"/>
      <c r="F119" s="30"/>
      <c r="G119" s="7">
        <f t="shared" si="45"/>
        <v>1</v>
      </c>
      <c r="H119" s="36">
        <v>42520</v>
      </c>
      <c r="I119" s="16"/>
      <c r="J119" s="8"/>
      <c r="K119" s="10"/>
      <c r="L119" s="10"/>
      <c r="M119" s="10"/>
      <c r="N119" s="30"/>
      <c r="O119" s="7">
        <f t="shared" si="34"/>
        <v>0</v>
      </c>
      <c r="P119" s="36"/>
      <c r="Q119" s="1"/>
    </row>
    <row r="120" spans="1:17" x14ac:dyDescent="0.15">
      <c r="A120" s="16" t="s">
        <v>147</v>
      </c>
      <c r="B120" s="8">
        <v>2</v>
      </c>
      <c r="C120" s="10">
        <v>1</v>
      </c>
      <c r="D120" s="10">
        <v>5</v>
      </c>
      <c r="E120" s="10">
        <v>4</v>
      </c>
      <c r="F120" s="30"/>
      <c r="G120" s="7">
        <f t="shared" si="45"/>
        <v>12</v>
      </c>
      <c r="H120" s="36">
        <v>42520</v>
      </c>
      <c r="I120" s="16"/>
      <c r="J120" s="8"/>
      <c r="K120" s="10"/>
      <c r="L120" s="10"/>
      <c r="M120" s="10"/>
      <c r="N120" s="30"/>
      <c r="O120" s="7">
        <f t="shared" si="34"/>
        <v>0</v>
      </c>
      <c r="P120" s="36"/>
      <c r="Q120" s="1"/>
    </row>
    <row r="121" spans="1:17" x14ac:dyDescent="0.15">
      <c r="A121" s="14"/>
      <c r="B121" s="8"/>
      <c r="C121" s="10"/>
      <c r="D121" s="10"/>
      <c r="E121" s="10"/>
      <c r="F121" s="30"/>
      <c r="G121" s="7">
        <f t="shared" si="45"/>
        <v>0</v>
      </c>
      <c r="H121" s="36"/>
      <c r="I121" s="14"/>
      <c r="J121" s="8"/>
      <c r="K121" s="10"/>
      <c r="L121" s="10"/>
      <c r="M121" s="10"/>
      <c r="N121" s="30"/>
      <c r="O121" s="7">
        <f t="shared" si="34"/>
        <v>0</v>
      </c>
      <c r="P121" s="1"/>
      <c r="Q121" s="1"/>
    </row>
    <row r="122" spans="1:17" x14ac:dyDescent="0.15">
      <c r="A122" s="16"/>
      <c r="B122" s="11"/>
      <c r="C122" s="12"/>
      <c r="D122" s="12"/>
      <c r="E122" s="12"/>
      <c r="F122" s="31"/>
      <c r="G122" s="7">
        <f t="shared" si="45"/>
        <v>0</v>
      </c>
      <c r="H122" s="36"/>
      <c r="I122" s="16"/>
      <c r="J122" s="8"/>
      <c r="K122" s="10"/>
      <c r="L122" s="10"/>
      <c r="M122" s="10"/>
      <c r="N122" s="30"/>
      <c r="O122" s="7">
        <f t="shared" ref="O122:O125" si="46">SUM(J122:N122)</f>
        <v>0</v>
      </c>
      <c r="P122" s="36"/>
    </row>
    <row r="123" spans="1:17" x14ac:dyDescent="0.15">
      <c r="A123" s="14"/>
      <c r="B123" s="8"/>
      <c r="C123" s="10"/>
      <c r="D123" s="10"/>
      <c r="E123" s="10"/>
      <c r="F123" s="30"/>
      <c r="G123" s="7">
        <f t="shared" si="45"/>
        <v>0</v>
      </c>
      <c r="H123" s="1"/>
      <c r="I123" s="14"/>
      <c r="J123" s="8"/>
      <c r="K123" s="10"/>
      <c r="L123" s="10"/>
      <c r="M123" s="10"/>
      <c r="N123" s="30"/>
      <c r="O123" s="7">
        <f t="shared" si="46"/>
        <v>0</v>
      </c>
      <c r="P123" s="1"/>
    </row>
    <row r="124" spans="1:17" x14ac:dyDescent="0.15">
      <c r="A124" s="14"/>
      <c r="B124" s="8"/>
      <c r="C124" s="10"/>
      <c r="D124" s="10"/>
      <c r="E124" s="10"/>
      <c r="F124" s="30"/>
      <c r="G124" s="7">
        <f t="shared" si="45"/>
        <v>0</v>
      </c>
      <c r="H124" s="1"/>
      <c r="I124" s="16"/>
      <c r="J124" s="11"/>
      <c r="K124" s="12"/>
      <c r="L124" s="12"/>
      <c r="M124" s="12"/>
      <c r="N124" s="31"/>
      <c r="O124" s="7">
        <f t="shared" si="46"/>
        <v>0</v>
      </c>
      <c r="P124" s="1"/>
    </row>
    <row r="125" spans="1:17" x14ac:dyDescent="0.15">
      <c r="A125" s="14"/>
      <c r="B125" s="8"/>
      <c r="C125" s="10"/>
      <c r="D125" s="10"/>
      <c r="E125" s="10"/>
      <c r="F125" s="30"/>
      <c r="G125" s="7">
        <f t="shared" si="45"/>
        <v>0</v>
      </c>
      <c r="H125" s="1"/>
      <c r="I125" s="14"/>
      <c r="J125" s="8"/>
      <c r="K125" s="10"/>
      <c r="L125" s="10"/>
      <c r="M125" s="10"/>
      <c r="N125" s="30"/>
      <c r="O125" s="7">
        <f t="shared" si="46"/>
        <v>0</v>
      </c>
      <c r="P125" s="1"/>
    </row>
    <row r="126" spans="1:17" ht="14.25" thickBot="1" x14ac:dyDescent="0.2">
      <c r="A126" s="20"/>
      <c r="B126" s="11"/>
      <c r="C126" s="12"/>
      <c r="D126" s="12"/>
      <c r="E126" s="12"/>
      <c r="F126" s="31"/>
      <c r="G126" s="7">
        <f t="shared" si="45"/>
        <v>0</v>
      </c>
      <c r="H126" s="56"/>
      <c r="I126" s="20"/>
      <c r="J126" s="11"/>
      <c r="K126" s="12"/>
      <c r="L126" s="12"/>
      <c r="M126" s="12"/>
      <c r="N126" s="31"/>
      <c r="O126" s="7">
        <f t="shared" si="34"/>
        <v>0</v>
      </c>
      <c r="P126" s="36"/>
    </row>
    <row r="127" spans="1:17" ht="14.25" thickBot="1" x14ac:dyDescent="0.2">
      <c r="A127" s="3" t="s">
        <v>11</v>
      </c>
      <c r="B127" s="23">
        <f>SUM(B101:B126)</f>
        <v>16</v>
      </c>
      <c r="C127" s="4">
        <f>SUM(C101:C126)</f>
        <v>12</v>
      </c>
      <c r="D127" s="4">
        <f>SUM(D101:D126)</f>
        <v>30</v>
      </c>
      <c r="E127" s="6">
        <f>SUM(E101:E126)</f>
        <v>37</v>
      </c>
      <c r="F127" s="32">
        <f>SUM(F101:F126)</f>
        <v>21</v>
      </c>
      <c r="G127" s="5">
        <f>SUM(B127:F127)</f>
        <v>116</v>
      </c>
      <c r="H127" s="56"/>
      <c r="I127" s="3" t="s">
        <v>11</v>
      </c>
      <c r="J127" s="23">
        <f>SUM(J101:J126)</f>
        <v>10</v>
      </c>
      <c r="K127" s="4">
        <f>SUM(K101:K126)</f>
        <v>10</v>
      </c>
      <c r="L127" s="4">
        <f>SUM(L101:L126)</f>
        <v>25</v>
      </c>
      <c r="M127" s="6">
        <f>SUM(M101:M126)</f>
        <v>30</v>
      </c>
      <c r="N127" s="32">
        <f>SUM(N101:N126)</f>
        <v>15</v>
      </c>
      <c r="O127" s="5">
        <f>SUM(J127:N127)</f>
        <v>90</v>
      </c>
    </row>
    <row r="128" spans="1:17" ht="14.25" thickBot="1" x14ac:dyDescent="0.2">
      <c r="A128" s="25" t="s">
        <v>12</v>
      </c>
      <c r="B128" s="63">
        <f>B100-B127</f>
        <v>10</v>
      </c>
      <c r="C128" s="26">
        <f t="shared" ref="C128:G128" si="47">C100-C127</f>
        <v>13</v>
      </c>
      <c r="D128" s="71">
        <f t="shared" si="47"/>
        <v>11</v>
      </c>
      <c r="E128" s="26">
        <f t="shared" si="47"/>
        <v>9</v>
      </c>
      <c r="F128" s="70">
        <f t="shared" si="47"/>
        <v>8</v>
      </c>
      <c r="G128" s="27">
        <f t="shared" si="47"/>
        <v>51</v>
      </c>
      <c r="H128" s="56"/>
      <c r="I128" s="25" t="s">
        <v>12</v>
      </c>
      <c r="J128" s="63">
        <f>J100-J127</f>
        <v>39</v>
      </c>
      <c r="K128" s="26">
        <f t="shared" ref="K128:O128" si="48">K100-K127</f>
        <v>10</v>
      </c>
      <c r="L128" s="71">
        <f t="shared" si="48"/>
        <v>4</v>
      </c>
      <c r="M128" s="26">
        <f t="shared" si="48"/>
        <v>42</v>
      </c>
      <c r="N128" s="70">
        <f t="shared" si="48"/>
        <v>12</v>
      </c>
      <c r="O128" s="27">
        <f t="shared" si="48"/>
        <v>107</v>
      </c>
    </row>
    <row r="129" spans="1:16" ht="21" x14ac:dyDescent="0.2">
      <c r="A129" s="83" t="s">
        <v>48</v>
      </c>
      <c r="B129" s="77"/>
      <c r="C129" s="77"/>
      <c r="D129" s="77"/>
      <c r="E129" s="77"/>
      <c r="F129" s="77"/>
      <c r="G129" s="77"/>
      <c r="H129" s="56"/>
      <c r="I129" s="83" t="s">
        <v>48</v>
      </c>
      <c r="J129" s="77"/>
      <c r="K129" s="77"/>
      <c r="L129" s="77"/>
      <c r="M129" s="77"/>
      <c r="N129" s="77"/>
      <c r="O129" s="77"/>
      <c r="P129" s="1"/>
    </row>
    <row r="130" spans="1:16" ht="21.75" thickBot="1" x14ac:dyDescent="0.25">
      <c r="A130" s="83" t="s">
        <v>47</v>
      </c>
      <c r="B130" s="77"/>
      <c r="C130" s="77"/>
      <c r="D130" s="77"/>
      <c r="E130" s="84"/>
      <c r="F130" s="78" t="s">
        <v>53</v>
      </c>
      <c r="G130" s="77"/>
      <c r="H130" s="56"/>
      <c r="I130" s="83" t="s">
        <v>47</v>
      </c>
      <c r="J130" s="77"/>
      <c r="K130" s="77"/>
      <c r="L130" s="77"/>
      <c r="M130" s="84"/>
      <c r="N130" s="78" t="s">
        <v>54</v>
      </c>
      <c r="O130" s="77"/>
    </row>
    <row r="131" spans="1:16" ht="14.25" thickBot="1" x14ac:dyDescent="0.2">
      <c r="A131" s="13" t="s">
        <v>0</v>
      </c>
      <c r="B131" s="228" t="s">
        <v>49</v>
      </c>
      <c r="C131" s="229"/>
      <c r="D131" s="229"/>
      <c r="E131" s="229"/>
      <c r="F131" s="230"/>
      <c r="G131" s="231"/>
      <c r="H131" s="56"/>
      <c r="I131" s="13" t="s">
        <v>0</v>
      </c>
      <c r="J131" s="232" t="s">
        <v>49</v>
      </c>
      <c r="K131" s="233"/>
      <c r="L131" s="233"/>
      <c r="M131" s="233"/>
      <c r="N131" s="233"/>
      <c r="O131" s="234"/>
      <c r="P131" s="1"/>
    </row>
    <row r="132" spans="1:16" ht="14.25" thickBot="1" x14ac:dyDescent="0.2">
      <c r="A132" s="3" t="s">
        <v>1</v>
      </c>
      <c r="B132" s="2" t="s">
        <v>42</v>
      </c>
      <c r="C132" s="21" t="s">
        <v>43</v>
      </c>
      <c r="D132" s="21" t="s">
        <v>44</v>
      </c>
      <c r="E132" s="24" t="s">
        <v>45</v>
      </c>
      <c r="F132" s="33" t="s">
        <v>46</v>
      </c>
      <c r="G132" s="34" t="s">
        <v>2</v>
      </c>
      <c r="H132" s="58"/>
      <c r="I132" s="3" t="s">
        <v>1</v>
      </c>
      <c r="J132" s="2" t="s">
        <v>42</v>
      </c>
      <c r="K132" s="21" t="s">
        <v>43</v>
      </c>
      <c r="L132" s="21" t="s">
        <v>44</v>
      </c>
      <c r="M132" s="24" t="s">
        <v>45</v>
      </c>
      <c r="N132" s="33" t="s">
        <v>46</v>
      </c>
      <c r="O132" s="3" t="s">
        <v>2</v>
      </c>
      <c r="P132" s="1"/>
    </row>
    <row r="133" spans="1:16" ht="14.25" thickBot="1" x14ac:dyDescent="0.2">
      <c r="A133" s="106" t="s">
        <v>79</v>
      </c>
      <c r="B133" s="95">
        <f>B128</f>
        <v>10</v>
      </c>
      <c r="C133" s="97">
        <f t="shared" ref="C133:F133" si="49">C128</f>
        <v>13</v>
      </c>
      <c r="D133" s="55">
        <f t="shared" si="49"/>
        <v>11</v>
      </c>
      <c r="E133" s="98">
        <f t="shared" si="49"/>
        <v>9</v>
      </c>
      <c r="F133" s="98">
        <f t="shared" si="49"/>
        <v>8</v>
      </c>
      <c r="G133" s="52">
        <f t="shared" ref="G133:G142" si="50">SUM(B133:F133)</f>
        <v>51</v>
      </c>
      <c r="H133" s="58"/>
      <c r="I133" s="72" t="s">
        <v>79</v>
      </c>
      <c r="J133" s="73">
        <f>J128</f>
        <v>39</v>
      </c>
      <c r="K133" s="74">
        <f t="shared" ref="K133:N133" si="51">K128</f>
        <v>10</v>
      </c>
      <c r="L133" s="107">
        <f t="shared" si="51"/>
        <v>4</v>
      </c>
      <c r="M133" s="75">
        <f t="shared" si="51"/>
        <v>42</v>
      </c>
      <c r="N133" s="75">
        <f t="shared" si="51"/>
        <v>12</v>
      </c>
      <c r="O133" s="76">
        <f t="shared" ref="O133:O142" si="52">SUM(J133:N133)</f>
        <v>107</v>
      </c>
      <c r="P133" s="1"/>
    </row>
    <row r="134" spans="1:16" x14ac:dyDescent="0.15">
      <c r="A134" s="38" t="s">
        <v>149</v>
      </c>
      <c r="B134" s="17">
        <v>1</v>
      </c>
      <c r="C134" s="22"/>
      <c r="D134" s="22"/>
      <c r="E134" s="22"/>
      <c r="F134" s="29"/>
      <c r="G134" s="18">
        <f t="shared" si="50"/>
        <v>1</v>
      </c>
      <c r="H134" s="58">
        <v>42518</v>
      </c>
      <c r="I134" s="38" t="s">
        <v>14</v>
      </c>
      <c r="J134" s="37"/>
      <c r="K134" s="35"/>
      <c r="L134" s="35"/>
      <c r="M134" s="35"/>
      <c r="N134" s="28"/>
      <c r="O134" s="7">
        <f t="shared" si="52"/>
        <v>0</v>
      </c>
      <c r="P134" s="1"/>
    </row>
    <row r="135" spans="1:16" x14ac:dyDescent="0.15">
      <c r="A135" s="15" t="s">
        <v>3</v>
      </c>
      <c r="B135" s="8"/>
      <c r="C135" s="10"/>
      <c r="D135" s="10"/>
      <c r="E135" s="10">
        <v>10</v>
      </c>
      <c r="F135" s="28">
        <v>5</v>
      </c>
      <c r="G135" s="9">
        <f t="shared" si="50"/>
        <v>15</v>
      </c>
      <c r="H135" s="58">
        <v>42522</v>
      </c>
      <c r="I135" s="15" t="s">
        <v>3</v>
      </c>
      <c r="J135" s="8">
        <v>120</v>
      </c>
      <c r="K135" s="10">
        <v>169</v>
      </c>
      <c r="L135" s="10">
        <v>140</v>
      </c>
      <c r="M135" s="10">
        <v>100</v>
      </c>
      <c r="N135" s="28">
        <v>110</v>
      </c>
      <c r="O135" s="9">
        <f t="shared" si="52"/>
        <v>639</v>
      </c>
      <c r="P135" s="36">
        <v>42516</v>
      </c>
    </row>
    <row r="136" spans="1:16" x14ac:dyDescent="0.15">
      <c r="A136" s="15" t="s">
        <v>19</v>
      </c>
      <c r="B136" s="8"/>
      <c r="C136" s="10"/>
      <c r="D136" s="10">
        <v>1</v>
      </c>
      <c r="E136" s="10"/>
      <c r="F136" s="28"/>
      <c r="G136" s="9">
        <f t="shared" si="50"/>
        <v>1</v>
      </c>
      <c r="H136" s="58">
        <v>42520</v>
      </c>
      <c r="I136" s="15" t="s">
        <v>4</v>
      </c>
      <c r="J136" s="8">
        <v>1</v>
      </c>
      <c r="K136" s="10">
        <v>2</v>
      </c>
      <c r="L136" s="10">
        <v>1</v>
      </c>
      <c r="M136" s="10">
        <v>1</v>
      </c>
      <c r="N136" s="28"/>
      <c r="O136" s="9">
        <f t="shared" si="52"/>
        <v>5</v>
      </c>
      <c r="P136" s="36">
        <v>42530</v>
      </c>
    </row>
    <row r="137" spans="1:16" x14ac:dyDescent="0.15">
      <c r="A137" s="15" t="s">
        <v>5</v>
      </c>
      <c r="B137" s="8">
        <v>10</v>
      </c>
      <c r="C137" s="10">
        <v>10</v>
      </c>
      <c r="D137" s="10">
        <v>10</v>
      </c>
      <c r="E137" s="10">
        <v>10</v>
      </c>
      <c r="F137" s="28">
        <v>10</v>
      </c>
      <c r="G137" s="9">
        <f t="shared" si="50"/>
        <v>50</v>
      </c>
      <c r="H137" s="36">
        <v>42524</v>
      </c>
      <c r="I137" s="15" t="s">
        <v>5</v>
      </c>
      <c r="J137" s="8"/>
      <c r="K137" s="10"/>
      <c r="L137" s="10"/>
      <c r="M137" s="10"/>
      <c r="N137" s="28"/>
      <c r="O137" s="9">
        <f t="shared" si="52"/>
        <v>0</v>
      </c>
      <c r="P137" s="36"/>
    </row>
    <row r="138" spans="1:16" x14ac:dyDescent="0.15">
      <c r="A138" s="15" t="s">
        <v>6</v>
      </c>
      <c r="B138" s="8"/>
      <c r="C138" s="10"/>
      <c r="D138" s="10">
        <v>2</v>
      </c>
      <c r="E138" s="10"/>
      <c r="F138" s="28"/>
      <c r="G138" s="9">
        <f t="shared" si="50"/>
        <v>2</v>
      </c>
      <c r="H138" s="58">
        <v>42528</v>
      </c>
      <c r="I138" s="15" t="s">
        <v>6</v>
      </c>
      <c r="J138" s="8"/>
      <c r="K138" s="10"/>
      <c r="L138" s="10"/>
      <c r="M138" s="10"/>
      <c r="N138" s="28"/>
      <c r="O138" s="9">
        <f t="shared" si="52"/>
        <v>0</v>
      </c>
      <c r="P138" s="1"/>
    </row>
    <row r="139" spans="1:16" x14ac:dyDescent="0.15">
      <c r="A139" s="15" t="s">
        <v>19</v>
      </c>
      <c r="B139" s="11"/>
      <c r="C139" s="12">
        <v>1</v>
      </c>
      <c r="D139" s="12"/>
      <c r="E139" s="12"/>
      <c r="F139" s="31"/>
      <c r="G139" s="7">
        <f t="shared" si="50"/>
        <v>1</v>
      </c>
      <c r="H139" s="58">
        <v>42534</v>
      </c>
      <c r="I139" s="15" t="s">
        <v>84</v>
      </c>
      <c r="J139" s="11"/>
      <c r="K139" s="12"/>
      <c r="L139" s="12"/>
      <c r="M139" s="12"/>
      <c r="N139" s="31"/>
      <c r="O139" s="7">
        <f t="shared" si="52"/>
        <v>0</v>
      </c>
      <c r="P139" s="1"/>
    </row>
    <row r="140" spans="1:16" x14ac:dyDescent="0.15">
      <c r="A140" s="15" t="s">
        <v>85</v>
      </c>
      <c r="B140" s="8">
        <v>10</v>
      </c>
      <c r="C140" s="10">
        <v>10</v>
      </c>
      <c r="D140" s="10">
        <v>10</v>
      </c>
      <c r="E140" s="10"/>
      <c r="F140" s="30">
        <v>10</v>
      </c>
      <c r="G140" s="7">
        <f t="shared" si="50"/>
        <v>40</v>
      </c>
      <c r="H140" s="58">
        <v>42537</v>
      </c>
      <c r="I140" s="15" t="s">
        <v>85</v>
      </c>
      <c r="J140" s="8"/>
      <c r="K140" s="10"/>
      <c r="L140" s="10"/>
      <c r="M140" s="10"/>
      <c r="N140" s="30"/>
      <c r="O140" s="7">
        <f t="shared" si="52"/>
        <v>0</v>
      </c>
      <c r="P140" s="1"/>
    </row>
    <row r="141" spans="1:16" x14ac:dyDescent="0.15">
      <c r="A141" s="16" t="s">
        <v>175</v>
      </c>
      <c r="B141" s="8"/>
      <c r="C141" s="10">
        <v>1</v>
      </c>
      <c r="D141" s="10"/>
      <c r="E141" s="10">
        <v>1</v>
      </c>
      <c r="F141" s="30">
        <v>1</v>
      </c>
      <c r="G141" s="7">
        <f t="shared" si="50"/>
        <v>3</v>
      </c>
      <c r="H141" s="58">
        <v>42539</v>
      </c>
      <c r="I141" s="16" t="s">
        <v>88</v>
      </c>
      <c r="J141" s="8"/>
      <c r="K141" s="10"/>
      <c r="L141" s="10"/>
      <c r="M141" s="10"/>
      <c r="N141" s="30"/>
      <c r="O141" s="7">
        <f t="shared" si="52"/>
        <v>0</v>
      </c>
      <c r="P141" s="36"/>
    </row>
    <row r="142" spans="1:16" ht="14.25" thickBot="1" x14ac:dyDescent="0.2">
      <c r="A142" s="15" t="s">
        <v>87</v>
      </c>
      <c r="B142" s="11">
        <v>5</v>
      </c>
      <c r="C142" s="100">
        <v>5</v>
      </c>
      <c r="D142" s="100">
        <v>10</v>
      </c>
      <c r="E142" s="100"/>
      <c r="F142" s="101">
        <v>15</v>
      </c>
      <c r="G142" s="102">
        <f t="shared" si="50"/>
        <v>35</v>
      </c>
      <c r="H142" s="58">
        <v>42549</v>
      </c>
      <c r="I142" s="15" t="s">
        <v>87</v>
      </c>
      <c r="J142" s="11"/>
      <c r="K142" s="100"/>
      <c r="L142" s="100"/>
      <c r="M142" s="100"/>
      <c r="N142" s="101"/>
      <c r="O142" s="102">
        <f t="shared" si="52"/>
        <v>0</v>
      </c>
      <c r="P142" s="1"/>
    </row>
    <row r="143" spans="1:16" ht="14.25" thickBot="1" x14ac:dyDescent="0.2">
      <c r="A143" s="72" t="s">
        <v>7</v>
      </c>
      <c r="B143" s="73">
        <f>SUM(B133:B142)</f>
        <v>36</v>
      </c>
      <c r="C143" s="74">
        <f t="shared" ref="C143:G143" si="53">SUM(C133:C142)</f>
        <v>40</v>
      </c>
      <c r="D143" s="74">
        <f t="shared" si="53"/>
        <v>44</v>
      </c>
      <c r="E143" s="74">
        <f t="shared" si="53"/>
        <v>30</v>
      </c>
      <c r="F143" s="105">
        <f t="shared" si="53"/>
        <v>49</v>
      </c>
      <c r="G143" s="105">
        <f t="shared" si="53"/>
        <v>199</v>
      </c>
      <c r="H143" s="58"/>
      <c r="I143" s="72" t="s">
        <v>7</v>
      </c>
      <c r="J143" s="73">
        <f>SUM(J133:J142)</f>
        <v>160</v>
      </c>
      <c r="K143" s="74">
        <f t="shared" ref="K143:O143" si="54">SUM(K133:K142)</f>
        <v>181</v>
      </c>
      <c r="L143" s="74">
        <f t="shared" si="54"/>
        <v>145</v>
      </c>
      <c r="M143" s="74">
        <f t="shared" si="54"/>
        <v>143</v>
      </c>
      <c r="N143" s="105">
        <f t="shared" si="54"/>
        <v>122</v>
      </c>
      <c r="O143" s="105">
        <f t="shared" si="54"/>
        <v>751</v>
      </c>
      <c r="P143" s="1"/>
    </row>
    <row r="144" spans="1:16" x14ac:dyDescent="0.15">
      <c r="A144" s="39" t="s">
        <v>110</v>
      </c>
      <c r="B144" s="37"/>
      <c r="C144" s="35"/>
      <c r="D144" s="35"/>
      <c r="E144" s="35">
        <v>3</v>
      </c>
      <c r="F144" s="28"/>
      <c r="G144" s="18">
        <f t="shared" ref="G144:G169" si="55">SUM(B144:F144)</f>
        <v>3</v>
      </c>
      <c r="H144" s="58">
        <v>42527</v>
      </c>
      <c r="I144" s="16" t="s">
        <v>151</v>
      </c>
      <c r="J144" s="17"/>
      <c r="K144" s="22"/>
      <c r="L144" s="22"/>
      <c r="M144" s="22">
        <v>10</v>
      </c>
      <c r="N144" s="29">
        <v>5</v>
      </c>
      <c r="O144" s="18">
        <f t="shared" ref="O144:O169" si="56">SUM(J144:N144)</f>
        <v>15</v>
      </c>
      <c r="P144" s="36">
        <v>42522</v>
      </c>
    </row>
    <row r="145" spans="1:16" x14ac:dyDescent="0.15">
      <c r="A145" s="16" t="s">
        <v>147</v>
      </c>
      <c r="B145" s="8">
        <v>1</v>
      </c>
      <c r="C145" s="10">
        <v>2</v>
      </c>
      <c r="D145" s="10">
        <v>2</v>
      </c>
      <c r="E145" s="10">
        <v>1</v>
      </c>
      <c r="F145" s="30"/>
      <c r="G145" s="7">
        <f t="shared" si="55"/>
        <v>6</v>
      </c>
      <c r="H145" s="58">
        <v>42522</v>
      </c>
      <c r="I145" s="16" t="s">
        <v>37</v>
      </c>
      <c r="J145" s="8">
        <v>10</v>
      </c>
      <c r="K145" s="10">
        <v>10</v>
      </c>
      <c r="L145" s="10">
        <v>10</v>
      </c>
      <c r="M145" s="10">
        <v>10</v>
      </c>
      <c r="N145" s="28">
        <v>10</v>
      </c>
      <c r="O145" s="9">
        <f t="shared" si="56"/>
        <v>50</v>
      </c>
      <c r="P145" s="36">
        <v>42524</v>
      </c>
    </row>
    <row r="146" spans="1:16" x14ac:dyDescent="0.15">
      <c r="A146" s="14" t="s">
        <v>153</v>
      </c>
      <c r="B146" s="8">
        <v>10</v>
      </c>
      <c r="C146" s="10">
        <v>10</v>
      </c>
      <c r="D146" s="10">
        <v>10</v>
      </c>
      <c r="E146" s="10">
        <v>10</v>
      </c>
      <c r="F146" s="30">
        <v>10</v>
      </c>
      <c r="G146" s="7">
        <f t="shared" si="55"/>
        <v>50</v>
      </c>
      <c r="H146" s="58">
        <v>42527</v>
      </c>
      <c r="I146" s="16" t="s">
        <v>37</v>
      </c>
      <c r="J146" s="8">
        <v>10</v>
      </c>
      <c r="K146" s="10">
        <v>10</v>
      </c>
      <c r="L146" s="10">
        <v>10</v>
      </c>
      <c r="M146" s="10"/>
      <c r="N146" s="30">
        <v>10</v>
      </c>
      <c r="O146" s="7">
        <f t="shared" si="56"/>
        <v>40</v>
      </c>
      <c r="P146" s="36">
        <v>42537</v>
      </c>
    </row>
    <row r="147" spans="1:16" x14ac:dyDescent="0.15">
      <c r="A147" s="14" t="s">
        <v>155</v>
      </c>
      <c r="B147" s="8"/>
      <c r="C147" s="10"/>
      <c r="D147" s="10">
        <v>1</v>
      </c>
      <c r="E147" s="10"/>
      <c r="F147" s="30"/>
      <c r="G147" s="7">
        <f t="shared" si="55"/>
        <v>1</v>
      </c>
      <c r="H147" s="58">
        <v>42522</v>
      </c>
      <c r="I147" s="16" t="s">
        <v>37</v>
      </c>
      <c r="J147" s="8">
        <v>5</v>
      </c>
      <c r="K147" s="10">
        <v>5</v>
      </c>
      <c r="L147" s="10">
        <v>10</v>
      </c>
      <c r="M147" s="10"/>
      <c r="N147" s="30">
        <v>15</v>
      </c>
      <c r="O147" s="7">
        <f t="shared" si="56"/>
        <v>35</v>
      </c>
      <c r="P147" s="36">
        <v>42549</v>
      </c>
    </row>
    <row r="148" spans="1:16" x14ac:dyDescent="0.15">
      <c r="A148" s="16" t="s">
        <v>25</v>
      </c>
      <c r="B148" s="8"/>
      <c r="C148" s="10">
        <v>1</v>
      </c>
      <c r="D148" s="10"/>
      <c r="E148" s="10"/>
      <c r="F148" s="30"/>
      <c r="G148" s="7">
        <f t="shared" si="55"/>
        <v>1</v>
      </c>
      <c r="H148" s="58">
        <v>42524</v>
      </c>
      <c r="I148" s="16"/>
      <c r="J148" s="8"/>
      <c r="K148" s="10"/>
      <c r="L148" s="10"/>
      <c r="M148" s="10"/>
      <c r="N148" s="30"/>
      <c r="O148" s="7">
        <f t="shared" si="56"/>
        <v>0</v>
      </c>
      <c r="P148" s="1"/>
    </row>
    <row r="149" spans="1:16" x14ac:dyDescent="0.15">
      <c r="A149" s="39" t="s">
        <v>110</v>
      </c>
      <c r="B149" s="8"/>
      <c r="C149" s="10"/>
      <c r="D149" s="10"/>
      <c r="E149" s="10"/>
      <c r="F149" s="30">
        <v>3</v>
      </c>
      <c r="G149" s="7">
        <f t="shared" si="55"/>
        <v>3</v>
      </c>
      <c r="H149" s="58">
        <v>42531</v>
      </c>
      <c r="I149" s="16"/>
      <c r="J149" s="8"/>
      <c r="K149" s="10"/>
      <c r="L149" s="10"/>
      <c r="M149" s="10"/>
      <c r="N149" s="30"/>
      <c r="O149" s="7">
        <f t="shared" si="56"/>
        <v>0</v>
      </c>
      <c r="P149" s="1"/>
    </row>
    <row r="150" spans="1:16" x14ac:dyDescent="0.15">
      <c r="A150" s="39" t="s">
        <v>156</v>
      </c>
      <c r="B150" s="8"/>
      <c r="C150" s="10">
        <v>1</v>
      </c>
      <c r="D150" s="10"/>
      <c r="E150" s="10"/>
      <c r="F150" s="30"/>
      <c r="G150" s="7">
        <f t="shared" si="55"/>
        <v>1</v>
      </c>
      <c r="H150" s="58">
        <v>42526</v>
      </c>
      <c r="I150" s="16"/>
      <c r="J150" s="8"/>
      <c r="K150" s="10"/>
      <c r="L150" s="10"/>
      <c r="M150" s="10"/>
      <c r="N150" s="30"/>
      <c r="O150" s="7">
        <f t="shared" si="56"/>
        <v>0</v>
      </c>
      <c r="P150" s="1"/>
    </row>
    <row r="151" spans="1:16" x14ac:dyDescent="0.15">
      <c r="A151" s="39" t="s">
        <v>110</v>
      </c>
      <c r="B151" s="8"/>
      <c r="C151" s="10">
        <v>3</v>
      </c>
      <c r="D151" s="10"/>
      <c r="E151" s="10"/>
      <c r="F151" s="30"/>
      <c r="G151" s="7">
        <f t="shared" si="55"/>
        <v>3</v>
      </c>
      <c r="H151" s="58">
        <v>42534</v>
      </c>
      <c r="I151" s="16"/>
      <c r="J151" s="8"/>
      <c r="K151" s="10"/>
      <c r="L151" s="10"/>
      <c r="M151" s="10"/>
      <c r="N151" s="30"/>
      <c r="O151" s="7">
        <f t="shared" si="56"/>
        <v>0</v>
      </c>
      <c r="P151" s="1"/>
    </row>
    <row r="152" spans="1:16" x14ac:dyDescent="0.15">
      <c r="A152" s="39" t="s">
        <v>160</v>
      </c>
      <c r="B152" s="8">
        <v>3</v>
      </c>
      <c r="C152" s="10"/>
      <c r="D152" s="10"/>
      <c r="E152" s="10"/>
      <c r="F152" s="30"/>
      <c r="G152" s="7">
        <f t="shared" si="55"/>
        <v>3</v>
      </c>
      <c r="H152" s="58">
        <v>42534</v>
      </c>
      <c r="I152" s="39"/>
      <c r="J152" s="8"/>
      <c r="K152" s="10"/>
      <c r="L152" s="10"/>
      <c r="M152" s="10"/>
      <c r="N152" s="30"/>
      <c r="O152" s="7">
        <f t="shared" si="56"/>
        <v>0</v>
      </c>
      <c r="P152" s="1"/>
    </row>
    <row r="153" spans="1:16" x14ac:dyDescent="0.15">
      <c r="A153" s="39" t="s">
        <v>110</v>
      </c>
      <c r="B153" s="11"/>
      <c r="C153" s="12"/>
      <c r="D153" s="12">
        <v>3</v>
      </c>
      <c r="E153" s="12"/>
      <c r="F153" s="31"/>
      <c r="G153" s="7">
        <f t="shared" si="55"/>
        <v>3</v>
      </c>
      <c r="H153" s="58">
        <v>42534</v>
      </c>
      <c r="I153" s="16"/>
      <c r="J153" s="11"/>
      <c r="K153" s="12"/>
      <c r="L153" s="12"/>
      <c r="M153" s="12"/>
      <c r="N153" s="31"/>
      <c r="O153" s="7">
        <f t="shared" si="56"/>
        <v>0</v>
      </c>
      <c r="P153" s="1"/>
    </row>
    <row r="154" spans="1:16" x14ac:dyDescent="0.15">
      <c r="A154" s="16" t="s">
        <v>25</v>
      </c>
      <c r="B154" s="8"/>
      <c r="C154" s="10"/>
      <c r="D154" s="10"/>
      <c r="E154" s="10"/>
      <c r="F154" s="30">
        <v>1</v>
      </c>
      <c r="G154" s="7">
        <f t="shared" si="55"/>
        <v>1</v>
      </c>
      <c r="H154" s="58">
        <v>42530</v>
      </c>
      <c r="I154" s="16"/>
      <c r="J154" s="8"/>
      <c r="K154" s="10"/>
      <c r="L154" s="10"/>
      <c r="M154" s="10"/>
      <c r="N154" s="30"/>
      <c r="O154" s="7">
        <f t="shared" si="56"/>
        <v>0</v>
      </c>
      <c r="P154" s="1"/>
    </row>
    <row r="155" spans="1:16" x14ac:dyDescent="0.15">
      <c r="A155" s="16" t="s">
        <v>25</v>
      </c>
      <c r="B155" s="8"/>
      <c r="C155" s="10"/>
      <c r="D155" s="10"/>
      <c r="E155" s="10"/>
      <c r="F155" s="30">
        <v>1</v>
      </c>
      <c r="G155" s="7">
        <f t="shared" si="55"/>
        <v>1</v>
      </c>
      <c r="H155" s="58">
        <v>42532</v>
      </c>
      <c r="I155" s="14"/>
      <c r="J155" s="8"/>
      <c r="K155" s="10"/>
      <c r="L155" s="10"/>
      <c r="M155" s="10"/>
      <c r="N155" s="30"/>
      <c r="O155" s="7">
        <f t="shared" si="56"/>
        <v>0</v>
      </c>
      <c r="P155" s="1"/>
    </row>
    <row r="156" spans="1:16" x14ac:dyDescent="0.15">
      <c r="A156" s="39" t="s">
        <v>126</v>
      </c>
      <c r="B156" s="8">
        <v>5</v>
      </c>
      <c r="C156" s="10"/>
      <c r="D156" s="10"/>
      <c r="E156" s="10"/>
      <c r="F156" s="30"/>
      <c r="G156" s="7">
        <f t="shared" si="55"/>
        <v>5</v>
      </c>
      <c r="H156" s="58">
        <v>42541</v>
      </c>
      <c r="I156" s="16"/>
      <c r="J156" s="8"/>
      <c r="K156" s="10"/>
      <c r="L156" s="10"/>
      <c r="M156" s="10"/>
      <c r="N156" s="30"/>
      <c r="O156" s="7">
        <f t="shared" si="56"/>
        <v>0</v>
      </c>
      <c r="P156" s="1"/>
    </row>
    <row r="157" spans="1:16" x14ac:dyDescent="0.15">
      <c r="A157" s="16" t="s">
        <v>25</v>
      </c>
      <c r="B157" s="8"/>
      <c r="C157" s="10">
        <v>2</v>
      </c>
      <c r="D157" s="10"/>
      <c r="E157" s="10"/>
      <c r="F157" s="30">
        <v>1</v>
      </c>
      <c r="G157" s="7">
        <f t="shared" si="55"/>
        <v>3</v>
      </c>
      <c r="H157" s="58">
        <v>42536</v>
      </c>
      <c r="I157" s="64"/>
      <c r="J157" s="8"/>
      <c r="K157" s="10"/>
      <c r="L157" s="10"/>
      <c r="M157" s="10"/>
      <c r="N157" s="30"/>
      <c r="O157" s="7">
        <f t="shared" si="56"/>
        <v>0</v>
      </c>
      <c r="P157" s="1"/>
    </row>
    <row r="158" spans="1:16" x14ac:dyDescent="0.15">
      <c r="A158" s="16" t="s">
        <v>25</v>
      </c>
      <c r="B158" s="8"/>
      <c r="C158" s="10">
        <v>1</v>
      </c>
      <c r="D158" s="10"/>
      <c r="E158" s="10"/>
      <c r="F158" s="30"/>
      <c r="G158" s="7">
        <f t="shared" si="55"/>
        <v>1</v>
      </c>
      <c r="H158" s="58">
        <v>42538</v>
      </c>
      <c r="I158" s="16"/>
      <c r="J158" s="8"/>
      <c r="K158" s="10"/>
      <c r="L158" s="10"/>
      <c r="M158" s="10"/>
      <c r="N158" s="30"/>
      <c r="O158" s="7">
        <f t="shared" si="56"/>
        <v>0</v>
      </c>
      <c r="P158" s="1"/>
    </row>
    <row r="159" spans="1:16" x14ac:dyDescent="0.15">
      <c r="A159" s="39" t="s">
        <v>110</v>
      </c>
      <c r="B159" s="8"/>
      <c r="C159" s="10"/>
      <c r="D159" s="10">
        <v>4</v>
      </c>
      <c r="E159" s="10"/>
      <c r="F159" s="30"/>
      <c r="G159" s="7">
        <f t="shared" si="55"/>
        <v>4</v>
      </c>
      <c r="H159" s="58">
        <v>42544</v>
      </c>
      <c r="I159" s="16"/>
      <c r="J159" s="8"/>
      <c r="K159" s="10"/>
      <c r="L159" s="10"/>
      <c r="M159" s="10"/>
      <c r="N159" s="30"/>
      <c r="O159" s="7">
        <f t="shared" si="56"/>
        <v>0</v>
      </c>
      <c r="P159" s="36"/>
    </row>
    <row r="160" spans="1:16" x14ac:dyDescent="0.15">
      <c r="A160" s="14" t="s">
        <v>171</v>
      </c>
      <c r="B160" s="8">
        <v>1</v>
      </c>
      <c r="C160" s="10"/>
      <c r="D160" s="10"/>
      <c r="E160" s="10"/>
      <c r="F160" s="30"/>
      <c r="G160" s="7">
        <f t="shared" si="55"/>
        <v>1</v>
      </c>
      <c r="H160" s="58">
        <v>42541</v>
      </c>
      <c r="I160" s="14"/>
      <c r="J160" s="8"/>
      <c r="K160" s="10"/>
      <c r="L160" s="10"/>
      <c r="M160" s="10"/>
      <c r="N160" s="30"/>
      <c r="O160" s="7">
        <f t="shared" si="56"/>
        <v>0</v>
      </c>
      <c r="P160" s="1"/>
    </row>
    <row r="161" spans="1:16" x14ac:dyDescent="0.15">
      <c r="A161" s="16" t="s">
        <v>25</v>
      </c>
      <c r="B161" s="8"/>
      <c r="C161" s="10"/>
      <c r="D161" s="10"/>
      <c r="E161" s="10"/>
      <c r="F161" s="30">
        <v>1</v>
      </c>
      <c r="G161" s="7">
        <f t="shared" si="55"/>
        <v>1</v>
      </c>
      <c r="H161" s="58">
        <v>42542</v>
      </c>
      <c r="I161" s="16"/>
      <c r="J161" s="8"/>
      <c r="K161" s="10"/>
      <c r="L161" s="10"/>
      <c r="M161" s="10"/>
      <c r="N161" s="30"/>
      <c r="O161" s="7">
        <f t="shared" si="56"/>
        <v>0</v>
      </c>
      <c r="P161" s="1"/>
    </row>
    <row r="162" spans="1:16" x14ac:dyDescent="0.15">
      <c r="A162" s="16" t="s">
        <v>174</v>
      </c>
      <c r="B162" s="8"/>
      <c r="C162" s="10"/>
      <c r="D162" s="10">
        <v>1</v>
      </c>
      <c r="E162" s="10"/>
      <c r="F162" s="30"/>
      <c r="G162" s="7">
        <f t="shared" si="55"/>
        <v>1</v>
      </c>
      <c r="H162" s="58">
        <v>42542</v>
      </c>
      <c r="I162" s="16"/>
      <c r="J162" s="8"/>
      <c r="K162" s="10"/>
      <c r="L162" s="10"/>
      <c r="M162" s="10"/>
      <c r="N162" s="30"/>
      <c r="O162" s="7">
        <f t="shared" si="56"/>
        <v>0</v>
      </c>
      <c r="P162" s="36"/>
    </row>
    <row r="163" spans="1:16" x14ac:dyDescent="0.15">
      <c r="A163" s="16" t="s">
        <v>176</v>
      </c>
      <c r="B163" s="8"/>
      <c r="C163" s="10"/>
      <c r="D163" s="10"/>
      <c r="E163" s="10"/>
      <c r="F163" s="30">
        <v>10</v>
      </c>
      <c r="G163" s="7">
        <f t="shared" si="55"/>
        <v>10</v>
      </c>
      <c r="H163" s="58">
        <v>42548</v>
      </c>
      <c r="I163" s="16"/>
      <c r="J163" s="8"/>
      <c r="K163" s="10"/>
      <c r="L163" s="10"/>
      <c r="M163" s="10"/>
      <c r="N163" s="30"/>
      <c r="O163" s="7">
        <f t="shared" si="56"/>
        <v>0</v>
      </c>
      <c r="P163" s="36"/>
    </row>
    <row r="164" spans="1:16" x14ac:dyDescent="0.15">
      <c r="A164" s="14" t="s">
        <v>179</v>
      </c>
      <c r="B164" s="8"/>
      <c r="C164" s="10">
        <v>3</v>
      </c>
      <c r="D164" s="10">
        <v>3</v>
      </c>
      <c r="E164" s="10"/>
      <c r="F164" s="30"/>
      <c r="G164" s="7">
        <f t="shared" si="55"/>
        <v>6</v>
      </c>
      <c r="H164" s="58">
        <v>42549</v>
      </c>
      <c r="I164" s="14"/>
      <c r="J164" s="8"/>
      <c r="K164" s="10"/>
      <c r="L164" s="10"/>
      <c r="M164" s="10"/>
      <c r="N164" s="30"/>
      <c r="O164" s="7">
        <f t="shared" si="56"/>
        <v>0</v>
      </c>
      <c r="P164" s="1"/>
    </row>
    <row r="165" spans="1:16" x14ac:dyDescent="0.15">
      <c r="A165" s="16" t="s">
        <v>186</v>
      </c>
      <c r="B165" s="11"/>
      <c r="C165" s="12"/>
      <c r="D165" s="12"/>
      <c r="E165" s="12">
        <v>3</v>
      </c>
      <c r="F165" s="31"/>
      <c r="G165" s="7">
        <f t="shared" si="55"/>
        <v>3</v>
      </c>
      <c r="H165" s="58">
        <v>42555</v>
      </c>
      <c r="I165" s="16"/>
      <c r="J165" s="8"/>
      <c r="K165" s="10"/>
      <c r="L165" s="10"/>
      <c r="M165" s="10"/>
      <c r="N165" s="30"/>
      <c r="O165" s="7">
        <f t="shared" si="56"/>
        <v>0</v>
      </c>
      <c r="P165" s="36"/>
    </row>
    <row r="166" spans="1:16" x14ac:dyDescent="0.15">
      <c r="A166" s="14" t="s">
        <v>187</v>
      </c>
      <c r="B166" s="8"/>
      <c r="C166" s="10"/>
      <c r="D166" s="10"/>
      <c r="E166" s="10"/>
      <c r="F166" s="30">
        <v>-1</v>
      </c>
      <c r="G166" s="7">
        <f t="shared" si="55"/>
        <v>-1</v>
      </c>
      <c r="H166" s="58">
        <v>42546</v>
      </c>
      <c r="I166" s="14"/>
      <c r="J166" s="8"/>
      <c r="K166" s="10"/>
      <c r="L166" s="10"/>
      <c r="M166" s="10"/>
      <c r="N166" s="30"/>
      <c r="O166" s="7">
        <f t="shared" si="56"/>
        <v>0</v>
      </c>
      <c r="P166" s="1"/>
    </row>
    <row r="167" spans="1:16" x14ac:dyDescent="0.15">
      <c r="A167" s="16" t="s">
        <v>110</v>
      </c>
      <c r="B167" s="8"/>
      <c r="C167" s="10"/>
      <c r="D167" s="10">
        <v>5</v>
      </c>
      <c r="E167" s="10"/>
      <c r="F167" s="30">
        <v>5</v>
      </c>
      <c r="G167" s="7">
        <f t="shared" si="55"/>
        <v>10</v>
      </c>
      <c r="H167" s="58">
        <v>42555</v>
      </c>
      <c r="I167" s="16"/>
      <c r="J167" s="11"/>
      <c r="K167" s="12"/>
      <c r="L167" s="12"/>
      <c r="M167" s="12"/>
      <c r="N167" s="31"/>
      <c r="O167" s="7">
        <f t="shared" si="56"/>
        <v>0</v>
      </c>
      <c r="P167" s="1"/>
    </row>
    <row r="168" spans="1:16" x14ac:dyDescent="0.15">
      <c r="A168" s="14" t="s">
        <v>29</v>
      </c>
      <c r="B168" s="8">
        <v>1</v>
      </c>
      <c r="C168" s="10"/>
      <c r="D168" s="10">
        <v>1</v>
      </c>
      <c r="E168" s="10"/>
      <c r="F168" s="30"/>
      <c r="G168" s="7">
        <f t="shared" si="55"/>
        <v>2</v>
      </c>
      <c r="H168" s="58">
        <v>42548</v>
      </c>
      <c r="I168" s="14"/>
      <c r="J168" s="8"/>
      <c r="K168" s="10"/>
      <c r="L168" s="10"/>
      <c r="M168" s="10"/>
      <c r="N168" s="30"/>
      <c r="O168" s="7">
        <f t="shared" si="56"/>
        <v>0</v>
      </c>
      <c r="P168" s="1"/>
    </row>
    <row r="169" spans="1:16" ht="14.25" thickBot="1" x14ac:dyDescent="0.2">
      <c r="A169" s="16" t="s">
        <v>175</v>
      </c>
      <c r="B169" s="11"/>
      <c r="C169" s="12">
        <v>-2</v>
      </c>
      <c r="D169" s="12"/>
      <c r="E169" s="12"/>
      <c r="F169" s="31"/>
      <c r="G169" s="7">
        <f t="shared" si="55"/>
        <v>-2</v>
      </c>
      <c r="H169" s="58">
        <v>42550</v>
      </c>
      <c r="I169" s="20"/>
      <c r="J169" s="11"/>
      <c r="K169" s="12"/>
      <c r="L169" s="12"/>
      <c r="M169" s="12"/>
      <c r="N169" s="31"/>
      <c r="O169" s="7">
        <f t="shared" si="56"/>
        <v>0</v>
      </c>
      <c r="P169" s="36"/>
    </row>
    <row r="170" spans="1:16" ht="14.25" thickBot="1" x14ac:dyDescent="0.2">
      <c r="A170" s="3" t="s">
        <v>11</v>
      </c>
      <c r="B170" s="23">
        <f>SUM(B144:B169)</f>
        <v>21</v>
      </c>
      <c r="C170" s="4">
        <f>SUM(C144:C169)</f>
        <v>21</v>
      </c>
      <c r="D170" s="4">
        <f>SUM(D144:D169)</f>
        <v>30</v>
      </c>
      <c r="E170" s="6">
        <f>SUM(E144:E169)</f>
        <v>17</v>
      </c>
      <c r="F170" s="32">
        <f>SUM(F144:F169)</f>
        <v>31</v>
      </c>
      <c r="G170" s="5">
        <f>SUM(B170:F170)</f>
        <v>120</v>
      </c>
      <c r="H170" s="56"/>
      <c r="I170" s="3" t="s">
        <v>11</v>
      </c>
      <c r="J170" s="23">
        <f>SUM(J144:J169)</f>
        <v>25</v>
      </c>
      <c r="K170" s="4">
        <f>SUM(K144:K169)</f>
        <v>25</v>
      </c>
      <c r="L170" s="4">
        <f>SUM(L144:L169)</f>
        <v>30</v>
      </c>
      <c r="M170" s="6">
        <f>SUM(M144:M169)</f>
        <v>20</v>
      </c>
      <c r="N170" s="32">
        <f>SUM(N144:N169)</f>
        <v>40</v>
      </c>
      <c r="O170" s="5">
        <f>SUM(J170:N170)</f>
        <v>140</v>
      </c>
    </row>
    <row r="171" spans="1:16" ht="14.25" thickBot="1" x14ac:dyDescent="0.2">
      <c r="A171" s="25" t="s">
        <v>12</v>
      </c>
      <c r="B171" s="63">
        <f>B143-B170</f>
        <v>15</v>
      </c>
      <c r="C171" s="26">
        <f t="shared" ref="C171:G171" si="57">C143-C170</f>
        <v>19</v>
      </c>
      <c r="D171" s="71">
        <f t="shared" si="57"/>
        <v>14</v>
      </c>
      <c r="E171" s="26">
        <f t="shared" si="57"/>
        <v>13</v>
      </c>
      <c r="F171" s="70">
        <f t="shared" si="57"/>
        <v>18</v>
      </c>
      <c r="G171" s="27">
        <f t="shared" si="57"/>
        <v>79</v>
      </c>
      <c r="H171" s="58"/>
      <c r="I171" s="25" t="s">
        <v>12</v>
      </c>
      <c r="J171" s="63">
        <f>J143-J170</f>
        <v>135</v>
      </c>
      <c r="K171" s="26">
        <f t="shared" ref="K171:O171" si="58">K143-K170</f>
        <v>156</v>
      </c>
      <c r="L171" s="71">
        <f t="shared" si="58"/>
        <v>115</v>
      </c>
      <c r="M171" s="26">
        <f t="shared" si="58"/>
        <v>123</v>
      </c>
      <c r="N171" s="70">
        <f t="shared" si="58"/>
        <v>82</v>
      </c>
      <c r="O171" s="27">
        <f t="shared" si="58"/>
        <v>611</v>
      </c>
    </row>
    <row r="172" spans="1:16" ht="21" x14ac:dyDescent="0.2">
      <c r="A172" s="83" t="s">
        <v>48</v>
      </c>
      <c r="B172" s="77"/>
      <c r="C172" s="77"/>
      <c r="D172" s="77"/>
      <c r="E172" s="77"/>
      <c r="F172" s="77"/>
      <c r="G172" s="77"/>
      <c r="H172" s="56"/>
      <c r="I172" s="83" t="s">
        <v>48</v>
      </c>
      <c r="J172" s="77"/>
      <c r="K172" s="77"/>
      <c r="L172" s="77"/>
      <c r="M172" s="77"/>
      <c r="N172" s="77"/>
      <c r="O172" s="77"/>
      <c r="P172" s="1"/>
    </row>
    <row r="173" spans="1:16" ht="21.75" thickBot="1" x14ac:dyDescent="0.25">
      <c r="A173" s="83" t="s">
        <v>47</v>
      </c>
      <c r="B173" s="77"/>
      <c r="C173" s="77"/>
      <c r="D173" s="77"/>
      <c r="E173" s="84"/>
      <c r="F173" s="78" t="s">
        <v>53</v>
      </c>
      <c r="G173" s="77"/>
      <c r="H173" s="56"/>
      <c r="I173" s="83" t="s">
        <v>47</v>
      </c>
      <c r="J173" s="77"/>
      <c r="K173" s="77"/>
      <c r="L173" s="77"/>
      <c r="M173" s="84"/>
      <c r="N173" s="78" t="s">
        <v>54</v>
      </c>
      <c r="O173" s="77"/>
    </row>
    <row r="174" spans="1:16" ht="14.25" thickBot="1" x14ac:dyDescent="0.2">
      <c r="A174" s="13" t="s">
        <v>0</v>
      </c>
      <c r="B174" s="228" t="s">
        <v>49</v>
      </c>
      <c r="C174" s="229"/>
      <c r="D174" s="229"/>
      <c r="E174" s="229"/>
      <c r="F174" s="230"/>
      <c r="G174" s="231"/>
      <c r="H174" s="56"/>
      <c r="I174" s="13" t="s">
        <v>0</v>
      </c>
      <c r="J174" s="232" t="s">
        <v>49</v>
      </c>
      <c r="K174" s="233"/>
      <c r="L174" s="233"/>
      <c r="M174" s="233"/>
      <c r="N174" s="233"/>
      <c r="O174" s="234"/>
      <c r="P174" s="1"/>
    </row>
    <row r="175" spans="1:16" ht="14.25" thickBot="1" x14ac:dyDescent="0.2">
      <c r="A175" s="3" t="s">
        <v>1</v>
      </c>
      <c r="B175" s="2" t="s">
        <v>42</v>
      </c>
      <c r="C175" s="21" t="s">
        <v>43</v>
      </c>
      <c r="D175" s="21" t="s">
        <v>44</v>
      </c>
      <c r="E175" s="24" t="s">
        <v>45</v>
      </c>
      <c r="F175" s="33" t="s">
        <v>46</v>
      </c>
      <c r="G175" s="34" t="s">
        <v>2</v>
      </c>
      <c r="H175" s="58"/>
      <c r="I175" s="3" t="s">
        <v>1</v>
      </c>
      <c r="J175" s="2" t="s">
        <v>42</v>
      </c>
      <c r="K175" s="21" t="s">
        <v>43</v>
      </c>
      <c r="L175" s="21" t="s">
        <v>44</v>
      </c>
      <c r="M175" s="24" t="s">
        <v>45</v>
      </c>
      <c r="N175" s="33" t="s">
        <v>46</v>
      </c>
      <c r="O175" s="3" t="s">
        <v>2</v>
      </c>
      <c r="P175" s="1"/>
    </row>
    <row r="176" spans="1:16" ht="14.25" thickBot="1" x14ac:dyDescent="0.2">
      <c r="A176" s="106" t="s">
        <v>79</v>
      </c>
      <c r="B176" s="95">
        <f>B171</f>
        <v>15</v>
      </c>
      <c r="C176" s="97">
        <f t="shared" ref="C176:F176" si="59">C171</f>
        <v>19</v>
      </c>
      <c r="D176" s="55">
        <f t="shared" si="59"/>
        <v>14</v>
      </c>
      <c r="E176" s="98">
        <f t="shared" si="59"/>
        <v>13</v>
      </c>
      <c r="F176" s="98">
        <f t="shared" si="59"/>
        <v>18</v>
      </c>
      <c r="G176" s="52">
        <f t="shared" ref="G176:G185" si="60">SUM(B176:F176)</f>
        <v>79</v>
      </c>
      <c r="H176" s="58"/>
      <c r="I176" s="72" t="s">
        <v>79</v>
      </c>
      <c r="J176" s="73">
        <f>J171</f>
        <v>135</v>
      </c>
      <c r="K176" s="74">
        <f t="shared" ref="K176:N176" si="61">K171</f>
        <v>156</v>
      </c>
      <c r="L176" s="107">
        <f t="shared" si="61"/>
        <v>115</v>
      </c>
      <c r="M176" s="75">
        <f t="shared" si="61"/>
        <v>123</v>
      </c>
      <c r="N176" s="75">
        <f t="shared" si="61"/>
        <v>82</v>
      </c>
      <c r="O176" s="76">
        <f t="shared" ref="O176:O185" si="62">SUM(J176:N176)</f>
        <v>611</v>
      </c>
      <c r="P176" s="1"/>
    </row>
    <row r="177" spans="1:17" x14ac:dyDescent="0.15">
      <c r="A177" s="15" t="s">
        <v>17</v>
      </c>
      <c r="B177" s="17">
        <v>2</v>
      </c>
      <c r="C177" s="22"/>
      <c r="D177" s="22"/>
      <c r="E177" s="22"/>
      <c r="F177" s="29"/>
      <c r="G177" s="18">
        <f t="shared" si="60"/>
        <v>2</v>
      </c>
      <c r="H177" s="58">
        <v>42556</v>
      </c>
      <c r="I177" s="38" t="s">
        <v>14</v>
      </c>
      <c r="J177" s="37"/>
      <c r="K177" s="35"/>
      <c r="L177" s="35"/>
      <c r="M177" s="35"/>
      <c r="N177" s="28"/>
      <c r="O177" s="7">
        <f t="shared" si="62"/>
        <v>0</v>
      </c>
      <c r="P177" s="1"/>
    </row>
    <row r="178" spans="1:17" x14ac:dyDescent="0.15">
      <c r="A178" s="15" t="s">
        <v>19</v>
      </c>
      <c r="B178" s="8"/>
      <c r="C178" s="10">
        <v>2</v>
      </c>
      <c r="D178" s="10">
        <v>2</v>
      </c>
      <c r="E178" s="10">
        <v>1</v>
      </c>
      <c r="F178" s="28">
        <v>1</v>
      </c>
      <c r="G178" s="9">
        <f t="shared" si="60"/>
        <v>6</v>
      </c>
      <c r="H178" s="58">
        <v>42555</v>
      </c>
      <c r="I178" s="15" t="s">
        <v>3</v>
      </c>
      <c r="J178" s="8"/>
      <c r="K178" s="10"/>
      <c r="L178" s="10"/>
      <c r="M178" s="10"/>
      <c r="N178" s="28"/>
      <c r="O178" s="9">
        <f t="shared" si="62"/>
        <v>0</v>
      </c>
      <c r="P178" s="36"/>
    </row>
    <row r="179" spans="1:17" x14ac:dyDescent="0.15">
      <c r="A179" s="15" t="s">
        <v>111</v>
      </c>
      <c r="B179" s="8"/>
      <c r="C179" s="10">
        <v>2</v>
      </c>
      <c r="D179" s="10">
        <v>3</v>
      </c>
      <c r="E179" s="10"/>
      <c r="F179" s="28">
        <v>1</v>
      </c>
      <c r="G179" s="9">
        <f t="shared" si="60"/>
        <v>6</v>
      </c>
      <c r="H179" s="58">
        <v>42556</v>
      </c>
      <c r="I179" s="15" t="s">
        <v>4</v>
      </c>
      <c r="J179" s="8"/>
      <c r="K179" s="10"/>
      <c r="L179" s="10"/>
      <c r="M179" s="10"/>
      <c r="N179" s="28"/>
      <c r="O179" s="9">
        <f t="shared" si="62"/>
        <v>0</v>
      </c>
      <c r="P179" s="1"/>
    </row>
    <row r="180" spans="1:17" x14ac:dyDescent="0.15">
      <c r="A180" s="15" t="s">
        <v>5</v>
      </c>
      <c r="B180" s="8"/>
      <c r="C180" s="10">
        <v>10</v>
      </c>
      <c r="D180" s="10"/>
      <c r="E180" s="10">
        <v>20</v>
      </c>
      <c r="F180" s="28"/>
      <c r="G180" s="9">
        <f t="shared" si="60"/>
        <v>30</v>
      </c>
      <c r="H180" s="36">
        <v>42565</v>
      </c>
      <c r="I180" s="15" t="s">
        <v>5</v>
      </c>
      <c r="J180" s="8"/>
      <c r="K180" s="10"/>
      <c r="L180" s="10"/>
      <c r="M180" s="10"/>
      <c r="N180" s="28"/>
      <c r="O180" s="9">
        <f t="shared" si="62"/>
        <v>0</v>
      </c>
      <c r="P180" s="36"/>
    </row>
    <row r="181" spans="1:17" x14ac:dyDescent="0.15">
      <c r="A181" s="15" t="s">
        <v>213</v>
      </c>
      <c r="B181" s="8"/>
      <c r="C181" s="10"/>
      <c r="D181" s="10">
        <v>2</v>
      </c>
      <c r="E181" s="10"/>
      <c r="F181" s="28"/>
      <c r="G181" s="9">
        <f t="shared" si="60"/>
        <v>2</v>
      </c>
      <c r="H181" s="58">
        <v>42564</v>
      </c>
      <c r="I181" s="15" t="s">
        <v>6</v>
      </c>
      <c r="J181" s="8"/>
      <c r="K181" s="10"/>
      <c r="L181" s="10"/>
      <c r="M181" s="10"/>
      <c r="N181" s="28"/>
      <c r="O181" s="9">
        <f t="shared" si="62"/>
        <v>0</v>
      </c>
      <c r="P181" s="1"/>
    </row>
    <row r="182" spans="1:17" x14ac:dyDescent="0.15">
      <c r="A182" s="15" t="s">
        <v>84</v>
      </c>
      <c r="B182" s="11"/>
      <c r="C182" s="12"/>
      <c r="D182" s="12">
        <v>10</v>
      </c>
      <c r="E182" s="12"/>
      <c r="F182" s="31">
        <v>10</v>
      </c>
      <c r="G182" s="7">
        <f t="shared" si="60"/>
        <v>20</v>
      </c>
      <c r="H182" s="58">
        <v>42567</v>
      </c>
      <c r="I182" s="15" t="s">
        <v>84</v>
      </c>
      <c r="J182" s="11"/>
      <c r="K182" s="12"/>
      <c r="L182" s="12"/>
      <c r="M182" s="12"/>
      <c r="N182" s="31"/>
      <c r="O182" s="7">
        <f t="shared" si="62"/>
        <v>0</v>
      </c>
      <c r="P182" s="1"/>
    </row>
    <row r="183" spans="1:17" x14ac:dyDescent="0.15">
      <c r="A183" s="15" t="s">
        <v>17</v>
      </c>
      <c r="B183" s="8"/>
      <c r="C183" s="10"/>
      <c r="D183" s="10"/>
      <c r="E183" s="10">
        <v>1</v>
      </c>
      <c r="F183" s="30"/>
      <c r="G183" s="7">
        <f t="shared" si="60"/>
        <v>1</v>
      </c>
      <c r="H183" s="58">
        <v>42566</v>
      </c>
      <c r="I183" s="15" t="s">
        <v>85</v>
      </c>
      <c r="J183" s="8"/>
      <c r="K183" s="10"/>
      <c r="L183" s="10"/>
      <c r="M183" s="10"/>
      <c r="N183" s="30"/>
      <c r="O183" s="7">
        <f t="shared" si="62"/>
        <v>0</v>
      </c>
      <c r="P183" s="1"/>
    </row>
    <row r="184" spans="1:17" x14ac:dyDescent="0.15">
      <c r="A184" s="15" t="s">
        <v>19</v>
      </c>
      <c r="B184" s="8"/>
      <c r="C184" s="10"/>
      <c r="D184" s="10"/>
      <c r="E184" s="10">
        <v>1</v>
      </c>
      <c r="F184" s="30">
        <v>1</v>
      </c>
      <c r="G184" s="7">
        <f t="shared" si="60"/>
        <v>2</v>
      </c>
      <c r="H184" s="58">
        <v>42566</v>
      </c>
      <c r="I184" s="16" t="s">
        <v>88</v>
      </c>
      <c r="J184" s="8"/>
      <c r="K184" s="10"/>
      <c r="L184" s="10"/>
      <c r="M184" s="10"/>
      <c r="N184" s="30"/>
      <c r="O184" s="7">
        <f t="shared" si="62"/>
        <v>0</v>
      </c>
      <c r="P184" s="36"/>
    </row>
    <row r="185" spans="1:17" ht="14.25" thickBot="1" x14ac:dyDescent="0.2">
      <c r="A185" s="15" t="s">
        <v>111</v>
      </c>
      <c r="B185" s="11"/>
      <c r="C185" s="100"/>
      <c r="D185" s="100">
        <v>2</v>
      </c>
      <c r="E185" s="100">
        <v>1</v>
      </c>
      <c r="F185" s="101">
        <v>1</v>
      </c>
      <c r="G185" s="102">
        <f t="shared" si="60"/>
        <v>4</v>
      </c>
      <c r="H185" s="58">
        <v>42570</v>
      </c>
      <c r="I185" s="15" t="s">
        <v>87</v>
      </c>
      <c r="J185" s="11"/>
      <c r="K185" s="100"/>
      <c r="L185" s="100"/>
      <c r="M185" s="100"/>
      <c r="N185" s="101"/>
      <c r="O185" s="102">
        <f t="shared" si="62"/>
        <v>0</v>
      </c>
      <c r="P185" s="1"/>
    </row>
    <row r="186" spans="1:17" ht="14.25" thickBot="1" x14ac:dyDescent="0.2">
      <c r="A186" s="72" t="s">
        <v>7</v>
      </c>
      <c r="B186" s="73">
        <f>SUM(B176:B185)</f>
        <v>17</v>
      </c>
      <c r="C186" s="74">
        <f t="shared" ref="C186:G186" si="63">SUM(C176:C185)</f>
        <v>33</v>
      </c>
      <c r="D186" s="74">
        <f t="shared" si="63"/>
        <v>33</v>
      </c>
      <c r="E186" s="74">
        <f t="shared" si="63"/>
        <v>37</v>
      </c>
      <c r="F186" s="105">
        <f t="shared" si="63"/>
        <v>32</v>
      </c>
      <c r="G186" s="105">
        <f t="shared" si="63"/>
        <v>152</v>
      </c>
      <c r="H186" s="58"/>
      <c r="I186" s="72" t="s">
        <v>7</v>
      </c>
      <c r="J186" s="73">
        <f>SUM(J176:J185)</f>
        <v>135</v>
      </c>
      <c r="K186" s="74">
        <f t="shared" ref="K186:O186" si="64">SUM(K176:K185)</f>
        <v>156</v>
      </c>
      <c r="L186" s="74">
        <f t="shared" si="64"/>
        <v>115</v>
      </c>
      <c r="M186" s="74">
        <f t="shared" si="64"/>
        <v>123</v>
      </c>
      <c r="N186" s="105">
        <f t="shared" si="64"/>
        <v>82</v>
      </c>
      <c r="O186" s="105">
        <f t="shared" si="64"/>
        <v>611</v>
      </c>
      <c r="P186" s="1"/>
    </row>
    <row r="187" spans="1:17" x14ac:dyDescent="0.15">
      <c r="A187" s="16" t="s">
        <v>110</v>
      </c>
      <c r="B187" s="37">
        <v>3</v>
      </c>
      <c r="C187" s="35"/>
      <c r="D187" s="35"/>
      <c r="E187" s="35"/>
      <c r="F187" s="28"/>
      <c r="G187" s="18">
        <f t="shared" ref="G187:G212" si="65">SUM(B187:F187)</f>
        <v>3</v>
      </c>
      <c r="H187" s="58">
        <v>42559</v>
      </c>
      <c r="I187" s="16" t="s">
        <v>210</v>
      </c>
      <c r="J187" s="17"/>
      <c r="K187" s="22">
        <v>10</v>
      </c>
      <c r="L187" s="22"/>
      <c r="M187" s="22">
        <v>20</v>
      </c>
      <c r="N187" s="29"/>
      <c r="O187" s="18">
        <f t="shared" ref="O187:O212" si="66">SUM(J187:N187)</f>
        <v>30</v>
      </c>
      <c r="P187" s="36">
        <v>42565</v>
      </c>
    </row>
    <row r="188" spans="1:17" x14ac:dyDescent="0.15">
      <c r="A188" s="16" t="s">
        <v>193</v>
      </c>
      <c r="B188" s="8"/>
      <c r="C188" s="10">
        <v>1</v>
      </c>
      <c r="D188" s="10"/>
      <c r="E188" s="10"/>
      <c r="F188" s="30"/>
      <c r="G188" s="7">
        <f t="shared" si="65"/>
        <v>1</v>
      </c>
      <c r="H188" s="58">
        <v>42558</v>
      </c>
      <c r="I188" s="16" t="s">
        <v>217</v>
      </c>
      <c r="J188" s="8"/>
      <c r="K188" s="10"/>
      <c r="L188" s="10">
        <v>10</v>
      </c>
      <c r="M188" s="10"/>
      <c r="N188" s="28">
        <v>10</v>
      </c>
      <c r="O188" s="9">
        <f t="shared" si="66"/>
        <v>20</v>
      </c>
      <c r="P188" s="36">
        <v>42567</v>
      </c>
    </row>
    <row r="189" spans="1:17" x14ac:dyDescent="0.15">
      <c r="A189" s="50" t="s">
        <v>195</v>
      </c>
      <c r="B189" s="8"/>
      <c r="C189" s="10">
        <v>1</v>
      </c>
      <c r="D189" s="10"/>
      <c r="E189" s="10">
        <v>3</v>
      </c>
      <c r="F189" s="30"/>
      <c r="G189" s="7">
        <f t="shared" si="65"/>
        <v>4</v>
      </c>
      <c r="H189" s="58">
        <v>42559</v>
      </c>
      <c r="I189" s="16" t="s">
        <v>37</v>
      </c>
      <c r="J189" s="8">
        <v>20</v>
      </c>
      <c r="K189" s="10">
        <v>10</v>
      </c>
      <c r="L189" s="10">
        <v>10</v>
      </c>
      <c r="M189" s="10">
        <v>10</v>
      </c>
      <c r="N189" s="30"/>
      <c r="O189" s="7">
        <f t="shared" si="66"/>
        <v>50</v>
      </c>
      <c r="P189" s="36">
        <v>42572</v>
      </c>
      <c r="Q189" s="56"/>
    </row>
    <row r="190" spans="1:17" x14ac:dyDescent="0.15">
      <c r="A190" s="14" t="s">
        <v>201</v>
      </c>
      <c r="B190" s="8"/>
      <c r="C190" s="10"/>
      <c r="D190" s="10">
        <v>1</v>
      </c>
      <c r="E190" s="10"/>
      <c r="F190" s="30">
        <v>1</v>
      </c>
      <c r="G190" s="7">
        <f t="shared" si="65"/>
        <v>2</v>
      </c>
      <c r="H190" s="58">
        <v>42559</v>
      </c>
      <c r="I190" s="94"/>
      <c r="J190" s="8"/>
      <c r="K190" s="10"/>
      <c r="L190" s="10"/>
      <c r="M190" s="10"/>
      <c r="N190" s="30"/>
      <c r="O190" s="7">
        <f t="shared" si="66"/>
        <v>0</v>
      </c>
      <c r="P190" s="36"/>
    </row>
    <row r="191" spans="1:17" x14ac:dyDescent="0.15">
      <c r="A191" s="50" t="s">
        <v>203</v>
      </c>
      <c r="B191" s="8"/>
      <c r="C191" s="10">
        <v>1</v>
      </c>
      <c r="D191" s="10"/>
      <c r="E191" s="10">
        <v>1</v>
      </c>
      <c r="F191" s="30"/>
      <c r="G191" s="7">
        <f t="shared" si="65"/>
        <v>2</v>
      </c>
      <c r="H191" s="58">
        <v>42560</v>
      </c>
      <c r="I191" s="16"/>
      <c r="J191" s="8"/>
      <c r="K191" s="10"/>
      <c r="L191" s="10"/>
      <c r="M191" s="10"/>
      <c r="N191" s="30"/>
      <c r="O191" s="7">
        <f t="shared" si="66"/>
        <v>0</v>
      </c>
      <c r="P191" s="1"/>
    </row>
    <row r="192" spans="1:17" x14ac:dyDescent="0.15">
      <c r="A192" s="14" t="s">
        <v>126</v>
      </c>
      <c r="B192" s="8"/>
      <c r="C192" s="10"/>
      <c r="D192" s="10"/>
      <c r="E192" s="10">
        <v>5</v>
      </c>
      <c r="F192" s="30"/>
      <c r="G192" s="7">
        <f t="shared" si="65"/>
        <v>5</v>
      </c>
      <c r="H192" s="58">
        <v>42565</v>
      </c>
      <c r="I192" s="16"/>
      <c r="J192" s="8"/>
      <c r="K192" s="10"/>
      <c r="L192" s="10"/>
      <c r="M192" s="10"/>
      <c r="N192" s="30"/>
      <c r="O192" s="7">
        <f t="shared" si="66"/>
        <v>0</v>
      </c>
      <c r="P192" s="1"/>
    </row>
    <row r="193" spans="1:17" x14ac:dyDescent="0.15">
      <c r="A193" s="50" t="s">
        <v>206</v>
      </c>
      <c r="B193" s="8">
        <v>1</v>
      </c>
      <c r="C193" s="10"/>
      <c r="D193" s="10">
        <v>1</v>
      </c>
      <c r="E193" s="10">
        <v>2</v>
      </c>
      <c r="F193" s="30"/>
      <c r="G193" s="7">
        <f t="shared" si="65"/>
        <v>4</v>
      </c>
      <c r="H193" s="58">
        <v>42563</v>
      </c>
      <c r="I193" s="16"/>
      <c r="J193" s="8"/>
      <c r="K193" s="10"/>
      <c r="L193" s="10"/>
      <c r="M193" s="10"/>
      <c r="N193" s="30"/>
      <c r="O193" s="7">
        <f t="shared" si="66"/>
        <v>0</v>
      </c>
      <c r="P193" s="1"/>
    </row>
    <row r="194" spans="1:17" x14ac:dyDescent="0.15">
      <c r="A194" s="50" t="s">
        <v>208</v>
      </c>
      <c r="B194" s="8"/>
      <c r="C194" s="10">
        <v>1</v>
      </c>
      <c r="D194" s="10">
        <v>4</v>
      </c>
      <c r="E194" s="10"/>
      <c r="F194" s="30"/>
      <c r="G194" s="7">
        <f t="shared" si="65"/>
        <v>5</v>
      </c>
      <c r="H194" s="58">
        <v>42565</v>
      </c>
      <c r="I194" s="16"/>
      <c r="J194" s="8"/>
      <c r="K194" s="10"/>
      <c r="L194" s="10"/>
      <c r="M194" s="10"/>
      <c r="N194" s="30"/>
      <c r="O194" s="7">
        <f t="shared" si="66"/>
        <v>0</v>
      </c>
      <c r="P194" s="1"/>
    </row>
    <row r="195" spans="1:17" x14ac:dyDescent="0.15">
      <c r="A195" s="39" t="s">
        <v>222</v>
      </c>
      <c r="B195" s="8"/>
      <c r="C195" s="10">
        <v>10</v>
      </c>
      <c r="D195" s="10"/>
      <c r="E195" s="10">
        <v>10</v>
      </c>
      <c r="F195" s="30">
        <v>10</v>
      </c>
      <c r="G195" s="7">
        <f t="shared" si="65"/>
        <v>30</v>
      </c>
      <c r="H195" s="58">
        <v>42570</v>
      </c>
      <c r="I195" s="39"/>
      <c r="J195" s="8"/>
      <c r="K195" s="10"/>
      <c r="L195" s="10"/>
      <c r="M195" s="10"/>
      <c r="N195" s="30"/>
      <c r="O195" s="7">
        <f t="shared" si="66"/>
        <v>0</v>
      </c>
      <c r="P195" s="1"/>
    </row>
    <row r="196" spans="1:17" x14ac:dyDescent="0.15">
      <c r="A196" s="14" t="s">
        <v>25</v>
      </c>
      <c r="B196" s="11"/>
      <c r="C196" s="12">
        <v>1</v>
      </c>
      <c r="D196" s="12">
        <v>3</v>
      </c>
      <c r="E196" s="12">
        <v>1</v>
      </c>
      <c r="F196" s="31">
        <v>2</v>
      </c>
      <c r="G196" s="7">
        <f t="shared" si="65"/>
        <v>7</v>
      </c>
      <c r="H196" s="58">
        <v>42566</v>
      </c>
      <c r="I196" s="16"/>
      <c r="J196" s="11"/>
      <c r="K196" s="12"/>
      <c r="L196" s="12"/>
      <c r="M196" s="12"/>
      <c r="N196" s="31"/>
      <c r="O196" s="7">
        <f t="shared" si="66"/>
        <v>0</v>
      </c>
      <c r="P196" s="1"/>
    </row>
    <row r="197" spans="1:17" x14ac:dyDescent="0.15">
      <c r="A197" s="16" t="s">
        <v>215</v>
      </c>
      <c r="B197" s="8">
        <v>1</v>
      </c>
      <c r="C197" s="10">
        <v>1</v>
      </c>
      <c r="D197" s="10">
        <v>1</v>
      </c>
      <c r="E197" s="10">
        <v>1</v>
      </c>
      <c r="F197" s="30">
        <v>1</v>
      </c>
      <c r="G197" s="7">
        <f t="shared" si="65"/>
        <v>5</v>
      </c>
      <c r="H197" s="58">
        <v>42566</v>
      </c>
      <c r="I197" s="16"/>
      <c r="J197" s="8"/>
      <c r="K197" s="10"/>
      <c r="L197" s="10"/>
      <c r="M197" s="10"/>
      <c r="N197" s="30"/>
      <c r="O197" s="7">
        <f t="shared" si="66"/>
        <v>0</v>
      </c>
      <c r="P197" s="1"/>
    </row>
    <row r="198" spans="1:17" x14ac:dyDescent="0.15">
      <c r="A198" s="16" t="s">
        <v>218</v>
      </c>
      <c r="B198" s="8"/>
      <c r="C198" s="10">
        <v>3</v>
      </c>
      <c r="D198" s="10"/>
      <c r="E198" s="10"/>
      <c r="F198" s="30"/>
      <c r="G198" s="7">
        <f t="shared" si="65"/>
        <v>3</v>
      </c>
      <c r="H198" s="58">
        <v>42573</v>
      </c>
      <c r="I198" s="14"/>
      <c r="J198" s="8"/>
      <c r="K198" s="10"/>
      <c r="L198" s="10"/>
      <c r="M198" s="10"/>
      <c r="N198" s="30"/>
      <c r="O198" s="7">
        <f t="shared" si="66"/>
        <v>0</v>
      </c>
      <c r="P198" s="1"/>
      <c r="Q198" s="56"/>
    </row>
    <row r="199" spans="1:17" x14ac:dyDescent="0.15">
      <c r="A199" s="14" t="s">
        <v>25</v>
      </c>
      <c r="B199" s="8"/>
      <c r="C199" s="10"/>
      <c r="D199" s="10"/>
      <c r="E199" s="10">
        <v>1</v>
      </c>
      <c r="F199" s="30">
        <v>1</v>
      </c>
      <c r="G199" s="7">
        <f t="shared" si="65"/>
        <v>2</v>
      </c>
      <c r="H199" s="58">
        <v>42571</v>
      </c>
      <c r="I199" s="16"/>
      <c r="J199" s="8"/>
      <c r="K199" s="10"/>
      <c r="L199" s="10"/>
      <c r="M199" s="10"/>
      <c r="N199" s="30"/>
      <c r="O199" s="7">
        <f t="shared" si="66"/>
        <v>0</v>
      </c>
      <c r="P199" s="1"/>
    </row>
    <row r="200" spans="1:17" x14ac:dyDescent="0.15">
      <c r="A200" s="16" t="s">
        <v>219</v>
      </c>
      <c r="B200" s="8"/>
      <c r="C200" s="10">
        <v>3</v>
      </c>
      <c r="D200" s="10"/>
      <c r="E200" s="10"/>
      <c r="F200" s="30"/>
      <c r="G200" s="7">
        <f t="shared" si="65"/>
        <v>3</v>
      </c>
      <c r="H200" s="58">
        <v>42577</v>
      </c>
      <c r="I200" s="64"/>
      <c r="J200" s="8"/>
      <c r="K200" s="10"/>
      <c r="L200" s="10"/>
      <c r="M200" s="10"/>
      <c r="N200" s="30"/>
      <c r="O200" s="7">
        <f t="shared" si="66"/>
        <v>0</v>
      </c>
      <c r="P200" s="1"/>
    </row>
    <row r="201" spans="1:17" x14ac:dyDescent="0.15">
      <c r="A201" s="16" t="s">
        <v>228</v>
      </c>
      <c r="B201" s="8"/>
      <c r="C201" s="10"/>
      <c r="D201" s="10"/>
      <c r="E201" s="10">
        <v>5</v>
      </c>
      <c r="F201" s="30"/>
      <c r="G201" s="7">
        <f t="shared" si="65"/>
        <v>5</v>
      </c>
      <c r="H201" s="58">
        <v>42573</v>
      </c>
      <c r="I201" s="16"/>
      <c r="J201" s="8"/>
      <c r="K201" s="10"/>
      <c r="L201" s="10"/>
      <c r="M201" s="10"/>
      <c r="N201" s="30"/>
      <c r="O201" s="7">
        <f t="shared" si="66"/>
        <v>0</v>
      </c>
      <c r="P201" s="1"/>
    </row>
    <row r="202" spans="1:17" x14ac:dyDescent="0.15">
      <c r="A202" s="39" t="s">
        <v>223</v>
      </c>
      <c r="B202" s="8">
        <v>10</v>
      </c>
      <c r="C202" s="10"/>
      <c r="D202" s="10">
        <v>10</v>
      </c>
      <c r="E202" s="10"/>
      <c r="F202" s="30"/>
      <c r="G202" s="7">
        <f t="shared" si="65"/>
        <v>20</v>
      </c>
      <c r="H202" s="58">
        <v>42576</v>
      </c>
      <c r="I202" s="16"/>
      <c r="J202" s="8"/>
      <c r="K202" s="10"/>
      <c r="L202" s="10"/>
      <c r="M202" s="10"/>
      <c r="N202" s="30"/>
      <c r="O202" s="7">
        <f t="shared" si="66"/>
        <v>0</v>
      </c>
      <c r="P202" s="36"/>
    </row>
    <row r="203" spans="1:17" x14ac:dyDescent="0.15">
      <c r="A203" s="14"/>
      <c r="B203" s="8"/>
      <c r="C203" s="10"/>
      <c r="D203" s="10"/>
      <c r="E203" s="10"/>
      <c r="F203" s="30"/>
      <c r="G203" s="7">
        <f t="shared" si="65"/>
        <v>0</v>
      </c>
      <c r="H203" s="58"/>
      <c r="I203" s="14"/>
      <c r="J203" s="8"/>
      <c r="K203" s="10"/>
      <c r="L203" s="10"/>
      <c r="M203" s="10"/>
      <c r="N203" s="30"/>
      <c r="O203" s="7">
        <f t="shared" si="66"/>
        <v>0</v>
      </c>
      <c r="P203" s="1"/>
    </row>
    <row r="204" spans="1:17" x14ac:dyDescent="0.15">
      <c r="A204" s="16"/>
      <c r="B204" s="8"/>
      <c r="C204" s="10"/>
      <c r="D204" s="10"/>
      <c r="E204" s="10"/>
      <c r="F204" s="30"/>
      <c r="G204" s="7">
        <f t="shared" si="65"/>
        <v>0</v>
      </c>
      <c r="H204" s="58"/>
      <c r="I204" s="16"/>
      <c r="J204" s="8"/>
      <c r="K204" s="10"/>
      <c r="L204" s="10"/>
      <c r="M204" s="10"/>
      <c r="N204" s="30"/>
      <c r="O204" s="7">
        <f t="shared" si="66"/>
        <v>0</v>
      </c>
      <c r="P204" s="1"/>
    </row>
    <row r="205" spans="1:17" x14ac:dyDescent="0.15">
      <c r="A205" s="16"/>
      <c r="B205" s="8"/>
      <c r="C205" s="10"/>
      <c r="D205" s="10"/>
      <c r="E205" s="10"/>
      <c r="F205" s="30"/>
      <c r="G205" s="7">
        <f t="shared" si="65"/>
        <v>0</v>
      </c>
      <c r="H205" s="58"/>
      <c r="I205" s="16"/>
      <c r="J205" s="8"/>
      <c r="K205" s="10"/>
      <c r="L205" s="10"/>
      <c r="M205" s="10"/>
      <c r="N205" s="30"/>
      <c r="O205" s="7">
        <f t="shared" si="66"/>
        <v>0</v>
      </c>
      <c r="P205" s="36"/>
    </row>
    <row r="206" spans="1:17" x14ac:dyDescent="0.15">
      <c r="A206" s="16"/>
      <c r="B206" s="8"/>
      <c r="C206" s="10"/>
      <c r="D206" s="10"/>
      <c r="E206" s="10"/>
      <c r="F206" s="30"/>
      <c r="G206" s="7">
        <f t="shared" si="65"/>
        <v>0</v>
      </c>
      <c r="H206" s="58"/>
      <c r="I206" s="16"/>
      <c r="J206" s="8"/>
      <c r="K206" s="10"/>
      <c r="L206" s="10"/>
      <c r="M206" s="10"/>
      <c r="N206" s="30"/>
      <c r="O206" s="7">
        <f t="shared" si="66"/>
        <v>0</v>
      </c>
      <c r="P206" s="36"/>
    </row>
    <row r="207" spans="1:17" x14ac:dyDescent="0.15">
      <c r="A207" s="14"/>
      <c r="B207" s="8"/>
      <c r="C207" s="10"/>
      <c r="D207" s="10"/>
      <c r="E207" s="10"/>
      <c r="F207" s="30"/>
      <c r="G207" s="7">
        <f t="shared" si="65"/>
        <v>0</v>
      </c>
      <c r="H207" s="58"/>
      <c r="I207" s="14"/>
      <c r="J207" s="8"/>
      <c r="K207" s="10"/>
      <c r="L207" s="10"/>
      <c r="M207" s="10"/>
      <c r="N207" s="30"/>
      <c r="O207" s="7">
        <f t="shared" si="66"/>
        <v>0</v>
      </c>
      <c r="P207" s="1"/>
    </row>
    <row r="208" spans="1:17" x14ac:dyDescent="0.15">
      <c r="A208" s="16"/>
      <c r="B208" s="11"/>
      <c r="C208" s="12"/>
      <c r="D208" s="12"/>
      <c r="E208" s="12"/>
      <c r="F208" s="31"/>
      <c r="G208" s="7">
        <f t="shared" si="65"/>
        <v>0</v>
      </c>
      <c r="H208" s="58"/>
      <c r="I208" s="16"/>
      <c r="J208" s="8"/>
      <c r="K208" s="10"/>
      <c r="L208" s="10"/>
      <c r="M208" s="10"/>
      <c r="N208" s="30"/>
      <c r="O208" s="7">
        <f t="shared" si="66"/>
        <v>0</v>
      </c>
      <c r="P208" s="36"/>
    </row>
    <row r="209" spans="1:16" x14ac:dyDescent="0.15">
      <c r="A209" s="14"/>
      <c r="B209" s="8"/>
      <c r="C209" s="10"/>
      <c r="D209" s="10"/>
      <c r="E209" s="10"/>
      <c r="F209" s="30"/>
      <c r="G209" s="7">
        <f t="shared" si="65"/>
        <v>0</v>
      </c>
      <c r="H209" s="58"/>
      <c r="I209" s="14"/>
      <c r="J209" s="8"/>
      <c r="K209" s="10"/>
      <c r="L209" s="10"/>
      <c r="M209" s="10"/>
      <c r="N209" s="30"/>
      <c r="O209" s="7">
        <f t="shared" si="66"/>
        <v>0</v>
      </c>
      <c r="P209" s="1"/>
    </row>
    <row r="210" spans="1:16" x14ac:dyDescent="0.15">
      <c r="A210" s="16"/>
      <c r="B210" s="8"/>
      <c r="C210" s="10"/>
      <c r="D210" s="10"/>
      <c r="E210" s="10"/>
      <c r="F210" s="30"/>
      <c r="G210" s="7">
        <f t="shared" si="65"/>
        <v>0</v>
      </c>
      <c r="H210" s="58"/>
      <c r="I210" s="16"/>
      <c r="J210" s="11"/>
      <c r="K210" s="12"/>
      <c r="L210" s="12"/>
      <c r="M210" s="12"/>
      <c r="N210" s="31"/>
      <c r="O210" s="7">
        <f t="shared" si="66"/>
        <v>0</v>
      </c>
      <c r="P210" s="1"/>
    </row>
    <row r="211" spans="1:16" x14ac:dyDescent="0.15">
      <c r="A211" s="14"/>
      <c r="B211" s="8"/>
      <c r="C211" s="10"/>
      <c r="D211" s="10"/>
      <c r="E211" s="10"/>
      <c r="F211" s="30"/>
      <c r="G211" s="7">
        <f t="shared" si="65"/>
        <v>0</v>
      </c>
      <c r="H211" s="58"/>
      <c r="I211" s="14"/>
      <c r="J211" s="8"/>
      <c r="K211" s="10"/>
      <c r="L211" s="10"/>
      <c r="M211" s="10"/>
      <c r="N211" s="30"/>
      <c r="O211" s="7">
        <f t="shared" si="66"/>
        <v>0</v>
      </c>
      <c r="P211" s="1"/>
    </row>
    <row r="212" spans="1:16" ht="14.25" thickBot="1" x14ac:dyDescent="0.2">
      <c r="A212" s="20"/>
      <c r="B212" s="11"/>
      <c r="C212" s="12"/>
      <c r="D212" s="12"/>
      <c r="E212" s="12"/>
      <c r="F212" s="31"/>
      <c r="G212" s="7">
        <f t="shared" si="65"/>
        <v>0</v>
      </c>
      <c r="H212" s="56"/>
      <c r="I212" s="20"/>
      <c r="J212" s="11"/>
      <c r="K212" s="12"/>
      <c r="L212" s="12"/>
      <c r="M212" s="12"/>
      <c r="N212" s="31"/>
      <c r="O212" s="7">
        <f t="shared" si="66"/>
        <v>0</v>
      </c>
      <c r="P212" s="36"/>
    </row>
    <row r="213" spans="1:16" ht="14.25" thickBot="1" x14ac:dyDescent="0.2">
      <c r="A213" s="3" t="s">
        <v>11</v>
      </c>
      <c r="B213" s="23">
        <f>SUM(B187:B212)</f>
        <v>15</v>
      </c>
      <c r="C213" s="4">
        <f>SUM(C187:C212)</f>
        <v>22</v>
      </c>
      <c r="D213" s="4">
        <f>SUM(D187:D212)</f>
        <v>20</v>
      </c>
      <c r="E213" s="6">
        <f>SUM(E187:E212)</f>
        <v>29</v>
      </c>
      <c r="F213" s="32">
        <f>SUM(F187:F212)</f>
        <v>15</v>
      </c>
      <c r="G213" s="5">
        <f>SUM(B213:F213)</f>
        <v>101</v>
      </c>
      <c r="H213" s="56"/>
      <c r="I213" s="3" t="s">
        <v>11</v>
      </c>
      <c r="J213" s="23">
        <f>SUM(J187:J212)</f>
        <v>20</v>
      </c>
      <c r="K213" s="4">
        <f>SUM(K187:K212)</f>
        <v>20</v>
      </c>
      <c r="L213" s="4">
        <f>SUM(L187:L212)</f>
        <v>20</v>
      </c>
      <c r="M213" s="6">
        <f>SUM(M187:M212)</f>
        <v>30</v>
      </c>
      <c r="N213" s="32">
        <f>SUM(N187:N212)</f>
        <v>10</v>
      </c>
      <c r="O213" s="5">
        <f>SUM(J213:N213)</f>
        <v>100</v>
      </c>
    </row>
    <row r="214" spans="1:16" ht="14.25" thickBot="1" x14ac:dyDescent="0.2">
      <c r="A214" s="25" t="s">
        <v>12</v>
      </c>
      <c r="B214" s="63">
        <f>B186-B213</f>
        <v>2</v>
      </c>
      <c r="C214" s="26">
        <f t="shared" ref="C214:G214" si="67">C186-C213</f>
        <v>11</v>
      </c>
      <c r="D214" s="71">
        <f t="shared" si="67"/>
        <v>13</v>
      </c>
      <c r="E214" s="26">
        <f t="shared" si="67"/>
        <v>8</v>
      </c>
      <c r="F214" s="70">
        <f t="shared" si="67"/>
        <v>17</v>
      </c>
      <c r="G214" s="27">
        <f t="shared" si="67"/>
        <v>51</v>
      </c>
      <c r="H214" s="58"/>
      <c r="I214" s="25" t="s">
        <v>12</v>
      </c>
      <c r="J214" s="63">
        <f>J186-J213</f>
        <v>115</v>
      </c>
      <c r="K214" s="26">
        <f t="shared" ref="K214:O214" si="68">K186-K213</f>
        <v>136</v>
      </c>
      <c r="L214" s="71">
        <f t="shared" si="68"/>
        <v>95</v>
      </c>
      <c r="M214" s="26">
        <f t="shared" si="68"/>
        <v>93</v>
      </c>
      <c r="N214" s="70">
        <f t="shared" si="68"/>
        <v>72</v>
      </c>
      <c r="O214" s="27">
        <f t="shared" si="68"/>
        <v>511</v>
      </c>
    </row>
    <row r="215" spans="1:16" ht="21" x14ac:dyDescent="0.2">
      <c r="A215" s="83" t="s">
        <v>48</v>
      </c>
      <c r="B215" s="77"/>
      <c r="C215" s="77"/>
      <c r="D215" s="77"/>
      <c r="E215" s="77"/>
      <c r="F215" s="77"/>
      <c r="G215" s="77"/>
      <c r="H215" s="58"/>
      <c r="I215" s="83" t="s">
        <v>48</v>
      </c>
      <c r="J215" s="77"/>
      <c r="K215" s="77"/>
      <c r="L215" s="77"/>
      <c r="M215" s="77"/>
      <c r="N215" s="77"/>
      <c r="O215" s="77"/>
      <c r="P215" s="1"/>
    </row>
    <row r="216" spans="1:16" ht="21.75" thickBot="1" x14ac:dyDescent="0.25">
      <c r="A216" s="83" t="s">
        <v>47</v>
      </c>
      <c r="B216" s="77"/>
      <c r="C216" s="77"/>
      <c r="D216" s="77"/>
      <c r="E216" s="84"/>
      <c r="F216" s="78" t="s">
        <v>53</v>
      </c>
      <c r="G216" s="77"/>
      <c r="H216" s="58"/>
      <c r="I216" s="83" t="s">
        <v>47</v>
      </c>
      <c r="J216" s="77"/>
      <c r="K216" s="77"/>
      <c r="L216" s="77"/>
      <c r="M216" s="84"/>
      <c r="N216" s="78" t="s">
        <v>54</v>
      </c>
      <c r="O216" s="77"/>
    </row>
    <row r="217" spans="1:16" ht="14.25" thickBot="1" x14ac:dyDescent="0.2">
      <c r="A217" s="13" t="s">
        <v>0</v>
      </c>
      <c r="B217" s="228" t="s">
        <v>49</v>
      </c>
      <c r="C217" s="229"/>
      <c r="D217" s="229"/>
      <c r="E217" s="229"/>
      <c r="F217" s="230"/>
      <c r="G217" s="231"/>
      <c r="H217" s="58"/>
      <c r="I217" s="13" t="s">
        <v>0</v>
      </c>
      <c r="J217" s="232" t="s">
        <v>49</v>
      </c>
      <c r="K217" s="233"/>
      <c r="L217" s="233"/>
      <c r="M217" s="233"/>
      <c r="N217" s="233"/>
      <c r="O217" s="234"/>
      <c r="P217" s="1"/>
    </row>
    <row r="218" spans="1:16" ht="14.25" thickBot="1" x14ac:dyDescent="0.2">
      <c r="A218" s="3" t="s">
        <v>1</v>
      </c>
      <c r="B218" s="2" t="s">
        <v>42</v>
      </c>
      <c r="C218" s="21" t="s">
        <v>43</v>
      </c>
      <c r="D218" s="21" t="s">
        <v>44</v>
      </c>
      <c r="E218" s="24" t="s">
        <v>45</v>
      </c>
      <c r="F218" s="33" t="s">
        <v>46</v>
      </c>
      <c r="G218" s="34" t="s">
        <v>2</v>
      </c>
      <c r="H218" s="58"/>
      <c r="I218" s="3" t="s">
        <v>1</v>
      </c>
      <c r="J218" s="2" t="s">
        <v>42</v>
      </c>
      <c r="K218" s="21" t="s">
        <v>43</v>
      </c>
      <c r="L218" s="21" t="s">
        <v>44</v>
      </c>
      <c r="M218" s="24" t="s">
        <v>45</v>
      </c>
      <c r="N218" s="33" t="s">
        <v>46</v>
      </c>
      <c r="O218" s="3" t="s">
        <v>2</v>
      </c>
      <c r="P218" s="1"/>
    </row>
    <row r="219" spans="1:16" ht="14.25" thickBot="1" x14ac:dyDescent="0.2">
      <c r="A219" s="116" t="s">
        <v>79</v>
      </c>
      <c r="B219" s="95">
        <f>B214</f>
        <v>2</v>
      </c>
      <c r="C219" s="97">
        <f t="shared" ref="C219:F219" si="69">C214</f>
        <v>11</v>
      </c>
      <c r="D219" s="55">
        <f t="shared" si="69"/>
        <v>13</v>
      </c>
      <c r="E219" s="98">
        <f t="shared" si="69"/>
        <v>8</v>
      </c>
      <c r="F219" s="98">
        <f t="shared" si="69"/>
        <v>17</v>
      </c>
      <c r="G219" s="52">
        <f t="shared" ref="G219:G228" si="70">SUM(B219:F219)</f>
        <v>51</v>
      </c>
      <c r="H219" s="58"/>
      <c r="I219" s="72" t="s">
        <v>79</v>
      </c>
      <c r="J219" s="73">
        <f>J214</f>
        <v>115</v>
      </c>
      <c r="K219" s="74">
        <f t="shared" ref="K219:N219" si="71">K214</f>
        <v>136</v>
      </c>
      <c r="L219" s="107">
        <f t="shared" si="71"/>
        <v>95</v>
      </c>
      <c r="M219" s="75">
        <f t="shared" si="71"/>
        <v>93</v>
      </c>
      <c r="N219" s="75">
        <f t="shared" si="71"/>
        <v>72</v>
      </c>
      <c r="O219" s="76">
        <f t="shared" ref="O219:O228" si="72">SUM(J219:N219)</f>
        <v>511</v>
      </c>
      <c r="P219" s="1"/>
    </row>
    <row r="220" spans="1:16" x14ac:dyDescent="0.15">
      <c r="A220" s="38" t="s">
        <v>14</v>
      </c>
      <c r="B220" s="8">
        <v>20</v>
      </c>
      <c r="C220" s="10">
        <v>10</v>
      </c>
      <c r="D220" s="10">
        <v>10</v>
      </c>
      <c r="E220" s="10">
        <v>10</v>
      </c>
      <c r="F220" s="30"/>
      <c r="G220" s="7">
        <f t="shared" si="70"/>
        <v>50</v>
      </c>
      <c r="H220" s="36">
        <v>42572</v>
      </c>
      <c r="I220" s="38" t="s">
        <v>14</v>
      </c>
      <c r="J220" s="37"/>
      <c r="K220" s="35"/>
      <c r="L220" s="35"/>
      <c r="M220" s="35"/>
      <c r="N220" s="28"/>
      <c r="O220" s="7">
        <f t="shared" si="72"/>
        <v>0</v>
      </c>
      <c r="P220" s="1"/>
    </row>
    <row r="221" spans="1:16" x14ac:dyDescent="0.15">
      <c r="A221" s="15" t="s">
        <v>3</v>
      </c>
      <c r="B221" s="8"/>
      <c r="C221" s="10">
        <v>10</v>
      </c>
      <c r="D221" s="10">
        <v>10</v>
      </c>
      <c r="E221" s="10">
        <v>15</v>
      </c>
      <c r="F221" s="28">
        <v>10</v>
      </c>
      <c r="G221" s="9">
        <f t="shared" si="70"/>
        <v>45</v>
      </c>
      <c r="H221" s="58">
        <v>42578</v>
      </c>
      <c r="I221" s="15" t="s">
        <v>3</v>
      </c>
      <c r="J221" s="8"/>
      <c r="K221" s="10"/>
      <c r="L221" s="10"/>
      <c r="M221" s="10"/>
      <c r="N221" s="28"/>
      <c r="O221" s="9">
        <f t="shared" si="72"/>
        <v>0</v>
      </c>
      <c r="P221" s="36"/>
    </row>
    <row r="222" spans="1:16" x14ac:dyDescent="0.15">
      <c r="A222" s="15" t="s">
        <v>19</v>
      </c>
      <c r="B222" s="8"/>
      <c r="C222" s="10">
        <v>1</v>
      </c>
      <c r="D222" s="10">
        <v>1</v>
      </c>
      <c r="E222" s="10">
        <v>1</v>
      </c>
      <c r="F222" s="28">
        <v>2</v>
      </c>
      <c r="G222" s="9">
        <f t="shared" si="70"/>
        <v>5</v>
      </c>
      <c r="H222" s="58">
        <v>42579</v>
      </c>
      <c r="I222" s="15" t="s">
        <v>4</v>
      </c>
      <c r="J222" s="8"/>
      <c r="K222" s="10"/>
      <c r="L222" s="10"/>
      <c r="M222" s="10"/>
      <c r="N222" s="28"/>
      <c r="O222" s="9">
        <f t="shared" si="72"/>
        <v>0</v>
      </c>
      <c r="P222" s="1"/>
    </row>
    <row r="223" spans="1:16" x14ac:dyDescent="0.15">
      <c r="A223" s="15" t="s">
        <v>17</v>
      </c>
      <c r="B223" s="8"/>
      <c r="C223" s="10"/>
      <c r="D223" s="10"/>
      <c r="E223" s="10"/>
      <c r="F223" s="28">
        <v>1</v>
      </c>
      <c r="G223" s="9">
        <f t="shared" si="70"/>
        <v>1</v>
      </c>
      <c r="H223" s="58">
        <v>42579</v>
      </c>
      <c r="I223" s="15" t="s">
        <v>5</v>
      </c>
      <c r="J223" s="8"/>
      <c r="K223" s="10"/>
      <c r="L223" s="10"/>
      <c r="M223" s="10"/>
      <c r="N223" s="28"/>
      <c r="O223" s="9">
        <f t="shared" si="72"/>
        <v>0</v>
      </c>
      <c r="P223" s="36"/>
    </row>
    <row r="224" spans="1:16" x14ac:dyDescent="0.15">
      <c r="A224" s="15" t="s">
        <v>6</v>
      </c>
      <c r="B224" s="8"/>
      <c r="C224" s="10"/>
      <c r="D224" s="10"/>
      <c r="E224" s="10"/>
      <c r="F224" s="28">
        <v>10</v>
      </c>
      <c r="G224" s="9">
        <f t="shared" si="70"/>
        <v>10</v>
      </c>
      <c r="H224" s="58">
        <v>42585</v>
      </c>
      <c r="I224" s="15" t="s">
        <v>6</v>
      </c>
      <c r="J224" s="8"/>
      <c r="K224" s="10"/>
      <c r="L224" s="10"/>
      <c r="M224" s="10"/>
      <c r="N224" s="28"/>
      <c r="O224" s="9">
        <f t="shared" si="72"/>
        <v>0</v>
      </c>
      <c r="P224" s="1"/>
    </row>
    <row r="225" spans="1:17" x14ac:dyDescent="0.15">
      <c r="A225" s="16" t="s">
        <v>238</v>
      </c>
      <c r="B225" s="11">
        <v>1</v>
      </c>
      <c r="C225" s="12"/>
      <c r="D225" s="12"/>
      <c r="E225" s="12"/>
      <c r="F225" s="31"/>
      <c r="G225" s="7">
        <f t="shared" si="70"/>
        <v>1</v>
      </c>
      <c r="H225" s="58">
        <v>42583</v>
      </c>
      <c r="I225" s="15" t="s">
        <v>84</v>
      </c>
      <c r="J225" s="11"/>
      <c r="K225" s="12"/>
      <c r="L225" s="12"/>
      <c r="M225" s="12"/>
      <c r="N225" s="31"/>
      <c r="O225" s="7">
        <f t="shared" si="72"/>
        <v>0</v>
      </c>
      <c r="P225" s="1"/>
    </row>
    <row r="226" spans="1:17" x14ac:dyDescent="0.15">
      <c r="A226" s="15" t="s">
        <v>243</v>
      </c>
      <c r="B226" s="8"/>
      <c r="C226" s="10"/>
      <c r="D226" s="10">
        <v>1</v>
      </c>
      <c r="E226" s="10">
        <v>1</v>
      </c>
      <c r="F226" s="30"/>
      <c r="G226" s="7">
        <f t="shared" si="70"/>
        <v>2</v>
      </c>
      <c r="H226" s="58">
        <v>42585</v>
      </c>
      <c r="I226" s="15" t="s">
        <v>85</v>
      </c>
      <c r="J226" s="8"/>
      <c r="K226" s="10"/>
      <c r="L226" s="10"/>
      <c r="M226" s="10"/>
      <c r="N226" s="30"/>
      <c r="O226" s="7">
        <f t="shared" si="72"/>
        <v>0</v>
      </c>
      <c r="P226" s="1"/>
    </row>
    <row r="227" spans="1:17" x14ac:dyDescent="0.15">
      <c r="A227" s="15" t="s">
        <v>19</v>
      </c>
      <c r="B227" s="11">
        <v>2</v>
      </c>
      <c r="C227" s="100">
        <v>2</v>
      </c>
      <c r="D227" s="100"/>
      <c r="E227" s="100">
        <v>1</v>
      </c>
      <c r="F227" s="101">
        <v>2</v>
      </c>
      <c r="G227" s="102">
        <f t="shared" ref="G227" si="73">SUM(B227:F227)</f>
        <v>7</v>
      </c>
      <c r="H227" s="58">
        <v>42588</v>
      </c>
      <c r="I227" s="16" t="s">
        <v>88</v>
      </c>
      <c r="J227" s="8"/>
      <c r="K227" s="10"/>
      <c r="L227" s="10"/>
      <c r="M227" s="10"/>
      <c r="N227" s="30"/>
      <c r="O227" s="7">
        <f t="shared" si="72"/>
        <v>0</v>
      </c>
      <c r="P227" s="36"/>
    </row>
    <row r="228" spans="1:17" ht="14.25" thickBot="1" x14ac:dyDescent="0.2">
      <c r="A228" s="15" t="s">
        <v>27</v>
      </c>
      <c r="B228" s="11"/>
      <c r="C228" s="100"/>
      <c r="D228" s="100">
        <v>10</v>
      </c>
      <c r="E228" s="100"/>
      <c r="F228" s="101">
        <v>10</v>
      </c>
      <c r="G228" s="102">
        <f t="shared" si="70"/>
        <v>20</v>
      </c>
      <c r="H228" s="58">
        <v>42600</v>
      </c>
      <c r="I228" s="15" t="s">
        <v>87</v>
      </c>
      <c r="J228" s="11"/>
      <c r="K228" s="100"/>
      <c r="L228" s="100"/>
      <c r="M228" s="100"/>
      <c r="N228" s="101"/>
      <c r="O228" s="102">
        <f t="shared" si="72"/>
        <v>0</v>
      </c>
      <c r="P228" s="1"/>
    </row>
    <row r="229" spans="1:17" ht="14.25" thickBot="1" x14ac:dyDescent="0.2">
      <c r="A229" s="72" t="s">
        <v>7</v>
      </c>
      <c r="B229" s="73">
        <f>SUM(B219:B228)</f>
        <v>25</v>
      </c>
      <c r="C229" s="74">
        <f t="shared" ref="C229:G229" si="74">SUM(C219:C228)</f>
        <v>34</v>
      </c>
      <c r="D229" s="74">
        <f t="shared" si="74"/>
        <v>45</v>
      </c>
      <c r="E229" s="74">
        <f t="shared" si="74"/>
        <v>36</v>
      </c>
      <c r="F229" s="105">
        <f t="shared" si="74"/>
        <v>52</v>
      </c>
      <c r="G229" s="105">
        <f t="shared" si="74"/>
        <v>192</v>
      </c>
      <c r="H229" s="58"/>
      <c r="I229" s="72" t="s">
        <v>7</v>
      </c>
      <c r="J229" s="73">
        <f>SUM(J219:J228)</f>
        <v>115</v>
      </c>
      <c r="K229" s="74">
        <f t="shared" ref="K229:O229" si="75">SUM(K219:K228)</f>
        <v>136</v>
      </c>
      <c r="L229" s="74">
        <f t="shared" si="75"/>
        <v>95</v>
      </c>
      <c r="M229" s="74">
        <f t="shared" si="75"/>
        <v>93</v>
      </c>
      <c r="N229" s="105">
        <f t="shared" si="75"/>
        <v>72</v>
      </c>
      <c r="O229" s="105">
        <f t="shared" si="75"/>
        <v>511</v>
      </c>
      <c r="P229" s="1"/>
    </row>
    <row r="230" spans="1:17" x14ac:dyDescent="0.15">
      <c r="A230" s="16" t="s">
        <v>229</v>
      </c>
      <c r="B230" s="37"/>
      <c r="C230" s="35">
        <v>5</v>
      </c>
      <c r="D230" s="35"/>
      <c r="E230" s="35"/>
      <c r="F230" s="28"/>
      <c r="G230" s="18">
        <f t="shared" ref="G230:G255" si="76">SUM(B230:F230)</f>
        <v>5</v>
      </c>
      <c r="H230" s="58">
        <v>42576</v>
      </c>
      <c r="I230" s="16" t="s">
        <v>234</v>
      </c>
      <c r="J230" s="17"/>
      <c r="K230" s="22">
        <v>10</v>
      </c>
      <c r="L230" s="22">
        <v>10</v>
      </c>
      <c r="M230" s="22">
        <v>15</v>
      </c>
      <c r="N230" s="29">
        <v>10</v>
      </c>
      <c r="O230" s="18">
        <f t="shared" ref="O230:O255" si="77">SUM(J230:N230)</f>
        <v>45</v>
      </c>
      <c r="P230" s="36">
        <v>42578</v>
      </c>
    </row>
    <row r="231" spans="1:17" x14ac:dyDescent="0.15">
      <c r="A231" s="14" t="s">
        <v>25</v>
      </c>
      <c r="B231" s="8"/>
      <c r="C231" s="10"/>
      <c r="D231" s="10">
        <v>1</v>
      </c>
      <c r="E231" s="10">
        <v>2</v>
      </c>
      <c r="F231" s="30">
        <v>2</v>
      </c>
      <c r="G231" s="7">
        <f t="shared" si="76"/>
        <v>5</v>
      </c>
      <c r="H231" s="58">
        <v>42577</v>
      </c>
      <c r="I231" s="16" t="s">
        <v>37</v>
      </c>
      <c r="J231" s="8"/>
      <c r="K231" s="10"/>
      <c r="L231" s="10"/>
      <c r="M231" s="10"/>
      <c r="N231" s="28">
        <v>10</v>
      </c>
      <c r="O231" s="9">
        <f t="shared" si="77"/>
        <v>10</v>
      </c>
      <c r="P231" s="36">
        <v>42585</v>
      </c>
    </row>
    <row r="232" spans="1:17" x14ac:dyDescent="0.15">
      <c r="A232" s="39" t="s">
        <v>22</v>
      </c>
      <c r="B232" s="8"/>
      <c r="C232" s="10">
        <v>10</v>
      </c>
      <c r="D232" s="10">
        <v>10</v>
      </c>
      <c r="E232" s="10">
        <v>20</v>
      </c>
      <c r="F232" s="30">
        <v>10</v>
      </c>
      <c r="G232" s="7">
        <f t="shared" si="76"/>
        <v>50</v>
      </c>
      <c r="H232" s="58">
        <v>42583</v>
      </c>
      <c r="I232" s="16" t="s">
        <v>37</v>
      </c>
      <c r="J232" s="8"/>
      <c r="K232" s="10"/>
      <c r="L232" s="10">
        <v>10</v>
      </c>
      <c r="M232" s="10"/>
      <c r="N232" s="30">
        <v>10</v>
      </c>
      <c r="O232" s="7">
        <f t="shared" si="77"/>
        <v>20</v>
      </c>
      <c r="P232" s="36">
        <v>42600</v>
      </c>
      <c r="Q232" s="56"/>
    </row>
    <row r="233" spans="1:17" x14ac:dyDescent="0.15">
      <c r="A233" s="14" t="s">
        <v>25</v>
      </c>
      <c r="B233" s="8">
        <v>1</v>
      </c>
      <c r="C233" s="10">
        <v>2</v>
      </c>
      <c r="D233" s="10"/>
      <c r="E233" s="10"/>
      <c r="F233" s="30">
        <v>1</v>
      </c>
      <c r="G233" s="7">
        <f t="shared" si="76"/>
        <v>4</v>
      </c>
      <c r="H233" s="58">
        <v>42581</v>
      </c>
      <c r="I233" s="94"/>
      <c r="J233" s="8"/>
      <c r="K233" s="10"/>
      <c r="L233" s="10"/>
      <c r="M233" s="10"/>
      <c r="N233" s="30"/>
      <c r="O233" s="7">
        <f t="shared" si="77"/>
        <v>0</v>
      </c>
      <c r="P233" s="36"/>
    </row>
    <row r="234" spans="1:17" x14ac:dyDescent="0.15">
      <c r="A234" s="16" t="s">
        <v>215</v>
      </c>
      <c r="B234" s="8"/>
      <c r="C234" s="10"/>
      <c r="D234" s="10">
        <v>5</v>
      </c>
      <c r="E234" s="10"/>
      <c r="F234" s="30"/>
      <c r="G234" s="7">
        <f t="shared" si="76"/>
        <v>5</v>
      </c>
      <c r="H234" s="58">
        <v>42583</v>
      </c>
      <c r="I234" s="16"/>
      <c r="J234" s="8"/>
      <c r="K234" s="10"/>
      <c r="L234" s="10"/>
      <c r="M234" s="10"/>
      <c r="N234" s="30"/>
      <c r="O234" s="7">
        <f t="shared" si="77"/>
        <v>0</v>
      </c>
      <c r="P234" s="1"/>
    </row>
    <row r="235" spans="1:17" x14ac:dyDescent="0.15">
      <c r="A235" s="16" t="s">
        <v>239</v>
      </c>
      <c r="B235" s="8"/>
      <c r="C235" s="10"/>
      <c r="D235" s="10"/>
      <c r="E235" s="10"/>
      <c r="F235" s="30">
        <v>5</v>
      </c>
      <c r="G235" s="7">
        <f t="shared" ref="G235" si="78">SUM(B235:F235)</f>
        <v>5</v>
      </c>
      <c r="H235" s="58">
        <v>42586</v>
      </c>
      <c r="I235" s="16"/>
      <c r="J235" s="8"/>
      <c r="K235" s="10"/>
      <c r="L235" s="10"/>
      <c r="M235" s="10"/>
      <c r="N235" s="30"/>
      <c r="O235" s="7">
        <f t="shared" si="77"/>
        <v>0</v>
      </c>
      <c r="P235" s="1"/>
    </row>
    <row r="236" spans="1:17" x14ac:dyDescent="0.15">
      <c r="A236" s="50" t="s">
        <v>240</v>
      </c>
      <c r="B236" s="8"/>
      <c r="C236" s="10"/>
      <c r="D236" s="10"/>
      <c r="E236" s="10"/>
      <c r="F236" s="30">
        <v>10</v>
      </c>
      <c r="G236" s="7">
        <f t="shared" si="76"/>
        <v>10</v>
      </c>
      <c r="H236" s="58">
        <v>42590</v>
      </c>
      <c r="I236" s="16"/>
      <c r="J236" s="8"/>
      <c r="K236" s="10"/>
      <c r="L236" s="10"/>
      <c r="M236" s="10"/>
      <c r="N236" s="30"/>
      <c r="O236" s="7">
        <f t="shared" si="77"/>
        <v>0</v>
      </c>
      <c r="P236" s="1"/>
    </row>
    <row r="237" spans="1:17" x14ac:dyDescent="0.15">
      <c r="A237" s="50" t="s">
        <v>117</v>
      </c>
      <c r="B237" s="8"/>
      <c r="C237" s="10"/>
      <c r="D237" s="10"/>
      <c r="E237" s="10"/>
      <c r="F237" s="30">
        <v>1</v>
      </c>
      <c r="G237" s="7">
        <f t="shared" si="76"/>
        <v>1</v>
      </c>
      <c r="H237" s="58">
        <v>42586</v>
      </c>
      <c r="I237" s="16"/>
      <c r="J237" s="8"/>
      <c r="K237" s="10"/>
      <c r="L237" s="10"/>
      <c r="M237" s="10"/>
      <c r="N237" s="30"/>
      <c r="O237" s="7">
        <f t="shared" si="77"/>
        <v>0</v>
      </c>
      <c r="P237" s="1"/>
    </row>
    <row r="238" spans="1:17" x14ac:dyDescent="0.15">
      <c r="A238" s="14" t="s">
        <v>25</v>
      </c>
      <c r="B238" s="8"/>
      <c r="C238" s="10"/>
      <c r="D238" s="10">
        <v>1</v>
      </c>
      <c r="E238" s="10">
        <v>1</v>
      </c>
      <c r="F238" s="30"/>
      <c r="G238" s="7">
        <f t="shared" si="76"/>
        <v>2</v>
      </c>
      <c r="H238" s="58">
        <v>42587</v>
      </c>
      <c r="I238" s="39"/>
      <c r="J238" s="8"/>
      <c r="K238" s="10"/>
      <c r="L238" s="10"/>
      <c r="M238" s="10"/>
      <c r="N238" s="30"/>
      <c r="O238" s="7">
        <f t="shared" si="77"/>
        <v>0</v>
      </c>
      <c r="P238" s="1"/>
    </row>
    <row r="239" spans="1:17" x14ac:dyDescent="0.15">
      <c r="A239" s="16" t="s">
        <v>136</v>
      </c>
      <c r="B239" s="11"/>
      <c r="C239" s="12">
        <v>10</v>
      </c>
      <c r="D239" s="12"/>
      <c r="E239" s="12"/>
      <c r="F239" s="31"/>
      <c r="G239" s="7">
        <f t="shared" si="76"/>
        <v>10</v>
      </c>
      <c r="H239" s="58">
        <v>42598</v>
      </c>
      <c r="I239" s="16"/>
      <c r="J239" s="11"/>
      <c r="K239" s="12"/>
      <c r="L239" s="12"/>
      <c r="M239" s="12"/>
      <c r="N239" s="31"/>
      <c r="O239" s="7">
        <f t="shared" si="77"/>
        <v>0</v>
      </c>
      <c r="P239" s="1"/>
    </row>
    <row r="240" spans="1:17" x14ac:dyDescent="0.15">
      <c r="A240" s="16" t="s">
        <v>39</v>
      </c>
      <c r="B240" s="8"/>
      <c r="C240" s="10"/>
      <c r="D240" s="10"/>
      <c r="E240" s="10">
        <v>-1</v>
      </c>
      <c r="F240" s="30"/>
      <c r="G240" s="7">
        <f t="shared" si="76"/>
        <v>-1</v>
      </c>
      <c r="H240" s="58">
        <v>42591</v>
      </c>
      <c r="I240" s="16"/>
      <c r="J240" s="8"/>
      <c r="K240" s="10"/>
      <c r="L240" s="10"/>
      <c r="M240" s="10"/>
      <c r="N240" s="30"/>
      <c r="O240" s="7">
        <f t="shared" si="77"/>
        <v>0</v>
      </c>
      <c r="P240" s="1"/>
    </row>
    <row r="241" spans="1:17" x14ac:dyDescent="0.15">
      <c r="A241" s="16" t="s">
        <v>247</v>
      </c>
      <c r="B241" s="8"/>
      <c r="C241" s="10"/>
      <c r="D241" s="10">
        <v>3</v>
      </c>
      <c r="E241" s="10">
        <v>2</v>
      </c>
      <c r="F241" s="30"/>
      <c r="G241" s="7">
        <f t="shared" si="76"/>
        <v>5</v>
      </c>
      <c r="H241" s="58">
        <v>42600</v>
      </c>
      <c r="I241" s="14"/>
      <c r="J241" s="8"/>
      <c r="K241" s="10"/>
      <c r="L241" s="10"/>
      <c r="M241" s="10"/>
      <c r="N241" s="30"/>
      <c r="O241" s="7">
        <f t="shared" si="77"/>
        <v>0</v>
      </c>
      <c r="P241" s="1"/>
    </row>
    <row r="242" spans="1:17" x14ac:dyDescent="0.15">
      <c r="A242" s="39" t="s">
        <v>248</v>
      </c>
      <c r="B242" s="8"/>
      <c r="C242" s="10"/>
      <c r="D242" s="10">
        <v>-1</v>
      </c>
      <c r="E242" s="10"/>
      <c r="F242" s="30"/>
      <c r="G242" s="7">
        <f t="shared" si="76"/>
        <v>-1</v>
      </c>
      <c r="H242" s="58">
        <v>42592</v>
      </c>
      <c r="I242" s="16"/>
      <c r="J242" s="8"/>
      <c r="K242" s="10"/>
      <c r="L242" s="10"/>
      <c r="M242" s="10"/>
      <c r="N242" s="30"/>
      <c r="O242" s="7">
        <f t="shared" si="77"/>
        <v>0</v>
      </c>
      <c r="P242" s="1"/>
    </row>
    <row r="243" spans="1:17" x14ac:dyDescent="0.15">
      <c r="A243" s="16" t="s">
        <v>215</v>
      </c>
      <c r="B243" s="8"/>
      <c r="C243" s="10"/>
      <c r="D243" s="10"/>
      <c r="E243" s="10"/>
      <c r="F243" s="30">
        <v>1</v>
      </c>
      <c r="G243" s="7">
        <f t="shared" si="76"/>
        <v>1</v>
      </c>
      <c r="H243" s="58">
        <v>42600</v>
      </c>
      <c r="I243" s="64"/>
      <c r="J243" s="8"/>
      <c r="K243" s="10"/>
      <c r="L243" s="10"/>
      <c r="M243" s="10"/>
      <c r="N243" s="30"/>
      <c r="O243" s="7">
        <f t="shared" si="77"/>
        <v>0</v>
      </c>
      <c r="P243" s="1"/>
      <c r="Q243" s="56"/>
    </row>
    <row r="244" spans="1:17" x14ac:dyDescent="0.15">
      <c r="A244" s="16" t="s">
        <v>250</v>
      </c>
      <c r="B244" s="8"/>
      <c r="C244" s="10">
        <v>-2</v>
      </c>
      <c r="D244" s="10">
        <v>-2</v>
      </c>
      <c r="E244" s="10">
        <v>-3</v>
      </c>
      <c r="F244" s="30"/>
      <c r="G244" s="7">
        <f t="shared" si="76"/>
        <v>-7</v>
      </c>
      <c r="H244" s="58">
        <v>42598</v>
      </c>
      <c r="I244" s="16"/>
      <c r="J244" s="8"/>
      <c r="K244" s="10"/>
      <c r="L244" s="10"/>
      <c r="M244" s="10"/>
      <c r="N244" s="30"/>
      <c r="O244" s="7">
        <f t="shared" si="77"/>
        <v>0</v>
      </c>
      <c r="P244" s="1"/>
      <c r="Q244" s="56"/>
    </row>
    <row r="245" spans="1:17" x14ac:dyDescent="0.15">
      <c r="A245" s="50" t="s">
        <v>22</v>
      </c>
      <c r="B245" s="8"/>
      <c r="C245" s="10"/>
      <c r="D245" s="10">
        <v>10</v>
      </c>
      <c r="E245" s="10"/>
      <c r="F245" s="30">
        <v>10</v>
      </c>
      <c r="G245" s="7">
        <f t="shared" si="76"/>
        <v>20</v>
      </c>
      <c r="H245" s="58">
        <v>42604</v>
      </c>
      <c r="I245" s="16"/>
      <c r="J245" s="8"/>
      <c r="K245" s="10"/>
      <c r="L245" s="10"/>
      <c r="M245" s="10"/>
      <c r="N245" s="30"/>
      <c r="O245" s="7">
        <f t="shared" si="77"/>
        <v>0</v>
      </c>
      <c r="P245" s="36"/>
      <c r="Q245" s="56"/>
    </row>
    <row r="246" spans="1:17" x14ac:dyDescent="0.15">
      <c r="A246" s="16" t="s">
        <v>215</v>
      </c>
      <c r="B246" s="8"/>
      <c r="C246" s="10"/>
      <c r="D246" s="10"/>
      <c r="E246" s="10"/>
      <c r="F246" s="30">
        <v>1</v>
      </c>
      <c r="G246" s="7">
        <f t="shared" si="76"/>
        <v>1</v>
      </c>
      <c r="H246" s="58">
        <v>42601</v>
      </c>
      <c r="I246" s="14"/>
      <c r="J246" s="8"/>
      <c r="K246" s="10"/>
      <c r="L246" s="10"/>
      <c r="M246" s="10"/>
      <c r="N246" s="30"/>
      <c r="O246" s="7">
        <f t="shared" si="77"/>
        <v>0</v>
      </c>
      <c r="P246" s="1"/>
      <c r="Q246" s="56"/>
    </row>
    <row r="247" spans="1:17" x14ac:dyDescent="0.15">
      <c r="A247" s="14" t="s">
        <v>25</v>
      </c>
      <c r="B247" s="8"/>
      <c r="C247" s="10"/>
      <c r="D247" s="10"/>
      <c r="E247" s="10"/>
      <c r="F247" s="30">
        <v>1</v>
      </c>
      <c r="G247" s="7">
        <f t="shared" si="76"/>
        <v>1</v>
      </c>
      <c r="H247" s="58">
        <v>42602</v>
      </c>
      <c r="I247" s="16"/>
      <c r="J247" s="8"/>
      <c r="K247" s="10"/>
      <c r="L247" s="10"/>
      <c r="M247" s="10"/>
      <c r="N247" s="30"/>
      <c r="O247" s="7">
        <f t="shared" si="77"/>
        <v>0</v>
      </c>
      <c r="P247" s="1"/>
      <c r="Q247" s="56"/>
    </row>
    <row r="248" spans="1:17" x14ac:dyDescent="0.15">
      <c r="A248" s="16" t="s">
        <v>253</v>
      </c>
      <c r="B248" s="8"/>
      <c r="C248" s="10"/>
      <c r="D248" s="10"/>
      <c r="E248" s="10">
        <v>1</v>
      </c>
      <c r="F248" s="30"/>
      <c r="G248" s="7">
        <f t="shared" si="76"/>
        <v>1</v>
      </c>
      <c r="H248" s="58">
        <v>42601</v>
      </c>
      <c r="I248" s="16"/>
      <c r="J248" s="8"/>
      <c r="K248" s="10"/>
      <c r="L248" s="10"/>
      <c r="M248" s="10"/>
      <c r="N248" s="30"/>
      <c r="O248" s="7">
        <f t="shared" si="77"/>
        <v>0</v>
      </c>
      <c r="P248" s="36"/>
      <c r="Q248" s="56"/>
    </row>
    <row r="249" spans="1:17" x14ac:dyDescent="0.15">
      <c r="A249" s="16" t="s">
        <v>254</v>
      </c>
      <c r="B249" s="8"/>
      <c r="C249" s="10"/>
      <c r="D249" s="10">
        <v>5</v>
      </c>
      <c r="E249" s="10"/>
      <c r="F249" s="30"/>
      <c r="G249" s="7">
        <f t="shared" si="76"/>
        <v>5</v>
      </c>
      <c r="H249" s="58">
        <v>42607</v>
      </c>
      <c r="I249" s="16"/>
      <c r="J249" s="8"/>
      <c r="K249" s="10"/>
      <c r="L249" s="10"/>
      <c r="M249" s="10"/>
      <c r="N249" s="30"/>
      <c r="O249" s="7">
        <f t="shared" si="77"/>
        <v>0</v>
      </c>
      <c r="P249" s="36"/>
      <c r="Q249" s="56"/>
    </row>
    <row r="250" spans="1:17" x14ac:dyDescent="0.15">
      <c r="A250" s="50"/>
      <c r="B250" s="8"/>
      <c r="C250" s="10"/>
      <c r="D250" s="10"/>
      <c r="E250" s="10"/>
      <c r="F250" s="30"/>
      <c r="G250" s="7">
        <f>SUM(B250:F250)</f>
        <v>0</v>
      </c>
      <c r="H250" s="58"/>
      <c r="I250" s="14"/>
      <c r="J250" s="8"/>
      <c r="K250" s="10"/>
      <c r="L250" s="10"/>
      <c r="M250" s="10"/>
      <c r="N250" s="30"/>
      <c r="O250" s="7">
        <f t="shared" si="77"/>
        <v>0</v>
      </c>
      <c r="P250" s="1"/>
      <c r="Q250" s="56"/>
    </row>
    <row r="251" spans="1:17" x14ac:dyDescent="0.15">
      <c r="A251" s="16"/>
      <c r="B251" s="11"/>
      <c r="C251" s="12"/>
      <c r="D251" s="12"/>
      <c r="E251" s="12"/>
      <c r="F251" s="31"/>
      <c r="G251" s="7">
        <f t="shared" si="76"/>
        <v>0</v>
      </c>
      <c r="H251" s="58"/>
      <c r="I251" s="16"/>
      <c r="J251" s="8"/>
      <c r="K251" s="10"/>
      <c r="L251" s="10"/>
      <c r="M251" s="10"/>
      <c r="N251" s="30"/>
      <c r="O251" s="7">
        <f t="shared" si="77"/>
        <v>0</v>
      </c>
      <c r="P251" s="36"/>
      <c r="Q251" s="56"/>
    </row>
    <row r="252" spans="1:17" x14ac:dyDescent="0.15">
      <c r="A252" s="14"/>
      <c r="B252" s="8"/>
      <c r="C252" s="10"/>
      <c r="D252" s="10"/>
      <c r="E252" s="10"/>
      <c r="F252" s="30"/>
      <c r="G252" s="7">
        <f t="shared" si="76"/>
        <v>0</v>
      </c>
      <c r="H252" s="58"/>
      <c r="I252" s="14"/>
      <c r="J252" s="8"/>
      <c r="K252" s="10"/>
      <c r="L252" s="10"/>
      <c r="M252" s="10"/>
      <c r="N252" s="30"/>
      <c r="O252" s="9">
        <f t="shared" si="77"/>
        <v>0</v>
      </c>
      <c r="P252" s="36"/>
    </row>
    <row r="253" spans="1:17" x14ac:dyDescent="0.15">
      <c r="A253" s="16"/>
      <c r="B253" s="8"/>
      <c r="C253" s="10"/>
      <c r="D253" s="10"/>
      <c r="E253" s="10"/>
      <c r="F253" s="30"/>
      <c r="G253" s="7">
        <f t="shared" si="76"/>
        <v>0</v>
      </c>
      <c r="H253" s="56"/>
      <c r="I253" s="14"/>
      <c r="J253" s="8"/>
      <c r="K253" s="10"/>
      <c r="L253" s="10"/>
      <c r="M253" s="10"/>
      <c r="N253" s="30"/>
      <c r="O253" s="9">
        <f t="shared" si="77"/>
        <v>0</v>
      </c>
      <c r="P253" s="1"/>
    </row>
    <row r="254" spans="1:17" x14ac:dyDescent="0.15">
      <c r="A254" s="14"/>
      <c r="B254" s="8"/>
      <c r="C254" s="10"/>
      <c r="D254" s="10"/>
      <c r="E254" s="10"/>
      <c r="F254" s="30"/>
      <c r="G254" s="7">
        <f t="shared" si="76"/>
        <v>0</v>
      </c>
      <c r="H254" s="58"/>
      <c r="I254" s="14"/>
      <c r="J254" s="8"/>
      <c r="K254" s="10"/>
      <c r="L254" s="10"/>
      <c r="M254" s="10"/>
      <c r="N254" s="30"/>
      <c r="O254" s="9">
        <f t="shared" ref="O254" si="79">SUM(J254:N254)</f>
        <v>0</v>
      </c>
      <c r="P254" s="36"/>
    </row>
    <row r="255" spans="1:17" ht="14.25" thickBot="1" x14ac:dyDescent="0.2">
      <c r="A255" s="20"/>
      <c r="B255" s="11"/>
      <c r="C255" s="12"/>
      <c r="D255" s="12"/>
      <c r="E255" s="12"/>
      <c r="F255" s="31"/>
      <c r="G255" s="7">
        <f t="shared" si="76"/>
        <v>0</v>
      </c>
      <c r="H255" s="58"/>
      <c r="I255" s="117"/>
      <c r="J255" s="47"/>
      <c r="K255" s="118"/>
      <c r="L255" s="118"/>
      <c r="M255" s="118"/>
      <c r="N255" s="119"/>
      <c r="O255" s="40">
        <f t="shared" si="77"/>
        <v>0</v>
      </c>
      <c r="P255" s="36"/>
    </row>
    <row r="256" spans="1:17" ht="14.25" thickBot="1" x14ac:dyDescent="0.2">
      <c r="A256" s="3" t="s">
        <v>11</v>
      </c>
      <c r="B256" s="23">
        <f>SUM(B230:B255)</f>
        <v>1</v>
      </c>
      <c r="C256" s="4">
        <f>SUM(C230:C255)</f>
        <v>25</v>
      </c>
      <c r="D256" s="4">
        <f>SUM(D230:D255)</f>
        <v>32</v>
      </c>
      <c r="E256" s="6">
        <f>SUM(E230:E255)</f>
        <v>22</v>
      </c>
      <c r="F256" s="32">
        <f>SUM(F230:F255)</f>
        <v>42</v>
      </c>
      <c r="G256" s="5">
        <f>SUM(B256:F256)</f>
        <v>122</v>
      </c>
      <c r="H256" s="58"/>
      <c r="I256" s="3" t="s">
        <v>11</v>
      </c>
      <c r="J256" s="23">
        <f>SUM(J230:J255)</f>
        <v>0</v>
      </c>
      <c r="K256" s="4">
        <f>SUM(K230:K255)</f>
        <v>10</v>
      </c>
      <c r="L256" s="4">
        <f>SUM(L230:L255)</f>
        <v>20</v>
      </c>
      <c r="M256" s="6">
        <f>SUM(M230:M255)</f>
        <v>15</v>
      </c>
      <c r="N256" s="32">
        <f>SUM(N230:N255)</f>
        <v>30</v>
      </c>
      <c r="O256" s="5">
        <f>SUM(J256:N256)</f>
        <v>75</v>
      </c>
    </row>
    <row r="257" spans="1:16" ht="14.25" thickBot="1" x14ac:dyDescent="0.2">
      <c r="A257" s="25" t="s">
        <v>12</v>
      </c>
      <c r="B257" s="63">
        <f>B229-B256</f>
        <v>24</v>
      </c>
      <c r="C257" s="26">
        <f t="shared" ref="C257:G257" si="80">C229-C256</f>
        <v>9</v>
      </c>
      <c r="D257" s="71">
        <f t="shared" si="80"/>
        <v>13</v>
      </c>
      <c r="E257" s="26">
        <f t="shared" si="80"/>
        <v>14</v>
      </c>
      <c r="F257" s="70">
        <f t="shared" si="80"/>
        <v>10</v>
      </c>
      <c r="G257" s="27">
        <f t="shared" si="80"/>
        <v>70</v>
      </c>
      <c r="H257" s="58"/>
      <c r="I257" s="25" t="s">
        <v>12</v>
      </c>
      <c r="J257" s="63">
        <f>J229-J256</f>
        <v>115</v>
      </c>
      <c r="K257" s="26">
        <f t="shared" ref="K257:O257" si="81">K229-K256</f>
        <v>126</v>
      </c>
      <c r="L257" s="71">
        <f t="shared" si="81"/>
        <v>75</v>
      </c>
      <c r="M257" s="26">
        <f t="shared" si="81"/>
        <v>78</v>
      </c>
      <c r="N257" s="70">
        <f t="shared" si="81"/>
        <v>42</v>
      </c>
      <c r="O257" s="27">
        <f t="shared" si="81"/>
        <v>436</v>
      </c>
    </row>
    <row r="258" spans="1:16" ht="21" x14ac:dyDescent="0.2">
      <c r="A258" s="83" t="s">
        <v>48</v>
      </c>
      <c r="B258" s="77"/>
      <c r="C258" s="77"/>
      <c r="D258" s="77"/>
      <c r="E258" s="77"/>
      <c r="F258" s="77"/>
      <c r="G258" s="77"/>
      <c r="H258" s="58"/>
      <c r="I258" s="83" t="s">
        <v>48</v>
      </c>
      <c r="J258" s="77"/>
      <c r="K258" s="77"/>
      <c r="L258" s="77"/>
      <c r="M258" s="77"/>
      <c r="N258" s="77"/>
      <c r="O258" s="77"/>
      <c r="P258" s="1"/>
    </row>
    <row r="259" spans="1:16" ht="21.75" thickBot="1" x14ac:dyDescent="0.25">
      <c r="A259" s="83" t="s">
        <v>47</v>
      </c>
      <c r="B259" s="77"/>
      <c r="C259" s="77"/>
      <c r="D259" s="77"/>
      <c r="E259" s="84"/>
      <c r="F259" s="78" t="s">
        <v>53</v>
      </c>
      <c r="G259" s="77"/>
      <c r="H259" s="58"/>
      <c r="I259" s="83" t="s">
        <v>47</v>
      </c>
      <c r="J259" s="77"/>
      <c r="K259" s="77"/>
      <c r="L259" s="77"/>
      <c r="M259" s="84"/>
      <c r="N259" s="78" t="s">
        <v>54</v>
      </c>
      <c r="O259" s="77"/>
    </row>
    <row r="260" spans="1:16" ht="14.25" thickBot="1" x14ac:dyDescent="0.2">
      <c r="A260" s="13" t="s">
        <v>0</v>
      </c>
      <c r="B260" s="228" t="s">
        <v>49</v>
      </c>
      <c r="C260" s="229"/>
      <c r="D260" s="229"/>
      <c r="E260" s="229"/>
      <c r="F260" s="230"/>
      <c r="G260" s="231"/>
      <c r="H260" s="58"/>
      <c r="I260" s="13" t="s">
        <v>0</v>
      </c>
      <c r="J260" s="232" t="s">
        <v>49</v>
      </c>
      <c r="K260" s="233"/>
      <c r="L260" s="233"/>
      <c r="M260" s="233"/>
      <c r="N260" s="233"/>
      <c r="O260" s="234"/>
      <c r="P260" s="1"/>
    </row>
    <row r="261" spans="1:16" ht="14.25" thickBot="1" x14ac:dyDescent="0.2">
      <c r="A261" s="3" t="s">
        <v>1</v>
      </c>
      <c r="B261" s="2" t="s">
        <v>42</v>
      </c>
      <c r="C261" s="21" t="s">
        <v>43</v>
      </c>
      <c r="D261" s="21" t="s">
        <v>44</v>
      </c>
      <c r="E261" s="24" t="s">
        <v>45</v>
      </c>
      <c r="F261" s="33" t="s">
        <v>46</v>
      </c>
      <c r="G261" s="34" t="s">
        <v>2</v>
      </c>
      <c r="H261" s="58"/>
      <c r="I261" s="3" t="s">
        <v>1</v>
      </c>
      <c r="J261" s="2" t="s">
        <v>42</v>
      </c>
      <c r="K261" s="21" t="s">
        <v>43</v>
      </c>
      <c r="L261" s="21" t="s">
        <v>44</v>
      </c>
      <c r="M261" s="24" t="s">
        <v>45</v>
      </c>
      <c r="N261" s="33" t="s">
        <v>46</v>
      </c>
      <c r="O261" s="3" t="s">
        <v>2</v>
      </c>
      <c r="P261" s="1"/>
    </row>
    <row r="262" spans="1:16" ht="14.25" thickBot="1" x14ac:dyDescent="0.2">
      <c r="A262" s="116" t="s">
        <v>79</v>
      </c>
      <c r="B262" s="95">
        <f>B257</f>
        <v>24</v>
      </c>
      <c r="C262" s="97">
        <f t="shared" ref="C262:F262" si="82">C257</f>
        <v>9</v>
      </c>
      <c r="D262" s="55">
        <f t="shared" si="82"/>
        <v>13</v>
      </c>
      <c r="E262" s="98">
        <f t="shared" si="82"/>
        <v>14</v>
      </c>
      <c r="F262" s="98">
        <f t="shared" si="82"/>
        <v>10</v>
      </c>
      <c r="G262" s="52">
        <f t="shared" ref="G262:G271" si="83">SUM(B262:F262)</f>
        <v>70</v>
      </c>
      <c r="H262" s="58"/>
      <c r="I262" s="72" t="s">
        <v>79</v>
      </c>
      <c r="J262" s="73">
        <f>J257</f>
        <v>115</v>
      </c>
      <c r="K262" s="74">
        <f t="shared" ref="K262:N262" si="84">K257</f>
        <v>126</v>
      </c>
      <c r="L262" s="107">
        <f t="shared" si="84"/>
        <v>75</v>
      </c>
      <c r="M262" s="75">
        <f t="shared" si="84"/>
        <v>78</v>
      </c>
      <c r="N262" s="75">
        <f t="shared" si="84"/>
        <v>42</v>
      </c>
      <c r="O262" s="76">
        <f t="shared" ref="O262:O271" si="85">SUM(J262:N262)</f>
        <v>436</v>
      </c>
      <c r="P262" s="1"/>
    </row>
    <row r="263" spans="1:16" x14ac:dyDescent="0.15">
      <c r="A263" s="38" t="s">
        <v>14</v>
      </c>
      <c r="B263" s="8"/>
      <c r="C263" s="10">
        <v>15</v>
      </c>
      <c r="D263" s="10"/>
      <c r="E263" s="10">
        <v>10</v>
      </c>
      <c r="F263" s="30"/>
      <c r="G263" s="7">
        <f t="shared" si="83"/>
        <v>25</v>
      </c>
      <c r="H263" s="36">
        <v>42606</v>
      </c>
      <c r="I263" s="38" t="s">
        <v>14</v>
      </c>
      <c r="J263" s="37"/>
      <c r="K263" s="35"/>
      <c r="L263" s="35"/>
      <c r="M263" s="35"/>
      <c r="N263" s="28"/>
      <c r="O263" s="7">
        <f t="shared" si="85"/>
        <v>0</v>
      </c>
      <c r="P263" s="1"/>
    </row>
    <row r="264" spans="1:16" x14ac:dyDescent="0.15">
      <c r="A264" s="15" t="s">
        <v>19</v>
      </c>
      <c r="B264" s="8"/>
      <c r="C264" s="10"/>
      <c r="D264" s="10">
        <v>1</v>
      </c>
      <c r="E264" s="10">
        <v>2</v>
      </c>
      <c r="F264" s="28">
        <v>2</v>
      </c>
      <c r="G264" s="9">
        <f t="shared" si="83"/>
        <v>5</v>
      </c>
      <c r="H264" s="58">
        <v>42607</v>
      </c>
      <c r="I264" s="15" t="s">
        <v>3</v>
      </c>
      <c r="J264" s="8"/>
      <c r="K264" s="10"/>
      <c r="L264" s="10"/>
      <c r="M264" s="10"/>
      <c r="N264" s="28"/>
      <c r="O264" s="9">
        <f>SUM(J264:N264)</f>
        <v>0</v>
      </c>
      <c r="P264" s="36"/>
    </row>
    <row r="265" spans="1:16" x14ac:dyDescent="0.15">
      <c r="A265" s="15" t="s">
        <v>183</v>
      </c>
      <c r="B265" s="8"/>
      <c r="C265" s="10"/>
      <c r="D265" s="10">
        <v>1</v>
      </c>
      <c r="E265" s="10">
        <v>1</v>
      </c>
      <c r="F265" s="28"/>
      <c r="G265" s="9">
        <f t="shared" si="83"/>
        <v>2</v>
      </c>
      <c r="H265" s="58">
        <v>42609</v>
      </c>
      <c r="I265" s="15" t="s">
        <v>4</v>
      </c>
      <c r="J265" s="8"/>
      <c r="K265" s="10"/>
      <c r="L265" s="10"/>
      <c r="M265" s="10"/>
      <c r="N265" s="28"/>
      <c r="O265" s="9">
        <f t="shared" si="85"/>
        <v>0</v>
      </c>
      <c r="P265" s="1"/>
    </row>
    <row r="266" spans="1:16" x14ac:dyDescent="0.15">
      <c r="A266" s="15" t="s">
        <v>261</v>
      </c>
      <c r="B266" s="8"/>
      <c r="C266" s="10"/>
      <c r="D266" s="10">
        <v>1</v>
      </c>
      <c r="E266" s="10">
        <v>4</v>
      </c>
      <c r="F266" s="28"/>
      <c r="G266" s="9">
        <f t="shared" si="83"/>
        <v>5</v>
      </c>
      <c r="H266" s="58">
        <v>42613</v>
      </c>
      <c r="I266" s="15" t="s">
        <v>5</v>
      </c>
      <c r="J266" s="8"/>
      <c r="K266" s="10"/>
      <c r="L266" s="10"/>
      <c r="M266" s="10"/>
      <c r="N266" s="28"/>
      <c r="O266" s="9">
        <f t="shared" si="85"/>
        <v>0</v>
      </c>
      <c r="P266" s="36"/>
    </row>
    <row r="267" spans="1:16" x14ac:dyDescent="0.15">
      <c r="A267" s="15" t="s">
        <v>6</v>
      </c>
      <c r="B267" s="8"/>
      <c r="C267" s="10">
        <v>10</v>
      </c>
      <c r="D267" s="10"/>
      <c r="E267" s="10">
        <v>10</v>
      </c>
      <c r="F267" s="28">
        <v>10</v>
      </c>
      <c r="G267" s="9">
        <f t="shared" si="83"/>
        <v>30</v>
      </c>
      <c r="H267" s="58">
        <v>42615</v>
      </c>
      <c r="I267" s="15" t="s">
        <v>6</v>
      </c>
      <c r="J267" s="8"/>
      <c r="K267" s="10"/>
      <c r="L267" s="10"/>
      <c r="M267" s="10"/>
      <c r="N267" s="28"/>
      <c r="O267" s="9">
        <f t="shared" si="85"/>
        <v>0</v>
      </c>
      <c r="P267" s="1"/>
    </row>
    <row r="268" spans="1:16" x14ac:dyDescent="0.15">
      <c r="A268" s="15" t="s">
        <v>19</v>
      </c>
      <c r="B268" s="11">
        <v>3</v>
      </c>
      <c r="C268" s="12">
        <v>2</v>
      </c>
      <c r="D268" s="12">
        <v>2</v>
      </c>
      <c r="E268" s="12"/>
      <c r="F268" s="31"/>
      <c r="G268" s="7">
        <f t="shared" si="83"/>
        <v>7</v>
      </c>
      <c r="H268" s="58">
        <v>42616</v>
      </c>
      <c r="I268" s="15" t="s">
        <v>84</v>
      </c>
      <c r="J268" s="11"/>
      <c r="K268" s="12"/>
      <c r="L268" s="12"/>
      <c r="M268" s="12"/>
      <c r="N268" s="31"/>
      <c r="O268" s="7">
        <f t="shared" si="85"/>
        <v>0</v>
      </c>
      <c r="P268" s="1"/>
    </row>
    <row r="269" spans="1:16" x14ac:dyDescent="0.15">
      <c r="A269" s="15" t="s">
        <v>270</v>
      </c>
      <c r="B269" s="8">
        <v>1</v>
      </c>
      <c r="C269" s="10"/>
      <c r="D269" s="10"/>
      <c r="E269" s="10"/>
      <c r="F269" s="30"/>
      <c r="G269" s="7">
        <f t="shared" si="83"/>
        <v>1</v>
      </c>
      <c r="H269" s="58">
        <v>42619</v>
      </c>
      <c r="I269" s="15" t="s">
        <v>85</v>
      </c>
      <c r="J269" s="8"/>
      <c r="K269" s="10"/>
      <c r="L269" s="10"/>
      <c r="M269" s="10"/>
      <c r="N269" s="30"/>
      <c r="O269" s="7">
        <f t="shared" si="85"/>
        <v>0</v>
      </c>
      <c r="P269" s="1"/>
    </row>
    <row r="270" spans="1:16" x14ac:dyDescent="0.15">
      <c r="A270" s="15" t="s">
        <v>86</v>
      </c>
      <c r="B270" s="11"/>
      <c r="C270" s="100"/>
      <c r="D270" s="100"/>
      <c r="E270" s="100"/>
      <c r="F270" s="101">
        <v>10</v>
      </c>
      <c r="G270" s="102">
        <f t="shared" si="83"/>
        <v>10</v>
      </c>
      <c r="H270" s="58">
        <v>42621</v>
      </c>
      <c r="I270" s="16" t="s">
        <v>88</v>
      </c>
      <c r="J270" s="8"/>
      <c r="K270" s="10"/>
      <c r="L270" s="10"/>
      <c r="M270" s="10"/>
      <c r="N270" s="30"/>
      <c r="O270" s="7">
        <f t="shared" si="85"/>
        <v>0</v>
      </c>
      <c r="P270" s="36"/>
    </row>
    <row r="271" spans="1:16" ht="14.25" thickBot="1" x14ac:dyDescent="0.2">
      <c r="A271" s="15" t="s">
        <v>271</v>
      </c>
      <c r="B271" s="11"/>
      <c r="C271" s="100"/>
      <c r="D271" s="100">
        <v>2</v>
      </c>
      <c r="E271" s="100">
        <v>3</v>
      </c>
      <c r="F271" s="101"/>
      <c r="G271" s="102">
        <f t="shared" si="83"/>
        <v>5</v>
      </c>
      <c r="H271" s="58">
        <v>42620</v>
      </c>
      <c r="I271" s="15" t="s">
        <v>87</v>
      </c>
      <c r="J271" s="11"/>
      <c r="K271" s="100"/>
      <c r="L271" s="100"/>
      <c r="M271" s="100"/>
      <c r="N271" s="101"/>
      <c r="O271" s="102">
        <f t="shared" si="85"/>
        <v>0</v>
      </c>
      <c r="P271" s="1"/>
    </row>
    <row r="272" spans="1:16" ht="14.25" thickBot="1" x14ac:dyDescent="0.2">
      <c r="A272" s="72" t="s">
        <v>7</v>
      </c>
      <c r="B272" s="73">
        <f>SUM(B262:B271)</f>
        <v>28</v>
      </c>
      <c r="C272" s="74">
        <f t="shared" ref="C272:G272" si="86">SUM(C262:C271)</f>
        <v>36</v>
      </c>
      <c r="D272" s="74">
        <f t="shared" si="86"/>
        <v>20</v>
      </c>
      <c r="E272" s="74">
        <f t="shared" si="86"/>
        <v>44</v>
      </c>
      <c r="F272" s="105">
        <f t="shared" si="86"/>
        <v>32</v>
      </c>
      <c r="G272" s="105">
        <f t="shared" si="86"/>
        <v>160</v>
      </c>
      <c r="H272" s="58"/>
      <c r="I272" s="72" t="s">
        <v>7</v>
      </c>
      <c r="J272" s="73">
        <f>SUM(J262:J271)</f>
        <v>115</v>
      </c>
      <c r="K272" s="74">
        <f t="shared" ref="K272:O272" si="87">SUM(K262:K271)</f>
        <v>126</v>
      </c>
      <c r="L272" s="74">
        <f t="shared" si="87"/>
        <v>75</v>
      </c>
      <c r="M272" s="74">
        <f t="shared" si="87"/>
        <v>78</v>
      </c>
      <c r="N272" s="105">
        <f t="shared" si="87"/>
        <v>42</v>
      </c>
      <c r="O272" s="105">
        <f t="shared" si="87"/>
        <v>436</v>
      </c>
      <c r="P272" s="1"/>
    </row>
    <row r="273" spans="1:17" x14ac:dyDescent="0.15">
      <c r="A273" s="50" t="s">
        <v>22</v>
      </c>
      <c r="B273" s="8">
        <v>10</v>
      </c>
      <c r="C273" s="10">
        <v>10</v>
      </c>
      <c r="D273" s="10"/>
      <c r="E273" s="10">
        <v>10</v>
      </c>
      <c r="F273" s="30"/>
      <c r="G273" s="7">
        <f>SUM(B273:F273)</f>
        <v>30</v>
      </c>
      <c r="H273" s="58">
        <v>42611</v>
      </c>
      <c r="I273" s="16" t="s">
        <v>255</v>
      </c>
      <c r="J273" s="17"/>
      <c r="K273" s="22">
        <v>15</v>
      </c>
      <c r="L273" s="22"/>
      <c r="M273" s="22">
        <v>10</v>
      </c>
      <c r="N273" s="29"/>
      <c r="O273" s="18">
        <f t="shared" ref="O273:O298" si="88">SUM(J273:N273)</f>
        <v>25</v>
      </c>
      <c r="P273" s="36">
        <v>42606</v>
      </c>
    </row>
    <row r="274" spans="1:17" x14ac:dyDescent="0.15">
      <c r="A274" s="14" t="s">
        <v>262</v>
      </c>
      <c r="B274" s="8"/>
      <c r="C274" s="10"/>
      <c r="D274" s="10"/>
      <c r="E274" s="10">
        <v>1</v>
      </c>
      <c r="F274" s="30"/>
      <c r="G274" s="7">
        <f t="shared" ref="G274:G298" si="89">SUM(B274:F274)</f>
        <v>1</v>
      </c>
      <c r="H274" s="58">
        <v>42604</v>
      </c>
      <c r="I274" s="16" t="s">
        <v>301</v>
      </c>
      <c r="J274" s="8"/>
      <c r="K274" s="10">
        <v>4</v>
      </c>
      <c r="L274" s="10"/>
      <c r="M274" s="10"/>
      <c r="N274" s="28"/>
      <c r="O274" s="9">
        <f t="shared" si="88"/>
        <v>4</v>
      </c>
      <c r="P274" s="36">
        <v>42613</v>
      </c>
    </row>
    <row r="275" spans="1:17" x14ac:dyDescent="0.15">
      <c r="A275" s="14" t="s">
        <v>25</v>
      </c>
      <c r="B275" s="8"/>
      <c r="C275" s="10"/>
      <c r="D275" s="10"/>
      <c r="E275" s="10">
        <v>2</v>
      </c>
      <c r="F275" s="30"/>
      <c r="G275" s="7">
        <f t="shared" si="89"/>
        <v>2</v>
      </c>
      <c r="H275" s="58">
        <v>42606</v>
      </c>
      <c r="I275" s="16" t="s">
        <v>24</v>
      </c>
      <c r="J275" s="8"/>
      <c r="K275" s="10">
        <v>10</v>
      </c>
      <c r="L275" s="10"/>
      <c r="M275" s="10">
        <v>10</v>
      </c>
      <c r="N275" s="28">
        <v>10</v>
      </c>
      <c r="O275" s="9">
        <f t="shared" ref="O275:O276" si="90">SUM(J275:N275)</f>
        <v>30</v>
      </c>
      <c r="P275" s="36">
        <v>42615</v>
      </c>
    </row>
    <row r="276" spans="1:17" x14ac:dyDescent="0.15">
      <c r="A276" s="50" t="s">
        <v>22</v>
      </c>
      <c r="B276" s="8"/>
      <c r="C276" s="10">
        <v>10</v>
      </c>
      <c r="D276" s="10"/>
      <c r="E276" s="10">
        <v>10</v>
      </c>
      <c r="F276" s="30">
        <v>10</v>
      </c>
      <c r="G276" s="7">
        <f t="shared" si="89"/>
        <v>30</v>
      </c>
      <c r="H276" s="58">
        <v>42618</v>
      </c>
      <c r="I276" s="16" t="s">
        <v>24</v>
      </c>
      <c r="J276" s="8"/>
      <c r="K276" s="10"/>
      <c r="L276" s="10"/>
      <c r="M276" s="10"/>
      <c r="N276" s="30">
        <v>10</v>
      </c>
      <c r="O276" s="7">
        <f t="shared" si="90"/>
        <v>10</v>
      </c>
      <c r="P276" s="36">
        <v>42621</v>
      </c>
      <c r="Q276" s="56"/>
    </row>
    <row r="277" spans="1:17" x14ac:dyDescent="0.15">
      <c r="A277" s="16" t="s">
        <v>117</v>
      </c>
      <c r="B277" s="8"/>
      <c r="C277" s="10"/>
      <c r="D277" s="10"/>
      <c r="E277" s="10"/>
      <c r="F277" s="30">
        <v>1</v>
      </c>
      <c r="G277" s="7">
        <f t="shared" si="89"/>
        <v>1</v>
      </c>
      <c r="H277" s="58">
        <v>42613</v>
      </c>
      <c r="I277" s="16"/>
      <c r="J277" s="8"/>
      <c r="K277" s="10"/>
      <c r="L277" s="10"/>
      <c r="M277" s="10"/>
      <c r="N277" s="30"/>
      <c r="O277" s="7">
        <f t="shared" si="88"/>
        <v>0</v>
      </c>
      <c r="P277" s="1"/>
    </row>
    <row r="278" spans="1:17" x14ac:dyDescent="0.15">
      <c r="A278" s="16" t="s">
        <v>136</v>
      </c>
      <c r="B278" s="8"/>
      <c r="C278" s="10"/>
      <c r="D278" s="10"/>
      <c r="E278" s="10">
        <v>3</v>
      </c>
      <c r="F278" s="30"/>
      <c r="G278" s="7">
        <f t="shared" si="89"/>
        <v>3</v>
      </c>
      <c r="H278" s="58">
        <v>42619</v>
      </c>
      <c r="I278" s="16"/>
      <c r="J278" s="8"/>
      <c r="K278" s="10"/>
      <c r="L278" s="10"/>
      <c r="M278" s="10"/>
      <c r="N278" s="30"/>
      <c r="O278" s="7">
        <f t="shared" si="88"/>
        <v>0</v>
      </c>
      <c r="P278" s="1"/>
    </row>
    <row r="279" spans="1:17" x14ac:dyDescent="0.15">
      <c r="A279" s="50" t="s">
        <v>273</v>
      </c>
      <c r="B279" s="8"/>
      <c r="C279" s="10"/>
      <c r="D279" s="10">
        <v>1</v>
      </c>
      <c r="E279" s="10"/>
      <c r="F279" s="30"/>
      <c r="G279" s="7">
        <f t="shared" si="89"/>
        <v>1</v>
      </c>
      <c r="H279" s="58">
        <v>42613</v>
      </c>
      <c r="I279" s="16"/>
      <c r="J279" s="8"/>
      <c r="K279" s="10"/>
      <c r="L279" s="10"/>
      <c r="M279" s="10"/>
      <c r="N279" s="30"/>
      <c r="O279" s="7">
        <f t="shared" si="88"/>
        <v>0</v>
      </c>
      <c r="P279" s="1"/>
    </row>
    <row r="280" spans="1:17" x14ac:dyDescent="0.15">
      <c r="A280" s="50" t="s">
        <v>263</v>
      </c>
      <c r="B280" s="8"/>
      <c r="C280" s="10">
        <v>2</v>
      </c>
      <c r="D280" s="10"/>
      <c r="E280" s="10"/>
      <c r="F280" s="30">
        <v>1</v>
      </c>
      <c r="G280" s="7">
        <f t="shared" si="89"/>
        <v>3</v>
      </c>
      <c r="H280" s="58">
        <v>42616</v>
      </c>
      <c r="I280" s="16"/>
      <c r="J280" s="8"/>
      <c r="K280" s="10"/>
      <c r="L280" s="10"/>
      <c r="M280" s="10"/>
      <c r="N280" s="30"/>
      <c r="O280" s="7">
        <f t="shared" si="88"/>
        <v>0</v>
      </c>
      <c r="P280" s="1"/>
    </row>
    <row r="281" spans="1:17" x14ac:dyDescent="0.15">
      <c r="A281" s="14" t="s">
        <v>182</v>
      </c>
      <c r="B281" s="8">
        <v>2</v>
      </c>
      <c r="C281" s="10">
        <v>3</v>
      </c>
      <c r="D281" s="10">
        <v>2</v>
      </c>
      <c r="E281" s="10">
        <v>1</v>
      </c>
      <c r="F281" s="30">
        <v>1</v>
      </c>
      <c r="G281" s="7">
        <f t="shared" si="89"/>
        <v>9</v>
      </c>
      <c r="H281" s="58">
        <v>42619</v>
      </c>
      <c r="I281" s="39"/>
      <c r="J281" s="8"/>
      <c r="K281" s="10"/>
      <c r="L281" s="10"/>
      <c r="M281" s="10"/>
      <c r="N281" s="30"/>
      <c r="O281" s="7">
        <f t="shared" si="88"/>
        <v>0</v>
      </c>
      <c r="P281" s="1"/>
    </row>
    <row r="282" spans="1:17" x14ac:dyDescent="0.15">
      <c r="A282" s="16" t="s">
        <v>269</v>
      </c>
      <c r="B282" s="11">
        <v>1</v>
      </c>
      <c r="C282" s="12"/>
      <c r="D282" s="12"/>
      <c r="E282" s="12"/>
      <c r="F282" s="31"/>
      <c r="G282" s="7">
        <f t="shared" si="89"/>
        <v>1</v>
      </c>
      <c r="H282" s="58">
        <v>42619</v>
      </c>
      <c r="I282" s="16"/>
      <c r="J282" s="11"/>
      <c r="K282" s="12"/>
      <c r="L282" s="12"/>
      <c r="M282" s="12"/>
      <c r="N282" s="31"/>
      <c r="O282" s="7">
        <f t="shared" si="88"/>
        <v>0</v>
      </c>
      <c r="P282" s="1"/>
    </row>
    <row r="283" spans="1:17" x14ac:dyDescent="0.15">
      <c r="A283" s="50" t="s">
        <v>25</v>
      </c>
      <c r="B283" s="8"/>
      <c r="C283" s="10"/>
      <c r="D283" s="10">
        <v>1</v>
      </c>
      <c r="E283" s="10"/>
      <c r="F283" s="30"/>
      <c r="G283" s="7">
        <f t="shared" si="89"/>
        <v>1</v>
      </c>
      <c r="H283" s="58">
        <v>42621</v>
      </c>
      <c r="I283" s="16"/>
      <c r="J283" s="8"/>
      <c r="K283" s="10"/>
      <c r="L283" s="10"/>
      <c r="M283" s="10"/>
      <c r="N283" s="30"/>
      <c r="O283" s="7">
        <f t="shared" si="88"/>
        <v>0</v>
      </c>
      <c r="P283" s="1"/>
    </row>
    <row r="284" spans="1:17" x14ac:dyDescent="0.15">
      <c r="A284" s="50" t="s">
        <v>22</v>
      </c>
      <c r="B284" s="8"/>
      <c r="C284" s="10"/>
      <c r="D284" s="10"/>
      <c r="E284" s="10"/>
      <c r="F284" s="30">
        <v>10</v>
      </c>
      <c r="G284" s="7">
        <f t="shared" si="89"/>
        <v>10</v>
      </c>
      <c r="H284" s="58">
        <v>42625</v>
      </c>
      <c r="I284" s="14"/>
      <c r="J284" s="8"/>
      <c r="K284" s="10"/>
      <c r="L284" s="10"/>
      <c r="M284" s="10"/>
      <c r="N284" s="30"/>
      <c r="O284" s="7">
        <f t="shared" si="88"/>
        <v>0</v>
      </c>
      <c r="P284" s="1"/>
    </row>
    <row r="285" spans="1:17" x14ac:dyDescent="0.15">
      <c r="A285" s="39" t="s">
        <v>272</v>
      </c>
      <c r="B285" s="8"/>
      <c r="C285" s="10">
        <v>-1</v>
      </c>
      <c r="D285" s="10"/>
      <c r="E285" s="10"/>
      <c r="F285" s="30"/>
      <c r="G285" s="7">
        <f t="shared" si="89"/>
        <v>-1</v>
      </c>
      <c r="H285" s="58">
        <v>42621</v>
      </c>
      <c r="I285" s="16"/>
      <c r="J285" s="8"/>
      <c r="K285" s="10"/>
      <c r="L285" s="10"/>
      <c r="M285" s="10"/>
      <c r="N285" s="30"/>
      <c r="O285" s="7">
        <f t="shared" si="88"/>
        <v>0</v>
      </c>
      <c r="P285" s="1"/>
    </row>
    <row r="286" spans="1:17" x14ac:dyDescent="0.15">
      <c r="A286" s="16" t="s">
        <v>277</v>
      </c>
      <c r="B286" s="8"/>
      <c r="C286" s="10">
        <v>1</v>
      </c>
      <c r="D286" s="10"/>
      <c r="E286" s="10"/>
      <c r="F286" s="30"/>
      <c r="G286" s="7">
        <f t="shared" si="89"/>
        <v>1</v>
      </c>
      <c r="H286" s="58">
        <v>42621</v>
      </c>
      <c r="I286" s="64"/>
      <c r="J286" s="8"/>
      <c r="K286" s="10"/>
      <c r="L286" s="10"/>
      <c r="M286" s="10"/>
      <c r="N286" s="30"/>
      <c r="O286" s="7">
        <f t="shared" si="88"/>
        <v>0</v>
      </c>
      <c r="P286" s="1"/>
    </row>
    <row r="287" spans="1:17" x14ac:dyDescent="0.15">
      <c r="A287" s="16" t="s">
        <v>275</v>
      </c>
      <c r="B287" s="8"/>
      <c r="C287" s="10">
        <v>-1</v>
      </c>
      <c r="D287" s="10"/>
      <c r="E287" s="10">
        <v>-1</v>
      </c>
      <c r="F287" s="30"/>
      <c r="G287" s="7">
        <f t="shared" si="89"/>
        <v>-2</v>
      </c>
      <c r="H287" s="58">
        <v>42622</v>
      </c>
      <c r="I287" s="16"/>
      <c r="J287" s="8"/>
      <c r="K287" s="10"/>
      <c r="L287" s="10"/>
      <c r="M287" s="10"/>
      <c r="N287" s="30"/>
      <c r="O287" s="7">
        <f t="shared" si="88"/>
        <v>0</v>
      </c>
      <c r="P287" s="1"/>
    </row>
    <row r="288" spans="1:17" x14ac:dyDescent="0.15">
      <c r="A288" s="50" t="s">
        <v>276</v>
      </c>
      <c r="B288" s="8"/>
      <c r="C288" s="10"/>
      <c r="D288" s="10">
        <v>1</v>
      </c>
      <c r="E288" s="10"/>
      <c r="F288" s="30"/>
      <c r="G288" s="7">
        <f t="shared" si="89"/>
        <v>1</v>
      </c>
      <c r="H288" s="58">
        <v>42629</v>
      </c>
      <c r="I288" s="16"/>
      <c r="J288" s="8"/>
      <c r="K288" s="10"/>
      <c r="L288" s="10"/>
      <c r="M288" s="10"/>
      <c r="N288" s="30"/>
      <c r="O288" s="7">
        <f t="shared" si="88"/>
        <v>0</v>
      </c>
      <c r="P288" s="36"/>
    </row>
    <row r="289" spans="1:17" x14ac:dyDescent="0.15">
      <c r="A289" s="16" t="s">
        <v>278</v>
      </c>
      <c r="B289" s="8"/>
      <c r="C289" s="10"/>
      <c r="D289" s="10">
        <v>1</v>
      </c>
      <c r="E289" s="10"/>
      <c r="F289" s="30"/>
      <c r="G289" s="7">
        <f t="shared" si="89"/>
        <v>1</v>
      </c>
      <c r="H289" s="58">
        <v>42627</v>
      </c>
      <c r="I289" s="14"/>
      <c r="J289" s="8"/>
      <c r="K289" s="10"/>
      <c r="L289" s="10"/>
      <c r="M289" s="10"/>
      <c r="N289" s="30"/>
      <c r="O289" s="7">
        <f t="shared" si="88"/>
        <v>0</v>
      </c>
      <c r="P289" s="1"/>
    </row>
    <row r="290" spans="1:17" x14ac:dyDescent="0.15">
      <c r="A290" s="14" t="s">
        <v>25</v>
      </c>
      <c r="B290" s="8"/>
      <c r="C290" s="10"/>
      <c r="D290" s="10"/>
      <c r="E290" s="10"/>
      <c r="F290" s="30">
        <v>1</v>
      </c>
      <c r="G290" s="7">
        <f t="shared" si="89"/>
        <v>1</v>
      </c>
      <c r="H290" s="58">
        <v>42634</v>
      </c>
      <c r="I290" s="16"/>
      <c r="J290" s="8"/>
      <c r="K290" s="10"/>
      <c r="L290" s="10"/>
      <c r="M290" s="10"/>
      <c r="N290" s="30"/>
      <c r="O290" s="7">
        <f t="shared" si="88"/>
        <v>0</v>
      </c>
      <c r="P290" s="1"/>
    </row>
    <row r="291" spans="1:17" x14ac:dyDescent="0.15">
      <c r="A291" s="50" t="s">
        <v>276</v>
      </c>
      <c r="B291" s="8"/>
      <c r="C291" s="10"/>
      <c r="D291" s="10">
        <v>1</v>
      </c>
      <c r="E291" s="10">
        <v>4</v>
      </c>
      <c r="F291" s="30"/>
      <c r="G291" s="7">
        <f t="shared" si="89"/>
        <v>5</v>
      </c>
      <c r="H291" s="58">
        <v>42636</v>
      </c>
      <c r="I291" s="16"/>
      <c r="J291" s="8"/>
      <c r="K291" s="10"/>
      <c r="L291" s="10"/>
      <c r="M291" s="10"/>
      <c r="N291" s="30"/>
      <c r="O291" s="7">
        <f t="shared" si="88"/>
        <v>0</v>
      </c>
      <c r="P291" s="36"/>
    </row>
    <row r="292" spans="1:17" x14ac:dyDescent="0.15">
      <c r="A292" s="16" t="s">
        <v>280</v>
      </c>
      <c r="B292" s="8">
        <v>3</v>
      </c>
      <c r="C292" s="10"/>
      <c r="D292" s="10"/>
      <c r="E292" s="10"/>
      <c r="F292" s="30"/>
      <c r="G292" s="7">
        <f t="shared" si="89"/>
        <v>3</v>
      </c>
      <c r="H292" s="58">
        <v>42646</v>
      </c>
      <c r="I292" s="16"/>
      <c r="J292" s="8"/>
      <c r="K292" s="10"/>
      <c r="L292" s="10"/>
      <c r="M292" s="10"/>
      <c r="N292" s="30"/>
      <c r="O292" s="7">
        <f t="shared" si="88"/>
        <v>0</v>
      </c>
      <c r="P292" s="36"/>
    </row>
    <row r="293" spans="1:17" x14ac:dyDescent="0.15">
      <c r="A293" s="50" t="s">
        <v>276</v>
      </c>
      <c r="B293" s="8"/>
      <c r="C293" s="10"/>
      <c r="D293" s="10">
        <v>2</v>
      </c>
      <c r="E293" s="10">
        <v>1</v>
      </c>
      <c r="F293" s="30"/>
      <c r="G293" s="7">
        <f t="shared" si="89"/>
        <v>3</v>
      </c>
      <c r="H293" s="58">
        <v>42639</v>
      </c>
      <c r="I293" s="14"/>
      <c r="J293" s="8"/>
      <c r="K293" s="10"/>
      <c r="L293" s="10"/>
      <c r="M293" s="10"/>
      <c r="N293" s="30"/>
      <c r="O293" s="7">
        <f t="shared" si="88"/>
        <v>0</v>
      </c>
      <c r="P293" s="1"/>
    </row>
    <row r="294" spans="1:17" x14ac:dyDescent="0.15">
      <c r="A294" s="16" t="s">
        <v>283</v>
      </c>
      <c r="B294" s="11"/>
      <c r="C294" s="12"/>
      <c r="D294" s="12"/>
      <c r="E294" s="12">
        <v>1</v>
      </c>
      <c r="F294" s="31"/>
      <c r="G294" s="7">
        <f t="shared" si="89"/>
        <v>1</v>
      </c>
      <c r="H294" s="58">
        <v>42634</v>
      </c>
      <c r="I294" s="16"/>
      <c r="J294" s="8"/>
      <c r="K294" s="10"/>
      <c r="L294" s="10"/>
      <c r="M294" s="10"/>
      <c r="N294" s="30"/>
      <c r="O294" s="7">
        <f t="shared" si="88"/>
        <v>0</v>
      </c>
      <c r="P294" s="90"/>
      <c r="Q294" s="56"/>
    </row>
    <row r="295" spans="1:17" x14ac:dyDescent="0.15">
      <c r="A295" s="14" t="s">
        <v>25</v>
      </c>
      <c r="B295" s="8"/>
      <c r="C295" s="10">
        <v>1</v>
      </c>
      <c r="D295" s="10">
        <v>6</v>
      </c>
      <c r="E295" s="10">
        <v>9</v>
      </c>
      <c r="F295" s="30">
        <v>1</v>
      </c>
      <c r="G295" s="7">
        <f t="shared" si="89"/>
        <v>17</v>
      </c>
      <c r="H295" s="58">
        <v>42637</v>
      </c>
      <c r="I295" s="14"/>
      <c r="J295" s="8"/>
      <c r="K295" s="10"/>
      <c r="L295" s="10"/>
      <c r="M295" s="10"/>
      <c r="N295" s="30"/>
      <c r="O295" s="9">
        <f t="shared" si="88"/>
        <v>0</v>
      </c>
      <c r="P295" s="90"/>
    </row>
    <row r="296" spans="1:17" x14ac:dyDescent="0.15">
      <c r="A296" s="50" t="s">
        <v>276</v>
      </c>
      <c r="B296" s="8"/>
      <c r="C296" s="10"/>
      <c r="D296" s="10">
        <v>1</v>
      </c>
      <c r="E296" s="10"/>
      <c r="F296" s="30"/>
      <c r="G296" s="7">
        <f t="shared" si="89"/>
        <v>1</v>
      </c>
      <c r="H296" s="58">
        <v>42640</v>
      </c>
      <c r="I296" s="14"/>
      <c r="J296" s="8"/>
      <c r="K296" s="10"/>
      <c r="L296" s="10"/>
      <c r="M296" s="10"/>
      <c r="N296" s="30"/>
      <c r="O296" s="9">
        <f t="shared" si="88"/>
        <v>0</v>
      </c>
      <c r="P296" s="69"/>
    </row>
    <row r="297" spans="1:17" x14ac:dyDescent="0.15">
      <c r="A297" s="14" t="s">
        <v>282</v>
      </c>
      <c r="B297" s="8">
        <v>-3</v>
      </c>
      <c r="C297" s="10">
        <v>-1</v>
      </c>
      <c r="D297" s="10">
        <v>-2</v>
      </c>
      <c r="E297" s="10">
        <v>-4</v>
      </c>
      <c r="F297" s="30">
        <v>-3</v>
      </c>
      <c r="G297" s="7">
        <f t="shared" si="89"/>
        <v>-13</v>
      </c>
      <c r="H297" s="58">
        <v>42637</v>
      </c>
      <c r="I297" s="14"/>
      <c r="J297" s="8"/>
      <c r="K297" s="10"/>
      <c r="L297" s="10"/>
      <c r="M297" s="10"/>
      <c r="N297" s="30"/>
      <c r="O297" s="9">
        <f t="shared" si="88"/>
        <v>0</v>
      </c>
      <c r="P297" s="90"/>
    </row>
    <row r="298" spans="1:17" ht="14.25" thickBot="1" x14ac:dyDescent="0.2">
      <c r="A298" s="20"/>
      <c r="B298" s="11"/>
      <c r="C298" s="12"/>
      <c r="D298" s="12"/>
      <c r="E298" s="12"/>
      <c r="F298" s="31"/>
      <c r="G298" s="7">
        <f t="shared" si="89"/>
        <v>0</v>
      </c>
      <c r="H298" s="58"/>
      <c r="I298" s="117"/>
      <c r="J298" s="47"/>
      <c r="K298" s="118"/>
      <c r="L298" s="118"/>
      <c r="M298" s="118"/>
      <c r="N298" s="119"/>
      <c r="O298" s="40">
        <f t="shared" si="88"/>
        <v>0</v>
      </c>
      <c r="P298" s="90"/>
    </row>
    <row r="299" spans="1:17" ht="14.25" thickBot="1" x14ac:dyDescent="0.2">
      <c r="A299" s="3" t="s">
        <v>11</v>
      </c>
      <c r="B299" s="23">
        <f>SUM(B273:B298)</f>
        <v>13</v>
      </c>
      <c r="C299" s="4">
        <f>SUM(C273:C298)</f>
        <v>24</v>
      </c>
      <c r="D299" s="4">
        <f>SUM(D273:D298)</f>
        <v>14</v>
      </c>
      <c r="E299" s="6">
        <f>SUM(E273:E298)</f>
        <v>37</v>
      </c>
      <c r="F299" s="32">
        <f>SUM(F273:F298)</f>
        <v>22</v>
      </c>
      <c r="G299" s="5">
        <f>SUM(B299:F299)</f>
        <v>110</v>
      </c>
      <c r="H299" s="58"/>
      <c r="I299" s="3" t="s">
        <v>11</v>
      </c>
      <c r="J299" s="23">
        <f>SUM(J273:J298)</f>
        <v>0</v>
      </c>
      <c r="K299" s="4">
        <f>SUM(K273:K298)</f>
        <v>29</v>
      </c>
      <c r="L299" s="4">
        <f>SUM(L273:L298)</f>
        <v>0</v>
      </c>
      <c r="M299" s="6">
        <f>SUM(M273:M298)</f>
        <v>20</v>
      </c>
      <c r="N299" s="32">
        <f>SUM(N273:N298)</f>
        <v>20</v>
      </c>
      <c r="O299" s="5">
        <f>SUM(J299:N299)</f>
        <v>69</v>
      </c>
    </row>
    <row r="300" spans="1:17" ht="14.25" thickBot="1" x14ac:dyDescent="0.2">
      <c r="A300" s="25" t="s">
        <v>12</v>
      </c>
      <c r="B300" s="63">
        <f>B272-B299</f>
        <v>15</v>
      </c>
      <c r="C300" s="26">
        <f t="shared" ref="C300:G300" si="91">C272-C299</f>
        <v>12</v>
      </c>
      <c r="D300" s="71">
        <f t="shared" si="91"/>
        <v>6</v>
      </c>
      <c r="E300" s="26">
        <f t="shared" si="91"/>
        <v>7</v>
      </c>
      <c r="F300" s="70">
        <f t="shared" si="91"/>
        <v>10</v>
      </c>
      <c r="G300" s="27">
        <f t="shared" si="91"/>
        <v>50</v>
      </c>
      <c r="H300" s="58"/>
      <c r="I300" s="25" t="s">
        <v>12</v>
      </c>
      <c r="J300" s="63">
        <f>J272-J299</f>
        <v>115</v>
      </c>
      <c r="K300" s="26">
        <f t="shared" ref="K300:O300" si="92">K272-K299</f>
        <v>97</v>
      </c>
      <c r="L300" s="71">
        <f t="shared" si="92"/>
        <v>75</v>
      </c>
      <c r="M300" s="26">
        <f t="shared" si="92"/>
        <v>58</v>
      </c>
      <c r="N300" s="70">
        <f t="shared" si="92"/>
        <v>22</v>
      </c>
      <c r="O300" s="27">
        <f t="shared" si="92"/>
        <v>367</v>
      </c>
    </row>
    <row r="301" spans="1:17" ht="21" x14ac:dyDescent="0.2">
      <c r="A301" s="83" t="s">
        <v>48</v>
      </c>
      <c r="B301" s="77"/>
      <c r="C301" s="77"/>
      <c r="D301" s="77"/>
      <c r="E301" s="77"/>
      <c r="F301" s="77"/>
      <c r="G301" s="77"/>
      <c r="H301" s="58"/>
      <c r="I301" s="83" t="s">
        <v>48</v>
      </c>
      <c r="J301" s="77"/>
      <c r="K301" s="77"/>
      <c r="L301" s="77"/>
      <c r="M301" s="77"/>
      <c r="N301" s="77"/>
      <c r="O301" s="77"/>
    </row>
    <row r="302" spans="1:17" ht="21.75" thickBot="1" x14ac:dyDescent="0.25">
      <c r="A302" s="83" t="s">
        <v>47</v>
      </c>
      <c r="B302" s="77"/>
      <c r="C302" s="77"/>
      <c r="D302" s="77"/>
      <c r="E302" s="84"/>
      <c r="F302" s="78" t="s">
        <v>53</v>
      </c>
      <c r="G302" s="77"/>
      <c r="H302" s="58"/>
      <c r="I302" s="83" t="s">
        <v>47</v>
      </c>
      <c r="J302" s="77"/>
      <c r="K302" s="77"/>
      <c r="L302" s="77"/>
      <c r="M302" s="84"/>
      <c r="N302" s="78" t="s">
        <v>54</v>
      </c>
      <c r="O302" s="77"/>
    </row>
    <row r="303" spans="1:17" ht="14.25" thickBot="1" x14ac:dyDescent="0.2">
      <c r="A303" s="13" t="s">
        <v>0</v>
      </c>
      <c r="B303" s="228" t="s">
        <v>49</v>
      </c>
      <c r="C303" s="229"/>
      <c r="D303" s="229"/>
      <c r="E303" s="229"/>
      <c r="F303" s="230"/>
      <c r="G303" s="231"/>
      <c r="H303" s="58"/>
      <c r="I303" s="13" t="s">
        <v>0</v>
      </c>
      <c r="J303" s="232" t="s">
        <v>49</v>
      </c>
      <c r="K303" s="233"/>
      <c r="L303" s="233"/>
      <c r="M303" s="233"/>
      <c r="N303" s="233"/>
      <c r="O303" s="234"/>
    </row>
    <row r="304" spans="1:17" ht="14.25" thickBot="1" x14ac:dyDescent="0.2">
      <c r="A304" s="3" t="s">
        <v>1</v>
      </c>
      <c r="B304" s="2" t="s">
        <v>42</v>
      </c>
      <c r="C304" s="21" t="s">
        <v>43</v>
      </c>
      <c r="D304" s="21" t="s">
        <v>44</v>
      </c>
      <c r="E304" s="24" t="s">
        <v>45</v>
      </c>
      <c r="F304" s="33" t="s">
        <v>46</v>
      </c>
      <c r="G304" s="34" t="s">
        <v>2</v>
      </c>
      <c r="H304" s="58"/>
      <c r="I304" s="3" t="s">
        <v>1</v>
      </c>
      <c r="J304" s="2" t="s">
        <v>42</v>
      </c>
      <c r="K304" s="21" t="s">
        <v>43</v>
      </c>
      <c r="L304" s="21" t="s">
        <v>44</v>
      </c>
      <c r="M304" s="24" t="s">
        <v>45</v>
      </c>
      <c r="N304" s="33" t="s">
        <v>46</v>
      </c>
      <c r="O304" s="3" t="s">
        <v>2</v>
      </c>
    </row>
    <row r="305" spans="1:16" ht="14.25" thickBot="1" x14ac:dyDescent="0.2">
      <c r="A305" s="116" t="s">
        <v>79</v>
      </c>
      <c r="B305" s="95">
        <f>B300</f>
        <v>15</v>
      </c>
      <c r="C305" s="97">
        <f t="shared" ref="C305:F305" si="93">C300</f>
        <v>12</v>
      </c>
      <c r="D305" s="55">
        <f t="shared" si="93"/>
        <v>6</v>
      </c>
      <c r="E305" s="98">
        <f t="shared" si="93"/>
        <v>7</v>
      </c>
      <c r="F305" s="98">
        <f t="shared" si="93"/>
        <v>10</v>
      </c>
      <c r="G305" s="52">
        <f t="shared" ref="G305:G314" si="94">SUM(B305:F305)</f>
        <v>50</v>
      </c>
      <c r="H305" s="58"/>
      <c r="I305" s="72" t="s">
        <v>79</v>
      </c>
      <c r="J305" s="73">
        <f>J300</f>
        <v>115</v>
      </c>
      <c r="K305" s="74">
        <f t="shared" ref="K305:N305" si="95">K300</f>
        <v>97</v>
      </c>
      <c r="L305" s="107">
        <f t="shared" si="95"/>
        <v>75</v>
      </c>
      <c r="M305" s="75">
        <f t="shared" si="95"/>
        <v>58</v>
      </c>
      <c r="N305" s="75">
        <f t="shared" si="95"/>
        <v>22</v>
      </c>
      <c r="O305" s="76">
        <f t="shared" ref="O305:O314" si="96">SUM(J305:N305)</f>
        <v>367</v>
      </c>
    </row>
    <row r="306" spans="1:16" x14ac:dyDescent="0.15">
      <c r="A306" s="38" t="s">
        <v>14</v>
      </c>
      <c r="B306" s="8"/>
      <c r="C306" s="10"/>
      <c r="D306" s="10">
        <v>10</v>
      </c>
      <c r="E306" s="10">
        <v>10</v>
      </c>
      <c r="F306" s="30">
        <v>5</v>
      </c>
      <c r="G306" s="7">
        <f t="shared" si="94"/>
        <v>25</v>
      </c>
      <c r="H306" s="58">
        <v>42639</v>
      </c>
      <c r="I306" s="38" t="s">
        <v>14</v>
      </c>
      <c r="J306" s="37"/>
      <c r="K306" s="35"/>
      <c r="L306" s="35"/>
      <c r="M306" s="35"/>
      <c r="N306" s="28"/>
      <c r="O306" s="7">
        <f t="shared" si="96"/>
        <v>0</v>
      </c>
    </row>
    <row r="307" spans="1:16" x14ac:dyDescent="0.15">
      <c r="A307" s="38" t="s">
        <v>17</v>
      </c>
      <c r="B307" s="8"/>
      <c r="C307" s="10">
        <v>1</v>
      </c>
      <c r="D307" s="10"/>
      <c r="E307" s="10"/>
      <c r="F307" s="28"/>
      <c r="G307" s="9">
        <f t="shared" si="94"/>
        <v>1</v>
      </c>
      <c r="H307" s="58">
        <v>42640</v>
      </c>
      <c r="I307" s="15" t="s">
        <v>3</v>
      </c>
      <c r="J307" s="8"/>
      <c r="K307" s="10"/>
      <c r="L307" s="10"/>
      <c r="M307" s="10"/>
      <c r="N307" s="28"/>
      <c r="O307" s="9">
        <f t="shared" si="96"/>
        <v>0</v>
      </c>
      <c r="P307" s="36"/>
    </row>
    <row r="308" spans="1:16" x14ac:dyDescent="0.15">
      <c r="A308" s="38" t="s">
        <v>4</v>
      </c>
      <c r="B308" s="8"/>
      <c r="C308" s="10"/>
      <c r="D308" s="10">
        <v>10</v>
      </c>
      <c r="E308" s="10"/>
      <c r="F308" s="28"/>
      <c r="G308" s="9">
        <f t="shared" si="94"/>
        <v>10</v>
      </c>
      <c r="H308" s="58">
        <v>42646</v>
      </c>
      <c r="I308" s="15" t="s">
        <v>4</v>
      </c>
      <c r="J308" s="8"/>
      <c r="K308" s="10"/>
      <c r="L308" s="10"/>
      <c r="M308" s="10"/>
      <c r="N308" s="28"/>
      <c r="O308" s="9">
        <f t="shared" si="96"/>
        <v>0</v>
      </c>
    </row>
    <row r="309" spans="1:16" x14ac:dyDescent="0.15">
      <c r="A309" s="38" t="s">
        <v>17</v>
      </c>
      <c r="B309" s="8"/>
      <c r="C309" s="10">
        <v>1</v>
      </c>
      <c r="D309" s="10">
        <v>2</v>
      </c>
      <c r="E309" s="10">
        <v>1</v>
      </c>
      <c r="F309" s="28">
        <v>1</v>
      </c>
      <c r="G309" s="9">
        <f t="shared" si="94"/>
        <v>5</v>
      </c>
      <c r="H309" s="58">
        <v>42649</v>
      </c>
      <c r="I309" s="15" t="s">
        <v>5</v>
      </c>
      <c r="J309" s="8"/>
      <c r="K309" s="10"/>
      <c r="L309" s="10"/>
      <c r="M309" s="10"/>
      <c r="N309" s="28"/>
      <c r="O309" s="9">
        <f t="shared" si="96"/>
        <v>0</v>
      </c>
    </row>
    <row r="310" spans="1:16" x14ac:dyDescent="0.15">
      <c r="A310" s="38" t="s">
        <v>19</v>
      </c>
      <c r="B310" s="8"/>
      <c r="C310" s="10">
        <v>2</v>
      </c>
      <c r="D310" s="10"/>
      <c r="E310" s="10">
        <v>1</v>
      </c>
      <c r="F310" s="28"/>
      <c r="G310" s="9">
        <f t="shared" si="94"/>
        <v>3</v>
      </c>
      <c r="H310" s="58">
        <v>42654</v>
      </c>
      <c r="I310" s="15" t="s">
        <v>6</v>
      </c>
      <c r="J310" s="8"/>
      <c r="K310" s="10"/>
      <c r="L310" s="10"/>
      <c r="M310" s="10"/>
      <c r="N310" s="28"/>
      <c r="O310" s="9">
        <f t="shared" si="96"/>
        <v>0</v>
      </c>
    </row>
    <row r="311" spans="1:16" x14ac:dyDescent="0.15">
      <c r="A311" s="38" t="s">
        <v>84</v>
      </c>
      <c r="B311" s="11"/>
      <c r="C311" s="12"/>
      <c r="D311" s="12"/>
      <c r="E311" s="12">
        <v>10</v>
      </c>
      <c r="F311" s="31"/>
      <c r="G311" s="7">
        <f t="shared" si="94"/>
        <v>10</v>
      </c>
      <c r="H311" s="58">
        <v>42656</v>
      </c>
      <c r="I311" s="15" t="s">
        <v>84</v>
      </c>
      <c r="J311" s="11"/>
      <c r="K311" s="12"/>
      <c r="L311" s="12"/>
      <c r="M311" s="12"/>
      <c r="N311" s="31"/>
      <c r="O311" s="7">
        <f t="shared" si="96"/>
        <v>0</v>
      </c>
    </row>
    <row r="312" spans="1:16" x14ac:dyDescent="0.15">
      <c r="A312" s="38" t="s">
        <v>19</v>
      </c>
      <c r="B312" s="8"/>
      <c r="C312" s="10">
        <v>1</v>
      </c>
      <c r="D312" s="10">
        <v>1</v>
      </c>
      <c r="E312" s="10">
        <v>1</v>
      </c>
      <c r="F312" s="30">
        <v>1</v>
      </c>
      <c r="G312" s="7">
        <f t="shared" si="94"/>
        <v>4</v>
      </c>
      <c r="H312" s="58">
        <v>42664</v>
      </c>
      <c r="I312" s="15" t="s">
        <v>85</v>
      </c>
      <c r="J312" s="8"/>
      <c r="K312" s="10"/>
      <c r="L312" s="10"/>
      <c r="M312" s="10"/>
      <c r="N312" s="30"/>
      <c r="O312" s="7">
        <f t="shared" si="96"/>
        <v>0</v>
      </c>
      <c r="P312" s="58"/>
    </row>
    <row r="313" spans="1:16" x14ac:dyDescent="0.15">
      <c r="A313" s="15" t="s">
        <v>86</v>
      </c>
      <c r="B313" s="11">
        <v>10</v>
      </c>
      <c r="C313" s="100">
        <v>5</v>
      </c>
      <c r="D313" s="100"/>
      <c r="E313" s="100"/>
      <c r="F313" s="101"/>
      <c r="G313" s="102">
        <f t="shared" si="94"/>
        <v>15</v>
      </c>
      <c r="H313" s="58">
        <v>42668</v>
      </c>
      <c r="I313" s="16" t="s">
        <v>88</v>
      </c>
      <c r="J313" s="8"/>
      <c r="K313" s="10"/>
      <c r="L313" s="10"/>
      <c r="M313" s="10"/>
      <c r="N313" s="30"/>
      <c r="O313" s="7">
        <f t="shared" si="96"/>
        <v>0</v>
      </c>
      <c r="P313" s="58"/>
    </row>
    <row r="314" spans="1:16" ht="14.25" thickBot="1" x14ac:dyDescent="0.2">
      <c r="A314" s="15" t="s">
        <v>87</v>
      </c>
      <c r="B314" s="11"/>
      <c r="C314" s="100"/>
      <c r="D314" s="100">
        <v>10</v>
      </c>
      <c r="E314" s="100"/>
      <c r="F314" s="101">
        <v>5</v>
      </c>
      <c r="G314" s="102">
        <f t="shared" si="94"/>
        <v>15</v>
      </c>
      <c r="H314" s="58">
        <v>42669</v>
      </c>
      <c r="I314" s="15" t="s">
        <v>87</v>
      </c>
      <c r="J314" s="11"/>
      <c r="K314" s="100"/>
      <c r="L314" s="100"/>
      <c r="M314" s="100"/>
      <c r="N314" s="101"/>
      <c r="O314" s="102">
        <f t="shared" si="96"/>
        <v>0</v>
      </c>
      <c r="P314" s="58"/>
    </row>
    <row r="315" spans="1:16" ht="14.25" thickBot="1" x14ac:dyDescent="0.2">
      <c r="A315" s="72" t="s">
        <v>7</v>
      </c>
      <c r="B315" s="73">
        <f>SUM(B305:B314)</f>
        <v>25</v>
      </c>
      <c r="C315" s="74">
        <f t="shared" ref="C315:G315" si="97">SUM(C305:C314)</f>
        <v>22</v>
      </c>
      <c r="D315" s="74">
        <f t="shared" si="97"/>
        <v>39</v>
      </c>
      <c r="E315" s="74">
        <f t="shared" si="97"/>
        <v>30</v>
      </c>
      <c r="F315" s="105">
        <f t="shared" si="97"/>
        <v>22</v>
      </c>
      <c r="G315" s="105">
        <f t="shared" si="97"/>
        <v>138</v>
      </c>
      <c r="H315" s="58"/>
      <c r="I315" s="72" t="s">
        <v>7</v>
      </c>
      <c r="J315" s="73">
        <f>SUM(J305:J314)</f>
        <v>115</v>
      </c>
      <c r="K315" s="74">
        <f t="shared" ref="K315:O315" si="98">SUM(K305:K314)</f>
        <v>97</v>
      </c>
      <c r="L315" s="74">
        <f t="shared" si="98"/>
        <v>75</v>
      </c>
      <c r="M315" s="74">
        <f t="shared" si="98"/>
        <v>58</v>
      </c>
      <c r="N315" s="105">
        <f t="shared" si="98"/>
        <v>22</v>
      </c>
      <c r="O315" s="105">
        <f t="shared" si="98"/>
        <v>367</v>
      </c>
      <c r="P315" s="58"/>
    </row>
    <row r="316" spans="1:16" x14ac:dyDescent="0.15">
      <c r="A316" s="50" t="s">
        <v>276</v>
      </c>
      <c r="B316" s="8">
        <v>3</v>
      </c>
      <c r="C316" s="10">
        <v>2</v>
      </c>
      <c r="D316" s="10"/>
      <c r="E316" s="10"/>
      <c r="F316" s="30"/>
      <c r="G316" s="7">
        <f>SUM(B316:F316)</f>
        <v>5</v>
      </c>
      <c r="H316" s="58">
        <v>42641</v>
      </c>
      <c r="I316" s="16" t="s">
        <v>24</v>
      </c>
      <c r="J316" s="8"/>
      <c r="K316" s="10"/>
      <c r="L316" s="10">
        <v>10</v>
      </c>
      <c r="M316" s="10">
        <v>10</v>
      </c>
      <c r="N316" s="30">
        <v>5</v>
      </c>
      <c r="O316" s="7">
        <f t="shared" ref="O316:O317" si="99">SUM(J316:N316)</f>
        <v>25</v>
      </c>
      <c r="P316" s="36">
        <v>42639</v>
      </c>
    </row>
    <row r="317" spans="1:16" x14ac:dyDescent="0.15">
      <c r="A317" s="14" t="s">
        <v>289</v>
      </c>
      <c r="B317" s="8"/>
      <c r="C317" s="10"/>
      <c r="D317" s="10">
        <v>1</v>
      </c>
      <c r="E317" s="10"/>
      <c r="F317" s="30"/>
      <c r="G317" s="7">
        <f t="shared" ref="G317:G341" si="100">SUM(B317:F317)</f>
        <v>1</v>
      </c>
      <c r="H317" s="58">
        <v>42639</v>
      </c>
      <c r="I317" s="16" t="s">
        <v>24</v>
      </c>
      <c r="J317" s="8"/>
      <c r="K317" s="10"/>
      <c r="L317" s="10">
        <v>10</v>
      </c>
      <c r="M317" s="10"/>
      <c r="N317" s="30"/>
      <c r="O317" s="7">
        <f t="shared" si="99"/>
        <v>10</v>
      </c>
      <c r="P317" s="58">
        <v>42646</v>
      </c>
    </row>
    <row r="318" spans="1:16" x14ac:dyDescent="0.15">
      <c r="A318" s="14" t="s">
        <v>287</v>
      </c>
      <c r="B318" s="8"/>
      <c r="C318" s="10"/>
      <c r="D318" s="10">
        <v>10</v>
      </c>
      <c r="E318" s="10"/>
      <c r="F318" s="30"/>
      <c r="G318" s="7">
        <f t="shared" si="100"/>
        <v>10</v>
      </c>
      <c r="H318" s="58">
        <v>42646</v>
      </c>
      <c r="I318" s="16" t="s">
        <v>24</v>
      </c>
      <c r="J318" s="8"/>
      <c r="K318" s="10"/>
      <c r="L318" s="10"/>
      <c r="M318" s="10">
        <v>10</v>
      </c>
      <c r="N318" s="30"/>
      <c r="O318" s="7">
        <f t="shared" ref="O318:O341" si="101">SUM(J318:N318)</f>
        <v>10</v>
      </c>
      <c r="P318" s="58">
        <v>42656</v>
      </c>
    </row>
    <row r="319" spans="1:16" x14ac:dyDescent="0.15">
      <c r="A319" s="14" t="s">
        <v>25</v>
      </c>
      <c r="B319" s="8"/>
      <c r="C319" s="10"/>
      <c r="D319" s="10">
        <v>1</v>
      </c>
      <c r="E319" s="10"/>
      <c r="F319" s="30">
        <v>3</v>
      </c>
      <c r="G319" s="7">
        <f t="shared" si="100"/>
        <v>4</v>
      </c>
      <c r="H319" s="58">
        <v>42641</v>
      </c>
      <c r="I319" s="16" t="s">
        <v>24</v>
      </c>
      <c r="J319" s="8">
        <v>10</v>
      </c>
      <c r="K319" s="10">
        <v>5</v>
      </c>
      <c r="L319" s="10"/>
      <c r="M319" s="10"/>
      <c r="N319" s="30"/>
      <c r="O319" s="7">
        <f t="shared" si="101"/>
        <v>15</v>
      </c>
      <c r="P319" s="58">
        <v>42668</v>
      </c>
    </row>
    <row r="320" spans="1:16" x14ac:dyDescent="0.15">
      <c r="A320" s="16" t="s">
        <v>182</v>
      </c>
      <c r="B320" s="8"/>
      <c r="C320" s="10"/>
      <c r="D320" s="10"/>
      <c r="E320" s="10"/>
      <c r="F320" s="30">
        <v>2</v>
      </c>
      <c r="G320" s="7">
        <f t="shared" si="100"/>
        <v>2</v>
      </c>
      <c r="H320" s="58">
        <v>42641</v>
      </c>
      <c r="I320" s="16" t="s">
        <v>24</v>
      </c>
      <c r="J320" s="8"/>
      <c r="K320" s="10"/>
      <c r="L320" s="10">
        <v>10</v>
      </c>
      <c r="M320" s="10"/>
      <c r="N320" s="30">
        <v>5</v>
      </c>
      <c r="O320" s="7">
        <f t="shared" si="101"/>
        <v>15</v>
      </c>
      <c r="P320" s="58">
        <v>42669</v>
      </c>
    </row>
    <row r="321" spans="1:16" x14ac:dyDescent="0.15">
      <c r="A321" s="16" t="s">
        <v>182</v>
      </c>
      <c r="B321" s="8">
        <v>2</v>
      </c>
      <c r="C321" s="10"/>
      <c r="D321" s="10"/>
      <c r="E321" s="10"/>
      <c r="F321" s="30"/>
      <c r="G321" s="7">
        <f t="shared" si="100"/>
        <v>2</v>
      </c>
      <c r="H321" s="58">
        <v>42643</v>
      </c>
      <c r="I321" s="16" t="s">
        <v>24</v>
      </c>
      <c r="J321" s="8"/>
      <c r="K321" s="10">
        <v>15</v>
      </c>
      <c r="L321" s="10"/>
      <c r="M321" s="10"/>
      <c r="N321" s="30"/>
      <c r="O321" s="7">
        <f t="shared" si="101"/>
        <v>15</v>
      </c>
      <c r="P321" s="58">
        <v>42678</v>
      </c>
    </row>
    <row r="322" spans="1:16" x14ac:dyDescent="0.15">
      <c r="A322" s="50" t="s">
        <v>290</v>
      </c>
      <c r="B322" s="8"/>
      <c r="C322" s="10"/>
      <c r="D322" s="10">
        <v>-1</v>
      </c>
      <c r="E322" s="10">
        <v>1</v>
      </c>
      <c r="F322" s="30"/>
      <c r="G322" s="7">
        <f t="shared" si="100"/>
        <v>0</v>
      </c>
      <c r="H322" s="58">
        <v>42642</v>
      </c>
      <c r="I322" s="16" t="s">
        <v>24</v>
      </c>
      <c r="J322" s="8"/>
      <c r="K322" s="10"/>
      <c r="L322" s="10"/>
      <c r="M322" s="10">
        <v>10</v>
      </c>
      <c r="N322" s="30"/>
      <c r="O322" s="7">
        <f t="shared" si="101"/>
        <v>10</v>
      </c>
      <c r="P322" s="58">
        <v>42683</v>
      </c>
    </row>
    <row r="323" spans="1:16" x14ac:dyDescent="0.15">
      <c r="A323" s="16" t="s">
        <v>182</v>
      </c>
      <c r="B323" s="8"/>
      <c r="C323" s="10"/>
      <c r="D323" s="10">
        <v>1</v>
      </c>
      <c r="E323" s="10"/>
      <c r="F323" s="30"/>
      <c r="G323" s="7">
        <f t="shared" si="100"/>
        <v>1</v>
      </c>
      <c r="H323" s="58">
        <v>42647</v>
      </c>
      <c r="I323" s="16" t="s">
        <v>24</v>
      </c>
      <c r="J323" s="8"/>
      <c r="K323" s="10">
        <v>10</v>
      </c>
      <c r="L323" s="10"/>
      <c r="M323" s="10">
        <v>10</v>
      </c>
      <c r="N323" s="30">
        <v>12</v>
      </c>
      <c r="O323" s="7">
        <f t="shared" si="101"/>
        <v>32</v>
      </c>
      <c r="P323" s="58">
        <v>42684</v>
      </c>
    </row>
    <row r="324" spans="1:16" x14ac:dyDescent="0.15">
      <c r="A324" s="16" t="s">
        <v>182</v>
      </c>
      <c r="B324" s="8"/>
      <c r="C324" s="10"/>
      <c r="D324" s="10"/>
      <c r="E324" s="10"/>
      <c r="F324" s="30">
        <v>1</v>
      </c>
      <c r="G324" s="7">
        <f t="shared" si="100"/>
        <v>1</v>
      </c>
      <c r="H324" s="58">
        <v>42647</v>
      </c>
      <c r="I324" s="39"/>
      <c r="J324" s="8"/>
      <c r="K324" s="10"/>
      <c r="L324" s="10"/>
      <c r="M324" s="10"/>
      <c r="N324" s="30"/>
      <c r="O324" s="7">
        <f t="shared" si="101"/>
        <v>0</v>
      </c>
    </row>
    <row r="325" spans="1:16" x14ac:dyDescent="0.15">
      <c r="A325" s="16" t="s">
        <v>293</v>
      </c>
      <c r="B325" s="11"/>
      <c r="C325" s="12"/>
      <c r="D325" s="12"/>
      <c r="E325" s="12">
        <v>1</v>
      </c>
      <c r="F325" s="31"/>
      <c r="G325" s="7">
        <f t="shared" si="100"/>
        <v>1</v>
      </c>
      <c r="H325" s="58">
        <v>42646</v>
      </c>
      <c r="I325" s="16"/>
      <c r="J325" s="11"/>
      <c r="K325" s="12"/>
      <c r="L325" s="12"/>
      <c r="M325" s="12"/>
      <c r="N325" s="31"/>
      <c r="O325" s="7">
        <f t="shared" si="101"/>
        <v>0</v>
      </c>
    </row>
    <row r="326" spans="1:16" x14ac:dyDescent="0.15">
      <c r="A326" s="16" t="s">
        <v>31</v>
      </c>
      <c r="B326" s="8"/>
      <c r="C326" s="10">
        <v>3</v>
      </c>
      <c r="D326" s="10">
        <v>3</v>
      </c>
      <c r="E326" s="10"/>
      <c r="F326" s="30"/>
      <c r="G326" s="7">
        <f t="shared" si="100"/>
        <v>6</v>
      </c>
      <c r="H326" s="58">
        <v>42653</v>
      </c>
      <c r="I326" s="16"/>
      <c r="J326" s="8"/>
      <c r="K326" s="10"/>
      <c r="L326" s="10"/>
      <c r="M326" s="10"/>
      <c r="N326" s="30"/>
      <c r="O326" s="7">
        <f t="shared" si="101"/>
        <v>0</v>
      </c>
    </row>
    <row r="327" spans="1:16" x14ac:dyDescent="0.15">
      <c r="A327" s="14" t="s">
        <v>25</v>
      </c>
      <c r="B327" s="8"/>
      <c r="C327" s="10">
        <v>1</v>
      </c>
      <c r="D327" s="10"/>
      <c r="E327" s="10"/>
      <c r="F327" s="30"/>
      <c r="G327" s="7">
        <f t="shared" si="100"/>
        <v>1</v>
      </c>
      <c r="H327" s="58">
        <v>42654</v>
      </c>
      <c r="I327" s="14"/>
      <c r="J327" s="8"/>
      <c r="K327" s="10"/>
      <c r="L327" s="10"/>
      <c r="M327" s="10"/>
      <c r="N327" s="30"/>
      <c r="O327" s="7">
        <f t="shared" si="101"/>
        <v>0</v>
      </c>
    </row>
    <row r="328" spans="1:16" x14ac:dyDescent="0.15">
      <c r="A328" s="14" t="s">
        <v>22</v>
      </c>
      <c r="B328" s="8"/>
      <c r="C328" s="10"/>
      <c r="D328" s="10"/>
      <c r="E328" s="10">
        <v>10</v>
      </c>
      <c r="F328" s="30">
        <v>5</v>
      </c>
      <c r="G328" s="7">
        <f t="shared" si="100"/>
        <v>15</v>
      </c>
      <c r="H328" s="58">
        <v>42660</v>
      </c>
      <c r="I328" s="16"/>
      <c r="J328" s="8"/>
      <c r="K328" s="10"/>
      <c r="L328" s="10"/>
      <c r="M328" s="10"/>
      <c r="N328" s="30"/>
      <c r="O328" s="7">
        <f t="shared" si="101"/>
        <v>0</v>
      </c>
    </row>
    <row r="329" spans="1:16" x14ac:dyDescent="0.15">
      <c r="A329" s="14" t="s">
        <v>25</v>
      </c>
      <c r="B329" s="8"/>
      <c r="C329" s="10"/>
      <c r="D329" s="10"/>
      <c r="E329" s="10">
        <v>1</v>
      </c>
      <c r="F329" s="30"/>
      <c r="G329" s="7">
        <f t="shared" si="100"/>
        <v>1</v>
      </c>
      <c r="H329" s="58">
        <v>42656</v>
      </c>
      <c r="I329" s="64"/>
      <c r="J329" s="8"/>
      <c r="K329" s="10"/>
      <c r="L329" s="10"/>
      <c r="M329" s="10"/>
      <c r="N329" s="30"/>
      <c r="O329" s="7">
        <f t="shared" si="101"/>
        <v>0</v>
      </c>
    </row>
    <row r="330" spans="1:16" x14ac:dyDescent="0.15">
      <c r="A330" s="16" t="s">
        <v>31</v>
      </c>
      <c r="B330" s="8">
        <v>2</v>
      </c>
      <c r="C330" s="10"/>
      <c r="D330" s="10"/>
      <c r="E330" s="10">
        <v>2</v>
      </c>
      <c r="F330" s="30"/>
      <c r="G330" s="7">
        <f t="shared" si="100"/>
        <v>4</v>
      </c>
      <c r="H330" s="58">
        <v>42664</v>
      </c>
      <c r="I330" s="16"/>
      <c r="J330" s="8"/>
      <c r="K330" s="10"/>
      <c r="L330" s="10"/>
      <c r="M330" s="10"/>
      <c r="N330" s="30"/>
      <c r="O330" s="7">
        <f t="shared" si="101"/>
        <v>0</v>
      </c>
    </row>
    <row r="331" spans="1:16" x14ac:dyDescent="0.15">
      <c r="A331" s="16" t="s">
        <v>31</v>
      </c>
      <c r="B331" s="8">
        <v>1</v>
      </c>
      <c r="C331" s="10">
        <v>1</v>
      </c>
      <c r="D331" s="10"/>
      <c r="E331" s="10"/>
      <c r="F331" s="30"/>
      <c r="G331" s="7">
        <f t="shared" si="100"/>
        <v>2</v>
      </c>
      <c r="H331" s="58">
        <v>42669</v>
      </c>
      <c r="I331" s="16"/>
      <c r="J331" s="8"/>
      <c r="K331" s="10"/>
      <c r="L331" s="10"/>
      <c r="M331" s="10"/>
      <c r="N331" s="30"/>
      <c r="O331" s="7">
        <f t="shared" si="101"/>
        <v>0</v>
      </c>
    </row>
    <row r="332" spans="1:16" x14ac:dyDescent="0.15">
      <c r="A332" s="16" t="s">
        <v>31</v>
      </c>
      <c r="B332" s="8">
        <v>1</v>
      </c>
      <c r="C332" s="10"/>
      <c r="D332" s="10"/>
      <c r="E332" s="10"/>
      <c r="F332" s="30">
        <v>3</v>
      </c>
      <c r="G332" s="7">
        <f t="shared" si="100"/>
        <v>4</v>
      </c>
      <c r="H332" s="58">
        <v>42669</v>
      </c>
      <c r="I332" s="14"/>
      <c r="J332" s="8"/>
      <c r="K332" s="10"/>
      <c r="L332" s="10"/>
      <c r="M332" s="10"/>
      <c r="N332" s="30"/>
      <c r="O332" s="7">
        <f t="shared" si="101"/>
        <v>0</v>
      </c>
      <c r="P332" s="58"/>
    </row>
    <row r="333" spans="1:16" x14ac:dyDescent="0.15">
      <c r="A333" s="14" t="s">
        <v>22</v>
      </c>
      <c r="B333" s="8"/>
      <c r="C333" s="10"/>
      <c r="D333" s="10">
        <v>10</v>
      </c>
      <c r="E333" s="10"/>
      <c r="F333" s="30"/>
      <c r="G333" s="7">
        <f t="shared" si="100"/>
        <v>10</v>
      </c>
      <c r="H333" s="58">
        <v>42671</v>
      </c>
      <c r="I333" s="16"/>
      <c r="J333" s="8"/>
      <c r="K333" s="10"/>
      <c r="L333" s="10"/>
      <c r="M333" s="10"/>
      <c r="N333" s="30"/>
      <c r="O333" s="7">
        <f t="shared" si="101"/>
        <v>0</v>
      </c>
      <c r="P333" s="58"/>
    </row>
    <row r="334" spans="1:16" x14ac:dyDescent="0.15">
      <c r="A334" s="16" t="s">
        <v>306</v>
      </c>
      <c r="B334" s="8"/>
      <c r="C334" s="10">
        <v>2</v>
      </c>
      <c r="D334" s="10"/>
      <c r="E334" s="10">
        <v>3</v>
      </c>
      <c r="F334" s="30"/>
      <c r="G334" s="7">
        <f t="shared" si="100"/>
        <v>5</v>
      </c>
      <c r="H334" s="58">
        <v>42670</v>
      </c>
      <c r="I334" s="16"/>
      <c r="J334" s="8"/>
      <c r="K334" s="10"/>
      <c r="L334" s="10"/>
      <c r="M334" s="10"/>
      <c r="N334" s="30"/>
      <c r="O334" s="7">
        <f t="shared" si="101"/>
        <v>0</v>
      </c>
      <c r="P334" s="58"/>
    </row>
    <row r="335" spans="1:16" x14ac:dyDescent="0.15">
      <c r="A335" s="16" t="s">
        <v>307</v>
      </c>
      <c r="B335" s="8"/>
      <c r="C335" s="10"/>
      <c r="D335" s="10"/>
      <c r="E335" s="10">
        <v>2</v>
      </c>
      <c r="F335" s="30"/>
      <c r="G335" s="7">
        <f t="shared" si="100"/>
        <v>2</v>
      </c>
      <c r="H335" s="58">
        <v>42678</v>
      </c>
      <c r="I335" s="16"/>
      <c r="J335" s="8"/>
      <c r="K335" s="10"/>
      <c r="L335" s="10"/>
      <c r="M335" s="10"/>
      <c r="N335" s="30"/>
      <c r="O335" s="7">
        <f t="shared" si="101"/>
        <v>0</v>
      </c>
    </row>
    <row r="336" spans="1:16" x14ac:dyDescent="0.15">
      <c r="A336" s="16" t="s">
        <v>31</v>
      </c>
      <c r="B336" s="8"/>
      <c r="C336" s="10">
        <v>4</v>
      </c>
      <c r="D336" s="10"/>
      <c r="E336" s="10">
        <v>1</v>
      </c>
      <c r="F336" s="30">
        <v>1</v>
      </c>
      <c r="G336" s="7">
        <f t="shared" si="100"/>
        <v>6</v>
      </c>
      <c r="H336" s="58">
        <v>42678</v>
      </c>
      <c r="I336" s="14"/>
      <c r="J336" s="8"/>
      <c r="K336" s="10"/>
      <c r="L336" s="10"/>
      <c r="M336" s="10"/>
      <c r="N336" s="30"/>
      <c r="O336" s="7">
        <f t="shared" si="101"/>
        <v>0</v>
      </c>
    </row>
    <row r="337" spans="1:17" x14ac:dyDescent="0.15">
      <c r="A337" s="16" t="s">
        <v>182</v>
      </c>
      <c r="B337" s="11"/>
      <c r="C337" s="12">
        <v>1</v>
      </c>
      <c r="D337" s="12"/>
      <c r="E337" s="12"/>
      <c r="F337" s="31"/>
      <c r="G337" s="7">
        <f t="shared" si="100"/>
        <v>1</v>
      </c>
      <c r="H337" s="58">
        <v>42672</v>
      </c>
      <c r="I337" s="16"/>
      <c r="J337" s="8"/>
      <c r="K337" s="10"/>
      <c r="L337" s="10"/>
      <c r="M337" s="10"/>
      <c r="N337" s="30"/>
      <c r="O337" s="7">
        <f t="shared" si="101"/>
        <v>0</v>
      </c>
      <c r="P337" s="36"/>
    </row>
    <row r="338" spans="1:17" x14ac:dyDescent="0.15">
      <c r="A338" s="14"/>
      <c r="B338" s="8"/>
      <c r="C338" s="10"/>
      <c r="D338" s="10"/>
      <c r="E338" s="10"/>
      <c r="F338" s="30"/>
      <c r="G338" s="7">
        <f t="shared" si="100"/>
        <v>0</v>
      </c>
      <c r="H338" s="58"/>
      <c r="I338" s="16"/>
      <c r="J338" s="8"/>
      <c r="K338" s="10"/>
      <c r="L338" s="10"/>
      <c r="M338" s="10"/>
      <c r="N338" s="30"/>
      <c r="O338" s="7">
        <f t="shared" ref="O338:O340" si="102">SUM(J338:N338)</f>
        <v>0</v>
      </c>
      <c r="P338" s="36"/>
    </row>
    <row r="339" spans="1:17" x14ac:dyDescent="0.15">
      <c r="A339" s="16"/>
      <c r="B339" s="8"/>
      <c r="C339" s="10"/>
      <c r="D339" s="10"/>
      <c r="E339" s="10"/>
      <c r="F339" s="30"/>
      <c r="G339" s="7">
        <f t="shared" si="100"/>
        <v>0</v>
      </c>
      <c r="H339" s="58"/>
      <c r="I339" s="14"/>
      <c r="J339" s="8"/>
      <c r="K339" s="10"/>
      <c r="L339" s="10"/>
      <c r="M339" s="10"/>
      <c r="N339" s="30"/>
      <c r="O339" s="9">
        <f t="shared" si="102"/>
        <v>0</v>
      </c>
      <c r="P339" s="36"/>
    </row>
    <row r="340" spans="1:17" x14ac:dyDescent="0.15">
      <c r="A340" s="14"/>
      <c r="B340" s="8"/>
      <c r="C340" s="10"/>
      <c r="D340" s="10"/>
      <c r="E340" s="10"/>
      <c r="F340" s="30"/>
      <c r="G340" s="7">
        <f t="shared" si="100"/>
        <v>0</v>
      </c>
      <c r="H340" s="58"/>
      <c r="I340" s="14"/>
      <c r="J340" s="8"/>
      <c r="K340" s="10"/>
      <c r="L340" s="10"/>
      <c r="M340" s="10"/>
      <c r="N340" s="30"/>
      <c r="O340" s="9">
        <f t="shared" si="102"/>
        <v>0</v>
      </c>
      <c r="P340" s="1"/>
      <c r="Q340" s="56"/>
    </row>
    <row r="341" spans="1:17" ht="14.25" thickBot="1" x14ac:dyDescent="0.2">
      <c r="A341" s="20"/>
      <c r="B341" s="11"/>
      <c r="C341" s="12"/>
      <c r="D341" s="12"/>
      <c r="E341" s="12"/>
      <c r="F341" s="31"/>
      <c r="G341" s="7">
        <f t="shared" si="100"/>
        <v>0</v>
      </c>
      <c r="H341" s="58"/>
      <c r="I341" s="117"/>
      <c r="J341" s="47"/>
      <c r="K341" s="118"/>
      <c r="L341" s="118"/>
      <c r="M341" s="118"/>
      <c r="N341" s="119"/>
      <c r="O341" s="40">
        <f t="shared" si="101"/>
        <v>0</v>
      </c>
      <c r="P341" s="36"/>
      <c r="Q341" s="56"/>
    </row>
    <row r="342" spans="1:17" ht="14.25" thickBot="1" x14ac:dyDescent="0.2">
      <c r="A342" s="3" t="s">
        <v>11</v>
      </c>
      <c r="B342" s="23">
        <f>SUM(B316:B341)</f>
        <v>9</v>
      </c>
      <c r="C342" s="4">
        <f>SUM(C316:C341)</f>
        <v>14</v>
      </c>
      <c r="D342" s="4">
        <f>SUM(D316:D341)</f>
        <v>25</v>
      </c>
      <c r="E342" s="6">
        <f>SUM(E316:E341)</f>
        <v>21</v>
      </c>
      <c r="F342" s="32">
        <f>SUM(F316:F341)</f>
        <v>15</v>
      </c>
      <c r="G342" s="5">
        <f>SUM(B342:F342)</f>
        <v>84</v>
      </c>
      <c r="H342" s="58"/>
      <c r="I342" s="3" t="s">
        <v>11</v>
      </c>
      <c r="J342" s="23">
        <f>SUM(J316:J341)</f>
        <v>10</v>
      </c>
      <c r="K342" s="4">
        <f>SUM(K316:K341)</f>
        <v>30</v>
      </c>
      <c r="L342" s="4">
        <f>SUM(L316:L341)</f>
        <v>30</v>
      </c>
      <c r="M342" s="6">
        <f>SUM(M316:M341)</f>
        <v>40</v>
      </c>
      <c r="N342" s="32">
        <f>SUM(N316:N341)</f>
        <v>22</v>
      </c>
      <c r="O342" s="5">
        <f>SUM(J342:N342)</f>
        <v>132</v>
      </c>
    </row>
    <row r="343" spans="1:17" ht="14.25" thickBot="1" x14ac:dyDescent="0.2">
      <c r="A343" s="25" t="s">
        <v>12</v>
      </c>
      <c r="B343" s="63">
        <f>B315-B342</f>
        <v>16</v>
      </c>
      <c r="C343" s="26">
        <f t="shared" ref="C343:G343" si="103">C315-C342</f>
        <v>8</v>
      </c>
      <c r="D343" s="71">
        <f t="shared" si="103"/>
        <v>14</v>
      </c>
      <c r="E343" s="26">
        <f t="shared" si="103"/>
        <v>9</v>
      </c>
      <c r="F343" s="70">
        <f t="shared" si="103"/>
        <v>7</v>
      </c>
      <c r="G343" s="27">
        <f t="shared" si="103"/>
        <v>54</v>
      </c>
      <c r="H343" s="58"/>
      <c r="I343" s="25" t="s">
        <v>12</v>
      </c>
      <c r="J343" s="63">
        <f>J315-J342</f>
        <v>105</v>
      </c>
      <c r="K343" s="26">
        <f t="shared" ref="K343:O343" si="104">K315-K342</f>
        <v>67</v>
      </c>
      <c r="L343" s="71">
        <f t="shared" si="104"/>
        <v>45</v>
      </c>
      <c r="M343" s="26">
        <f t="shared" si="104"/>
        <v>18</v>
      </c>
      <c r="N343" s="70">
        <f t="shared" si="104"/>
        <v>0</v>
      </c>
      <c r="O343" s="27">
        <f t="shared" si="104"/>
        <v>235</v>
      </c>
    </row>
    <row r="344" spans="1:17" ht="21" x14ac:dyDescent="0.2">
      <c r="A344" s="83" t="s">
        <v>48</v>
      </c>
      <c r="B344" s="77"/>
      <c r="C344" s="77"/>
      <c r="D344" s="77"/>
      <c r="E344" s="77"/>
      <c r="F344" s="77"/>
      <c r="G344" s="77"/>
      <c r="H344" s="58"/>
      <c r="I344" s="83" t="s">
        <v>48</v>
      </c>
      <c r="J344" s="77"/>
      <c r="K344" s="77"/>
      <c r="L344" s="77"/>
      <c r="M344" s="77"/>
      <c r="N344" s="77"/>
      <c r="O344" s="77"/>
    </row>
    <row r="345" spans="1:17" ht="21.75" thickBot="1" x14ac:dyDescent="0.25">
      <c r="A345" s="83" t="s">
        <v>47</v>
      </c>
      <c r="B345" s="77"/>
      <c r="C345" s="77"/>
      <c r="D345" s="77"/>
      <c r="E345" s="84"/>
      <c r="F345" s="78" t="s">
        <v>53</v>
      </c>
      <c r="G345" s="77"/>
      <c r="H345" s="58"/>
      <c r="I345" s="83" t="s">
        <v>47</v>
      </c>
      <c r="J345" s="77"/>
      <c r="K345" s="77"/>
      <c r="L345" s="77"/>
      <c r="M345" s="84"/>
      <c r="N345" s="78" t="s">
        <v>54</v>
      </c>
      <c r="O345" s="77"/>
    </row>
    <row r="346" spans="1:17" ht="14.25" thickBot="1" x14ac:dyDescent="0.2">
      <c r="A346" s="13" t="s">
        <v>0</v>
      </c>
      <c r="B346" s="228" t="s">
        <v>49</v>
      </c>
      <c r="C346" s="229"/>
      <c r="D346" s="229"/>
      <c r="E346" s="229"/>
      <c r="F346" s="230"/>
      <c r="G346" s="231"/>
      <c r="H346" s="58"/>
      <c r="I346" s="13" t="s">
        <v>0</v>
      </c>
      <c r="J346" s="232" t="s">
        <v>49</v>
      </c>
      <c r="K346" s="233"/>
      <c r="L346" s="233"/>
      <c r="M346" s="233"/>
      <c r="N346" s="233"/>
      <c r="O346" s="234"/>
    </row>
    <row r="347" spans="1:17" ht="14.25" thickBot="1" x14ac:dyDescent="0.2">
      <c r="A347" s="3" t="s">
        <v>1</v>
      </c>
      <c r="B347" s="2" t="s">
        <v>42</v>
      </c>
      <c r="C347" s="21" t="s">
        <v>43</v>
      </c>
      <c r="D347" s="21" t="s">
        <v>44</v>
      </c>
      <c r="E347" s="24" t="s">
        <v>45</v>
      </c>
      <c r="F347" s="33" t="s">
        <v>46</v>
      </c>
      <c r="G347" s="34" t="s">
        <v>2</v>
      </c>
      <c r="H347" s="58"/>
      <c r="I347" s="3" t="s">
        <v>1</v>
      </c>
      <c r="J347" s="2" t="s">
        <v>42</v>
      </c>
      <c r="K347" s="21" t="s">
        <v>43</v>
      </c>
      <c r="L347" s="21" t="s">
        <v>44</v>
      </c>
      <c r="M347" s="24" t="s">
        <v>45</v>
      </c>
      <c r="N347" s="33" t="s">
        <v>46</v>
      </c>
      <c r="O347" s="3" t="s">
        <v>2</v>
      </c>
    </row>
    <row r="348" spans="1:17" ht="14.25" thickBot="1" x14ac:dyDescent="0.2">
      <c r="A348" s="116" t="s">
        <v>79</v>
      </c>
      <c r="B348" s="95">
        <f>B343</f>
        <v>16</v>
      </c>
      <c r="C348" s="97">
        <f t="shared" ref="C348:F348" si="105">C343</f>
        <v>8</v>
      </c>
      <c r="D348" s="55">
        <f t="shared" si="105"/>
        <v>14</v>
      </c>
      <c r="E348" s="98">
        <f t="shared" si="105"/>
        <v>9</v>
      </c>
      <c r="F348" s="98">
        <f t="shared" si="105"/>
        <v>7</v>
      </c>
      <c r="G348" s="52">
        <f t="shared" ref="G348:G357" si="106">SUM(B348:F348)</f>
        <v>54</v>
      </c>
      <c r="H348" s="58"/>
      <c r="I348" s="72" t="s">
        <v>79</v>
      </c>
      <c r="J348" s="73">
        <f>J343</f>
        <v>105</v>
      </c>
      <c r="K348" s="74">
        <f t="shared" ref="K348:N348" si="107">K343</f>
        <v>67</v>
      </c>
      <c r="L348" s="107">
        <f t="shared" si="107"/>
        <v>45</v>
      </c>
      <c r="M348" s="75">
        <f t="shared" si="107"/>
        <v>18</v>
      </c>
      <c r="N348" s="75">
        <f t="shared" si="107"/>
        <v>0</v>
      </c>
      <c r="O348" s="76">
        <f t="shared" ref="O348:O357" si="108">SUM(J348:N348)</f>
        <v>235</v>
      </c>
    </row>
    <row r="349" spans="1:17" x14ac:dyDescent="0.15">
      <c r="A349" s="38" t="s">
        <v>14</v>
      </c>
      <c r="B349" s="8"/>
      <c r="C349" s="10">
        <v>15</v>
      </c>
      <c r="D349" s="10"/>
      <c r="E349" s="10"/>
      <c r="F349" s="30"/>
      <c r="G349" s="7">
        <f t="shared" si="106"/>
        <v>15</v>
      </c>
      <c r="H349" s="58">
        <v>42678</v>
      </c>
      <c r="I349" s="38" t="s">
        <v>14</v>
      </c>
      <c r="J349" s="37"/>
      <c r="K349" s="35"/>
      <c r="L349" s="35"/>
      <c r="M349" s="35"/>
      <c r="N349" s="28">
        <v>25</v>
      </c>
      <c r="O349" s="7">
        <f t="shared" si="108"/>
        <v>25</v>
      </c>
      <c r="P349" s="58">
        <v>42696</v>
      </c>
    </row>
    <row r="350" spans="1:17" x14ac:dyDescent="0.15">
      <c r="A350" s="38" t="s">
        <v>3</v>
      </c>
      <c r="B350" s="8"/>
      <c r="C350" s="10"/>
      <c r="D350" s="10"/>
      <c r="E350" s="10">
        <v>10</v>
      </c>
      <c r="F350" s="28"/>
      <c r="G350" s="9">
        <f t="shared" si="106"/>
        <v>10</v>
      </c>
      <c r="H350" s="58">
        <v>42683</v>
      </c>
      <c r="I350" s="15" t="s">
        <v>3</v>
      </c>
      <c r="J350" s="8">
        <v>73</v>
      </c>
      <c r="K350" s="10">
        <v>98</v>
      </c>
      <c r="L350" s="10">
        <v>119</v>
      </c>
      <c r="M350" s="10">
        <v>129</v>
      </c>
      <c r="N350" s="28">
        <v>155</v>
      </c>
      <c r="O350" s="9">
        <f t="shared" si="108"/>
        <v>574</v>
      </c>
      <c r="P350" s="36">
        <v>42718</v>
      </c>
    </row>
    <row r="351" spans="1:17" x14ac:dyDescent="0.15">
      <c r="A351" s="38" t="s">
        <v>17</v>
      </c>
      <c r="B351" s="8"/>
      <c r="C351" s="10"/>
      <c r="D351" s="10"/>
      <c r="E351" s="10"/>
      <c r="F351" s="28">
        <v>1</v>
      </c>
      <c r="G351" s="9">
        <f t="shared" si="106"/>
        <v>1</v>
      </c>
      <c r="H351" s="58">
        <v>42682</v>
      </c>
      <c r="I351" s="15" t="s">
        <v>4</v>
      </c>
      <c r="J351" s="8"/>
      <c r="K351" s="10"/>
      <c r="L351" s="10"/>
      <c r="M351" s="10"/>
      <c r="N351" s="28"/>
      <c r="O351" s="9">
        <f t="shared" si="108"/>
        <v>0</v>
      </c>
      <c r="P351" s="58"/>
    </row>
    <row r="352" spans="1:17" x14ac:dyDescent="0.15">
      <c r="A352" s="38" t="s">
        <v>5</v>
      </c>
      <c r="B352" s="8"/>
      <c r="C352" s="10">
        <v>10</v>
      </c>
      <c r="D352" s="10"/>
      <c r="E352" s="10">
        <v>10</v>
      </c>
      <c r="F352" s="28">
        <v>12</v>
      </c>
      <c r="G352" s="9">
        <f t="shared" si="106"/>
        <v>32</v>
      </c>
      <c r="H352" s="58">
        <v>42684</v>
      </c>
      <c r="I352" s="15" t="s">
        <v>5</v>
      </c>
      <c r="J352" s="8"/>
      <c r="K352" s="10"/>
      <c r="L352" s="10"/>
      <c r="M352" s="10"/>
      <c r="N352" s="28"/>
      <c r="O352" s="9">
        <f t="shared" si="108"/>
        <v>0</v>
      </c>
      <c r="P352" s="58"/>
    </row>
    <row r="353" spans="1:18" x14ac:dyDescent="0.15">
      <c r="A353" s="38" t="s">
        <v>19</v>
      </c>
      <c r="B353" s="8"/>
      <c r="C353" s="10"/>
      <c r="D353" s="10">
        <v>1</v>
      </c>
      <c r="E353" s="10">
        <v>1</v>
      </c>
      <c r="F353" s="28">
        <v>2</v>
      </c>
      <c r="G353" s="9">
        <f t="shared" si="106"/>
        <v>4</v>
      </c>
      <c r="H353" s="58">
        <v>42695</v>
      </c>
      <c r="I353" s="15" t="s">
        <v>6</v>
      </c>
      <c r="J353" s="8"/>
      <c r="K353" s="10"/>
      <c r="L353" s="10"/>
      <c r="M353" s="10"/>
      <c r="N353" s="28"/>
      <c r="O353" s="9">
        <f t="shared" si="108"/>
        <v>0</v>
      </c>
      <c r="P353" s="58"/>
    </row>
    <row r="354" spans="1:18" x14ac:dyDescent="0.15">
      <c r="A354" s="38" t="s">
        <v>84</v>
      </c>
      <c r="B354" s="11">
        <v>10</v>
      </c>
      <c r="C354" s="12">
        <v>10</v>
      </c>
      <c r="D354" s="12">
        <v>10</v>
      </c>
      <c r="E354" s="12">
        <v>10</v>
      </c>
      <c r="F354" s="31"/>
      <c r="G354" s="7">
        <f t="shared" si="106"/>
        <v>40</v>
      </c>
      <c r="H354" s="58">
        <v>42704</v>
      </c>
      <c r="I354" s="15" t="s">
        <v>84</v>
      </c>
      <c r="J354" s="11"/>
      <c r="K354" s="12"/>
      <c r="L354" s="12"/>
      <c r="M354" s="12"/>
      <c r="N354" s="31"/>
      <c r="O354" s="7">
        <f t="shared" si="108"/>
        <v>0</v>
      </c>
      <c r="P354" s="58"/>
    </row>
    <row r="355" spans="1:18" x14ac:dyDescent="0.15">
      <c r="A355" s="38" t="s">
        <v>19</v>
      </c>
      <c r="B355" s="8"/>
      <c r="C355" s="10">
        <v>1</v>
      </c>
      <c r="D355" s="10"/>
      <c r="E355" s="10">
        <v>1</v>
      </c>
      <c r="F355" s="30">
        <v>1</v>
      </c>
      <c r="G355" s="7">
        <f t="shared" si="106"/>
        <v>3</v>
      </c>
      <c r="H355" s="58">
        <v>42704</v>
      </c>
      <c r="I355" s="15" t="s">
        <v>85</v>
      </c>
      <c r="J355" s="8"/>
      <c r="K355" s="10"/>
      <c r="L355" s="10"/>
      <c r="M355" s="10"/>
      <c r="N355" s="30"/>
      <c r="O355" s="7">
        <f t="shared" si="108"/>
        <v>0</v>
      </c>
      <c r="P355" s="58"/>
    </row>
    <row r="356" spans="1:18" x14ac:dyDescent="0.15">
      <c r="A356" s="15" t="s">
        <v>323</v>
      </c>
      <c r="B356" s="11"/>
      <c r="C356" s="100"/>
      <c r="D356" s="100">
        <v>1</v>
      </c>
      <c r="E356" s="100">
        <v>2</v>
      </c>
      <c r="F356" s="101"/>
      <c r="G356" s="102">
        <f t="shared" si="106"/>
        <v>3</v>
      </c>
      <c r="H356" s="58">
        <v>42706</v>
      </c>
      <c r="I356" s="16" t="s">
        <v>88</v>
      </c>
      <c r="J356" s="8"/>
      <c r="K356" s="10"/>
      <c r="L356" s="10"/>
      <c r="M356" s="10"/>
      <c r="N356" s="30"/>
      <c r="O356" s="7">
        <f t="shared" si="108"/>
        <v>0</v>
      </c>
      <c r="P356" s="58"/>
      <c r="Q356" s="56"/>
      <c r="R356" s="56"/>
    </row>
    <row r="357" spans="1:18" ht="14.25" thickBot="1" x14ac:dyDescent="0.2">
      <c r="A357" s="15" t="s">
        <v>27</v>
      </c>
      <c r="B357" s="11"/>
      <c r="C357" s="100"/>
      <c r="D357" s="100"/>
      <c r="E357" s="100"/>
      <c r="F357" s="101">
        <v>10</v>
      </c>
      <c r="G357" s="102">
        <f t="shared" si="106"/>
        <v>10</v>
      </c>
      <c r="H357" s="58">
        <v>42720</v>
      </c>
      <c r="I357" s="15" t="s">
        <v>87</v>
      </c>
      <c r="J357" s="11"/>
      <c r="K357" s="100"/>
      <c r="L357" s="100"/>
      <c r="M357" s="100"/>
      <c r="N357" s="101"/>
      <c r="O357" s="102">
        <f t="shared" si="108"/>
        <v>0</v>
      </c>
      <c r="P357" s="68"/>
    </row>
    <row r="358" spans="1:18" ht="14.25" thickBot="1" x14ac:dyDescent="0.2">
      <c r="A358" s="72" t="s">
        <v>7</v>
      </c>
      <c r="B358" s="73">
        <f>SUM(B348:B357)</f>
        <v>26</v>
      </c>
      <c r="C358" s="74">
        <f t="shared" ref="C358:G358" si="109">SUM(C348:C357)</f>
        <v>44</v>
      </c>
      <c r="D358" s="74">
        <f t="shared" si="109"/>
        <v>26</v>
      </c>
      <c r="E358" s="74">
        <f t="shared" si="109"/>
        <v>43</v>
      </c>
      <c r="F358" s="105">
        <f t="shared" si="109"/>
        <v>33</v>
      </c>
      <c r="G358" s="105">
        <f t="shared" si="109"/>
        <v>172</v>
      </c>
      <c r="H358" s="56"/>
      <c r="I358" s="72" t="s">
        <v>7</v>
      </c>
      <c r="J358" s="73">
        <f>SUM(J348:J357)</f>
        <v>178</v>
      </c>
      <c r="K358" s="74">
        <f t="shared" ref="K358:O358" si="110">SUM(K348:K357)</f>
        <v>165</v>
      </c>
      <c r="L358" s="74">
        <f t="shared" si="110"/>
        <v>164</v>
      </c>
      <c r="M358" s="74">
        <f t="shared" si="110"/>
        <v>147</v>
      </c>
      <c r="N358" s="105">
        <f t="shared" si="110"/>
        <v>180</v>
      </c>
      <c r="O358" s="105">
        <f t="shared" si="110"/>
        <v>834</v>
      </c>
    </row>
    <row r="359" spans="1:18" x14ac:dyDescent="0.15">
      <c r="A359" s="50" t="s">
        <v>308</v>
      </c>
      <c r="B359" s="8"/>
      <c r="C359" s="10">
        <v>10</v>
      </c>
      <c r="D359" s="10"/>
      <c r="E359" s="10"/>
      <c r="F359" s="30"/>
      <c r="G359" s="7">
        <f>SUM(B359:F359)</f>
        <v>10</v>
      </c>
      <c r="H359" s="58">
        <v>42681</v>
      </c>
      <c r="I359" s="16" t="s">
        <v>319</v>
      </c>
      <c r="J359" s="17">
        <v>10</v>
      </c>
      <c r="K359" s="22">
        <v>10</v>
      </c>
      <c r="L359" s="22">
        <v>10</v>
      </c>
      <c r="M359" s="22">
        <v>10</v>
      </c>
      <c r="N359" s="29"/>
      <c r="O359" s="18">
        <f t="shared" ref="O359:O384" si="111">SUM(J359:N359)</f>
        <v>40</v>
      </c>
      <c r="P359" s="58">
        <v>42704</v>
      </c>
    </row>
    <row r="360" spans="1:18" x14ac:dyDescent="0.15">
      <c r="A360" s="14" t="s">
        <v>310</v>
      </c>
      <c r="B360" s="8"/>
      <c r="C360" s="10"/>
      <c r="D360" s="10"/>
      <c r="E360" s="10">
        <v>5</v>
      </c>
      <c r="F360" s="30"/>
      <c r="G360" s="7">
        <f t="shared" ref="G360:G384" si="112">SUM(B360:F360)</f>
        <v>5</v>
      </c>
      <c r="H360" s="58">
        <v>42681</v>
      </c>
      <c r="I360" s="16" t="s">
        <v>24</v>
      </c>
      <c r="J360" s="8"/>
      <c r="K360" s="10"/>
      <c r="L360" s="10"/>
      <c r="M360" s="10"/>
      <c r="N360" s="28">
        <v>10</v>
      </c>
      <c r="O360" s="9">
        <f t="shared" si="111"/>
        <v>10</v>
      </c>
      <c r="P360" s="58">
        <v>42720</v>
      </c>
    </row>
    <row r="361" spans="1:18" x14ac:dyDescent="0.15">
      <c r="A361" s="16" t="s">
        <v>182</v>
      </c>
      <c r="B361" s="8"/>
      <c r="C361" s="10"/>
      <c r="D361" s="10"/>
      <c r="E361" s="10"/>
      <c r="F361" s="30">
        <v>1</v>
      </c>
      <c r="G361" s="7">
        <f t="shared" si="112"/>
        <v>1</v>
      </c>
      <c r="H361" s="58">
        <v>42681</v>
      </c>
      <c r="I361" s="16"/>
      <c r="J361" s="8"/>
      <c r="K361" s="10"/>
      <c r="L361" s="10"/>
      <c r="M361" s="10"/>
      <c r="N361" s="30"/>
      <c r="O361" s="7">
        <f t="shared" si="111"/>
        <v>0</v>
      </c>
    </row>
    <row r="362" spans="1:18" x14ac:dyDescent="0.15">
      <c r="A362" s="50" t="s">
        <v>22</v>
      </c>
      <c r="B362" s="8"/>
      <c r="C362" s="10">
        <v>10</v>
      </c>
      <c r="D362" s="10"/>
      <c r="E362" s="10">
        <v>10</v>
      </c>
      <c r="F362" s="30">
        <v>5</v>
      </c>
      <c r="G362" s="7">
        <f t="shared" si="112"/>
        <v>25</v>
      </c>
      <c r="H362" s="58">
        <v>42688</v>
      </c>
      <c r="I362" s="94"/>
      <c r="J362" s="8"/>
      <c r="K362" s="10"/>
      <c r="L362" s="10"/>
      <c r="M362" s="10"/>
      <c r="N362" s="30"/>
      <c r="O362" s="7">
        <f t="shared" si="111"/>
        <v>0</v>
      </c>
    </row>
    <row r="363" spans="1:18" x14ac:dyDescent="0.15">
      <c r="A363" s="16" t="s">
        <v>31</v>
      </c>
      <c r="B363" s="8">
        <v>1</v>
      </c>
      <c r="C363" s="10"/>
      <c r="D363" s="10"/>
      <c r="E363" s="10">
        <v>2</v>
      </c>
      <c r="F363" s="30">
        <v>2</v>
      </c>
      <c r="G363" s="7">
        <f t="shared" si="112"/>
        <v>5</v>
      </c>
      <c r="H363" s="58">
        <v>42685</v>
      </c>
      <c r="I363" s="16"/>
      <c r="J363" s="8"/>
      <c r="K363" s="10"/>
      <c r="L363" s="10"/>
      <c r="M363" s="10"/>
      <c r="N363" s="30"/>
      <c r="O363" s="7">
        <f t="shared" si="111"/>
        <v>0</v>
      </c>
    </row>
    <row r="364" spans="1:18" x14ac:dyDescent="0.15">
      <c r="A364" s="16" t="s">
        <v>182</v>
      </c>
      <c r="B364" s="8">
        <v>1</v>
      </c>
      <c r="C364" s="10"/>
      <c r="D364" s="10"/>
      <c r="E364" s="10"/>
      <c r="F364" s="30"/>
      <c r="G364" s="7">
        <f t="shared" si="112"/>
        <v>1</v>
      </c>
      <c r="H364" s="58">
        <v>42685</v>
      </c>
      <c r="I364" s="16"/>
      <c r="J364" s="8"/>
      <c r="K364" s="10"/>
      <c r="L364" s="10"/>
      <c r="M364" s="10"/>
      <c r="N364" s="30"/>
      <c r="O364" s="7">
        <f t="shared" si="111"/>
        <v>0</v>
      </c>
    </row>
    <row r="365" spans="1:18" x14ac:dyDescent="0.15">
      <c r="A365" s="16" t="s">
        <v>31</v>
      </c>
      <c r="B365" s="8"/>
      <c r="C365" s="10">
        <v>1</v>
      </c>
      <c r="D365" s="10"/>
      <c r="E365" s="10"/>
      <c r="F365" s="30"/>
      <c r="G365" s="7">
        <f t="shared" si="112"/>
        <v>1</v>
      </c>
      <c r="H365" s="58">
        <v>42692</v>
      </c>
      <c r="I365" s="16"/>
      <c r="J365" s="8"/>
      <c r="K365" s="10"/>
      <c r="L365" s="10"/>
      <c r="M365" s="10"/>
      <c r="N365" s="30"/>
      <c r="O365" s="7">
        <f t="shared" si="111"/>
        <v>0</v>
      </c>
    </row>
    <row r="366" spans="1:18" x14ac:dyDescent="0.15">
      <c r="A366" s="16" t="s">
        <v>182</v>
      </c>
      <c r="B366" s="8"/>
      <c r="C366" s="10">
        <v>1</v>
      </c>
      <c r="D366" s="10"/>
      <c r="E366" s="10"/>
      <c r="F366" s="30"/>
      <c r="G366" s="7">
        <f t="shared" si="112"/>
        <v>1</v>
      </c>
      <c r="H366" s="58">
        <v>42695</v>
      </c>
      <c r="I366" s="16"/>
      <c r="J366" s="8"/>
      <c r="K366" s="10"/>
      <c r="L366" s="10"/>
      <c r="M366" s="10"/>
      <c r="N366" s="30"/>
      <c r="O366" s="7">
        <f t="shared" si="111"/>
        <v>0</v>
      </c>
    </row>
    <row r="367" spans="1:18" x14ac:dyDescent="0.15">
      <c r="A367" s="16" t="s">
        <v>320</v>
      </c>
      <c r="B367" s="8"/>
      <c r="C367" s="10"/>
      <c r="D367" s="10">
        <v>1</v>
      </c>
      <c r="E367" s="10"/>
      <c r="F367" s="30"/>
      <c r="G367" s="7">
        <f t="shared" si="112"/>
        <v>1</v>
      </c>
      <c r="H367" s="58">
        <v>42700</v>
      </c>
      <c r="I367" s="39"/>
      <c r="J367" s="8"/>
      <c r="K367" s="10"/>
      <c r="L367" s="10"/>
      <c r="M367" s="10"/>
      <c r="N367" s="30"/>
      <c r="O367" s="7">
        <f t="shared" si="111"/>
        <v>0</v>
      </c>
    </row>
    <row r="368" spans="1:18" x14ac:dyDescent="0.15">
      <c r="A368" s="16" t="s">
        <v>315</v>
      </c>
      <c r="B368" s="11"/>
      <c r="C368" s="12"/>
      <c r="D368" s="12">
        <v>1</v>
      </c>
      <c r="E368" s="12"/>
      <c r="F368" s="31"/>
      <c r="G368" s="7">
        <f t="shared" si="112"/>
        <v>1</v>
      </c>
      <c r="H368" s="58">
        <v>42700</v>
      </c>
      <c r="I368" s="16"/>
      <c r="J368" s="11"/>
      <c r="K368" s="12"/>
      <c r="L368" s="12"/>
      <c r="M368" s="12"/>
      <c r="N368" s="31"/>
      <c r="O368" s="7">
        <f t="shared" si="111"/>
        <v>0</v>
      </c>
    </row>
    <row r="369" spans="1:17" x14ac:dyDescent="0.15">
      <c r="A369" s="16" t="s">
        <v>316</v>
      </c>
      <c r="B369" s="8">
        <v>10</v>
      </c>
      <c r="C369" s="10">
        <v>10</v>
      </c>
      <c r="D369" s="10">
        <v>10</v>
      </c>
      <c r="E369" s="10">
        <v>10</v>
      </c>
      <c r="F369" s="30">
        <v>10</v>
      </c>
      <c r="G369" s="7">
        <f t="shared" si="112"/>
        <v>50</v>
      </c>
      <c r="H369" s="58">
        <v>42709</v>
      </c>
      <c r="I369" s="16"/>
      <c r="J369" s="8"/>
      <c r="K369" s="10"/>
      <c r="L369" s="10"/>
      <c r="M369" s="10"/>
      <c r="N369" s="30"/>
      <c r="O369" s="7">
        <f t="shared" si="111"/>
        <v>0</v>
      </c>
    </row>
    <row r="370" spans="1:17" x14ac:dyDescent="0.15">
      <c r="A370" s="16" t="s">
        <v>321</v>
      </c>
      <c r="B370" s="8"/>
      <c r="C370" s="10"/>
      <c r="D370" s="10"/>
      <c r="E370" s="10">
        <v>1</v>
      </c>
      <c r="F370" s="30"/>
      <c r="G370" s="7">
        <f t="shared" si="112"/>
        <v>1</v>
      </c>
      <c r="H370" s="58">
        <v>42707</v>
      </c>
      <c r="I370" s="14"/>
      <c r="J370" s="8"/>
      <c r="K370" s="10"/>
      <c r="L370" s="10"/>
      <c r="M370" s="10"/>
      <c r="N370" s="30"/>
      <c r="O370" s="7">
        <f t="shared" si="111"/>
        <v>0</v>
      </c>
    </row>
    <row r="371" spans="1:17" x14ac:dyDescent="0.15">
      <c r="A371" s="16" t="s">
        <v>25</v>
      </c>
      <c r="B371" s="8"/>
      <c r="C371" s="10"/>
      <c r="D371" s="10"/>
      <c r="E371" s="10">
        <v>1</v>
      </c>
      <c r="F371" s="30"/>
      <c r="G371" s="7">
        <f t="shared" si="112"/>
        <v>1</v>
      </c>
      <c r="H371" s="58">
        <v>42706</v>
      </c>
      <c r="I371" s="16"/>
      <c r="J371" s="8"/>
      <c r="K371" s="10"/>
      <c r="L371" s="10"/>
      <c r="M371" s="10"/>
      <c r="N371" s="30"/>
      <c r="O371" s="7">
        <f t="shared" si="111"/>
        <v>0</v>
      </c>
    </row>
    <row r="372" spans="1:17" x14ac:dyDescent="0.15">
      <c r="A372" s="16" t="s">
        <v>326</v>
      </c>
      <c r="B372" s="8">
        <v>-3</v>
      </c>
      <c r="C372" s="10">
        <v>-6</v>
      </c>
      <c r="D372" s="10">
        <v>-1</v>
      </c>
      <c r="E372" s="10"/>
      <c r="F372" s="30"/>
      <c r="G372" s="7">
        <f t="shared" si="112"/>
        <v>-10</v>
      </c>
      <c r="H372" s="58">
        <v>42709</v>
      </c>
      <c r="I372" s="64"/>
      <c r="J372" s="8"/>
      <c r="K372" s="10"/>
      <c r="L372" s="10"/>
      <c r="M372" s="10"/>
      <c r="N372" s="30"/>
      <c r="O372" s="7">
        <f t="shared" si="111"/>
        <v>0</v>
      </c>
    </row>
    <row r="373" spans="1:17" x14ac:dyDescent="0.15">
      <c r="A373" s="16" t="s">
        <v>31</v>
      </c>
      <c r="B373" s="8"/>
      <c r="C373" s="10"/>
      <c r="D373" s="10"/>
      <c r="E373" s="10">
        <v>1</v>
      </c>
      <c r="F373" s="30"/>
      <c r="G373" s="7">
        <f t="shared" si="112"/>
        <v>1</v>
      </c>
      <c r="H373" s="58">
        <v>42712</v>
      </c>
      <c r="I373" s="16"/>
      <c r="J373" s="8"/>
      <c r="K373" s="10"/>
      <c r="L373" s="10"/>
      <c r="M373" s="10"/>
      <c r="N373" s="30"/>
      <c r="O373" s="7">
        <f t="shared" si="111"/>
        <v>0</v>
      </c>
    </row>
    <row r="374" spans="1:17" x14ac:dyDescent="0.15">
      <c r="A374" s="50" t="s">
        <v>329</v>
      </c>
      <c r="B374" s="8"/>
      <c r="C374" s="10">
        <v>2</v>
      </c>
      <c r="D374" s="10"/>
      <c r="E374" s="10"/>
      <c r="F374" s="30"/>
      <c r="G374" s="7">
        <f t="shared" si="112"/>
        <v>2</v>
      </c>
      <c r="H374" s="58">
        <v>42711</v>
      </c>
      <c r="I374" s="16"/>
      <c r="J374" s="8"/>
      <c r="K374" s="10"/>
      <c r="L374" s="10"/>
      <c r="M374" s="10"/>
      <c r="N374" s="30"/>
      <c r="O374" s="7">
        <f t="shared" si="111"/>
        <v>0</v>
      </c>
    </row>
    <row r="375" spans="1:17" x14ac:dyDescent="0.15">
      <c r="A375" s="16" t="s">
        <v>25</v>
      </c>
      <c r="B375" s="8"/>
      <c r="C375" s="10"/>
      <c r="D375" s="10"/>
      <c r="E375" s="10"/>
      <c r="F375" s="30">
        <v>1</v>
      </c>
      <c r="G375" s="7">
        <f t="shared" si="112"/>
        <v>1</v>
      </c>
      <c r="H375" s="58">
        <v>42714</v>
      </c>
      <c r="I375" s="14"/>
      <c r="J375" s="8"/>
      <c r="K375" s="10"/>
      <c r="L375" s="10"/>
      <c r="M375" s="10"/>
      <c r="N375" s="30"/>
      <c r="O375" s="7">
        <f t="shared" si="111"/>
        <v>0</v>
      </c>
    </row>
    <row r="376" spans="1:17" x14ac:dyDescent="0.15">
      <c r="A376" s="16" t="s">
        <v>31</v>
      </c>
      <c r="B376" s="8"/>
      <c r="C376" s="10">
        <v>3</v>
      </c>
      <c r="D376" s="10"/>
      <c r="E376" s="10"/>
      <c r="F376" s="30"/>
      <c r="G376" s="7">
        <f t="shared" si="112"/>
        <v>3</v>
      </c>
      <c r="H376" s="58">
        <v>42720</v>
      </c>
      <c r="I376" s="16"/>
      <c r="J376" s="8"/>
      <c r="K376" s="10"/>
      <c r="L376" s="10"/>
      <c r="M376" s="10"/>
      <c r="N376" s="30"/>
      <c r="O376" s="7">
        <f t="shared" si="111"/>
        <v>0</v>
      </c>
    </row>
    <row r="377" spans="1:17" x14ac:dyDescent="0.15">
      <c r="A377" s="16" t="s">
        <v>182</v>
      </c>
      <c r="B377" s="8">
        <v>1</v>
      </c>
      <c r="C377" s="10"/>
      <c r="D377" s="10"/>
      <c r="E377" s="10"/>
      <c r="F377" s="30"/>
      <c r="G377" s="7">
        <f t="shared" si="112"/>
        <v>1</v>
      </c>
      <c r="H377" s="58">
        <v>42720</v>
      </c>
      <c r="I377" s="16"/>
      <c r="J377" s="8"/>
      <c r="K377" s="10"/>
      <c r="L377" s="10"/>
      <c r="M377" s="10"/>
      <c r="N377" s="30"/>
      <c r="O377" s="7">
        <f t="shared" si="111"/>
        <v>0</v>
      </c>
      <c r="P377" s="56"/>
      <c r="Q377" s="56"/>
    </row>
    <row r="378" spans="1:17" x14ac:dyDescent="0.15">
      <c r="A378" s="16" t="s">
        <v>353</v>
      </c>
      <c r="B378" s="8">
        <v>-1</v>
      </c>
      <c r="C378" s="10">
        <v>-1</v>
      </c>
      <c r="D378" s="10">
        <v>-1</v>
      </c>
      <c r="E378" s="10">
        <v>-1</v>
      </c>
      <c r="F378" s="30">
        <v>-1</v>
      </c>
      <c r="G378" s="7">
        <f t="shared" si="112"/>
        <v>-5</v>
      </c>
      <c r="H378" s="58">
        <v>42719</v>
      </c>
      <c r="I378" s="14"/>
      <c r="J378" s="8"/>
      <c r="K378" s="10"/>
      <c r="L378" s="10"/>
      <c r="M378" s="10"/>
      <c r="N378" s="30"/>
      <c r="O378" s="7">
        <f t="shared" si="111"/>
        <v>0</v>
      </c>
      <c r="P378" s="1"/>
      <c r="Q378" s="56"/>
    </row>
    <row r="379" spans="1:17" x14ac:dyDescent="0.15">
      <c r="A379" s="50" t="s">
        <v>333</v>
      </c>
      <c r="B379" s="8">
        <v>-1</v>
      </c>
      <c r="C379" s="10">
        <v>-3</v>
      </c>
      <c r="D379" s="10"/>
      <c r="E379" s="10">
        <v>-1</v>
      </c>
      <c r="F379" s="30">
        <v>-1</v>
      </c>
      <c r="G379" s="7">
        <f t="shared" si="112"/>
        <v>-6</v>
      </c>
      <c r="H379" s="58">
        <v>42720</v>
      </c>
      <c r="I379" s="14"/>
      <c r="J379" s="8"/>
      <c r="K379" s="10"/>
      <c r="L379" s="10"/>
      <c r="M379" s="10"/>
      <c r="N379" s="30"/>
      <c r="O379" s="7">
        <f t="shared" si="111"/>
        <v>0</v>
      </c>
      <c r="P379" s="36"/>
      <c r="Q379" s="56"/>
    </row>
    <row r="380" spans="1:17" x14ac:dyDescent="0.15">
      <c r="A380" s="16" t="s">
        <v>334</v>
      </c>
      <c r="B380" s="11"/>
      <c r="C380" s="12"/>
      <c r="D380" s="12"/>
      <c r="E380" s="12"/>
      <c r="F380" s="31">
        <v>1</v>
      </c>
      <c r="G380" s="7">
        <f t="shared" si="112"/>
        <v>1</v>
      </c>
      <c r="H380" s="58">
        <v>42726</v>
      </c>
      <c r="I380" s="16"/>
      <c r="J380" s="8"/>
      <c r="K380" s="10"/>
      <c r="L380" s="10"/>
      <c r="M380" s="10"/>
      <c r="N380" s="30"/>
      <c r="O380" s="7">
        <f t="shared" si="111"/>
        <v>0</v>
      </c>
      <c r="P380" s="56"/>
      <c r="Q380" s="56"/>
    </row>
    <row r="381" spans="1:17" x14ac:dyDescent="0.15">
      <c r="A381" s="14" t="s">
        <v>335</v>
      </c>
      <c r="B381" s="8"/>
      <c r="C381" s="10"/>
      <c r="D381" s="10"/>
      <c r="E381" s="10">
        <v>-1</v>
      </c>
      <c r="F381" s="30"/>
      <c r="G381" s="7">
        <f t="shared" si="112"/>
        <v>-1</v>
      </c>
      <c r="H381" s="58">
        <v>42724</v>
      </c>
      <c r="I381" s="16"/>
      <c r="J381" s="8"/>
      <c r="K381" s="10"/>
      <c r="L381" s="10"/>
      <c r="M381" s="10"/>
      <c r="N381" s="30"/>
      <c r="O381" s="7">
        <f t="shared" si="111"/>
        <v>0</v>
      </c>
      <c r="P381" s="56"/>
      <c r="Q381" s="56"/>
    </row>
    <row r="382" spans="1:17" x14ac:dyDescent="0.15">
      <c r="A382" s="14" t="s">
        <v>126</v>
      </c>
      <c r="B382" s="8"/>
      <c r="C382" s="10">
        <v>3</v>
      </c>
      <c r="D382" s="10"/>
      <c r="E382" s="10"/>
      <c r="F382" s="30"/>
      <c r="G382" s="7">
        <f t="shared" si="112"/>
        <v>3</v>
      </c>
      <c r="H382" s="58">
        <v>42730</v>
      </c>
      <c r="I382" s="16"/>
      <c r="J382" s="8"/>
      <c r="K382" s="10"/>
      <c r="L382" s="10"/>
      <c r="M382" s="10"/>
      <c r="N382" s="30"/>
      <c r="O382" s="9">
        <f t="shared" si="111"/>
        <v>0</v>
      </c>
      <c r="P382" s="56"/>
      <c r="Q382" s="56"/>
    </row>
    <row r="383" spans="1:17" x14ac:dyDescent="0.15">
      <c r="A383" s="16" t="s">
        <v>175</v>
      </c>
      <c r="B383" s="8"/>
      <c r="C383" s="10"/>
      <c r="D383" s="10">
        <v>-1</v>
      </c>
      <c r="E383" s="10">
        <v>-1</v>
      </c>
      <c r="F383" s="30"/>
      <c r="G383" s="7">
        <f t="shared" si="112"/>
        <v>-2</v>
      </c>
      <c r="H383" s="58">
        <v>42728</v>
      </c>
      <c r="I383" s="14"/>
      <c r="J383" s="8"/>
      <c r="K383" s="10"/>
      <c r="L383" s="10"/>
      <c r="M383" s="10"/>
      <c r="N383" s="30"/>
      <c r="O383" s="9">
        <f t="shared" si="111"/>
        <v>0</v>
      </c>
      <c r="P383" s="36"/>
      <c r="Q383" s="56"/>
    </row>
    <row r="384" spans="1:17" ht="14.25" thickBot="1" x14ac:dyDescent="0.2">
      <c r="A384" s="20" t="s">
        <v>337</v>
      </c>
      <c r="B384" s="11"/>
      <c r="C384" s="12">
        <v>1</v>
      </c>
      <c r="D384" s="12">
        <v>1</v>
      </c>
      <c r="E384" s="12">
        <v>1</v>
      </c>
      <c r="F384" s="31">
        <v>1</v>
      </c>
      <c r="G384" s="7">
        <f t="shared" si="112"/>
        <v>4</v>
      </c>
      <c r="H384" s="58">
        <v>42731</v>
      </c>
      <c r="I384" s="126"/>
      <c r="J384" s="60"/>
      <c r="K384" s="127"/>
      <c r="L384" s="127"/>
      <c r="M384" s="127"/>
      <c r="N384" s="128"/>
      <c r="O384" s="115">
        <f t="shared" si="111"/>
        <v>0</v>
      </c>
      <c r="P384" s="56"/>
      <c r="Q384" s="56"/>
    </row>
    <row r="385" spans="1:16" ht="14.25" thickBot="1" x14ac:dyDescent="0.2">
      <c r="A385" s="3" t="s">
        <v>11</v>
      </c>
      <c r="B385" s="23">
        <f>SUM(B359:B384)</f>
        <v>8</v>
      </c>
      <c r="C385" s="4">
        <f>SUM(C359:C384)</f>
        <v>31</v>
      </c>
      <c r="D385" s="4">
        <f>SUM(D359:D384)</f>
        <v>10</v>
      </c>
      <c r="E385" s="6">
        <f>SUM(E359:E384)</f>
        <v>27</v>
      </c>
      <c r="F385" s="32">
        <f>SUM(F359:F384)</f>
        <v>19</v>
      </c>
      <c r="G385" s="5">
        <f>SUM(B385:F385)</f>
        <v>95</v>
      </c>
      <c r="H385" s="58"/>
      <c r="I385" s="3" t="s">
        <v>11</v>
      </c>
      <c r="J385" s="23">
        <f>SUM(J359:J384)</f>
        <v>10</v>
      </c>
      <c r="K385" s="4">
        <f>SUM(K359:K384)</f>
        <v>10</v>
      </c>
      <c r="L385" s="4">
        <f>SUM(L359:L384)</f>
        <v>10</v>
      </c>
      <c r="M385" s="6">
        <f>SUM(M359:M384)</f>
        <v>10</v>
      </c>
      <c r="N385" s="32">
        <f>SUM(N359:N384)</f>
        <v>10</v>
      </c>
      <c r="O385" s="5">
        <f>SUM(J385:N385)</f>
        <v>50</v>
      </c>
    </row>
    <row r="386" spans="1:16" ht="14.25" thickBot="1" x14ac:dyDescent="0.2">
      <c r="A386" s="25" t="s">
        <v>12</v>
      </c>
      <c r="B386" s="63">
        <f>B358-B385</f>
        <v>18</v>
      </c>
      <c r="C386" s="26">
        <f t="shared" ref="C386:G386" si="113">C358-C385</f>
        <v>13</v>
      </c>
      <c r="D386" s="71">
        <f t="shared" si="113"/>
        <v>16</v>
      </c>
      <c r="E386" s="26">
        <f t="shared" si="113"/>
        <v>16</v>
      </c>
      <c r="F386" s="70">
        <f t="shared" si="113"/>
        <v>14</v>
      </c>
      <c r="G386" s="27">
        <f t="shared" si="113"/>
        <v>77</v>
      </c>
      <c r="H386" s="58"/>
      <c r="I386" s="25" t="s">
        <v>12</v>
      </c>
      <c r="J386" s="63">
        <f>J358-J385</f>
        <v>168</v>
      </c>
      <c r="K386" s="26">
        <f t="shared" ref="K386:O386" si="114">K358-K385</f>
        <v>155</v>
      </c>
      <c r="L386" s="71">
        <f t="shared" si="114"/>
        <v>154</v>
      </c>
      <c r="M386" s="26">
        <f t="shared" si="114"/>
        <v>137</v>
      </c>
      <c r="N386" s="70">
        <f t="shared" si="114"/>
        <v>170</v>
      </c>
      <c r="O386" s="27">
        <f t="shared" si="114"/>
        <v>784</v>
      </c>
    </row>
    <row r="387" spans="1:16" ht="21" x14ac:dyDescent="0.2">
      <c r="A387" s="83" t="s">
        <v>48</v>
      </c>
      <c r="B387" s="77"/>
      <c r="C387" s="77"/>
      <c r="D387" s="77"/>
      <c r="E387" s="77"/>
      <c r="F387" s="77"/>
      <c r="G387" s="77"/>
      <c r="H387" s="58"/>
      <c r="I387" s="83" t="s">
        <v>48</v>
      </c>
      <c r="J387" s="77"/>
      <c r="K387" s="77"/>
      <c r="L387" s="77"/>
      <c r="M387" s="77"/>
      <c r="N387" s="77"/>
      <c r="O387" s="77"/>
    </row>
    <row r="388" spans="1:16" ht="21.75" thickBot="1" x14ac:dyDescent="0.25">
      <c r="A388" s="83" t="s">
        <v>47</v>
      </c>
      <c r="B388" s="77"/>
      <c r="C388" s="77"/>
      <c r="D388" s="77"/>
      <c r="E388" s="84"/>
      <c r="F388" s="78" t="s">
        <v>53</v>
      </c>
      <c r="G388" s="77"/>
      <c r="H388" s="58"/>
      <c r="I388" s="83" t="s">
        <v>47</v>
      </c>
      <c r="J388" s="77"/>
      <c r="K388" s="77"/>
      <c r="L388" s="77"/>
      <c r="M388" s="84"/>
      <c r="N388" s="78" t="s">
        <v>54</v>
      </c>
      <c r="O388" s="77"/>
    </row>
    <row r="389" spans="1:16" ht="14.25" thickBot="1" x14ac:dyDescent="0.2">
      <c r="A389" s="13" t="s">
        <v>0</v>
      </c>
      <c r="B389" s="228" t="s">
        <v>49</v>
      </c>
      <c r="C389" s="229"/>
      <c r="D389" s="229"/>
      <c r="E389" s="229"/>
      <c r="F389" s="230"/>
      <c r="G389" s="231"/>
      <c r="H389" s="58"/>
      <c r="I389" s="13" t="s">
        <v>0</v>
      </c>
      <c r="J389" s="232" t="s">
        <v>49</v>
      </c>
      <c r="K389" s="233"/>
      <c r="L389" s="233"/>
      <c r="M389" s="233"/>
      <c r="N389" s="233"/>
      <c r="O389" s="234"/>
    </row>
    <row r="390" spans="1:16" ht="14.25" thickBot="1" x14ac:dyDescent="0.2">
      <c r="A390" s="3" t="s">
        <v>1</v>
      </c>
      <c r="B390" s="2" t="s">
        <v>42</v>
      </c>
      <c r="C390" s="21" t="s">
        <v>43</v>
      </c>
      <c r="D390" s="21" t="s">
        <v>44</v>
      </c>
      <c r="E390" s="24" t="s">
        <v>45</v>
      </c>
      <c r="F390" s="33" t="s">
        <v>46</v>
      </c>
      <c r="G390" s="34" t="s">
        <v>2</v>
      </c>
      <c r="H390" s="58"/>
      <c r="I390" s="3" t="s">
        <v>1</v>
      </c>
      <c r="J390" s="2" t="s">
        <v>42</v>
      </c>
      <c r="K390" s="21" t="s">
        <v>43</v>
      </c>
      <c r="L390" s="21" t="s">
        <v>44</v>
      </c>
      <c r="M390" s="24" t="s">
        <v>45</v>
      </c>
      <c r="N390" s="33" t="s">
        <v>46</v>
      </c>
      <c r="O390" s="3" t="s">
        <v>2</v>
      </c>
    </row>
    <row r="391" spans="1:16" ht="14.25" thickBot="1" x14ac:dyDescent="0.2">
      <c r="A391" s="116" t="s">
        <v>79</v>
      </c>
      <c r="B391" s="95">
        <f>B386</f>
        <v>18</v>
      </c>
      <c r="C391" s="97">
        <f t="shared" ref="C391:F391" si="115">C386</f>
        <v>13</v>
      </c>
      <c r="D391" s="55">
        <f t="shared" si="115"/>
        <v>16</v>
      </c>
      <c r="E391" s="98">
        <f t="shared" si="115"/>
        <v>16</v>
      </c>
      <c r="F391" s="98">
        <f t="shared" si="115"/>
        <v>14</v>
      </c>
      <c r="G391" s="52">
        <f t="shared" ref="G391:G400" si="116">SUM(B391:F391)</f>
        <v>77</v>
      </c>
      <c r="H391" s="58"/>
      <c r="I391" s="72" t="s">
        <v>79</v>
      </c>
      <c r="J391" s="73">
        <f>J386</f>
        <v>168</v>
      </c>
      <c r="K391" s="74">
        <f t="shared" ref="K391:N391" si="117">K386</f>
        <v>155</v>
      </c>
      <c r="L391" s="107">
        <f t="shared" si="117"/>
        <v>154</v>
      </c>
      <c r="M391" s="75">
        <f t="shared" si="117"/>
        <v>137</v>
      </c>
      <c r="N391" s="75">
        <f t="shared" si="117"/>
        <v>170</v>
      </c>
      <c r="O391" s="76">
        <f t="shared" ref="O391:O400" si="118">SUM(J391:N391)</f>
        <v>784</v>
      </c>
    </row>
    <row r="392" spans="1:16" x14ac:dyDescent="0.15">
      <c r="A392" s="38" t="s">
        <v>14</v>
      </c>
      <c r="B392" s="8"/>
      <c r="C392" s="10">
        <v>10</v>
      </c>
      <c r="D392" s="10">
        <v>10</v>
      </c>
      <c r="E392" s="10"/>
      <c r="F392" s="30">
        <v>10</v>
      </c>
      <c r="G392" s="7">
        <f t="shared" si="116"/>
        <v>30</v>
      </c>
      <c r="H392" s="58">
        <v>42747</v>
      </c>
      <c r="I392" s="38" t="s">
        <v>14</v>
      </c>
      <c r="J392" s="37"/>
      <c r="K392" s="35"/>
      <c r="L392" s="35"/>
      <c r="M392" s="35"/>
      <c r="N392" s="28"/>
      <c r="O392" s="7">
        <f t="shared" si="118"/>
        <v>0</v>
      </c>
      <c r="P392" s="58"/>
    </row>
    <row r="393" spans="1:16" x14ac:dyDescent="0.15">
      <c r="A393" s="38" t="s">
        <v>3</v>
      </c>
      <c r="B393" s="8">
        <v>10</v>
      </c>
      <c r="C393" s="10"/>
      <c r="D393" s="10"/>
      <c r="E393" s="10"/>
      <c r="F393" s="28"/>
      <c r="G393" s="9">
        <f t="shared" si="116"/>
        <v>10</v>
      </c>
      <c r="H393" s="58">
        <v>42753</v>
      </c>
      <c r="I393" s="15" t="s">
        <v>3</v>
      </c>
      <c r="J393" s="8"/>
      <c r="K393" s="10"/>
      <c r="L393" s="10"/>
      <c r="M393" s="10"/>
      <c r="N393" s="28"/>
      <c r="O393" s="9">
        <f t="shared" si="118"/>
        <v>0</v>
      </c>
      <c r="P393" s="36"/>
    </row>
    <row r="394" spans="1:16" x14ac:dyDescent="0.15">
      <c r="A394" s="38" t="s">
        <v>19</v>
      </c>
      <c r="B394" s="8"/>
      <c r="C394" s="10"/>
      <c r="D394" s="10">
        <v>1</v>
      </c>
      <c r="E394" s="10"/>
      <c r="F394" s="28">
        <v>1</v>
      </c>
      <c r="G394" s="9">
        <f t="shared" si="116"/>
        <v>2</v>
      </c>
      <c r="H394" s="58">
        <v>42754</v>
      </c>
      <c r="I394" s="15" t="s">
        <v>4</v>
      </c>
      <c r="J394" s="8"/>
      <c r="K394" s="10"/>
      <c r="L394" s="10"/>
      <c r="M394" s="10"/>
      <c r="N394" s="28"/>
      <c r="O394" s="9">
        <f t="shared" si="118"/>
        <v>0</v>
      </c>
      <c r="P394" s="58"/>
    </row>
    <row r="395" spans="1:16" x14ac:dyDescent="0.15">
      <c r="A395" s="38" t="s">
        <v>356</v>
      </c>
      <c r="B395" s="8"/>
      <c r="C395" s="10">
        <v>2</v>
      </c>
      <c r="D395" s="10">
        <v>2</v>
      </c>
      <c r="E395" s="10">
        <v>1</v>
      </c>
      <c r="F395" s="28">
        <v>1</v>
      </c>
      <c r="G395" s="9">
        <f t="shared" si="116"/>
        <v>6</v>
      </c>
      <c r="H395" s="58">
        <v>42760</v>
      </c>
      <c r="I395" s="15" t="s">
        <v>5</v>
      </c>
      <c r="J395" s="8"/>
      <c r="K395" s="10"/>
      <c r="L395" s="10"/>
      <c r="M395" s="10"/>
      <c r="N395" s="28"/>
      <c r="O395" s="9">
        <f t="shared" si="118"/>
        <v>0</v>
      </c>
      <c r="P395" s="58"/>
    </row>
    <row r="396" spans="1:16" x14ac:dyDescent="0.15">
      <c r="A396" s="38" t="s">
        <v>6</v>
      </c>
      <c r="B396" s="8"/>
      <c r="C396" s="10"/>
      <c r="D396" s="10"/>
      <c r="E396" s="10"/>
      <c r="F396" s="28">
        <v>10</v>
      </c>
      <c r="G396" s="9">
        <f t="shared" si="116"/>
        <v>10</v>
      </c>
      <c r="H396" s="58">
        <v>42767</v>
      </c>
      <c r="I396" s="15" t="s">
        <v>6</v>
      </c>
      <c r="J396" s="8"/>
      <c r="K396" s="10"/>
      <c r="L396" s="10"/>
      <c r="M396" s="10"/>
      <c r="N396" s="28"/>
      <c r="O396" s="9">
        <f t="shared" si="118"/>
        <v>0</v>
      </c>
      <c r="P396" s="58"/>
    </row>
    <row r="397" spans="1:16" x14ac:dyDescent="0.15">
      <c r="A397" s="38" t="s">
        <v>17</v>
      </c>
      <c r="B397" s="11">
        <v>1</v>
      </c>
      <c r="C397" s="12">
        <v>2</v>
      </c>
      <c r="D397" s="12"/>
      <c r="E397" s="12"/>
      <c r="F397" s="31"/>
      <c r="G397" s="7">
        <f t="shared" si="116"/>
        <v>3</v>
      </c>
      <c r="H397" s="58">
        <v>42767</v>
      </c>
      <c r="I397" s="15" t="s">
        <v>84</v>
      </c>
      <c r="J397" s="11"/>
      <c r="K397" s="12"/>
      <c r="L397" s="12"/>
      <c r="M397" s="12"/>
      <c r="N397" s="31"/>
      <c r="O397" s="7">
        <f t="shared" si="118"/>
        <v>0</v>
      </c>
      <c r="P397" s="58"/>
    </row>
    <row r="398" spans="1:16" x14ac:dyDescent="0.15">
      <c r="A398" s="38" t="s">
        <v>85</v>
      </c>
      <c r="B398" s="8"/>
      <c r="C398" s="10">
        <v>10</v>
      </c>
      <c r="D398" s="10"/>
      <c r="E398" s="10"/>
      <c r="F398" s="30"/>
      <c r="G398" s="7">
        <f t="shared" si="116"/>
        <v>10</v>
      </c>
      <c r="H398" s="58">
        <v>42782</v>
      </c>
      <c r="I398" s="15" t="s">
        <v>85</v>
      </c>
      <c r="J398" s="8"/>
      <c r="K398" s="10"/>
      <c r="L398" s="10"/>
      <c r="M398" s="10"/>
      <c r="N398" s="30"/>
      <c r="O398" s="7">
        <f t="shared" si="118"/>
        <v>0</v>
      </c>
      <c r="P398" s="58"/>
    </row>
    <row r="399" spans="1:16" x14ac:dyDescent="0.15">
      <c r="A399" s="38" t="s">
        <v>86</v>
      </c>
      <c r="B399" s="11"/>
      <c r="C399" s="100"/>
      <c r="D399" s="100">
        <v>10</v>
      </c>
      <c r="E399" s="100"/>
      <c r="F399" s="101"/>
      <c r="G399" s="102">
        <f t="shared" si="116"/>
        <v>10</v>
      </c>
      <c r="H399" s="58">
        <v>42786</v>
      </c>
      <c r="I399" s="16" t="s">
        <v>88</v>
      </c>
      <c r="J399" s="8"/>
      <c r="K399" s="10"/>
      <c r="L399" s="10"/>
      <c r="M399" s="10"/>
      <c r="N399" s="30"/>
      <c r="O399" s="7">
        <f t="shared" si="118"/>
        <v>0</v>
      </c>
      <c r="P399" s="58"/>
    </row>
    <row r="400" spans="1:16" ht="14.25" thickBot="1" x14ac:dyDescent="0.2">
      <c r="A400" s="38" t="s">
        <v>36</v>
      </c>
      <c r="B400" s="11">
        <v>2</v>
      </c>
      <c r="C400" s="100">
        <v>2</v>
      </c>
      <c r="D400" s="100"/>
      <c r="E400" s="100"/>
      <c r="F400" s="101"/>
      <c r="G400" s="102">
        <f t="shared" si="116"/>
        <v>4</v>
      </c>
      <c r="H400" s="58">
        <v>42789</v>
      </c>
      <c r="I400" s="15" t="s">
        <v>87</v>
      </c>
      <c r="J400" s="11"/>
      <c r="K400" s="100"/>
      <c r="L400" s="100"/>
      <c r="M400" s="100"/>
      <c r="N400" s="101"/>
      <c r="O400" s="102">
        <f t="shared" si="118"/>
        <v>0</v>
      </c>
      <c r="P400" s="68"/>
    </row>
    <row r="401" spans="1:16" ht="14.25" thickBot="1" x14ac:dyDescent="0.2">
      <c r="A401" s="72" t="s">
        <v>7</v>
      </c>
      <c r="B401" s="73">
        <f>SUM(B391:B400)</f>
        <v>31</v>
      </c>
      <c r="C401" s="74">
        <f t="shared" ref="C401:G401" si="119">SUM(C391:C400)</f>
        <v>39</v>
      </c>
      <c r="D401" s="74">
        <f t="shared" si="119"/>
        <v>39</v>
      </c>
      <c r="E401" s="74">
        <f t="shared" si="119"/>
        <v>17</v>
      </c>
      <c r="F401" s="105">
        <f t="shared" si="119"/>
        <v>36</v>
      </c>
      <c r="G401" s="105">
        <f t="shared" si="119"/>
        <v>162</v>
      </c>
      <c r="H401" s="56"/>
      <c r="I401" s="72" t="s">
        <v>7</v>
      </c>
      <c r="J401" s="73">
        <f>SUM(J391:J400)</f>
        <v>168</v>
      </c>
      <c r="K401" s="74">
        <f t="shared" ref="K401:O401" si="120">SUM(K391:K400)</f>
        <v>155</v>
      </c>
      <c r="L401" s="74">
        <f t="shared" si="120"/>
        <v>154</v>
      </c>
      <c r="M401" s="74">
        <f t="shared" si="120"/>
        <v>137</v>
      </c>
      <c r="N401" s="105">
        <f t="shared" si="120"/>
        <v>170</v>
      </c>
      <c r="O401" s="105">
        <f t="shared" si="120"/>
        <v>784</v>
      </c>
    </row>
    <row r="402" spans="1:16" x14ac:dyDescent="0.15">
      <c r="A402" s="20" t="s">
        <v>329</v>
      </c>
      <c r="B402" s="8"/>
      <c r="C402" s="10">
        <v>2</v>
      </c>
      <c r="D402" s="10"/>
      <c r="E402" s="10"/>
      <c r="F402" s="30"/>
      <c r="G402" s="7">
        <f>SUM(B402:F402)</f>
        <v>2</v>
      </c>
      <c r="H402" s="58">
        <v>42741</v>
      </c>
      <c r="I402" s="16" t="s">
        <v>343</v>
      </c>
      <c r="J402" s="17"/>
      <c r="K402" s="22">
        <v>10</v>
      </c>
      <c r="L402" s="22">
        <v>10</v>
      </c>
      <c r="M402" s="22"/>
      <c r="N402" s="29">
        <v>10</v>
      </c>
      <c r="O402" s="18">
        <f t="shared" ref="O402:O427" si="121">SUM(J402:N402)</f>
        <v>30</v>
      </c>
      <c r="P402" s="58">
        <v>42747</v>
      </c>
    </row>
    <row r="403" spans="1:16" x14ac:dyDescent="0.15">
      <c r="A403" s="14" t="s">
        <v>341</v>
      </c>
      <c r="B403" s="8"/>
      <c r="C403" s="10"/>
      <c r="D403" s="10">
        <v>1</v>
      </c>
      <c r="E403" s="10"/>
      <c r="F403" s="30"/>
      <c r="G403" s="7">
        <f t="shared" ref="G403:G427" si="122">SUM(B403:F403)</f>
        <v>1</v>
      </c>
      <c r="H403" s="58">
        <v>42740</v>
      </c>
      <c r="I403" s="16" t="s">
        <v>24</v>
      </c>
      <c r="J403" s="8">
        <v>10</v>
      </c>
      <c r="K403" s="10"/>
      <c r="L403" s="10"/>
      <c r="M403" s="10"/>
      <c r="N403" s="28"/>
      <c r="O403" s="9">
        <f t="shared" si="121"/>
        <v>10</v>
      </c>
      <c r="P403" s="58">
        <v>42753</v>
      </c>
    </row>
    <row r="404" spans="1:16" x14ac:dyDescent="0.15">
      <c r="A404" s="14" t="s">
        <v>329</v>
      </c>
      <c r="B404" s="8">
        <v>1</v>
      </c>
      <c r="C404" s="10">
        <v>3</v>
      </c>
      <c r="D404" s="10">
        <v>2</v>
      </c>
      <c r="E404" s="10"/>
      <c r="F404" s="30">
        <v>2</v>
      </c>
      <c r="G404" s="7">
        <f t="shared" si="122"/>
        <v>8</v>
      </c>
      <c r="H404" s="58">
        <v>42745</v>
      </c>
      <c r="I404" s="16" t="s">
        <v>24</v>
      </c>
      <c r="J404" s="8"/>
      <c r="K404" s="10"/>
      <c r="L404" s="10"/>
      <c r="M404" s="10"/>
      <c r="N404" s="30">
        <v>10</v>
      </c>
      <c r="O404" s="7">
        <f t="shared" si="121"/>
        <v>10</v>
      </c>
      <c r="P404" s="58">
        <v>42767</v>
      </c>
    </row>
    <row r="405" spans="1:16" x14ac:dyDescent="0.15">
      <c r="A405" s="50" t="s">
        <v>22</v>
      </c>
      <c r="B405" s="8"/>
      <c r="C405" s="10"/>
      <c r="D405" s="10">
        <v>10</v>
      </c>
      <c r="E405" s="10"/>
      <c r="F405" s="30">
        <v>10</v>
      </c>
      <c r="G405" s="7">
        <f t="shared" si="122"/>
        <v>20</v>
      </c>
      <c r="H405" s="58">
        <v>42751</v>
      </c>
      <c r="I405" s="16" t="s">
        <v>24</v>
      </c>
      <c r="J405" s="8"/>
      <c r="K405" s="10">
        <v>10</v>
      </c>
      <c r="L405" s="10"/>
      <c r="M405" s="10"/>
      <c r="N405" s="30"/>
      <c r="O405" s="7">
        <f t="shared" si="121"/>
        <v>10</v>
      </c>
      <c r="P405" s="58">
        <v>42782</v>
      </c>
    </row>
    <row r="406" spans="1:16" x14ac:dyDescent="0.15">
      <c r="A406" s="16" t="s">
        <v>345</v>
      </c>
      <c r="B406" s="8"/>
      <c r="C406" s="10">
        <v>1</v>
      </c>
      <c r="D406" s="10"/>
      <c r="E406" s="10">
        <v>1</v>
      </c>
      <c r="F406" s="30"/>
      <c r="G406" s="7">
        <f t="shared" si="122"/>
        <v>2</v>
      </c>
      <c r="H406" s="58">
        <v>42748</v>
      </c>
      <c r="I406" s="16" t="s">
        <v>24</v>
      </c>
      <c r="J406" s="8"/>
      <c r="K406" s="10"/>
      <c r="L406" s="10">
        <v>10</v>
      </c>
      <c r="M406" s="10"/>
      <c r="N406" s="30"/>
      <c r="O406" s="7">
        <f t="shared" si="121"/>
        <v>10</v>
      </c>
      <c r="P406" s="58">
        <v>42786</v>
      </c>
    </row>
    <row r="407" spans="1:16" x14ac:dyDescent="0.15">
      <c r="A407" s="16" t="s">
        <v>347</v>
      </c>
      <c r="B407" s="8"/>
      <c r="C407" s="10">
        <v>2</v>
      </c>
      <c r="D407" s="10"/>
      <c r="E407" s="10"/>
      <c r="F407" s="30"/>
      <c r="G407" s="7">
        <f t="shared" si="122"/>
        <v>2</v>
      </c>
      <c r="H407" s="58">
        <v>42758</v>
      </c>
      <c r="I407" s="16"/>
      <c r="J407" s="8"/>
      <c r="K407" s="10"/>
      <c r="L407" s="10"/>
      <c r="M407" s="10"/>
      <c r="N407" s="30"/>
      <c r="O407" s="7">
        <f t="shared" si="121"/>
        <v>0</v>
      </c>
    </row>
    <row r="408" spans="1:16" x14ac:dyDescent="0.15">
      <c r="A408" s="16" t="s">
        <v>25</v>
      </c>
      <c r="B408" s="8">
        <v>1</v>
      </c>
      <c r="C408" s="10"/>
      <c r="D408" s="10"/>
      <c r="E408" s="10">
        <v>1</v>
      </c>
      <c r="F408" s="30"/>
      <c r="G408" s="7">
        <f t="shared" si="122"/>
        <v>2</v>
      </c>
      <c r="H408" s="58">
        <v>42753</v>
      </c>
      <c r="I408" s="16"/>
      <c r="J408" s="8"/>
      <c r="K408" s="10"/>
      <c r="L408" s="10"/>
      <c r="M408" s="10"/>
      <c r="N408" s="30"/>
      <c r="O408" s="7">
        <f t="shared" si="121"/>
        <v>0</v>
      </c>
    </row>
    <row r="409" spans="1:16" x14ac:dyDescent="0.15">
      <c r="A409" s="50" t="s">
        <v>22</v>
      </c>
      <c r="B409" s="8">
        <v>10</v>
      </c>
      <c r="C409" s="10"/>
      <c r="D409" s="10"/>
      <c r="E409" s="10"/>
      <c r="F409" s="30"/>
      <c r="G409" s="7">
        <f t="shared" si="122"/>
        <v>10</v>
      </c>
      <c r="H409" s="58">
        <v>42758</v>
      </c>
      <c r="I409" s="16"/>
      <c r="J409" s="8"/>
      <c r="K409" s="10"/>
      <c r="L409" s="10"/>
      <c r="M409" s="10"/>
      <c r="N409" s="30"/>
      <c r="O409" s="7">
        <f t="shared" si="121"/>
        <v>0</v>
      </c>
    </row>
    <row r="410" spans="1:16" x14ac:dyDescent="0.15">
      <c r="A410" s="16" t="s">
        <v>25</v>
      </c>
      <c r="B410" s="8"/>
      <c r="C410" s="10"/>
      <c r="D410" s="10">
        <v>1</v>
      </c>
      <c r="E410" s="10"/>
      <c r="F410" s="30"/>
      <c r="G410" s="7">
        <f t="shared" si="122"/>
        <v>1</v>
      </c>
      <c r="H410" s="58">
        <v>42755</v>
      </c>
      <c r="I410" s="39"/>
      <c r="J410" s="8"/>
      <c r="K410" s="10"/>
      <c r="L410" s="10"/>
      <c r="M410" s="10"/>
      <c r="N410" s="30"/>
      <c r="O410" s="7">
        <f t="shared" si="121"/>
        <v>0</v>
      </c>
    </row>
    <row r="411" spans="1:16" x14ac:dyDescent="0.15">
      <c r="A411" s="16" t="s">
        <v>25</v>
      </c>
      <c r="B411" s="11"/>
      <c r="C411" s="12"/>
      <c r="D411" s="12">
        <v>1</v>
      </c>
      <c r="E411" s="12"/>
      <c r="F411" s="31"/>
      <c r="G411" s="7">
        <f t="shared" si="122"/>
        <v>1</v>
      </c>
      <c r="H411" s="58">
        <v>42758</v>
      </c>
      <c r="I411" s="16"/>
      <c r="J411" s="11"/>
      <c r="K411" s="12"/>
      <c r="L411" s="12"/>
      <c r="M411" s="12"/>
      <c r="N411" s="31"/>
      <c r="O411" s="7">
        <f t="shared" si="121"/>
        <v>0</v>
      </c>
    </row>
    <row r="412" spans="1:16" x14ac:dyDescent="0.15">
      <c r="A412" s="16" t="s">
        <v>25</v>
      </c>
      <c r="B412" s="8"/>
      <c r="C412" s="10"/>
      <c r="D412" s="10">
        <v>1</v>
      </c>
      <c r="E412" s="10"/>
      <c r="F412" s="30"/>
      <c r="G412" s="7">
        <f t="shared" si="122"/>
        <v>1</v>
      </c>
      <c r="H412" s="58">
        <v>42760</v>
      </c>
      <c r="I412" s="16"/>
      <c r="J412" s="8"/>
      <c r="K412" s="10"/>
      <c r="L412" s="10"/>
      <c r="M412" s="10"/>
      <c r="N412" s="30"/>
      <c r="O412" s="7">
        <f t="shared" si="121"/>
        <v>0</v>
      </c>
    </row>
    <row r="413" spans="1:16" x14ac:dyDescent="0.15">
      <c r="A413" s="16" t="s">
        <v>25</v>
      </c>
      <c r="B413" s="8"/>
      <c r="C413" s="10"/>
      <c r="D413" s="10"/>
      <c r="E413" s="10"/>
      <c r="F413" s="30">
        <v>1</v>
      </c>
      <c r="G413" s="7">
        <f t="shared" si="122"/>
        <v>1</v>
      </c>
      <c r="H413" s="58">
        <v>42762</v>
      </c>
      <c r="I413" s="14"/>
      <c r="J413" s="8"/>
      <c r="K413" s="10"/>
      <c r="L413" s="10"/>
      <c r="M413" s="10"/>
      <c r="N413" s="30"/>
      <c r="O413" s="7">
        <f t="shared" si="121"/>
        <v>0</v>
      </c>
    </row>
    <row r="414" spans="1:16" x14ac:dyDescent="0.15">
      <c r="A414" s="16" t="s">
        <v>117</v>
      </c>
      <c r="B414" s="8"/>
      <c r="C414" s="10"/>
      <c r="D414" s="10"/>
      <c r="E414" s="10"/>
      <c r="F414" s="30">
        <v>1</v>
      </c>
      <c r="G414" s="7">
        <f t="shared" si="122"/>
        <v>1</v>
      </c>
      <c r="H414" s="58">
        <v>42763</v>
      </c>
      <c r="I414" s="16"/>
      <c r="J414" s="8"/>
      <c r="K414" s="10"/>
      <c r="L414" s="10"/>
      <c r="M414" s="10"/>
      <c r="N414" s="30"/>
      <c r="O414" s="7">
        <f t="shared" si="121"/>
        <v>0</v>
      </c>
    </row>
    <row r="415" spans="1:16" x14ac:dyDescent="0.15">
      <c r="A415" s="16" t="s">
        <v>25</v>
      </c>
      <c r="B415" s="8"/>
      <c r="C415" s="10">
        <v>1</v>
      </c>
      <c r="D415" s="10">
        <v>1</v>
      </c>
      <c r="E415" s="10"/>
      <c r="F415" s="30"/>
      <c r="G415" s="7">
        <f t="shared" si="122"/>
        <v>2</v>
      </c>
      <c r="H415" s="58">
        <v>42765</v>
      </c>
      <c r="I415" s="64"/>
      <c r="J415" s="8"/>
      <c r="K415" s="10"/>
      <c r="L415" s="10"/>
      <c r="M415" s="10"/>
      <c r="N415" s="30"/>
      <c r="O415" s="7">
        <f t="shared" si="121"/>
        <v>0</v>
      </c>
    </row>
    <row r="416" spans="1:16" x14ac:dyDescent="0.15">
      <c r="A416" s="16" t="s">
        <v>359</v>
      </c>
      <c r="B416" s="8"/>
      <c r="C416" s="10"/>
      <c r="D416" s="10"/>
      <c r="E416" s="10"/>
      <c r="F416" s="30">
        <v>10</v>
      </c>
      <c r="G416" s="7">
        <f t="shared" si="122"/>
        <v>10</v>
      </c>
      <c r="H416" s="58">
        <v>42772</v>
      </c>
      <c r="I416" s="16"/>
      <c r="J416" s="8"/>
      <c r="K416" s="10"/>
      <c r="L416" s="10"/>
      <c r="M416" s="10"/>
      <c r="N416" s="30"/>
      <c r="O416" s="7">
        <f t="shared" si="121"/>
        <v>0</v>
      </c>
    </row>
    <row r="417" spans="1:16" x14ac:dyDescent="0.15">
      <c r="A417" s="16" t="s">
        <v>25</v>
      </c>
      <c r="B417" s="8"/>
      <c r="C417" s="10"/>
      <c r="D417" s="10">
        <v>1</v>
      </c>
      <c r="E417" s="10"/>
      <c r="F417" s="30"/>
      <c r="G417" s="7">
        <f t="shared" si="122"/>
        <v>1</v>
      </c>
      <c r="H417" s="58">
        <v>42767</v>
      </c>
      <c r="I417" s="16"/>
      <c r="J417" s="8"/>
      <c r="K417" s="10"/>
      <c r="L417" s="10"/>
      <c r="M417" s="10"/>
      <c r="N417" s="30"/>
      <c r="O417" s="7">
        <f t="shared" si="121"/>
        <v>0</v>
      </c>
    </row>
    <row r="418" spans="1:16" x14ac:dyDescent="0.15">
      <c r="A418" s="16" t="s">
        <v>363</v>
      </c>
      <c r="B418" s="8">
        <v>2</v>
      </c>
      <c r="C418" s="10"/>
      <c r="D418" s="10"/>
      <c r="E418" s="10"/>
      <c r="F418" s="30"/>
      <c r="G418" s="7">
        <f t="shared" si="122"/>
        <v>2</v>
      </c>
      <c r="H418" s="58">
        <v>42769</v>
      </c>
      <c r="I418" s="14"/>
      <c r="J418" s="8"/>
      <c r="K418" s="10"/>
      <c r="L418" s="10"/>
      <c r="M418" s="10"/>
      <c r="N418" s="30"/>
      <c r="O418" s="7">
        <f t="shared" si="121"/>
        <v>0</v>
      </c>
    </row>
    <row r="419" spans="1:16" x14ac:dyDescent="0.15">
      <c r="A419" s="16" t="s">
        <v>276</v>
      </c>
      <c r="B419" s="8">
        <v>1</v>
      </c>
      <c r="C419" s="10"/>
      <c r="D419" s="10"/>
      <c r="E419" s="10"/>
      <c r="F419" s="30"/>
      <c r="G419" s="7">
        <f t="shared" si="122"/>
        <v>1</v>
      </c>
      <c r="H419" s="58">
        <v>42773</v>
      </c>
      <c r="I419" s="16"/>
      <c r="J419" s="8"/>
      <c r="K419" s="10"/>
      <c r="L419" s="10"/>
      <c r="M419" s="10"/>
      <c r="N419" s="30"/>
      <c r="O419" s="7">
        <f t="shared" si="121"/>
        <v>0</v>
      </c>
    </row>
    <row r="420" spans="1:16" x14ac:dyDescent="0.15">
      <c r="A420" s="16" t="s">
        <v>365</v>
      </c>
      <c r="B420" s="8"/>
      <c r="C420" s="10"/>
      <c r="D420" s="10"/>
      <c r="E420" s="10">
        <v>1</v>
      </c>
      <c r="F420" s="30"/>
      <c r="G420" s="7">
        <f t="shared" si="122"/>
        <v>1</v>
      </c>
      <c r="H420" s="58">
        <v>42772</v>
      </c>
      <c r="I420" s="16"/>
      <c r="J420" s="8"/>
      <c r="K420" s="10"/>
      <c r="L420" s="10"/>
      <c r="M420" s="10"/>
      <c r="N420" s="30"/>
      <c r="O420" s="7">
        <f t="shared" si="121"/>
        <v>0</v>
      </c>
      <c r="P420" s="56"/>
    </row>
    <row r="421" spans="1:16" x14ac:dyDescent="0.15">
      <c r="A421" s="16" t="s">
        <v>367</v>
      </c>
      <c r="B421" s="8"/>
      <c r="C421" s="10">
        <v>10</v>
      </c>
      <c r="D421" s="10"/>
      <c r="E421" s="10"/>
      <c r="F421" s="30"/>
      <c r="G421" s="7">
        <f t="shared" si="122"/>
        <v>10</v>
      </c>
      <c r="H421" s="58">
        <v>42779</v>
      </c>
      <c r="I421" s="14"/>
      <c r="J421" s="8"/>
      <c r="K421" s="10"/>
      <c r="L421" s="10"/>
      <c r="M421" s="10"/>
      <c r="N421" s="30"/>
      <c r="O421" s="7">
        <f t="shared" si="121"/>
        <v>0</v>
      </c>
      <c r="P421" s="1"/>
    </row>
    <row r="422" spans="1:16" x14ac:dyDescent="0.15">
      <c r="A422" s="14" t="s">
        <v>329</v>
      </c>
      <c r="B422" s="8">
        <v>2</v>
      </c>
      <c r="C422" s="10"/>
      <c r="D422" s="10"/>
      <c r="E422" s="10"/>
      <c r="F422" s="30"/>
      <c r="G422" s="7">
        <f t="shared" si="122"/>
        <v>2</v>
      </c>
      <c r="H422" s="58">
        <v>42775</v>
      </c>
      <c r="I422" s="16"/>
      <c r="J422" s="8"/>
      <c r="K422" s="10"/>
      <c r="L422" s="10"/>
      <c r="M422" s="10"/>
      <c r="N422" s="30"/>
      <c r="O422" s="9">
        <f t="shared" ref="O422" si="123">SUM(J422:N422)</f>
        <v>0</v>
      </c>
      <c r="P422" s="36"/>
    </row>
    <row r="423" spans="1:16" x14ac:dyDescent="0.15">
      <c r="A423" s="16" t="s">
        <v>25</v>
      </c>
      <c r="B423" s="11"/>
      <c r="C423" s="12"/>
      <c r="D423" s="12">
        <v>1</v>
      </c>
      <c r="E423" s="12"/>
      <c r="F423" s="31"/>
      <c r="G423" s="7">
        <f t="shared" si="122"/>
        <v>1</v>
      </c>
      <c r="H423" s="58">
        <v>42776</v>
      </c>
      <c r="I423" s="16"/>
      <c r="J423" s="8"/>
      <c r="K423" s="10"/>
      <c r="L423" s="10"/>
      <c r="M423" s="10"/>
      <c r="N423" s="30"/>
      <c r="O423" s="7">
        <f t="shared" si="121"/>
        <v>0</v>
      </c>
      <c r="P423" s="56"/>
    </row>
    <row r="424" spans="1:16" x14ac:dyDescent="0.15">
      <c r="A424" s="16" t="s">
        <v>25</v>
      </c>
      <c r="B424" s="8">
        <v>1</v>
      </c>
      <c r="C424" s="10"/>
      <c r="D424" s="10">
        <v>1</v>
      </c>
      <c r="E424" s="10"/>
      <c r="F424" s="30"/>
      <c r="G424" s="7">
        <f t="shared" si="122"/>
        <v>2</v>
      </c>
      <c r="H424" s="58">
        <v>42780</v>
      </c>
      <c r="I424" s="16"/>
      <c r="J424" s="8"/>
      <c r="K424" s="10"/>
      <c r="L424" s="10"/>
      <c r="M424" s="10"/>
      <c r="N424" s="30"/>
      <c r="O424" s="7">
        <f t="shared" si="121"/>
        <v>0</v>
      </c>
      <c r="P424" s="56"/>
    </row>
    <row r="425" spans="1:16" x14ac:dyDescent="0.15">
      <c r="A425" s="14" t="s">
        <v>370</v>
      </c>
      <c r="B425" s="8"/>
      <c r="C425" s="10">
        <v>1</v>
      </c>
      <c r="D425" s="10"/>
      <c r="E425" s="10"/>
      <c r="F425" s="30"/>
      <c r="G425" s="7">
        <f t="shared" si="122"/>
        <v>1</v>
      </c>
      <c r="H425" s="58">
        <v>42783</v>
      </c>
      <c r="I425" s="16"/>
      <c r="J425" s="8"/>
      <c r="K425" s="10"/>
      <c r="L425" s="10"/>
      <c r="M425" s="10"/>
      <c r="N425" s="30"/>
      <c r="O425" s="9">
        <f t="shared" si="121"/>
        <v>0</v>
      </c>
      <c r="P425" s="56"/>
    </row>
    <row r="426" spans="1:16" x14ac:dyDescent="0.15">
      <c r="A426" s="16" t="s">
        <v>371</v>
      </c>
      <c r="B426" s="8"/>
      <c r="C426" s="10"/>
      <c r="D426" s="10">
        <v>3</v>
      </c>
      <c r="E426" s="10"/>
      <c r="F426" s="30"/>
      <c r="G426" s="7">
        <f t="shared" si="122"/>
        <v>3</v>
      </c>
      <c r="H426" s="58">
        <v>42788</v>
      </c>
      <c r="I426" s="16"/>
      <c r="J426" s="8"/>
      <c r="K426" s="10"/>
      <c r="L426" s="10"/>
      <c r="M426" s="10"/>
      <c r="N426" s="30"/>
      <c r="O426" s="9">
        <f t="shared" si="121"/>
        <v>0</v>
      </c>
      <c r="P426" s="36"/>
    </row>
    <row r="427" spans="1:16" ht="14.25" thickBot="1" x14ac:dyDescent="0.2">
      <c r="A427" s="20" t="s">
        <v>372</v>
      </c>
      <c r="B427" s="11"/>
      <c r="C427" s="12"/>
      <c r="D427" s="12">
        <v>2</v>
      </c>
      <c r="E427" s="12"/>
      <c r="F427" s="31"/>
      <c r="G427" s="7">
        <f t="shared" si="122"/>
        <v>2</v>
      </c>
      <c r="H427" s="58">
        <v>42789</v>
      </c>
      <c r="I427" s="126"/>
      <c r="J427" s="60"/>
      <c r="K427" s="127"/>
      <c r="L427" s="127"/>
      <c r="M427" s="127"/>
      <c r="N427" s="128"/>
      <c r="O427" s="115">
        <f t="shared" si="121"/>
        <v>0</v>
      </c>
      <c r="P427" s="56"/>
    </row>
    <row r="428" spans="1:16" ht="14.25" thickBot="1" x14ac:dyDescent="0.2">
      <c r="A428" s="3" t="s">
        <v>11</v>
      </c>
      <c r="B428" s="23">
        <f>SUM(B402:B427)</f>
        <v>18</v>
      </c>
      <c r="C428" s="4">
        <f>SUM(C402:C427)</f>
        <v>20</v>
      </c>
      <c r="D428" s="4">
        <f>SUM(D402:D427)</f>
        <v>25</v>
      </c>
      <c r="E428" s="6">
        <f>SUM(E402:E427)</f>
        <v>3</v>
      </c>
      <c r="F428" s="32">
        <f>SUM(F402:F427)</f>
        <v>24</v>
      </c>
      <c r="G428" s="5">
        <f>SUM(B428:F428)</f>
        <v>90</v>
      </c>
      <c r="H428" s="58"/>
      <c r="I428" s="3" t="s">
        <v>11</v>
      </c>
      <c r="J428" s="23">
        <f>SUM(J402:J427)</f>
        <v>10</v>
      </c>
      <c r="K428" s="4">
        <f>SUM(K402:K427)</f>
        <v>20</v>
      </c>
      <c r="L428" s="4">
        <f>SUM(L402:L427)</f>
        <v>20</v>
      </c>
      <c r="M428" s="6">
        <f>SUM(M402:M427)</f>
        <v>0</v>
      </c>
      <c r="N428" s="32">
        <f>SUM(N402:N427)</f>
        <v>20</v>
      </c>
      <c r="O428" s="5">
        <f>SUM(J428:N428)</f>
        <v>70</v>
      </c>
    </row>
    <row r="429" spans="1:16" ht="14.25" thickBot="1" x14ac:dyDescent="0.2">
      <c r="A429" s="25" t="s">
        <v>12</v>
      </c>
      <c r="B429" s="63">
        <f>B401-B428</f>
        <v>13</v>
      </c>
      <c r="C429" s="26">
        <f t="shared" ref="C429:G429" si="124">C401-C428</f>
        <v>19</v>
      </c>
      <c r="D429" s="71">
        <f t="shared" si="124"/>
        <v>14</v>
      </c>
      <c r="E429" s="26">
        <f t="shared" si="124"/>
        <v>14</v>
      </c>
      <c r="F429" s="70">
        <f t="shared" si="124"/>
        <v>12</v>
      </c>
      <c r="G429" s="27">
        <f t="shared" si="124"/>
        <v>72</v>
      </c>
      <c r="H429" s="58"/>
      <c r="I429" s="25" t="s">
        <v>12</v>
      </c>
      <c r="J429" s="63">
        <f>J401-J428</f>
        <v>158</v>
      </c>
      <c r="K429" s="26">
        <f t="shared" ref="K429:O429" si="125">K401-K428</f>
        <v>135</v>
      </c>
      <c r="L429" s="71">
        <f t="shared" si="125"/>
        <v>134</v>
      </c>
      <c r="M429" s="26">
        <f t="shared" si="125"/>
        <v>137</v>
      </c>
      <c r="N429" s="70">
        <f t="shared" si="125"/>
        <v>150</v>
      </c>
      <c r="O429" s="27">
        <f t="shared" si="125"/>
        <v>714</v>
      </c>
    </row>
    <row r="430" spans="1:16" ht="21" x14ac:dyDescent="0.2">
      <c r="A430" s="83" t="s">
        <v>48</v>
      </c>
      <c r="B430" s="77"/>
      <c r="C430" s="77"/>
      <c r="D430" s="77"/>
      <c r="E430" s="77"/>
      <c r="F430" s="77"/>
      <c r="G430" s="77"/>
      <c r="H430" s="58"/>
      <c r="I430" s="83" t="s">
        <v>48</v>
      </c>
      <c r="J430" s="77"/>
      <c r="K430" s="77"/>
      <c r="L430" s="77"/>
      <c r="M430" s="77"/>
      <c r="N430" s="77"/>
      <c r="O430" s="77"/>
    </row>
    <row r="431" spans="1:16" ht="21.75" thickBot="1" x14ac:dyDescent="0.25">
      <c r="A431" s="83" t="s">
        <v>47</v>
      </c>
      <c r="B431" s="77"/>
      <c r="C431" s="77"/>
      <c r="D431" s="77"/>
      <c r="E431" s="84"/>
      <c r="F431" s="78" t="s">
        <v>53</v>
      </c>
      <c r="G431" s="77"/>
      <c r="H431" s="58"/>
      <c r="I431" s="83" t="s">
        <v>47</v>
      </c>
      <c r="J431" s="77"/>
      <c r="K431" s="77"/>
      <c r="L431" s="77"/>
      <c r="M431" s="84"/>
      <c r="N431" s="78" t="s">
        <v>54</v>
      </c>
      <c r="O431" s="77"/>
    </row>
    <row r="432" spans="1:16" ht="14.25" thickBot="1" x14ac:dyDescent="0.2">
      <c r="A432" s="13" t="s">
        <v>0</v>
      </c>
      <c r="B432" s="228" t="s">
        <v>49</v>
      </c>
      <c r="C432" s="229"/>
      <c r="D432" s="229"/>
      <c r="E432" s="229"/>
      <c r="F432" s="230"/>
      <c r="G432" s="231"/>
      <c r="H432" s="58"/>
      <c r="I432" s="13" t="s">
        <v>0</v>
      </c>
      <c r="J432" s="232" t="s">
        <v>49</v>
      </c>
      <c r="K432" s="233"/>
      <c r="L432" s="233"/>
      <c r="M432" s="233"/>
      <c r="N432" s="233"/>
      <c r="O432" s="234"/>
    </row>
    <row r="433" spans="1:16" ht="14.25" thickBot="1" x14ac:dyDescent="0.2">
      <c r="A433" s="3" t="s">
        <v>1</v>
      </c>
      <c r="B433" s="2" t="s">
        <v>42</v>
      </c>
      <c r="C433" s="21" t="s">
        <v>43</v>
      </c>
      <c r="D433" s="21" t="s">
        <v>44</v>
      </c>
      <c r="E433" s="24" t="s">
        <v>45</v>
      </c>
      <c r="F433" s="33" t="s">
        <v>46</v>
      </c>
      <c r="G433" s="34" t="s">
        <v>2</v>
      </c>
      <c r="H433" s="58"/>
      <c r="I433" s="3" t="s">
        <v>1</v>
      </c>
      <c r="J433" s="2" t="s">
        <v>42</v>
      </c>
      <c r="K433" s="21" t="s">
        <v>43</v>
      </c>
      <c r="L433" s="21" t="s">
        <v>44</v>
      </c>
      <c r="M433" s="24" t="s">
        <v>45</v>
      </c>
      <c r="N433" s="33" t="s">
        <v>46</v>
      </c>
      <c r="O433" s="3" t="s">
        <v>2</v>
      </c>
    </row>
    <row r="434" spans="1:16" ht="14.25" thickBot="1" x14ac:dyDescent="0.2">
      <c r="A434" s="116" t="s">
        <v>79</v>
      </c>
      <c r="B434" s="95">
        <f>B429</f>
        <v>13</v>
      </c>
      <c r="C434" s="97">
        <f t="shared" ref="C434:F434" si="126">C429</f>
        <v>19</v>
      </c>
      <c r="D434" s="55">
        <f t="shared" si="126"/>
        <v>14</v>
      </c>
      <c r="E434" s="98">
        <f t="shared" si="126"/>
        <v>14</v>
      </c>
      <c r="F434" s="98">
        <f t="shared" si="126"/>
        <v>12</v>
      </c>
      <c r="G434" s="52">
        <f t="shared" ref="G434:G443" si="127">SUM(B434:F434)</f>
        <v>72</v>
      </c>
      <c r="H434" s="58"/>
      <c r="I434" s="72" t="s">
        <v>79</v>
      </c>
      <c r="J434" s="73">
        <f>J429</f>
        <v>158</v>
      </c>
      <c r="K434" s="74">
        <f t="shared" ref="K434:N434" si="128">K429</f>
        <v>135</v>
      </c>
      <c r="L434" s="107">
        <f t="shared" si="128"/>
        <v>134</v>
      </c>
      <c r="M434" s="75">
        <f t="shared" si="128"/>
        <v>137</v>
      </c>
      <c r="N434" s="75">
        <f t="shared" si="128"/>
        <v>150</v>
      </c>
      <c r="O434" s="76">
        <f t="shared" ref="O434:O443" si="129">SUM(J434:N434)</f>
        <v>714</v>
      </c>
    </row>
    <row r="435" spans="1:16" x14ac:dyDescent="0.15">
      <c r="A435" s="38" t="s">
        <v>17</v>
      </c>
      <c r="B435" s="8"/>
      <c r="C435" s="10">
        <v>1</v>
      </c>
      <c r="D435" s="10">
        <v>1</v>
      </c>
      <c r="E435" s="10"/>
      <c r="F435" s="30"/>
      <c r="G435" s="7">
        <f t="shared" si="127"/>
        <v>2</v>
      </c>
      <c r="H435" s="58">
        <v>42794</v>
      </c>
      <c r="I435" s="38" t="s">
        <v>14</v>
      </c>
      <c r="J435" s="37"/>
      <c r="K435" s="35"/>
      <c r="L435" s="35"/>
      <c r="M435" s="35"/>
      <c r="N435" s="28"/>
      <c r="O435" s="7">
        <f t="shared" si="129"/>
        <v>0</v>
      </c>
      <c r="P435" s="58"/>
    </row>
    <row r="436" spans="1:16" x14ac:dyDescent="0.15">
      <c r="A436" s="38" t="s">
        <v>380</v>
      </c>
      <c r="B436" s="8">
        <v>1</v>
      </c>
      <c r="C436" s="10"/>
      <c r="D436" s="10"/>
      <c r="E436" s="10"/>
      <c r="F436" s="28"/>
      <c r="G436" s="9">
        <f t="shared" si="127"/>
        <v>1</v>
      </c>
      <c r="H436" s="58">
        <v>42796</v>
      </c>
      <c r="I436" s="15" t="s">
        <v>3</v>
      </c>
      <c r="J436" s="8"/>
      <c r="K436" s="10"/>
      <c r="L436" s="10"/>
      <c r="M436" s="10"/>
      <c r="N436" s="28"/>
      <c r="O436" s="9">
        <f t="shared" si="129"/>
        <v>0</v>
      </c>
      <c r="P436" s="36"/>
    </row>
    <row r="437" spans="1:16" x14ac:dyDescent="0.15">
      <c r="A437" s="38" t="s">
        <v>4</v>
      </c>
      <c r="B437" s="8"/>
      <c r="C437" s="10"/>
      <c r="D437" s="10"/>
      <c r="E437" s="10">
        <v>10</v>
      </c>
      <c r="F437" s="28"/>
      <c r="G437" s="9">
        <f t="shared" si="127"/>
        <v>10</v>
      </c>
      <c r="H437" s="58">
        <v>42798</v>
      </c>
      <c r="I437" s="15" t="s">
        <v>4</v>
      </c>
      <c r="J437" s="8"/>
      <c r="K437" s="10"/>
      <c r="L437" s="10"/>
      <c r="M437" s="10"/>
      <c r="N437" s="28"/>
      <c r="O437" s="9">
        <f t="shared" si="129"/>
        <v>0</v>
      </c>
      <c r="P437" s="58"/>
    </row>
    <row r="438" spans="1:16" x14ac:dyDescent="0.15">
      <c r="A438" s="38" t="s">
        <v>5</v>
      </c>
      <c r="B438" s="8"/>
      <c r="C438" s="10">
        <v>10</v>
      </c>
      <c r="D438" s="10">
        <v>10</v>
      </c>
      <c r="E438" s="10"/>
      <c r="F438" s="28"/>
      <c r="G438" s="9">
        <f t="shared" si="127"/>
        <v>20</v>
      </c>
      <c r="H438" s="58">
        <v>42802</v>
      </c>
      <c r="I438" s="15" t="s">
        <v>5</v>
      </c>
      <c r="J438" s="8"/>
      <c r="K438" s="10"/>
      <c r="L438" s="10"/>
      <c r="M438" s="10"/>
      <c r="N438" s="28"/>
      <c r="O438" s="9">
        <f t="shared" si="129"/>
        <v>0</v>
      </c>
      <c r="P438" s="58"/>
    </row>
    <row r="439" spans="1:16" x14ac:dyDescent="0.15">
      <c r="A439" s="38" t="s">
        <v>383</v>
      </c>
      <c r="B439" s="8">
        <v>1</v>
      </c>
      <c r="C439" s="10"/>
      <c r="D439" s="10"/>
      <c r="E439" s="10"/>
      <c r="F439" s="28"/>
      <c r="G439" s="9">
        <f t="shared" si="127"/>
        <v>1</v>
      </c>
      <c r="H439" s="58">
        <v>42801</v>
      </c>
      <c r="I439" s="15" t="s">
        <v>6</v>
      </c>
      <c r="J439" s="8"/>
      <c r="K439" s="10"/>
      <c r="L439" s="10"/>
      <c r="M439" s="10"/>
      <c r="N439" s="28"/>
      <c r="O439" s="9">
        <f t="shared" si="129"/>
        <v>0</v>
      </c>
      <c r="P439" s="58"/>
    </row>
    <row r="440" spans="1:16" x14ac:dyDescent="0.15">
      <c r="A440" s="38" t="s">
        <v>19</v>
      </c>
      <c r="B440" s="11">
        <v>2</v>
      </c>
      <c r="C440" s="12">
        <v>6</v>
      </c>
      <c r="D440" s="12"/>
      <c r="E440" s="12">
        <v>3</v>
      </c>
      <c r="F440" s="31">
        <v>1</v>
      </c>
      <c r="G440" s="7">
        <f t="shared" si="127"/>
        <v>12</v>
      </c>
      <c r="H440" s="58">
        <v>42802</v>
      </c>
      <c r="I440" s="15" t="s">
        <v>84</v>
      </c>
      <c r="J440" s="11"/>
      <c r="K440" s="12"/>
      <c r="L440" s="12"/>
      <c r="M440" s="12"/>
      <c r="N440" s="31"/>
      <c r="O440" s="7">
        <f t="shared" si="129"/>
        <v>0</v>
      </c>
      <c r="P440" s="58"/>
    </row>
    <row r="441" spans="1:16" x14ac:dyDescent="0.15">
      <c r="A441" s="38" t="s">
        <v>85</v>
      </c>
      <c r="B441" s="8"/>
      <c r="C441" s="10"/>
      <c r="D441" s="10"/>
      <c r="E441" s="10"/>
      <c r="F441" s="30">
        <v>10</v>
      </c>
      <c r="G441" s="7">
        <f t="shared" si="127"/>
        <v>10</v>
      </c>
      <c r="H441" s="58">
        <v>42807</v>
      </c>
      <c r="I441" s="15" t="s">
        <v>85</v>
      </c>
      <c r="J441" s="8"/>
      <c r="K441" s="10"/>
      <c r="L441" s="10"/>
      <c r="M441" s="10"/>
      <c r="N441" s="30"/>
      <c r="O441" s="7">
        <f t="shared" si="129"/>
        <v>0</v>
      </c>
      <c r="P441" s="58"/>
    </row>
    <row r="442" spans="1:16" x14ac:dyDescent="0.15">
      <c r="A442" s="38" t="s">
        <v>86</v>
      </c>
      <c r="B442" s="11">
        <v>5</v>
      </c>
      <c r="C442" s="100"/>
      <c r="D442" s="100">
        <v>5</v>
      </c>
      <c r="E442" s="100"/>
      <c r="F442" s="101">
        <v>5</v>
      </c>
      <c r="G442" s="102">
        <f t="shared" si="127"/>
        <v>15</v>
      </c>
      <c r="H442" s="58">
        <v>42818</v>
      </c>
      <c r="I442" s="16" t="s">
        <v>88</v>
      </c>
      <c r="J442" s="8"/>
      <c r="K442" s="10"/>
      <c r="L442" s="10"/>
      <c r="M442" s="10"/>
      <c r="N442" s="30"/>
      <c r="O442" s="7">
        <f t="shared" si="129"/>
        <v>0</v>
      </c>
      <c r="P442" s="58"/>
    </row>
    <row r="443" spans="1:16" ht="14.25" thickBot="1" x14ac:dyDescent="0.2">
      <c r="A443" s="38" t="s">
        <v>87</v>
      </c>
      <c r="B443" s="11"/>
      <c r="C443" s="100">
        <v>10</v>
      </c>
      <c r="D443" s="100"/>
      <c r="E443" s="100">
        <v>10</v>
      </c>
      <c r="F443" s="101"/>
      <c r="G443" s="102">
        <f t="shared" si="127"/>
        <v>20</v>
      </c>
      <c r="H443" s="58">
        <v>42823</v>
      </c>
      <c r="I443" s="15" t="s">
        <v>87</v>
      </c>
      <c r="J443" s="11"/>
      <c r="K443" s="100"/>
      <c r="L443" s="100"/>
      <c r="M443" s="100"/>
      <c r="N443" s="101"/>
      <c r="O443" s="102">
        <f t="shared" si="129"/>
        <v>0</v>
      </c>
      <c r="P443" s="68"/>
    </row>
    <row r="444" spans="1:16" ht="14.25" thickBot="1" x14ac:dyDescent="0.2">
      <c r="A444" s="72" t="s">
        <v>7</v>
      </c>
      <c r="B444" s="73">
        <f>SUM(B434:B443)</f>
        <v>22</v>
      </c>
      <c r="C444" s="74">
        <f t="shared" ref="C444:G444" si="130">SUM(C434:C443)</f>
        <v>46</v>
      </c>
      <c r="D444" s="74">
        <f t="shared" si="130"/>
        <v>30</v>
      </c>
      <c r="E444" s="74">
        <f t="shared" si="130"/>
        <v>37</v>
      </c>
      <c r="F444" s="105">
        <f t="shared" si="130"/>
        <v>28</v>
      </c>
      <c r="G444" s="105">
        <f t="shared" si="130"/>
        <v>163</v>
      </c>
      <c r="H444" s="56"/>
      <c r="I444" s="72" t="s">
        <v>7</v>
      </c>
      <c r="J444" s="73">
        <f>SUM(J434:J443)</f>
        <v>158</v>
      </c>
      <c r="K444" s="74">
        <f t="shared" ref="K444:O444" si="131">SUM(K434:K443)</f>
        <v>135</v>
      </c>
      <c r="L444" s="74">
        <f t="shared" si="131"/>
        <v>134</v>
      </c>
      <c r="M444" s="74">
        <f t="shared" si="131"/>
        <v>137</v>
      </c>
      <c r="N444" s="105">
        <f t="shared" si="131"/>
        <v>150</v>
      </c>
      <c r="O444" s="105">
        <f t="shared" si="131"/>
        <v>714</v>
      </c>
    </row>
    <row r="445" spans="1:16" x14ac:dyDescent="0.15">
      <c r="A445" s="14" t="s">
        <v>329</v>
      </c>
      <c r="B445" s="8">
        <v>3</v>
      </c>
      <c r="C445" s="10"/>
      <c r="D445" s="10"/>
      <c r="E445" s="10">
        <v>1</v>
      </c>
      <c r="F445" s="30"/>
      <c r="G445" s="7">
        <f>SUM(B445:F445)</f>
        <v>4</v>
      </c>
      <c r="H445" s="58">
        <v>42790</v>
      </c>
      <c r="I445" s="16" t="s">
        <v>381</v>
      </c>
      <c r="J445" s="17"/>
      <c r="K445" s="22"/>
      <c r="L445" s="22"/>
      <c r="M445" s="22">
        <v>10</v>
      </c>
      <c r="N445" s="29"/>
      <c r="O445" s="18">
        <f t="shared" ref="O445:O470" si="132">SUM(J445:N445)</f>
        <v>10</v>
      </c>
      <c r="P445" s="58">
        <v>42798</v>
      </c>
    </row>
    <row r="446" spans="1:16" x14ac:dyDescent="0.15">
      <c r="A446" s="14" t="s">
        <v>374</v>
      </c>
      <c r="B446" s="8"/>
      <c r="C446" s="10"/>
      <c r="D446" s="10">
        <v>1</v>
      </c>
      <c r="E446" s="10"/>
      <c r="F446" s="30"/>
      <c r="G446" s="7">
        <f t="shared" ref="G446:G470" si="133">SUM(B446:F446)</f>
        <v>1</v>
      </c>
      <c r="H446" s="58">
        <v>42790</v>
      </c>
      <c r="I446" s="16" t="s">
        <v>24</v>
      </c>
      <c r="J446" s="8"/>
      <c r="K446" s="10">
        <v>10</v>
      </c>
      <c r="L446" s="10">
        <v>10</v>
      </c>
      <c r="M446" s="10"/>
      <c r="N446" s="28"/>
      <c r="O446" s="9">
        <f t="shared" si="132"/>
        <v>20</v>
      </c>
      <c r="P446" s="58">
        <v>42802</v>
      </c>
    </row>
    <row r="447" spans="1:16" x14ac:dyDescent="0.15">
      <c r="A447" s="14" t="s">
        <v>29</v>
      </c>
      <c r="B447" s="8"/>
      <c r="C447" s="10"/>
      <c r="D447" s="10">
        <v>1</v>
      </c>
      <c r="E447" s="10"/>
      <c r="F447" s="30"/>
      <c r="G447" s="7">
        <f t="shared" si="133"/>
        <v>1</v>
      </c>
      <c r="H447" s="58">
        <v>42793</v>
      </c>
      <c r="I447" s="16" t="s">
        <v>24</v>
      </c>
      <c r="J447" s="8"/>
      <c r="K447" s="10"/>
      <c r="L447" s="10"/>
      <c r="M447" s="10"/>
      <c r="N447" s="30">
        <v>10</v>
      </c>
      <c r="O447" s="7">
        <f t="shared" si="132"/>
        <v>10</v>
      </c>
      <c r="P447" s="58">
        <v>42807</v>
      </c>
    </row>
    <row r="448" spans="1:16" x14ac:dyDescent="0.15">
      <c r="A448" s="16" t="s">
        <v>22</v>
      </c>
      <c r="B448" s="8"/>
      <c r="C448" s="10"/>
      <c r="D448" s="10"/>
      <c r="E448" s="10">
        <v>10</v>
      </c>
      <c r="F448" s="30"/>
      <c r="G448" s="7">
        <f t="shared" si="133"/>
        <v>10</v>
      </c>
      <c r="H448" s="58">
        <v>42800</v>
      </c>
      <c r="I448" s="16" t="s">
        <v>24</v>
      </c>
      <c r="J448" s="8">
        <v>5</v>
      </c>
      <c r="K448" s="10"/>
      <c r="L448" s="10">
        <v>5</v>
      </c>
      <c r="M448" s="10"/>
      <c r="N448" s="30">
        <v>5</v>
      </c>
      <c r="O448" s="7">
        <f t="shared" si="132"/>
        <v>15</v>
      </c>
      <c r="P448" s="58">
        <v>42818</v>
      </c>
    </row>
    <row r="449" spans="1:16" x14ac:dyDescent="0.15">
      <c r="A449" s="14" t="s">
        <v>329</v>
      </c>
      <c r="B449" s="8"/>
      <c r="C449" s="10">
        <v>1</v>
      </c>
      <c r="D449" s="10"/>
      <c r="E449" s="10"/>
      <c r="F449" s="30"/>
      <c r="G449" s="7">
        <f t="shared" si="133"/>
        <v>1</v>
      </c>
      <c r="H449" s="58">
        <v>42801</v>
      </c>
      <c r="I449" s="16" t="s">
        <v>24</v>
      </c>
      <c r="J449" s="8"/>
      <c r="K449" s="10">
        <v>10</v>
      </c>
      <c r="L449" s="10"/>
      <c r="M449" s="10">
        <v>10</v>
      </c>
      <c r="N449" s="30"/>
      <c r="O449" s="7">
        <f t="shared" si="132"/>
        <v>20</v>
      </c>
      <c r="P449" s="58">
        <v>42823</v>
      </c>
    </row>
    <row r="450" spans="1:16" x14ac:dyDescent="0.15">
      <c r="A450" s="16" t="s">
        <v>22</v>
      </c>
      <c r="B450" s="8"/>
      <c r="C450" s="10">
        <v>10</v>
      </c>
      <c r="D450" s="10">
        <v>10</v>
      </c>
      <c r="E450" s="10"/>
      <c r="F450" s="30"/>
      <c r="G450" s="7">
        <f t="shared" si="133"/>
        <v>20</v>
      </c>
      <c r="H450" s="58">
        <v>42804</v>
      </c>
      <c r="I450" s="16"/>
      <c r="J450" s="8"/>
      <c r="K450" s="10"/>
      <c r="L450" s="10"/>
      <c r="M450" s="10"/>
      <c r="N450" s="30"/>
      <c r="O450" s="7">
        <f t="shared" si="132"/>
        <v>0</v>
      </c>
    </row>
    <row r="451" spans="1:16" x14ac:dyDescent="0.15">
      <c r="A451" s="39" t="s">
        <v>384</v>
      </c>
      <c r="B451" s="8">
        <v>1</v>
      </c>
      <c r="C451" s="10"/>
      <c r="D451" s="10"/>
      <c r="E451" s="10"/>
      <c r="F451" s="30"/>
      <c r="G451" s="7">
        <f t="shared" si="133"/>
        <v>1</v>
      </c>
      <c r="H451" s="58">
        <v>42801</v>
      </c>
      <c r="I451" s="16"/>
      <c r="J451" s="8"/>
      <c r="K451" s="10"/>
      <c r="L451" s="10"/>
      <c r="M451" s="10"/>
      <c r="N451" s="30"/>
      <c r="O451" s="7">
        <f t="shared" si="132"/>
        <v>0</v>
      </c>
    </row>
    <row r="452" spans="1:16" x14ac:dyDescent="0.15">
      <c r="A452" s="50" t="s">
        <v>386</v>
      </c>
      <c r="B452" s="8"/>
      <c r="C452" s="10"/>
      <c r="D452" s="10"/>
      <c r="E452" s="10">
        <v>2</v>
      </c>
      <c r="F452" s="30"/>
      <c r="G452" s="7">
        <f t="shared" si="133"/>
        <v>2</v>
      </c>
      <c r="H452" s="58">
        <v>42809</v>
      </c>
      <c r="I452" s="16"/>
      <c r="J452" s="8"/>
      <c r="K452" s="10"/>
      <c r="L452" s="10"/>
      <c r="M452" s="10"/>
      <c r="N452" s="30"/>
      <c r="O452" s="7">
        <f t="shared" si="132"/>
        <v>0</v>
      </c>
    </row>
    <row r="453" spans="1:16" x14ac:dyDescent="0.15">
      <c r="A453" s="16" t="s">
        <v>22</v>
      </c>
      <c r="B453" s="8"/>
      <c r="C453" s="10"/>
      <c r="D453" s="10"/>
      <c r="E453" s="10"/>
      <c r="F453" s="30">
        <v>10</v>
      </c>
      <c r="G453" s="7">
        <f t="shared" si="133"/>
        <v>10</v>
      </c>
      <c r="H453" s="58">
        <v>42810</v>
      </c>
      <c r="I453" s="39"/>
      <c r="J453" s="8"/>
      <c r="K453" s="10"/>
      <c r="L453" s="10"/>
      <c r="M453" s="10"/>
      <c r="N453" s="30"/>
      <c r="O453" s="7">
        <f t="shared" si="132"/>
        <v>0</v>
      </c>
    </row>
    <row r="454" spans="1:16" x14ac:dyDescent="0.15">
      <c r="A454" s="14" t="s">
        <v>329</v>
      </c>
      <c r="B454" s="11"/>
      <c r="C454" s="12">
        <v>2</v>
      </c>
      <c r="D454" s="12"/>
      <c r="E454" s="12"/>
      <c r="F454" s="31"/>
      <c r="G454" s="7">
        <f t="shared" si="133"/>
        <v>2</v>
      </c>
      <c r="H454" s="58">
        <v>42807</v>
      </c>
      <c r="I454" s="16"/>
      <c r="J454" s="11"/>
      <c r="K454" s="12"/>
      <c r="L454" s="12"/>
      <c r="M454" s="12"/>
      <c r="N454" s="31"/>
      <c r="O454" s="7">
        <f t="shared" si="132"/>
        <v>0</v>
      </c>
    </row>
    <row r="455" spans="1:16" x14ac:dyDescent="0.15">
      <c r="A455" s="16" t="s">
        <v>388</v>
      </c>
      <c r="B455" s="8">
        <v>1</v>
      </c>
      <c r="C455" s="10"/>
      <c r="D455" s="10">
        <v>1</v>
      </c>
      <c r="E455" s="10"/>
      <c r="F455" s="30"/>
      <c r="G455" s="7">
        <f t="shared" si="133"/>
        <v>2</v>
      </c>
      <c r="H455" s="58">
        <v>42808</v>
      </c>
      <c r="I455" s="16"/>
      <c r="J455" s="8"/>
      <c r="K455" s="10"/>
      <c r="L455" s="10"/>
      <c r="M455" s="10"/>
      <c r="N455" s="30"/>
      <c r="O455" s="7">
        <f t="shared" si="132"/>
        <v>0</v>
      </c>
    </row>
    <row r="456" spans="1:16" x14ac:dyDescent="0.15">
      <c r="A456" s="50" t="s">
        <v>110</v>
      </c>
      <c r="B456" s="8"/>
      <c r="C456" s="10"/>
      <c r="D456" s="10"/>
      <c r="E456" s="10"/>
      <c r="F456" s="30">
        <v>2</v>
      </c>
      <c r="G456" s="7">
        <f t="shared" si="133"/>
        <v>2</v>
      </c>
      <c r="H456" s="58">
        <v>42816</v>
      </c>
      <c r="I456" s="14"/>
      <c r="J456" s="8"/>
      <c r="K456" s="10"/>
      <c r="L456" s="10"/>
      <c r="M456" s="10"/>
      <c r="N456" s="30"/>
      <c r="O456" s="7">
        <f t="shared" si="132"/>
        <v>0</v>
      </c>
    </row>
    <row r="457" spans="1:16" x14ac:dyDescent="0.15">
      <c r="A457" s="16" t="s">
        <v>25</v>
      </c>
      <c r="B457" s="8"/>
      <c r="C457" s="10">
        <v>1</v>
      </c>
      <c r="D457" s="10">
        <v>3</v>
      </c>
      <c r="E457" s="10"/>
      <c r="F457" s="30"/>
      <c r="G457" s="7">
        <f t="shared" si="133"/>
        <v>4</v>
      </c>
      <c r="H457" s="58">
        <v>42810</v>
      </c>
      <c r="I457" s="16"/>
      <c r="J457" s="8"/>
      <c r="K457" s="10"/>
      <c r="L457" s="10"/>
      <c r="M457" s="10"/>
      <c r="N457" s="30"/>
      <c r="O457" s="7">
        <f t="shared" si="132"/>
        <v>0</v>
      </c>
    </row>
    <row r="458" spans="1:16" x14ac:dyDescent="0.15">
      <c r="A458" s="16" t="s">
        <v>25</v>
      </c>
      <c r="B458" s="8"/>
      <c r="C458" s="10">
        <v>1</v>
      </c>
      <c r="D458" s="10"/>
      <c r="E458" s="10"/>
      <c r="F458" s="30"/>
      <c r="G458" s="7">
        <f t="shared" si="133"/>
        <v>1</v>
      </c>
      <c r="H458" s="58">
        <v>42811</v>
      </c>
      <c r="I458" s="64"/>
      <c r="J458" s="8"/>
      <c r="K458" s="10"/>
      <c r="L458" s="10"/>
      <c r="M458" s="10"/>
      <c r="N458" s="30"/>
      <c r="O458" s="7">
        <f t="shared" si="132"/>
        <v>0</v>
      </c>
    </row>
    <row r="459" spans="1:16" x14ac:dyDescent="0.15">
      <c r="A459" s="16" t="s">
        <v>25</v>
      </c>
      <c r="B459" s="8"/>
      <c r="C459" s="10">
        <v>2</v>
      </c>
      <c r="D459" s="10"/>
      <c r="E459" s="10"/>
      <c r="F459" s="30"/>
      <c r="G459" s="7">
        <f t="shared" si="133"/>
        <v>2</v>
      </c>
      <c r="H459" s="58">
        <v>42812</v>
      </c>
      <c r="I459" s="16"/>
      <c r="J459" s="8"/>
      <c r="K459" s="10"/>
      <c r="L459" s="10"/>
      <c r="M459" s="10"/>
      <c r="N459" s="30"/>
      <c r="O459" s="7">
        <f t="shared" si="132"/>
        <v>0</v>
      </c>
    </row>
    <row r="460" spans="1:16" x14ac:dyDescent="0.15">
      <c r="A460" s="39" t="s">
        <v>395</v>
      </c>
      <c r="B460" s="8">
        <v>-1</v>
      </c>
      <c r="C460" s="10"/>
      <c r="D460" s="10"/>
      <c r="E460" s="10"/>
      <c r="F460" s="30"/>
      <c r="G460" s="7">
        <f t="shared" si="133"/>
        <v>-1</v>
      </c>
      <c r="H460" s="58">
        <v>42811</v>
      </c>
      <c r="I460" s="16"/>
      <c r="J460" s="8"/>
      <c r="K460" s="10"/>
      <c r="L460" s="10"/>
      <c r="M460" s="10"/>
      <c r="N460" s="30"/>
      <c r="O460" s="7">
        <f t="shared" si="132"/>
        <v>0</v>
      </c>
    </row>
    <row r="461" spans="1:16" x14ac:dyDescent="0.15">
      <c r="A461" s="16" t="s">
        <v>25</v>
      </c>
      <c r="B461" s="8"/>
      <c r="C461" s="10"/>
      <c r="D461" s="10"/>
      <c r="E461" s="10"/>
      <c r="F461" s="30">
        <v>2</v>
      </c>
      <c r="G461" s="7">
        <f t="shared" si="133"/>
        <v>2</v>
      </c>
      <c r="H461" s="58">
        <v>42816</v>
      </c>
      <c r="I461" s="14"/>
      <c r="J461" s="8"/>
      <c r="K461" s="10"/>
      <c r="L461" s="10"/>
      <c r="M461" s="10"/>
      <c r="N461" s="30"/>
      <c r="O461" s="7">
        <f t="shared" si="132"/>
        <v>0</v>
      </c>
    </row>
    <row r="462" spans="1:16" x14ac:dyDescent="0.15">
      <c r="A462" s="16" t="s">
        <v>397</v>
      </c>
      <c r="B462" s="8">
        <v>2</v>
      </c>
      <c r="C462" s="10"/>
      <c r="D462" s="10"/>
      <c r="E462" s="10"/>
      <c r="F462" s="30"/>
      <c r="G462" s="7">
        <f t="shared" si="133"/>
        <v>2</v>
      </c>
      <c r="H462" s="58">
        <v>42818</v>
      </c>
      <c r="I462" s="16"/>
      <c r="J462" s="8"/>
      <c r="K462" s="10"/>
      <c r="L462" s="10"/>
      <c r="M462" s="10"/>
      <c r="N462" s="30"/>
      <c r="O462" s="7">
        <f t="shared" si="132"/>
        <v>0</v>
      </c>
    </row>
    <row r="463" spans="1:16" x14ac:dyDescent="0.15">
      <c r="A463" s="14" t="s">
        <v>407</v>
      </c>
      <c r="B463" s="8"/>
      <c r="C463" s="10"/>
      <c r="D463" s="10">
        <v>1</v>
      </c>
      <c r="E463" s="10"/>
      <c r="F463" s="30"/>
      <c r="G463" s="7">
        <f t="shared" si="133"/>
        <v>1</v>
      </c>
      <c r="H463" s="58">
        <v>42815</v>
      </c>
      <c r="I463" s="16"/>
      <c r="J463" s="8"/>
      <c r="K463" s="10"/>
      <c r="L463" s="10"/>
      <c r="M463" s="10"/>
      <c r="N463" s="30"/>
      <c r="O463" s="7">
        <f t="shared" si="132"/>
        <v>0</v>
      </c>
      <c r="P463" s="56"/>
    </row>
    <row r="464" spans="1:16" x14ac:dyDescent="0.15">
      <c r="A464" s="14" t="s">
        <v>429</v>
      </c>
      <c r="B464" s="8">
        <v>5</v>
      </c>
      <c r="C464" s="10">
        <v>5</v>
      </c>
      <c r="D464" s="10">
        <v>5</v>
      </c>
      <c r="E464" s="10">
        <v>5</v>
      </c>
      <c r="F464" s="30">
        <v>3</v>
      </c>
      <c r="G464" s="7">
        <f t="shared" si="133"/>
        <v>23</v>
      </c>
      <c r="H464" s="58">
        <v>42822</v>
      </c>
      <c r="I464" s="16"/>
      <c r="J464" s="8"/>
      <c r="K464" s="10"/>
      <c r="L464" s="10"/>
      <c r="M464" s="10"/>
      <c r="N464" s="30"/>
      <c r="O464" s="9">
        <f t="shared" si="132"/>
        <v>0</v>
      </c>
      <c r="P464" s="36"/>
    </row>
    <row r="465" spans="1:17" x14ac:dyDescent="0.15">
      <c r="A465" s="50" t="s">
        <v>110</v>
      </c>
      <c r="B465" s="8"/>
      <c r="C465" s="10"/>
      <c r="D465" s="10"/>
      <c r="E465" s="10">
        <v>2</v>
      </c>
      <c r="F465" s="30"/>
      <c r="G465" s="7">
        <f t="shared" si="133"/>
        <v>2</v>
      </c>
      <c r="H465" s="58">
        <v>42828</v>
      </c>
      <c r="I465" s="16"/>
      <c r="J465" s="8"/>
      <c r="K465" s="10"/>
      <c r="L465" s="10"/>
      <c r="M465" s="10"/>
      <c r="N465" s="30"/>
      <c r="O465" s="9">
        <f t="shared" ref="O465:O469" si="134">SUM(J465:N465)</f>
        <v>0</v>
      </c>
      <c r="P465" s="36"/>
      <c r="Q465" s="56"/>
    </row>
    <row r="466" spans="1:17" x14ac:dyDescent="0.15">
      <c r="A466" s="16" t="s">
        <v>397</v>
      </c>
      <c r="B466" s="11">
        <v>1</v>
      </c>
      <c r="C466" s="12">
        <v>3</v>
      </c>
      <c r="D466" s="12"/>
      <c r="E466" s="12"/>
      <c r="F466" s="31"/>
      <c r="G466" s="7">
        <f t="shared" si="133"/>
        <v>4</v>
      </c>
      <c r="H466" s="58">
        <v>42828</v>
      </c>
      <c r="I466" s="16"/>
      <c r="J466" s="8"/>
      <c r="K466" s="10"/>
      <c r="L466" s="10"/>
      <c r="M466" s="10"/>
      <c r="N466" s="30"/>
      <c r="O466" s="9">
        <f t="shared" si="134"/>
        <v>0</v>
      </c>
      <c r="P466" s="36"/>
      <c r="Q466" s="56"/>
    </row>
    <row r="467" spans="1:17" x14ac:dyDescent="0.15">
      <c r="A467" s="16" t="s">
        <v>403</v>
      </c>
      <c r="B467" s="8"/>
      <c r="C467" s="10"/>
      <c r="D467" s="10"/>
      <c r="E467" s="10">
        <v>10</v>
      </c>
      <c r="F467" s="30"/>
      <c r="G467" s="7">
        <f t="shared" si="133"/>
        <v>10</v>
      </c>
      <c r="H467" s="58">
        <v>42828</v>
      </c>
      <c r="I467" s="16"/>
      <c r="J467" s="8"/>
      <c r="K467" s="10"/>
      <c r="L467" s="10"/>
      <c r="M467" s="10"/>
      <c r="N467" s="30"/>
      <c r="O467" s="9">
        <f t="shared" si="134"/>
        <v>0</v>
      </c>
      <c r="P467" s="36"/>
      <c r="Q467" s="56"/>
    </row>
    <row r="468" spans="1:17" x14ac:dyDescent="0.15">
      <c r="A468" s="14" t="s">
        <v>406</v>
      </c>
      <c r="B468" s="8">
        <v>-1</v>
      </c>
      <c r="C468" s="10">
        <v>-1</v>
      </c>
      <c r="D468" s="10">
        <v>-3</v>
      </c>
      <c r="E468" s="10">
        <v>-3</v>
      </c>
      <c r="F468" s="30">
        <v>-1</v>
      </c>
      <c r="G468" s="7">
        <f t="shared" si="133"/>
        <v>-9</v>
      </c>
      <c r="H468" s="58">
        <v>42823</v>
      </c>
      <c r="I468" s="16"/>
      <c r="J468" s="8"/>
      <c r="K468" s="10"/>
      <c r="L468" s="10"/>
      <c r="M468" s="10"/>
      <c r="N468" s="30"/>
      <c r="O468" s="7">
        <f t="shared" si="134"/>
        <v>0</v>
      </c>
      <c r="P468" s="56"/>
      <c r="Q468" s="56"/>
    </row>
    <row r="469" spans="1:17" x14ac:dyDescent="0.15">
      <c r="A469" s="16" t="s">
        <v>418</v>
      </c>
      <c r="B469" s="8"/>
      <c r="C469" s="10">
        <v>1</v>
      </c>
      <c r="D469" s="10"/>
      <c r="E469" s="10"/>
      <c r="F469" s="30"/>
      <c r="G469" s="7">
        <f t="shared" si="133"/>
        <v>1</v>
      </c>
      <c r="H469" s="58">
        <v>42822</v>
      </c>
      <c r="I469" s="16"/>
      <c r="J469" s="8"/>
      <c r="K469" s="10"/>
      <c r="L469" s="10"/>
      <c r="M469" s="10"/>
      <c r="N469" s="30"/>
      <c r="O469" s="9">
        <f t="shared" si="134"/>
        <v>0</v>
      </c>
      <c r="P469" s="56"/>
      <c r="Q469" s="56"/>
    </row>
    <row r="470" spans="1:17" ht="14.25" thickBot="1" x14ac:dyDescent="0.2">
      <c r="A470" s="16" t="s">
        <v>397</v>
      </c>
      <c r="B470" s="11">
        <v>1</v>
      </c>
      <c r="C470" s="12"/>
      <c r="D470" s="12">
        <v>2</v>
      </c>
      <c r="E470" s="12"/>
      <c r="F470" s="31"/>
      <c r="G470" s="7">
        <f t="shared" si="133"/>
        <v>3</v>
      </c>
      <c r="H470" s="58">
        <v>42831</v>
      </c>
      <c r="I470" s="126"/>
      <c r="J470" s="60"/>
      <c r="K470" s="127"/>
      <c r="L470" s="127"/>
      <c r="M470" s="127"/>
      <c r="N470" s="128"/>
      <c r="O470" s="115">
        <f t="shared" si="132"/>
        <v>0</v>
      </c>
      <c r="P470" s="56"/>
      <c r="Q470" s="56"/>
    </row>
    <row r="471" spans="1:17" ht="14.25" thickBot="1" x14ac:dyDescent="0.2">
      <c r="A471" s="3" t="s">
        <v>11</v>
      </c>
      <c r="B471" s="23">
        <f>SUM(B445:B470)</f>
        <v>12</v>
      </c>
      <c r="C471" s="4">
        <f>SUM(C445:C470)</f>
        <v>25</v>
      </c>
      <c r="D471" s="4">
        <f>SUM(D445:D470)</f>
        <v>21</v>
      </c>
      <c r="E471" s="6">
        <f>SUM(E445:E470)</f>
        <v>27</v>
      </c>
      <c r="F471" s="32">
        <f>SUM(F445:F470)</f>
        <v>16</v>
      </c>
      <c r="G471" s="5">
        <f>SUM(B471:F471)</f>
        <v>101</v>
      </c>
      <c r="H471" s="58"/>
      <c r="I471" s="3" t="s">
        <v>11</v>
      </c>
      <c r="J471" s="23">
        <f>SUM(J445:J470)</f>
        <v>5</v>
      </c>
      <c r="K471" s="4">
        <f>SUM(K445:K470)</f>
        <v>20</v>
      </c>
      <c r="L471" s="4">
        <f>SUM(L445:L470)</f>
        <v>15</v>
      </c>
      <c r="M471" s="6">
        <f>SUM(M445:M470)</f>
        <v>20</v>
      </c>
      <c r="N471" s="32">
        <f>SUM(N445:N470)</f>
        <v>15</v>
      </c>
      <c r="O471" s="5">
        <f>SUM(J471:N471)</f>
        <v>75</v>
      </c>
    </row>
    <row r="472" spans="1:17" ht="14.25" thickBot="1" x14ac:dyDescent="0.2">
      <c r="A472" s="25" t="s">
        <v>12</v>
      </c>
      <c r="B472" s="63">
        <f>B444-B471</f>
        <v>10</v>
      </c>
      <c r="C472" s="26">
        <f t="shared" ref="C472:G472" si="135">C444-C471</f>
        <v>21</v>
      </c>
      <c r="D472" s="71">
        <f t="shared" si="135"/>
        <v>9</v>
      </c>
      <c r="E472" s="26">
        <f t="shared" si="135"/>
        <v>10</v>
      </c>
      <c r="F472" s="70">
        <f t="shared" si="135"/>
        <v>12</v>
      </c>
      <c r="G472" s="27">
        <f t="shared" si="135"/>
        <v>62</v>
      </c>
      <c r="H472" s="58"/>
      <c r="I472" s="25" t="s">
        <v>12</v>
      </c>
      <c r="J472" s="63">
        <f>J444-J471</f>
        <v>153</v>
      </c>
      <c r="K472" s="26">
        <f t="shared" ref="K472:O472" si="136">K444-K471</f>
        <v>115</v>
      </c>
      <c r="L472" s="71">
        <f t="shared" si="136"/>
        <v>119</v>
      </c>
      <c r="M472" s="26">
        <f t="shared" si="136"/>
        <v>117</v>
      </c>
      <c r="N472" s="70">
        <f t="shared" si="136"/>
        <v>135</v>
      </c>
      <c r="O472" s="27">
        <f t="shared" si="136"/>
        <v>639</v>
      </c>
    </row>
    <row r="473" spans="1:17" ht="21" x14ac:dyDescent="0.2">
      <c r="A473" s="83" t="s">
        <v>414</v>
      </c>
      <c r="B473" s="77"/>
      <c r="C473" s="77"/>
      <c r="D473" s="77"/>
      <c r="E473" s="77"/>
      <c r="F473" s="77"/>
      <c r="G473" s="77"/>
      <c r="H473" s="58"/>
      <c r="I473" s="83" t="s">
        <v>414</v>
      </c>
      <c r="J473" s="77"/>
      <c r="K473" s="77"/>
      <c r="L473" s="77"/>
      <c r="M473" s="77"/>
      <c r="N473" s="77"/>
      <c r="O473" s="77"/>
    </row>
    <row r="474" spans="1:17" ht="21.75" thickBot="1" x14ac:dyDescent="0.25">
      <c r="A474" s="83" t="s">
        <v>47</v>
      </c>
      <c r="B474" s="77"/>
      <c r="C474" s="77"/>
      <c r="D474" s="77"/>
      <c r="E474" s="84"/>
      <c r="F474" s="78" t="s">
        <v>53</v>
      </c>
      <c r="G474" s="77"/>
      <c r="H474" s="58"/>
      <c r="I474" s="83" t="s">
        <v>47</v>
      </c>
      <c r="J474" s="77"/>
      <c r="K474" s="77"/>
      <c r="L474" s="77"/>
      <c r="M474" s="84"/>
      <c r="N474" s="78" t="s">
        <v>54</v>
      </c>
      <c r="O474" s="77"/>
    </row>
    <row r="475" spans="1:17" ht="14.25" thickBot="1" x14ac:dyDescent="0.2">
      <c r="A475" s="13" t="s">
        <v>0</v>
      </c>
      <c r="B475" s="228" t="s">
        <v>49</v>
      </c>
      <c r="C475" s="229"/>
      <c r="D475" s="229"/>
      <c r="E475" s="229"/>
      <c r="F475" s="230"/>
      <c r="G475" s="231"/>
      <c r="H475" s="58"/>
      <c r="I475" s="13" t="s">
        <v>0</v>
      </c>
      <c r="J475" s="232" t="s">
        <v>49</v>
      </c>
      <c r="K475" s="233"/>
      <c r="L475" s="233"/>
      <c r="M475" s="233"/>
      <c r="N475" s="233"/>
      <c r="O475" s="234"/>
    </row>
    <row r="476" spans="1:17" ht="14.25" thickBot="1" x14ac:dyDescent="0.2">
      <c r="A476" s="3" t="s">
        <v>1</v>
      </c>
      <c r="B476" s="2" t="s">
        <v>42</v>
      </c>
      <c r="C476" s="21" t="s">
        <v>43</v>
      </c>
      <c r="D476" s="21" t="s">
        <v>44</v>
      </c>
      <c r="E476" s="24" t="s">
        <v>45</v>
      </c>
      <c r="F476" s="33" t="s">
        <v>46</v>
      </c>
      <c r="G476" s="34" t="s">
        <v>2</v>
      </c>
      <c r="H476" s="58"/>
      <c r="I476" s="3" t="s">
        <v>1</v>
      </c>
      <c r="J476" s="2" t="s">
        <v>42</v>
      </c>
      <c r="K476" s="21" t="s">
        <v>43</v>
      </c>
      <c r="L476" s="21" t="s">
        <v>44</v>
      </c>
      <c r="M476" s="24" t="s">
        <v>45</v>
      </c>
      <c r="N476" s="33" t="s">
        <v>46</v>
      </c>
      <c r="O476" s="3" t="s">
        <v>2</v>
      </c>
    </row>
    <row r="477" spans="1:17" ht="14.25" thickBot="1" x14ac:dyDescent="0.2">
      <c r="A477" s="116" t="s">
        <v>79</v>
      </c>
      <c r="B477" s="95">
        <f>B472</f>
        <v>10</v>
      </c>
      <c r="C477" s="97">
        <f t="shared" ref="C477:F477" si="137">C472</f>
        <v>21</v>
      </c>
      <c r="D477" s="55">
        <f t="shared" si="137"/>
        <v>9</v>
      </c>
      <c r="E477" s="98">
        <f t="shared" si="137"/>
        <v>10</v>
      </c>
      <c r="F477" s="98">
        <f t="shared" si="137"/>
        <v>12</v>
      </c>
      <c r="G477" s="52">
        <f t="shared" ref="G477:G486" si="138">SUM(B477:F477)</f>
        <v>62</v>
      </c>
      <c r="H477" s="58"/>
      <c r="I477" s="72" t="s">
        <v>79</v>
      </c>
      <c r="J477" s="73">
        <f>J472</f>
        <v>153</v>
      </c>
      <c r="K477" s="74">
        <f t="shared" ref="K477:N477" si="139">K472</f>
        <v>115</v>
      </c>
      <c r="L477" s="107">
        <f t="shared" si="139"/>
        <v>119</v>
      </c>
      <c r="M477" s="75">
        <f t="shared" si="139"/>
        <v>117</v>
      </c>
      <c r="N477" s="75">
        <f t="shared" si="139"/>
        <v>135</v>
      </c>
      <c r="O477" s="76">
        <f t="shared" ref="O477:O486" si="140">SUM(J477:N477)</f>
        <v>639</v>
      </c>
    </row>
    <row r="478" spans="1:17" x14ac:dyDescent="0.15">
      <c r="A478" s="38" t="s">
        <v>14</v>
      </c>
      <c r="B478" s="8">
        <v>5</v>
      </c>
      <c r="C478" s="10"/>
      <c r="D478" s="10">
        <v>5</v>
      </c>
      <c r="E478" s="10">
        <v>10</v>
      </c>
      <c r="F478" s="30"/>
      <c r="G478" s="7">
        <f t="shared" si="138"/>
        <v>20</v>
      </c>
      <c r="H478" s="58">
        <v>42830</v>
      </c>
      <c r="I478" s="38" t="s">
        <v>14</v>
      </c>
      <c r="J478" s="37"/>
      <c r="K478" s="35"/>
      <c r="L478" s="35"/>
      <c r="M478" s="35"/>
      <c r="N478" s="28"/>
      <c r="O478" s="7">
        <f t="shared" si="140"/>
        <v>0</v>
      </c>
      <c r="P478" s="58"/>
    </row>
    <row r="479" spans="1:17" x14ac:dyDescent="0.15">
      <c r="A479" s="38" t="s">
        <v>17</v>
      </c>
      <c r="B479" s="8">
        <v>1</v>
      </c>
      <c r="C479" s="10">
        <v>1</v>
      </c>
      <c r="D479" s="10">
        <v>1</v>
      </c>
      <c r="E479" s="10"/>
      <c r="F479" s="28"/>
      <c r="G479" s="9">
        <f t="shared" si="138"/>
        <v>3</v>
      </c>
      <c r="H479" s="58">
        <v>42830</v>
      </c>
      <c r="I479" s="15" t="s">
        <v>3</v>
      </c>
      <c r="J479" s="8"/>
      <c r="K479" s="10"/>
      <c r="L479" s="10"/>
      <c r="M479" s="10"/>
      <c r="N479" s="28"/>
      <c r="O479" s="9">
        <f t="shared" si="140"/>
        <v>0</v>
      </c>
      <c r="P479" s="36"/>
    </row>
    <row r="480" spans="1:17" x14ac:dyDescent="0.15">
      <c r="A480" s="38" t="s">
        <v>4</v>
      </c>
      <c r="B480" s="8">
        <v>10</v>
      </c>
      <c r="C480" s="10"/>
      <c r="D480" s="10"/>
      <c r="E480" s="10"/>
      <c r="F480" s="28"/>
      <c r="G480" s="9">
        <f t="shared" si="138"/>
        <v>10</v>
      </c>
      <c r="H480" s="58">
        <v>42838</v>
      </c>
      <c r="I480" s="15" t="s">
        <v>4</v>
      </c>
      <c r="J480" s="8"/>
      <c r="K480" s="10"/>
      <c r="L480" s="10"/>
      <c r="M480" s="10"/>
      <c r="N480" s="28"/>
      <c r="O480" s="9">
        <f t="shared" si="140"/>
        <v>0</v>
      </c>
      <c r="P480" s="58"/>
    </row>
    <row r="481" spans="1:16" x14ac:dyDescent="0.15">
      <c r="A481" s="38" t="s">
        <v>5</v>
      </c>
      <c r="B481" s="8"/>
      <c r="C481" s="10"/>
      <c r="D481" s="10"/>
      <c r="E481" s="10"/>
      <c r="F481" s="28">
        <v>15</v>
      </c>
      <c r="G481" s="9">
        <f t="shared" ref="G481:G485" si="141">SUM(B481:F481)</f>
        <v>15</v>
      </c>
      <c r="H481" s="58">
        <v>42847</v>
      </c>
      <c r="I481" s="15" t="s">
        <v>5</v>
      </c>
      <c r="J481" s="8"/>
      <c r="K481" s="10"/>
      <c r="L481" s="10"/>
      <c r="M481" s="10"/>
      <c r="N481" s="28"/>
      <c r="O481" s="9">
        <f t="shared" si="140"/>
        <v>0</v>
      </c>
      <c r="P481" s="58"/>
    </row>
    <row r="482" spans="1:16" x14ac:dyDescent="0.15">
      <c r="A482" s="38" t="s">
        <v>383</v>
      </c>
      <c r="B482" s="11"/>
      <c r="C482" s="12"/>
      <c r="D482" s="12">
        <v>1</v>
      </c>
      <c r="E482" s="12"/>
      <c r="F482" s="31"/>
      <c r="G482" s="7">
        <f t="shared" si="141"/>
        <v>1</v>
      </c>
      <c r="H482" s="58">
        <v>42850</v>
      </c>
      <c r="I482" s="15" t="s">
        <v>6</v>
      </c>
      <c r="J482" s="8"/>
      <c r="K482" s="10"/>
      <c r="L482" s="10"/>
      <c r="M482" s="10"/>
      <c r="N482" s="28"/>
      <c r="O482" s="9">
        <f t="shared" si="140"/>
        <v>0</v>
      </c>
      <c r="P482" s="58"/>
    </row>
    <row r="483" spans="1:16" x14ac:dyDescent="0.15">
      <c r="A483" s="38" t="s">
        <v>111</v>
      </c>
      <c r="B483" s="8">
        <v>2</v>
      </c>
      <c r="C483" s="10">
        <v>2</v>
      </c>
      <c r="D483" s="10">
        <v>5</v>
      </c>
      <c r="E483" s="10">
        <v>5</v>
      </c>
      <c r="F483" s="30">
        <v>2</v>
      </c>
      <c r="G483" s="7">
        <f t="shared" si="141"/>
        <v>16</v>
      </c>
      <c r="H483" s="58">
        <v>42857</v>
      </c>
      <c r="I483" s="15" t="s">
        <v>84</v>
      </c>
      <c r="J483" s="11"/>
      <c r="K483" s="12"/>
      <c r="L483" s="12"/>
      <c r="M483" s="12"/>
      <c r="N483" s="31"/>
      <c r="O483" s="7">
        <f t="shared" si="140"/>
        <v>0</v>
      </c>
      <c r="P483" s="58"/>
    </row>
    <row r="484" spans="1:16" x14ac:dyDescent="0.15">
      <c r="A484" s="38" t="s">
        <v>85</v>
      </c>
      <c r="B484" s="11"/>
      <c r="C484" s="100"/>
      <c r="D484" s="100"/>
      <c r="E484" s="100">
        <v>10</v>
      </c>
      <c r="F484" s="101"/>
      <c r="G484" s="102">
        <f t="shared" si="141"/>
        <v>10</v>
      </c>
      <c r="H484" s="58">
        <v>42867</v>
      </c>
      <c r="I484" s="15" t="s">
        <v>85</v>
      </c>
      <c r="J484" s="8"/>
      <c r="K484" s="10"/>
      <c r="L484" s="10"/>
      <c r="M484" s="10"/>
      <c r="N484" s="30"/>
      <c r="O484" s="7">
        <f t="shared" si="140"/>
        <v>0</v>
      </c>
      <c r="P484" s="58"/>
    </row>
    <row r="485" spans="1:16" x14ac:dyDescent="0.15">
      <c r="A485" s="38" t="s">
        <v>86</v>
      </c>
      <c r="B485" s="11">
        <v>5</v>
      </c>
      <c r="C485" s="100"/>
      <c r="D485" s="100">
        <v>10</v>
      </c>
      <c r="E485" s="100"/>
      <c r="F485" s="101"/>
      <c r="G485" s="102">
        <f t="shared" si="141"/>
        <v>15</v>
      </c>
      <c r="H485" s="58">
        <v>42872</v>
      </c>
      <c r="I485" s="16" t="s">
        <v>88</v>
      </c>
      <c r="J485" s="8"/>
      <c r="K485" s="10"/>
      <c r="L485" s="10"/>
      <c r="M485" s="10"/>
      <c r="N485" s="30"/>
      <c r="O485" s="7">
        <f t="shared" si="140"/>
        <v>0</v>
      </c>
      <c r="P485" s="58"/>
    </row>
    <row r="486" spans="1:16" ht="14.25" thickBot="1" x14ac:dyDescent="0.2">
      <c r="A486" s="38" t="s">
        <v>87</v>
      </c>
      <c r="B486" s="11"/>
      <c r="C486" s="100"/>
      <c r="D486" s="100"/>
      <c r="E486" s="100"/>
      <c r="F486" s="101">
        <v>10</v>
      </c>
      <c r="G486" s="102">
        <f t="shared" si="138"/>
        <v>10</v>
      </c>
      <c r="H486" s="58">
        <v>42880</v>
      </c>
      <c r="I486" s="15" t="s">
        <v>87</v>
      </c>
      <c r="J486" s="11"/>
      <c r="K486" s="100"/>
      <c r="L486" s="100"/>
      <c r="M486" s="100"/>
      <c r="N486" s="101"/>
      <c r="O486" s="102">
        <f t="shared" si="140"/>
        <v>0</v>
      </c>
      <c r="P486" s="68"/>
    </row>
    <row r="487" spans="1:16" ht="14.25" thickBot="1" x14ac:dyDescent="0.2">
      <c r="A487" s="72" t="s">
        <v>7</v>
      </c>
      <c r="B487" s="73">
        <f>SUM(B477:B486)</f>
        <v>33</v>
      </c>
      <c r="C487" s="74">
        <f t="shared" ref="C487:G487" si="142">SUM(C477:C486)</f>
        <v>24</v>
      </c>
      <c r="D487" s="74">
        <f t="shared" si="142"/>
        <v>31</v>
      </c>
      <c r="E487" s="74">
        <f t="shared" si="142"/>
        <v>35</v>
      </c>
      <c r="F487" s="105">
        <f t="shared" si="142"/>
        <v>39</v>
      </c>
      <c r="G487" s="105">
        <f t="shared" si="142"/>
        <v>162</v>
      </c>
      <c r="H487" s="56"/>
      <c r="I487" s="72" t="s">
        <v>7</v>
      </c>
      <c r="J487" s="73">
        <f>SUM(J477:J486)</f>
        <v>153</v>
      </c>
      <c r="K487" s="74">
        <f t="shared" ref="K487:O487" si="143">SUM(K477:K486)</f>
        <v>115</v>
      </c>
      <c r="L487" s="74">
        <f t="shared" si="143"/>
        <v>119</v>
      </c>
      <c r="M487" s="74">
        <f t="shared" si="143"/>
        <v>117</v>
      </c>
      <c r="N487" s="105">
        <f t="shared" si="143"/>
        <v>135</v>
      </c>
      <c r="O487" s="105">
        <f t="shared" si="143"/>
        <v>639</v>
      </c>
    </row>
    <row r="488" spans="1:16" x14ac:dyDescent="0.15">
      <c r="A488" s="14" t="s">
        <v>416</v>
      </c>
      <c r="B488" s="8">
        <v>10</v>
      </c>
      <c r="C488" s="10"/>
      <c r="D488" s="10"/>
      <c r="E488" s="10"/>
      <c r="F488" s="30"/>
      <c r="G488" s="7">
        <f>SUM(B488:F488)</f>
        <v>10</v>
      </c>
      <c r="H488" s="58">
        <v>42842</v>
      </c>
      <c r="I488" s="16" t="s">
        <v>410</v>
      </c>
      <c r="J488" s="17">
        <v>5</v>
      </c>
      <c r="K488" s="22"/>
      <c r="L488" s="22">
        <v>5</v>
      </c>
      <c r="M488" s="22">
        <v>10</v>
      </c>
      <c r="N488" s="29"/>
      <c r="O488" s="18">
        <f t="shared" ref="O488:O513" si="144">SUM(J488:N488)</f>
        <v>20</v>
      </c>
      <c r="P488" s="58">
        <v>42830</v>
      </c>
    </row>
    <row r="489" spans="1:16" x14ac:dyDescent="0.15">
      <c r="A489" s="14" t="s">
        <v>419</v>
      </c>
      <c r="B489" s="8">
        <v>1</v>
      </c>
      <c r="C489" s="10"/>
      <c r="D489" s="10"/>
      <c r="E489" s="10"/>
      <c r="F489" s="30"/>
      <c r="G489" s="7">
        <f t="shared" ref="G489:G513" si="145">SUM(B489:F489)</f>
        <v>1</v>
      </c>
      <c r="H489" s="58">
        <v>42835</v>
      </c>
      <c r="I489" s="16" t="s">
        <v>24</v>
      </c>
      <c r="J489" s="8">
        <v>10</v>
      </c>
      <c r="K489" s="10"/>
      <c r="L489" s="10"/>
      <c r="M489" s="10"/>
      <c r="N489" s="28"/>
      <c r="O489" s="9">
        <f t="shared" si="144"/>
        <v>10</v>
      </c>
      <c r="P489" s="58">
        <v>42838</v>
      </c>
    </row>
    <row r="490" spans="1:16" x14ac:dyDescent="0.15">
      <c r="A490" s="16" t="s">
        <v>25</v>
      </c>
      <c r="B490" s="8"/>
      <c r="C490" s="10">
        <v>1</v>
      </c>
      <c r="D490" s="10">
        <v>1</v>
      </c>
      <c r="E490" s="10"/>
      <c r="F490" s="30"/>
      <c r="G490" s="7">
        <f t="shared" si="145"/>
        <v>2</v>
      </c>
      <c r="H490" s="58">
        <v>42839</v>
      </c>
      <c r="I490" s="16" t="s">
        <v>24</v>
      </c>
      <c r="J490" s="8"/>
      <c r="K490" s="10"/>
      <c r="L490" s="10"/>
      <c r="M490" s="10"/>
      <c r="N490" s="30">
        <v>15</v>
      </c>
      <c r="O490" s="7">
        <f t="shared" si="144"/>
        <v>15</v>
      </c>
      <c r="P490" s="58">
        <v>42847</v>
      </c>
    </row>
    <row r="491" spans="1:16" x14ac:dyDescent="0.15">
      <c r="A491" s="16" t="s">
        <v>424</v>
      </c>
      <c r="B491" s="8"/>
      <c r="C491" s="10">
        <v>1</v>
      </c>
      <c r="D491" s="10"/>
      <c r="E491" s="10"/>
      <c r="F491" s="30"/>
      <c r="G491" s="7">
        <f t="shared" si="145"/>
        <v>1</v>
      </c>
      <c r="H491" s="58">
        <v>42841</v>
      </c>
      <c r="I491" s="16" t="s">
        <v>24</v>
      </c>
      <c r="J491" s="8"/>
      <c r="K491" s="10"/>
      <c r="L491" s="10"/>
      <c r="M491" s="10">
        <v>10</v>
      </c>
      <c r="N491" s="30"/>
      <c r="O491" s="7">
        <f t="shared" si="144"/>
        <v>10</v>
      </c>
      <c r="P491" s="58">
        <v>42867</v>
      </c>
    </row>
    <row r="492" spans="1:16" x14ac:dyDescent="0.15">
      <c r="A492" s="16" t="s">
        <v>25</v>
      </c>
      <c r="B492" s="8"/>
      <c r="C492" s="10"/>
      <c r="D492" s="10">
        <v>1</v>
      </c>
      <c r="E492" s="10">
        <v>1</v>
      </c>
      <c r="F492" s="30"/>
      <c r="G492" s="7">
        <f t="shared" si="145"/>
        <v>2</v>
      </c>
      <c r="H492" s="58">
        <v>42842</v>
      </c>
      <c r="I492" s="16" t="s">
        <v>24</v>
      </c>
      <c r="J492" s="8">
        <v>5</v>
      </c>
      <c r="K492" s="10"/>
      <c r="L492" s="10">
        <v>10</v>
      </c>
      <c r="M492" s="10"/>
      <c r="N492" s="30"/>
      <c r="O492" s="7">
        <f t="shared" si="144"/>
        <v>15</v>
      </c>
      <c r="P492" s="58">
        <v>42872</v>
      </c>
    </row>
    <row r="493" spans="1:16" x14ac:dyDescent="0.15">
      <c r="A493" s="16" t="s">
        <v>425</v>
      </c>
      <c r="B493" s="8">
        <v>1</v>
      </c>
      <c r="C493" s="10"/>
      <c r="D493" s="10"/>
      <c r="E493" s="10"/>
      <c r="F493" s="30"/>
      <c r="G493" s="7">
        <f t="shared" si="145"/>
        <v>1</v>
      </c>
      <c r="H493" s="58">
        <v>42844</v>
      </c>
      <c r="I493" s="16" t="s">
        <v>24</v>
      </c>
      <c r="J493" s="8"/>
      <c r="K493" s="10"/>
      <c r="L493" s="10"/>
      <c r="M493" s="10"/>
      <c r="N493" s="30">
        <v>10</v>
      </c>
      <c r="O493" s="7">
        <f t="shared" si="144"/>
        <v>10</v>
      </c>
      <c r="P493" s="58">
        <v>42880</v>
      </c>
    </row>
    <row r="494" spans="1:16" x14ac:dyDescent="0.15">
      <c r="A494" s="39" t="s">
        <v>427</v>
      </c>
      <c r="B494" s="8"/>
      <c r="C494" s="10"/>
      <c r="D494" s="10"/>
      <c r="E494" s="10"/>
      <c r="F494" s="30">
        <v>10</v>
      </c>
      <c r="G494" s="7">
        <f t="shared" si="145"/>
        <v>10</v>
      </c>
      <c r="H494" s="58">
        <v>42849</v>
      </c>
      <c r="I494" s="16"/>
      <c r="J494" s="8"/>
      <c r="K494" s="10"/>
      <c r="L494" s="10"/>
      <c r="M494" s="10"/>
      <c r="N494" s="30"/>
      <c r="O494" s="7">
        <f t="shared" si="144"/>
        <v>0</v>
      </c>
    </row>
    <row r="495" spans="1:16" x14ac:dyDescent="0.15">
      <c r="A495" s="16" t="s">
        <v>182</v>
      </c>
      <c r="B495" s="8"/>
      <c r="C495" s="10"/>
      <c r="D495" s="10"/>
      <c r="E495" s="10"/>
      <c r="F495" s="30">
        <v>1</v>
      </c>
      <c r="G495" s="7">
        <f t="shared" si="145"/>
        <v>1</v>
      </c>
      <c r="H495" s="58">
        <v>42851</v>
      </c>
      <c r="I495" s="16"/>
      <c r="J495" s="8"/>
      <c r="K495" s="10"/>
      <c r="L495" s="10"/>
      <c r="M495" s="10"/>
      <c r="N495" s="30"/>
      <c r="O495" s="7">
        <f t="shared" si="144"/>
        <v>0</v>
      </c>
    </row>
    <row r="496" spans="1:16" x14ac:dyDescent="0.15">
      <c r="A496" s="16" t="s">
        <v>430</v>
      </c>
      <c r="B496" s="8"/>
      <c r="C496" s="10"/>
      <c r="D496" s="10">
        <v>3</v>
      </c>
      <c r="E496" s="10"/>
      <c r="F496" s="30">
        <v>3</v>
      </c>
      <c r="G496" s="7">
        <f t="shared" si="145"/>
        <v>6</v>
      </c>
      <c r="H496" s="58">
        <v>42853</v>
      </c>
      <c r="I496" s="39"/>
      <c r="J496" s="8"/>
      <c r="K496" s="10"/>
      <c r="L496" s="10"/>
      <c r="M496" s="10"/>
      <c r="N496" s="30"/>
      <c r="O496" s="7">
        <f t="shared" si="144"/>
        <v>0</v>
      </c>
    </row>
    <row r="497" spans="1:16" x14ac:dyDescent="0.15">
      <c r="A497" s="14" t="s">
        <v>431</v>
      </c>
      <c r="B497" s="11"/>
      <c r="C497" s="12">
        <v>2</v>
      </c>
      <c r="D497" s="12"/>
      <c r="E497" s="12"/>
      <c r="F497" s="31"/>
      <c r="G497" s="7">
        <f t="shared" si="145"/>
        <v>2</v>
      </c>
      <c r="H497" s="58">
        <v>42856</v>
      </c>
      <c r="I497" s="16"/>
      <c r="J497" s="11"/>
      <c r="K497" s="12"/>
      <c r="L497" s="12"/>
      <c r="M497" s="12"/>
      <c r="N497" s="31"/>
      <c r="O497" s="7">
        <f t="shared" si="144"/>
        <v>0</v>
      </c>
    </row>
    <row r="498" spans="1:16" x14ac:dyDescent="0.15">
      <c r="A498" s="50" t="s">
        <v>432</v>
      </c>
      <c r="B498" s="8">
        <v>1</v>
      </c>
      <c r="C498" s="10"/>
      <c r="D498" s="10"/>
      <c r="E498" s="10"/>
      <c r="F498" s="30"/>
      <c r="G498" s="7">
        <f t="shared" si="145"/>
        <v>1</v>
      </c>
      <c r="H498" s="58">
        <v>42856</v>
      </c>
      <c r="I498" s="16"/>
      <c r="J498" s="8"/>
      <c r="K498" s="10"/>
      <c r="L498" s="10"/>
      <c r="M498" s="10"/>
      <c r="N498" s="30"/>
      <c r="O498" s="7">
        <f t="shared" si="144"/>
        <v>0</v>
      </c>
    </row>
    <row r="499" spans="1:16" x14ac:dyDescent="0.15">
      <c r="A499" s="39" t="s">
        <v>22</v>
      </c>
      <c r="B499" s="8"/>
      <c r="C499" s="10"/>
      <c r="D499" s="10">
        <v>10</v>
      </c>
      <c r="E499" s="10"/>
      <c r="F499" s="30"/>
      <c r="G499" s="7">
        <f t="shared" si="145"/>
        <v>10</v>
      </c>
      <c r="H499" s="58">
        <v>42866</v>
      </c>
      <c r="I499" s="14"/>
      <c r="J499" s="8"/>
      <c r="K499" s="10"/>
      <c r="L499" s="10"/>
      <c r="M499" s="10"/>
      <c r="N499" s="30"/>
      <c r="O499" s="7">
        <f t="shared" si="144"/>
        <v>0</v>
      </c>
    </row>
    <row r="500" spans="1:16" x14ac:dyDescent="0.15">
      <c r="A500" s="50" t="s">
        <v>434</v>
      </c>
      <c r="B500" s="8">
        <v>2</v>
      </c>
      <c r="C500" s="10"/>
      <c r="D500" s="10"/>
      <c r="E500" s="10"/>
      <c r="F500" s="30"/>
      <c r="G500" s="7">
        <f t="shared" si="145"/>
        <v>2</v>
      </c>
      <c r="H500" s="58">
        <v>42863</v>
      </c>
      <c r="I500" s="16"/>
      <c r="J500" s="8"/>
      <c r="K500" s="10"/>
      <c r="L500" s="10"/>
      <c r="M500" s="10"/>
      <c r="N500" s="30"/>
      <c r="O500" s="7">
        <f t="shared" si="144"/>
        <v>0</v>
      </c>
    </row>
    <row r="501" spans="1:16" x14ac:dyDescent="0.15">
      <c r="A501" s="16" t="s">
        <v>436</v>
      </c>
      <c r="B501" s="8">
        <v>3</v>
      </c>
      <c r="C501" s="10"/>
      <c r="D501" s="10"/>
      <c r="E501" s="10">
        <v>3</v>
      </c>
      <c r="F501" s="30"/>
      <c r="G501" s="7">
        <f t="shared" si="145"/>
        <v>6</v>
      </c>
      <c r="H501" s="58">
        <v>42867</v>
      </c>
      <c r="I501" s="64"/>
      <c r="J501" s="8"/>
      <c r="K501" s="10"/>
      <c r="L501" s="10"/>
      <c r="M501" s="10"/>
      <c r="N501" s="30"/>
      <c r="O501" s="7">
        <f t="shared" si="144"/>
        <v>0</v>
      </c>
    </row>
    <row r="502" spans="1:16" x14ac:dyDescent="0.15">
      <c r="A502" s="16" t="s">
        <v>437</v>
      </c>
      <c r="B502" s="8"/>
      <c r="C502" s="10">
        <v>1</v>
      </c>
      <c r="D502" s="10"/>
      <c r="E502" s="10"/>
      <c r="F502" s="30"/>
      <c r="G502" s="7">
        <f t="shared" si="145"/>
        <v>1</v>
      </c>
      <c r="H502" s="58">
        <v>42863</v>
      </c>
      <c r="I502" s="16"/>
      <c r="J502" s="8"/>
      <c r="K502" s="10"/>
      <c r="L502" s="10"/>
      <c r="M502" s="10"/>
      <c r="N502" s="30"/>
      <c r="O502" s="7">
        <f t="shared" si="144"/>
        <v>0</v>
      </c>
    </row>
    <row r="503" spans="1:16" x14ac:dyDescent="0.15">
      <c r="A503" s="14" t="s">
        <v>22</v>
      </c>
      <c r="B503" s="8"/>
      <c r="C503" s="10"/>
      <c r="D503" s="10"/>
      <c r="E503" s="10">
        <v>10</v>
      </c>
      <c r="F503" s="30"/>
      <c r="G503" s="7">
        <f t="shared" si="145"/>
        <v>10</v>
      </c>
      <c r="H503" s="58">
        <v>42870</v>
      </c>
      <c r="I503" s="16"/>
      <c r="J503" s="8"/>
      <c r="K503" s="10"/>
      <c r="L503" s="10"/>
      <c r="M503" s="10"/>
      <c r="N503" s="30"/>
      <c r="O503" s="7">
        <f t="shared" si="144"/>
        <v>0</v>
      </c>
    </row>
    <row r="504" spans="1:16" x14ac:dyDescent="0.15">
      <c r="A504" s="16" t="s">
        <v>25</v>
      </c>
      <c r="B504" s="8"/>
      <c r="C504" s="10"/>
      <c r="D504" s="10">
        <v>1</v>
      </c>
      <c r="E504" s="10"/>
      <c r="F504" s="30"/>
      <c r="G504" s="7">
        <f t="shared" si="145"/>
        <v>1</v>
      </c>
      <c r="H504" s="58">
        <v>42866</v>
      </c>
      <c r="I504" s="14"/>
      <c r="J504" s="8"/>
      <c r="K504" s="10"/>
      <c r="L504" s="10"/>
      <c r="M504" s="10"/>
      <c r="N504" s="30"/>
      <c r="O504" s="7">
        <f t="shared" si="144"/>
        <v>0</v>
      </c>
    </row>
    <row r="505" spans="1:16" x14ac:dyDescent="0.15">
      <c r="A505" s="16" t="s">
        <v>29</v>
      </c>
      <c r="B505" s="8"/>
      <c r="C505" s="10"/>
      <c r="D505" s="10"/>
      <c r="E505" s="10">
        <v>1</v>
      </c>
      <c r="F505" s="30"/>
      <c r="G505" s="7">
        <f t="shared" si="145"/>
        <v>1</v>
      </c>
      <c r="H505" s="58">
        <v>42866</v>
      </c>
      <c r="I505" s="16"/>
      <c r="J505" s="8"/>
      <c r="K505" s="10"/>
      <c r="L505" s="10"/>
      <c r="M505" s="10"/>
      <c r="N505" s="30"/>
      <c r="O505" s="7">
        <f t="shared" si="144"/>
        <v>0</v>
      </c>
    </row>
    <row r="506" spans="1:16" x14ac:dyDescent="0.15">
      <c r="A506" s="16" t="s">
        <v>25</v>
      </c>
      <c r="B506" s="8"/>
      <c r="C506" s="10">
        <v>1</v>
      </c>
      <c r="D506" s="10"/>
      <c r="E506" s="10"/>
      <c r="F506" s="30"/>
      <c r="G506" s="7">
        <f t="shared" si="145"/>
        <v>1</v>
      </c>
      <c r="H506" s="58">
        <v>42871</v>
      </c>
      <c r="I506" s="16"/>
      <c r="J506" s="8"/>
      <c r="K506" s="10"/>
      <c r="L506" s="10"/>
      <c r="M506" s="10"/>
      <c r="N506" s="30"/>
      <c r="O506" s="7">
        <f t="shared" si="144"/>
        <v>0</v>
      </c>
      <c r="P506" s="56"/>
    </row>
    <row r="507" spans="1:16" x14ac:dyDescent="0.15">
      <c r="A507" s="14" t="s">
        <v>22</v>
      </c>
      <c r="B507" s="8"/>
      <c r="C507" s="10"/>
      <c r="D507" s="10"/>
      <c r="E507" s="10"/>
      <c r="F507" s="30">
        <v>10</v>
      </c>
      <c r="G507" s="7">
        <f t="shared" si="145"/>
        <v>10</v>
      </c>
      <c r="H507" s="58">
        <v>42877</v>
      </c>
      <c r="I507" s="16"/>
      <c r="J507" s="8"/>
      <c r="K507" s="10"/>
      <c r="L507" s="10"/>
      <c r="M507" s="10"/>
      <c r="N507" s="30"/>
      <c r="O507" s="9">
        <f t="shared" si="144"/>
        <v>0</v>
      </c>
      <c r="P507" s="36"/>
    </row>
    <row r="508" spans="1:16" x14ac:dyDescent="0.15">
      <c r="A508" s="38" t="s">
        <v>383</v>
      </c>
      <c r="B508" s="8"/>
      <c r="C508" s="10"/>
      <c r="D508" s="10">
        <v>-1</v>
      </c>
      <c r="E508" s="10"/>
      <c r="F508" s="30"/>
      <c r="G508" s="7">
        <f t="shared" si="145"/>
        <v>-1</v>
      </c>
      <c r="H508" s="58">
        <v>42867</v>
      </c>
      <c r="I508" s="16"/>
      <c r="J508" s="8"/>
      <c r="K508" s="10"/>
      <c r="L508" s="10"/>
      <c r="M508" s="10"/>
      <c r="N508" s="30"/>
      <c r="O508" s="9">
        <f t="shared" si="144"/>
        <v>0</v>
      </c>
      <c r="P508" s="36"/>
    </row>
    <row r="509" spans="1:16" x14ac:dyDescent="0.15">
      <c r="A509" s="14" t="s">
        <v>22</v>
      </c>
      <c r="B509" s="11"/>
      <c r="C509" s="12">
        <v>5</v>
      </c>
      <c r="D509" s="12"/>
      <c r="E509" s="12"/>
      <c r="F509" s="31"/>
      <c r="G509" s="7">
        <f t="shared" si="145"/>
        <v>5</v>
      </c>
      <c r="H509" s="58">
        <v>42879</v>
      </c>
      <c r="I509" s="50"/>
      <c r="J509" s="8"/>
      <c r="K509" s="10"/>
      <c r="L509" s="10"/>
      <c r="M509" s="10"/>
      <c r="N509" s="30"/>
      <c r="O509" s="9">
        <f t="shared" si="144"/>
        <v>0</v>
      </c>
      <c r="P509" s="36"/>
    </row>
    <row r="510" spans="1:16" x14ac:dyDescent="0.15">
      <c r="A510" s="16" t="s">
        <v>445</v>
      </c>
      <c r="B510" s="8">
        <v>3</v>
      </c>
      <c r="C510" s="10"/>
      <c r="D510" s="10"/>
      <c r="E510" s="10"/>
      <c r="F510" s="30"/>
      <c r="G510" s="7">
        <f t="shared" si="145"/>
        <v>3</v>
      </c>
      <c r="H510" s="58">
        <v>42881</v>
      </c>
      <c r="I510" s="16"/>
      <c r="J510" s="8"/>
      <c r="K510" s="10"/>
      <c r="L510" s="10"/>
      <c r="M510" s="10"/>
      <c r="N510" s="30"/>
      <c r="O510" s="9">
        <f t="shared" si="144"/>
        <v>0</v>
      </c>
      <c r="P510" s="36"/>
    </row>
    <row r="511" spans="1:16" x14ac:dyDescent="0.15">
      <c r="A511" s="14" t="s">
        <v>446</v>
      </c>
      <c r="B511" s="8"/>
      <c r="C511" s="10"/>
      <c r="D511" s="10"/>
      <c r="E511" s="10"/>
      <c r="F511" s="30">
        <v>1</v>
      </c>
      <c r="G511" s="7">
        <f t="shared" si="145"/>
        <v>1</v>
      </c>
      <c r="H511" s="58">
        <v>42879</v>
      </c>
      <c r="I511" s="16"/>
      <c r="J511" s="8"/>
      <c r="K511" s="10"/>
      <c r="L511" s="10"/>
      <c r="M511" s="10"/>
      <c r="N511" s="30"/>
      <c r="O511" s="9">
        <f t="shared" ref="O511" si="146">SUM(J511:N511)</f>
        <v>0</v>
      </c>
      <c r="P511" s="36"/>
    </row>
    <row r="512" spans="1:16" x14ac:dyDescent="0.15">
      <c r="A512" s="14" t="s">
        <v>29</v>
      </c>
      <c r="B512" s="8"/>
      <c r="C512" s="10"/>
      <c r="D512" s="10"/>
      <c r="E512" s="10"/>
      <c r="F512" s="30">
        <v>1</v>
      </c>
      <c r="G512" s="7">
        <f t="shared" si="145"/>
        <v>1</v>
      </c>
      <c r="H512" s="58">
        <v>42882</v>
      </c>
      <c r="I512" s="16"/>
      <c r="J512" s="8"/>
      <c r="K512" s="10"/>
      <c r="L512" s="10"/>
      <c r="M512" s="10"/>
      <c r="N512" s="30"/>
      <c r="O512" s="9">
        <f t="shared" ref="O512" si="147">SUM(J512:N512)</f>
        <v>0</v>
      </c>
      <c r="P512" s="36"/>
    </row>
    <row r="513" spans="1:16" ht="14.25" thickBot="1" x14ac:dyDescent="0.2">
      <c r="A513" s="20" t="s">
        <v>452</v>
      </c>
      <c r="B513" s="11"/>
      <c r="C513" s="12">
        <v>-1</v>
      </c>
      <c r="D513" s="12"/>
      <c r="E513" s="12"/>
      <c r="F513" s="31"/>
      <c r="G513" s="7">
        <f t="shared" si="145"/>
        <v>-1</v>
      </c>
      <c r="H513" s="58">
        <v>42884</v>
      </c>
      <c r="I513" s="126"/>
      <c r="J513" s="60"/>
      <c r="K513" s="127"/>
      <c r="L513" s="127"/>
      <c r="M513" s="127"/>
      <c r="N513" s="128"/>
      <c r="O513" s="115">
        <f t="shared" si="144"/>
        <v>0</v>
      </c>
      <c r="P513" s="56"/>
    </row>
    <row r="514" spans="1:16" ht="14.25" thickBot="1" x14ac:dyDescent="0.2">
      <c r="A514" s="3" t="s">
        <v>11</v>
      </c>
      <c r="B514" s="23">
        <f>SUM(B488:B513)</f>
        <v>21</v>
      </c>
      <c r="C514" s="4">
        <f>SUM(C488:C513)</f>
        <v>10</v>
      </c>
      <c r="D514" s="4">
        <f>SUM(D488:D513)</f>
        <v>15</v>
      </c>
      <c r="E514" s="6">
        <f>SUM(E488:E513)</f>
        <v>15</v>
      </c>
      <c r="F514" s="32">
        <f>SUM(F488:F513)</f>
        <v>26</v>
      </c>
      <c r="G514" s="5">
        <f>SUM(B514:F514)</f>
        <v>87</v>
      </c>
      <c r="H514" s="58"/>
      <c r="I514" s="3" t="s">
        <v>11</v>
      </c>
      <c r="J514" s="23">
        <f>SUM(J488:J513)</f>
        <v>20</v>
      </c>
      <c r="K514" s="4">
        <f>SUM(K488:K513)</f>
        <v>0</v>
      </c>
      <c r="L514" s="4">
        <f>SUM(L488:L513)</f>
        <v>15</v>
      </c>
      <c r="M514" s="6">
        <f>SUM(M488:M513)</f>
        <v>20</v>
      </c>
      <c r="N514" s="32">
        <f>SUM(N488:N513)</f>
        <v>25</v>
      </c>
      <c r="O514" s="5">
        <f>SUM(J514:N514)</f>
        <v>80</v>
      </c>
    </row>
    <row r="515" spans="1:16" ht="14.25" thickBot="1" x14ac:dyDescent="0.2">
      <c r="A515" s="25" t="s">
        <v>12</v>
      </c>
      <c r="B515" s="63">
        <f>B487-B514</f>
        <v>12</v>
      </c>
      <c r="C515" s="26">
        <f t="shared" ref="C515:G515" si="148">C487-C514</f>
        <v>14</v>
      </c>
      <c r="D515" s="71">
        <f t="shared" si="148"/>
        <v>16</v>
      </c>
      <c r="E515" s="26">
        <f t="shared" si="148"/>
        <v>20</v>
      </c>
      <c r="F515" s="70">
        <f t="shared" si="148"/>
        <v>13</v>
      </c>
      <c r="G515" s="27">
        <f t="shared" si="148"/>
        <v>75</v>
      </c>
      <c r="H515" s="58"/>
      <c r="I515" s="25" t="s">
        <v>12</v>
      </c>
      <c r="J515" s="63">
        <f>J487-J514</f>
        <v>133</v>
      </c>
      <c r="K515" s="26">
        <f t="shared" ref="K515:O515" si="149">K487-K514</f>
        <v>115</v>
      </c>
      <c r="L515" s="71">
        <f t="shared" si="149"/>
        <v>104</v>
      </c>
      <c r="M515" s="26">
        <f t="shared" si="149"/>
        <v>97</v>
      </c>
      <c r="N515" s="70">
        <f t="shared" si="149"/>
        <v>110</v>
      </c>
      <c r="O515" s="27">
        <f t="shared" si="149"/>
        <v>559</v>
      </c>
    </row>
    <row r="516" spans="1:16" ht="21" x14ac:dyDescent="0.2">
      <c r="A516" s="83" t="s">
        <v>414</v>
      </c>
      <c r="B516" s="77"/>
      <c r="C516" s="77"/>
      <c r="D516" s="77"/>
      <c r="E516" s="77"/>
      <c r="F516" s="77"/>
      <c r="G516" s="77"/>
      <c r="H516" s="58"/>
      <c r="I516" s="83" t="s">
        <v>414</v>
      </c>
      <c r="J516" s="77"/>
      <c r="K516" s="77"/>
      <c r="L516" s="77"/>
      <c r="M516" s="77"/>
      <c r="N516" s="77"/>
      <c r="O516" s="77"/>
    </row>
    <row r="517" spans="1:16" ht="21.75" thickBot="1" x14ac:dyDescent="0.25">
      <c r="A517" s="83" t="s">
        <v>47</v>
      </c>
      <c r="B517" s="77"/>
      <c r="C517" s="77"/>
      <c r="D517" s="77"/>
      <c r="E517" s="84"/>
      <c r="F517" s="78" t="s">
        <v>53</v>
      </c>
      <c r="G517" s="77"/>
      <c r="H517" s="58"/>
      <c r="I517" s="83" t="s">
        <v>47</v>
      </c>
      <c r="J517" s="77"/>
      <c r="K517" s="77"/>
      <c r="L517" s="77"/>
      <c r="M517" s="84"/>
      <c r="N517" s="78" t="s">
        <v>54</v>
      </c>
      <c r="O517" s="77"/>
    </row>
    <row r="518" spans="1:16" ht="14.25" thickBot="1" x14ac:dyDescent="0.2">
      <c r="A518" s="13" t="s">
        <v>0</v>
      </c>
      <c r="B518" s="228" t="s">
        <v>49</v>
      </c>
      <c r="C518" s="229"/>
      <c r="D518" s="229"/>
      <c r="E518" s="229"/>
      <c r="F518" s="230"/>
      <c r="G518" s="231"/>
      <c r="H518" s="58"/>
      <c r="I518" s="13" t="s">
        <v>0</v>
      </c>
      <c r="J518" s="232" t="s">
        <v>49</v>
      </c>
      <c r="K518" s="233"/>
      <c r="L518" s="233"/>
      <c r="M518" s="233"/>
      <c r="N518" s="233"/>
      <c r="O518" s="234"/>
    </row>
    <row r="519" spans="1:16" ht="14.25" thickBot="1" x14ac:dyDescent="0.2">
      <c r="A519" s="3" t="s">
        <v>1</v>
      </c>
      <c r="B519" s="2" t="s">
        <v>42</v>
      </c>
      <c r="C519" s="21" t="s">
        <v>43</v>
      </c>
      <c r="D519" s="21" t="s">
        <v>44</v>
      </c>
      <c r="E519" s="24" t="s">
        <v>45</v>
      </c>
      <c r="F519" s="33" t="s">
        <v>46</v>
      </c>
      <c r="G519" s="34" t="s">
        <v>2</v>
      </c>
      <c r="H519" s="58"/>
      <c r="I519" s="3" t="s">
        <v>1</v>
      </c>
      <c r="J519" s="2" t="s">
        <v>42</v>
      </c>
      <c r="K519" s="21" t="s">
        <v>43</v>
      </c>
      <c r="L519" s="21" t="s">
        <v>44</v>
      </c>
      <c r="M519" s="24" t="s">
        <v>45</v>
      </c>
      <c r="N519" s="33" t="s">
        <v>46</v>
      </c>
      <c r="O519" s="3" t="s">
        <v>2</v>
      </c>
    </row>
    <row r="520" spans="1:16" ht="14.25" thickBot="1" x14ac:dyDescent="0.2">
      <c r="A520" s="116" t="s">
        <v>79</v>
      </c>
      <c r="B520" s="95">
        <f>B515</f>
        <v>12</v>
      </c>
      <c r="C520" s="97">
        <f t="shared" ref="C520:F520" si="150">C515</f>
        <v>14</v>
      </c>
      <c r="D520" s="55">
        <f t="shared" si="150"/>
        <v>16</v>
      </c>
      <c r="E520" s="98">
        <f t="shared" si="150"/>
        <v>20</v>
      </c>
      <c r="F520" s="98">
        <f t="shared" si="150"/>
        <v>13</v>
      </c>
      <c r="G520" s="52">
        <f t="shared" ref="G520:G529" si="151">SUM(B520:F520)</f>
        <v>75</v>
      </c>
      <c r="H520" s="58"/>
      <c r="I520" s="72" t="s">
        <v>79</v>
      </c>
      <c r="J520" s="73">
        <f>J515</f>
        <v>133</v>
      </c>
      <c r="K520" s="74">
        <f t="shared" ref="K520:N520" si="152">K515</f>
        <v>115</v>
      </c>
      <c r="L520" s="107">
        <f t="shared" si="152"/>
        <v>104</v>
      </c>
      <c r="M520" s="75">
        <f t="shared" si="152"/>
        <v>97</v>
      </c>
      <c r="N520" s="75">
        <f t="shared" si="152"/>
        <v>110</v>
      </c>
      <c r="O520" s="76">
        <f t="shared" ref="O520:O529" si="153">SUM(J520:N520)</f>
        <v>559</v>
      </c>
    </row>
    <row r="521" spans="1:16" x14ac:dyDescent="0.15">
      <c r="A521" s="38" t="s">
        <v>14</v>
      </c>
      <c r="B521" s="8"/>
      <c r="C521" s="10">
        <v>15</v>
      </c>
      <c r="D521" s="10"/>
      <c r="E521" s="10"/>
      <c r="F521" s="30">
        <v>10</v>
      </c>
      <c r="G521" s="7">
        <f t="shared" si="151"/>
        <v>25</v>
      </c>
      <c r="H521" s="58">
        <v>42886</v>
      </c>
      <c r="I521" s="38" t="s">
        <v>14</v>
      </c>
      <c r="J521" s="37"/>
      <c r="K521" s="35"/>
      <c r="L521" s="35"/>
      <c r="M521" s="35"/>
      <c r="N521" s="28"/>
      <c r="O521" s="7">
        <f t="shared" si="153"/>
        <v>0</v>
      </c>
      <c r="P521" s="58"/>
    </row>
    <row r="522" spans="1:16" x14ac:dyDescent="0.15">
      <c r="A522" s="38" t="s">
        <v>19</v>
      </c>
      <c r="B522" s="8"/>
      <c r="C522" s="10">
        <v>1</v>
      </c>
      <c r="D522" s="10">
        <v>1</v>
      </c>
      <c r="E522" s="10">
        <v>1</v>
      </c>
      <c r="F522" s="28"/>
      <c r="G522" s="9">
        <f t="shared" si="151"/>
        <v>3</v>
      </c>
      <c r="H522" s="58">
        <v>42886</v>
      </c>
      <c r="I522" s="15" t="s">
        <v>3</v>
      </c>
      <c r="J522" s="8"/>
      <c r="K522" s="10"/>
      <c r="L522" s="10"/>
      <c r="M522" s="10"/>
      <c r="N522" s="28"/>
      <c r="O522" s="9">
        <f t="shared" si="153"/>
        <v>0</v>
      </c>
      <c r="P522" s="36"/>
    </row>
    <row r="523" spans="1:16" x14ac:dyDescent="0.15">
      <c r="A523" s="38" t="s">
        <v>183</v>
      </c>
      <c r="B523" s="8"/>
      <c r="C523" s="10"/>
      <c r="D523" s="10"/>
      <c r="E523" s="10">
        <v>1</v>
      </c>
      <c r="F523" s="28"/>
      <c r="G523" s="9">
        <f t="shared" si="151"/>
        <v>1</v>
      </c>
      <c r="H523" s="58">
        <v>42887</v>
      </c>
      <c r="I523" s="15" t="s">
        <v>4</v>
      </c>
      <c r="J523" s="8"/>
      <c r="K523" s="10"/>
      <c r="L523" s="10"/>
      <c r="M523" s="10"/>
      <c r="N523" s="28"/>
      <c r="O523" s="9">
        <f t="shared" si="153"/>
        <v>0</v>
      </c>
      <c r="P523" s="58"/>
    </row>
    <row r="524" spans="1:16" x14ac:dyDescent="0.15">
      <c r="A524" s="134" t="s">
        <v>466</v>
      </c>
      <c r="B524" s="8">
        <v>2</v>
      </c>
      <c r="C524" s="10"/>
      <c r="D524" s="10"/>
      <c r="E524" s="10"/>
      <c r="F524" s="28"/>
      <c r="G524" s="9">
        <f t="shared" si="151"/>
        <v>2</v>
      </c>
      <c r="H524" s="58">
        <v>42901</v>
      </c>
      <c r="I524" s="15" t="s">
        <v>5</v>
      </c>
      <c r="J524" s="8"/>
      <c r="K524" s="10"/>
      <c r="L524" s="10"/>
      <c r="M524" s="10"/>
      <c r="N524" s="28"/>
      <c r="O524" s="9">
        <f t="shared" si="153"/>
        <v>0</v>
      </c>
      <c r="P524" s="58"/>
    </row>
    <row r="525" spans="1:16" x14ac:dyDescent="0.15">
      <c r="A525" s="134" t="s">
        <v>468</v>
      </c>
      <c r="B525" s="11">
        <v>1</v>
      </c>
      <c r="C525" s="12"/>
      <c r="D525" s="12"/>
      <c r="E525" s="12"/>
      <c r="F525" s="31"/>
      <c r="G525" s="7">
        <f t="shared" si="151"/>
        <v>1</v>
      </c>
      <c r="H525" s="58">
        <v>42902</v>
      </c>
      <c r="I525" s="15" t="s">
        <v>6</v>
      </c>
      <c r="J525" s="8"/>
      <c r="K525" s="10"/>
      <c r="L525" s="10"/>
      <c r="M525" s="10"/>
      <c r="N525" s="28"/>
      <c r="O525" s="9">
        <f t="shared" si="153"/>
        <v>0</v>
      </c>
      <c r="P525" s="58"/>
    </row>
    <row r="526" spans="1:16" x14ac:dyDescent="0.15">
      <c r="A526" s="38" t="s">
        <v>19</v>
      </c>
      <c r="B526" s="8">
        <v>2</v>
      </c>
      <c r="C526" s="10">
        <v>1</v>
      </c>
      <c r="D526" s="10">
        <v>1</v>
      </c>
      <c r="E526" s="10">
        <v>1</v>
      </c>
      <c r="F526" s="30">
        <v>2</v>
      </c>
      <c r="G526" s="7">
        <f t="shared" si="151"/>
        <v>7</v>
      </c>
      <c r="H526" s="58">
        <v>42908</v>
      </c>
      <c r="I526" s="15" t="s">
        <v>84</v>
      </c>
      <c r="J526" s="11"/>
      <c r="K526" s="12"/>
      <c r="L526" s="12"/>
      <c r="M526" s="12"/>
      <c r="N526" s="31"/>
      <c r="O526" s="7">
        <f t="shared" si="153"/>
        <v>0</v>
      </c>
      <c r="P526" s="58"/>
    </row>
    <row r="527" spans="1:16" x14ac:dyDescent="0.15">
      <c r="A527" s="38" t="s">
        <v>183</v>
      </c>
      <c r="B527" s="11"/>
      <c r="C527" s="100"/>
      <c r="D527" s="100"/>
      <c r="E527" s="100">
        <v>1</v>
      </c>
      <c r="F527" s="101"/>
      <c r="G527" s="102">
        <f t="shared" si="151"/>
        <v>1</v>
      </c>
      <c r="H527" s="58">
        <v>42910</v>
      </c>
      <c r="I527" s="15" t="s">
        <v>85</v>
      </c>
      <c r="J527" s="8"/>
      <c r="K527" s="10"/>
      <c r="L527" s="10"/>
      <c r="M527" s="10"/>
      <c r="N527" s="30"/>
      <c r="O527" s="7">
        <f t="shared" si="153"/>
        <v>0</v>
      </c>
      <c r="P527" s="58"/>
    </row>
    <row r="528" spans="1:16" x14ac:dyDescent="0.15">
      <c r="A528" s="38" t="s">
        <v>86</v>
      </c>
      <c r="B528" s="11"/>
      <c r="C528" s="100"/>
      <c r="D528" s="100">
        <v>10</v>
      </c>
      <c r="E528" s="100"/>
      <c r="F528" s="101"/>
      <c r="G528" s="102">
        <f t="shared" si="151"/>
        <v>10</v>
      </c>
      <c r="H528" s="58">
        <v>42914</v>
      </c>
      <c r="I528" s="16" t="s">
        <v>88</v>
      </c>
      <c r="J528" s="8"/>
      <c r="K528" s="10"/>
      <c r="L528" s="10"/>
      <c r="M528" s="10"/>
      <c r="N528" s="30"/>
      <c r="O528" s="7">
        <f t="shared" si="153"/>
        <v>0</v>
      </c>
      <c r="P528" s="58"/>
    </row>
    <row r="529" spans="1:16" ht="14.25" thickBot="1" x14ac:dyDescent="0.2">
      <c r="A529" s="38" t="s">
        <v>87</v>
      </c>
      <c r="B529" s="11"/>
      <c r="C529" s="100">
        <v>5</v>
      </c>
      <c r="D529" s="100"/>
      <c r="E529" s="100"/>
      <c r="F529" s="101">
        <v>10</v>
      </c>
      <c r="G529" s="102">
        <f t="shared" si="151"/>
        <v>15</v>
      </c>
      <c r="H529" s="58">
        <v>42923</v>
      </c>
      <c r="I529" s="15" t="s">
        <v>87</v>
      </c>
      <c r="J529" s="11"/>
      <c r="K529" s="100"/>
      <c r="L529" s="100"/>
      <c r="M529" s="100"/>
      <c r="N529" s="101"/>
      <c r="O529" s="102">
        <f t="shared" si="153"/>
        <v>0</v>
      </c>
      <c r="P529" s="68"/>
    </row>
    <row r="530" spans="1:16" ht="14.25" thickBot="1" x14ac:dyDescent="0.2">
      <c r="A530" s="72" t="s">
        <v>7</v>
      </c>
      <c r="B530" s="73">
        <f>SUM(B520:B529)</f>
        <v>17</v>
      </c>
      <c r="C530" s="74">
        <f t="shared" ref="C530:G530" si="154">SUM(C520:C529)</f>
        <v>36</v>
      </c>
      <c r="D530" s="74">
        <f t="shared" si="154"/>
        <v>28</v>
      </c>
      <c r="E530" s="74">
        <f t="shared" si="154"/>
        <v>24</v>
      </c>
      <c r="F530" s="105">
        <f t="shared" si="154"/>
        <v>35</v>
      </c>
      <c r="G530" s="105">
        <f t="shared" si="154"/>
        <v>140</v>
      </c>
      <c r="H530" s="56"/>
      <c r="I530" s="72" t="s">
        <v>7</v>
      </c>
      <c r="J530" s="73">
        <f>SUM(J520:J529)</f>
        <v>133</v>
      </c>
      <c r="K530" s="74">
        <f t="shared" ref="K530:O530" si="155">SUM(K520:K529)</f>
        <v>115</v>
      </c>
      <c r="L530" s="74">
        <f t="shared" si="155"/>
        <v>104</v>
      </c>
      <c r="M530" s="74">
        <f t="shared" si="155"/>
        <v>97</v>
      </c>
      <c r="N530" s="105">
        <f t="shared" si="155"/>
        <v>110</v>
      </c>
      <c r="O530" s="105">
        <f t="shared" si="155"/>
        <v>559</v>
      </c>
    </row>
    <row r="531" spans="1:16" x14ac:dyDescent="0.15">
      <c r="A531" s="16" t="s">
        <v>110</v>
      </c>
      <c r="B531" s="8"/>
      <c r="C531" s="10">
        <v>5</v>
      </c>
      <c r="D531" s="10"/>
      <c r="E531" s="10"/>
      <c r="F531" s="30"/>
      <c r="G531" s="7">
        <f>SUM(B531:F531)</f>
        <v>5</v>
      </c>
      <c r="H531" s="58">
        <v>42891</v>
      </c>
      <c r="I531" s="16" t="s">
        <v>454</v>
      </c>
      <c r="J531" s="17"/>
      <c r="K531" s="22">
        <v>15</v>
      </c>
      <c r="L531" s="22"/>
      <c r="M531" s="22"/>
      <c r="N531" s="29">
        <v>10</v>
      </c>
      <c r="O531" s="18">
        <f t="shared" ref="O531:O556" si="156">SUM(J531:N531)</f>
        <v>25</v>
      </c>
      <c r="P531" s="58">
        <v>42886</v>
      </c>
    </row>
    <row r="532" spans="1:16" x14ac:dyDescent="0.15">
      <c r="A532" s="14" t="s">
        <v>22</v>
      </c>
      <c r="B532" s="8"/>
      <c r="C532" s="10">
        <v>10</v>
      </c>
      <c r="D532" s="10"/>
      <c r="E532" s="10"/>
      <c r="F532" s="30">
        <v>10</v>
      </c>
      <c r="G532" s="7">
        <f t="shared" ref="G532:G556" si="157">SUM(B532:F532)</f>
        <v>20</v>
      </c>
      <c r="H532" s="58">
        <v>42891</v>
      </c>
      <c r="I532" s="16" t="s">
        <v>24</v>
      </c>
      <c r="J532" s="8"/>
      <c r="K532" s="10"/>
      <c r="L532" s="10">
        <v>10</v>
      </c>
      <c r="M532" s="10"/>
      <c r="N532" s="28"/>
      <c r="O532" s="9">
        <f t="shared" si="156"/>
        <v>10</v>
      </c>
      <c r="P532" s="58">
        <v>42914</v>
      </c>
    </row>
    <row r="533" spans="1:16" x14ac:dyDescent="0.15">
      <c r="A533" s="16" t="s">
        <v>25</v>
      </c>
      <c r="B533" s="8"/>
      <c r="C533" s="10"/>
      <c r="D533" s="10">
        <v>1</v>
      </c>
      <c r="E533" s="10"/>
      <c r="F533" s="30"/>
      <c r="G533" s="7">
        <f t="shared" si="157"/>
        <v>1</v>
      </c>
      <c r="H533" s="58">
        <v>42887</v>
      </c>
      <c r="I533" s="16" t="s">
        <v>24</v>
      </c>
      <c r="J533" s="8"/>
      <c r="K533" s="10">
        <v>5</v>
      </c>
      <c r="L533" s="10"/>
      <c r="M533" s="10"/>
      <c r="N533" s="30">
        <v>10</v>
      </c>
      <c r="O533" s="7">
        <f t="shared" si="156"/>
        <v>15</v>
      </c>
      <c r="P533" s="58">
        <v>42923</v>
      </c>
    </row>
    <row r="534" spans="1:16" x14ac:dyDescent="0.15">
      <c r="A534" s="16" t="s">
        <v>110</v>
      </c>
      <c r="B534" s="8"/>
      <c r="C534" s="10">
        <v>5</v>
      </c>
      <c r="D534" s="10"/>
      <c r="E534" s="10"/>
      <c r="F534" s="30"/>
      <c r="G534" s="7">
        <f t="shared" si="157"/>
        <v>5</v>
      </c>
      <c r="H534" s="58">
        <v>42891</v>
      </c>
      <c r="I534" s="16" t="s">
        <v>24</v>
      </c>
      <c r="J534" s="8">
        <v>5</v>
      </c>
      <c r="K534" s="10"/>
      <c r="L534" s="10"/>
      <c r="M534" s="10">
        <v>10</v>
      </c>
      <c r="N534" s="30">
        <v>5</v>
      </c>
      <c r="O534" s="7">
        <f t="shared" si="156"/>
        <v>20</v>
      </c>
      <c r="P534" s="58">
        <v>42926</v>
      </c>
    </row>
    <row r="535" spans="1:16" x14ac:dyDescent="0.15">
      <c r="A535" s="16" t="s">
        <v>110</v>
      </c>
      <c r="B535" s="8"/>
      <c r="C535" s="10"/>
      <c r="D535" s="10"/>
      <c r="E535" s="10"/>
      <c r="F535" s="30">
        <v>3</v>
      </c>
      <c r="G535" s="7">
        <f t="shared" si="157"/>
        <v>3</v>
      </c>
      <c r="H535" s="58">
        <v>42898</v>
      </c>
      <c r="I535" s="16" t="s">
        <v>24</v>
      </c>
      <c r="J535" s="8"/>
      <c r="K535" s="10">
        <v>10</v>
      </c>
      <c r="L535" s="10">
        <v>5</v>
      </c>
      <c r="M535" s="10">
        <v>5</v>
      </c>
      <c r="N535" s="30"/>
      <c r="O535" s="7">
        <f t="shared" si="156"/>
        <v>20</v>
      </c>
      <c r="P535" s="58">
        <v>42927</v>
      </c>
    </row>
    <row r="536" spans="1:16" x14ac:dyDescent="0.15">
      <c r="A536" s="16" t="s">
        <v>459</v>
      </c>
      <c r="B536" s="8"/>
      <c r="C536" s="10"/>
      <c r="D536" s="10">
        <v>1</v>
      </c>
      <c r="E536" s="10"/>
      <c r="F536" s="30"/>
      <c r="G536" s="7">
        <f t="shared" si="157"/>
        <v>1</v>
      </c>
      <c r="H536" s="58">
        <v>42891</v>
      </c>
      <c r="I536" s="16"/>
      <c r="J536" s="8"/>
      <c r="K536" s="10"/>
      <c r="L536" s="10"/>
      <c r="M536" s="10"/>
      <c r="N536" s="30"/>
      <c r="O536" s="7">
        <f t="shared" si="156"/>
        <v>0</v>
      </c>
      <c r="P536" s="58"/>
    </row>
    <row r="537" spans="1:16" x14ac:dyDescent="0.15">
      <c r="A537" s="16" t="s">
        <v>110</v>
      </c>
      <c r="B537" s="8"/>
      <c r="C537" s="10"/>
      <c r="D537" s="10"/>
      <c r="E537" s="10">
        <v>3</v>
      </c>
      <c r="F537" s="30"/>
      <c r="G537" s="7">
        <f t="shared" si="157"/>
        <v>3</v>
      </c>
      <c r="H537" s="58">
        <v>42901</v>
      </c>
      <c r="I537" s="16"/>
      <c r="J537" s="8"/>
      <c r="K537" s="10"/>
      <c r="L537" s="10"/>
      <c r="M537" s="10"/>
      <c r="N537" s="30"/>
      <c r="O537" s="7">
        <f t="shared" si="156"/>
        <v>0</v>
      </c>
    </row>
    <row r="538" spans="1:16" x14ac:dyDescent="0.15">
      <c r="A538" s="16" t="s">
        <v>29</v>
      </c>
      <c r="B538" s="8"/>
      <c r="C538" s="10">
        <v>1</v>
      </c>
      <c r="D538" s="10"/>
      <c r="E538" s="10"/>
      <c r="F538" s="30"/>
      <c r="G538" s="7">
        <f t="shared" si="157"/>
        <v>1</v>
      </c>
      <c r="H538" s="58">
        <v>42899</v>
      </c>
      <c r="I538" s="16"/>
      <c r="J538" s="8"/>
      <c r="K538" s="10"/>
      <c r="L538" s="10"/>
      <c r="M538" s="10"/>
      <c r="N538" s="30"/>
      <c r="O538" s="7">
        <f t="shared" si="156"/>
        <v>0</v>
      </c>
    </row>
    <row r="539" spans="1:16" x14ac:dyDescent="0.15">
      <c r="A539" s="16" t="s">
        <v>110</v>
      </c>
      <c r="B539" s="8">
        <v>2</v>
      </c>
      <c r="C539" s="10"/>
      <c r="D539" s="10"/>
      <c r="E539" s="10"/>
      <c r="F539" s="30"/>
      <c r="G539" s="7">
        <f t="shared" si="157"/>
        <v>2</v>
      </c>
      <c r="H539" s="58">
        <v>42909</v>
      </c>
      <c r="I539" s="39"/>
      <c r="J539" s="8"/>
      <c r="K539" s="10"/>
      <c r="L539" s="10"/>
      <c r="M539" s="10"/>
      <c r="N539" s="30"/>
      <c r="O539" s="7">
        <f t="shared" si="156"/>
        <v>0</v>
      </c>
    </row>
    <row r="540" spans="1:16" x14ac:dyDescent="0.15">
      <c r="A540" s="14" t="s">
        <v>22</v>
      </c>
      <c r="B540" s="11"/>
      <c r="C540" s="12"/>
      <c r="D540" s="12">
        <v>10</v>
      </c>
      <c r="E540" s="12"/>
      <c r="F540" s="31"/>
      <c r="G540" s="7">
        <f t="shared" si="157"/>
        <v>10</v>
      </c>
      <c r="H540" s="58">
        <v>42919</v>
      </c>
      <c r="I540" s="16"/>
      <c r="J540" s="11"/>
      <c r="K540" s="12"/>
      <c r="L540" s="12"/>
      <c r="M540" s="12"/>
      <c r="N540" s="31"/>
      <c r="O540" s="7">
        <f t="shared" si="156"/>
        <v>0</v>
      </c>
    </row>
    <row r="541" spans="1:16" x14ac:dyDescent="0.15">
      <c r="A541" s="16" t="s">
        <v>110</v>
      </c>
      <c r="B541" s="8"/>
      <c r="C541" s="10"/>
      <c r="D541" s="10">
        <v>3</v>
      </c>
      <c r="E541" s="10"/>
      <c r="F541" s="30"/>
      <c r="G541" s="7">
        <f t="shared" si="157"/>
        <v>3</v>
      </c>
      <c r="H541" s="58">
        <v>42922</v>
      </c>
      <c r="I541" s="16"/>
      <c r="J541" s="8"/>
      <c r="K541" s="10"/>
      <c r="L541" s="10"/>
      <c r="M541" s="10"/>
      <c r="N541" s="30"/>
      <c r="O541" s="7">
        <f t="shared" si="156"/>
        <v>0</v>
      </c>
    </row>
    <row r="542" spans="1:16" x14ac:dyDescent="0.15">
      <c r="A542" s="14" t="s">
        <v>22</v>
      </c>
      <c r="B542" s="8"/>
      <c r="C542" s="10"/>
      <c r="D542" s="10"/>
      <c r="E542" s="10">
        <v>10</v>
      </c>
      <c r="F542" s="30"/>
      <c r="G542" s="7">
        <f t="shared" si="157"/>
        <v>10</v>
      </c>
      <c r="H542" s="58">
        <v>42926</v>
      </c>
      <c r="I542" s="14"/>
      <c r="J542" s="8"/>
      <c r="K542" s="10"/>
      <c r="L542" s="10"/>
      <c r="M542" s="10"/>
      <c r="N542" s="30"/>
      <c r="O542" s="7">
        <f t="shared" si="156"/>
        <v>0</v>
      </c>
    </row>
    <row r="543" spans="1:16" x14ac:dyDescent="0.15">
      <c r="A543" s="64" t="s">
        <v>473</v>
      </c>
      <c r="B543" s="8">
        <v>-1</v>
      </c>
      <c r="C543" s="10"/>
      <c r="D543" s="10"/>
      <c r="E543" s="10"/>
      <c r="F543" s="30"/>
      <c r="G543" s="7">
        <f t="shared" si="157"/>
        <v>-1</v>
      </c>
      <c r="H543" s="58">
        <v>42920</v>
      </c>
      <c r="I543" s="16"/>
      <c r="J543" s="8"/>
      <c r="K543" s="10"/>
      <c r="L543" s="10"/>
      <c r="M543" s="10"/>
      <c r="N543" s="30"/>
      <c r="O543" s="7">
        <f t="shared" si="156"/>
        <v>0</v>
      </c>
    </row>
    <row r="544" spans="1:16" x14ac:dyDescent="0.15">
      <c r="A544" s="14" t="s">
        <v>22</v>
      </c>
      <c r="B544" s="8"/>
      <c r="C544" s="10"/>
      <c r="D544" s="10"/>
      <c r="E544" s="10"/>
      <c r="F544" s="30">
        <v>10</v>
      </c>
      <c r="G544" s="7">
        <f t="shared" si="157"/>
        <v>10</v>
      </c>
      <c r="H544" s="58">
        <v>42928</v>
      </c>
      <c r="I544" s="64"/>
      <c r="J544" s="8"/>
      <c r="K544" s="10"/>
      <c r="L544" s="10"/>
      <c r="M544" s="10"/>
      <c r="N544" s="30"/>
      <c r="O544" s="7">
        <f t="shared" si="156"/>
        <v>0</v>
      </c>
    </row>
    <row r="545" spans="1:17" x14ac:dyDescent="0.15">
      <c r="A545" s="50" t="s">
        <v>486</v>
      </c>
      <c r="B545" s="8">
        <v>1</v>
      </c>
      <c r="C545" s="10"/>
      <c r="D545" s="10">
        <v>2</v>
      </c>
      <c r="E545" s="10">
        <v>4</v>
      </c>
      <c r="F545" s="30"/>
      <c r="G545" s="7">
        <f t="shared" si="157"/>
        <v>7</v>
      </c>
      <c r="H545" s="58">
        <v>42924</v>
      </c>
      <c r="I545" s="16"/>
      <c r="J545" s="8"/>
      <c r="K545" s="10"/>
      <c r="L545" s="10"/>
      <c r="M545" s="10"/>
      <c r="N545" s="30"/>
      <c r="O545" s="7">
        <f t="shared" si="156"/>
        <v>0</v>
      </c>
    </row>
    <row r="546" spans="1:17" x14ac:dyDescent="0.15">
      <c r="A546" s="16" t="s">
        <v>110</v>
      </c>
      <c r="B546" s="8"/>
      <c r="C546" s="10"/>
      <c r="D546" s="10"/>
      <c r="E546" s="10">
        <v>2</v>
      </c>
      <c r="F546" s="30">
        <v>2</v>
      </c>
      <c r="G546" s="7">
        <f t="shared" si="157"/>
        <v>4</v>
      </c>
      <c r="H546" s="58">
        <v>42929</v>
      </c>
      <c r="I546" s="16"/>
      <c r="J546" s="8"/>
      <c r="K546" s="10"/>
      <c r="L546" s="10"/>
      <c r="M546" s="10"/>
      <c r="N546" s="30"/>
      <c r="O546" s="7">
        <f t="shared" si="156"/>
        <v>0</v>
      </c>
    </row>
    <row r="547" spans="1:17" x14ac:dyDescent="0.15">
      <c r="A547" s="16" t="s">
        <v>110</v>
      </c>
      <c r="B547" s="8">
        <v>5</v>
      </c>
      <c r="C547" s="10"/>
      <c r="D547" s="10"/>
      <c r="E547" s="10">
        <v>5</v>
      </c>
      <c r="F547" s="30">
        <v>5</v>
      </c>
      <c r="G547" s="7">
        <f t="shared" si="157"/>
        <v>15</v>
      </c>
      <c r="H547" s="58">
        <v>42929</v>
      </c>
      <c r="I547" s="14"/>
      <c r="J547" s="8"/>
      <c r="K547" s="10"/>
      <c r="L547" s="10"/>
      <c r="M547" s="10"/>
      <c r="N547" s="30"/>
      <c r="O547" s="7">
        <f t="shared" si="156"/>
        <v>0</v>
      </c>
    </row>
    <row r="548" spans="1:17" x14ac:dyDescent="0.15">
      <c r="A548" s="16" t="s">
        <v>478</v>
      </c>
      <c r="B548" s="8">
        <v>-5</v>
      </c>
      <c r="C548" s="10"/>
      <c r="D548" s="10"/>
      <c r="E548" s="10">
        <v>-10</v>
      </c>
      <c r="F548" s="30">
        <v>-5</v>
      </c>
      <c r="G548" s="7">
        <f t="shared" si="157"/>
        <v>-20</v>
      </c>
      <c r="H548" s="58">
        <v>42926</v>
      </c>
      <c r="I548" s="16"/>
      <c r="J548" s="8"/>
      <c r="K548" s="10"/>
      <c r="L548" s="10"/>
      <c r="M548" s="10"/>
      <c r="N548" s="30"/>
      <c r="O548" s="7">
        <f t="shared" si="156"/>
        <v>0</v>
      </c>
    </row>
    <row r="549" spans="1:17" x14ac:dyDescent="0.15">
      <c r="A549" s="16" t="s">
        <v>25</v>
      </c>
      <c r="B549" s="8"/>
      <c r="C549" s="10">
        <v>6</v>
      </c>
      <c r="D549" s="10"/>
      <c r="E549" s="10"/>
      <c r="F549" s="30"/>
      <c r="G549" s="7">
        <f t="shared" si="157"/>
        <v>6</v>
      </c>
      <c r="H549" s="58">
        <v>42927</v>
      </c>
      <c r="I549" s="16"/>
      <c r="J549" s="8"/>
      <c r="K549" s="10"/>
      <c r="L549" s="10"/>
      <c r="M549" s="10"/>
      <c r="N549" s="30"/>
      <c r="O549" s="7">
        <f t="shared" si="156"/>
        <v>0</v>
      </c>
      <c r="P549" s="56"/>
      <c r="Q549" s="56"/>
    </row>
    <row r="550" spans="1:17" x14ac:dyDescent="0.15">
      <c r="A550" s="50" t="s">
        <v>481</v>
      </c>
      <c r="B550" s="8">
        <v>2</v>
      </c>
      <c r="C550" s="10">
        <v>3</v>
      </c>
      <c r="D550" s="10">
        <v>2</v>
      </c>
      <c r="E550" s="10">
        <v>1</v>
      </c>
      <c r="F550" s="30"/>
      <c r="G550" s="7">
        <f t="shared" si="157"/>
        <v>8</v>
      </c>
      <c r="H550" s="58">
        <v>42928</v>
      </c>
      <c r="I550" s="16"/>
      <c r="J550" s="8"/>
      <c r="K550" s="10"/>
      <c r="L550" s="10"/>
      <c r="M550" s="10"/>
      <c r="N550" s="30"/>
      <c r="O550" s="9">
        <f t="shared" si="156"/>
        <v>0</v>
      </c>
      <c r="P550" s="36"/>
      <c r="Q550" s="56"/>
    </row>
    <row r="551" spans="1:17" x14ac:dyDescent="0.15">
      <c r="A551" s="38" t="s">
        <v>483</v>
      </c>
      <c r="B551" s="8"/>
      <c r="C551" s="10">
        <v>-10</v>
      </c>
      <c r="D551" s="10">
        <v>-5</v>
      </c>
      <c r="E551" s="10">
        <v>-5</v>
      </c>
      <c r="F551" s="30"/>
      <c r="G551" s="7">
        <f t="shared" si="157"/>
        <v>-20</v>
      </c>
      <c r="H551" s="58">
        <v>42927</v>
      </c>
      <c r="I551" s="16"/>
      <c r="J551" s="8"/>
      <c r="K551" s="10"/>
      <c r="L551" s="10"/>
      <c r="M551" s="10"/>
      <c r="N551" s="30"/>
      <c r="O551" s="9">
        <f t="shared" si="156"/>
        <v>0</v>
      </c>
      <c r="P551" s="36"/>
      <c r="Q551" s="56"/>
    </row>
    <row r="552" spans="1:17" x14ac:dyDescent="0.15">
      <c r="A552" s="16" t="s">
        <v>215</v>
      </c>
      <c r="B552" s="11"/>
      <c r="C552" s="12"/>
      <c r="D552" s="12"/>
      <c r="E552" s="12">
        <v>2</v>
      </c>
      <c r="F552" s="31"/>
      <c r="G552" s="7">
        <f t="shared" si="157"/>
        <v>2</v>
      </c>
      <c r="H552" s="58">
        <v>42928</v>
      </c>
      <c r="I552" s="50"/>
      <c r="J552" s="8"/>
      <c r="K552" s="10"/>
      <c r="L552" s="10"/>
      <c r="M552" s="10"/>
      <c r="N552" s="30"/>
      <c r="O552" s="9">
        <f t="shared" si="156"/>
        <v>0</v>
      </c>
      <c r="P552" s="36"/>
      <c r="Q552" s="56"/>
    </row>
    <row r="553" spans="1:17" x14ac:dyDescent="0.15">
      <c r="A553" s="16" t="s">
        <v>25</v>
      </c>
      <c r="B553" s="8"/>
      <c r="C553" s="10">
        <v>3</v>
      </c>
      <c r="D553" s="10">
        <v>2</v>
      </c>
      <c r="E553" s="10"/>
      <c r="F553" s="30">
        <v>1</v>
      </c>
      <c r="G553" s="7">
        <f t="shared" si="157"/>
        <v>6</v>
      </c>
      <c r="H553" s="58">
        <v>42929</v>
      </c>
      <c r="I553" s="16"/>
      <c r="J553" s="8"/>
      <c r="K553" s="10"/>
      <c r="L553" s="10"/>
      <c r="M553" s="10"/>
      <c r="N553" s="30"/>
      <c r="O553" s="9">
        <f t="shared" si="156"/>
        <v>0</v>
      </c>
      <c r="P553" s="36"/>
      <c r="Q553" s="56"/>
    </row>
    <row r="554" spans="1:17" x14ac:dyDescent="0.15">
      <c r="A554" s="16" t="s">
        <v>25</v>
      </c>
      <c r="B554" s="8"/>
      <c r="C554" s="10"/>
      <c r="D554" s="10">
        <v>2</v>
      </c>
      <c r="E554" s="10">
        <v>1</v>
      </c>
      <c r="F554" s="30"/>
      <c r="G554" s="7">
        <f t="shared" si="157"/>
        <v>3</v>
      </c>
      <c r="H554" s="58">
        <v>42931</v>
      </c>
      <c r="I554" s="16"/>
      <c r="J554" s="8"/>
      <c r="K554" s="10"/>
      <c r="L554" s="10"/>
      <c r="M554" s="10"/>
      <c r="N554" s="30"/>
      <c r="O554" s="9">
        <f t="shared" si="156"/>
        <v>0</v>
      </c>
      <c r="P554" s="36"/>
      <c r="Q554" s="56"/>
    </row>
    <row r="555" spans="1:17" x14ac:dyDescent="0.15">
      <c r="A555" s="14" t="s">
        <v>117</v>
      </c>
      <c r="B555" s="8"/>
      <c r="C555" s="10"/>
      <c r="D555" s="10">
        <v>1</v>
      </c>
      <c r="E555" s="10"/>
      <c r="F555" s="30"/>
      <c r="G555" s="7">
        <f t="shared" si="157"/>
        <v>1</v>
      </c>
      <c r="H555" s="58">
        <v>42931</v>
      </c>
      <c r="I555" s="16"/>
      <c r="J555" s="8"/>
      <c r="K555" s="10"/>
      <c r="L555" s="10"/>
      <c r="M555" s="10"/>
      <c r="N555" s="30"/>
      <c r="O555" s="9">
        <f t="shared" si="156"/>
        <v>0</v>
      </c>
      <c r="P555" s="36"/>
      <c r="Q555" s="56"/>
    </row>
    <row r="556" spans="1:17" ht="14.25" thickBot="1" x14ac:dyDescent="0.2">
      <c r="A556" s="20" t="s">
        <v>488</v>
      </c>
      <c r="B556" s="11">
        <v>-1</v>
      </c>
      <c r="C556" s="12">
        <v>-2</v>
      </c>
      <c r="D556" s="12"/>
      <c r="E556" s="12"/>
      <c r="F556" s="31"/>
      <c r="G556" s="7">
        <f t="shared" si="157"/>
        <v>-3</v>
      </c>
      <c r="H556" s="58">
        <v>42931</v>
      </c>
      <c r="I556" s="126"/>
      <c r="J556" s="60"/>
      <c r="K556" s="127"/>
      <c r="L556" s="127"/>
      <c r="M556" s="127"/>
      <c r="N556" s="128"/>
      <c r="O556" s="115">
        <f t="shared" si="156"/>
        <v>0</v>
      </c>
      <c r="P556" s="56"/>
    </row>
    <row r="557" spans="1:17" ht="14.25" thickBot="1" x14ac:dyDescent="0.2">
      <c r="A557" s="3" t="s">
        <v>11</v>
      </c>
      <c r="B557" s="23">
        <f>SUM(B531:B556)</f>
        <v>3</v>
      </c>
      <c r="C557" s="4">
        <f>SUM(C531:C556)</f>
        <v>21</v>
      </c>
      <c r="D557" s="4">
        <f>SUM(D531:D556)</f>
        <v>19</v>
      </c>
      <c r="E557" s="6">
        <f>SUM(E531:E556)</f>
        <v>13</v>
      </c>
      <c r="F557" s="32">
        <f>SUM(F531:F556)</f>
        <v>26</v>
      </c>
      <c r="G557" s="5">
        <f>SUM(B557:F557)</f>
        <v>82</v>
      </c>
      <c r="H557" s="58"/>
      <c r="I557" s="3" t="s">
        <v>11</v>
      </c>
      <c r="J557" s="23">
        <f>SUM(J531:J556)</f>
        <v>5</v>
      </c>
      <c r="K557" s="4">
        <f>SUM(K531:K556)</f>
        <v>30</v>
      </c>
      <c r="L557" s="4">
        <f>SUM(L531:L556)</f>
        <v>15</v>
      </c>
      <c r="M557" s="6">
        <f>SUM(M531:M556)</f>
        <v>15</v>
      </c>
      <c r="N557" s="32">
        <f>SUM(N531:N556)</f>
        <v>25</v>
      </c>
      <c r="O557" s="5">
        <f>SUM(J557:N557)</f>
        <v>90</v>
      </c>
    </row>
    <row r="558" spans="1:17" ht="14.25" thickBot="1" x14ac:dyDescent="0.2">
      <c r="A558" s="25" t="s">
        <v>12</v>
      </c>
      <c r="B558" s="63">
        <f>B530-B557</f>
        <v>14</v>
      </c>
      <c r="C558" s="26">
        <f t="shared" ref="C558:G558" si="158">C530-C557</f>
        <v>15</v>
      </c>
      <c r="D558" s="71">
        <f t="shared" si="158"/>
        <v>9</v>
      </c>
      <c r="E558" s="26">
        <f t="shared" si="158"/>
        <v>11</v>
      </c>
      <c r="F558" s="70">
        <f t="shared" si="158"/>
        <v>9</v>
      </c>
      <c r="G558" s="27">
        <f t="shared" si="158"/>
        <v>58</v>
      </c>
      <c r="H558" s="58"/>
      <c r="I558" s="25" t="s">
        <v>12</v>
      </c>
      <c r="J558" s="63">
        <f>J530-J557</f>
        <v>128</v>
      </c>
      <c r="K558" s="26">
        <f t="shared" ref="K558:O558" si="159">K530-K557</f>
        <v>85</v>
      </c>
      <c r="L558" s="71">
        <f t="shared" si="159"/>
        <v>89</v>
      </c>
      <c r="M558" s="26">
        <f t="shared" si="159"/>
        <v>82</v>
      </c>
      <c r="N558" s="70">
        <f t="shared" si="159"/>
        <v>85</v>
      </c>
      <c r="O558" s="27">
        <f t="shared" si="159"/>
        <v>469</v>
      </c>
    </row>
    <row r="559" spans="1:17" ht="21" x14ac:dyDescent="0.2">
      <c r="A559" s="83" t="s">
        <v>414</v>
      </c>
      <c r="B559" s="77"/>
      <c r="C559" s="77"/>
      <c r="D559" s="77"/>
      <c r="E559" s="77"/>
      <c r="F559" s="77"/>
      <c r="G559" s="77"/>
      <c r="H559" s="58"/>
      <c r="I559" s="83" t="s">
        <v>414</v>
      </c>
      <c r="J559" s="77"/>
      <c r="K559" s="77"/>
      <c r="L559" s="77"/>
      <c r="M559" s="77"/>
      <c r="N559" s="77"/>
      <c r="O559" s="77"/>
    </row>
    <row r="560" spans="1:17" ht="21.75" thickBot="1" x14ac:dyDescent="0.25">
      <c r="A560" s="83" t="s">
        <v>47</v>
      </c>
      <c r="B560" s="77"/>
      <c r="C560" s="77"/>
      <c r="D560" s="77"/>
      <c r="E560" s="84"/>
      <c r="F560" s="78" t="s">
        <v>53</v>
      </c>
      <c r="G560" s="77"/>
      <c r="H560" s="58"/>
      <c r="I560" s="83" t="s">
        <v>47</v>
      </c>
      <c r="J560" s="77"/>
      <c r="K560" s="77"/>
      <c r="L560" s="77"/>
      <c r="M560" s="84"/>
      <c r="N560" s="78" t="s">
        <v>54</v>
      </c>
      <c r="O560" s="77"/>
    </row>
    <row r="561" spans="1:17" ht="14.25" thickBot="1" x14ac:dyDescent="0.2">
      <c r="A561" s="13" t="s">
        <v>0</v>
      </c>
      <c r="B561" s="228" t="s">
        <v>49</v>
      </c>
      <c r="C561" s="229"/>
      <c r="D561" s="229"/>
      <c r="E561" s="229"/>
      <c r="F561" s="230"/>
      <c r="G561" s="231"/>
      <c r="H561" s="58"/>
      <c r="I561" s="13" t="s">
        <v>0</v>
      </c>
      <c r="J561" s="232" t="s">
        <v>49</v>
      </c>
      <c r="K561" s="233"/>
      <c r="L561" s="233"/>
      <c r="M561" s="233"/>
      <c r="N561" s="233"/>
      <c r="O561" s="234"/>
    </row>
    <row r="562" spans="1:17" ht="14.25" thickBot="1" x14ac:dyDescent="0.2">
      <c r="A562" s="3" t="s">
        <v>1</v>
      </c>
      <c r="B562" s="2" t="s">
        <v>42</v>
      </c>
      <c r="C562" s="21" t="s">
        <v>43</v>
      </c>
      <c r="D562" s="21" t="s">
        <v>44</v>
      </c>
      <c r="E562" s="24" t="s">
        <v>45</v>
      </c>
      <c r="F562" s="33" t="s">
        <v>46</v>
      </c>
      <c r="G562" s="34" t="s">
        <v>2</v>
      </c>
      <c r="H562" s="58"/>
      <c r="I562" s="3" t="s">
        <v>1</v>
      </c>
      <c r="J562" s="2" t="s">
        <v>42</v>
      </c>
      <c r="K562" s="21" t="s">
        <v>43</v>
      </c>
      <c r="L562" s="21" t="s">
        <v>44</v>
      </c>
      <c r="M562" s="24" t="s">
        <v>45</v>
      </c>
      <c r="N562" s="33" t="s">
        <v>46</v>
      </c>
      <c r="O562" s="3" t="s">
        <v>2</v>
      </c>
    </row>
    <row r="563" spans="1:17" ht="14.25" thickBot="1" x14ac:dyDescent="0.2">
      <c r="A563" s="116" t="s">
        <v>79</v>
      </c>
      <c r="B563" s="95">
        <f>B558</f>
        <v>14</v>
      </c>
      <c r="C563" s="97">
        <f t="shared" ref="C563:F563" si="160">C558</f>
        <v>15</v>
      </c>
      <c r="D563" s="55">
        <f t="shared" si="160"/>
        <v>9</v>
      </c>
      <c r="E563" s="98">
        <f t="shared" si="160"/>
        <v>11</v>
      </c>
      <c r="F563" s="98">
        <f t="shared" si="160"/>
        <v>9</v>
      </c>
      <c r="G563" s="52">
        <f t="shared" ref="G563:G572" si="161">SUM(B563:F563)</f>
        <v>58</v>
      </c>
      <c r="H563" s="58"/>
      <c r="I563" s="72" t="s">
        <v>79</v>
      </c>
      <c r="J563" s="73">
        <f>J558</f>
        <v>128</v>
      </c>
      <c r="K563" s="74">
        <f t="shared" ref="K563:N563" si="162">K558</f>
        <v>85</v>
      </c>
      <c r="L563" s="107">
        <f t="shared" si="162"/>
        <v>89</v>
      </c>
      <c r="M563" s="75">
        <f t="shared" si="162"/>
        <v>82</v>
      </c>
      <c r="N563" s="75">
        <f t="shared" si="162"/>
        <v>85</v>
      </c>
      <c r="O563" s="76">
        <f t="shared" ref="O563:O572" si="163">SUM(J563:N563)</f>
        <v>469</v>
      </c>
    </row>
    <row r="564" spans="1:17" x14ac:dyDescent="0.15">
      <c r="A564" s="38" t="s">
        <v>14</v>
      </c>
      <c r="B564" s="8"/>
      <c r="C564" s="10"/>
      <c r="D564" s="10">
        <v>5</v>
      </c>
      <c r="E564" s="10">
        <v>10</v>
      </c>
      <c r="F564" s="30">
        <v>5</v>
      </c>
      <c r="G564" s="7">
        <f t="shared" si="161"/>
        <v>20</v>
      </c>
      <c r="H564" s="58">
        <v>42936</v>
      </c>
      <c r="I564" s="38" t="s">
        <v>14</v>
      </c>
      <c r="J564" s="37"/>
      <c r="K564" s="35"/>
      <c r="L564" s="35"/>
      <c r="M564" s="35"/>
      <c r="N564" s="28"/>
      <c r="O564" s="7">
        <f t="shared" si="163"/>
        <v>0</v>
      </c>
      <c r="P564" s="58"/>
    </row>
    <row r="565" spans="1:17" x14ac:dyDescent="0.15">
      <c r="A565" s="38" t="s">
        <v>383</v>
      </c>
      <c r="B565" s="8"/>
      <c r="C565" s="10">
        <v>1</v>
      </c>
      <c r="D565" s="10"/>
      <c r="E565" s="10"/>
      <c r="F565" s="28"/>
      <c r="G565" s="9">
        <f t="shared" si="161"/>
        <v>1</v>
      </c>
      <c r="H565" s="58">
        <v>42935</v>
      </c>
      <c r="I565" s="15" t="s">
        <v>3</v>
      </c>
      <c r="J565" s="8"/>
      <c r="K565" s="10"/>
      <c r="L565" s="10"/>
      <c r="M565" s="10"/>
      <c r="N565" s="28"/>
      <c r="O565" s="9">
        <f t="shared" si="163"/>
        <v>0</v>
      </c>
      <c r="P565" s="36"/>
    </row>
    <row r="566" spans="1:17" x14ac:dyDescent="0.15">
      <c r="A566" s="38" t="s">
        <v>19</v>
      </c>
      <c r="B566" s="8"/>
      <c r="C566" s="10">
        <v>1</v>
      </c>
      <c r="D566" s="10"/>
      <c r="E566" s="10">
        <v>2</v>
      </c>
      <c r="F566" s="28"/>
      <c r="G566" s="9">
        <f t="shared" si="161"/>
        <v>3</v>
      </c>
      <c r="H566" s="58">
        <v>42936</v>
      </c>
      <c r="I566" s="15" t="s">
        <v>4</v>
      </c>
      <c r="J566" s="8"/>
      <c r="K566" s="10"/>
      <c r="L566" s="10"/>
      <c r="M566" s="10"/>
      <c r="N566" s="28"/>
      <c r="O566" s="9">
        <f t="shared" si="163"/>
        <v>0</v>
      </c>
      <c r="P566" s="58"/>
    </row>
    <row r="567" spans="1:17" x14ac:dyDescent="0.15">
      <c r="A567" s="38" t="s">
        <v>5</v>
      </c>
      <c r="B567" s="8"/>
      <c r="C567" s="10">
        <v>10</v>
      </c>
      <c r="D567" s="10">
        <v>5</v>
      </c>
      <c r="E567" s="10"/>
      <c r="F567" s="28"/>
      <c r="G567" s="9">
        <f t="shared" si="161"/>
        <v>15</v>
      </c>
      <c r="H567" s="58">
        <v>42944</v>
      </c>
      <c r="I567" s="15" t="s">
        <v>5</v>
      </c>
      <c r="J567" s="8"/>
      <c r="K567" s="10"/>
      <c r="L567" s="10"/>
      <c r="M567" s="10"/>
      <c r="N567" s="28"/>
      <c r="O567" s="9">
        <f t="shared" si="163"/>
        <v>0</v>
      </c>
      <c r="P567" s="58"/>
    </row>
    <row r="568" spans="1:17" x14ac:dyDescent="0.15">
      <c r="A568" s="38" t="s">
        <v>183</v>
      </c>
      <c r="B568" s="11"/>
      <c r="C568" s="12">
        <v>1</v>
      </c>
      <c r="D568" s="12"/>
      <c r="E568" s="12"/>
      <c r="F568" s="31"/>
      <c r="G568" s="7">
        <f t="shared" si="161"/>
        <v>1</v>
      </c>
      <c r="H568" s="58">
        <v>42944</v>
      </c>
      <c r="I568" s="15" t="s">
        <v>6</v>
      </c>
      <c r="J568" s="8"/>
      <c r="K568" s="10"/>
      <c r="L568" s="10"/>
      <c r="M568" s="10"/>
      <c r="N568" s="28"/>
      <c r="O568" s="9">
        <f t="shared" si="163"/>
        <v>0</v>
      </c>
      <c r="P568" s="58"/>
    </row>
    <row r="569" spans="1:17" x14ac:dyDescent="0.15">
      <c r="A569" s="38" t="s">
        <v>17</v>
      </c>
      <c r="B569" s="8"/>
      <c r="C569" s="10"/>
      <c r="D569" s="10">
        <v>1</v>
      </c>
      <c r="E569" s="10"/>
      <c r="F569" s="30"/>
      <c r="G569" s="7">
        <f t="shared" si="161"/>
        <v>1</v>
      </c>
      <c r="H569" s="58">
        <v>42945</v>
      </c>
      <c r="I569" s="15" t="s">
        <v>84</v>
      </c>
      <c r="J569" s="11"/>
      <c r="K569" s="12"/>
      <c r="L569" s="12"/>
      <c r="M569" s="12"/>
      <c r="N569" s="31"/>
      <c r="O569" s="7">
        <f t="shared" si="163"/>
        <v>0</v>
      </c>
      <c r="P569" s="58"/>
    </row>
    <row r="570" spans="1:17" x14ac:dyDescent="0.15">
      <c r="A570" s="38" t="s">
        <v>85</v>
      </c>
      <c r="B570" s="11"/>
      <c r="C570" s="100"/>
      <c r="D570" s="100"/>
      <c r="E570" s="100"/>
      <c r="F570" s="101">
        <v>10</v>
      </c>
      <c r="G570" s="102">
        <f t="shared" si="161"/>
        <v>10</v>
      </c>
      <c r="H570" s="58">
        <v>42949</v>
      </c>
      <c r="I570" s="15" t="s">
        <v>85</v>
      </c>
      <c r="J570" s="8"/>
      <c r="K570" s="10"/>
      <c r="L570" s="10"/>
      <c r="M570" s="10"/>
      <c r="N570" s="30"/>
      <c r="O570" s="7">
        <f t="shared" si="163"/>
        <v>0</v>
      </c>
      <c r="P570" s="58"/>
    </row>
    <row r="571" spans="1:17" x14ac:dyDescent="0.15">
      <c r="A571" s="38" t="s">
        <v>19</v>
      </c>
      <c r="B571" s="11"/>
      <c r="C571" s="100"/>
      <c r="D571" s="100">
        <v>1</v>
      </c>
      <c r="E571" s="100"/>
      <c r="F571" s="101"/>
      <c r="G571" s="102">
        <f t="shared" si="161"/>
        <v>1</v>
      </c>
      <c r="H571" s="58">
        <v>42950</v>
      </c>
      <c r="I571" s="16" t="s">
        <v>88</v>
      </c>
      <c r="J571" s="8"/>
      <c r="K571" s="10"/>
      <c r="L571" s="10"/>
      <c r="M571" s="10"/>
      <c r="N571" s="30"/>
      <c r="O571" s="7">
        <f t="shared" si="163"/>
        <v>0</v>
      </c>
      <c r="P571" s="58"/>
    </row>
    <row r="572" spans="1:17" ht="14.25" thickBot="1" x14ac:dyDescent="0.2">
      <c r="A572" s="38" t="s">
        <v>87</v>
      </c>
      <c r="B572" s="11">
        <v>10</v>
      </c>
      <c r="C572" s="100"/>
      <c r="D572" s="100">
        <v>5</v>
      </c>
      <c r="E572" s="100">
        <v>10</v>
      </c>
      <c r="F572" s="101">
        <v>5</v>
      </c>
      <c r="G572" s="102">
        <f t="shared" si="161"/>
        <v>30</v>
      </c>
      <c r="H572" s="58">
        <v>42952</v>
      </c>
      <c r="I572" s="15" t="s">
        <v>87</v>
      </c>
      <c r="J572" s="11"/>
      <c r="K572" s="100"/>
      <c r="L572" s="100"/>
      <c r="M572" s="100"/>
      <c r="N572" s="101"/>
      <c r="O572" s="102">
        <f t="shared" si="163"/>
        <v>0</v>
      </c>
      <c r="P572" s="68"/>
    </row>
    <row r="573" spans="1:17" ht="14.25" thickBot="1" x14ac:dyDescent="0.2">
      <c r="A573" s="72" t="s">
        <v>7</v>
      </c>
      <c r="B573" s="73">
        <f>SUM(B563:B572)</f>
        <v>24</v>
      </c>
      <c r="C573" s="74">
        <f t="shared" ref="C573:G573" si="164">SUM(C563:C572)</f>
        <v>28</v>
      </c>
      <c r="D573" s="74">
        <f t="shared" si="164"/>
        <v>26</v>
      </c>
      <c r="E573" s="74">
        <f t="shared" si="164"/>
        <v>33</v>
      </c>
      <c r="F573" s="105">
        <f t="shared" si="164"/>
        <v>29</v>
      </c>
      <c r="G573" s="105">
        <f t="shared" si="164"/>
        <v>140</v>
      </c>
      <c r="H573" s="56"/>
      <c r="I573" s="72" t="s">
        <v>7</v>
      </c>
      <c r="J573" s="73">
        <f>SUM(J563:J572)</f>
        <v>128</v>
      </c>
      <c r="K573" s="74">
        <f t="shared" ref="K573:O573" si="165">SUM(K563:K572)</f>
        <v>85</v>
      </c>
      <c r="L573" s="74">
        <f t="shared" si="165"/>
        <v>89</v>
      </c>
      <c r="M573" s="74">
        <f t="shared" si="165"/>
        <v>82</v>
      </c>
      <c r="N573" s="105">
        <f t="shared" si="165"/>
        <v>85</v>
      </c>
      <c r="O573" s="105">
        <f t="shared" si="165"/>
        <v>469</v>
      </c>
    </row>
    <row r="574" spans="1:17" x14ac:dyDescent="0.15">
      <c r="A574" s="16" t="s">
        <v>25</v>
      </c>
      <c r="B574" s="8"/>
      <c r="C574" s="10"/>
      <c r="D574" s="10">
        <v>1</v>
      </c>
      <c r="E574" s="10">
        <v>1</v>
      </c>
      <c r="F574" s="30">
        <v>1</v>
      </c>
      <c r="G574" s="7">
        <f t="shared" ref="G574:G599" si="166">SUM(B574:F574)</f>
        <v>3</v>
      </c>
      <c r="H574" s="58">
        <v>42936</v>
      </c>
      <c r="I574" s="16" t="s">
        <v>491</v>
      </c>
      <c r="J574" s="17"/>
      <c r="K574" s="22"/>
      <c r="L574" s="22">
        <v>5</v>
      </c>
      <c r="M574" s="22">
        <v>10</v>
      </c>
      <c r="N574" s="29">
        <v>5</v>
      </c>
      <c r="O574" s="18">
        <f t="shared" ref="O574:O599" si="167">SUM(J574:N574)</f>
        <v>20</v>
      </c>
      <c r="P574" s="58">
        <v>42936</v>
      </c>
    </row>
    <row r="575" spans="1:17" x14ac:dyDescent="0.15">
      <c r="A575" s="14" t="s">
        <v>489</v>
      </c>
      <c r="B575" s="8"/>
      <c r="C575" s="10"/>
      <c r="D575" s="10"/>
      <c r="E575" s="10">
        <v>1</v>
      </c>
      <c r="F575" s="30"/>
      <c r="G575" s="7">
        <f t="shared" si="166"/>
        <v>1</v>
      </c>
      <c r="H575" s="58">
        <v>42936</v>
      </c>
      <c r="I575" s="16" t="s">
        <v>24</v>
      </c>
      <c r="J575" s="8"/>
      <c r="K575" s="10">
        <v>10</v>
      </c>
      <c r="L575" s="10">
        <v>5</v>
      </c>
      <c r="M575" s="10"/>
      <c r="N575" s="28"/>
      <c r="O575" s="9">
        <f t="shared" si="167"/>
        <v>15</v>
      </c>
      <c r="P575" s="58">
        <v>42944</v>
      </c>
    </row>
    <row r="576" spans="1:17" x14ac:dyDescent="0.15">
      <c r="A576" s="16" t="s">
        <v>490</v>
      </c>
      <c r="B576" s="8">
        <v>1</v>
      </c>
      <c r="C576" s="10"/>
      <c r="D576" s="10"/>
      <c r="E576" s="10">
        <v>1</v>
      </c>
      <c r="F576" s="30"/>
      <c r="G576" s="7">
        <f t="shared" si="166"/>
        <v>2</v>
      </c>
      <c r="H576" s="58">
        <v>42936</v>
      </c>
      <c r="I576" s="16" t="s">
        <v>24</v>
      </c>
      <c r="J576" s="8"/>
      <c r="K576" s="10"/>
      <c r="L576" s="10"/>
      <c r="M576" s="10"/>
      <c r="N576" s="30">
        <v>10</v>
      </c>
      <c r="O576" s="7">
        <f t="shared" si="167"/>
        <v>10</v>
      </c>
      <c r="P576" s="58">
        <v>42949</v>
      </c>
      <c r="Q576" s="56"/>
    </row>
    <row r="577" spans="1:16" x14ac:dyDescent="0.15">
      <c r="A577" s="16" t="s">
        <v>215</v>
      </c>
      <c r="B577" s="8"/>
      <c r="C577" s="10"/>
      <c r="D577" s="10"/>
      <c r="E577" s="10">
        <v>2</v>
      </c>
      <c r="F577" s="30"/>
      <c r="G577" s="7">
        <f t="shared" si="166"/>
        <v>2</v>
      </c>
      <c r="H577" s="58">
        <v>42936</v>
      </c>
      <c r="I577" s="16" t="s">
        <v>24</v>
      </c>
      <c r="J577" s="8">
        <v>10</v>
      </c>
      <c r="K577" s="10"/>
      <c r="L577" s="10">
        <v>5</v>
      </c>
      <c r="M577" s="10">
        <v>10</v>
      </c>
      <c r="N577" s="30">
        <v>5</v>
      </c>
      <c r="O577" s="7">
        <f t="shared" si="167"/>
        <v>30</v>
      </c>
      <c r="P577" s="58">
        <v>42952</v>
      </c>
    </row>
    <row r="578" spans="1:16" x14ac:dyDescent="0.15">
      <c r="A578" s="16" t="s">
        <v>110</v>
      </c>
      <c r="B578" s="8"/>
      <c r="C578" s="10">
        <v>5</v>
      </c>
      <c r="D578" s="10"/>
      <c r="E578" s="10"/>
      <c r="F578" s="30"/>
      <c r="G578" s="7">
        <f t="shared" si="166"/>
        <v>5</v>
      </c>
      <c r="H578" s="58">
        <v>42940</v>
      </c>
      <c r="I578" s="16"/>
      <c r="J578" s="8"/>
      <c r="K578" s="10"/>
      <c r="L578" s="10"/>
      <c r="M578" s="10"/>
      <c r="N578" s="30"/>
      <c r="O578" s="7">
        <f t="shared" si="167"/>
        <v>0</v>
      </c>
      <c r="P578" s="58"/>
    </row>
    <row r="579" spans="1:16" x14ac:dyDescent="0.15">
      <c r="A579" s="16" t="s">
        <v>25</v>
      </c>
      <c r="B579" s="8">
        <v>1</v>
      </c>
      <c r="C579" s="10"/>
      <c r="D579" s="10"/>
      <c r="E579" s="10">
        <v>1</v>
      </c>
      <c r="F579" s="30">
        <v>1</v>
      </c>
      <c r="G579" s="7">
        <f t="shared" si="166"/>
        <v>3</v>
      </c>
      <c r="H579" s="58">
        <v>42938</v>
      </c>
      <c r="I579" s="16"/>
      <c r="J579" s="8"/>
      <c r="K579" s="10"/>
      <c r="L579" s="10"/>
      <c r="M579" s="10"/>
      <c r="N579" s="30"/>
      <c r="O579" s="7">
        <f t="shared" si="167"/>
        <v>0</v>
      </c>
      <c r="P579" s="58"/>
    </row>
    <row r="580" spans="1:16" x14ac:dyDescent="0.15">
      <c r="A580" s="16" t="s">
        <v>25</v>
      </c>
      <c r="B580" s="8"/>
      <c r="C580" s="10"/>
      <c r="D580" s="10"/>
      <c r="E580" s="10">
        <v>1</v>
      </c>
      <c r="F580" s="30"/>
      <c r="G580" s="7">
        <f t="shared" si="166"/>
        <v>1</v>
      </c>
      <c r="H580" s="58">
        <v>42941</v>
      </c>
      <c r="I580" s="16"/>
      <c r="J580" s="8"/>
      <c r="K580" s="10"/>
      <c r="L580" s="10"/>
      <c r="M580" s="10"/>
      <c r="N580" s="30"/>
      <c r="O580" s="7">
        <f t="shared" si="167"/>
        <v>0</v>
      </c>
    </row>
    <row r="581" spans="1:16" x14ac:dyDescent="0.15">
      <c r="A581" s="16" t="s">
        <v>182</v>
      </c>
      <c r="B581" s="8"/>
      <c r="C581" s="10"/>
      <c r="D581" s="10"/>
      <c r="E581" s="10"/>
      <c r="F581" s="30">
        <v>1</v>
      </c>
      <c r="G581" s="7">
        <f t="shared" si="166"/>
        <v>1</v>
      </c>
      <c r="H581" s="58">
        <v>42943</v>
      </c>
      <c r="I581" s="16"/>
      <c r="J581" s="8"/>
      <c r="K581" s="10"/>
      <c r="L581" s="10"/>
      <c r="M581" s="10"/>
      <c r="N581" s="30"/>
      <c r="O581" s="7">
        <f t="shared" si="167"/>
        <v>0</v>
      </c>
    </row>
    <row r="582" spans="1:16" x14ac:dyDescent="0.15">
      <c r="A582" s="16" t="s">
        <v>215</v>
      </c>
      <c r="B582" s="8"/>
      <c r="C582" s="10"/>
      <c r="D582" s="10">
        <v>3</v>
      </c>
      <c r="E582" s="10"/>
      <c r="F582" s="30"/>
      <c r="G582" s="7">
        <f t="shared" si="166"/>
        <v>3</v>
      </c>
      <c r="H582" s="58">
        <v>42942</v>
      </c>
      <c r="I582" s="39"/>
      <c r="J582" s="8"/>
      <c r="K582" s="10"/>
      <c r="L582" s="10"/>
      <c r="M582" s="10"/>
      <c r="N582" s="30"/>
      <c r="O582" s="7">
        <f t="shared" si="167"/>
        <v>0</v>
      </c>
    </row>
    <row r="583" spans="1:16" x14ac:dyDescent="0.15">
      <c r="A583" s="14" t="s">
        <v>22</v>
      </c>
      <c r="B583" s="11"/>
      <c r="C583" s="12">
        <v>10</v>
      </c>
      <c r="D583" s="12"/>
      <c r="E583" s="12"/>
      <c r="F583" s="31"/>
      <c r="G583" s="7">
        <f t="shared" si="166"/>
        <v>10</v>
      </c>
      <c r="H583" s="58">
        <v>42950</v>
      </c>
      <c r="I583" s="16"/>
      <c r="J583" s="11"/>
      <c r="K583" s="12"/>
      <c r="L583" s="12"/>
      <c r="M583" s="12"/>
      <c r="N583" s="31"/>
      <c r="O583" s="7">
        <f t="shared" si="167"/>
        <v>0</v>
      </c>
    </row>
    <row r="584" spans="1:16" x14ac:dyDescent="0.15">
      <c r="A584" s="16" t="s">
        <v>215</v>
      </c>
      <c r="B584" s="8"/>
      <c r="C584" s="10"/>
      <c r="D584" s="10">
        <v>1</v>
      </c>
      <c r="E584" s="10"/>
      <c r="F584" s="30"/>
      <c r="G584" s="7">
        <f t="shared" si="166"/>
        <v>1</v>
      </c>
      <c r="H584" s="58">
        <v>42947</v>
      </c>
      <c r="I584" s="16"/>
      <c r="J584" s="8"/>
      <c r="K584" s="10"/>
      <c r="L584" s="10"/>
      <c r="M584" s="10"/>
      <c r="N584" s="30"/>
      <c r="O584" s="7">
        <f t="shared" si="167"/>
        <v>0</v>
      </c>
    </row>
    <row r="585" spans="1:16" x14ac:dyDescent="0.15">
      <c r="A585" s="16" t="s">
        <v>215</v>
      </c>
      <c r="B585" s="8"/>
      <c r="C585" s="10"/>
      <c r="D585" s="10">
        <v>2</v>
      </c>
      <c r="E585" s="10"/>
      <c r="F585" s="30"/>
      <c r="G585" s="7">
        <f t="shared" si="166"/>
        <v>2</v>
      </c>
      <c r="H585" s="58">
        <v>42948</v>
      </c>
      <c r="I585" s="14"/>
      <c r="J585" s="8"/>
      <c r="K585" s="10"/>
      <c r="L585" s="10"/>
      <c r="M585" s="10"/>
      <c r="N585" s="30"/>
      <c r="O585" s="7">
        <f t="shared" si="167"/>
        <v>0</v>
      </c>
    </row>
    <row r="586" spans="1:16" x14ac:dyDescent="0.15">
      <c r="A586" s="14" t="s">
        <v>22</v>
      </c>
      <c r="B586" s="8"/>
      <c r="C586" s="10"/>
      <c r="D586" s="10"/>
      <c r="E586" s="10"/>
      <c r="F586" s="30">
        <v>10</v>
      </c>
      <c r="G586" s="7">
        <f t="shared" si="166"/>
        <v>10</v>
      </c>
      <c r="H586" s="58">
        <v>42954</v>
      </c>
      <c r="I586" s="16"/>
      <c r="J586" s="8"/>
      <c r="K586" s="10"/>
      <c r="L586" s="10"/>
      <c r="M586" s="10"/>
      <c r="N586" s="30"/>
      <c r="O586" s="7">
        <f t="shared" si="167"/>
        <v>0</v>
      </c>
    </row>
    <row r="587" spans="1:16" x14ac:dyDescent="0.15">
      <c r="A587" s="16" t="s">
        <v>25</v>
      </c>
      <c r="B587" s="8"/>
      <c r="C587" s="10"/>
      <c r="D587" s="10">
        <v>1</v>
      </c>
      <c r="E587" s="10"/>
      <c r="F587" s="30">
        <v>2</v>
      </c>
      <c r="G587" s="7">
        <f t="shared" si="166"/>
        <v>3</v>
      </c>
      <c r="H587" s="58">
        <v>42949</v>
      </c>
      <c r="I587" s="64"/>
      <c r="J587" s="8"/>
      <c r="K587" s="10"/>
      <c r="L587" s="10"/>
      <c r="M587" s="10"/>
      <c r="N587" s="30"/>
      <c r="O587" s="7">
        <f t="shared" si="167"/>
        <v>0</v>
      </c>
    </row>
    <row r="588" spans="1:16" x14ac:dyDescent="0.15">
      <c r="A588" s="50" t="s">
        <v>117</v>
      </c>
      <c r="B588" s="8"/>
      <c r="C588" s="10"/>
      <c r="D588" s="10"/>
      <c r="E588" s="10">
        <v>1</v>
      </c>
      <c r="F588" s="30"/>
      <c r="G588" s="7">
        <f t="shared" si="166"/>
        <v>1</v>
      </c>
      <c r="H588" s="58">
        <v>42951</v>
      </c>
      <c r="I588" s="16"/>
      <c r="J588" s="8"/>
      <c r="K588" s="10"/>
      <c r="L588" s="10"/>
      <c r="M588" s="10"/>
      <c r="N588" s="30"/>
      <c r="O588" s="7">
        <f t="shared" si="167"/>
        <v>0</v>
      </c>
    </row>
    <row r="589" spans="1:16" x14ac:dyDescent="0.15">
      <c r="A589" s="16" t="s">
        <v>110</v>
      </c>
      <c r="B589" s="8"/>
      <c r="C589" s="10"/>
      <c r="D589" s="10">
        <v>3</v>
      </c>
      <c r="E589" s="10"/>
      <c r="F589" s="30"/>
      <c r="G589" s="7">
        <f t="shared" si="166"/>
        <v>3</v>
      </c>
      <c r="H589" s="58">
        <v>42964</v>
      </c>
      <c r="I589" s="16"/>
      <c r="J589" s="8"/>
      <c r="K589" s="10"/>
      <c r="L589" s="10"/>
      <c r="M589" s="10"/>
      <c r="N589" s="30"/>
      <c r="O589" s="7">
        <f t="shared" si="167"/>
        <v>0</v>
      </c>
    </row>
    <row r="590" spans="1:16" x14ac:dyDescent="0.15">
      <c r="A590" s="14" t="s">
        <v>22</v>
      </c>
      <c r="B590" s="8">
        <v>10</v>
      </c>
      <c r="C590" s="10"/>
      <c r="D590" s="10"/>
      <c r="E590" s="10">
        <v>10</v>
      </c>
      <c r="F590" s="30"/>
      <c r="G590" s="7">
        <f t="shared" si="166"/>
        <v>20</v>
      </c>
      <c r="H590" s="58">
        <v>42957</v>
      </c>
      <c r="I590" s="14"/>
      <c r="J590" s="8"/>
      <c r="K590" s="10"/>
      <c r="L590" s="10"/>
      <c r="M590" s="10"/>
      <c r="N590" s="30"/>
      <c r="O590" s="7">
        <f t="shared" si="167"/>
        <v>0</v>
      </c>
    </row>
    <row r="591" spans="1:16" x14ac:dyDescent="0.15">
      <c r="A591" s="16" t="s">
        <v>25</v>
      </c>
      <c r="B591" s="8"/>
      <c r="C591" s="10"/>
      <c r="D591" s="10">
        <v>2</v>
      </c>
      <c r="E591" s="10"/>
      <c r="F591" s="30"/>
      <c r="G591" s="7">
        <f t="shared" si="166"/>
        <v>2</v>
      </c>
      <c r="H591" s="58">
        <v>42954</v>
      </c>
      <c r="I591" s="16"/>
      <c r="J591" s="8"/>
      <c r="K591" s="10"/>
      <c r="L591" s="10"/>
      <c r="M591" s="10"/>
      <c r="N591" s="30"/>
      <c r="O591" s="7">
        <f t="shared" si="167"/>
        <v>0</v>
      </c>
      <c r="P591" s="56"/>
    </row>
    <row r="592" spans="1:16" x14ac:dyDescent="0.15">
      <c r="A592" s="16" t="s">
        <v>182</v>
      </c>
      <c r="B592" s="8"/>
      <c r="C592" s="10"/>
      <c r="D592" s="10"/>
      <c r="E592" s="10">
        <v>1</v>
      </c>
      <c r="F592" s="30"/>
      <c r="G592" s="7">
        <f t="shared" si="166"/>
        <v>1</v>
      </c>
      <c r="H592" s="58">
        <v>42956</v>
      </c>
      <c r="I592" s="16"/>
      <c r="J592" s="8"/>
      <c r="K592" s="10"/>
      <c r="L592" s="10"/>
      <c r="M592" s="10"/>
      <c r="N592" s="30"/>
      <c r="O592" s="7">
        <f t="shared" si="167"/>
        <v>0</v>
      </c>
      <c r="P592" s="56"/>
    </row>
    <row r="593" spans="1:16" x14ac:dyDescent="0.15">
      <c r="A593" s="16" t="s">
        <v>25</v>
      </c>
      <c r="B593" s="8"/>
      <c r="C593" s="10"/>
      <c r="D593" s="10"/>
      <c r="E593" s="10">
        <v>1</v>
      </c>
      <c r="F593" s="30"/>
      <c r="G593" s="7">
        <f t="shared" si="166"/>
        <v>1</v>
      </c>
      <c r="H593" s="58">
        <v>42957</v>
      </c>
      <c r="I593" s="16"/>
      <c r="J593" s="8"/>
      <c r="K593" s="10"/>
      <c r="L593" s="10"/>
      <c r="M593" s="10"/>
      <c r="N593" s="30"/>
      <c r="O593" s="9">
        <f t="shared" si="167"/>
        <v>0</v>
      </c>
      <c r="P593" s="36"/>
    </row>
    <row r="594" spans="1:16" x14ac:dyDescent="0.15">
      <c r="A594" s="38" t="s">
        <v>510</v>
      </c>
      <c r="B594" s="8"/>
      <c r="C594" s="10"/>
      <c r="D594" s="10"/>
      <c r="E594" s="10">
        <v>-1</v>
      </c>
      <c r="F594" s="30"/>
      <c r="G594" s="7">
        <f t="shared" si="166"/>
        <v>-1</v>
      </c>
      <c r="H594" s="58">
        <v>42956</v>
      </c>
      <c r="I594" s="16"/>
      <c r="J594" s="8"/>
      <c r="K594" s="10"/>
      <c r="L594" s="10"/>
      <c r="M594" s="10"/>
      <c r="N594" s="30"/>
      <c r="O594" s="9">
        <f t="shared" si="167"/>
        <v>0</v>
      </c>
      <c r="P594" s="36"/>
    </row>
    <row r="595" spans="1:16" x14ac:dyDescent="0.15">
      <c r="A595" s="16" t="s">
        <v>29</v>
      </c>
      <c r="B595" s="11"/>
      <c r="C595" s="12"/>
      <c r="D595" s="12"/>
      <c r="E595" s="12">
        <v>1</v>
      </c>
      <c r="F595" s="31"/>
      <c r="G595" s="7">
        <f t="shared" si="166"/>
        <v>1</v>
      </c>
      <c r="H595" s="58">
        <v>42956</v>
      </c>
      <c r="I595" s="50"/>
      <c r="J595" s="8"/>
      <c r="K595" s="10"/>
      <c r="L595" s="10"/>
      <c r="M595" s="10"/>
      <c r="N595" s="30"/>
      <c r="O595" s="9">
        <f t="shared" si="167"/>
        <v>0</v>
      </c>
      <c r="P595" s="36"/>
    </row>
    <row r="596" spans="1:16" x14ac:dyDescent="0.15">
      <c r="A596" s="16" t="s">
        <v>511</v>
      </c>
      <c r="B596" s="8"/>
      <c r="C596" s="10"/>
      <c r="D596" s="10">
        <v>-1</v>
      </c>
      <c r="E596" s="10"/>
      <c r="F596" s="30"/>
      <c r="G596" s="7">
        <f t="shared" si="166"/>
        <v>-1</v>
      </c>
      <c r="H596" s="58">
        <v>42957</v>
      </c>
      <c r="I596" s="16"/>
      <c r="J596" s="8"/>
      <c r="K596" s="10"/>
      <c r="L596" s="10"/>
      <c r="M596" s="10"/>
      <c r="N596" s="30"/>
      <c r="O596" s="9">
        <f t="shared" si="167"/>
        <v>0</v>
      </c>
      <c r="P596" s="36"/>
    </row>
    <row r="597" spans="1:16" x14ac:dyDescent="0.15">
      <c r="A597" s="16" t="s">
        <v>182</v>
      </c>
      <c r="B597" s="8"/>
      <c r="C597" s="10"/>
      <c r="D597" s="10"/>
      <c r="E597" s="10">
        <v>1</v>
      </c>
      <c r="F597" s="30"/>
      <c r="G597" s="7">
        <f t="shared" si="166"/>
        <v>1</v>
      </c>
      <c r="H597" s="58">
        <v>42964</v>
      </c>
      <c r="I597" s="16"/>
      <c r="J597" s="8"/>
      <c r="K597" s="10"/>
      <c r="L597" s="10"/>
      <c r="M597" s="10"/>
      <c r="N597" s="30"/>
      <c r="O597" s="9">
        <f t="shared" si="167"/>
        <v>0</v>
      </c>
      <c r="P597" s="36"/>
    </row>
    <row r="598" spans="1:16" x14ac:dyDescent="0.15">
      <c r="A598" s="14" t="s">
        <v>514</v>
      </c>
      <c r="B598" s="8"/>
      <c r="C598" s="10"/>
      <c r="D598" s="10"/>
      <c r="E598" s="10"/>
      <c r="F598" s="30">
        <v>1</v>
      </c>
      <c r="G598" s="7">
        <f t="shared" si="166"/>
        <v>1</v>
      </c>
      <c r="H598" s="58">
        <v>42963</v>
      </c>
      <c r="I598" s="16"/>
      <c r="J598" s="8"/>
      <c r="K598" s="10"/>
      <c r="L598" s="10"/>
      <c r="M598" s="10"/>
      <c r="N598" s="30"/>
      <c r="O598" s="9">
        <f t="shared" si="167"/>
        <v>0</v>
      </c>
      <c r="P598" s="36"/>
    </row>
    <row r="599" spans="1:16" ht="14.25" thickBot="1" x14ac:dyDescent="0.2">
      <c r="A599" s="20" t="s">
        <v>517</v>
      </c>
      <c r="B599" s="11"/>
      <c r="C599" s="12">
        <v>-1</v>
      </c>
      <c r="D599" s="12"/>
      <c r="E599" s="12"/>
      <c r="F599" s="31">
        <v>-2</v>
      </c>
      <c r="G599" s="7">
        <f t="shared" si="166"/>
        <v>-3</v>
      </c>
      <c r="H599" s="58">
        <v>42963</v>
      </c>
      <c r="I599" s="126"/>
      <c r="J599" s="60"/>
      <c r="K599" s="127"/>
      <c r="L599" s="127"/>
      <c r="M599" s="127"/>
      <c r="N599" s="128"/>
      <c r="O599" s="115">
        <f t="shared" si="167"/>
        <v>0</v>
      </c>
      <c r="P599" s="56"/>
    </row>
    <row r="600" spans="1:16" ht="14.25" thickBot="1" x14ac:dyDescent="0.2">
      <c r="A600" s="3" t="s">
        <v>11</v>
      </c>
      <c r="B600" s="23">
        <f>SUM(B574:B599)</f>
        <v>12</v>
      </c>
      <c r="C600" s="4">
        <f>SUM(C574:C599)</f>
        <v>14</v>
      </c>
      <c r="D600" s="4">
        <f>SUM(D574:D599)</f>
        <v>12</v>
      </c>
      <c r="E600" s="6">
        <f>SUM(E574:E599)</f>
        <v>21</v>
      </c>
      <c r="F600" s="32">
        <f>SUM(F574:F599)</f>
        <v>14</v>
      </c>
      <c r="G600" s="5">
        <f>SUM(B600:F600)</f>
        <v>73</v>
      </c>
      <c r="H600" s="58"/>
      <c r="I600" s="3" t="s">
        <v>11</v>
      </c>
      <c r="J600" s="23">
        <f>SUM(J574:J599)</f>
        <v>10</v>
      </c>
      <c r="K600" s="4">
        <f>SUM(K574:K599)</f>
        <v>10</v>
      </c>
      <c r="L600" s="4">
        <f>SUM(L574:L599)</f>
        <v>15</v>
      </c>
      <c r="M600" s="6">
        <f>SUM(M574:M599)</f>
        <v>20</v>
      </c>
      <c r="N600" s="32">
        <f>SUM(N574:N599)</f>
        <v>20</v>
      </c>
      <c r="O600" s="5">
        <f>SUM(J600:N600)</f>
        <v>75</v>
      </c>
    </row>
    <row r="601" spans="1:16" ht="14.25" thickBot="1" x14ac:dyDescent="0.2">
      <c r="A601" s="25" t="s">
        <v>12</v>
      </c>
      <c r="B601" s="63">
        <f>B573-B600</f>
        <v>12</v>
      </c>
      <c r="C601" s="26">
        <f t="shared" ref="C601:G601" si="168">C573-C600</f>
        <v>14</v>
      </c>
      <c r="D601" s="71">
        <f t="shared" si="168"/>
        <v>14</v>
      </c>
      <c r="E601" s="26">
        <f t="shared" si="168"/>
        <v>12</v>
      </c>
      <c r="F601" s="70">
        <f t="shared" si="168"/>
        <v>15</v>
      </c>
      <c r="G601" s="27">
        <f t="shared" si="168"/>
        <v>67</v>
      </c>
      <c r="H601" s="58"/>
      <c r="I601" s="25" t="s">
        <v>12</v>
      </c>
      <c r="J601" s="63">
        <f>J573-J600</f>
        <v>118</v>
      </c>
      <c r="K601" s="26">
        <f t="shared" ref="K601:O601" si="169">K573-K600</f>
        <v>75</v>
      </c>
      <c r="L601" s="71">
        <f t="shared" si="169"/>
        <v>74</v>
      </c>
      <c r="M601" s="26">
        <f t="shared" si="169"/>
        <v>62</v>
      </c>
      <c r="N601" s="70">
        <f t="shared" si="169"/>
        <v>65</v>
      </c>
      <c r="O601" s="27">
        <f t="shared" si="169"/>
        <v>394</v>
      </c>
    </row>
    <row r="602" spans="1:16" ht="21" x14ac:dyDescent="0.2">
      <c r="A602" s="83" t="s">
        <v>414</v>
      </c>
      <c r="B602" s="77"/>
      <c r="C602" s="77"/>
      <c r="D602" s="77"/>
      <c r="E602" s="77"/>
      <c r="F602" s="77"/>
      <c r="G602" s="77"/>
      <c r="H602" s="58"/>
      <c r="I602" s="83" t="s">
        <v>414</v>
      </c>
      <c r="J602" s="77"/>
      <c r="K602" s="77"/>
      <c r="L602" s="77"/>
      <c r="M602" s="77"/>
      <c r="N602" s="77"/>
      <c r="O602" s="77"/>
    </row>
    <row r="603" spans="1:16" ht="21.75" thickBot="1" x14ac:dyDescent="0.25">
      <c r="A603" s="83" t="s">
        <v>47</v>
      </c>
      <c r="B603" s="77"/>
      <c r="C603" s="77"/>
      <c r="D603" s="77"/>
      <c r="E603" s="84"/>
      <c r="F603" s="78" t="s">
        <v>53</v>
      </c>
      <c r="G603" s="77"/>
      <c r="H603" s="58"/>
      <c r="I603" s="83" t="s">
        <v>47</v>
      </c>
      <c r="J603" s="77"/>
      <c r="K603" s="77"/>
      <c r="L603" s="77"/>
      <c r="M603" s="84"/>
      <c r="N603" s="78" t="s">
        <v>54</v>
      </c>
      <c r="O603" s="77"/>
    </row>
    <row r="604" spans="1:16" ht="14.25" thickBot="1" x14ac:dyDescent="0.2">
      <c r="A604" s="13" t="s">
        <v>0</v>
      </c>
      <c r="B604" s="228" t="s">
        <v>49</v>
      </c>
      <c r="C604" s="229"/>
      <c r="D604" s="229"/>
      <c r="E604" s="229"/>
      <c r="F604" s="230"/>
      <c r="G604" s="231"/>
      <c r="H604" s="58"/>
      <c r="I604" s="13" t="s">
        <v>0</v>
      </c>
      <c r="J604" s="232" t="s">
        <v>49</v>
      </c>
      <c r="K604" s="233"/>
      <c r="L604" s="233"/>
      <c r="M604" s="233"/>
      <c r="N604" s="233"/>
      <c r="O604" s="234"/>
    </row>
    <row r="605" spans="1:16" ht="14.25" thickBot="1" x14ac:dyDescent="0.2">
      <c r="A605" s="3" t="s">
        <v>1</v>
      </c>
      <c r="B605" s="2" t="s">
        <v>42</v>
      </c>
      <c r="C605" s="21" t="s">
        <v>43</v>
      </c>
      <c r="D605" s="21" t="s">
        <v>44</v>
      </c>
      <c r="E605" s="24" t="s">
        <v>45</v>
      </c>
      <c r="F605" s="33" t="s">
        <v>46</v>
      </c>
      <c r="G605" s="34" t="s">
        <v>2</v>
      </c>
      <c r="H605" s="58"/>
      <c r="I605" s="3" t="s">
        <v>1</v>
      </c>
      <c r="J605" s="2" t="s">
        <v>42</v>
      </c>
      <c r="K605" s="21" t="s">
        <v>43</v>
      </c>
      <c r="L605" s="21" t="s">
        <v>44</v>
      </c>
      <c r="M605" s="24" t="s">
        <v>45</v>
      </c>
      <c r="N605" s="33" t="s">
        <v>46</v>
      </c>
      <c r="O605" s="3" t="s">
        <v>2</v>
      </c>
    </row>
    <row r="606" spans="1:16" ht="14.25" thickBot="1" x14ac:dyDescent="0.2">
      <c r="A606" s="116" t="s">
        <v>79</v>
      </c>
      <c r="B606" s="95">
        <f>B601</f>
        <v>12</v>
      </c>
      <c r="C606" s="97">
        <f t="shared" ref="C606:F606" si="170">C601</f>
        <v>14</v>
      </c>
      <c r="D606" s="55">
        <f t="shared" si="170"/>
        <v>14</v>
      </c>
      <c r="E606" s="98">
        <f t="shared" si="170"/>
        <v>12</v>
      </c>
      <c r="F606" s="98">
        <f t="shared" si="170"/>
        <v>15</v>
      </c>
      <c r="G606" s="52">
        <f t="shared" ref="G606:G615" si="171">SUM(B606:F606)</f>
        <v>67</v>
      </c>
      <c r="H606" s="58"/>
      <c r="I606" s="72" t="s">
        <v>79</v>
      </c>
      <c r="J606" s="73">
        <f>J601</f>
        <v>118</v>
      </c>
      <c r="K606" s="74">
        <f t="shared" ref="K606:N606" si="172">K601</f>
        <v>75</v>
      </c>
      <c r="L606" s="107">
        <f t="shared" si="172"/>
        <v>74</v>
      </c>
      <c r="M606" s="75">
        <f t="shared" si="172"/>
        <v>62</v>
      </c>
      <c r="N606" s="75">
        <f t="shared" si="172"/>
        <v>65</v>
      </c>
      <c r="O606" s="76">
        <f t="shared" ref="O606:O615" si="173">SUM(J606:N606)</f>
        <v>394</v>
      </c>
    </row>
    <row r="607" spans="1:16" x14ac:dyDescent="0.15">
      <c r="A607" s="38" t="s">
        <v>14</v>
      </c>
      <c r="B607" s="8"/>
      <c r="C607" s="10"/>
      <c r="D607" s="10"/>
      <c r="E607" s="10"/>
      <c r="F607" s="30">
        <v>10</v>
      </c>
      <c r="G607" s="7">
        <f t="shared" si="171"/>
        <v>10</v>
      </c>
      <c r="H607" s="58">
        <v>42972</v>
      </c>
      <c r="I607" s="38" t="s">
        <v>14</v>
      </c>
      <c r="J607" s="37"/>
      <c r="K607" s="35"/>
      <c r="L607" s="35"/>
      <c r="M607" s="35"/>
      <c r="N607" s="28"/>
      <c r="O607" s="7">
        <f t="shared" si="173"/>
        <v>0</v>
      </c>
      <c r="P607" s="58"/>
    </row>
    <row r="608" spans="1:16" x14ac:dyDescent="0.15">
      <c r="A608" s="38" t="s">
        <v>383</v>
      </c>
      <c r="B608" s="8"/>
      <c r="C608" s="10">
        <v>1</v>
      </c>
      <c r="D608" s="10">
        <v>2</v>
      </c>
      <c r="E608" s="10"/>
      <c r="F608" s="28"/>
      <c r="G608" s="9">
        <f t="shared" si="171"/>
        <v>3</v>
      </c>
      <c r="H608" s="58">
        <v>42973</v>
      </c>
      <c r="I608" s="15" t="s">
        <v>3</v>
      </c>
      <c r="J608" s="8"/>
      <c r="K608" s="10"/>
      <c r="L608" s="10"/>
      <c r="M608" s="10"/>
      <c r="N608" s="28"/>
      <c r="O608" s="9">
        <f t="shared" si="173"/>
        <v>0</v>
      </c>
      <c r="P608" s="36"/>
    </row>
    <row r="609" spans="1:16" x14ac:dyDescent="0.15">
      <c r="A609" s="38" t="s">
        <v>411</v>
      </c>
      <c r="B609" s="8"/>
      <c r="C609" s="10"/>
      <c r="D609" s="10">
        <v>1</v>
      </c>
      <c r="E609" s="10"/>
      <c r="F609" s="28">
        <v>1</v>
      </c>
      <c r="G609" s="9">
        <f t="shared" si="171"/>
        <v>2</v>
      </c>
      <c r="H609" s="58">
        <v>42973</v>
      </c>
      <c r="I609" s="15" t="s">
        <v>4</v>
      </c>
      <c r="J609" s="8"/>
      <c r="K609" s="10"/>
      <c r="L609" s="10"/>
      <c r="M609" s="10"/>
      <c r="N609" s="28"/>
      <c r="O609" s="9">
        <f t="shared" si="173"/>
        <v>0</v>
      </c>
      <c r="P609" s="58"/>
    </row>
    <row r="610" spans="1:16" x14ac:dyDescent="0.15">
      <c r="A610" s="38" t="s">
        <v>261</v>
      </c>
      <c r="B610" s="8"/>
      <c r="C610" s="10"/>
      <c r="D610" s="10">
        <v>2</v>
      </c>
      <c r="E610" s="10">
        <v>1</v>
      </c>
      <c r="F610" s="28"/>
      <c r="G610" s="9">
        <f t="shared" si="171"/>
        <v>3</v>
      </c>
      <c r="H610" s="58">
        <v>42977</v>
      </c>
      <c r="I610" s="15" t="s">
        <v>5</v>
      </c>
      <c r="J610" s="8"/>
      <c r="K610" s="10"/>
      <c r="L610" s="10"/>
      <c r="M610" s="10"/>
      <c r="N610" s="28"/>
      <c r="O610" s="9">
        <f t="shared" si="173"/>
        <v>0</v>
      </c>
      <c r="P610" s="58"/>
    </row>
    <row r="611" spans="1:16" x14ac:dyDescent="0.15">
      <c r="A611" s="38" t="s">
        <v>411</v>
      </c>
      <c r="B611" s="11"/>
      <c r="C611" s="12">
        <v>1</v>
      </c>
      <c r="D611" s="12"/>
      <c r="E611" s="12"/>
      <c r="F611" s="31"/>
      <c r="G611" s="7">
        <f t="shared" si="171"/>
        <v>1</v>
      </c>
      <c r="H611" s="58">
        <v>42983</v>
      </c>
      <c r="I611" s="15" t="s">
        <v>6</v>
      </c>
      <c r="J611" s="8"/>
      <c r="K611" s="10"/>
      <c r="L611" s="10"/>
      <c r="M611" s="10"/>
      <c r="N611" s="28"/>
      <c r="O611" s="9">
        <f t="shared" si="173"/>
        <v>0</v>
      </c>
      <c r="P611" s="58"/>
    </row>
    <row r="612" spans="1:16" x14ac:dyDescent="0.15">
      <c r="A612" s="38" t="s">
        <v>84</v>
      </c>
      <c r="B612" s="8"/>
      <c r="C612" s="10"/>
      <c r="D612" s="10">
        <v>10</v>
      </c>
      <c r="E612" s="10"/>
      <c r="F612" s="30">
        <v>5</v>
      </c>
      <c r="G612" s="7">
        <f t="shared" si="171"/>
        <v>15</v>
      </c>
      <c r="H612" s="58">
        <v>42994</v>
      </c>
      <c r="I612" s="15" t="s">
        <v>84</v>
      </c>
      <c r="J612" s="11"/>
      <c r="K612" s="12"/>
      <c r="L612" s="12"/>
      <c r="M612" s="12"/>
      <c r="N612" s="31"/>
      <c r="O612" s="7">
        <f t="shared" si="173"/>
        <v>0</v>
      </c>
      <c r="P612" s="58"/>
    </row>
    <row r="613" spans="1:16" x14ac:dyDescent="0.15">
      <c r="A613" s="38" t="s">
        <v>383</v>
      </c>
      <c r="B613" s="11">
        <v>2</v>
      </c>
      <c r="C613" s="100">
        <v>1</v>
      </c>
      <c r="D613" s="100">
        <v>1</v>
      </c>
      <c r="E613" s="100">
        <v>2</v>
      </c>
      <c r="F613" s="101">
        <v>1</v>
      </c>
      <c r="G613" s="102">
        <f t="shared" si="171"/>
        <v>7</v>
      </c>
      <c r="H613" s="58">
        <v>42994</v>
      </c>
      <c r="I613" s="15" t="s">
        <v>85</v>
      </c>
      <c r="J613" s="8"/>
      <c r="K613" s="10"/>
      <c r="L613" s="10"/>
      <c r="M613" s="10"/>
      <c r="N613" s="30"/>
      <c r="O613" s="7">
        <f t="shared" si="173"/>
        <v>0</v>
      </c>
      <c r="P613" s="58"/>
    </row>
    <row r="614" spans="1:16" x14ac:dyDescent="0.15">
      <c r="A614" s="38" t="s">
        <v>19</v>
      </c>
      <c r="B614" s="11">
        <v>1</v>
      </c>
      <c r="C614" s="100"/>
      <c r="D614" s="100">
        <v>1</v>
      </c>
      <c r="E614" s="100">
        <v>1</v>
      </c>
      <c r="F614" s="101">
        <v>2</v>
      </c>
      <c r="G614" s="102">
        <f t="shared" si="171"/>
        <v>5</v>
      </c>
      <c r="H614" s="58">
        <v>43003</v>
      </c>
      <c r="I614" s="16" t="s">
        <v>88</v>
      </c>
      <c r="J614" s="8"/>
      <c r="K614" s="10"/>
      <c r="L614" s="10"/>
      <c r="M614" s="10"/>
      <c r="N614" s="30"/>
      <c r="O614" s="7">
        <f t="shared" si="173"/>
        <v>0</v>
      </c>
      <c r="P614" s="58"/>
    </row>
    <row r="615" spans="1:16" ht="14.25" thickBot="1" x14ac:dyDescent="0.2">
      <c r="A615" s="38" t="s">
        <v>383</v>
      </c>
      <c r="B615" s="11"/>
      <c r="C615" s="100"/>
      <c r="D615" s="100"/>
      <c r="E615" s="100"/>
      <c r="F615" s="101">
        <v>1</v>
      </c>
      <c r="G615" s="102">
        <f t="shared" si="171"/>
        <v>1</v>
      </c>
      <c r="H615" s="58">
        <v>43004</v>
      </c>
      <c r="I615" s="15" t="s">
        <v>87</v>
      </c>
      <c r="J615" s="11"/>
      <c r="K615" s="100"/>
      <c r="L615" s="100"/>
      <c r="M615" s="100"/>
      <c r="N615" s="101"/>
      <c r="O615" s="102">
        <f t="shared" si="173"/>
        <v>0</v>
      </c>
      <c r="P615" s="68"/>
    </row>
    <row r="616" spans="1:16" ht="14.25" thickBot="1" x14ac:dyDescent="0.2">
      <c r="A616" s="72" t="s">
        <v>7</v>
      </c>
      <c r="B616" s="73">
        <f>SUM(B606:B615)</f>
        <v>15</v>
      </c>
      <c r="C616" s="74">
        <f t="shared" ref="C616:G616" si="174">SUM(C606:C615)</f>
        <v>17</v>
      </c>
      <c r="D616" s="74">
        <f t="shared" si="174"/>
        <v>31</v>
      </c>
      <c r="E616" s="74">
        <f t="shared" si="174"/>
        <v>16</v>
      </c>
      <c r="F616" s="105">
        <f t="shared" si="174"/>
        <v>35</v>
      </c>
      <c r="G616" s="105">
        <f t="shared" si="174"/>
        <v>114</v>
      </c>
      <c r="H616" s="56"/>
      <c r="I616" s="72" t="s">
        <v>7</v>
      </c>
      <c r="J616" s="73">
        <f>SUM(J606:J615)</f>
        <v>118</v>
      </c>
      <c r="K616" s="74">
        <f t="shared" ref="K616:O616" si="175">SUM(K606:K615)</f>
        <v>75</v>
      </c>
      <c r="L616" s="74">
        <f t="shared" si="175"/>
        <v>74</v>
      </c>
      <c r="M616" s="74">
        <f t="shared" si="175"/>
        <v>62</v>
      </c>
      <c r="N616" s="105">
        <f t="shared" si="175"/>
        <v>65</v>
      </c>
      <c r="O616" s="105">
        <f t="shared" si="175"/>
        <v>394</v>
      </c>
    </row>
    <row r="617" spans="1:16" x14ac:dyDescent="0.15">
      <c r="A617" s="14" t="s">
        <v>22</v>
      </c>
      <c r="B617" s="8"/>
      <c r="C617" s="10"/>
      <c r="D617" s="10"/>
      <c r="E617" s="10"/>
      <c r="F617" s="30">
        <v>10</v>
      </c>
      <c r="G617" s="7">
        <f t="shared" ref="G617:G642" si="176">SUM(B617:F617)</f>
        <v>10</v>
      </c>
      <c r="H617" s="58">
        <v>42971</v>
      </c>
      <c r="I617" s="16" t="s">
        <v>518</v>
      </c>
      <c r="J617" s="17"/>
      <c r="K617" s="22"/>
      <c r="L617" s="22"/>
      <c r="M617" s="22"/>
      <c r="N617" s="29">
        <v>10</v>
      </c>
      <c r="O617" s="18">
        <f t="shared" ref="O617:O642" si="177">SUM(J617:N617)</f>
        <v>10</v>
      </c>
      <c r="P617" s="58">
        <v>42972</v>
      </c>
    </row>
    <row r="618" spans="1:16" x14ac:dyDescent="0.15">
      <c r="A618" s="16" t="s">
        <v>25</v>
      </c>
      <c r="B618" s="8"/>
      <c r="C618" s="10"/>
      <c r="D618" s="10"/>
      <c r="E618" s="10"/>
      <c r="F618" s="30">
        <v>1</v>
      </c>
      <c r="G618" s="7">
        <f t="shared" si="176"/>
        <v>1</v>
      </c>
      <c r="H618" s="58">
        <v>42966</v>
      </c>
      <c r="I618" s="16" t="s">
        <v>24</v>
      </c>
      <c r="J618" s="8"/>
      <c r="K618" s="10"/>
      <c r="L618" s="10">
        <v>10</v>
      </c>
      <c r="M618" s="10"/>
      <c r="N618" s="28">
        <v>5</v>
      </c>
      <c r="O618" s="9">
        <f t="shared" si="177"/>
        <v>15</v>
      </c>
      <c r="P618" s="58">
        <v>42994</v>
      </c>
    </row>
    <row r="619" spans="1:16" x14ac:dyDescent="0.15">
      <c r="A619" s="14" t="s">
        <v>29</v>
      </c>
      <c r="B619" s="8"/>
      <c r="C619" s="10">
        <v>1</v>
      </c>
      <c r="D619" s="10"/>
      <c r="E619" s="10"/>
      <c r="F619" s="30"/>
      <c r="G619" s="7">
        <f t="shared" si="176"/>
        <v>1</v>
      </c>
      <c r="H619" s="58">
        <v>42966</v>
      </c>
      <c r="I619" s="16" t="s">
        <v>24</v>
      </c>
      <c r="J619" s="8">
        <v>5</v>
      </c>
      <c r="K619" s="10"/>
      <c r="L619" s="10"/>
      <c r="M619" s="10"/>
      <c r="N619" s="30"/>
      <c r="O619" s="7">
        <f t="shared" si="177"/>
        <v>5</v>
      </c>
      <c r="P619" s="58">
        <v>43040</v>
      </c>
    </row>
    <row r="620" spans="1:16" x14ac:dyDescent="0.15">
      <c r="A620" s="16" t="s">
        <v>25</v>
      </c>
      <c r="B620" s="8"/>
      <c r="C620" s="10"/>
      <c r="D620" s="10"/>
      <c r="E620" s="10"/>
      <c r="F620" s="30">
        <v>1</v>
      </c>
      <c r="G620" s="7">
        <f t="shared" si="176"/>
        <v>1</v>
      </c>
      <c r="H620" s="58">
        <v>42973</v>
      </c>
      <c r="I620" s="16"/>
      <c r="J620" s="8"/>
      <c r="K620" s="10"/>
      <c r="L620" s="10"/>
      <c r="M620" s="10"/>
      <c r="N620" s="30"/>
      <c r="O620" s="7">
        <f t="shared" si="177"/>
        <v>0</v>
      </c>
      <c r="P620" s="58"/>
    </row>
    <row r="621" spans="1:16" x14ac:dyDescent="0.15">
      <c r="A621" s="16" t="s">
        <v>519</v>
      </c>
      <c r="B621" s="8"/>
      <c r="C621" s="10"/>
      <c r="D621" s="10"/>
      <c r="E621" s="10"/>
      <c r="F621" s="30">
        <v>-1</v>
      </c>
      <c r="G621" s="7">
        <f t="shared" si="176"/>
        <v>-1</v>
      </c>
      <c r="H621" s="58">
        <v>42975</v>
      </c>
      <c r="I621" s="16"/>
      <c r="J621" s="8"/>
      <c r="K621" s="10"/>
      <c r="L621" s="10"/>
      <c r="M621" s="10"/>
      <c r="N621" s="30"/>
      <c r="O621" s="7">
        <f t="shared" si="177"/>
        <v>0</v>
      </c>
      <c r="P621" s="58"/>
    </row>
    <row r="622" spans="1:16" x14ac:dyDescent="0.15">
      <c r="A622" s="16" t="s">
        <v>520</v>
      </c>
      <c r="B622" s="8"/>
      <c r="C622" s="10">
        <v>1</v>
      </c>
      <c r="D622" s="10"/>
      <c r="E622" s="10"/>
      <c r="F622" s="30"/>
      <c r="G622" s="7">
        <f t="shared" si="176"/>
        <v>1</v>
      </c>
      <c r="H622" s="58">
        <v>42976</v>
      </c>
      <c r="I622" s="16"/>
      <c r="J622" s="8"/>
      <c r="K622" s="10"/>
      <c r="L622" s="10"/>
      <c r="M622" s="10"/>
      <c r="N622" s="30"/>
      <c r="O622" s="7">
        <f t="shared" si="177"/>
        <v>0</v>
      </c>
      <c r="P622" s="58"/>
    </row>
    <row r="623" spans="1:16" x14ac:dyDescent="0.15">
      <c r="A623" s="16" t="s">
        <v>521</v>
      </c>
      <c r="B623" s="8"/>
      <c r="C623" s="10"/>
      <c r="D623" s="10"/>
      <c r="E623" s="10"/>
      <c r="F623" s="30">
        <v>1</v>
      </c>
      <c r="G623" s="7">
        <f t="shared" si="176"/>
        <v>1</v>
      </c>
      <c r="H623" s="58">
        <v>42976</v>
      </c>
      <c r="I623" s="16"/>
      <c r="J623" s="8"/>
      <c r="K623" s="10"/>
      <c r="L623" s="10"/>
      <c r="M623" s="10"/>
      <c r="N623" s="30"/>
      <c r="O623" s="7">
        <f t="shared" si="177"/>
        <v>0</v>
      </c>
    </row>
    <row r="624" spans="1:16" x14ac:dyDescent="0.15">
      <c r="A624" s="16" t="s">
        <v>25</v>
      </c>
      <c r="B624" s="8"/>
      <c r="C624" s="10"/>
      <c r="D624" s="10">
        <v>1</v>
      </c>
      <c r="E624" s="10"/>
      <c r="F624" s="30"/>
      <c r="G624" s="7">
        <f t="shared" si="176"/>
        <v>1</v>
      </c>
      <c r="H624" s="58">
        <v>42978</v>
      </c>
      <c r="I624" s="16"/>
      <c r="J624" s="8"/>
      <c r="K624" s="10"/>
      <c r="L624" s="10"/>
      <c r="M624" s="10"/>
      <c r="N624" s="30"/>
      <c r="O624" s="7">
        <f t="shared" si="177"/>
        <v>0</v>
      </c>
    </row>
    <row r="625" spans="1:16" x14ac:dyDescent="0.15">
      <c r="A625" s="16" t="s">
        <v>530</v>
      </c>
      <c r="B625" s="8"/>
      <c r="C625" s="10"/>
      <c r="D625" s="10">
        <v>2</v>
      </c>
      <c r="E625" s="10"/>
      <c r="F625" s="30">
        <v>2</v>
      </c>
      <c r="G625" s="7">
        <f t="shared" si="176"/>
        <v>4</v>
      </c>
      <c r="H625" s="58">
        <v>42986</v>
      </c>
      <c r="I625" s="39"/>
      <c r="J625" s="8"/>
      <c r="K625" s="10"/>
      <c r="L625" s="10"/>
      <c r="M625" s="10"/>
      <c r="N625" s="30"/>
      <c r="O625" s="7">
        <f t="shared" si="177"/>
        <v>0</v>
      </c>
    </row>
    <row r="626" spans="1:16" x14ac:dyDescent="0.15">
      <c r="A626" s="14" t="s">
        <v>29</v>
      </c>
      <c r="B626" s="11">
        <v>1</v>
      </c>
      <c r="C626" s="12"/>
      <c r="D626" s="12"/>
      <c r="E626" s="12"/>
      <c r="F626" s="31"/>
      <c r="G626" s="7">
        <f t="shared" si="176"/>
        <v>1</v>
      </c>
      <c r="H626" s="58">
        <v>42983</v>
      </c>
      <c r="I626" s="16"/>
      <c r="J626" s="11"/>
      <c r="K626" s="12"/>
      <c r="L626" s="12"/>
      <c r="M626" s="12"/>
      <c r="N626" s="31"/>
      <c r="O626" s="7">
        <f t="shared" si="177"/>
        <v>0</v>
      </c>
    </row>
    <row r="627" spans="1:16" x14ac:dyDescent="0.15">
      <c r="A627" s="14" t="s">
        <v>22</v>
      </c>
      <c r="B627" s="8"/>
      <c r="C627" s="10"/>
      <c r="D627" s="10">
        <v>10</v>
      </c>
      <c r="E627" s="10"/>
      <c r="F627" s="30"/>
      <c r="G627" s="7">
        <f t="shared" si="176"/>
        <v>10</v>
      </c>
      <c r="H627" s="58">
        <v>42997</v>
      </c>
      <c r="I627" s="16"/>
      <c r="J627" s="8"/>
      <c r="K627" s="10"/>
      <c r="L627" s="10"/>
      <c r="M627" s="10"/>
      <c r="N627" s="30"/>
      <c r="O627" s="7">
        <f t="shared" si="177"/>
        <v>0</v>
      </c>
    </row>
    <row r="628" spans="1:16" x14ac:dyDescent="0.15">
      <c r="A628" s="16" t="s">
        <v>536</v>
      </c>
      <c r="B628" s="8"/>
      <c r="C628" s="10"/>
      <c r="D628" s="10"/>
      <c r="E628" s="10"/>
      <c r="F628" s="30">
        <v>1</v>
      </c>
      <c r="G628" s="7">
        <f t="shared" si="176"/>
        <v>1</v>
      </c>
      <c r="H628" s="58">
        <v>42990</v>
      </c>
      <c r="I628" s="14"/>
      <c r="J628" s="8"/>
      <c r="K628" s="10"/>
      <c r="L628" s="10"/>
      <c r="M628" s="10"/>
      <c r="N628" s="30"/>
      <c r="O628" s="7">
        <f t="shared" si="177"/>
        <v>0</v>
      </c>
    </row>
    <row r="629" spans="1:16" x14ac:dyDescent="0.15">
      <c r="A629" s="16" t="s">
        <v>25</v>
      </c>
      <c r="B629" s="8"/>
      <c r="C629" s="10"/>
      <c r="D629" s="10">
        <v>1</v>
      </c>
      <c r="E629" s="10"/>
      <c r="F629" s="30"/>
      <c r="G629" s="7">
        <f t="shared" si="176"/>
        <v>1</v>
      </c>
      <c r="H629" s="58">
        <v>42992</v>
      </c>
      <c r="I629" s="16"/>
      <c r="J629" s="8"/>
      <c r="K629" s="10"/>
      <c r="L629" s="10"/>
      <c r="M629" s="10"/>
      <c r="N629" s="30"/>
      <c r="O629" s="7">
        <f t="shared" si="177"/>
        <v>0</v>
      </c>
    </row>
    <row r="630" spans="1:16" x14ac:dyDescent="0.15">
      <c r="A630" s="16" t="s">
        <v>110</v>
      </c>
      <c r="B630" s="8"/>
      <c r="C630" s="10"/>
      <c r="D630" s="10">
        <v>2</v>
      </c>
      <c r="E630" s="10"/>
      <c r="F630" s="30">
        <v>2</v>
      </c>
      <c r="G630" s="7">
        <f t="shared" si="176"/>
        <v>4</v>
      </c>
      <c r="H630" s="58">
        <v>42997</v>
      </c>
      <c r="I630" s="64"/>
      <c r="J630" s="8"/>
      <c r="K630" s="10"/>
      <c r="L630" s="10"/>
      <c r="M630" s="10"/>
      <c r="N630" s="30"/>
      <c r="O630" s="7">
        <f t="shared" si="177"/>
        <v>0</v>
      </c>
    </row>
    <row r="631" spans="1:16" x14ac:dyDescent="0.15">
      <c r="A631" s="16" t="s">
        <v>110</v>
      </c>
      <c r="B631" s="8">
        <v>2</v>
      </c>
      <c r="C631" s="10"/>
      <c r="D631" s="10">
        <v>2</v>
      </c>
      <c r="E631" s="10">
        <v>2</v>
      </c>
      <c r="F631" s="30">
        <v>2</v>
      </c>
      <c r="G631" s="7">
        <f t="shared" si="176"/>
        <v>8</v>
      </c>
      <c r="H631" s="58">
        <v>43003</v>
      </c>
      <c r="I631" s="16"/>
      <c r="J631" s="8"/>
      <c r="K631" s="10"/>
      <c r="L631" s="10"/>
      <c r="M631" s="10"/>
      <c r="N631" s="30"/>
      <c r="O631" s="7">
        <f t="shared" si="177"/>
        <v>0</v>
      </c>
    </row>
    <row r="632" spans="1:16" x14ac:dyDescent="0.15">
      <c r="A632" s="16" t="s">
        <v>182</v>
      </c>
      <c r="B632" s="8"/>
      <c r="C632" s="10"/>
      <c r="D632" s="10"/>
      <c r="E632" s="10"/>
      <c r="F632" s="30">
        <v>1</v>
      </c>
      <c r="G632" s="7">
        <f t="shared" si="176"/>
        <v>1</v>
      </c>
      <c r="H632" s="58">
        <v>42998</v>
      </c>
      <c r="I632" s="16"/>
      <c r="J632" s="8"/>
      <c r="K632" s="10"/>
      <c r="L632" s="10"/>
      <c r="M632" s="10"/>
      <c r="N632" s="30"/>
      <c r="O632" s="7">
        <f t="shared" si="177"/>
        <v>0</v>
      </c>
    </row>
    <row r="633" spans="1:16" x14ac:dyDescent="0.15">
      <c r="A633" s="16" t="s">
        <v>110</v>
      </c>
      <c r="B633" s="8"/>
      <c r="C633" s="10"/>
      <c r="D633" s="10">
        <v>2</v>
      </c>
      <c r="E633" s="10"/>
      <c r="F633" s="30"/>
      <c r="G633" s="7">
        <f t="shared" si="176"/>
        <v>2</v>
      </c>
      <c r="H633" s="58">
        <v>43010</v>
      </c>
      <c r="I633" s="14"/>
      <c r="J633" s="8"/>
      <c r="K633" s="10"/>
      <c r="L633" s="10"/>
      <c r="M633" s="10"/>
      <c r="N633" s="30"/>
      <c r="O633" s="7">
        <f t="shared" si="177"/>
        <v>0</v>
      </c>
    </row>
    <row r="634" spans="1:16" x14ac:dyDescent="0.15">
      <c r="A634" s="16" t="s">
        <v>110</v>
      </c>
      <c r="B634" s="8"/>
      <c r="C634" s="10"/>
      <c r="D634" s="10"/>
      <c r="E634" s="10"/>
      <c r="F634" s="30">
        <v>2</v>
      </c>
      <c r="G634" s="7">
        <f t="shared" si="176"/>
        <v>2</v>
      </c>
      <c r="H634" s="58">
        <v>43031</v>
      </c>
      <c r="I634" s="16"/>
      <c r="J634" s="8"/>
      <c r="K634" s="10"/>
      <c r="L634" s="10"/>
      <c r="M634" s="10"/>
      <c r="N634" s="30"/>
      <c r="O634" s="7">
        <f t="shared" si="177"/>
        <v>0</v>
      </c>
      <c r="P634" s="56"/>
    </row>
    <row r="635" spans="1:16" x14ac:dyDescent="0.15">
      <c r="A635" s="16" t="s">
        <v>25</v>
      </c>
      <c r="B635" s="8"/>
      <c r="C635" s="10"/>
      <c r="D635" s="10"/>
      <c r="E635" s="10">
        <v>1</v>
      </c>
      <c r="F635" s="30"/>
      <c r="G635" s="7">
        <f t="shared" si="176"/>
        <v>1</v>
      </c>
      <c r="H635" s="58">
        <v>43027</v>
      </c>
      <c r="I635" s="16"/>
      <c r="J635" s="8"/>
      <c r="K635" s="10"/>
      <c r="L635" s="10"/>
      <c r="M635" s="10"/>
      <c r="N635" s="30"/>
      <c r="O635" s="7">
        <f t="shared" si="177"/>
        <v>0</v>
      </c>
      <c r="P635" s="56"/>
    </row>
    <row r="636" spans="1:16" x14ac:dyDescent="0.15">
      <c r="A636" s="16" t="s">
        <v>29</v>
      </c>
      <c r="B636" s="8">
        <v>1</v>
      </c>
      <c r="C636" s="10"/>
      <c r="D636" s="10"/>
      <c r="E636" s="10"/>
      <c r="F636" s="30"/>
      <c r="G636" s="7">
        <f t="shared" si="176"/>
        <v>1</v>
      </c>
      <c r="H636" s="58">
        <v>43028</v>
      </c>
      <c r="I636" s="16"/>
      <c r="J636" s="8"/>
      <c r="K636" s="10"/>
      <c r="L636" s="10"/>
      <c r="M636" s="10"/>
      <c r="N636" s="30"/>
      <c r="O636" s="9">
        <f t="shared" si="177"/>
        <v>0</v>
      </c>
      <c r="P636" s="36"/>
    </row>
    <row r="637" spans="1:16" x14ac:dyDescent="0.15">
      <c r="A637" s="38" t="s">
        <v>554</v>
      </c>
      <c r="B637" s="8">
        <v>-1</v>
      </c>
      <c r="C637" s="10">
        <v>-1</v>
      </c>
      <c r="D637" s="10"/>
      <c r="E637" s="10"/>
      <c r="F637" s="30">
        <v>-1</v>
      </c>
      <c r="G637" s="7">
        <f t="shared" si="176"/>
        <v>-3</v>
      </c>
      <c r="H637" s="58">
        <v>43029</v>
      </c>
      <c r="I637" s="16"/>
      <c r="J637" s="8"/>
      <c r="K637" s="10"/>
      <c r="L637" s="10"/>
      <c r="M637" s="10"/>
      <c r="N637" s="30"/>
      <c r="O637" s="9">
        <f t="shared" si="177"/>
        <v>0</v>
      </c>
      <c r="P637" s="36"/>
    </row>
    <row r="638" spans="1:16" x14ac:dyDescent="0.15">
      <c r="A638" s="16" t="s">
        <v>29</v>
      </c>
      <c r="B638" s="11"/>
      <c r="C638" s="12"/>
      <c r="D638" s="12"/>
      <c r="E638" s="12">
        <v>1</v>
      </c>
      <c r="F638" s="31"/>
      <c r="G638" s="7">
        <f t="shared" si="176"/>
        <v>1</v>
      </c>
      <c r="H638" s="58">
        <v>43029</v>
      </c>
      <c r="I638" s="50"/>
      <c r="J638" s="8"/>
      <c r="K638" s="10"/>
      <c r="L638" s="10"/>
      <c r="M638" s="10"/>
      <c r="N638" s="30"/>
      <c r="O638" s="9">
        <f t="shared" si="177"/>
        <v>0</v>
      </c>
      <c r="P638" s="36"/>
    </row>
    <row r="639" spans="1:16" x14ac:dyDescent="0.15">
      <c r="A639" s="16" t="s">
        <v>555</v>
      </c>
      <c r="B639" s="8">
        <v>3</v>
      </c>
      <c r="C639" s="10"/>
      <c r="D639" s="10"/>
      <c r="E639" s="10"/>
      <c r="F639" s="30"/>
      <c r="G639" s="7">
        <f t="shared" si="176"/>
        <v>3</v>
      </c>
      <c r="H639" s="58">
        <v>43040</v>
      </c>
      <c r="I639" s="16"/>
      <c r="J639" s="8"/>
      <c r="K639" s="10"/>
      <c r="L639" s="10"/>
      <c r="M639" s="10"/>
      <c r="N639" s="30"/>
      <c r="O639" s="9">
        <f t="shared" si="177"/>
        <v>0</v>
      </c>
      <c r="P639" s="36"/>
    </row>
    <row r="640" spans="1:16" x14ac:dyDescent="0.15">
      <c r="A640" s="16" t="s">
        <v>561</v>
      </c>
      <c r="B640" s="8"/>
      <c r="C640" s="10"/>
      <c r="D640" s="10">
        <v>-1</v>
      </c>
      <c r="E640" s="10"/>
      <c r="F640" s="30"/>
      <c r="G640" s="7">
        <f t="shared" si="176"/>
        <v>-1</v>
      </c>
      <c r="H640" s="58">
        <v>43040</v>
      </c>
      <c r="I640" s="16"/>
      <c r="J640" s="8"/>
      <c r="K640" s="10"/>
      <c r="L640" s="10"/>
      <c r="M640" s="10"/>
      <c r="N640" s="30"/>
      <c r="O640" s="9">
        <f t="shared" si="177"/>
        <v>0</v>
      </c>
      <c r="P640" s="36"/>
    </row>
    <row r="641" spans="1:16" x14ac:dyDescent="0.15">
      <c r="A641" s="14" t="s">
        <v>564</v>
      </c>
      <c r="B641" s="8">
        <v>-5</v>
      </c>
      <c r="C641" s="10"/>
      <c r="D641" s="10"/>
      <c r="E641" s="10"/>
      <c r="F641" s="30"/>
      <c r="G641" s="7">
        <f t="shared" si="176"/>
        <v>-5</v>
      </c>
      <c r="H641" s="58">
        <v>43040</v>
      </c>
      <c r="I641" s="16"/>
      <c r="J641" s="8"/>
      <c r="K641" s="10"/>
      <c r="L641" s="10"/>
      <c r="M641" s="10"/>
      <c r="N641" s="30"/>
      <c r="O641" s="9">
        <f t="shared" si="177"/>
        <v>0</v>
      </c>
      <c r="P641" s="36"/>
    </row>
    <row r="642" spans="1:16" ht="14.25" thickBot="1" x14ac:dyDescent="0.2">
      <c r="A642" s="20" t="s">
        <v>567</v>
      </c>
      <c r="B642" s="11"/>
      <c r="C642" s="12"/>
      <c r="D642" s="12"/>
      <c r="E642" s="12"/>
      <c r="F642" s="31">
        <v>1</v>
      </c>
      <c r="G642" s="7">
        <f t="shared" si="176"/>
        <v>1</v>
      </c>
      <c r="H642" s="58">
        <v>43043</v>
      </c>
      <c r="I642" s="126"/>
      <c r="J642" s="60"/>
      <c r="K642" s="127"/>
      <c r="L642" s="127"/>
      <c r="M642" s="127"/>
      <c r="N642" s="128"/>
      <c r="O642" s="115">
        <f t="shared" si="177"/>
        <v>0</v>
      </c>
      <c r="P642" s="56"/>
    </row>
    <row r="643" spans="1:16" ht="14.25" thickBot="1" x14ac:dyDescent="0.2">
      <c r="A643" s="3" t="s">
        <v>11</v>
      </c>
      <c r="B643" s="23">
        <f>SUM(B617:B642)</f>
        <v>1</v>
      </c>
      <c r="C643" s="4">
        <f>SUM(C617:C642)</f>
        <v>1</v>
      </c>
      <c r="D643" s="4">
        <f>SUM(D617:D642)</f>
        <v>19</v>
      </c>
      <c r="E643" s="6">
        <f>SUM(E617:E642)</f>
        <v>4</v>
      </c>
      <c r="F643" s="32">
        <f>SUM(F617:F642)</f>
        <v>22</v>
      </c>
      <c r="G643" s="5">
        <f>SUM(B643:F643)</f>
        <v>47</v>
      </c>
      <c r="H643" s="58"/>
      <c r="I643" s="3" t="s">
        <v>11</v>
      </c>
      <c r="J643" s="23">
        <f>SUM(J617:J642)</f>
        <v>5</v>
      </c>
      <c r="K643" s="4">
        <f>SUM(K617:K642)</f>
        <v>0</v>
      </c>
      <c r="L643" s="4">
        <f>SUM(L617:L642)</f>
        <v>10</v>
      </c>
      <c r="M643" s="6">
        <f>SUM(M617:M642)</f>
        <v>0</v>
      </c>
      <c r="N643" s="32">
        <f>SUM(N617:N642)</f>
        <v>15</v>
      </c>
      <c r="O643" s="5">
        <f>SUM(J643:N643)</f>
        <v>30</v>
      </c>
    </row>
    <row r="644" spans="1:16" ht="14.25" thickBot="1" x14ac:dyDescent="0.2">
      <c r="A644" s="25" t="s">
        <v>12</v>
      </c>
      <c r="B644" s="63">
        <f>B616-B643</f>
        <v>14</v>
      </c>
      <c r="C644" s="26">
        <f t="shared" ref="C644:G644" si="178">C616-C643</f>
        <v>16</v>
      </c>
      <c r="D644" s="71">
        <f t="shared" si="178"/>
        <v>12</v>
      </c>
      <c r="E644" s="26">
        <f t="shared" si="178"/>
        <v>12</v>
      </c>
      <c r="F644" s="70">
        <f t="shared" si="178"/>
        <v>13</v>
      </c>
      <c r="G644" s="27">
        <f t="shared" si="178"/>
        <v>67</v>
      </c>
      <c r="H644" s="58"/>
      <c r="I644" s="25" t="s">
        <v>12</v>
      </c>
      <c r="J644" s="63">
        <f>J616-J643</f>
        <v>113</v>
      </c>
      <c r="K644" s="26">
        <f t="shared" ref="K644:O644" si="179">K616-K643</f>
        <v>75</v>
      </c>
      <c r="L644" s="71">
        <f t="shared" si="179"/>
        <v>64</v>
      </c>
      <c r="M644" s="26">
        <f t="shared" si="179"/>
        <v>62</v>
      </c>
      <c r="N644" s="70">
        <f t="shared" si="179"/>
        <v>50</v>
      </c>
      <c r="O644" s="27">
        <f t="shared" si="179"/>
        <v>364</v>
      </c>
    </row>
    <row r="645" spans="1:16" ht="21" x14ac:dyDescent="0.2">
      <c r="A645" s="83" t="s">
        <v>414</v>
      </c>
      <c r="B645" s="77"/>
      <c r="C645" s="77"/>
      <c r="D645" s="77"/>
      <c r="E645" s="77"/>
      <c r="F645" s="77"/>
      <c r="G645" s="77"/>
      <c r="H645" s="58"/>
      <c r="I645" s="83" t="s">
        <v>414</v>
      </c>
      <c r="J645" s="77"/>
      <c r="K645" s="77"/>
      <c r="L645" s="77"/>
      <c r="M645" s="77"/>
      <c r="N645" s="77"/>
      <c r="O645" s="77"/>
    </row>
    <row r="646" spans="1:16" ht="21.75" thickBot="1" x14ac:dyDescent="0.25">
      <c r="A646" s="83" t="s">
        <v>47</v>
      </c>
      <c r="B646" s="77"/>
      <c r="C646" s="77"/>
      <c r="D646" s="77"/>
      <c r="E646" s="84"/>
      <c r="F646" s="78" t="s">
        <v>53</v>
      </c>
      <c r="G646" s="77"/>
      <c r="H646" s="58"/>
      <c r="I646" s="83" t="s">
        <v>47</v>
      </c>
      <c r="J646" s="77"/>
      <c r="K646" s="77"/>
      <c r="L646" s="77"/>
      <c r="M646" s="84"/>
      <c r="N646" s="78" t="s">
        <v>54</v>
      </c>
      <c r="O646" s="77"/>
    </row>
    <row r="647" spans="1:16" ht="14.25" thickBot="1" x14ac:dyDescent="0.2">
      <c r="A647" s="13" t="s">
        <v>0</v>
      </c>
      <c r="B647" s="228" t="s">
        <v>49</v>
      </c>
      <c r="C647" s="229"/>
      <c r="D647" s="229"/>
      <c r="E647" s="229"/>
      <c r="F647" s="230"/>
      <c r="G647" s="231"/>
      <c r="H647" s="58"/>
      <c r="I647" s="13" t="s">
        <v>0</v>
      </c>
      <c r="J647" s="232" t="s">
        <v>49</v>
      </c>
      <c r="K647" s="233"/>
      <c r="L647" s="233"/>
      <c r="M647" s="233"/>
      <c r="N647" s="233"/>
      <c r="O647" s="234"/>
    </row>
    <row r="648" spans="1:16" ht="14.25" thickBot="1" x14ac:dyDescent="0.2">
      <c r="A648" s="3" t="s">
        <v>1</v>
      </c>
      <c r="B648" s="2" t="s">
        <v>42</v>
      </c>
      <c r="C648" s="21" t="s">
        <v>43</v>
      </c>
      <c r="D648" s="21" t="s">
        <v>44</v>
      </c>
      <c r="E648" s="24" t="s">
        <v>45</v>
      </c>
      <c r="F648" s="33" t="s">
        <v>46</v>
      </c>
      <c r="G648" s="34" t="s">
        <v>2</v>
      </c>
      <c r="H648" s="58"/>
      <c r="I648" s="3" t="s">
        <v>1</v>
      </c>
      <c r="J648" s="2" t="s">
        <v>42</v>
      </c>
      <c r="K648" s="21" t="s">
        <v>43</v>
      </c>
      <c r="L648" s="21" t="s">
        <v>44</v>
      </c>
      <c r="M648" s="24" t="s">
        <v>45</v>
      </c>
      <c r="N648" s="33" t="s">
        <v>46</v>
      </c>
      <c r="O648" s="3" t="s">
        <v>2</v>
      </c>
    </row>
    <row r="649" spans="1:16" ht="14.25" thickBot="1" x14ac:dyDescent="0.2">
      <c r="A649" s="116" t="s">
        <v>79</v>
      </c>
      <c r="B649" s="95">
        <f>B644</f>
        <v>14</v>
      </c>
      <c r="C649" s="97">
        <f t="shared" ref="C649:F649" si="180">C644</f>
        <v>16</v>
      </c>
      <c r="D649" s="55">
        <f t="shared" si="180"/>
        <v>12</v>
      </c>
      <c r="E649" s="98">
        <f t="shared" si="180"/>
        <v>12</v>
      </c>
      <c r="F649" s="98">
        <f t="shared" si="180"/>
        <v>13</v>
      </c>
      <c r="G649" s="52">
        <f t="shared" ref="G649:G658" si="181">SUM(B649:F649)</f>
        <v>67</v>
      </c>
      <c r="H649" s="58"/>
      <c r="I649" s="72" t="s">
        <v>79</v>
      </c>
      <c r="J649" s="73">
        <f>J644</f>
        <v>113</v>
      </c>
      <c r="K649" s="74">
        <f t="shared" ref="K649:N649" si="182">K644</f>
        <v>75</v>
      </c>
      <c r="L649" s="107">
        <f t="shared" si="182"/>
        <v>64</v>
      </c>
      <c r="M649" s="75">
        <f t="shared" si="182"/>
        <v>62</v>
      </c>
      <c r="N649" s="75">
        <f t="shared" si="182"/>
        <v>50</v>
      </c>
      <c r="O649" s="76">
        <f t="shared" ref="O649:O658" si="183">SUM(J649:N649)</f>
        <v>364</v>
      </c>
    </row>
    <row r="650" spans="1:16" x14ac:dyDescent="0.15">
      <c r="A650" s="38" t="s">
        <v>14</v>
      </c>
      <c r="B650" s="8"/>
      <c r="C650" s="10"/>
      <c r="D650" s="10"/>
      <c r="E650" s="10"/>
      <c r="F650" s="30">
        <v>10</v>
      </c>
      <c r="G650" s="7">
        <f t="shared" si="181"/>
        <v>10</v>
      </c>
      <c r="H650" s="58">
        <v>43068</v>
      </c>
      <c r="I650" s="38" t="s">
        <v>14</v>
      </c>
      <c r="J650" s="37"/>
      <c r="K650" s="35"/>
      <c r="L650" s="35"/>
      <c r="M650" s="35"/>
      <c r="N650" s="28"/>
      <c r="O650" s="7">
        <f t="shared" si="183"/>
        <v>0</v>
      </c>
      <c r="P650" s="58"/>
    </row>
    <row r="651" spans="1:16" x14ac:dyDescent="0.15">
      <c r="A651" s="38" t="s">
        <v>3</v>
      </c>
      <c r="B651" s="8"/>
      <c r="C651" s="10"/>
      <c r="D651" s="10"/>
      <c r="E651" s="10">
        <v>1</v>
      </c>
      <c r="F651" s="28"/>
      <c r="G651" s="9">
        <f t="shared" si="181"/>
        <v>1</v>
      </c>
      <c r="H651" s="58">
        <v>43067</v>
      </c>
      <c r="I651" s="15" t="s">
        <v>3</v>
      </c>
      <c r="J651" s="8"/>
      <c r="K651" s="10"/>
      <c r="L651" s="10"/>
      <c r="M651" s="10"/>
      <c r="N651" s="28"/>
      <c r="O651" s="9">
        <f t="shared" si="183"/>
        <v>0</v>
      </c>
      <c r="P651" s="36"/>
    </row>
    <row r="652" spans="1:16" x14ac:dyDescent="0.15">
      <c r="A652" s="38" t="s">
        <v>19</v>
      </c>
      <c r="B652" s="8"/>
      <c r="C652" s="10"/>
      <c r="D652" s="10">
        <v>1</v>
      </c>
      <c r="E652" s="10"/>
      <c r="F652" s="28"/>
      <c r="G652" s="9">
        <f t="shared" si="181"/>
        <v>1</v>
      </c>
      <c r="H652" s="58">
        <v>43070</v>
      </c>
      <c r="I652" s="15" t="s">
        <v>4</v>
      </c>
      <c r="J652" s="8"/>
      <c r="K652" s="10"/>
      <c r="L652" s="10"/>
      <c r="M652" s="10"/>
      <c r="N652" s="28"/>
      <c r="O652" s="9">
        <f t="shared" si="183"/>
        <v>0</v>
      </c>
      <c r="P652" s="58"/>
    </row>
    <row r="653" spans="1:16" x14ac:dyDescent="0.15">
      <c r="A653" s="38" t="s">
        <v>5</v>
      </c>
      <c r="B653" s="8"/>
      <c r="C653" s="10"/>
      <c r="D653" s="10"/>
      <c r="E653" s="10"/>
      <c r="F653" s="28">
        <v>5</v>
      </c>
      <c r="G653" s="9">
        <f t="shared" si="181"/>
        <v>5</v>
      </c>
      <c r="H653" s="58">
        <v>43075</v>
      </c>
      <c r="I653" s="15" t="s">
        <v>5</v>
      </c>
      <c r="J653" s="8"/>
      <c r="K653" s="10"/>
      <c r="L653" s="10"/>
      <c r="M653" s="10"/>
      <c r="N653" s="28"/>
      <c r="O653" s="9">
        <f t="shared" si="183"/>
        <v>0</v>
      </c>
      <c r="P653" s="58"/>
    </row>
    <row r="654" spans="1:16" x14ac:dyDescent="0.15">
      <c r="A654" s="38" t="s">
        <v>175</v>
      </c>
      <c r="B654" s="11"/>
      <c r="C654" s="12"/>
      <c r="D654" s="12">
        <v>1</v>
      </c>
      <c r="E654" s="12"/>
      <c r="F654" s="31">
        <v>1</v>
      </c>
      <c r="G654" s="7">
        <f t="shared" si="181"/>
        <v>2</v>
      </c>
      <c r="H654" s="58">
        <v>43096</v>
      </c>
      <c r="I654" s="15" t="s">
        <v>6</v>
      </c>
      <c r="J654" s="8"/>
      <c r="K654" s="10"/>
      <c r="L654" s="10"/>
      <c r="M654" s="10"/>
      <c r="N654" s="28"/>
      <c r="O654" s="9">
        <f t="shared" si="183"/>
        <v>0</v>
      </c>
      <c r="P654" s="58"/>
    </row>
    <row r="655" spans="1:16" x14ac:dyDescent="0.15">
      <c r="A655" s="38" t="s">
        <v>84</v>
      </c>
      <c r="B655" s="8"/>
      <c r="C655" s="10"/>
      <c r="D655" s="10"/>
      <c r="E655" s="10">
        <v>15</v>
      </c>
      <c r="F655" s="30"/>
      <c r="G655" s="7">
        <f t="shared" si="181"/>
        <v>15</v>
      </c>
      <c r="H655" s="58">
        <v>43109</v>
      </c>
      <c r="I655" s="15" t="s">
        <v>84</v>
      </c>
      <c r="J655" s="11"/>
      <c r="K655" s="12"/>
      <c r="L655" s="12"/>
      <c r="M655" s="12"/>
      <c r="N655" s="31"/>
      <c r="O655" s="7">
        <f t="shared" si="183"/>
        <v>0</v>
      </c>
      <c r="P655" s="58"/>
    </row>
    <row r="656" spans="1:16" x14ac:dyDescent="0.15">
      <c r="A656" s="38" t="s">
        <v>175</v>
      </c>
      <c r="B656" s="11">
        <v>1</v>
      </c>
      <c r="C656" s="100"/>
      <c r="D656" s="100"/>
      <c r="E656" s="100"/>
      <c r="F656" s="101"/>
      <c r="G656" s="102">
        <f t="shared" si="181"/>
        <v>1</v>
      </c>
      <c r="H656" s="58">
        <v>43111</v>
      </c>
      <c r="I656" s="15" t="s">
        <v>85</v>
      </c>
      <c r="J656" s="8"/>
      <c r="K656" s="10"/>
      <c r="L656" s="10"/>
      <c r="M656" s="10"/>
      <c r="N656" s="30"/>
      <c r="O656" s="7">
        <f t="shared" si="183"/>
        <v>0</v>
      </c>
      <c r="P656" s="58"/>
    </row>
    <row r="657" spans="1:16" x14ac:dyDescent="0.15">
      <c r="A657" s="38" t="s">
        <v>86</v>
      </c>
      <c r="B657" s="11"/>
      <c r="C657" s="100"/>
      <c r="D657" s="100"/>
      <c r="E657" s="100"/>
      <c r="F657" s="101">
        <v>10</v>
      </c>
      <c r="G657" s="102">
        <f t="shared" si="181"/>
        <v>10</v>
      </c>
      <c r="H657" s="58">
        <v>43118</v>
      </c>
      <c r="I657" s="16" t="s">
        <v>88</v>
      </c>
      <c r="J657" s="8"/>
      <c r="K657" s="10"/>
      <c r="L657" s="10"/>
      <c r="M657" s="10"/>
      <c r="N657" s="30"/>
      <c r="O657" s="7">
        <f t="shared" si="183"/>
        <v>0</v>
      </c>
      <c r="P657" s="58"/>
    </row>
    <row r="658" spans="1:16" ht="14.25" thickBot="1" x14ac:dyDescent="0.2">
      <c r="A658" s="38" t="s">
        <v>19</v>
      </c>
      <c r="B658" s="11"/>
      <c r="C658" s="100"/>
      <c r="D658" s="100"/>
      <c r="E658" s="100"/>
      <c r="F658" s="101">
        <v>1</v>
      </c>
      <c r="G658" s="102">
        <f t="shared" si="181"/>
        <v>1</v>
      </c>
      <c r="H658" s="58">
        <v>43118</v>
      </c>
      <c r="I658" s="15" t="s">
        <v>87</v>
      </c>
      <c r="J658" s="11"/>
      <c r="K658" s="100"/>
      <c r="L658" s="100"/>
      <c r="M658" s="100"/>
      <c r="N658" s="101"/>
      <c r="O658" s="102">
        <f t="shared" si="183"/>
        <v>0</v>
      </c>
      <c r="P658" s="68"/>
    </row>
    <row r="659" spans="1:16" ht="14.25" thickBot="1" x14ac:dyDescent="0.2">
      <c r="A659" s="72" t="s">
        <v>7</v>
      </c>
      <c r="B659" s="73">
        <f>SUM(B649:B658)</f>
        <v>15</v>
      </c>
      <c r="C659" s="74">
        <f t="shared" ref="C659:G659" si="184">SUM(C649:C658)</f>
        <v>16</v>
      </c>
      <c r="D659" s="74">
        <f t="shared" si="184"/>
        <v>14</v>
      </c>
      <c r="E659" s="74">
        <f t="shared" si="184"/>
        <v>28</v>
      </c>
      <c r="F659" s="105">
        <f t="shared" si="184"/>
        <v>40</v>
      </c>
      <c r="G659" s="105">
        <f t="shared" si="184"/>
        <v>113</v>
      </c>
      <c r="H659" s="56"/>
      <c r="I659" s="72" t="s">
        <v>7</v>
      </c>
      <c r="J659" s="73">
        <f>SUM(J649:J658)</f>
        <v>113</v>
      </c>
      <c r="K659" s="74">
        <f t="shared" ref="K659:O659" si="185">SUM(K649:K658)</f>
        <v>75</v>
      </c>
      <c r="L659" s="74">
        <f t="shared" si="185"/>
        <v>64</v>
      </c>
      <c r="M659" s="74">
        <f t="shared" si="185"/>
        <v>62</v>
      </c>
      <c r="N659" s="105">
        <f t="shared" si="185"/>
        <v>50</v>
      </c>
      <c r="O659" s="105">
        <f t="shared" si="185"/>
        <v>364</v>
      </c>
    </row>
    <row r="660" spans="1:16" x14ac:dyDescent="0.15">
      <c r="A660" s="16" t="s">
        <v>29</v>
      </c>
      <c r="B660" s="8"/>
      <c r="C660" s="10"/>
      <c r="D660" s="10"/>
      <c r="E660" s="10"/>
      <c r="F660" s="30">
        <v>1</v>
      </c>
      <c r="G660" s="7">
        <f t="shared" ref="G660:G685" si="186">SUM(B660:F660)</f>
        <v>1</v>
      </c>
      <c r="H660" s="58">
        <v>43048</v>
      </c>
      <c r="I660" s="16" t="s">
        <v>578</v>
      </c>
      <c r="J660" s="17"/>
      <c r="K660" s="22"/>
      <c r="L660" s="22"/>
      <c r="M660" s="22"/>
      <c r="N660" s="29">
        <v>10</v>
      </c>
      <c r="O660" s="18">
        <f t="shared" ref="O660:O685" si="187">SUM(J660:N660)</f>
        <v>10</v>
      </c>
      <c r="P660" s="58">
        <v>43068</v>
      </c>
    </row>
    <row r="661" spans="1:16" x14ac:dyDescent="0.15">
      <c r="A661" s="16" t="s">
        <v>29</v>
      </c>
      <c r="B661" s="8"/>
      <c r="C661" s="10"/>
      <c r="D661" s="10"/>
      <c r="E661" s="10"/>
      <c r="F661" s="30">
        <v>1</v>
      </c>
      <c r="G661" s="7">
        <f t="shared" si="186"/>
        <v>1</v>
      </c>
      <c r="H661" s="58">
        <v>43057</v>
      </c>
      <c r="I661" s="16" t="s">
        <v>24</v>
      </c>
      <c r="J661" s="8"/>
      <c r="K661" s="10"/>
      <c r="L661" s="10"/>
      <c r="M661" s="10"/>
      <c r="N661" s="28">
        <v>5</v>
      </c>
      <c r="O661" s="9">
        <f t="shared" si="187"/>
        <v>5</v>
      </c>
      <c r="P661" s="58">
        <v>43075</v>
      </c>
    </row>
    <row r="662" spans="1:16" x14ac:dyDescent="0.15">
      <c r="A662" s="16" t="s">
        <v>29</v>
      </c>
      <c r="B662" s="8"/>
      <c r="C662" s="10"/>
      <c r="D662" s="10">
        <v>1</v>
      </c>
      <c r="E662" s="10"/>
      <c r="F662" s="30"/>
      <c r="G662" s="7">
        <f t="shared" ref="G662" si="188">SUM(B662:F662)</f>
        <v>1</v>
      </c>
      <c r="H662" s="58">
        <v>43059</v>
      </c>
      <c r="I662" s="16" t="s">
        <v>24</v>
      </c>
      <c r="J662" s="8"/>
      <c r="K662" s="10"/>
      <c r="L662" s="10"/>
      <c r="M662" s="10">
        <v>15</v>
      </c>
      <c r="N662" s="30"/>
      <c r="O662" s="7">
        <f t="shared" si="187"/>
        <v>15</v>
      </c>
      <c r="P662" s="58">
        <v>43109</v>
      </c>
    </row>
    <row r="663" spans="1:16" x14ac:dyDescent="0.15">
      <c r="A663" s="14" t="s">
        <v>25</v>
      </c>
      <c r="B663" s="8"/>
      <c r="C663" s="10">
        <v>1</v>
      </c>
      <c r="D663" s="10"/>
      <c r="E663" s="10"/>
      <c r="F663" s="30"/>
      <c r="G663" s="7">
        <f t="shared" si="186"/>
        <v>1</v>
      </c>
      <c r="H663" s="58">
        <v>43064</v>
      </c>
      <c r="I663" s="16" t="s">
        <v>24</v>
      </c>
      <c r="J663" s="8"/>
      <c r="K663" s="10"/>
      <c r="L663" s="10"/>
      <c r="M663" s="10"/>
      <c r="N663" s="30">
        <v>10</v>
      </c>
      <c r="O663" s="7">
        <f t="shared" si="187"/>
        <v>10</v>
      </c>
      <c r="P663" s="58">
        <v>43118</v>
      </c>
    </row>
    <row r="664" spans="1:16" x14ac:dyDescent="0.15">
      <c r="A664" s="16" t="s">
        <v>182</v>
      </c>
      <c r="B664" s="8">
        <v>1</v>
      </c>
      <c r="C664" s="10"/>
      <c r="D664" s="10"/>
      <c r="E664" s="10"/>
      <c r="F664" s="30"/>
      <c r="G664" s="7">
        <f t="shared" si="186"/>
        <v>1</v>
      </c>
      <c r="H664" s="58">
        <v>43066</v>
      </c>
      <c r="I664" s="16"/>
      <c r="J664" s="8"/>
      <c r="K664" s="10"/>
      <c r="L664" s="10"/>
      <c r="M664" s="10"/>
      <c r="N664" s="30"/>
      <c r="O664" s="7">
        <f t="shared" si="187"/>
        <v>0</v>
      </c>
      <c r="P664" s="58"/>
    </row>
    <row r="665" spans="1:16" x14ac:dyDescent="0.15">
      <c r="A665" s="16" t="s">
        <v>575</v>
      </c>
      <c r="B665" s="8"/>
      <c r="C665" s="10"/>
      <c r="D665" s="10"/>
      <c r="E665" s="10"/>
      <c r="F665" s="30">
        <v>10</v>
      </c>
      <c r="G665" s="7">
        <f t="shared" si="186"/>
        <v>10</v>
      </c>
      <c r="H665" s="58">
        <v>43070</v>
      </c>
      <c r="I665" s="16"/>
      <c r="J665" s="8"/>
      <c r="K665" s="10"/>
      <c r="L665" s="10"/>
      <c r="M665" s="10"/>
      <c r="N665" s="30"/>
      <c r="O665" s="7">
        <f t="shared" si="187"/>
        <v>0</v>
      </c>
      <c r="P665" s="58"/>
    </row>
    <row r="666" spans="1:16" x14ac:dyDescent="0.15">
      <c r="A666" s="14" t="s">
        <v>25</v>
      </c>
      <c r="B666" s="8"/>
      <c r="C666" s="10"/>
      <c r="D666" s="10">
        <v>1</v>
      </c>
      <c r="E666" s="10"/>
      <c r="F666" s="30"/>
      <c r="G666" s="7">
        <f t="shared" si="186"/>
        <v>1</v>
      </c>
      <c r="H666" s="58">
        <v>43067</v>
      </c>
      <c r="I666" s="16"/>
      <c r="J666" s="8"/>
      <c r="K666" s="10"/>
      <c r="L666" s="10"/>
      <c r="M666" s="10"/>
      <c r="N666" s="30"/>
      <c r="O666" s="7">
        <f t="shared" si="187"/>
        <v>0</v>
      </c>
    </row>
    <row r="667" spans="1:16" x14ac:dyDescent="0.15">
      <c r="A667" s="16" t="s">
        <v>580</v>
      </c>
      <c r="B667" s="8"/>
      <c r="C667" s="10"/>
      <c r="D667" s="10"/>
      <c r="E667" s="10"/>
      <c r="F667" s="30">
        <v>2</v>
      </c>
      <c r="G667" s="7">
        <f t="shared" si="186"/>
        <v>2</v>
      </c>
      <c r="H667" s="58">
        <v>43073</v>
      </c>
      <c r="I667" s="16"/>
      <c r="J667" s="8"/>
      <c r="K667" s="10"/>
      <c r="L667" s="10"/>
      <c r="M667" s="10"/>
      <c r="N667" s="30"/>
      <c r="O667" s="7">
        <f t="shared" si="187"/>
        <v>0</v>
      </c>
    </row>
    <row r="668" spans="1:16" x14ac:dyDescent="0.15">
      <c r="A668" s="16" t="s">
        <v>110</v>
      </c>
      <c r="B668" s="8"/>
      <c r="C668" s="10"/>
      <c r="D668" s="10"/>
      <c r="E668" s="10">
        <v>2</v>
      </c>
      <c r="F668" s="30"/>
      <c r="G668" s="7">
        <f t="shared" si="186"/>
        <v>2</v>
      </c>
      <c r="H668" s="58">
        <v>43080</v>
      </c>
      <c r="I668" s="39"/>
      <c r="J668" s="8"/>
      <c r="K668" s="10"/>
      <c r="L668" s="10"/>
      <c r="M668" s="10"/>
      <c r="N668" s="30"/>
      <c r="O668" s="7">
        <f t="shared" si="187"/>
        <v>0</v>
      </c>
    </row>
    <row r="669" spans="1:16" x14ac:dyDescent="0.15">
      <c r="A669" s="14" t="s">
        <v>25</v>
      </c>
      <c r="B669" s="11"/>
      <c r="C669" s="12"/>
      <c r="D669" s="12"/>
      <c r="E669" s="12"/>
      <c r="F669" s="31">
        <v>1</v>
      </c>
      <c r="G669" s="7">
        <f t="shared" si="186"/>
        <v>1</v>
      </c>
      <c r="H669" s="58">
        <v>43073</v>
      </c>
      <c r="I669" s="16"/>
      <c r="J669" s="11"/>
      <c r="K669" s="12"/>
      <c r="L669" s="12"/>
      <c r="M669" s="12"/>
      <c r="N669" s="31"/>
      <c r="O669" s="7">
        <f t="shared" si="187"/>
        <v>0</v>
      </c>
    </row>
    <row r="670" spans="1:16" x14ac:dyDescent="0.15">
      <c r="A670" s="14" t="s">
        <v>25</v>
      </c>
      <c r="B670" s="8"/>
      <c r="C670" s="10"/>
      <c r="D670" s="10">
        <v>1</v>
      </c>
      <c r="E670" s="10"/>
      <c r="F670" s="30"/>
      <c r="G670" s="7">
        <f t="shared" si="186"/>
        <v>1</v>
      </c>
      <c r="H670" s="58">
        <v>43075</v>
      </c>
      <c r="I670" s="16"/>
      <c r="J670" s="8"/>
      <c r="K670" s="10"/>
      <c r="L670" s="10"/>
      <c r="M670" s="10"/>
      <c r="N670" s="30"/>
      <c r="O670" s="7">
        <f t="shared" si="187"/>
        <v>0</v>
      </c>
    </row>
    <row r="671" spans="1:16" x14ac:dyDescent="0.15">
      <c r="A671" s="16" t="s">
        <v>110</v>
      </c>
      <c r="B671" s="8"/>
      <c r="C671" s="10"/>
      <c r="D671" s="10"/>
      <c r="E671" s="10">
        <v>2</v>
      </c>
      <c r="F671" s="30"/>
      <c r="G671" s="7">
        <f t="shared" si="186"/>
        <v>2</v>
      </c>
      <c r="H671" s="58">
        <v>43082</v>
      </c>
      <c r="I671" s="14"/>
      <c r="J671" s="8"/>
      <c r="K671" s="10"/>
      <c r="L671" s="10"/>
      <c r="M671" s="10"/>
      <c r="N671" s="30"/>
      <c r="O671" s="7">
        <f t="shared" si="187"/>
        <v>0</v>
      </c>
    </row>
    <row r="672" spans="1:16" x14ac:dyDescent="0.15">
      <c r="A672" s="16" t="s">
        <v>110</v>
      </c>
      <c r="B672" s="8"/>
      <c r="C672" s="10">
        <v>2</v>
      </c>
      <c r="D672" s="10"/>
      <c r="E672" s="10"/>
      <c r="F672" s="30"/>
      <c r="G672" s="7">
        <f t="shared" si="186"/>
        <v>2</v>
      </c>
      <c r="H672" s="58">
        <v>43089</v>
      </c>
      <c r="I672" s="16"/>
      <c r="J672" s="8"/>
      <c r="K672" s="10"/>
      <c r="L672" s="10"/>
      <c r="M672" s="10"/>
      <c r="N672" s="30"/>
      <c r="O672" s="7">
        <f t="shared" si="187"/>
        <v>0</v>
      </c>
    </row>
    <row r="673" spans="1:16" x14ac:dyDescent="0.15">
      <c r="A673" s="14" t="s">
        <v>25</v>
      </c>
      <c r="B673" s="8"/>
      <c r="C673" s="10">
        <v>1</v>
      </c>
      <c r="D673" s="10"/>
      <c r="E673" s="10">
        <v>1</v>
      </c>
      <c r="F673" s="30"/>
      <c r="G673" s="7">
        <f t="shared" si="186"/>
        <v>2</v>
      </c>
      <c r="H673" s="58">
        <v>43088</v>
      </c>
      <c r="I673" s="64"/>
      <c r="J673" s="8"/>
      <c r="K673" s="10"/>
      <c r="L673" s="10"/>
      <c r="M673" s="10"/>
      <c r="N673" s="30"/>
      <c r="O673" s="7">
        <f t="shared" si="187"/>
        <v>0</v>
      </c>
    </row>
    <row r="674" spans="1:16" x14ac:dyDescent="0.15">
      <c r="A674" s="16" t="s">
        <v>594</v>
      </c>
      <c r="B674" s="8"/>
      <c r="C674" s="10"/>
      <c r="D674" s="10"/>
      <c r="E674" s="10"/>
      <c r="F674" s="30">
        <v>1</v>
      </c>
      <c r="G674" s="7">
        <f t="shared" si="186"/>
        <v>1</v>
      </c>
      <c r="H674" s="58">
        <v>43088</v>
      </c>
      <c r="I674" s="16"/>
      <c r="J674" s="8"/>
      <c r="K674" s="10"/>
      <c r="L674" s="10"/>
      <c r="M674" s="10"/>
      <c r="N674" s="30"/>
      <c r="O674" s="7">
        <f t="shared" si="187"/>
        <v>0</v>
      </c>
    </row>
    <row r="675" spans="1:16" x14ac:dyDescent="0.15">
      <c r="A675" s="14" t="s">
        <v>25</v>
      </c>
      <c r="B675" s="8"/>
      <c r="C675" s="10"/>
      <c r="D675" s="10"/>
      <c r="E675" s="10">
        <v>1</v>
      </c>
      <c r="F675" s="30"/>
      <c r="G675" s="7">
        <f t="shared" si="186"/>
        <v>1</v>
      </c>
      <c r="H675" s="58">
        <v>43091</v>
      </c>
      <c r="I675" s="16"/>
      <c r="J675" s="8"/>
      <c r="K675" s="10"/>
      <c r="L675" s="10"/>
      <c r="M675" s="10"/>
      <c r="N675" s="30"/>
      <c r="O675" s="7">
        <f t="shared" si="187"/>
        <v>0</v>
      </c>
    </row>
    <row r="676" spans="1:16" x14ac:dyDescent="0.15">
      <c r="A676" s="14" t="s">
        <v>25</v>
      </c>
      <c r="B676" s="8"/>
      <c r="C676" s="10">
        <v>1</v>
      </c>
      <c r="D676" s="10"/>
      <c r="E676" s="10"/>
      <c r="F676" s="30"/>
      <c r="G676" s="7">
        <f t="shared" si="186"/>
        <v>1</v>
      </c>
      <c r="H676" s="58">
        <v>43095</v>
      </c>
      <c r="I676" s="14"/>
      <c r="J676" s="8"/>
      <c r="K676" s="10"/>
      <c r="L676" s="10"/>
      <c r="M676" s="10"/>
      <c r="N676" s="30"/>
      <c r="O676" s="7">
        <f t="shared" si="187"/>
        <v>0</v>
      </c>
    </row>
    <row r="677" spans="1:16" x14ac:dyDescent="0.15">
      <c r="A677" s="16" t="s">
        <v>29</v>
      </c>
      <c r="B677" s="8"/>
      <c r="C677" s="10"/>
      <c r="D677" s="10"/>
      <c r="E677" s="10">
        <v>1</v>
      </c>
      <c r="F677" s="30"/>
      <c r="G677" s="7">
        <f t="shared" si="186"/>
        <v>1</v>
      </c>
      <c r="H677" s="58">
        <v>43094</v>
      </c>
      <c r="I677" s="16"/>
      <c r="J677" s="8"/>
      <c r="K677" s="10"/>
      <c r="L677" s="10"/>
      <c r="M677" s="10"/>
      <c r="N677" s="30"/>
      <c r="O677" s="7">
        <f t="shared" si="187"/>
        <v>0</v>
      </c>
      <c r="P677" s="56"/>
    </row>
    <row r="678" spans="1:16" x14ac:dyDescent="0.15">
      <c r="A678" s="16" t="s">
        <v>601</v>
      </c>
      <c r="B678" s="8">
        <v>1</v>
      </c>
      <c r="C678" s="10"/>
      <c r="D678" s="10"/>
      <c r="E678" s="10"/>
      <c r="F678" s="30"/>
      <c r="G678" s="7">
        <f t="shared" si="186"/>
        <v>1</v>
      </c>
      <c r="H678" s="58">
        <v>43096</v>
      </c>
      <c r="I678" s="16"/>
      <c r="J678" s="8"/>
      <c r="K678" s="10"/>
      <c r="L678" s="10"/>
      <c r="M678" s="10"/>
      <c r="N678" s="30"/>
      <c r="O678" s="7">
        <f t="shared" si="187"/>
        <v>0</v>
      </c>
      <c r="P678" s="56"/>
    </row>
    <row r="679" spans="1:16" x14ac:dyDescent="0.15">
      <c r="A679" s="16" t="s">
        <v>22</v>
      </c>
      <c r="B679" s="8"/>
      <c r="C679" s="10"/>
      <c r="D679" s="10"/>
      <c r="E679" s="10">
        <v>10</v>
      </c>
      <c r="F679" s="30"/>
      <c r="G679" s="7">
        <f t="shared" si="186"/>
        <v>10</v>
      </c>
      <c r="H679" s="58">
        <v>43115</v>
      </c>
      <c r="I679" s="16"/>
      <c r="J679" s="8"/>
      <c r="K679" s="10"/>
      <c r="L679" s="10"/>
      <c r="M679" s="10"/>
      <c r="N679" s="30"/>
      <c r="O679" s="9">
        <f t="shared" si="187"/>
        <v>0</v>
      </c>
      <c r="P679" s="36"/>
    </row>
    <row r="680" spans="1:16" x14ac:dyDescent="0.15">
      <c r="A680" s="16" t="s">
        <v>29</v>
      </c>
      <c r="B680" s="8"/>
      <c r="C680" s="10"/>
      <c r="D680" s="10">
        <v>1</v>
      </c>
      <c r="E680" s="10"/>
      <c r="F680" s="30">
        <v>2</v>
      </c>
      <c r="G680" s="7">
        <f t="shared" si="186"/>
        <v>3</v>
      </c>
      <c r="H680" s="58">
        <v>43105</v>
      </c>
      <c r="I680" s="16"/>
      <c r="J680" s="8"/>
      <c r="K680" s="10"/>
      <c r="L680" s="10"/>
      <c r="M680" s="10"/>
      <c r="N680" s="30"/>
      <c r="O680" s="9">
        <f t="shared" si="187"/>
        <v>0</v>
      </c>
      <c r="P680" s="36"/>
    </row>
    <row r="681" spans="1:16" x14ac:dyDescent="0.15">
      <c r="A681" s="16" t="s">
        <v>22</v>
      </c>
      <c r="B681" s="11"/>
      <c r="C681" s="12"/>
      <c r="D681" s="12"/>
      <c r="E681" s="12"/>
      <c r="F681" s="31">
        <v>10</v>
      </c>
      <c r="G681" s="7">
        <f t="shared" si="186"/>
        <v>10</v>
      </c>
      <c r="H681" s="58">
        <v>43122</v>
      </c>
      <c r="I681" s="50"/>
      <c r="J681" s="8"/>
      <c r="K681" s="10"/>
      <c r="L681" s="10"/>
      <c r="M681" s="10"/>
      <c r="N681" s="30"/>
      <c r="O681" s="9">
        <f t="shared" si="187"/>
        <v>0</v>
      </c>
      <c r="P681" s="36"/>
    </row>
    <row r="682" spans="1:16" x14ac:dyDescent="0.15">
      <c r="A682" s="16" t="s">
        <v>110</v>
      </c>
      <c r="B682" s="8"/>
      <c r="C682" s="10"/>
      <c r="D682" s="10"/>
      <c r="E682" s="10"/>
      <c r="F682" s="30">
        <v>4</v>
      </c>
      <c r="G682" s="7">
        <f t="shared" si="186"/>
        <v>4</v>
      </c>
      <c r="H682" s="58">
        <v>43154</v>
      </c>
      <c r="I682" s="16"/>
      <c r="J682" s="8"/>
      <c r="K682" s="10"/>
      <c r="L682" s="10"/>
      <c r="M682" s="10"/>
      <c r="N682" s="30"/>
      <c r="O682" s="9">
        <f t="shared" si="187"/>
        <v>0</v>
      </c>
      <c r="P682" s="36"/>
    </row>
    <row r="683" spans="1:16" x14ac:dyDescent="0.15">
      <c r="A683" s="16" t="s">
        <v>29</v>
      </c>
      <c r="B683" s="8"/>
      <c r="C683" s="10"/>
      <c r="D683" s="10">
        <v>1</v>
      </c>
      <c r="E683" s="10"/>
      <c r="F683" s="30">
        <v>1</v>
      </c>
      <c r="G683" s="7">
        <f t="shared" si="186"/>
        <v>2</v>
      </c>
      <c r="H683" s="58">
        <v>43150</v>
      </c>
      <c r="I683" s="16"/>
      <c r="J683" s="8"/>
      <c r="K683" s="10"/>
      <c r="L683" s="10"/>
      <c r="M683" s="10"/>
      <c r="N683" s="30"/>
      <c r="O683" s="9">
        <f t="shared" si="187"/>
        <v>0</v>
      </c>
      <c r="P683" s="36"/>
    </row>
    <row r="684" spans="1:16" x14ac:dyDescent="0.15">
      <c r="A684" s="16" t="s">
        <v>22</v>
      </c>
      <c r="B684" s="8">
        <v>10</v>
      </c>
      <c r="C684" s="10"/>
      <c r="D684" s="10"/>
      <c r="E684" s="10"/>
      <c r="F684" s="30"/>
      <c r="G684" s="7">
        <f t="shared" si="186"/>
        <v>10</v>
      </c>
      <c r="H684" s="58">
        <v>43165</v>
      </c>
      <c r="I684" s="16"/>
      <c r="J684" s="8"/>
      <c r="K684" s="10"/>
      <c r="L684" s="10"/>
      <c r="M684" s="10"/>
      <c r="N684" s="30"/>
      <c r="O684" s="9">
        <f t="shared" si="187"/>
        <v>0</v>
      </c>
      <c r="P684" s="36"/>
    </row>
    <row r="685" spans="1:16" ht="14.25" thickBot="1" x14ac:dyDescent="0.2">
      <c r="A685" s="16"/>
      <c r="B685" s="11"/>
      <c r="C685" s="12"/>
      <c r="D685" s="12"/>
      <c r="E685" s="12"/>
      <c r="F685" s="31"/>
      <c r="G685" s="7">
        <f t="shared" si="186"/>
        <v>0</v>
      </c>
      <c r="H685" s="58"/>
      <c r="I685" s="126"/>
      <c r="J685" s="60"/>
      <c r="K685" s="127"/>
      <c r="L685" s="127"/>
      <c r="M685" s="127"/>
      <c r="N685" s="128"/>
      <c r="O685" s="115">
        <f t="shared" si="187"/>
        <v>0</v>
      </c>
      <c r="P685" s="56"/>
    </row>
    <row r="686" spans="1:16" ht="14.25" thickBot="1" x14ac:dyDescent="0.2">
      <c r="A686" s="3" t="s">
        <v>11</v>
      </c>
      <c r="B686" s="23">
        <f>SUM(B660:B685)</f>
        <v>12</v>
      </c>
      <c r="C686" s="4">
        <f>SUM(C660:C685)</f>
        <v>5</v>
      </c>
      <c r="D686" s="4">
        <f>SUM(D660:D685)</f>
        <v>5</v>
      </c>
      <c r="E686" s="6">
        <f>SUM(E660:E685)</f>
        <v>17</v>
      </c>
      <c r="F686" s="32">
        <f>SUM(F660:F685)</f>
        <v>33</v>
      </c>
      <c r="G686" s="5">
        <f>SUM(B686:F686)</f>
        <v>72</v>
      </c>
      <c r="H686" s="58"/>
      <c r="I686" s="3" t="s">
        <v>11</v>
      </c>
      <c r="J686" s="23">
        <f>SUM(J660:J685)</f>
        <v>0</v>
      </c>
      <c r="K686" s="4">
        <f>SUM(K660:K685)</f>
        <v>0</v>
      </c>
      <c r="L686" s="4">
        <f>SUM(L660:L685)</f>
        <v>0</v>
      </c>
      <c r="M686" s="6">
        <f>SUM(M660:M685)</f>
        <v>15</v>
      </c>
      <c r="N686" s="32">
        <f>SUM(N660:N685)</f>
        <v>25</v>
      </c>
      <c r="O686" s="5">
        <f>SUM(J686:N686)</f>
        <v>40</v>
      </c>
    </row>
    <row r="687" spans="1:16" ht="14.25" thickBot="1" x14ac:dyDescent="0.2">
      <c r="A687" s="25" t="s">
        <v>12</v>
      </c>
      <c r="B687" s="63">
        <f>B659-B686</f>
        <v>3</v>
      </c>
      <c r="C687" s="26">
        <f t="shared" ref="C687:G687" si="189">C659-C686</f>
        <v>11</v>
      </c>
      <c r="D687" s="71">
        <f t="shared" si="189"/>
        <v>9</v>
      </c>
      <c r="E687" s="26">
        <f t="shared" si="189"/>
        <v>11</v>
      </c>
      <c r="F687" s="70">
        <f t="shared" si="189"/>
        <v>7</v>
      </c>
      <c r="G687" s="27">
        <f t="shared" si="189"/>
        <v>41</v>
      </c>
      <c r="H687" s="58"/>
      <c r="I687" s="25" t="s">
        <v>12</v>
      </c>
      <c r="J687" s="63">
        <f>J659-J686</f>
        <v>113</v>
      </c>
      <c r="K687" s="26">
        <f t="shared" ref="K687:O687" si="190">K659-K686</f>
        <v>75</v>
      </c>
      <c r="L687" s="71">
        <f t="shared" si="190"/>
        <v>64</v>
      </c>
      <c r="M687" s="26">
        <f t="shared" si="190"/>
        <v>47</v>
      </c>
      <c r="N687" s="70">
        <f t="shared" si="190"/>
        <v>25</v>
      </c>
      <c r="O687" s="27">
        <f t="shared" si="190"/>
        <v>324</v>
      </c>
    </row>
    <row r="688" spans="1:16" ht="21" x14ac:dyDescent="0.2">
      <c r="A688" s="83" t="s">
        <v>414</v>
      </c>
      <c r="B688" s="77"/>
      <c r="C688" s="77"/>
      <c r="D688" s="77"/>
      <c r="E688" s="77"/>
      <c r="F688" s="77"/>
      <c r="G688" s="77"/>
      <c r="H688" s="58"/>
      <c r="I688" s="83" t="s">
        <v>414</v>
      </c>
      <c r="J688" s="77"/>
      <c r="K688" s="77"/>
      <c r="L688" s="77"/>
      <c r="M688" s="77"/>
      <c r="N688" s="77"/>
      <c r="O688" s="77"/>
    </row>
    <row r="689" spans="1:16" ht="21.75" thickBot="1" x14ac:dyDescent="0.25">
      <c r="A689" s="83" t="s">
        <v>47</v>
      </c>
      <c r="B689" s="77"/>
      <c r="C689" s="77"/>
      <c r="D689" s="77"/>
      <c r="E689" s="84"/>
      <c r="F689" s="78" t="s">
        <v>53</v>
      </c>
      <c r="G689" s="77"/>
      <c r="H689" s="58"/>
      <c r="I689" s="83" t="s">
        <v>47</v>
      </c>
      <c r="J689" s="77"/>
      <c r="K689" s="77"/>
      <c r="L689" s="77"/>
      <c r="M689" s="84"/>
      <c r="N689" s="78" t="s">
        <v>54</v>
      </c>
      <c r="O689" s="77"/>
    </row>
    <row r="690" spans="1:16" ht="14.25" thickBot="1" x14ac:dyDescent="0.2">
      <c r="A690" s="13" t="s">
        <v>0</v>
      </c>
      <c r="B690" s="228" t="s">
        <v>49</v>
      </c>
      <c r="C690" s="229"/>
      <c r="D690" s="229"/>
      <c r="E690" s="229"/>
      <c r="F690" s="230"/>
      <c r="G690" s="231"/>
      <c r="H690" s="58"/>
      <c r="I690" s="13" t="s">
        <v>0</v>
      </c>
      <c r="J690" s="232" t="s">
        <v>49</v>
      </c>
      <c r="K690" s="233"/>
      <c r="L690" s="233"/>
      <c r="M690" s="233"/>
      <c r="N690" s="233"/>
      <c r="O690" s="234"/>
    </row>
    <row r="691" spans="1:16" ht="14.25" thickBot="1" x14ac:dyDescent="0.2">
      <c r="A691" s="3" t="s">
        <v>1</v>
      </c>
      <c r="B691" s="2" t="s">
        <v>42</v>
      </c>
      <c r="C691" s="21" t="s">
        <v>43</v>
      </c>
      <c r="D691" s="21" t="s">
        <v>44</v>
      </c>
      <c r="E691" s="24" t="s">
        <v>45</v>
      </c>
      <c r="F691" s="33" t="s">
        <v>46</v>
      </c>
      <c r="G691" s="34" t="s">
        <v>2</v>
      </c>
      <c r="H691" s="58"/>
      <c r="I691" s="3" t="s">
        <v>1</v>
      </c>
      <c r="J691" s="2" t="s">
        <v>42</v>
      </c>
      <c r="K691" s="21" t="s">
        <v>43</v>
      </c>
      <c r="L691" s="21" t="s">
        <v>44</v>
      </c>
      <c r="M691" s="24" t="s">
        <v>45</v>
      </c>
      <c r="N691" s="33" t="s">
        <v>46</v>
      </c>
      <c r="O691" s="3" t="s">
        <v>2</v>
      </c>
    </row>
    <row r="692" spans="1:16" ht="14.25" thickBot="1" x14ac:dyDescent="0.2">
      <c r="A692" s="116" t="s">
        <v>79</v>
      </c>
      <c r="B692" s="95">
        <f>B687</f>
        <v>3</v>
      </c>
      <c r="C692" s="97">
        <f t="shared" ref="C692:F692" si="191">C687</f>
        <v>11</v>
      </c>
      <c r="D692" s="55">
        <f t="shared" si="191"/>
        <v>9</v>
      </c>
      <c r="E692" s="98">
        <f t="shared" si="191"/>
        <v>11</v>
      </c>
      <c r="F692" s="98">
        <f t="shared" si="191"/>
        <v>7</v>
      </c>
      <c r="G692" s="52">
        <f t="shared" ref="G692:G701" si="192">SUM(B692:F692)</f>
        <v>41</v>
      </c>
      <c r="H692" s="58"/>
      <c r="I692" s="72" t="s">
        <v>79</v>
      </c>
      <c r="J692" s="73">
        <f>J687</f>
        <v>113</v>
      </c>
      <c r="K692" s="74">
        <f t="shared" ref="K692:N692" si="193">K687</f>
        <v>75</v>
      </c>
      <c r="L692" s="107">
        <f t="shared" si="193"/>
        <v>64</v>
      </c>
      <c r="M692" s="75">
        <f t="shared" si="193"/>
        <v>47</v>
      </c>
      <c r="N692" s="75">
        <f t="shared" si="193"/>
        <v>25</v>
      </c>
      <c r="O692" s="76">
        <f t="shared" ref="O692:O701" si="194">SUM(J692:N692)</f>
        <v>324</v>
      </c>
    </row>
    <row r="693" spans="1:16" x14ac:dyDescent="0.15">
      <c r="A693" s="38" t="s">
        <v>14</v>
      </c>
      <c r="B693" s="8"/>
      <c r="C693" s="10"/>
      <c r="D693" s="10">
        <v>5</v>
      </c>
      <c r="E693" s="10"/>
      <c r="F693" s="30">
        <v>5</v>
      </c>
      <c r="G693" s="7">
        <f t="shared" si="192"/>
        <v>10</v>
      </c>
      <c r="H693" s="58">
        <v>43152</v>
      </c>
      <c r="I693" s="38" t="s">
        <v>14</v>
      </c>
      <c r="J693" s="37"/>
      <c r="K693" s="35"/>
      <c r="L693" s="35"/>
      <c r="M693" s="35"/>
      <c r="N693" s="28"/>
      <c r="O693" s="7">
        <f t="shared" si="194"/>
        <v>0</v>
      </c>
    </row>
    <row r="694" spans="1:16" x14ac:dyDescent="0.15">
      <c r="A694" s="38" t="s">
        <v>19</v>
      </c>
      <c r="B694" s="8">
        <v>3</v>
      </c>
      <c r="C694" s="10">
        <v>4</v>
      </c>
      <c r="D694" s="10"/>
      <c r="E694" s="10"/>
      <c r="F694" s="28">
        <v>2</v>
      </c>
      <c r="G694" s="9">
        <f t="shared" si="192"/>
        <v>9</v>
      </c>
      <c r="H694" s="58">
        <v>43157</v>
      </c>
      <c r="I694" s="15" t="s">
        <v>3</v>
      </c>
      <c r="J694" s="8"/>
      <c r="K694" s="10"/>
      <c r="L694" s="10"/>
      <c r="M694" s="10"/>
      <c r="N694" s="28"/>
      <c r="O694" s="9">
        <f t="shared" si="194"/>
        <v>0</v>
      </c>
    </row>
    <row r="695" spans="1:16" x14ac:dyDescent="0.15">
      <c r="A695" s="38" t="s">
        <v>4</v>
      </c>
      <c r="B695" s="8">
        <v>10</v>
      </c>
      <c r="C695" s="10"/>
      <c r="D695" s="10"/>
      <c r="E695" s="10"/>
      <c r="F695" s="28"/>
      <c r="G695" s="9">
        <f t="shared" si="192"/>
        <v>10</v>
      </c>
      <c r="H695" s="58">
        <v>43160</v>
      </c>
      <c r="I695" s="15" t="s">
        <v>4</v>
      </c>
      <c r="J695" s="8"/>
      <c r="K695" s="10"/>
      <c r="L695" s="10"/>
      <c r="M695" s="10"/>
      <c r="N695" s="28"/>
      <c r="O695" s="9">
        <f t="shared" si="194"/>
        <v>0</v>
      </c>
    </row>
    <row r="696" spans="1:16" x14ac:dyDescent="0.15">
      <c r="A696" s="38" t="s">
        <v>19</v>
      </c>
      <c r="B696" s="8"/>
      <c r="C696" s="10"/>
      <c r="D696" s="10">
        <v>2</v>
      </c>
      <c r="E696" s="10"/>
      <c r="F696" s="28"/>
      <c r="G696" s="9">
        <f t="shared" si="192"/>
        <v>2</v>
      </c>
      <c r="H696" s="58">
        <v>43174</v>
      </c>
      <c r="I696" s="15" t="s">
        <v>5</v>
      </c>
      <c r="J696" s="8"/>
      <c r="K696" s="10"/>
      <c r="L696" s="10"/>
      <c r="M696" s="10"/>
      <c r="N696" s="28"/>
      <c r="O696" s="9">
        <f t="shared" si="194"/>
        <v>0</v>
      </c>
    </row>
    <row r="697" spans="1:16" x14ac:dyDescent="0.15">
      <c r="A697" s="38" t="s">
        <v>17</v>
      </c>
      <c r="B697" s="11">
        <v>2</v>
      </c>
      <c r="C697" s="12">
        <v>1</v>
      </c>
      <c r="D697" s="12"/>
      <c r="E697" s="12"/>
      <c r="F697" s="31"/>
      <c r="G697" s="7">
        <f t="shared" si="192"/>
        <v>3</v>
      </c>
      <c r="H697" s="58">
        <v>43175</v>
      </c>
      <c r="I697" s="15" t="s">
        <v>6</v>
      </c>
      <c r="J697" s="8"/>
      <c r="K697" s="10"/>
      <c r="L697" s="10"/>
      <c r="M697" s="10"/>
      <c r="N697" s="28"/>
      <c r="O697" s="9">
        <f t="shared" si="194"/>
        <v>0</v>
      </c>
    </row>
    <row r="698" spans="1:16" x14ac:dyDescent="0.15">
      <c r="A698" s="38" t="s">
        <v>84</v>
      </c>
      <c r="B698" s="8"/>
      <c r="C698" s="10">
        <v>5</v>
      </c>
      <c r="D698" s="10"/>
      <c r="E698" s="10">
        <v>5</v>
      </c>
      <c r="F698" s="30"/>
      <c r="G698" s="7">
        <f t="shared" si="192"/>
        <v>10</v>
      </c>
      <c r="H698" s="58">
        <v>43189</v>
      </c>
      <c r="I698" s="15" t="s">
        <v>84</v>
      </c>
      <c r="J698" s="11"/>
      <c r="K698" s="12"/>
      <c r="L698" s="12"/>
      <c r="M698" s="12"/>
      <c r="N698" s="31"/>
      <c r="O698" s="7">
        <f t="shared" si="194"/>
        <v>0</v>
      </c>
    </row>
    <row r="699" spans="1:16" x14ac:dyDescent="0.15">
      <c r="A699" s="38" t="s">
        <v>19</v>
      </c>
      <c r="B699" s="11"/>
      <c r="C699" s="100"/>
      <c r="D699" s="100"/>
      <c r="E699" s="100"/>
      <c r="F699" s="101">
        <v>1</v>
      </c>
      <c r="G699" s="102">
        <f t="shared" si="192"/>
        <v>1</v>
      </c>
      <c r="H699" s="58">
        <v>43234</v>
      </c>
      <c r="I699" s="15" t="s">
        <v>85</v>
      </c>
      <c r="J699" s="8"/>
      <c r="K699" s="10"/>
      <c r="L699" s="10"/>
      <c r="M699" s="10"/>
      <c r="N699" s="30"/>
      <c r="O699" s="7">
        <f t="shared" si="194"/>
        <v>0</v>
      </c>
    </row>
    <row r="700" spans="1:16" x14ac:dyDescent="0.15">
      <c r="A700" s="38" t="s">
        <v>86</v>
      </c>
      <c r="B700" s="11">
        <v>2</v>
      </c>
      <c r="C700" s="100">
        <v>3</v>
      </c>
      <c r="D700" s="100">
        <v>5</v>
      </c>
      <c r="E700" s="100">
        <v>3</v>
      </c>
      <c r="F700" s="101">
        <v>3</v>
      </c>
      <c r="G700" s="102">
        <f t="shared" si="192"/>
        <v>16</v>
      </c>
      <c r="H700" s="58">
        <v>43255</v>
      </c>
      <c r="I700" s="16" t="s">
        <v>88</v>
      </c>
      <c r="J700" s="8"/>
      <c r="K700" s="10"/>
      <c r="L700" s="10"/>
      <c r="M700" s="10"/>
      <c r="N700" s="30"/>
      <c r="O700" s="7">
        <f t="shared" si="194"/>
        <v>0</v>
      </c>
    </row>
    <row r="701" spans="1:16" ht="14.25" thickBot="1" x14ac:dyDescent="0.2">
      <c r="A701" s="38" t="s">
        <v>87</v>
      </c>
      <c r="B701" s="11"/>
      <c r="C701" s="100">
        <v>10</v>
      </c>
      <c r="D701" s="100"/>
      <c r="E701" s="100"/>
      <c r="F701" s="101"/>
      <c r="G701" s="102">
        <f t="shared" si="192"/>
        <v>10</v>
      </c>
      <c r="H701" s="58">
        <v>43265</v>
      </c>
      <c r="I701" s="15" t="s">
        <v>87</v>
      </c>
      <c r="J701" s="11"/>
      <c r="K701" s="100"/>
      <c r="L701" s="100"/>
      <c r="M701" s="100"/>
      <c r="N701" s="101"/>
      <c r="O701" s="102">
        <f t="shared" si="194"/>
        <v>0</v>
      </c>
    </row>
    <row r="702" spans="1:16" ht="14.25" thickBot="1" x14ac:dyDescent="0.2">
      <c r="A702" s="72" t="s">
        <v>7</v>
      </c>
      <c r="B702" s="73">
        <f>SUM(B692:B701)</f>
        <v>20</v>
      </c>
      <c r="C702" s="74">
        <f t="shared" ref="C702:G702" si="195">SUM(C692:C701)</f>
        <v>34</v>
      </c>
      <c r="D702" s="74">
        <f t="shared" si="195"/>
        <v>21</v>
      </c>
      <c r="E702" s="74">
        <f t="shared" si="195"/>
        <v>19</v>
      </c>
      <c r="F702" s="105">
        <f t="shared" si="195"/>
        <v>18</v>
      </c>
      <c r="G702" s="105">
        <f t="shared" si="195"/>
        <v>112</v>
      </c>
      <c r="H702" s="56"/>
      <c r="I702" s="72" t="s">
        <v>7</v>
      </c>
      <c r="J702" s="73">
        <f>SUM(J692:J701)</f>
        <v>113</v>
      </c>
      <c r="K702" s="74">
        <f t="shared" ref="K702:O702" si="196">SUM(K692:K701)</f>
        <v>75</v>
      </c>
      <c r="L702" s="74">
        <f t="shared" si="196"/>
        <v>64</v>
      </c>
      <c r="M702" s="74">
        <f t="shared" si="196"/>
        <v>47</v>
      </c>
      <c r="N702" s="105">
        <f t="shared" si="196"/>
        <v>25</v>
      </c>
      <c r="O702" s="105">
        <f t="shared" si="196"/>
        <v>324</v>
      </c>
    </row>
    <row r="703" spans="1:16" x14ac:dyDescent="0.15">
      <c r="A703" s="16" t="s">
        <v>110</v>
      </c>
      <c r="B703" s="8">
        <v>2</v>
      </c>
      <c r="C703" s="10">
        <v>3</v>
      </c>
      <c r="D703" s="10"/>
      <c r="E703" s="10"/>
      <c r="F703" s="30"/>
      <c r="G703" s="7">
        <f t="shared" ref="G703:G728" si="197">SUM(B703:F703)</f>
        <v>5</v>
      </c>
      <c r="H703" s="58">
        <v>43165</v>
      </c>
      <c r="I703" s="16" t="s">
        <v>625</v>
      </c>
      <c r="J703" s="17"/>
      <c r="K703" s="22"/>
      <c r="L703" s="22">
        <v>5</v>
      </c>
      <c r="M703" s="22"/>
      <c r="N703" s="29">
        <v>5</v>
      </c>
      <c r="O703" s="18">
        <f t="shared" ref="O703:O728" si="198">SUM(J703:N703)</f>
        <v>10</v>
      </c>
      <c r="P703" s="58">
        <v>43152</v>
      </c>
    </row>
    <row r="704" spans="1:16" x14ac:dyDescent="0.15">
      <c r="A704" s="14" t="s">
        <v>25</v>
      </c>
      <c r="B704" s="8"/>
      <c r="C704" s="10">
        <v>1</v>
      </c>
      <c r="D704" s="10"/>
      <c r="E704" s="10"/>
      <c r="F704" s="30"/>
      <c r="G704" s="7">
        <f t="shared" si="197"/>
        <v>1</v>
      </c>
      <c r="H704" s="58">
        <v>43161</v>
      </c>
      <c r="I704" s="16" t="s">
        <v>24</v>
      </c>
      <c r="J704" s="8">
        <v>10</v>
      </c>
      <c r="K704" s="10"/>
      <c r="L704" s="10"/>
      <c r="M704" s="10"/>
      <c r="N704" s="28"/>
      <c r="O704" s="9">
        <f t="shared" si="198"/>
        <v>10</v>
      </c>
      <c r="P704" s="58">
        <v>43160</v>
      </c>
    </row>
    <row r="705" spans="1:16" x14ac:dyDescent="0.15">
      <c r="A705" s="16" t="s">
        <v>110</v>
      </c>
      <c r="B705" s="8"/>
      <c r="C705" s="10">
        <v>3</v>
      </c>
      <c r="D705" s="10"/>
      <c r="E705" s="10"/>
      <c r="F705" s="30"/>
      <c r="G705" s="7">
        <f t="shared" si="197"/>
        <v>3</v>
      </c>
      <c r="H705" s="58">
        <v>43171</v>
      </c>
      <c r="I705" s="16" t="s">
        <v>24</v>
      </c>
      <c r="J705" s="8"/>
      <c r="K705" s="10">
        <v>5</v>
      </c>
      <c r="L705" s="10"/>
      <c r="M705" s="10">
        <v>5</v>
      </c>
      <c r="N705" s="30"/>
      <c r="O705" s="7">
        <f t="shared" si="198"/>
        <v>10</v>
      </c>
      <c r="P705" s="58">
        <v>43189</v>
      </c>
    </row>
    <row r="706" spans="1:16" x14ac:dyDescent="0.15">
      <c r="A706" s="16" t="s">
        <v>110</v>
      </c>
      <c r="B706" s="8"/>
      <c r="C706" s="10"/>
      <c r="D706" s="10"/>
      <c r="E706" s="10">
        <v>3</v>
      </c>
      <c r="F706" s="30"/>
      <c r="G706" s="7">
        <f t="shared" si="197"/>
        <v>3</v>
      </c>
      <c r="H706" s="58">
        <v>43174</v>
      </c>
      <c r="I706" s="16" t="s">
        <v>24</v>
      </c>
      <c r="J706" s="11">
        <v>2</v>
      </c>
      <c r="K706" s="100">
        <v>3</v>
      </c>
      <c r="L706" s="100">
        <v>5</v>
      </c>
      <c r="M706" s="100">
        <v>3</v>
      </c>
      <c r="N706" s="101">
        <v>3</v>
      </c>
      <c r="O706" s="9">
        <f t="shared" si="198"/>
        <v>16</v>
      </c>
      <c r="P706" s="58">
        <v>43255</v>
      </c>
    </row>
    <row r="707" spans="1:16" x14ac:dyDescent="0.15">
      <c r="A707" s="16" t="s">
        <v>29</v>
      </c>
      <c r="B707" s="8"/>
      <c r="C707" s="10"/>
      <c r="D707" s="10"/>
      <c r="E707" s="10">
        <v>1</v>
      </c>
      <c r="F707" s="30"/>
      <c r="G707" s="7">
        <f t="shared" si="197"/>
        <v>1</v>
      </c>
      <c r="H707" s="58">
        <v>43167</v>
      </c>
      <c r="I707" s="16" t="s">
        <v>24</v>
      </c>
      <c r="J707" s="8"/>
      <c r="K707" s="10">
        <v>10</v>
      </c>
      <c r="L707" s="10"/>
      <c r="M707" s="10"/>
      <c r="N707" s="30"/>
      <c r="O707" s="7">
        <f t="shared" si="198"/>
        <v>10</v>
      </c>
      <c r="P707" s="58">
        <v>43265</v>
      </c>
    </row>
    <row r="708" spans="1:16" x14ac:dyDescent="0.15">
      <c r="A708" s="14" t="s">
        <v>25</v>
      </c>
      <c r="B708" s="8"/>
      <c r="C708" s="10"/>
      <c r="D708" s="10">
        <v>1</v>
      </c>
      <c r="E708" s="10"/>
      <c r="F708" s="30"/>
      <c r="G708" s="7">
        <f t="shared" si="197"/>
        <v>1</v>
      </c>
      <c r="H708" s="58">
        <v>43172</v>
      </c>
      <c r="I708" s="16" t="s">
        <v>24</v>
      </c>
      <c r="J708" s="8"/>
      <c r="K708" s="10">
        <v>5</v>
      </c>
      <c r="L708" s="10">
        <v>5</v>
      </c>
      <c r="M708" s="10"/>
      <c r="N708" s="30"/>
      <c r="O708" s="7">
        <f t="shared" si="198"/>
        <v>10</v>
      </c>
      <c r="P708" s="58">
        <v>43266</v>
      </c>
    </row>
    <row r="709" spans="1:16" x14ac:dyDescent="0.15">
      <c r="A709" s="14" t="s">
        <v>655</v>
      </c>
      <c r="B709" s="8"/>
      <c r="C709" s="10"/>
      <c r="D709" s="10"/>
      <c r="E709" s="10">
        <v>1</v>
      </c>
      <c r="F709" s="30"/>
      <c r="G709" s="7">
        <f t="shared" si="197"/>
        <v>1</v>
      </c>
      <c r="H709" s="58">
        <v>43179</v>
      </c>
      <c r="I709" s="16"/>
      <c r="J709" s="8"/>
      <c r="K709" s="10"/>
      <c r="L709" s="10"/>
      <c r="M709" s="10"/>
      <c r="N709" s="30"/>
      <c r="O709" s="7">
        <f t="shared" si="198"/>
        <v>0</v>
      </c>
    </row>
    <row r="710" spans="1:16" x14ac:dyDescent="0.15">
      <c r="A710" s="16" t="s">
        <v>110</v>
      </c>
      <c r="B710" s="8"/>
      <c r="C710" s="10"/>
      <c r="D710" s="10"/>
      <c r="E710" s="10"/>
      <c r="F710" s="30">
        <v>5</v>
      </c>
      <c r="G710" s="7">
        <f t="shared" si="197"/>
        <v>5</v>
      </c>
      <c r="H710" s="58">
        <v>43199</v>
      </c>
      <c r="I710" s="16"/>
      <c r="J710" s="8"/>
      <c r="K710" s="10"/>
      <c r="L710" s="10"/>
      <c r="M710" s="10"/>
      <c r="N710" s="30"/>
      <c r="O710" s="7">
        <f t="shared" si="198"/>
        <v>0</v>
      </c>
    </row>
    <row r="711" spans="1:16" x14ac:dyDescent="0.15">
      <c r="A711" s="16" t="s">
        <v>110</v>
      </c>
      <c r="B711" s="8">
        <v>2</v>
      </c>
      <c r="C711" s="10"/>
      <c r="D711" s="10"/>
      <c r="E711" s="10"/>
      <c r="F711" s="30"/>
      <c r="G711" s="7">
        <f t="shared" si="197"/>
        <v>2</v>
      </c>
      <c r="H711" s="58">
        <v>43200</v>
      </c>
      <c r="I711" s="39"/>
      <c r="J711" s="8"/>
      <c r="K711" s="10"/>
      <c r="L711" s="10"/>
      <c r="M711" s="10"/>
      <c r="N711" s="30"/>
      <c r="O711" s="7">
        <f t="shared" si="198"/>
        <v>0</v>
      </c>
    </row>
    <row r="712" spans="1:16" x14ac:dyDescent="0.15">
      <c r="A712" s="16" t="s">
        <v>110</v>
      </c>
      <c r="B712" s="11"/>
      <c r="C712" s="12"/>
      <c r="D712" s="12">
        <v>3</v>
      </c>
      <c r="E712" s="12"/>
      <c r="F712" s="31"/>
      <c r="G712" s="7">
        <f t="shared" si="197"/>
        <v>3</v>
      </c>
      <c r="H712" s="58">
        <v>43206</v>
      </c>
      <c r="I712" s="16"/>
      <c r="J712" s="11"/>
      <c r="K712" s="12"/>
      <c r="L712" s="12"/>
      <c r="M712" s="12"/>
      <c r="N712" s="31"/>
      <c r="O712" s="7">
        <f t="shared" si="198"/>
        <v>0</v>
      </c>
    </row>
    <row r="713" spans="1:16" x14ac:dyDescent="0.15">
      <c r="A713" s="16" t="s">
        <v>110</v>
      </c>
      <c r="B713" s="8"/>
      <c r="C713" s="10">
        <v>3</v>
      </c>
      <c r="D713" s="10"/>
      <c r="E713" s="10"/>
      <c r="F713" s="30"/>
      <c r="G713" s="7">
        <f t="shared" si="197"/>
        <v>3</v>
      </c>
      <c r="H713" s="58">
        <v>43210</v>
      </c>
      <c r="I713" s="16"/>
      <c r="J713" s="8"/>
      <c r="K713" s="10"/>
      <c r="L713" s="10"/>
      <c r="M713" s="10"/>
      <c r="N713" s="30"/>
      <c r="O713" s="7">
        <f t="shared" si="198"/>
        <v>0</v>
      </c>
    </row>
    <row r="714" spans="1:16" x14ac:dyDescent="0.15">
      <c r="A714" s="16" t="s">
        <v>110</v>
      </c>
      <c r="B714" s="8"/>
      <c r="C714" s="10"/>
      <c r="D714" s="10"/>
      <c r="E714" s="10"/>
      <c r="F714" s="30">
        <v>3</v>
      </c>
      <c r="G714" s="7">
        <f t="shared" si="197"/>
        <v>3</v>
      </c>
      <c r="H714" s="58">
        <v>43221</v>
      </c>
      <c r="I714" s="14"/>
      <c r="J714" s="8"/>
      <c r="K714" s="10"/>
      <c r="L714" s="10"/>
      <c r="M714" s="10"/>
      <c r="N714" s="30"/>
      <c r="O714" s="7">
        <f t="shared" si="198"/>
        <v>0</v>
      </c>
    </row>
    <row r="715" spans="1:16" x14ac:dyDescent="0.15">
      <c r="A715" s="16" t="s">
        <v>29</v>
      </c>
      <c r="B715" s="8"/>
      <c r="C715" s="10"/>
      <c r="D715" s="10"/>
      <c r="E715" s="10"/>
      <c r="F715" s="30">
        <v>1</v>
      </c>
      <c r="G715" s="7">
        <f t="shared" si="197"/>
        <v>1</v>
      </c>
      <c r="H715" s="58">
        <v>43213</v>
      </c>
      <c r="I715" s="16"/>
      <c r="J715" s="8"/>
      <c r="K715" s="10"/>
      <c r="L715" s="10"/>
      <c r="M715" s="10"/>
      <c r="N715" s="30"/>
      <c r="O715" s="7">
        <f t="shared" si="198"/>
        <v>0</v>
      </c>
    </row>
    <row r="716" spans="1:16" x14ac:dyDescent="0.15">
      <c r="A716" s="16" t="s">
        <v>29</v>
      </c>
      <c r="B716" s="8"/>
      <c r="C716" s="10"/>
      <c r="D716" s="10">
        <v>1</v>
      </c>
      <c r="E716" s="10"/>
      <c r="F716" s="30"/>
      <c r="G716" s="7">
        <f t="shared" si="197"/>
        <v>1</v>
      </c>
      <c r="H716" s="58">
        <v>43221</v>
      </c>
      <c r="I716" s="64"/>
      <c r="J716" s="8"/>
      <c r="K716" s="10"/>
      <c r="L716" s="10"/>
      <c r="M716" s="10"/>
      <c r="N716" s="30"/>
      <c r="O716" s="7">
        <f t="shared" si="198"/>
        <v>0</v>
      </c>
    </row>
    <row r="717" spans="1:16" x14ac:dyDescent="0.15">
      <c r="A717" s="16" t="s">
        <v>110</v>
      </c>
      <c r="B717" s="8"/>
      <c r="C717" s="10">
        <v>2</v>
      </c>
      <c r="D717" s="10">
        <v>2</v>
      </c>
      <c r="E717" s="10">
        <v>2</v>
      </c>
      <c r="F717" s="30"/>
      <c r="G717" s="7">
        <f t="shared" si="197"/>
        <v>6</v>
      </c>
      <c r="H717" s="58">
        <v>43231</v>
      </c>
      <c r="I717" s="16"/>
      <c r="J717" s="8"/>
      <c r="K717" s="10"/>
      <c r="L717" s="10"/>
      <c r="M717" s="10"/>
      <c r="N717" s="30"/>
      <c r="O717" s="7">
        <f t="shared" si="198"/>
        <v>0</v>
      </c>
    </row>
    <row r="718" spans="1:16" x14ac:dyDescent="0.15">
      <c r="A718" s="16" t="s">
        <v>29</v>
      </c>
      <c r="B718" s="8"/>
      <c r="C718" s="10"/>
      <c r="D718" s="10"/>
      <c r="E718" s="10">
        <v>1</v>
      </c>
      <c r="F718" s="30"/>
      <c r="G718" s="7">
        <f t="shared" si="197"/>
        <v>1</v>
      </c>
      <c r="H718" s="58">
        <v>43241</v>
      </c>
      <c r="I718" s="16"/>
      <c r="J718" s="8"/>
      <c r="K718" s="10"/>
      <c r="L718" s="10"/>
      <c r="M718" s="10"/>
      <c r="N718" s="30"/>
      <c r="O718" s="7">
        <f t="shared" si="198"/>
        <v>0</v>
      </c>
    </row>
    <row r="719" spans="1:16" x14ac:dyDescent="0.15">
      <c r="A719" s="16" t="s">
        <v>29</v>
      </c>
      <c r="B719" s="8"/>
      <c r="C719" s="10"/>
      <c r="D719" s="10"/>
      <c r="E719" s="10">
        <v>1</v>
      </c>
      <c r="F719" s="30"/>
      <c r="G719" s="7">
        <f t="shared" si="197"/>
        <v>1</v>
      </c>
      <c r="H719" s="58">
        <v>43243</v>
      </c>
      <c r="I719" s="14"/>
      <c r="J719" s="8"/>
      <c r="K719" s="10"/>
      <c r="L719" s="10"/>
      <c r="M719" s="10"/>
      <c r="N719" s="30"/>
      <c r="O719" s="7">
        <f t="shared" si="198"/>
        <v>0</v>
      </c>
    </row>
    <row r="720" spans="1:16" x14ac:dyDescent="0.15">
      <c r="A720" s="39" t="s">
        <v>688</v>
      </c>
      <c r="B720" s="8">
        <v>2</v>
      </c>
      <c r="C720" s="10">
        <v>3</v>
      </c>
      <c r="D720" s="10">
        <v>5</v>
      </c>
      <c r="E720" s="10">
        <v>3</v>
      </c>
      <c r="F720" s="30">
        <v>3</v>
      </c>
      <c r="G720" s="7">
        <f t="shared" si="197"/>
        <v>16</v>
      </c>
      <c r="H720" s="58">
        <v>43258</v>
      </c>
      <c r="I720" s="16"/>
      <c r="J720" s="8"/>
      <c r="K720" s="10"/>
      <c r="L720" s="10"/>
      <c r="M720" s="10"/>
      <c r="N720" s="30"/>
      <c r="O720" s="7">
        <f t="shared" si="198"/>
        <v>0</v>
      </c>
    </row>
    <row r="721" spans="1:17" x14ac:dyDescent="0.15">
      <c r="A721" s="16" t="s">
        <v>29</v>
      </c>
      <c r="B721" s="8"/>
      <c r="C721" s="10"/>
      <c r="D721" s="10">
        <v>1</v>
      </c>
      <c r="E721" s="10"/>
      <c r="F721" s="30"/>
      <c r="G721" s="7">
        <f t="shared" si="197"/>
        <v>1</v>
      </c>
      <c r="H721" s="58">
        <v>43255</v>
      </c>
      <c r="I721" s="16"/>
      <c r="J721" s="8"/>
      <c r="K721" s="10"/>
      <c r="L721" s="10"/>
      <c r="M721" s="10"/>
      <c r="N721" s="30"/>
      <c r="O721" s="7">
        <f t="shared" si="198"/>
        <v>0</v>
      </c>
    </row>
    <row r="722" spans="1:17" x14ac:dyDescent="0.15">
      <c r="A722" s="16" t="s">
        <v>110</v>
      </c>
      <c r="B722" s="8"/>
      <c r="C722" s="10">
        <v>5</v>
      </c>
      <c r="D722" s="10"/>
      <c r="E722" s="10"/>
      <c r="F722" s="30"/>
      <c r="G722" s="7">
        <f t="shared" si="197"/>
        <v>5</v>
      </c>
      <c r="H722" s="58">
        <v>43266</v>
      </c>
      <c r="I722" s="16"/>
      <c r="J722" s="8"/>
      <c r="K722" s="10"/>
      <c r="L722" s="10"/>
      <c r="M722" s="10"/>
      <c r="N722" s="30"/>
      <c r="O722" s="9">
        <f t="shared" si="198"/>
        <v>0</v>
      </c>
    </row>
    <row r="723" spans="1:17" x14ac:dyDescent="0.15">
      <c r="A723" s="16" t="s">
        <v>29</v>
      </c>
      <c r="B723" s="8"/>
      <c r="C723" s="10"/>
      <c r="D723" s="10">
        <v>1</v>
      </c>
      <c r="E723" s="10"/>
      <c r="F723" s="30"/>
      <c r="G723" s="7">
        <f t="shared" si="197"/>
        <v>1</v>
      </c>
      <c r="H723" s="58">
        <v>43262</v>
      </c>
      <c r="I723" s="16"/>
      <c r="J723" s="8"/>
      <c r="K723" s="10"/>
      <c r="L723" s="10"/>
      <c r="M723" s="10"/>
      <c r="N723" s="30"/>
      <c r="O723" s="9">
        <f t="shared" si="198"/>
        <v>0</v>
      </c>
    </row>
    <row r="724" spans="1:17" x14ac:dyDescent="0.15">
      <c r="A724" s="16" t="s">
        <v>729</v>
      </c>
      <c r="B724" s="11">
        <v>1</v>
      </c>
      <c r="C724" s="12">
        <v>1</v>
      </c>
      <c r="D724" s="12">
        <v>1</v>
      </c>
      <c r="E724" s="12">
        <v>1</v>
      </c>
      <c r="F724" s="31">
        <v>1</v>
      </c>
      <c r="G724" s="7">
        <f t="shared" si="197"/>
        <v>5</v>
      </c>
      <c r="H724" s="58">
        <v>43266</v>
      </c>
      <c r="I724" s="50"/>
      <c r="J724" s="8"/>
      <c r="K724" s="10"/>
      <c r="L724" s="10"/>
      <c r="M724" s="10"/>
      <c r="N724" s="30"/>
      <c r="O724" s="9">
        <f t="shared" si="198"/>
        <v>0</v>
      </c>
    </row>
    <row r="725" spans="1:17" x14ac:dyDescent="0.15">
      <c r="A725" s="16" t="s">
        <v>731</v>
      </c>
      <c r="B725" s="8"/>
      <c r="C725" s="10">
        <v>10</v>
      </c>
      <c r="D725" s="10"/>
      <c r="E725" s="10"/>
      <c r="F725" s="30"/>
      <c r="G725" s="7">
        <f t="shared" si="197"/>
        <v>10</v>
      </c>
      <c r="H725" s="58">
        <v>43269</v>
      </c>
      <c r="I725" s="16"/>
      <c r="J725" s="8"/>
      <c r="K725" s="10"/>
      <c r="L725" s="10"/>
      <c r="M725" s="10"/>
      <c r="N725" s="30"/>
      <c r="O725" s="9">
        <f t="shared" si="198"/>
        <v>0</v>
      </c>
      <c r="P725" s="56"/>
      <c r="Q725" s="56"/>
    </row>
    <row r="726" spans="1:17" x14ac:dyDescent="0.15">
      <c r="A726" s="16" t="s">
        <v>30</v>
      </c>
      <c r="B726" s="8">
        <v>1</v>
      </c>
      <c r="C726" s="10"/>
      <c r="D726" s="10">
        <v>1</v>
      </c>
      <c r="E726" s="10"/>
      <c r="F726" s="30"/>
      <c r="G726" s="7">
        <f t="shared" si="197"/>
        <v>2</v>
      </c>
      <c r="H726" s="58">
        <v>43269</v>
      </c>
      <c r="I726" s="16"/>
      <c r="J726" s="8"/>
      <c r="K726" s="10"/>
      <c r="L726" s="10"/>
      <c r="M726" s="10"/>
      <c r="N726" s="30"/>
      <c r="O726" s="9">
        <f t="shared" si="198"/>
        <v>0</v>
      </c>
      <c r="P726" s="58"/>
      <c r="Q726" s="56"/>
    </row>
    <row r="727" spans="1:17" x14ac:dyDescent="0.15">
      <c r="A727" s="14" t="s">
        <v>733</v>
      </c>
      <c r="B727" s="8"/>
      <c r="C727" s="10">
        <v>-5</v>
      </c>
      <c r="D727" s="10">
        <v>-5</v>
      </c>
      <c r="E727" s="10"/>
      <c r="F727" s="30"/>
      <c r="G727" s="7">
        <f t="shared" si="197"/>
        <v>-10</v>
      </c>
      <c r="H727" s="58">
        <v>43266</v>
      </c>
      <c r="I727" s="16"/>
      <c r="J727" s="8"/>
      <c r="K727" s="10"/>
      <c r="L727" s="10"/>
      <c r="M727" s="10"/>
      <c r="N727" s="30"/>
      <c r="O727" s="9">
        <f t="shared" si="198"/>
        <v>0</v>
      </c>
      <c r="P727" s="58"/>
      <c r="Q727" s="56"/>
    </row>
    <row r="728" spans="1:17" ht="14.25" thickBot="1" x14ac:dyDescent="0.2">
      <c r="A728" s="16" t="s">
        <v>29</v>
      </c>
      <c r="B728" s="11"/>
      <c r="C728" s="12"/>
      <c r="D728" s="12"/>
      <c r="E728" s="12">
        <v>1</v>
      </c>
      <c r="F728" s="31"/>
      <c r="G728" s="7">
        <f t="shared" si="197"/>
        <v>1</v>
      </c>
      <c r="H728" s="58">
        <v>43269</v>
      </c>
      <c r="I728" s="149"/>
      <c r="J728" s="60"/>
      <c r="K728" s="127"/>
      <c r="L728" s="127"/>
      <c r="M728" s="127"/>
      <c r="N728" s="128"/>
      <c r="O728" s="115">
        <f t="shared" si="198"/>
        <v>0</v>
      </c>
      <c r="P728" s="58"/>
      <c r="Q728" s="56"/>
    </row>
    <row r="729" spans="1:17" ht="14.25" thickBot="1" x14ac:dyDescent="0.2">
      <c r="A729" s="3" t="s">
        <v>11</v>
      </c>
      <c r="B729" s="23">
        <f>SUM(B703:B728)</f>
        <v>8</v>
      </c>
      <c r="C729" s="4">
        <f>SUM(C703:C728)</f>
        <v>26</v>
      </c>
      <c r="D729" s="4">
        <f>SUM(D703:D728)</f>
        <v>11</v>
      </c>
      <c r="E729" s="6">
        <f>SUM(E703:E728)</f>
        <v>14</v>
      </c>
      <c r="F729" s="32">
        <f>SUM(F703:F728)</f>
        <v>13</v>
      </c>
      <c r="G729" s="5">
        <f>SUM(B729:F729)</f>
        <v>72</v>
      </c>
      <c r="H729" s="58"/>
      <c r="I729" s="3" t="s">
        <v>11</v>
      </c>
      <c r="J729" s="23">
        <f>SUM(J703:J728)</f>
        <v>12</v>
      </c>
      <c r="K729" s="4">
        <f>SUM(K703:K728)</f>
        <v>23</v>
      </c>
      <c r="L729" s="4">
        <f>SUM(L703:L728)</f>
        <v>15</v>
      </c>
      <c r="M729" s="6">
        <f>SUM(M703:M728)</f>
        <v>8</v>
      </c>
      <c r="N729" s="32">
        <f>SUM(N703:N728)</f>
        <v>8</v>
      </c>
      <c r="O729" s="5">
        <f>SUM(J729:N729)</f>
        <v>66</v>
      </c>
    </row>
    <row r="730" spans="1:17" ht="14.25" thickBot="1" x14ac:dyDescent="0.2">
      <c r="A730" s="25" t="s">
        <v>12</v>
      </c>
      <c r="B730" s="63">
        <f>B702-B729</f>
        <v>12</v>
      </c>
      <c r="C730" s="26">
        <f t="shared" ref="C730:G730" si="199">C702-C729</f>
        <v>8</v>
      </c>
      <c r="D730" s="71">
        <f t="shared" si="199"/>
        <v>10</v>
      </c>
      <c r="E730" s="26">
        <f t="shared" si="199"/>
        <v>5</v>
      </c>
      <c r="F730" s="70">
        <f t="shared" si="199"/>
        <v>5</v>
      </c>
      <c r="G730" s="27">
        <f t="shared" si="199"/>
        <v>40</v>
      </c>
      <c r="H730" s="58"/>
      <c r="I730" s="25" t="s">
        <v>12</v>
      </c>
      <c r="J730" s="63">
        <f>J702-J729</f>
        <v>101</v>
      </c>
      <c r="K730" s="26">
        <f t="shared" ref="K730:O730" si="200">K702-K729</f>
        <v>52</v>
      </c>
      <c r="L730" s="71">
        <f t="shared" si="200"/>
        <v>49</v>
      </c>
      <c r="M730" s="26">
        <f t="shared" si="200"/>
        <v>39</v>
      </c>
      <c r="N730" s="70">
        <f t="shared" si="200"/>
        <v>17</v>
      </c>
      <c r="O730" s="27">
        <f t="shared" si="200"/>
        <v>258</v>
      </c>
    </row>
    <row r="731" spans="1:17" ht="21" x14ac:dyDescent="0.2">
      <c r="A731" s="83" t="s">
        <v>414</v>
      </c>
      <c r="B731" s="77"/>
      <c r="C731" s="77"/>
      <c r="D731" s="77"/>
      <c r="E731" s="77"/>
      <c r="F731" s="77"/>
      <c r="G731" s="77"/>
      <c r="H731" s="58"/>
      <c r="I731" s="83" t="s">
        <v>414</v>
      </c>
      <c r="J731" s="77"/>
      <c r="K731" s="77"/>
      <c r="L731" s="77"/>
      <c r="M731" s="77"/>
      <c r="N731" s="77"/>
      <c r="O731" s="77"/>
    </row>
    <row r="732" spans="1:17" ht="21.75" thickBot="1" x14ac:dyDescent="0.25">
      <c r="A732" s="83" t="s">
        <v>47</v>
      </c>
      <c r="B732" s="77"/>
      <c r="C732" s="77"/>
      <c r="D732" s="77"/>
      <c r="E732" s="84"/>
      <c r="F732" s="78" t="s">
        <v>53</v>
      </c>
      <c r="G732" s="77"/>
      <c r="H732" s="58"/>
      <c r="I732" s="83" t="s">
        <v>47</v>
      </c>
      <c r="J732" s="77"/>
      <c r="K732" s="77"/>
      <c r="L732" s="77"/>
      <c r="M732" s="84"/>
      <c r="N732" s="78" t="s">
        <v>54</v>
      </c>
      <c r="O732" s="77"/>
    </row>
    <row r="733" spans="1:17" ht="14.25" thickBot="1" x14ac:dyDescent="0.2">
      <c r="A733" s="13" t="s">
        <v>0</v>
      </c>
      <c r="B733" s="228" t="s">
        <v>49</v>
      </c>
      <c r="C733" s="229"/>
      <c r="D733" s="229"/>
      <c r="E733" s="229"/>
      <c r="F733" s="230"/>
      <c r="G733" s="231"/>
      <c r="H733" s="58"/>
      <c r="I733" s="13" t="s">
        <v>0</v>
      </c>
      <c r="J733" s="232" t="s">
        <v>49</v>
      </c>
      <c r="K733" s="233"/>
      <c r="L733" s="233"/>
      <c r="M733" s="233"/>
      <c r="N733" s="233"/>
      <c r="O733" s="234"/>
    </row>
    <row r="734" spans="1:17" ht="14.25" thickBot="1" x14ac:dyDescent="0.2">
      <c r="A734" s="3" t="s">
        <v>1</v>
      </c>
      <c r="B734" s="2" t="s">
        <v>42</v>
      </c>
      <c r="C734" s="21" t="s">
        <v>43</v>
      </c>
      <c r="D734" s="21" t="s">
        <v>44</v>
      </c>
      <c r="E734" s="24" t="s">
        <v>45</v>
      </c>
      <c r="F734" s="33" t="s">
        <v>46</v>
      </c>
      <c r="G734" s="34" t="s">
        <v>2</v>
      </c>
      <c r="H734" s="58"/>
      <c r="I734" s="3" t="s">
        <v>1</v>
      </c>
      <c r="J734" s="2" t="s">
        <v>42</v>
      </c>
      <c r="K734" s="21" t="s">
        <v>43</v>
      </c>
      <c r="L734" s="21" t="s">
        <v>44</v>
      </c>
      <c r="M734" s="24" t="s">
        <v>45</v>
      </c>
      <c r="N734" s="33" t="s">
        <v>46</v>
      </c>
      <c r="O734" s="3" t="s">
        <v>2</v>
      </c>
    </row>
    <row r="735" spans="1:17" ht="14.25" thickBot="1" x14ac:dyDescent="0.2">
      <c r="A735" s="116" t="s">
        <v>79</v>
      </c>
      <c r="B735" s="95">
        <f>B730</f>
        <v>12</v>
      </c>
      <c r="C735" s="97">
        <f t="shared" ref="C735:F735" si="201">C730</f>
        <v>8</v>
      </c>
      <c r="D735" s="55">
        <f t="shared" si="201"/>
        <v>10</v>
      </c>
      <c r="E735" s="98">
        <f t="shared" si="201"/>
        <v>5</v>
      </c>
      <c r="F735" s="98">
        <f t="shared" si="201"/>
        <v>5</v>
      </c>
      <c r="G735" s="52">
        <f t="shared" ref="G735:G744" si="202">SUM(B735:F735)</f>
        <v>40</v>
      </c>
      <c r="H735" s="58"/>
      <c r="I735" s="72" t="s">
        <v>79</v>
      </c>
      <c r="J735" s="73">
        <f>J730</f>
        <v>101</v>
      </c>
      <c r="K735" s="74">
        <f t="shared" ref="K735:N735" si="203">K730</f>
        <v>52</v>
      </c>
      <c r="L735" s="107">
        <f t="shared" si="203"/>
        <v>49</v>
      </c>
      <c r="M735" s="75">
        <f t="shared" si="203"/>
        <v>39</v>
      </c>
      <c r="N735" s="75">
        <f t="shared" si="203"/>
        <v>17</v>
      </c>
      <c r="O735" s="76">
        <f t="shared" ref="O735:O744" si="204">SUM(J735:N735)</f>
        <v>258</v>
      </c>
    </row>
    <row r="736" spans="1:17" x14ac:dyDescent="0.15">
      <c r="A736" s="38" t="s">
        <v>14</v>
      </c>
      <c r="B736" s="8"/>
      <c r="C736" s="10">
        <v>10</v>
      </c>
      <c r="D736" s="10"/>
      <c r="E736" s="10"/>
      <c r="F736" s="30"/>
      <c r="G736" s="7">
        <f t="shared" si="202"/>
        <v>10</v>
      </c>
      <c r="H736" s="58">
        <v>43269</v>
      </c>
      <c r="I736" s="38" t="s">
        <v>14</v>
      </c>
      <c r="J736" s="37"/>
      <c r="K736" s="35"/>
      <c r="L736" s="35"/>
      <c r="M736" s="35"/>
      <c r="N736" s="28"/>
      <c r="O736" s="7">
        <f t="shared" si="204"/>
        <v>0</v>
      </c>
    </row>
    <row r="737" spans="1:17" x14ac:dyDescent="0.15">
      <c r="A737" s="38" t="s">
        <v>3</v>
      </c>
      <c r="B737" s="8"/>
      <c r="C737" s="10"/>
      <c r="D737" s="10"/>
      <c r="E737" s="10">
        <v>10</v>
      </c>
      <c r="F737" s="28"/>
      <c r="G737" s="9">
        <f t="shared" si="202"/>
        <v>10</v>
      </c>
      <c r="H737" s="58">
        <v>43278</v>
      </c>
      <c r="I737" s="15" t="s">
        <v>3</v>
      </c>
      <c r="J737" s="8"/>
      <c r="K737" s="10"/>
      <c r="L737" s="10"/>
      <c r="M737" s="10"/>
      <c r="N737" s="28"/>
      <c r="O737" s="9">
        <f t="shared" si="204"/>
        <v>0</v>
      </c>
    </row>
    <row r="738" spans="1:17" x14ac:dyDescent="0.15">
      <c r="A738" s="38" t="s">
        <v>4</v>
      </c>
      <c r="B738" s="8">
        <v>5</v>
      </c>
      <c r="C738" s="10"/>
      <c r="D738" s="10"/>
      <c r="E738" s="10"/>
      <c r="F738" s="28"/>
      <c r="G738" s="9">
        <f t="shared" si="202"/>
        <v>5</v>
      </c>
      <c r="H738" s="58">
        <v>43281</v>
      </c>
      <c r="I738" s="15" t="s">
        <v>4</v>
      </c>
      <c r="J738" s="8"/>
      <c r="K738" s="10"/>
      <c r="L738" s="10"/>
      <c r="M738" s="10"/>
      <c r="N738" s="28"/>
      <c r="O738" s="9">
        <f t="shared" si="204"/>
        <v>0</v>
      </c>
    </row>
    <row r="739" spans="1:17" x14ac:dyDescent="0.15">
      <c r="A739" s="38" t="s">
        <v>5</v>
      </c>
      <c r="B739" s="8"/>
      <c r="C739" s="10"/>
      <c r="D739" s="10"/>
      <c r="E739" s="10">
        <v>5</v>
      </c>
      <c r="F739" s="28"/>
      <c r="G739" s="9">
        <f t="shared" si="202"/>
        <v>5</v>
      </c>
      <c r="H739" s="58">
        <v>43287</v>
      </c>
      <c r="I739" s="15" t="s">
        <v>5</v>
      </c>
      <c r="J739" s="8"/>
      <c r="K739" s="10"/>
      <c r="L739" s="10"/>
      <c r="M739" s="10"/>
      <c r="N739" s="28"/>
      <c r="O739" s="9">
        <f t="shared" si="204"/>
        <v>0</v>
      </c>
    </row>
    <row r="740" spans="1:17" x14ac:dyDescent="0.15">
      <c r="A740" s="38" t="s">
        <v>6</v>
      </c>
      <c r="B740" s="11"/>
      <c r="C740" s="12"/>
      <c r="D740" s="12"/>
      <c r="E740" s="12"/>
      <c r="F740" s="31">
        <v>17</v>
      </c>
      <c r="G740" s="7">
        <f t="shared" si="202"/>
        <v>17</v>
      </c>
      <c r="H740" s="58">
        <v>43288</v>
      </c>
      <c r="I740" s="15" t="s">
        <v>6</v>
      </c>
      <c r="J740" s="8"/>
      <c r="K740" s="10"/>
      <c r="L740" s="10"/>
      <c r="M740" s="10"/>
      <c r="N740" s="28"/>
      <c r="O740" s="9">
        <f t="shared" si="204"/>
        <v>0</v>
      </c>
    </row>
    <row r="741" spans="1:17" x14ac:dyDescent="0.15">
      <c r="A741" s="38" t="s">
        <v>84</v>
      </c>
      <c r="B741" s="8">
        <v>10</v>
      </c>
      <c r="C741" s="10"/>
      <c r="D741" s="10">
        <v>10</v>
      </c>
      <c r="E741" s="10">
        <v>15</v>
      </c>
      <c r="F741" s="30"/>
      <c r="G741" s="7">
        <f t="shared" si="202"/>
        <v>35</v>
      </c>
      <c r="H741" s="58">
        <v>43292</v>
      </c>
      <c r="I741" s="15" t="s">
        <v>84</v>
      </c>
      <c r="J741" s="11"/>
      <c r="K741" s="12"/>
      <c r="L741" s="12"/>
      <c r="M741" s="12"/>
      <c r="N741" s="31"/>
      <c r="O741" s="7">
        <f t="shared" si="204"/>
        <v>0</v>
      </c>
    </row>
    <row r="742" spans="1:17" x14ac:dyDescent="0.15">
      <c r="A742" s="38" t="s">
        <v>85</v>
      </c>
      <c r="B742" s="11"/>
      <c r="C742" s="100">
        <v>10</v>
      </c>
      <c r="D742" s="100"/>
      <c r="E742" s="100"/>
      <c r="F742" s="101"/>
      <c r="G742" s="102">
        <f t="shared" si="202"/>
        <v>10</v>
      </c>
      <c r="H742" s="58">
        <v>43295</v>
      </c>
      <c r="I742" s="15" t="s">
        <v>85</v>
      </c>
      <c r="J742" s="8"/>
      <c r="K742" s="10"/>
      <c r="L742" s="10"/>
      <c r="M742" s="10"/>
      <c r="N742" s="30"/>
      <c r="O742" s="7">
        <f t="shared" si="204"/>
        <v>0</v>
      </c>
    </row>
    <row r="743" spans="1:17" x14ac:dyDescent="0.15">
      <c r="A743" s="38" t="s">
        <v>271</v>
      </c>
      <c r="B743" s="11"/>
      <c r="C743" s="100"/>
      <c r="D743" s="100">
        <v>1</v>
      </c>
      <c r="E743" s="100"/>
      <c r="F743" s="101"/>
      <c r="G743" s="102">
        <f t="shared" si="202"/>
        <v>1</v>
      </c>
      <c r="H743" s="58">
        <v>43300</v>
      </c>
      <c r="I743" s="16" t="s">
        <v>88</v>
      </c>
      <c r="J743" s="8"/>
      <c r="K743" s="10"/>
      <c r="L743" s="10"/>
      <c r="M743" s="10"/>
      <c r="N743" s="30"/>
      <c r="O743" s="7">
        <f t="shared" si="204"/>
        <v>0</v>
      </c>
    </row>
    <row r="744" spans="1:17" ht="14.25" thickBot="1" x14ac:dyDescent="0.2">
      <c r="A744" s="38" t="s">
        <v>19</v>
      </c>
      <c r="B744" s="11"/>
      <c r="C744" s="100"/>
      <c r="D744" s="100"/>
      <c r="E744" s="100">
        <v>1</v>
      </c>
      <c r="F744" s="101">
        <v>1</v>
      </c>
      <c r="G744" s="102">
        <f t="shared" si="202"/>
        <v>2</v>
      </c>
      <c r="H744" s="58">
        <v>43301</v>
      </c>
      <c r="I744" s="15" t="s">
        <v>87</v>
      </c>
      <c r="J744" s="11"/>
      <c r="K744" s="100"/>
      <c r="L744" s="100"/>
      <c r="M744" s="100"/>
      <c r="N744" s="101"/>
      <c r="O744" s="102">
        <f t="shared" si="204"/>
        <v>0</v>
      </c>
    </row>
    <row r="745" spans="1:17" ht="14.25" thickBot="1" x14ac:dyDescent="0.2">
      <c r="A745" s="72" t="s">
        <v>7</v>
      </c>
      <c r="B745" s="73">
        <f>SUM(B735:B744)</f>
        <v>27</v>
      </c>
      <c r="C745" s="74">
        <f t="shared" ref="C745:G745" si="205">SUM(C735:C744)</f>
        <v>28</v>
      </c>
      <c r="D745" s="74">
        <f t="shared" si="205"/>
        <v>21</v>
      </c>
      <c r="E745" s="74">
        <f t="shared" si="205"/>
        <v>36</v>
      </c>
      <c r="F745" s="105">
        <f t="shared" si="205"/>
        <v>23</v>
      </c>
      <c r="G745" s="105">
        <f t="shared" si="205"/>
        <v>135</v>
      </c>
      <c r="H745" s="56"/>
      <c r="I745" s="72" t="s">
        <v>7</v>
      </c>
      <c r="J745" s="73">
        <f>SUM(J735:J744)</f>
        <v>101</v>
      </c>
      <c r="K745" s="74">
        <f t="shared" ref="K745:O745" si="206">SUM(K735:K744)</f>
        <v>52</v>
      </c>
      <c r="L745" s="74">
        <f t="shared" si="206"/>
        <v>49</v>
      </c>
      <c r="M745" s="74">
        <f t="shared" si="206"/>
        <v>39</v>
      </c>
      <c r="N745" s="105">
        <f t="shared" si="206"/>
        <v>17</v>
      </c>
      <c r="O745" s="105">
        <f t="shared" si="206"/>
        <v>258</v>
      </c>
    </row>
    <row r="746" spans="1:17" x14ac:dyDescent="0.15">
      <c r="A746" s="16" t="s">
        <v>110</v>
      </c>
      <c r="B746" s="8">
        <v>2</v>
      </c>
      <c r="C746" s="10"/>
      <c r="D746" s="10"/>
      <c r="E746" s="10">
        <v>3</v>
      </c>
      <c r="F746" s="30"/>
      <c r="G746" s="7">
        <f t="shared" ref="G746:G771" si="207">SUM(B746:F746)</f>
        <v>5</v>
      </c>
      <c r="H746" s="58">
        <v>43278</v>
      </c>
      <c r="I746" s="16" t="s">
        <v>740</v>
      </c>
      <c r="J746" s="17"/>
      <c r="K746" s="22">
        <v>10</v>
      </c>
      <c r="L746" s="22"/>
      <c r="M746" s="22"/>
      <c r="N746" s="29"/>
      <c r="O746" s="18">
        <f t="shared" ref="O746:O771" si="208">SUM(J746:N746)</f>
        <v>10</v>
      </c>
      <c r="P746" s="58">
        <v>43269</v>
      </c>
    </row>
    <row r="747" spans="1:17" x14ac:dyDescent="0.15">
      <c r="A747" s="16" t="s">
        <v>30</v>
      </c>
      <c r="B747" s="8"/>
      <c r="C747" s="10">
        <v>2</v>
      </c>
      <c r="D747" s="10">
        <v>1</v>
      </c>
      <c r="E747" s="10">
        <v>2</v>
      </c>
      <c r="F747" s="30"/>
      <c r="G747" s="7">
        <f t="shared" si="207"/>
        <v>5</v>
      </c>
      <c r="H747" s="58">
        <v>43277</v>
      </c>
      <c r="I747" s="16" t="s">
        <v>24</v>
      </c>
      <c r="J747" s="8"/>
      <c r="K747" s="10"/>
      <c r="L747" s="10"/>
      <c r="M747" s="10">
        <v>10</v>
      </c>
      <c r="N747" s="28"/>
      <c r="O747" s="9">
        <f t="shared" si="208"/>
        <v>10</v>
      </c>
      <c r="P747" s="58">
        <v>43278</v>
      </c>
    </row>
    <row r="748" spans="1:17" x14ac:dyDescent="0.15">
      <c r="A748" s="16" t="s">
        <v>30</v>
      </c>
      <c r="B748" s="8">
        <v>3</v>
      </c>
      <c r="C748" s="10"/>
      <c r="D748" s="10"/>
      <c r="E748" s="10"/>
      <c r="F748" s="30"/>
      <c r="G748" s="7">
        <f t="shared" si="207"/>
        <v>3</v>
      </c>
      <c r="H748" s="58">
        <v>43279</v>
      </c>
      <c r="I748" s="16" t="s">
        <v>24</v>
      </c>
      <c r="J748" s="8">
        <v>5</v>
      </c>
      <c r="K748" s="10"/>
      <c r="L748" s="10"/>
      <c r="M748" s="10"/>
      <c r="N748" s="30"/>
      <c r="O748" s="7">
        <f t="shared" si="208"/>
        <v>5</v>
      </c>
      <c r="P748" s="58">
        <v>43281</v>
      </c>
      <c r="Q748" s="56"/>
    </row>
    <row r="749" spans="1:17" x14ac:dyDescent="0.15">
      <c r="A749" s="16" t="s">
        <v>30</v>
      </c>
      <c r="B749" s="8"/>
      <c r="C749" s="10">
        <v>1</v>
      </c>
      <c r="D749" s="10"/>
      <c r="E749" s="10"/>
      <c r="F749" s="30"/>
      <c r="G749" s="7">
        <f t="shared" si="207"/>
        <v>1</v>
      </c>
      <c r="H749" s="58">
        <v>43280</v>
      </c>
      <c r="I749" s="16" t="s">
        <v>24</v>
      </c>
      <c r="J749" s="11"/>
      <c r="K749" s="100"/>
      <c r="L749" s="100"/>
      <c r="M749" s="100">
        <v>5</v>
      </c>
      <c r="N749" s="101"/>
      <c r="O749" s="9">
        <f t="shared" si="208"/>
        <v>5</v>
      </c>
      <c r="P749" s="58">
        <v>43287</v>
      </c>
    </row>
    <row r="750" spans="1:17" x14ac:dyDescent="0.15">
      <c r="A750" s="16" t="s">
        <v>30</v>
      </c>
      <c r="B750" s="8"/>
      <c r="C750" s="10"/>
      <c r="D750" s="10">
        <v>1</v>
      </c>
      <c r="E750" s="10"/>
      <c r="F750" s="30"/>
      <c r="G750" s="7">
        <f t="shared" si="207"/>
        <v>1</v>
      </c>
      <c r="H750" s="58">
        <v>43280</v>
      </c>
      <c r="I750" s="16" t="s">
        <v>24</v>
      </c>
      <c r="J750" s="8"/>
      <c r="K750" s="10"/>
      <c r="L750" s="10"/>
      <c r="M750" s="10"/>
      <c r="N750" s="30">
        <v>17</v>
      </c>
      <c r="O750" s="7">
        <f t="shared" si="208"/>
        <v>17</v>
      </c>
      <c r="P750" s="58">
        <v>43288</v>
      </c>
    </row>
    <row r="751" spans="1:17" x14ac:dyDescent="0.15">
      <c r="A751" s="39" t="s">
        <v>688</v>
      </c>
      <c r="B751" s="8">
        <v>2</v>
      </c>
      <c r="C751" s="10"/>
      <c r="D751" s="10"/>
      <c r="E751" s="10">
        <v>2</v>
      </c>
      <c r="F751" s="30"/>
      <c r="G751" s="7">
        <f t="shared" si="207"/>
        <v>4</v>
      </c>
      <c r="H751" s="58">
        <v>43284</v>
      </c>
      <c r="I751" s="16" t="s">
        <v>24</v>
      </c>
      <c r="J751" s="8">
        <v>10</v>
      </c>
      <c r="K751" s="10"/>
      <c r="L751" s="10">
        <v>10</v>
      </c>
      <c r="M751" s="10">
        <v>15</v>
      </c>
      <c r="N751" s="30"/>
      <c r="O751" s="7">
        <f t="shared" si="208"/>
        <v>35</v>
      </c>
      <c r="P751" s="58">
        <v>43292</v>
      </c>
    </row>
    <row r="752" spans="1:17" x14ac:dyDescent="0.15">
      <c r="A752" s="39" t="s">
        <v>688</v>
      </c>
      <c r="B752" s="8">
        <v>2</v>
      </c>
      <c r="C752" s="10">
        <v>4</v>
      </c>
      <c r="D752" s="10"/>
      <c r="E752" s="10">
        <v>2</v>
      </c>
      <c r="F752" s="30">
        <v>2</v>
      </c>
      <c r="G752" s="7">
        <f t="shared" si="207"/>
        <v>10</v>
      </c>
      <c r="H752" s="58">
        <v>43286</v>
      </c>
      <c r="I752" s="16" t="s">
        <v>768</v>
      </c>
      <c r="J752" s="8"/>
      <c r="K752" s="10">
        <v>10</v>
      </c>
      <c r="L752" s="10"/>
      <c r="M752" s="10"/>
      <c r="N752" s="30"/>
      <c r="O752" s="7">
        <f t="shared" si="208"/>
        <v>10</v>
      </c>
      <c r="P752" s="58">
        <v>43295</v>
      </c>
    </row>
    <row r="753" spans="1:16" x14ac:dyDescent="0.15">
      <c r="A753" s="16" t="s">
        <v>751</v>
      </c>
      <c r="B753" s="8"/>
      <c r="C753" s="10">
        <v>1</v>
      </c>
      <c r="D753" s="10">
        <v>1</v>
      </c>
      <c r="E753" s="10"/>
      <c r="F753" s="30"/>
      <c r="G753" s="7">
        <f t="shared" si="207"/>
        <v>2</v>
      </c>
      <c r="H753" s="58">
        <v>43283</v>
      </c>
      <c r="I753" s="16" t="s">
        <v>110</v>
      </c>
      <c r="J753" s="8"/>
      <c r="K753" s="10"/>
      <c r="L753" s="10">
        <v>2</v>
      </c>
      <c r="M753" s="10"/>
      <c r="N753" s="30"/>
      <c r="O753" s="7">
        <f t="shared" si="208"/>
        <v>2</v>
      </c>
      <c r="P753" s="58">
        <v>43305</v>
      </c>
    </row>
    <row r="754" spans="1:16" x14ac:dyDescent="0.15">
      <c r="A754" s="39" t="s">
        <v>688</v>
      </c>
      <c r="B754" s="8"/>
      <c r="C754" s="10"/>
      <c r="D754" s="10">
        <v>2</v>
      </c>
      <c r="E754" s="10">
        <v>2</v>
      </c>
      <c r="F754" s="30"/>
      <c r="G754" s="7">
        <f t="shared" si="207"/>
        <v>4</v>
      </c>
      <c r="H754" s="58">
        <v>43290</v>
      </c>
      <c r="I754" s="39"/>
      <c r="J754" s="8"/>
      <c r="K754" s="10"/>
      <c r="L754" s="10"/>
      <c r="M754" s="10"/>
      <c r="N754" s="30"/>
      <c r="O754" s="7">
        <f t="shared" si="208"/>
        <v>0</v>
      </c>
    </row>
    <row r="755" spans="1:16" x14ac:dyDescent="0.15">
      <c r="A755" s="16" t="s">
        <v>110</v>
      </c>
      <c r="B755" s="11"/>
      <c r="C755" s="12"/>
      <c r="D755" s="12"/>
      <c r="E755" s="12">
        <v>3</v>
      </c>
      <c r="F755" s="31"/>
      <c r="G755" s="7">
        <f t="shared" si="207"/>
        <v>3</v>
      </c>
      <c r="H755" s="58">
        <v>43291</v>
      </c>
      <c r="I755" s="16"/>
      <c r="J755" s="11"/>
      <c r="K755" s="12"/>
      <c r="L755" s="12"/>
      <c r="M755" s="12"/>
      <c r="N755" s="31"/>
      <c r="O755" s="7">
        <f t="shared" si="208"/>
        <v>0</v>
      </c>
    </row>
    <row r="756" spans="1:16" x14ac:dyDescent="0.15">
      <c r="A756" s="16" t="s">
        <v>30</v>
      </c>
      <c r="B756" s="8"/>
      <c r="C756" s="10"/>
      <c r="D756" s="10"/>
      <c r="E756" s="10"/>
      <c r="F756" s="30">
        <v>1</v>
      </c>
      <c r="G756" s="7">
        <f t="shared" si="207"/>
        <v>1</v>
      </c>
      <c r="H756" s="58">
        <v>43290</v>
      </c>
      <c r="I756" s="16"/>
      <c r="J756" s="8"/>
      <c r="K756" s="10"/>
      <c r="L756" s="10"/>
      <c r="M756" s="10"/>
      <c r="N756" s="30"/>
      <c r="O756" s="7">
        <f t="shared" si="208"/>
        <v>0</v>
      </c>
    </row>
    <row r="757" spans="1:16" x14ac:dyDescent="0.15">
      <c r="A757" s="16" t="s">
        <v>761</v>
      </c>
      <c r="B757" s="8">
        <v>2</v>
      </c>
      <c r="C757" s="10">
        <v>2</v>
      </c>
      <c r="D757" s="10">
        <v>2</v>
      </c>
      <c r="E757" s="10">
        <v>2</v>
      </c>
      <c r="F757" s="30"/>
      <c r="G757" s="7">
        <f t="shared" si="207"/>
        <v>8</v>
      </c>
      <c r="H757" s="58">
        <v>43291</v>
      </c>
      <c r="I757" s="14"/>
      <c r="J757" s="8"/>
      <c r="K757" s="10"/>
      <c r="L757" s="10"/>
      <c r="M757" s="10"/>
      <c r="N757" s="30"/>
      <c r="O757" s="7">
        <f t="shared" si="208"/>
        <v>0</v>
      </c>
    </row>
    <row r="758" spans="1:16" x14ac:dyDescent="0.15">
      <c r="A758" s="39" t="s">
        <v>688</v>
      </c>
      <c r="B758" s="8"/>
      <c r="C758" s="10">
        <v>2</v>
      </c>
      <c r="D758" s="10">
        <v>2</v>
      </c>
      <c r="E758" s="10">
        <v>4</v>
      </c>
      <c r="F758" s="30"/>
      <c r="G758" s="7">
        <f t="shared" si="207"/>
        <v>8</v>
      </c>
      <c r="H758" s="58">
        <v>43293</v>
      </c>
      <c r="I758" s="16"/>
      <c r="J758" s="8"/>
      <c r="K758" s="10"/>
      <c r="L758" s="10"/>
      <c r="M758" s="10"/>
      <c r="N758" s="30"/>
      <c r="O758" s="7">
        <f t="shared" si="208"/>
        <v>0</v>
      </c>
    </row>
    <row r="759" spans="1:16" x14ac:dyDescent="0.15">
      <c r="A759" s="16" t="s">
        <v>30</v>
      </c>
      <c r="B759" s="8"/>
      <c r="C759" s="10"/>
      <c r="D759" s="10">
        <v>1</v>
      </c>
      <c r="E759" s="10"/>
      <c r="F759" s="30"/>
      <c r="G759" s="7">
        <f t="shared" si="207"/>
        <v>1</v>
      </c>
      <c r="H759" s="58">
        <v>43294</v>
      </c>
      <c r="I759" s="64"/>
      <c r="J759" s="8"/>
      <c r="K759" s="10"/>
      <c r="L759" s="10"/>
      <c r="M759" s="10"/>
      <c r="N759" s="30"/>
      <c r="O759" s="7">
        <f t="shared" si="208"/>
        <v>0</v>
      </c>
    </row>
    <row r="760" spans="1:16" x14ac:dyDescent="0.15">
      <c r="A760" s="16" t="s">
        <v>29</v>
      </c>
      <c r="B760" s="8"/>
      <c r="C760" s="10">
        <v>1</v>
      </c>
      <c r="D760" s="10"/>
      <c r="E760" s="10"/>
      <c r="F760" s="30"/>
      <c r="G760" s="7">
        <f t="shared" si="207"/>
        <v>1</v>
      </c>
      <c r="H760" s="58">
        <v>43292</v>
      </c>
      <c r="I760" s="16"/>
      <c r="J760" s="8"/>
      <c r="K760" s="10"/>
      <c r="L760" s="10"/>
      <c r="M760" s="10"/>
      <c r="N760" s="30"/>
      <c r="O760" s="7">
        <f t="shared" si="208"/>
        <v>0</v>
      </c>
    </row>
    <row r="761" spans="1:16" x14ac:dyDescent="0.15">
      <c r="A761" s="16" t="s">
        <v>30</v>
      </c>
      <c r="B761" s="8"/>
      <c r="C761" s="10">
        <v>1</v>
      </c>
      <c r="D761" s="10"/>
      <c r="E761" s="10">
        <v>1</v>
      </c>
      <c r="F761" s="30"/>
      <c r="G761" s="7">
        <f t="shared" si="207"/>
        <v>2</v>
      </c>
      <c r="H761" s="58">
        <v>43294</v>
      </c>
      <c r="I761" s="16"/>
      <c r="J761" s="8"/>
      <c r="K761" s="10"/>
      <c r="L761" s="10"/>
      <c r="M761" s="10"/>
      <c r="N761" s="30"/>
      <c r="O761" s="7">
        <f t="shared" si="208"/>
        <v>0</v>
      </c>
    </row>
    <row r="762" spans="1:16" x14ac:dyDescent="0.15">
      <c r="A762" s="16" t="s">
        <v>30</v>
      </c>
      <c r="B762" s="8"/>
      <c r="C762" s="10"/>
      <c r="D762" s="10"/>
      <c r="E762" s="10"/>
      <c r="F762" s="30">
        <v>1</v>
      </c>
      <c r="G762" s="7">
        <f t="shared" si="207"/>
        <v>1</v>
      </c>
      <c r="H762" s="58">
        <v>43298</v>
      </c>
      <c r="I762" s="14"/>
      <c r="J762" s="8"/>
      <c r="K762" s="10"/>
      <c r="L762" s="10"/>
      <c r="M762" s="10"/>
      <c r="N762" s="30"/>
      <c r="O762" s="7">
        <f t="shared" si="208"/>
        <v>0</v>
      </c>
    </row>
    <row r="763" spans="1:16" x14ac:dyDescent="0.15">
      <c r="A763" s="39" t="s">
        <v>688</v>
      </c>
      <c r="B763" s="8">
        <v>2</v>
      </c>
      <c r="C763" s="10"/>
      <c r="D763" s="10"/>
      <c r="E763" s="10"/>
      <c r="F763" s="30"/>
      <c r="G763" s="7">
        <f t="shared" si="207"/>
        <v>2</v>
      </c>
      <c r="H763" s="58">
        <v>43300</v>
      </c>
      <c r="I763" s="16"/>
      <c r="J763" s="8"/>
      <c r="K763" s="10"/>
      <c r="L763" s="10"/>
      <c r="M763" s="10"/>
      <c r="N763" s="30"/>
      <c r="O763" s="7">
        <f t="shared" si="208"/>
        <v>0</v>
      </c>
    </row>
    <row r="764" spans="1:16" x14ac:dyDescent="0.15">
      <c r="A764" s="16" t="s">
        <v>25</v>
      </c>
      <c r="B764" s="8"/>
      <c r="C764" s="10">
        <v>3</v>
      </c>
      <c r="D764" s="10"/>
      <c r="E764" s="10">
        <v>4</v>
      </c>
      <c r="F764" s="30">
        <v>1</v>
      </c>
      <c r="G764" s="7">
        <f t="shared" si="207"/>
        <v>8</v>
      </c>
      <c r="H764" s="58">
        <v>43299</v>
      </c>
      <c r="I764" s="16"/>
      <c r="J764" s="8"/>
      <c r="K764" s="10"/>
      <c r="L764" s="10"/>
      <c r="M764" s="10"/>
      <c r="N764" s="30"/>
      <c r="O764" s="7">
        <f t="shared" si="208"/>
        <v>0</v>
      </c>
    </row>
    <row r="765" spans="1:16" x14ac:dyDescent="0.15">
      <c r="A765" s="16" t="s">
        <v>141</v>
      </c>
      <c r="B765" s="8"/>
      <c r="C765" s="10"/>
      <c r="D765" s="10"/>
      <c r="E765" s="10">
        <v>1</v>
      </c>
      <c r="F765" s="30"/>
      <c r="G765" s="7">
        <f t="shared" si="207"/>
        <v>1</v>
      </c>
      <c r="H765" s="58">
        <v>43300</v>
      </c>
      <c r="I765" s="16"/>
      <c r="J765" s="8"/>
      <c r="K765" s="10"/>
      <c r="L765" s="10"/>
      <c r="M765" s="10"/>
      <c r="N765" s="30"/>
      <c r="O765" s="9">
        <f t="shared" si="208"/>
        <v>0</v>
      </c>
    </row>
    <row r="766" spans="1:16" x14ac:dyDescent="0.15">
      <c r="A766" s="16" t="s">
        <v>25</v>
      </c>
      <c r="B766" s="8">
        <v>3</v>
      </c>
      <c r="C766" s="10">
        <v>3</v>
      </c>
      <c r="D766" s="10"/>
      <c r="E766" s="10">
        <v>1</v>
      </c>
      <c r="F766" s="30">
        <v>1</v>
      </c>
      <c r="G766" s="7">
        <f t="shared" si="207"/>
        <v>8</v>
      </c>
      <c r="H766" s="58">
        <v>43301</v>
      </c>
      <c r="I766" s="16"/>
      <c r="J766" s="8"/>
      <c r="K766" s="10"/>
      <c r="L766" s="10"/>
      <c r="M766" s="10"/>
      <c r="N766" s="30"/>
      <c r="O766" s="9">
        <f t="shared" si="208"/>
        <v>0</v>
      </c>
    </row>
    <row r="767" spans="1:16" x14ac:dyDescent="0.15">
      <c r="A767" s="16" t="s">
        <v>30</v>
      </c>
      <c r="B767" s="11"/>
      <c r="C767" s="12">
        <v>1</v>
      </c>
      <c r="D767" s="12"/>
      <c r="E767" s="12"/>
      <c r="F767" s="31"/>
      <c r="G767" s="7">
        <f t="shared" si="207"/>
        <v>1</v>
      </c>
      <c r="H767" s="58">
        <v>43304</v>
      </c>
      <c r="I767" s="50"/>
      <c r="J767" s="8"/>
      <c r="K767" s="10"/>
      <c r="L767" s="10"/>
      <c r="M767" s="10"/>
      <c r="N767" s="30"/>
      <c r="O767" s="9">
        <f t="shared" si="208"/>
        <v>0</v>
      </c>
      <c r="P767" s="56"/>
    </row>
    <row r="768" spans="1:16" x14ac:dyDescent="0.15">
      <c r="A768" s="16" t="s">
        <v>30</v>
      </c>
      <c r="B768" s="8"/>
      <c r="C768" s="10">
        <v>1</v>
      </c>
      <c r="D768" s="10"/>
      <c r="E768" s="10"/>
      <c r="F768" s="30"/>
      <c r="G768" s="7">
        <f t="shared" si="207"/>
        <v>1</v>
      </c>
      <c r="H768" s="58">
        <v>43306</v>
      </c>
      <c r="I768" s="16"/>
      <c r="J768" s="8"/>
      <c r="K768" s="10"/>
      <c r="L768" s="10"/>
      <c r="M768" s="10"/>
      <c r="N768" s="30"/>
      <c r="O768" s="9">
        <f t="shared" si="208"/>
        <v>0</v>
      </c>
      <c r="P768" s="58"/>
    </row>
    <row r="769" spans="1:16" x14ac:dyDescent="0.15">
      <c r="A769" s="16" t="s">
        <v>25</v>
      </c>
      <c r="B769" s="8"/>
      <c r="C769" s="10"/>
      <c r="D769" s="10"/>
      <c r="E769" s="10"/>
      <c r="F769" s="30">
        <v>2</v>
      </c>
      <c r="G769" s="7">
        <f t="shared" si="207"/>
        <v>2</v>
      </c>
      <c r="H769" s="58">
        <v>43305</v>
      </c>
      <c r="I769" s="16"/>
      <c r="J769" s="8"/>
      <c r="K769" s="10"/>
      <c r="L769" s="10"/>
      <c r="M769" s="10"/>
      <c r="N769" s="30"/>
      <c r="O769" s="9">
        <f t="shared" si="208"/>
        <v>0</v>
      </c>
      <c r="P769" s="58"/>
    </row>
    <row r="770" spans="1:16" x14ac:dyDescent="0.15">
      <c r="A770" s="16" t="s">
        <v>30</v>
      </c>
      <c r="B770" s="8"/>
      <c r="C770" s="10"/>
      <c r="D770" s="10">
        <v>2</v>
      </c>
      <c r="E770" s="10"/>
      <c r="F770" s="30"/>
      <c r="G770" s="7">
        <f t="shared" si="207"/>
        <v>2</v>
      </c>
      <c r="H770" s="58">
        <v>43307</v>
      </c>
      <c r="I770" s="16"/>
      <c r="J770" s="8"/>
      <c r="K770" s="10"/>
      <c r="L770" s="10"/>
      <c r="M770" s="10"/>
      <c r="N770" s="30"/>
      <c r="O770" s="9">
        <f t="shared" si="208"/>
        <v>0</v>
      </c>
      <c r="P770" s="58"/>
    </row>
    <row r="771" spans="1:16" ht="14.25" thickBot="1" x14ac:dyDescent="0.2">
      <c r="A771" s="39" t="s">
        <v>688</v>
      </c>
      <c r="B771" s="11"/>
      <c r="C771" s="12">
        <v>2</v>
      </c>
      <c r="D771" s="12">
        <v>2</v>
      </c>
      <c r="E771" s="12"/>
      <c r="F771" s="31"/>
      <c r="G771" s="7">
        <f t="shared" si="207"/>
        <v>4</v>
      </c>
      <c r="H771" s="58">
        <v>43308</v>
      </c>
      <c r="I771" s="149"/>
      <c r="J771" s="60"/>
      <c r="K771" s="127"/>
      <c r="L771" s="127"/>
      <c r="M771" s="127"/>
      <c r="N771" s="128"/>
      <c r="O771" s="115">
        <f t="shared" si="208"/>
        <v>0</v>
      </c>
      <c r="P771" s="58"/>
    </row>
    <row r="772" spans="1:16" ht="14.25" thickBot="1" x14ac:dyDescent="0.2">
      <c r="A772" s="3" t="s">
        <v>11</v>
      </c>
      <c r="B772" s="23">
        <f>SUM(B746:B771)</f>
        <v>16</v>
      </c>
      <c r="C772" s="4">
        <f>SUM(C746:C771)</f>
        <v>24</v>
      </c>
      <c r="D772" s="4">
        <f>SUM(D746:D771)</f>
        <v>14</v>
      </c>
      <c r="E772" s="6">
        <f>SUM(E746:E771)</f>
        <v>27</v>
      </c>
      <c r="F772" s="32">
        <f>SUM(F746:F771)</f>
        <v>8</v>
      </c>
      <c r="G772" s="5">
        <f>SUM(B772:F772)</f>
        <v>89</v>
      </c>
      <c r="H772" s="58"/>
      <c r="I772" s="3" t="s">
        <v>11</v>
      </c>
      <c r="J772" s="23">
        <f>SUM(J746:J771)</f>
        <v>15</v>
      </c>
      <c r="K772" s="4">
        <f>SUM(K746:K771)</f>
        <v>20</v>
      </c>
      <c r="L772" s="4">
        <f>SUM(L746:L771)</f>
        <v>12</v>
      </c>
      <c r="M772" s="6">
        <f>SUM(M746:M771)</f>
        <v>30</v>
      </c>
      <c r="N772" s="32">
        <f>SUM(N746:N771)</f>
        <v>17</v>
      </c>
      <c r="O772" s="5">
        <f>SUM(J772:N772)</f>
        <v>94</v>
      </c>
    </row>
    <row r="773" spans="1:16" ht="14.25" thickBot="1" x14ac:dyDescent="0.2">
      <c r="A773" s="25" t="s">
        <v>12</v>
      </c>
      <c r="B773" s="63">
        <f>B745-B772</f>
        <v>11</v>
      </c>
      <c r="C773" s="26">
        <f t="shared" ref="C773:G773" si="209">C745-C772</f>
        <v>4</v>
      </c>
      <c r="D773" s="71">
        <f t="shared" si="209"/>
        <v>7</v>
      </c>
      <c r="E773" s="26">
        <f t="shared" si="209"/>
        <v>9</v>
      </c>
      <c r="F773" s="70">
        <f t="shared" si="209"/>
        <v>15</v>
      </c>
      <c r="G773" s="27">
        <f t="shared" si="209"/>
        <v>46</v>
      </c>
      <c r="H773" s="58"/>
      <c r="I773" s="25" t="s">
        <v>12</v>
      </c>
      <c r="J773" s="63">
        <f>J745-J772</f>
        <v>86</v>
      </c>
      <c r="K773" s="26">
        <f t="shared" ref="K773:O773" si="210">K745-K772</f>
        <v>32</v>
      </c>
      <c r="L773" s="71">
        <f t="shared" si="210"/>
        <v>37</v>
      </c>
      <c r="M773" s="26">
        <f t="shared" si="210"/>
        <v>9</v>
      </c>
      <c r="N773" s="70">
        <f t="shared" si="210"/>
        <v>0</v>
      </c>
      <c r="O773" s="27">
        <f t="shared" si="210"/>
        <v>164</v>
      </c>
    </row>
    <row r="774" spans="1:16" ht="21" x14ac:dyDescent="0.2">
      <c r="A774" s="83" t="s">
        <v>414</v>
      </c>
      <c r="B774" s="77"/>
      <c r="C774" s="77"/>
      <c r="D774" s="77"/>
      <c r="E774" s="77"/>
      <c r="F774" s="77"/>
      <c r="G774" s="77"/>
      <c r="H774" s="58"/>
      <c r="I774" s="83" t="s">
        <v>414</v>
      </c>
      <c r="J774" s="77"/>
      <c r="K774" s="77"/>
      <c r="L774" s="77"/>
      <c r="M774" s="77"/>
      <c r="N774" s="77"/>
      <c r="O774" s="77"/>
    </row>
    <row r="775" spans="1:16" ht="21.75" thickBot="1" x14ac:dyDescent="0.25">
      <c r="A775" s="83" t="s">
        <v>47</v>
      </c>
      <c r="B775" s="77"/>
      <c r="C775" s="77"/>
      <c r="D775" s="77"/>
      <c r="E775" s="84"/>
      <c r="F775" s="78" t="s">
        <v>53</v>
      </c>
      <c r="G775" s="77"/>
      <c r="H775" s="58"/>
      <c r="I775" s="83" t="s">
        <v>47</v>
      </c>
      <c r="J775" s="77"/>
      <c r="K775" s="77"/>
      <c r="L775" s="77"/>
      <c r="M775" s="84"/>
      <c r="N775" s="78" t="s">
        <v>54</v>
      </c>
      <c r="O775" s="77"/>
    </row>
    <row r="776" spans="1:16" ht="14.25" thickBot="1" x14ac:dyDescent="0.2">
      <c r="A776" s="13" t="s">
        <v>0</v>
      </c>
      <c r="B776" s="228" t="s">
        <v>49</v>
      </c>
      <c r="C776" s="229"/>
      <c r="D776" s="229"/>
      <c r="E776" s="229"/>
      <c r="F776" s="230"/>
      <c r="G776" s="231"/>
      <c r="H776" s="58"/>
      <c r="I776" s="13" t="s">
        <v>0</v>
      </c>
      <c r="J776" s="232" t="s">
        <v>49</v>
      </c>
      <c r="K776" s="233"/>
      <c r="L776" s="233"/>
      <c r="M776" s="233"/>
      <c r="N776" s="233"/>
      <c r="O776" s="234"/>
    </row>
    <row r="777" spans="1:16" ht="14.25" thickBot="1" x14ac:dyDescent="0.2">
      <c r="A777" s="3" t="s">
        <v>1</v>
      </c>
      <c r="B777" s="2" t="s">
        <v>42</v>
      </c>
      <c r="C777" s="21" t="s">
        <v>43</v>
      </c>
      <c r="D777" s="21" t="s">
        <v>44</v>
      </c>
      <c r="E777" s="24" t="s">
        <v>45</v>
      </c>
      <c r="F777" s="33" t="s">
        <v>46</v>
      </c>
      <c r="G777" s="34" t="s">
        <v>2</v>
      </c>
      <c r="H777" s="58"/>
      <c r="I777" s="3" t="s">
        <v>1</v>
      </c>
      <c r="J777" s="2" t="s">
        <v>42</v>
      </c>
      <c r="K777" s="21" t="s">
        <v>43</v>
      </c>
      <c r="L777" s="21" t="s">
        <v>44</v>
      </c>
      <c r="M777" s="24" t="s">
        <v>45</v>
      </c>
      <c r="N777" s="33" t="s">
        <v>46</v>
      </c>
      <c r="O777" s="3" t="s">
        <v>2</v>
      </c>
    </row>
    <row r="778" spans="1:16" ht="14.25" thickBot="1" x14ac:dyDescent="0.2">
      <c r="A778" s="116" t="s">
        <v>79</v>
      </c>
      <c r="B778" s="95">
        <f>B773</f>
        <v>11</v>
      </c>
      <c r="C778" s="97">
        <f t="shared" ref="C778:F778" si="211">C773</f>
        <v>4</v>
      </c>
      <c r="D778" s="55">
        <f t="shared" si="211"/>
        <v>7</v>
      </c>
      <c r="E778" s="98">
        <f t="shared" si="211"/>
        <v>9</v>
      </c>
      <c r="F778" s="98">
        <f t="shared" si="211"/>
        <v>15</v>
      </c>
      <c r="G778" s="52">
        <f t="shared" ref="G778:G787" si="212">SUM(B778:F778)</f>
        <v>46</v>
      </c>
      <c r="H778" s="58"/>
      <c r="I778" s="72" t="s">
        <v>79</v>
      </c>
      <c r="J778" s="73">
        <f>J773</f>
        <v>86</v>
      </c>
      <c r="K778" s="74">
        <f t="shared" ref="K778:N778" si="213">K773</f>
        <v>32</v>
      </c>
      <c r="L778" s="107">
        <f t="shared" si="213"/>
        <v>37</v>
      </c>
      <c r="M778" s="75">
        <f t="shared" si="213"/>
        <v>9</v>
      </c>
      <c r="N778" s="75">
        <f t="shared" si="213"/>
        <v>0</v>
      </c>
      <c r="O778" s="76">
        <f t="shared" ref="O778:O787" si="214">SUM(J778:N778)</f>
        <v>164</v>
      </c>
    </row>
    <row r="779" spans="1:16" x14ac:dyDescent="0.15">
      <c r="A779" s="38" t="s">
        <v>14</v>
      </c>
      <c r="B779" s="8"/>
      <c r="C779" s="10">
        <v>5</v>
      </c>
      <c r="D779" s="10">
        <v>5</v>
      </c>
      <c r="E779" s="10"/>
      <c r="F779" s="30"/>
      <c r="G779" s="7">
        <f t="shared" si="212"/>
        <v>10</v>
      </c>
      <c r="H779" s="58">
        <v>43306</v>
      </c>
      <c r="I779" s="38" t="s">
        <v>14</v>
      </c>
      <c r="J779" s="37"/>
      <c r="K779" s="35"/>
      <c r="L779" s="35"/>
      <c r="M779" s="35"/>
      <c r="N779" s="28"/>
      <c r="O779" s="7">
        <f t="shared" si="214"/>
        <v>0</v>
      </c>
    </row>
    <row r="780" spans="1:16" x14ac:dyDescent="0.15">
      <c r="A780" s="38" t="s">
        <v>3</v>
      </c>
      <c r="B780" s="8"/>
      <c r="C780" s="10">
        <v>10</v>
      </c>
      <c r="D780" s="10"/>
      <c r="E780" s="10"/>
      <c r="F780" s="28"/>
      <c r="G780" s="9">
        <f t="shared" si="212"/>
        <v>10</v>
      </c>
      <c r="H780" s="58">
        <v>43321</v>
      </c>
      <c r="I780" s="15" t="s">
        <v>3</v>
      </c>
      <c r="J780" s="8"/>
      <c r="K780" s="10"/>
      <c r="L780" s="10"/>
      <c r="M780" s="10"/>
      <c r="N780" s="28"/>
      <c r="O780" s="9">
        <f t="shared" si="214"/>
        <v>0</v>
      </c>
    </row>
    <row r="781" spans="1:16" x14ac:dyDescent="0.15">
      <c r="A781" s="38" t="s">
        <v>17</v>
      </c>
      <c r="B781" s="8"/>
      <c r="C781" s="10"/>
      <c r="D781" s="10"/>
      <c r="E781" s="10">
        <v>2</v>
      </c>
      <c r="F781" s="28"/>
      <c r="G781" s="9">
        <f t="shared" si="212"/>
        <v>2</v>
      </c>
      <c r="H781" s="58">
        <v>43321</v>
      </c>
      <c r="I781" s="15" t="s">
        <v>4</v>
      </c>
      <c r="J781" s="8"/>
      <c r="K781" s="10"/>
      <c r="L781" s="10"/>
      <c r="M781" s="10"/>
      <c r="N781" s="28"/>
      <c r="O781" s="9">
        <f t="shared" si="214"/>
        <v>0</v>
      </c>
    </row>
    <row r="782" spans="1:16" x14ac:dyDescent="0.15">
      <c r="A782" s="38" t="s">
        <v>5</v>
      </c>
      <c r="B782" s="8"/>
      <c r="C782" s="10"/>
      <c r="D782" s="10">
        <v>10</v>
      </c>
      <c r="E782" s="10"/>
      <c r="F782" s="28"/>
      <c r="G782" s="9">
        <f t="shared" si="212"/>
        <v>10</v>
      </c>
      <c r="H782" s="58">
        <v>43332</v>
      </c>
      <c r="I782" s="15" t="s">
        <v>5</v>
      </c>
      <c r="J782" s="8"/>
      <c r="K782" s="10"/>
      <c r="L782" s="10"/>
      <c r="M782" s="10"/>
      <c r="N782" s="28"/>
      <c r="O782" s="9">
        <f t="shared" si="214"/>
        <v>0</v>
      </c>
    </row>
    <row r="783" spans="1:16" x14ac:dyDescent="0.15">
      <c r="A783" s="38" t="s">
        <v>6</v>
      </c>
      <c r="B783" s="11"/>
      <c r="C783" s="12"/>
      <c r="D783" s="12">
        <v>3</v>
      </c>
      <c r="E783" s="12"/>
      <c r="F783" s="31"/>
      <c r="G783" s="7">
        <f t="shared" si="212"/>
        <v>3</v>
      </c>
      <c r="H783" s="58">
        <v>43336</v>
      </c>
      <c r="I783" s="15" t="s">
        <v>6</v>
      </c>
      <c r="J783" s="8"/>
      <c r="K783" s="10"/>
      <c r="L783" s="10"/>
      <c r="M783" s="10"/>
      <c r="N783" s="28"/>
      <c r="O783" s="9">
        <f t="shared" si="214"/>
        <v>0</v>
      </c>
    </row>
    <row r="784" spans="1:16" x14ac:dyDescent="0.15">
      <c r="A784" s="38" t="s">
        <v>271</v>
      </c>
      <c r="B784" s="8">
        <v>1</v>
      </c>
      <c r="C784" s="10"/>
      <c r="D784" s="10"/>
      <c r="E784" s="10">
        <v>1</v>
      </c>
      <c r="F784" s="30"/>
      <c r="G784" s="7">
        <f t="shared" si="212"/>
        <v>2</v>
      </c>
      <c r="H784" s="58">
        <v>43341</v>
      </c>
      <c r="I784" s="15" t="s">
        <v>84</v>
      </c>
      <c r="J784" s="11"/>
      <c r="K784" s="12"/>
      <c r="L784" s="12"/>
      <c r="M784" s="12"/>
      <c r="N784" s="31"/>
      <c r="O784" s="7">
        <f t="shared" si="214"/>
        <v>0</v>
      </c>
    </row>
    <row r="785" spans="1:16" x14ac:dyDescent="0.15">
      <c r="A785" s="38" t="s">
        <v>271</v>
      </c>
      <c r="B785" s="11"/>
      <c r="C785" s="100">
        <v>1</v>
      </c>
      <c r="D785" s="100"/>
      <c r="E785" s="100"/>
      <c r="F785" s="101"/>
      <c r="G785" s="102">
        <f t="shared" si="212"/>
        <v>1</v>
      </c>
      <c r="H785" s="58">
        <v>43343</v>
      </c>
      <c r="I785" s="15" t="s">
        <v>85</v>
      </c>
      <c r="J785" s="8"/>
      <c r="K785" s="10"/>
      <c r="L785" s="10"/>
      <c r="M785" s="10"/>
      <c r="N785" s="30"/>
      <c r="O785" s="7">
        <f t="shared" si="214"/>
        <v>0</v>
      </c>
    </row>
    <row r="786" spans="1:16" x14ac:dyDescent="0.15">
      <c r="A786" s="38" t="s">
        <v>17</v>
      </c>
      <c r="B786" s="11"/>
      <c r="C786" s="100">
        <v>1</v>
      </c>
      <c r="D786" s="100"/>
      <c r="E786" s="100"/>
      <c r="F786" s="101"/>
      <c r="G786" s="102">
        <f t="shared" si="212"/>
        <v>1</v>
      </c>
      <c r="H786" s="58">
        <v>43347</v>
      </c>
      <c r="I786" s="16" t="s">
        <v>88</v>
      </c>
      <c r="J786" s="8"/>
      <c r="K786" s="10"/>
      <c r="L786" s="10"/>
      <c r="M786" s="10"/>
      <c r="N786" s="30"/>
      <c r="O786" s="7">
        <f t="shared" si="214"/>
        <v>0</v>
      </c>
    </row>
    <row r="787" spans="1:16" ht="14.25" thickBot="1" x14ac:dyDescent="0.2">
      <c r="A787" s="38" t="s">
        <v>271</v>
      </c>
      <c r="B787" s="11"/>
      <c r="C787" s="100"/>
      <c r="D787" s="100"/>
      <c r="E787" s="100">
        <v>1</v>
      </c>
      <c r="F787" s="101"/>
      <c r="G787" s="102">
        <f t="shared" si="212"/>
        <v>1</v>
      </c>
      <c r="H787" s="58">
        <v>43356</v>
      </c>
      <c r="I787" s="15" t="s">
        <v>87</v>
      </c>
      <c r="J787" s="11"/>
      <c r="K787" s="100"/>
      <c r="L787" s="100"/>
      <c r="M787" s="100"/>
      <c r="N787" s="101"/>
      <c r="O787" s="102">
        <f t="shared" si="214"/>
        <v>0</v>
      </c>
    </row>
    <row r="788" spans="1:16" ht="14.25" thickBot="1" x14ac:dyDescent="0.2">
      <c r="A788" s="72" t="s">
        <v>7</v>
      </c>
      <c r="B788" s="73">
        <f>SUM(B778:B787)</f>
        <v>12</v>
      </c>
      <c r="C788" s="74">
        <f t="shared" ref="C788:G788" si="215">SUM(C778:C787)</f>
        <v>21</v>
      </c>
      <c r="D788" s="74">
        <f t="shared" si="215"/>
        <v>25</v>
      </c>
      <c r="E788" s="74">
        <f t="shared" si="215"/>
        <v>13</v>
      </c>
      <c r="F788" s="105">
        <f t="shared" si="215"/>
        <v>15</v>
      </c>
      <c r="G788" s="105">
        <f t="shared" si="215"/>
        <v>86</v>
      </c>
      <c r="H788" s="56"/>
      <c r="I788" s="72" t="s">
        <v>7</v>
      </c>
      <c r="J788" s="73">
        <f>SUM(J778:J787)</f>
        <v>86</v>
      </c>
      <c r="K788" s="74">
        <f t="shared" ref="K788:O788" si="216">SUM(K778:K787)</f>
        <v>32</v>
      </c>
      <c r="L788" s="74">
        <f t="shared" si="216"/>
        <v>37</v>
      </c>
      <c r="M788" s="74">
        <f t="shared" si="216"/>
        <v>9</v>
      </c>
      <c r="N788" s="105">
        <f t="shared" si="216"/>
        <v>0</v>
      </c>
      <c r="O788" s="105">
        <f t="shared" si="216"/>
        <v>164</v>
      </c>
    </row>
    <row r="789" spans="1:16" x14ac:dyDescent="0.15">
      <c r="A789" s="16" t="s">
        <v>25</v>
      </c>
      <c r="B789" s="8">
        <v>1</v>
      </c>
      <c r="C789" s="10"/>
      <c r="D789" s="10"/>
      <c r="E789" s="10">
        <v>1</v>
      </c>
      <c r="F789" s="30"/>
      <c r="G789" s="7">
        <f t="shared" ref="G789:G814" si="217">SUM(B789:F789)</f>
        <v>2</v>
      </c>
      <c r="H789" s="58">
        <v>43307</v>
      </c>
      <c r="I789" s="16" t="s">
        <v>777</v>
      </c>
      <c r="J789" s="17"/>
      <c r="K789" s="22">
        <v>5</v>
      </c>
      <c r="L789" s="22">
        <v>5</v>
      </c>
      <c r="M789" s="22"/>
      <c r="N789" s="29"/>
      <c r="O789" s="18">
        <f t="shared" ref="O789:O813" si="218">SUM(J789:N789)</f>
        <v>10</v>
      </c>
      <c r="P789" s="58">
        <v>43306</v>
      </c>
    </row>
    <row r="790" spans="1:16" x14ac:dyDescent="0.15">
      <c r="A790" s="16" t="s">
        <v>25</v>
      </c>
      <c r="B790" s="8"/>
      <c r="C790" s="10">
        <v>1</v>
      </c>
      <c r="D790" s="10"/>
      <c r="E790" s="10"/>
      <c r="F790" s="30"/>
      <c r="G790" s="7">
        <f t="shared" si="217"/>
        <v>1</v>
      </c>
      <c r="H790" s="58">
        <v>43309</v>
      </c>
      <c r="I790" s="16" t="s">
        <v>24</v>
      </c>
      <c r="J790" s="8"/>
      <c r="K790" s="10">
        <v>10</v>
      </c>
      <c r="L790" s="10"/>
      <c r="M790" s="10"/>
      <c r="N790" s="28"/>
      <c r="O790" s="9">
        <f t="shared" si="218"/>
        <v>10</v>
      </c>
      <c r="P790" s="58">
        <v>43321</v>
      </c>
    </row>
    <row r="791" spans="1:16" x14ac:dyDescent="0.15">
      <c r="A791" s="16" t="s">
        <v>25</v>
      </c>
      <c r="B791" s="8"/>
      <c r="C791" s="10"/>
      <c r="D791" s="10"/>
      <c r="E791" s="10"/>
      <c r="F791" s="30">
        <v>2</v>
      </c>
      <c r="G791" s="7">
        <f t="shared" si="217"/>
        <v>2</v>
      </c>
      <c r="H791" s="58">
        <v>43312</v>
      </c>
      <c r="I791" s="16" t="s">
        <v>24</v>
      </c>
      <c r="J791" s="8"/>
      <c r="K791" s="10"/>
      <c r="L791" s="10">
        <v>10</v>
      </c>
      <c r="M791" s="10"/>
      <c r="N791" s="30"/>
      <c r="O791" s="7">
        <f t="shared" si="218"/>
        <v>10</v>
      </c>
      <c r="P791" s="58">
        <v>43332</v>
      </c>
    </row>
    <row r="792" spans="1:16" x14ac:dyDescent="0.15">
      <c r="A792" s="16" t="s">
        <v>30</v>
      </c>
      <c r="B792" s="8"/>
      <c r="C792" s="10">
        <v>1</v>
      </c>
      <c r="D792" s="10"/>
      <c r="E792" s="10"/>
      <c r="F792" s="30"/>
      <c r="G792" s="7">
        <f t="shared" si="217"/>
        <v>1</v>
      </c>
      <c r="H792" s="58">
        <v>43314</v>
      </c>
      <c r="I792" s="16" t="s">
        <v>110</v>
      </c>
      <c r="J792" s="11"/>
      <c r="K792" s="100">
        <v>3</v>
      </c>
      <c r="L792" s="100">
        <v>3</v>
      </c>
      <c r="M792" s="100"/>
      <c r="N792" s="101"/>
      <c r="O792" s="9">
        <f t="shared" si="218"/>
        <v>6</v>
      </c>
      <c r="P792" s="58">
        <v>43339</v>
      </c>
    </row>
    <row r="793" spans="1:16" x14ac:dyDescent="0.15">
      <c r="A793" s="16" t="s">
        <v>25</v>
      </c>
      <c r="B793" s="8"/>
      <c r="C793" s="10"/>
      <c r="D793" s="10">
        <v>1</v>
      </c>
      <c r="E793" s="10"/>
      <c r="F793" s="30"/>
      <c r="G793" s="7">
        <f t="shared" si="217"/>
        <v>1</v>
      </c>
      <c r="H793" s="58">
        <v>43314</v>
      </c>
      <c r="I793" s="16" t="s">
        <v>110</v>
      </c>
      <c r="J793" s="8"/>
      <c r="K793" s="10"/>
      <c r="L793" s="10">
        <v>2</v>
      </c>
      <c r="M793" s="10"/>
      <c r="N793" s="30"/>
      <c r="O793" s="7">
        <f t="shared" si="218"/>
        <v>2</v>
      </c>
      <c r="P793" s="58">
        <v>43369</v>
      </c>
    </row>
    <row r="794" spans="1:16" x14ac:dyDescent="0.15">
      <c r="A794" s="39" t="s">
        <v>688</v>
      </c>
      <c r="B794" s="8">
        <v>1</v>
      </c>
      <c r="C794" s="10"/>
      <c r="D794" s="10"/>
      <c r="E794" s="10"/>
      <c r="F794" s="30"/>
      <c r="G794" s="7">
        <f t="shared" si="217"/>
        <v>1</v>
      </c>
      <c r="H794" s="58">
        <v>43315</v>
      </c>
      <c r="I794" s="16" t="s">
        <v>110</v>
      </c>
      <c r="J794" s="8"/>
      <c r="K794" s="10"/>
      <c r="L794" s="10">
        <v>2</v>
      </c>
      <c r="M794" s="10"/>
      <c r="N794" s="30"/>
      <c r="O794" s="7">
        <f t="shared" si="218"/>
        <v>2</v>
      </c>
      <c r="P794" s="58">
        <v>43375</v>
      </c>
    </row>
    <row r="795" spans="1:16" x14ac:dyDescent="0.15">
      <c r="A795" s="16" t="s">
        <v>25</v>
      </c>
      <c r="B795" s="8"/>
      <c r="C795" s="10"/>
      <c r="D795" s="10">
        <v>2</v>
      </c>
      <c r="E795" s="10"/>
      <c r="F795" s="30"/>
      <c r="G795" s="7">
        <f t="shared" si="217"/>
        <v>2</v>
      </c>
      <c r="H795" s="58">
        <v>43316</v>
      </c>
      <c r="I795" s="16" t="s">
        <v>24</v>
      </c>
      <c r="J795" s="8"/>
      <c r="K795" s="10"/>
      <c r="L795" s="10">
        <v>10</v>
      </c>
      <c r="M795" s="10"/>
      <c r="N795" s="30"/>
      <c r="O795" s="7">
        <f t="shared" si="218"/>
        <v>10</v>
      </c>
      <c r="P795" s="58">
        <v>43371</v>
      </c>
    </row>
    <row r="796" spans="1:16" x14ac:dyDescent="0.15">
      <c r="A796" s="16" t="s">
        <v>25</v>
      </c>
      <c r="B796" s="8"/>
      <c r="C796" s="10">
        <v>1</v>
      </c>
      <c r="D796" s="10"/>
      <c r="E796" s="10"/>
      <c r="F796" s="30"/>
      <c r="G796" s="7">
        <f t="shared" si="217"/>
        <v>1</v>
      </c>
      <c r="H796" s="58">
        <v>43319</v>
      </c>
      <c r="I796" s="16" t="s">
        <v>110</v>
      </c>
      <c r="J796" s="8"/>
      <c r="K796" s="10">
        <v>2</v>
      </c>
      <c r="L796" s="10"/>
      <c r="M796" s="10"/>
      <c r="N796" s="30"/>
      <c r="O796" s="7">
        <f t="shared" si="218"/>
        <v>2</v>
      </c>
      <c r="P796" s="58">
        <v>43383</v>
      </c>
    </row>
    <row r="797" spans="1:16" x14ac:dyDescent="0.15">
      <c r="A797" s="39" t="s">
        <v>792</v>
      </c>
      <c r="B797" s="8"/>
      <c r="C797" s="10">
        <v>10</v>
      </c>
      <c r="D797" s="10"/>
      <c r="E797" s="10"/>
      <c r="F797" s="30"/>
      <c r="G797" s="7">
        <f t="shared" si="217"/>
        <v>10</v>
      </c>
      <c r="H797" s="58">
        <v>43325</v>
      </c>
      <c r="I797" s="16" t="s">
        <v>110</v>
      </c>
      <c r="J797" s="11"/>
      <c r="K797" s="12"/>
      <c r="L797" s="12">
        <v>2</v>
      </c>
      <c r="M797" s="12"/>
      <c r="N797" s="31"/>
      <c r="O797" s="7">
        <f t="shared" ref="O797" si="219">SUM(J797:N797)</f>
        <v>2</v>
      </c>
      <c r="P797" s="58">
        <v>43383</v>
      </c>
    </row>
    <row r="798" spans="1:16" x14ac:dyDescent="0.15">
      <c r="A798" s="16" t="s">
        <v>794</v>
      </c>
      <c r="B798" s="11"/>
      <c r="C798" s="12"/>
      <c r="D798" s="12">
        <v>1</v>
      </c>
      <c r="E798" s="12">
        <v>1</v>
      </c>
      <c r="F798" s="31"/>
      <c r="G798" s="7">
        <f t="shared" si="217"/>
        <v>2</v>
      </c>
      <c r="H798" s="58">
        <v>43319</v>
      </c>
      <c r="I798" s="16" t="s">
        <v>110</v>
      </c>
      <c r="J798" s="11"/>
      <c r="K798" s="12">
        <v>2</v>
      </c>
      <c r="L798" s="12"/>
      <c r="M798" s="12"/>
      <c r="N798" s="31"/>
      <c r="O798" s="7">
        <f t="shared" si="218"/>
        <v>2</v>
      </c>
      <c r="P798" s="58">
        <v>43389</v>
      </c>
    </row>
    <row r="799" spans="1:16" x14ac:dyDescent="0.15">
      <c r="A799" s="39" t="s">
        <v>22</v>
      </c>
      <c r="B799" s="8"/>
      <c r="C799" s="10"/>
      <c r="D799" s="10">
        <v>10</v>
      </c>
      <c r="E799" s="10"/>
      <c r="F799" s="30"/>
      <c r="G799" s="7">
        <f t="shared" si="217"/>
        <v>10</v>
      </c>
      <c r="H799" s="58">
        <v>43334</v>
      </c>
      <c r="I799" s="16" t="s">
        <v>110</v>
      </c>
      <c r="J799" s="8"/>
      <c r="K799" s="10">
        <v>2</v>
      </c>
      <c r="L799" s="10"/>
      <c r="M799" s="10"/>
      <c r="N799" s="30"/>
      <c r="O799" s="7">
        <f t="shared" si="218"/>
        <v>2</v>
      </c>
      <c r="P799" s="58">
        <v>43391</v>
      </c>
    </row>
    <row r="800" spans="1:16" x14ac:dyDescent="0.15">
      <c r="A800" s="16" t="s">
        <v>25</v>
      </c>
      <c r="B800" s="8"/>
      <c r="C800" s="10"/>
      <c r="D800" s="10"/>
      <c r="E800" s="10"/>
      <c r="F800" s="30">
        <v>1</v>
      </c>
      <c r="G800" s="7">
        <f t="shared" si="217"/>
        <v>1</v>
      </c>
      <c r="H800" s="58">
        <v>43333</v>
      </c>
      <c r="I800" s="14"/>
      <c r="J800" s="8"/>
      <c r="K800" s="10"/>
      <c r="L800" s="10"/>
      <c r="M800" s="10"/>
      <c r="N800" s="30"/>
      <c r="O800" s="7">
        <f t="shared" si="218"/>
        <v>0</v>
      </c>
    </row>
    <row r="801" spans="1:17" x14ac:dyDescent="0.15">
      <c r="A801" s="16" t="s">
        <v>29</v>
      </c>
      <c r="B801" s="8"/>
      <c r="C801" s="10"/>
      <c r="D801" s="10">
        <v>1</v>
      </c>
      <c r="E801" s="10"/>
      <c r="F801" s="30"/>
      <c r="G801" s="7">
        <f t="shared" si="217"/>
        <v>1</v>
      </c>
      <c r="H801" s="58">
        <v>43334</v>
      </c>
      <c r="I801" s="16"/>
      <c r="J801" s="8"/>
      <c r="K801" s="10"/>
      <c r="L801" s="10"/>
      <c r="M801" s="10"/>
      <c r="N801" s="30"/>
      <c r="O801" s="7">
        <f t="shared" si="218"/>
        <v>0</v>
      </c>
    </row>
    <row r="802" spans="1:17" x14ac:dyDescent="0.15">
      <c r="A802" s="16" t="s">
        <v>814</v>
      </c>
      <c r="B802" s="8"/>
      <c r="C802" s="10"/>
      <c r="D802" s="10"/>
      <c r="E802" s="10"/>
      <c r="F802" s="30">
        <v>1</v>
      </c>
      <c r="G802" s="7">
        <f t="shared" si="217"/>
        <v>1</v>
      </c>
      <c r="H802" s="58">
        <v>43339</v>
      </c>
      <c r="I802" s="64"/>
      <c r="J802" s="8"/>
      <c r="K802" s="10"/>
      <c r="L802" s="10"/>
      <c r="M802" s="10"/>
      <c r="N802" s="30"/>
      <c r="O802" s="7">
        <f t="shared" si="218"/>
        <v>0</v>
      </c>
    </row>
    <row r="803" spans="1:17" x14ac:dyDescent="0.15">
      <c r="A803" s="16" t="s">
        <v>141</v>
      </c>
      <c r="B803" s="8"/>
      <c r="C803" s="10"/>
      <c r="D803" s="10"/>
      <c r="E803" s="10">
        <v>1</v>
      </c>
      <c r="F803" s="30"/>
      <c r="G803" s="7">
        <f t="shared" si="217"/>
        <v>1</v>
      </c>
      <c r="H803" s="58">
        <v>43347</v>
      </c>
      <c r="I803" s="16"/>
      <c r="J803" s="8"/>
      <c r="K803" s="10"/>
      <c r="L803" s="10"/>
      <c r="M803" s="10"/>
      <c r="N803" s="30"/>
      <c r="O803" s="7">
        <f t="shared" si="218"/>
        <v>0</v>
      </c>
    </row>
    <row r="804" spans="1:17" x14ac:dyDescent="0.15">
      <c r="A804" s="16" t="s">
        <v>25</v>
      </c>
      <c r="B804" s="8"/>
      <c r="C804" s="10"/>
      <c r="D804" s="10"/>
      <c r="E804" s="10"/>
      <c r="F804" s="30">
        <v>1</v>
      </c>
      <c r="G804" s="7">
        <f t="shared" si="217"/>
        <v>1</v>
      </c>
      <c r="H804" s="58">
        <v>43349</v>
      </c>
      <c r="I804" s="16"/>
      <c r="J804" s="8"/>
      <c r="K804" s="10"/>
      <c r="L804" s="10"/>
      <c r="M804" s="10"/>
      <c r="N804" s="30"/>
      <c r="O804" s="7">
        <f t="shared" si="218"/>
        <v>0</v>
      </c>
    </row>
    <row r="805" spans="1:17" x14ac:dyDescent="0.15">
      <c r="A805" s="16" t="s">
        <v>831</v>
      </c>
      <c r="B805" s="8"/>
      <c r="C805" s="10"/>
      <c r="D805" s="10">
        <v>1</v>
      </c>
      <c r="E805" s="10">
        <v>-1</v>
      </c>
      <c r="F805" s="30"/>
      <c r="G805" s="7">
        <f t="shared" si="217"/>
        <v>0</v>
      </c>
      <c r="H805" s="58">
        <v>43354</v>
      </c>
      <c r="I805" s="14"/>
      <c r="J805" s="8"/>
      <c r="K805" s="10"/>
      <c r="L805" s="10"/>
      <c r="M805" s="10"/>
      <c r="N805" s="30"/>
      <c r="O805" s="7">
        <f t="shared" si="218"/>
        <v>0</v>
      </c>
    </row>
    <row r="806" spans="1:17" x14ac:dyDescent="0.15">
      <c r="A806" s="16" t="s">
        <v>29</v>
      </c>
      <c r="B806" s="8"/>
      <c r="C806" s="10"/>
      <c r="D806" s="10"/>
      <c r="E806" s="10">
        <v>1</v>
      </c>
      <c r="F806" s="30"/>
      <c r="G806" s="7">
        <f t="shared" si="217"/>
        <v>1</v>
      </c>
      <c r="H806" s="58">
        <v>43356</v>
      </c>
      <c r="I806" s="16"/>
      <c r="J806" s="8"/>
      <c r="K806" s="10"/>
      <c r="L806" s="10"/>
      <c r="M806" s="10"/>
      <c r="N806" s="30"/>
      <c r="O806" s="7">
        <f t="shared" si="218"/>
        <v>0</v>
      </c>
    </row>
    <row r="807" spans="1:17" x14ac:dyDescent="0.15">
      <c r="A807" s="39" t="s">
        <v>110</v>
      </c>
      <c r="B807" s="8"/>
      <c r="C807" s="10">
        <v>2</v>
      </c>
      <c r="D807" s="10"/>
      <c r="E807" s="10"/>
      <c r="F807" s="30"/>
      <c r="G807" s="7">
        <f t="shared" si="217"/>
        <v>2</v>
      </c>
      <c r="H807" s="58">
        <v>43371</v>
      </c>
      <c r="I807" s="16"/>
      <c r="J807" s="8"/>
      <c r="K807" s="10"/>
      <c r="L807" s="10"/>
      <c r="M807" s="10"/>
      <c r="N807" s="30"/>
      <c r="O807" s="7">
        <f t="shared" si="218"/>
        <v>0</v>
      </c>
    </row>
    <row r="808" spans="1:17" x14ac:dyDescent="0.15">
      <c r="A808" s="39" t="s">
        <v>22</v>
      </c>
      <c r="B808" s="8"/>
      <c r="C808" s="10"/>
      <c r="D808" s="10">
        <v>10</v>
      </c>
      <c r="E808" s="10"/>
      <c r="F808" s="30"/>
      <c r="G808" s="7">
        <f t="shared" ref="G808:G810" si="220">SUM(B808:F808)</f>
        <v>10</v>
      </c>
      <c r="H808" s="58">
        <v>43375</v>
      </c>
      <c r="I808" s="16"/>
      <c r="J808" s="8"/>
      <c r="K808" s="10"/>
      <c r="L808" s="10"/>
      <c r="M808" s="10"/>
      <c r="N808" s="30"/>
      <c r="O808" s="9">
        <f t="shared" si="218"/>
        <v>0</v>
      </c>
    </row>
    <row r="809" spans="1:17" x14ac:dyDescent="0.15">
      <c r="A809" s="16" t="s">
        <v>28</v>
      </c>
      <c r="B809" s="8"/>
      <c r="C809" s="10"/>
      <c r="D809" s="10">
        <v>-10</v>
      </c>
      <c r="E809" s="10"/>
      <c r="F809" s="30"/>
      <c r="G809" s="7">
        <f t="shared" si="220"/>
        <v>-10</v>
      </c>
      <c r="H809" s="58">
        <v>43371</v>
      </c>
      <c r="I809" s="16"/>
      <c r="J809" s="8"/>
      <c r="K809" s="10"/>
      <c r="L809" s="10"/>
      <c r="M809" s="10"/>
      <c r="N809" s="30"/>
      <c r="O809" s="9">
        <f t="shared" si="218"/>
        <v>0</v>
      </c>
    </row>
    <row r="810" spans="1:17" x14ac:dyDescent="0.15">
      <c r="A810" s="38" t="s">
        <v>19</v>
      </c>
      <c r="B810" s="8"/>
      <c r="C810" s="10">
        <v>-2</v>
      </c>
      <c r="D810" s="10">
        <v>-1</v>
      </c>
      <c r="E810" s="10"/>
      <c r="F810" s="30"/>
      <c r="G810" s="7">
        <f t="shared" si="220"/>
        <v>-3</v>
      </c>
      <c r="H810" s="58">
        <v>43370</v>
      </c>
      <c r="I810" s="50"/>
      <c r="J810" s="8"/>
      <c r="K810" s="10"/>
      <c r="L810" s="10"/>
      <c r="M810" s="10"/>
      <c r="N810" s="30"/>
      <c r="O810" s="9">
        <f t="shared" si="218"/>
        <v>0</v>
      </c>
    </row>
    <row r="811" spans="1:17" x14ac:dyDescent="0.15">
      <c r="A811" s="16" t="s">
        <v>846</v>
      </c>
      <c r="B811" s="8"/>
      <c r="C811" s="10"/>
      <c r="D811" s="10"/>
      <c r="E811" s="10">
        <v>-1</v>
      </c>
      <c r="F811" s="30"/>
      <c r="G811" s="7">
        <f t="shared" si="217"/>
        <v>-1</v>
      </c>
      <c r="H811" s="58">
        <v>43375</v>
      </c>
      <c r="I811" s="16"/>
      <c r="J811" s="8"/>
      <c r="K811" s="10"/>
      <c r="L811" s="10"/>
      <c r="M811" s="10"/>
      <c r="N811" s="30"/>
      <c r="O811" s="9">
        <f t="shared" si="218"/>
        <v>0</v>
      </c>
      <c r="P811" s="58"/>
    </row>
    <row r="812" spans="1:17" x14ac:dyDescent="0.15">
      <c r="A812" s="16" t="s">
        <v>25</v>
      </c>
      <c r="B812" s="8"/>
      <c r="C812" s="10"/>
      <c r="D812" s="10">
        <v>1</v>
      </c>
      <c r="E812" s="10"/>
      <c r="F812" s="30"/>
      <c r="G812" s="7">
        <f t="shared" si="217"/>
        <v>1</v>
      </c>
      <c r="H812" s="58">
        <v>43385</v>
      </c>
      <c r="I812" s="16"/>
      <c r="J812" s="8"/>
      <c r="K812" s="10"/>
      <c r="L812" s="10"/>
      <c r="M812" s="10"/>
      <c r="N812" s="30"/>
      <c r="O812" s="9">
        <f t="shared" si="218"/>
        <v>0</v>
      </c>
      <c r="P812" s="58"/>
    </row>
    <row r="813" spans="1:17" x14ac:dyDescent="0.15">
      <c r="A813" s="16" t="s">
        <v>851</v>
      </c>
      <c r="B813" s="8"/>
      <c r="C813" s="10">
        <v>-1</v>
      </c>
      <c r="D813" s="10"/>
      <c r="E813" s="10"/>
      <c r="F813" s="30"/>
      <c r="G813" s="7">
        <f t="shared" si="217"/>
        <v>-1</v>
      </c>
      <c r="H813" s="58">
        <v>43384</v>
      </c>
      <c r="I813" s="16"/>
      <c r="J813" s="8"/>
      <c r="K813" s="10"/>
      <c r="L813" s="10"/>
      <c r="M813" s="10"/>
      <c r="N813" s="30"/>
      <c r="O813" s="9">
        <f t="shared" si="218"/>
        <v>0</v>
      </c>
      <c r="P813" s="58"/>
      <c r="Q813" s="56"/>
    </row>
    <row r="814" spans="1:17" ht="14.25" thickBot="1" x14ac:dyDescent="0.2">
      <c r="A814" s="16" t="s">
        <v>117</v>
      </c>
      <c r="B814" s="11"/>
      <c r="C814" s="12"/>
      <c r="D814" s="12"/>
      <c r="E814" s="12">
        <v>1</v>
      </c>
      <c r="F814" s="31"/>
      <c r="G814" s="7">
        <f t="shared" si="217"/>
        <v>1</v>
      </c>
      <c r="H814" s="58">
        <v>43389</v>
      </c>
      <c r="I814" s="16"/>
      <c r="J814" s="8"/>
      <c r="K814" s="10"/>
      <c r="L814" s="10"/>
      <c r="M814" s="10"/>
      <c r="N814" s="30"/>
      <c r="O814" s="9">
        <f t="shared" ref="O814" si="221">SUM(J814:N814)</f>
        <v>0</v>
      </c>
      <c r="P814" s="58"/>
      <c r="Q814" s="56"/>
    </row>
    <row r="815" spans="1:17" ht="14.25" thickBot="1" x14ac:dyDescent="0.2">
      <c r="A815" s="3" t="s">
        <v>11</v>
      </c>
      <c r="B815" s="23">
        <f>SUM(B789:B814)</f>
        <v>2</v>
      </c>
      <c r="C815" s="4">
        <f>SUM(C789:C814)</f>
        <v>12</v>
      </c>
      <c r="D815" s="4">
        <f>SUM(D789:D814)</f>
        <v>16</v>
      </c>
      <c r="E815" s="6">
        <f>SUM(E789:E814)</f>
        <v>3</v>
      </c>
      <c r="F815" s="32">
        <f>SUM(F789:F814)</f>
        <v>5</v>
      </c>
      <c r="G815" s="5">
        <f>SUM(B815:F815)</f>
        <v>38</v>
      </c>
      <c r="H815" s="58"/>
      <c r="I815" s="3" t="s">
        <v>11</v>
      </c>
      <c r="J815" s="23">
        <f>SUM(J789:J814)</f>
        <v>0</v>
      </c>
      <c r="K815" s="4">
        <f>SUM(K789:K814)</f>
        <v>24</v>
      </c>
      <c r="L815" s="4">
        <f>SUM(L789:L814)</f>
        <v>34</v>
      </c>
      <c r="M815" s="6">
        <f>SUM(M789:M814)</f>
        <v>0</v>
      </c>
      <c r="N815" s="32">
        <f>SUM(N789:N814)</f>
        <v>0</v>
      </c>
      <c r="O815" s="5">
        <f>SUM(J815:N815)</f>
        <v>58</v>
      </c>
    </row>
    <row r="816" spans="1:17" ht="14.25" thickBot="1" x14ac:dyDescent="0.2">
      <c r="A816" s="25" t="s">
        <v>12</v>
      </c>
      <c r="B816" s="63">
        <f>B788-B815</f>
        <v>10</v>
      </c>
      <c r="C816" s="26">
        <f t="shared" ref="C816:G816" si="222">C788-C815</f>
        <v>9</v>
      </c>
      <c r="D816" s="71">
        <f t="shared" si="222"/>
        <v>9</v>
      </c>
      <c r="E816" s="26">
        <f t="shared" si="222"/>
        <v>10</v>
      </c>
      <c r="F816" s="70">
        <f t="shared" si="222"/>
        <v>10</v>
      </c>
      <c r="G816" s="27">
        <f t="shared" si="222"/>
        <v>48</v>
      </c>
      <c r="H816" s="58"/>
      <c r="I816" s="25" t="s">
        <v>12</v>
      </c>
      <c r="J816" s="63">
        <f>J788-J815</f>
        <v>86</v>
      </c>
      <c r="K816" s="26">
        <f t="shared" ref="K816:O816" si="223">K788-K815</f>
        <v>8</v>
      </c>
      <c r="L816" s="71">
        <f t="shared" si="223"/>
        <v>3</v>
      </c>
      <c r="M816" s="26">
        <f t="shared" si="223"/>
        <v>9</v>
      </c>
      <c r="N816" s="70">
        <f t="shared" si="223"/>
        <v>0</v>
      </c>
      <c r="O816" s="27">
        <f t="shared" si="223"/>
        <v>106</v>
      </c>
    </row>
    <row r="817" spans="1:16" ht="21" x14ac:dyDescent="0.2">
      <c r="A817" s="83" t="s">
        <v>414</v>
      </c>
      <c r="B817" s="77"/>
      <c r="C817" s="77"/>
      <c r="D817" s="77"/>
      <c r="E817" s="77"/>
      <c r="F817" s="77"/>
      <c r="G817" s="77"/>
      <c r="H817" s="58"/>
      <c r="I817" s="83" t="s">
        <v>414</v>
      </c>
      <c r="J817" s="77"/>
      <c r="K817" s="77"/>
      <c r="L817" s="77"/>
      <c r="M817" s="77"/>
      <c r="N817" s="77"/>
      <c r="O817" s="77"/>
    </row>
    <row r="818" spans="1:16" ht="21.75" thickBot="1" x14ac:dyDescent="0.25">
      <c r="A818" s="83" t="s">
        <v>47</v>
      </c>
      <c r="B818" s="77"/>
      <c r="C818" s="77"/>
      <c r="D818" s="77"/>
      <c r="E818" s="84"/>
      <c r="F818" s="78" t="s">
        <v>53</v>
      </c>
      <c r="G818" s="77"/>
      <c r="H818" s="58"/>
      <c r="I818" s="83" t="s">
        <v>47</v>
      </c>
      <c r="J818" s="77"/>
      <c r="K818" s="77"/>
      <c r="L818" s="77"/>
      <c r="M818" s="84"/>
      <c r="N818" s="78" t="s">
        <v>54</v>
      </c>
      <c r="O818" s="77"/>
    </row>
    <row r="819" spans="1:16" ht="14.25" thickBot="1" x14ac:dyDescent="0.2">
      <c r="A819" s="13" t="s">
        <v>0</v>
      </c>
      <c r="B819" s="228" t="s">
        <v>49</v>
      </c>
      <c r="C819" s="229"/>
      <c r="D819" s="229"/>
      <c r="E819" s="229"/>
      <c r="F819" s="230"/>
      <c r="G819" s="231"/>
      <c r="H819" s="58"/>
      <c r="I819" s="13" t="s">
        <v>0</v>
      </c>
      <c r="J819" s="232" t="s">
        <v>49</v>
      </c>
      <c r="K819" s="233"/>
      <c r="L819" s="233"/>
      <c r="M819" s="233"/>
      <c r="N819" s="233"/>
      <c r="O819" s="234"/>
    </row>
    <row r="820" spans="1:16" ht="14.25" thickBot="1" x14ac:dyDescent="0.2">
      <c r="A820" s="3" t="s">
        <v>1</v>
      </c>
      <c r="B820" s="2" t="s">
        <v>42</v>
      </c>
      <c r="C820" s="21" t="s">
        <v>43</v>
      </c>
      <c r="D820" s="21" t="s">
        <v>44</v>
      </c>
      <c r="E820" s="24" t="s">
        <v>45</v>
      </c>
      <c r="F820" s="33" t="s">
        <v>46</v>
      </c>
      <c r="G820" s="34" t="s">
        <v>2</v>
      </c>
      <c r="H820" s="58"/>
      <c r="I820" s="3" t="s">
        <v>1</v>
      </c>
      <c r="J820" s="2" t="s">
        <v>42</v>
      </c>
      <c r="K820" s="21" t="s">
        <v>43</v>
      </c>
      <c r="L820" s="21" t="s">
        <v>44</v>
      </c>
      <c r="M820" s="24" t="s">
        <v>45</v>
      </c>
      <c r="N820" s="33" t="s">
        <v>46</v>
      </c>
      <c r="O820" s="3" t="s">
        <v>2</v>
      </c>
    </row>
    <row r="821" spans="1:16" ht="14.25" thickBot="1" x14ac:dyDescent="0.2">
      <c r="A821" s="116" t="s">
        <v>79</v>
      </c>
      <c r="B821" s="95">
        <f>B816</f>
        <v>10</v>
      </c>
      <c r="C821" s="97">
        <f t="shared" ref="C821:F821" si="224">C816</f>
        <v>9</v>
      </c>
      <c r="D821" s="55">
        <f t="shared" si="224"/>
        <v>9</v>
      </c>
      <c r="E821" s="98">
        <f t="shared" si="224"/>
        <v>10</v>
      </c>
      <c r="F821" s="98">
        <f t="shared" si="224"/>
        <v>10</v>
      </c>
      <c r="G821" s="52">
        <f t="shared" ref="G821:G830" si="225">SUM(B821:F821)</f>
        <v>48</v>
      </c>
      <c r="H821" s="58"/>
      <c r="I821" s="72" t="s">
        <v>79</v>
      </c>
      <c r="J821" s="73">
        <f>J816</f>
        <v>86</v>
      </c>
      <c r="K821" s="74">
        <f t="shared" ref="K821:N821" si="226">K816</f>
        <v>8</v>
      </c>
      <c r="L821" s="107">
        <f t="shared" si="226"/>
        <v>3</v>
      </c>
      <c r="M821" s="75">
        <f t="shared" si="226"/>
        <v>9</v>
      </c>
      <c r="N821" s="75">
        <f t="shared" si="226"/>
        <v>0</v>
      </c>
      <c r="O821" s="76">
        <f t="shared" ref="O821:O830" si="227">SUM(J821:N821)</f>
        <v>106</v>
      </c>
    </row>
    <row r="822" spans="1:16" x14ac:dyDescent="0.15">
      <c r="A822" s="38" t="s">
        <v>19</v>
      </c>
      <c r="B822" s="8">
        <v>1</v>
      </c>
      <c r="C822" s="10"/>
      <c r="D822" s="10">
        <v>2</v>
      </c>
      <c r="E822" s="10"/>
      <c r="F822" s="30"/>
      <c r="G822" s="7">
        <f t="shared" si="225"/>
        <v>3</v>
      </c>
      <c r="H822" s="58">
        <v>43395</v>
      </c>
      <c r="I822" s="38" t="s">
        <v>1002</v>
      </c>
      <c r="J822" s="37">
        <v>13</v>
      </c>
      <c r="K822" s="35">
        <v>11</v>
      </c>
      <c r="L822" s="35">
        <v>17</v>
      </c>
      <c r="M822" s="35">
        <v>2</v>
      </c>
      <c r="N822" s="28">
        <v>5</v>
      </c>
      <c r="O822" s="7">
        <f t="shared" si="227"/>
        <v>48</v>
      </c>
      <c r="P822" s="57">
        <v>43603</v>
      </c>
    </row>
    <row r="823" spans="1:16" x14ac:dyDescent="0.15">
      <c r="A823" s="16" t="s">
        <v>39</v>
      </c>
      <c r="B823" s="8">
        <v>2</v>
      </c>
      <c r="C823" s="10"/>
      <c r="D823" s="10">
        <v>2</v>
      </c>
      <c r="E823" s="10">
        <v>2</v>
      </c>
      <c r="F823" s="28">
        <v>2</v>
      </c>
      <c r="G823" s="9">
        <f t="shared" si="225"/>
        <v>8</v>
      </c>
      <c r="H823" s="58">
        <v>43404</v>
      </c>
      <c r="I823" s="38" t="s">
        <v>1002</v>
      </c>
      <c r="J823" s="8">
        <v>9</v>
      </c>
      <c r="K823" s="10"/>
      <c r="L823" s="10"/>
      <c r="M823" s="10">
        <v>6</v>
      </c>
      <c r="N823" s="28">
        <v>6</v>
      </c>
      <c r="O823" s="9">
        <f t="shared" si="227"/>
        <v>21</v>
      </c>
      <c r="P823" s="57">
        <v>43636</v>
      </c>
    </row>
    <row r="824" spans="1:16" x14ac:dyDescent="0.15">
      <c r="A824" s="16" t="s">
        <v>39</v>
      </c>
      <c r="B824" s="8"/>
      <c r="C824" s="10">
        <v>1</v>
      </c>
      <c r="D824" s="10">
        <v>1</v>
      </c>
      <c r="E824" s="10"/>
      <c r="F824" s="28"/>
      <c r="G824" s="9">
        <f t="shared" si="225"/>
        <v>2</v>
      </c>
      <c r="H824" s="58">
        <v>43413</v>
      </c>
      <c r="I824" s="15" t="s">
        <v>4</v>
      </c>
      <c r="J824" s="8"/>
      <c r="K824" s="10"/>
      <c r="L824" s="10"/>
      <c r="M824" s="10"/>
      <c r="N824" s="28"/>
      <c r="O824" s="9">
        <f t="shared" si="227"/>
        <v>0</v>
      </c>
    </row>
    <row r="825" spans="1:16" x14ac:dyDescent="0.15">
      <c r="A825" s="38"/>
      <c r="B825" s="8"/>
      <c r="C825" s="10"/>
      <c r="D825" s="10"/>
      <c r="E825" s="10"/>
      <c r="F825" s="28"/>
      <c r="G825" s="9">
        <f t="shared" si="225"/>
        <v>0</v>
      </c>
      <c r="H825" s="58"/>
      <c r="I825" s="15" t="s">
        <v>5</v>
      </c>
      <c r="J825" s="8"/>
      <c r="K825" s="10"/>
      <c r="L825" s="10"/>
      <c r="M825" s="10"/>
      <c r="N825" s="28"/>
      <c r="O825" s="9">
        <f t="shared" si="227"/>
        <v>0</v>
      </c>
    </row>
    <row r="826" spans="1:16" x14ac:dyDescent="0.15">
      <c r="A826" s="38" t="s">
        <v>19</v>
      </c>
      <c r="B826" s="11"/>
      <c r="C826" s="12"/>
      <c r="D826" s="12">
        <v>2</v>
      </c>
      <c r="E826" s="12"/>
      <c r="F826" s="31"/>
      <c r="G826" s="7">
        <f t="shared" si="225"/>
        <v>2</v>
      </c>
      <c r="H826" s="58">
        <v>43517</v>
      </c>
      <c r="I826" s="15" t="s">
        <v>6</v>
      </c>
      <c r="J826" s="8"/>
      <c r="K826" s="10"/>
      <c r="L826" s="10"/>
      <c r="M826" s="10"/>
      <c r="N826" s="28"/>
      <c r="O826" s="9">
        <f t="shared" si="227"/>
        <v>0</v>
      </c>
    </row>
    <row r="827" spans="1:16" x14ac:dyDescent="0.15">
      <c r="A827" s="38" t="s">
        <v>933</v>
      </c>
      <c r="B827" s="8"/>
      <c r="C827" s="10"/>
      <c r="D827" s="10"/>
      <c r="E827" s="10">
        <v>1</v>
      </c>
      <c r="F827" s="30"/>
      <c r="G827" s="7">
        <f t="shared" si="225"/>
        <v>1</v>
      </c>
      <c r="H827" s="58">
        <v>43518</v>
      </c>
      <c r="I827" s="15" t="s">
        <v>84</v>
      </c>
      <c r="J827" s="11"/>
      <c r="K827" s="12"/>
      <c r="L827" s="12"/>
      <c r="M827" s="12"/>
      <c r="N827" s="31"/>
      <c r="O827" s="7">
        <f t="shared" si="227"/>
        <v>0</v>
      </c>
    </row>
    <row r="828" spans="1:16" x14ac:dyDescent="0.15">
      <c r="A828" s="38" t="s">
        <v>19</v>
      </c>
      <c r="B828" s="8">
        <v>13</v>
      </c>
      <c r="C828" s="10">
        <v>3</v>
      </c>
      <c r="D828" s="10">
        <v>9</v>
      </c>
      <c r="E828" s="10"/>
      <c r="F828" s="28"/>
      <c r="G828" s="9">
        <f t="shared" ref="G828" si="228">SUM(B828:F828)</f>
        <v>25</v>
      </c>
      <c r="H828" s="58">
        <v>43550</v>
      </c>
      <c r="I828" s="15" t="s">
        <v>85</v>
      </c>
      <c r="J828" s="8"/>
      <c r="K828" s="10"/>
      <c r="L828" s="10"/>
      <c r="M828" s="10"/>
      <c r="N828" s="30"/>
      <c r="O828" s="7">
        <f t="shared" si="227"/>
        <v>0</v>
      </c>
    </row>
    <row r="829" spans="1:16" x14ac:dyDescent="0.15">
      <c r="A829" s="38" t="s">
        <v>1005</v>
      </c>
      <c r="B829" s="11"/>
      <c r="C829" s="100"/>
      <c r="D829" s="100">
        <v>1</v>
      </c>
      <c r="E829" s="100"/>
      <c r="F829" s="101"/>
      <c r="G829" s="102">
        <f t="shared" si="225"/>
        <v>1</v>
      </c>
      <c r="H829" s="58">
        <v>43606</v>
      </c>
      <c r="I829" s="16" t="s">
        <v>88</v>
      </c>
      <c r="J829" s="8"/>
      <c r="K829" s="10"/>
      <c r="L829" s="10"/>
      <c r="M829" s="10"/>
      <c r="N829" s="30"/>
      <c r="O829" s="7">
        <f t="shared" si="227"/>
        <v>0</v>
      </c>
    </row>
    <row r="830" spans="1:16" ht="14.25" thickBot="1" x14ac:dyDescent="0.2">
      <c r="A830" s="38" t="s">
        <v>87</v>
      </c>
      <c r="B830" s="11"/>
      <c r="C830" s="100">
        <v>1</v>
      </c>
      <c r="D830" s="100"/>
      <c r="E830" s="100"/>
      <c r="F830" s="101"/>
      <c r="G830" s="102">
        <f t="shared" si="225"/>
        <v>1</v>
      </c>
      <c r="H830" s="58">
        <v>43648</v>
      </c>
      <c r="I830" s="16" t="s">
        <v>1044</v>
      </c>
      <c r="J830" s="11"/>
      <c r="K830" s="100"/>
      <c r="L830" s="100"/>
      <c r="M830" s="100"/>
      <c r="N830" s="101"/>
      <c r="O830" s="102">
        <f t="shared" si="227"/>
        <v>0</v>
      </c>
      <c r="P830" s="58"/>
    </row>
    <row r="831" spans="1:16" ht="14.25" thickBot="1" x14ac:dyDescent="0.2">
      <c r="A831" s="72" t="s">
        <v>7</v>
      </c>
      <c r="B831" s="73">
        <f>SUM(B821:B830)</f>
        <v>26</v>
      </c>
      <c r="C831" s="74">
        <f t="shared" ref="C831:G831" si="229">SUM(C821:C830)</f>
        <v>14</v>
      </c>
      <c r="D831" s="74">
        <f t="shared" si="229"/>
        <v>26</v>
      </c>
      <c r="E831" s="74">
        <f t="shared" si="229"/>
        <v>13</v>
      </c>
      <c r="F831" s="105">
        <f t="shared" si="229"/>
        <v>12</v>
      </c>
      <c r="G831" s="105">
        <f t="shared" si="229"/>
        <v>91</v>
      </c>
      <c r="H831" s="56"/>
      <c r="I831" s="72" t="s">
        <v>7</v>
      </c>
      <c r="J831" s="73">
        <f>SUM(J821:J830)</f>
        <v>108</v>
      </c>
      <c r="K831" s="74">
        <f t="shared" ref="K831:O831" si="230">SUM(K821:K830)</f>
        <v>19</v>
      </c>
      <c r="L831" s="74">
        <f t="shared" si="230"/>
        <v>20</v>
      </c>
      <c r="M831" s="74">
        <f t="shared" si="230"/>
        <v>17</v>
      </c>
      <c r="N831" s="105">
        <f t="shared" si="230"/>
        <v>11</v>
      </c>
      <c r="O831" s="105">
        <f t="shared" si="230"/>
        <v>175</v>
      </c>
    </row>
    <row r="832" spans="1:16" x14ac:dyDescent="0.15">
      <c r="A832" s="16" t="s">
        <v>29</v>
      </c>
      <c r="B832" s="8"/>
      <c r="C832" s="10"/>
      <c r="D832" s="10"/>
      <c r="E832" s="10">
        <v>1</v>
      </c>
      <c r="F832" s="30"/>
      <c r="G832" s="7">
        <f t="shared" ref="G832:G857" si="231">SUM(B832:F832)</f>
        <v>1</v>
      </c>
      <c r="H832" s="58">
        <v>43388</v>
      </c>
      <c r="I832" s="16" t="s">
        <v>110</v>
      </c>
      <c r="J832" s="17"/>
      <c r="K832" s="22"/>
      <c r="L832" s="22">
        <v>2</v>
      </c>
      <c r="M832" s="22"/>
      <c r="N832" s="29"/>
      <c r="O832" s="18">
        <f t="shared" ref="O832:O857" si="232">SUM(J832:N832)</f>
        <v>2</v>
      </c>
      <c r="P832" s="58">
        <v>43406</v>
      </c>
    </row>
    <row r="833" spans="1:17" x14ac:dyDescent="0.15">
      <c r="A833" s="16" t="s">
        <v>117</v>
      </c>
      <c r="B833" s="8"/>
      <c r="C833" s="10"/>
      <c r="D833" s="10">
        <v>1</v>
      </c>
      <c r="E833" s="10"/>
      <c r="F833" s="30"/>
      <c r="G833" s="7">
        <f t="shared" si="231"/>
        <v>1</v>
      </c>
      <c r="H833" s="58">
        <v>43398</v>
      </c>
      <c r="I833" s="39" t="s">
        <v>22</v>
      </c>
      <c r="J833" s="8">
        <v>10</v>
      </c>
      <c r="K833" s="10"/>
      <c r="L833" s="10"/>
      <c r="M833" s="10"/>
      <c r="N833" s="30"/>
      <c r="O833" s="7">
        <f t="shared" si="232"/>
        <v>10</v>
      </c>
      <c r="P833" s="58">
        <v>43416</v>
      </c>
    </row>
    <row r="834" spans="1:17" x14ac:dyDescent="0.15">
      <c r="A834" s="16" t="s">
        <v>29</v>
      </c>
      <c r="B834" s="8"/>
      <c r="C834" s="10"/>
      <c r="D834" s="10"/>
      <c r="E834" s="10">
        <v>1</v>
      </c>
      <c r="F834" s="30"/>
      <c r="G834" s="7">
        <f t="shared" si="231"/>
        <v>1</v>
      </c>
      <c r="H834" s="58">
        <v>43402</v>
      </c>
      <c r="I834" s="16" t="s">
        <v>110</v>
      </c>
      <c r="J834" s="8"/>
      <c r="K834" s="10">
        <v>2</v>
      </c>
      <c r="L834" s="10"/>
      <c r="M834" s="10"/>
      <c r="N834" s="30"/>
      <c r="O834" s="7">
        <f t="shared" si="232"/>
        <v>2</v>
      </c>
      <c r="P834" s="58">
        <v>43426</v>
      </c>
    </row>
    <row r="835" spans="1:17" x14ac:dyDescent="0.15">
      <c r="A835" s="16" t="s">
        <v>29</v>
      </c>
      <c r="B835" s="8"/>
      <c r="C835" s="10"/>
      <c r="D835" s="10">
        <v>1</v>
      </c>
      <c r="E835" s="10"/>
      <c r="F835" s="30"/>
      <c r="G835" s="7">
        <f t="shared" si="231"/>
        <v>1</v>
      </c>
      <c r="H835" s="58">
        <v>43460</v>
      </c>
      <c r="I835" s="16" t="s">
        <v>110</v>
      </c>
      <c r="J835" s="11">
        <v>1</v>
      </c>
      <c r="K835" s="100">
        <v>1</v>
      </c>
      <c r="L835" s="100"/>
      <c r="M835" s="100"/>
      <c r="N835" s="101"/>
      <c r="O835" s="9">
        <f t="shared" si="232"/>
        <v>2</v>
      </c>
      <c r="P835" s="58">
        <v>43522</v>
      </c>
    </row>
    <row r="836" spans="1:17" x14ac:dyDescent="0.15">
      <c r="A836" s="16" t="s">
        <v>29</v>
      </c>
      <c r="B836" s="8"/>
      <c r="C836" s="10"/>
      <c r="D836" s="10"/>
      <c r="E836" s="10">
        <v>1</v>
      </c>
      <c r="F836" s="30"/>
      <c r="G836" s="7">
        <f t="shared" si="231"/>
        <v>1</v>
      </c>
      <c r="H836" s="58">
        <v>43489</v>
      </c>
      <c r="I836" s="16" t="s">
        <v>110</v>
      </c>
      <c r="J836" s="8">
        <v>2</v>
      </c>
      <c r="K836" s="10"/>
      <c r="L836" s="10"/>
      <c r="M836" s="10"/>
      <c r="N836" s="30"/>
      <c r="O836" s="7">
        <f t="shared" si="232"/>
        <v>2</v>
      </c>
      <c r="P836" s="58">
        <v>43528</v>
      </c>
    </row>
    <row r="837" spans="1:17" x14ac:dyDescent="0.15">
      <c r="A837" s="16" t="s">
        <v>29</v>
      </c>
      <c r="B837" s="8"/>
      <c r="C837" s="10"/>
      <c r="D837" s="10"/>
      <c r="E837" s="10">
        <v>1</v>
      </c>
      <c r="F837" s="30"/>
      <c r="G837" s="7">
        <f t="shared" si="231"/>
        <v>1</v>
      </c>
      <c r="H837" s="58">
        <v>43515</v>
      </c>
      <c r="I837" s="16" t="s">
        <v>110</v>
      </c>
      <c r="J837" s="8"/>
      <c r="K837" s="10">
        <v>1</v>
      </c>
      <c r="L837" s="10"/>
      <c r="M837" s="10"/>
      <c r="N837" s="30"/>
      <c r="O837" s="7">
        <f t="shared" si="232"/>
        <v>1</v>
      </c>
      <c r="P837" s="58">
        <v>43539</v>
      </c>
    </row>
    <row r="838" spans="1:17" x14ac:dyDescent="0.15">
      <c r="A838" s="16" t="s">
        <v>29</v>
      </c>
      <c r="B838" s="8"/>
      <c r="C838" s="10"/>
      <c r="D838" s="10"/>
      <c r="E838" s="10"/>
      <c r="F838" s="30">
        <v>1</v>
      </c>
      <c r="G838" s="7">
        <f t="shared" si="231"/>
        <v>1</v>
      </c>
      <c r="H838" s="58">
        <v>43518</v>
      </c>
      <c r="I838" s="16" t="s">
        <v>110</v>
      </c>
      <c r="J838" s="8">
        <v>3</v>
      </c>
      <c r="K838" s="10"/>
      <c r="L838" s="10"/>
      <c r="M838" s="10"/>
      <c r="N838" s="30"/>
      <c r="O838" s="7">
        <f t="shared" si="232"/>
        <v>3</v>
      </c>
      <c r="P838" s="58">
        <v>43556</v>
      </c>
    </row>
    <row r="839" spans="1:17" x14ac:dyDescent="0.15">
      <c r="A839" s="16" t="s">
        <v>29</v>
      </c>
      <c r="B839" s="8"/>
      <c r="C839" s="10"/>
      <c r="D839" s="10">
        <v>1</v>
      </c>
      <c r="E839" s="10"/>
      <c r="F839" s="30"/>
      <c r="G839" s="7">
        <f t="shared" si="231"/>
        <v>1</v>
      </c>
      <c r="H839" s="58">
        <v>43570</v>
      </c>
      <c r="I839" s="16" t="s">
        <v>110</v>
      </c>
      <c r="J839" s="8">
        <v>5</v>
      </c>
      <c r="K839" s="10"/>
      <c r="L839" s="10"/>
      <c r="M839" s="10"/>
      <c r="N839" s="30"/>
      <c r="O839" s="7">
        <f t="shared" si="232"/>
        <v>5</v>
      </c>
      <c r="P839" s="58">
        <v>43571</v>
      </c>
    </row>
    <row r="840" spans="1:17" x14ac:dyDescent="0.15">
      <c r="A840" s="16" t="s">
        <v>110</v>
      </c>
      <c r="B840" s="11"/>
      <c r="C840" s="12"/>
      <c r="D840" s="12">
        <v>4</v>
      </c>
      <c r="E840" s="12"/>
      <c r="F840" s="31"/>
      <c r="G840" s="7">
        <f t="shared" si="231"/>
        <v>4</v>
      </c>
      <c r="H840" s="58">
        <v>43580</v>
      </c>
      <c r="I840" s="16" t="s">
        <v>110</v>
      </c>
      <c r="J840" s="11">
        <v>2</v>
      </c>
      <c r="K840" s="12"/>
      <c r="L840" s="12"/>
      <c r="M840" s="12"/>
      <c r="N840" s="31"/>
      <c r="O840" s="7">
        <f t="shared" si="232"/>
        <v>2</v>
      </c>
      <c r="P840" s="58">
        <v>43577</v>
      </c>
    </row>
    <row r="841" spans="1:17" x14ac:dyDescent="0.15">
      <c r="A841" s="16" t="s">
        <v>117</v>
      </c>
      <c r="B841" s="11"/>
      <c r="C841" s="12"/>
      <c r="D841" s="12">
        <v>1</v>
      </c>
      <c r="E841" s="12"/>
      <c r="F841" s="31"/>
      <c r="G841" s="7">
        <f t="shared" si="231"/>
        <v>1</v>
      </c>
      <c r="H841" s="58">
        <v>43593</v>
      </c>
      <c r="I841" s="51" t="s">
        <v>1030</v>
      </c>
      <c r="J841" s="11">
        <v>20</v>
      </c>
      <c r="K841" s="12">
        <v>10</v>
      </c>
      <c r="L841" s="12">
        <v>10</v>
      </c>
      <c r="M841" s="12">
        <v>5</v>
      </c>
      <c r="N841" s="31">
        <v>3</v>
      </c>
      <c r="O841" s="7">
        <f t="shared" si="232"/>
        <v>48</v>
      </c>
      <c r="P841" s="58">
        <v>43609</v>
      </c>
      <c r="Q841" s="56"/>
    </row>
    <row r="842" spans="1:17" x14ac:dyDescent="0.15">
      <c r="A842" s="16" t="s">
        <v>29</v>
      </c>
      <c r="B842" s="8"/>
      <c r="C842" s="10">
        <v>1</v>
      </c>
      <c r="D842" s="10"/>
      <c r="E842" s="10"/>
      <c r="F842" s="30"/>
      <c r="G842" s="7">
        <f t="shared" si="231"/>
        <v>1</v>
      </c>
      <c r="H842" s="58">
        <v>43588</v>
      </c>
      <c r="I842" s="16" t="s">
        <v>1042</v>
      </c>
      <c r="J842" s="8"/>
      <c r="K842" s="10">
        <v>1</v>
      </c>
      <c r="L842" s="10"/>
      <c r="M842" s="10"/>
      <c r="N842" s="30"/>
      <c r="O842" s="7">
        <f t="shared" si="232"/>
        <v>1</v>
      </c>
      <c r="P842" s="58">
        <v>43648</v>
      </c>
      <c r="Q842" s="56"/>
    </row>
    <row r="843" spans="1:17" x14ac:dyDescent="0.15">
      <c r="A843" s="16" t="s">
        <v>117</v>
      </c>
      <c r="B843" s="8"/>
      <c r="C843" s="10">
        <v>1</v>
      </c>
      <c r="D843" s="10"/>
      <c r="E843" s="10"/>
      <c r="F843" s="30"/>
      <c r="G843" s="7">
        <f t="shared" si="231"/>
        <v>1</v>
      </c>
      <c r="H843" s="58">
        <v>43599</v>
      </c>
      <c r="I843" s="16" t="s">
        <v>24</v>
      </c>
      <c r="J843" s="8">
        <v>5</v>
      </c>
      <c r="K843" s="10">
        <v>2</v>
      </c>
      <c r="L843" s="10">
        <v>2</v>
      </c>
      <c r="M843" s="10">
        <v>2</v>
      </c>
      <c r="N843" s="30">
        <v>2</v>
      </c>
      <c r="O843" s="7">
        <f t="shared" si="232"/>
        <v>13</v>
      </c>
      <c r="P843" s="58">
        <v>43651</v>
      </c>
      <c r="Q843" s="56"/>
    </row>
    <row r="844" spans="1:17" x14ac:dyDescent="0.15">
      <c r="A844" s="51" t="s">
        <v>1001</v>
      </c>
      <c r="B844" s="11">
        <v>13</v>
      </c>
      <c r="C844" s="12">
        <v>11</v>
      </c>
      <c r="D844" s="12">
        <v>17</v>
      </c>
      <c r="E844" s="12">
        <v>2</v>
      </c>
      <c r="F844" s="31">
        <v>5</v>
      </c>
      <c r="G844" s="7">
        <f t="shared" ref="G844" si="233">SUM(B844:F844)</f>
        <v>48</v>
      </c>
      <c r="H844" s="58">
        <v>43603</v>
      </c>
      <c r="I844" s="16"/>
      <c r="J844" s="8"/>
      <c r="K844" s="10"/>
      <c r="L844" s="10"/>
      <c r="M844" s="10"/>
      <c r="N844" s="30"/>
      <c r="O844" s="7">
        <f t="shared" si="232"/>
        <v>0</v>
      </c>
    </row>
    <row r="845" spans="1:17" x14ac:dyDescent="0.15">
      <c r="A845" s="16" t="s">
        <v>110</v>
      </c>
      <c r="B845" s="8"/>
      <c r="C845" s="10"/>
      <c r="D845" s="10">
        <v>1</v>
      </c>
      <c r="E845" s="10"/>
      <c r="F845" s="30"/>
      <c r="G845" s="7">
        <f t="shared" si="231"/>
        <v>1</v>
      </c>
      <c r="H845" s="58">
        <v>43622</v>
      </c>
      <c r="I845" s="64"/>
      <c r="J845" s="8"/>
      <c r="K845" s="10"/>
      <c r="L845" s="10"/>
      <c r="M845" s="10"/>
      <c r="N845" s="30"/>
      <c r="O845" s="7">
        <f t="shared" si="232"/>
        <v>0</v>
      </c>
    </row>
    <row r="846" spans="1:17" x14ac:dyDescent="0.15">
      <c r="A846" s="16" t="s">
        <v>29</v>
      </c>
      <c r="B846" s="8"/>
      <c r="C846" s="10"/>
      <c r="D846" s="10"/>
      <c r="E846" s="10">
        <v>1</v>
      </c>
      <c r="F846" s="30"/>
      <c r="G846" s="7">
        <f t="shared" si="231"/>
        <v>1</v>
      </c>
      <c r="H846" s="58">
        <v>43613</v>
      </c>
      <c r="I846" s="16"/>
      <c r="J846" s="8"/>
      <c r="K846" s="10"/>
      <c r="L846" s="10"/>
      <c r="M846" s="10"/>
      <c r="N846" s="30"/>
      <c r="O846" s="7">
        <f t="shared" si="232"/>
        <v>0</v>
      </c>
    </row>
    <row r="847" spans="1:17" x14ac:dyDescent="0.15">
      <c r="A847" s="16" t="s">
        <v>1001</v>
      </c>
      <c r="B847" s="8">
        <v>9</v>
      </c>
      <c r="C847" s="10"/>
      <c r="D847" s="10"/>
      <c r="E847" s="10">
        <v>6</v>
      </c>
      <c r="F847" s="30">
        <v>6</v>
      </c>
      <c r="G847" s="7">
        <f t="shared" si="231"/>
        <v>21</v>
      </c>
      <c r="H847" s="58">
        <v>43636</v>
      </c>
      <c r="I847" s="16"/>
      <c r="J847" s="8"/>
      <c r="K847" s="10"/>
      <c r="L847" s="10"/>
      <c r="M847" s="10"/>
      <c r="N847" s="30"/>
      <c r="O847" s="7">
        <f t="shared" si="232"/>
        <v>0</v>
      </c>
    </row>
    <row r="848" spans="1:17" x14ac:dyDescent="0.15">
      <c r="A848" s="16" t="s">
        <v>29</v>
      </c>
      <c r="B848" s="8"/>
      <c r="C848" s="10"/>
      <c r="D848" s="10"/>
      <c r="E848" s="10"/>
      <c r="F848" s="30"/>
      <c r="G848" s="7">
        <f t="shared" si="231"/>
        <v>0</v>
      </c>
      <c r="H848" s="58">
        <v>43640</v>
      </c>
      <c r="I848" s="14"/>
      <c r="J848" s="8"/>
      <c r="K848" s="10"/>
      <c r="L848" s="10"/>
      <c r="M848" s="10"/>
      <c r="N848" s="30"/>
      <c r="O848" s="7">
        <f t="shared" si="232"/>
        <v>0</v>
      </c>
    </row>
    <row r="849" spans="1:17" x14ac:dyDescent="0.15">
      <c r="A849" s="16" t="s">
        <v>29</v>
      </c>
      <c r="B849" s="8">
        <v>1</v>
      </c>
      <c r="C849" s="10"/>
      <c r="D849" s="10"/>
      <c r="E849" s="10"/>
      <c r="F849" s="30"/>
      <c r="G849" s="7">
        <f t="shared" si="231"/>
        <v>1</v>
      </c>
      <c r="H849" s="58">
        <v>43647</v>
      </c>
      <c r="I849" s="16"/>
      <c r="J849" s="8"/>
      <c r="K849" s="10"/>
      <c r="L849" s="10"/>
      <c r="M849" s="10"/>
      <c r="N849" s="30"/>
      <c r="O849" s="7">
        <f t="shared" si="232"/>
        <v>0</v>
      </c>
    </row>
    <row r="850" spans="1:17" x14ac:dyDescent="0.15">
      <c r="A850" s="16" t="s">
        <v>29</v>
      </c>
      <c r="B850" s="8"/>
      <c r="C850" s="10">
        <v>1</v>
      </c>
      <c r="D850" s="10"/>
      <c r="E850" s="10"/>
      <c r="F850" s="30"/>
      <c r="G850" s="7">
        <f t="shared" si="231"/>
        <v>1</v>
      </c>
      <c r="H850" s="58">
        <v>43648</v>
      </c>
      <c r="I850" s="16"/>
      <c r="J850" s="8"/>
      <c r="K850" s="10"/>
      <c r="L850" s="10"/>
      <c r="M850" s="10"/>
      <c r="N850" s="30"/>
      <c r="O850" s="7">
        <f t="shared" si="232"/>
        <v>0</v>
      </c>
    </row>
    <row r="851" spans="1:17" x14ac:dyDescent="0.15">
      <c r="A851" s="16" t="s">
        <v>29</v>
      </c>
      <c r="B851" s="8">
        <v>2</v>
      </c>
      <c r="C851" s="10"/>
      <c r="D851" s="10"/>
      <c r="E851" s="10"/>
      <c r="F851" s="30"/>
      <c r="G851" s="7">
        <f t="shared" si="231"/>
        <v>2</v>
      </c>
      <c r="H851" s="58">
        <v>43650</v>
      </c>
      <c r="I851" s="16"/>
      <c r="J851" s="8"/>
      <c r="K851" s="10"/>
      <c r="L851" s="10"/>
      <c r="M851" s="10"/>
      <c r="N851" s="30"/>
      <c r="O851" s="9">
        <f t="shared" si="232"/>
        <v>0</v>
      </c>
    </row>
    <row r="852" spans="1:17" x14ac:dyDescent="0.15">
      <c r="A852" s="16" t="s">
        <v>1051</v>
      </c>
      <c r="B852" s="8">
        <v>-5</v>
      </c>
      <c r="C852" s="10">
        <v>-2</v>
      </c>
      <c r="D852" s="10">
        <v>-2</v>
      </c>
      <c r="E852" s="10">
        <v>-2</v>
      </c>
      <c r="F852" s="30">
        <v>-2</v>
      </c>
      <c r="G852" s="7">
        <f t="shared" si="231"/>
        <v>-13</v>
      </c>
      <c r="H852" s="58">
        <v>43651</v>
      </c>
      <c r="I852" s="16"/>
      <c r="J852" s="8"/>
      <c r="K852" s="10"/>
      <c r="L852" s="10"/>
      <c r="M852" s="10"/>
      <c r="N852" s="30"/>
      <c r="O852" s="9">
        <f t="shared" si="232"/>
        <v>0</v>
      </c>
    </row>
    <row r="853" spans="1:17" x14ac:dyDescent="0.15">
      <c r="A853" s="38" t="s">
        <v>1078</v>
      </c>
      <c r="B853" s="8">
        <v>-1</v>
      </c>
      <c r="C853" s="10"/>
      <c r="D853" s="10"/>
      <c r="E853" s="10"/>
      <c r="F853" s="30"/>
      <c r="G853" s="7">
        <f t="shared" si="231"/>
        <v>-1</v>
      </c>
      <c r="H853" s="58">
        <v>43670</v>
      </c>
      <c r="I853" s="50"/>
      <c r="J853" s="8"/>
      <c r="K853" s="10"/>
      <c r="L853" s="10"/>
      <c r="M853" s="10"/>
      <c r="N853" s="30"/>
      <c r="O853" s="9">
        <f t="shared" si="232"/>
        <v>0</v>
      </c>
    </row>
    <row r="854" spans="1:17" x14ac:dyDescent="0.15">
      <c r="A854" s="16" t="s">
        <v>29</v>
      </c>
      <c r="B854" s="8"/>
      <c r="C854" s="10"/>
      <c r="D854" s="10">
        <v>1</v>
      </c>
      <c r="E854" s="10"/>
      <c r="F854" s="30"/>
      <c r="G854" s="7">
        <f t="shared" si="231"/>
        <v>1</v>
      </c>
      <c r="H854" s="58">
        <v>43670</v>
      </c>
      <c r="I854" s="16"/>
      <c r="J854" s="8"/>
      <c r="K854" s="10"/>
      <c r="L854" s="10"/>
      <c r="M854" s="10"/>
      <c r="N854" s="30"/>
      <c r="O854" s="9">
        <f t="shared" si="232"/>
        <v>0</v>
      </c>
    </row>
    <row r="855" spans="1:17" x14ac:dyDescent="0.15">
      <c r="A855" s="16" t="s">
        <v>29</v>
      </c>
      <c r="B855" s="8"/>
      <c r="C855" s="10"/>
      <c r="D855" s="10"/>
      <c r="E855" s="10">
        <v>1</v>
      </c>
      <c r="F855" s="30"/>
      <c r="G855" s="7">
        <f t="shared" si="231"/>
        <v>1</v>
      </c>
      <c r="H855" s="58">
        <v>43675</v>
      </c>
      <c r="I855" s="16"/>
      <c r="J855" s="8"/>
      <c r="K855" s="10"/>
      <c r="L855" s="10"/>
      <c r="M855" s="10"/>
      <c r="N855" s="30"/>
      <c r="O855" s="9">
        <f t="shared" si="232"/>
        <v>0</v>
      </c>
    </row>
    <row r="856" spans="1:17" x14ac:dyDescent="0.15">
      <c r="A856" s="16" t="s">
        <v>29</v>
      </c>
      <c r="B856" s="8"/>
      <c r="C856" s="10"/>
      <c r="D856" s="10"/>
      <c r="E856" s="10">
        <v>1</v>
      </c>
      <c r="F856" s="30"/>
      <c r="G856" s="7">
        <f t="shared" si="231"/>
        <v>1</v>
      </c>
      <c r="H856" s="58">
        <v>43678</v>
      </c>
      <c r="I856" s="16"/>
      <c r="J856" s="8"/>
      <c r="K856" s="10"/>
      <c r="L856" s="10"/>
      <c r="M856" s="10"/>
      <c r="N856" s="30"/>
      <c r="O856" s="9">
        <f t="shared" si="232"/>
        <v>0</v>
      </c>
    </row>
    <row r="857" spans="1:17" ht="14.25" thickBot="1" x14ac:dyDescent="0.2">
      <c r="A857" s="51"/>
      <c r="B857" s="11"/>
      <c r="C857" s="12"/>
      <c r="D857" s="12"/>
      <c r="E857" s="12"/>
      <c r="F857" s="31"/>
      <c r="G857" s="7">
        <f t="shared" si="231"/>
        <v>0</v>
      </c>
      <c r="H857" s="58"/>
      <c r="I857" s="14" t="s">
        <v>958</v>
      </c>
      <c r="J857" s="8"/>
      <c r="K857" s="10"/>
      <c r="L857" s="10"/>
      <c r="M857" s="10"/>
      <c r="N857" s="30"/>
      <c r="O857" s="9">
        <f t="shared" si="232"/>
        <v>0</v>
      </c>
      <c r="P857" s="56" t="s">
        <v>960</v>
      </c>
      <c r="Q857" s="56" t="s">
        <v>959</v>
      </c>
    </row>
    <row r="858" spans="1:17" ht="14.25" thickBot="1" x14ac:dyDescent="0.2">
      <c r="A858" s="3" t="s">
        <v>11</v>
      </c>
      <c r="B858" s="23">
        <f>SUM(B832:B857)</f>
        <v>19</v>
      </c>
      <c r="C858" s="4">
        <f>SUM(C832:C857)</f>
        <v>12</v>
      </c>
      <c r="D858" s="4">
        <f>SUM(D832:D857)</f>
        <v>25</v>
      </c>
      <c r="E858" s="6">
        <f>SUM(E832:E857)</f>
        <v>13</v>
      </c>
      <c r="F858" s="32">
        <f>SUM(F832:F857)</f>
        <v>10</v>
      </c>
      <c r="G858" s="5">
        <f>SUM(B858:F858)</f>
        <v>79</v>
      </c>
      <c r="H858" s="58"/>
      <c r="I858" s="3" t="s">
        <v>11</v>
      </c>
      <c r="J858" s="23">
        <f>SUM(J832:J857)</f>
        <v>48</v>
      </c>
      <c r="K858" s="4">
        <f>SUM(K832:K857)</f>
        <v>17</v>
      </c>
      <c r="L858" s="4">
        <f>SUM(L832:L857)</f>
        <v>14</v>
      </c>
      <c r="M858" s="6">
        <f>SUM(M832:M857)</f>
        <v>7</v>
      </c>
      <c r="N858" s="32">
        <f>SUM(N832:N857)</f>
        <v>5</v>
      </c>
      <c r="O858" s="5">
        <f>SUM(J858:N858)</f>
        <v>91</v>
      </c>
    </row>
    <row r="859" spans="1:17" ht="14.25" thickBot="1" x14ac:dyDescent="0.2">
      <c r="A859" s="25" t="s">
        <v>12</v>
      </c>
      <c r="B859" s="63">
        <f>B831-B858</f>
        <v>7</v>
      </c>
      <c r="C859" s="26">
        <f t="shared" ref="C859:G859" si="234">C831-C858</f>
        <v>2</v>
      </c>
      <c r="D859" s="71">
        <f t="shared" si="234"/>
        <v>1</v>
      </c>
      <c r="E859" s="26">
        <f t="shared" si="234"/>
        <v>0</v>
      </c>
      <c r="F859" s="70">
        <f t="shared" si="234"/>
        <v>2</v>
      </c>
      <c r="G859" s="27">
        <f t="shared" si="234"/>
        <v>12</v>
      </c>
      <c r="H859" s="58"/>
      <c r="I859" s="25" t="s">
        <v>12</v>
      </c>
      <c r="J859" s="63">
        <f>J831-J858</f>
        <v>60</v>
      </c>
      <c r="K859" s="26">
        <f t="shared" ref="K859:O859" si="235">K831-K858</f>
        <v>2</v>
      </c>
      <c r="L859" s="71">
        <f t="shared" si="235"/>
        <v>6</v>
      </c>
      <c r="M859" s="26">
        <f t="shared" si="235"/>
        <v>10</v>
      </c>
      <c r="N859" s="70">
        <f t="shared" si="235"/>
        <v>6</v>
      </c>
      <c r="O859" s="27">
        <f t="shared" si="235"/>
        <v>84</v>
      </c>
    </row>
    <row r="860" spans="1:17" ht="21" x14ac:dyDescent="0.2">
      <c r="A860" s="83" t="s">
        <v>414</v>
      </c>
      <c r="B860" s="77"/>
      <c r="C860" s="77"/>
      <c r="D860" s="77"/>
      <c r="E860" s="77"/>
      <c r="F860" s="77"/>
      <c r="G860" s="77"/>
      <c r="H860" s="58"/>
      <c r="I860" s="83" t="s">
        <v>414</v>
      </c>
      <c r="J860" s="77"/>
      <c r="K860" s="77"/>
      <c r="L860" s="77"/>
      <c r="M860" s="77"/>
      <c r="N860" s="77"/>
      <c r="O860" s="77"/>
    </row>
    <row r="861" spans="1:17" ht="21.75" thickBot="1" x14ac:dyDescent="0.25">
      <c r="A861" s="83" t="s">
        <v>47</v>
      </c>
      <c r="B861" s="77"/>
      <c r="C861" s="77"/>
      <c r="D861" s="77"/>
      <c r="E861" s="84"/>
      <c r="F861" s="78" t="s">
        <v>53</v>
      </c>
      <c r="G861" s="77"/>
      <c r="H861" s="58"/>
      <c r="I861" s="83" t="s">
        <v>47</v>
      </c>
      <c r="J861" s="77"/>
      <c r="K861" s="77"/>
      <c r="L861" s="77"/>
      <c r="M861" s="84"/>
      <c r="N861" s="78" t="s">
        <v>54</v>
      </c>
      <c r="O861" s="77"/>
    </row>
    <row r="862" spans="1:17" ht="14.25" thickBot="1" x14ac:dyDescent="0.2">
      <c r="A862" s="13" t="s">
        <v>0</v>
      </c>
      <c r="B862" s="228" t="s">
        <v>49</v>
      </c>
      <c r="C862" s="229"/>
      <c r="D862" s="229"/>
      <c r="E862" s="229"/>
      <c r="F862" s="230"/>
      <c r="G862" s="231"/>
      <c r="H862" s="58"/>
      <c r="I862" s="13" t="s">
        <v>0</v>
      </c>
      <c r="J862" s="232" t="s">
        <v>49</v>
      </c>
      <c r="K862" s="233"/>
      <c r="L862" s="233"/>
      <c r="M862" s="233"/>
      <c r="N862" s="233"/>
      <c r="O862" s="234"/>
    </row>
    <row r="863" spans="1:17" ht="14.25" thickBot="1" x14ac:dyDescent="0.2">
      <c r="A863" s="3" t="s">
        <v>1</v>
      </c>
      <c r="B863" s="2" t="s">
        <v>42</v>
      </c>
      <c r="C863" s="21" t="s">
        <v>43</v>
      </c>
      <c r="D863" s="21" t="s">
        <v>44</v>
      </c>
      <c r="E863" s="24" t="s">
        <v>45</v>
      </c>
      <c r="F863" s="33" t="s">
        <v>46</v>
      </c>
      <c r="G863" s="34" t="s">
        <v>2</v>
      </c>
      <c r="H863" s="58"/>
      <c r="I863" s="3" t="s">
        <v>1</v>
      </c>
      <c r="J863" s="2" t="s">
        <v>42</v>
      </c>
      <c r="K863" s="21" t="s">
        <v>43</v>
      </c>
      <c r="L863" s="21" t="s">
        <v>44</v>
      </c>
      <c r="M863" s="24" t="s">
        <v>45</v>
      </c>
      <c r="N863" s="33" t="s">
        <v>46</v>
      </c>
      <c r="O863" s="3" t="s">
        <v>2</v>
      </c>
    </row>
    <row r="864" spans="1:17" ht="14.25" thickBot="1" x14ac:dyDescent="0.2">
      <c r="A864" s="116" t="s">
        <v>79</v>
      </c>
      <c r="B864" s="95">
        <f>B859</f>
        <v>7</v>
      </c>
      <c r="C864" s="97">
        <f t="shared" ref="C864:F864" si="236">C859</f>
        <v>2</v>
      </c>
      <c r="D864" s="55">
        <f t="shared" si="236"/>
        <v>1</v>
      </c>
      <c r="E864" s="98">
        <f t="shared" si="236"/>
        <v>0</v>
      </c>
      <c r="F864" s="98">
        <f t="shared" si="236"/>
        <v>2</v>
      </c>
      <c r="G864" s="52">
        <f t="shared" ref="G864:G873" si="237">SUM(B864:F864)</f>
        <v>12</v>
      </c>
      <c r="H864" s="58"/>
      <c r="I864" s="72" t="s">
        <v>79</v>
      </c>
      <c r="J864" s="73">
        <f>J859</f>
        <v>60</v>
      </c>
      <c r="K864" s="74">
        <f t="shared" ref="K864:N864" si="238">K859</f>
        <v>2</v>
      </c>
      <c r="L864" s="107">
        <f t="shared" si="238"/>
        <v>6</v>
      </c>
      <c r="M864" s="75">
        <f t="shared" si="238"/>
        <v>10</v>
      </c>
      <c r="N864" s="75">
        <f t="shared" si="238"/>
        <v>6</v>
      </c>
      <c r="O864" s="76">
        <f t="shared" ref="O864:O873" si="239">SUM(J864:N864)</f>
        <v>84</v>
      </c>
    </row>
    <row r="865" spans="1:16" x14ac:dyDescent="0.15">
      <c r="A865" s="38" t="s">
        <v>14</v>
      </c>
      <c r="B865" s="8"/>
      <c r="C865" s="10"/>
      <c r="D865" s="10"/>
      <c r="E865" s="10">
        <v>2</v>
      </c>
      <c r="F865" s="30"/>
      <c r="G865" s="7">
        <f t="shared" si="237"/>
        <v>2</v>
      </c>
      <c r="H865" s="58">
        <v>43683</v>
      </c>
      <c r="I865" s="175" t="s">
        <v>1121</v>
      </c>
      <c r="J865" s="176">
        <v>1</v>
      </c>
      <c r="K865" s="177"/>
      <c r="L865" s="177"/>
      <c r="M865" s="177">
        <v>-1</v>
      </c>
      <c r="N865" s="178"/>
      <c r="O865" s="179">
        <f t="shared" si="239"/>
        <v>0</v>
      </c>
      <c r="P865" s="180">
        <v>43705</v>
      </c>
    </row>
    <row r="866" spans="1:16" x14ac:dyDescent="0.15">
      <c r="A866" s="38" t="s">
        <v>3</v>
      </c>
      <c r="B866" s="8"/>
      <c r="C866" s="10"/>
      <c r="D866" s="10"/>
      <c r="E866" s="10">
        <v>2</v>
      </c>
      <c r="F866" s="28"/>
      <c r="G866" s="9">
        <f t="shared" si="237"/>
        <v>2</v>
      </c>
      <c r="H866" s="58">
        <v>43693</v>
      </c>
      <c r="I866" s="15" t="s">
        <v>9</v>
      </c>
      <c r="J866" s="8">
        <v>18</v>
      </c>
      <c r="K866" s="10">
        <v>8</v>
      </c>
      <c r="L866" s="10">
        <v>8</v>
      </c>
      <c r="M866" s="10">
        <v>4</v>
      </c>
      <c r="N866" s="28">
        <v>2</v>
      </c>
      <c r="O866" s="9">
        <f t="shared" si="239"/>
        <v>40</v>
      </c>
      <c r="P866" s="57">
        <v>43771</v>
      </c>
    </row>
    <row r="867" spans="1:16" x14ac:dyDescent="0.15">
      <c r="A867" s="38" t="s">
        <v>4</v>
      </c>
      <c r="B867" s="8"/>
      <c r="C867" s="10"/>
      <c r="D867" s="10">
        <v>1</v>
      </c>
      <c r="E867" s="10"/>
      <c r="F867" s="28"/>
      <c r="G867" s="9">
        <f t="shared" si="237"/>
        <v>1</v>
      </c>
      <c r="H867" s="58">
        <v>44074</v>
      </c>
      <c r="I867" s="15" t="s">
        <v>4</v>
      </c>
      <c r="J867" s="8"/>
      <c r="K867" s="10"/>
      <c r="L867" s="10"/>
      <c r="M867" s="10"/>
      <c r="N867" s="28"/>
      <c r="O867" s="9">
        <f t="shared" si="239"/>
        <v>0</v>
      </c>
    </row>
    <row r="868" spans="1:16" x14ac:dyDescent="0.15">
      <c r="A868" s="38" t="s">
        <v>5</v>
      </c>
      <c r="B868" s="8"/>
      <c r="C868" s="10">
        <v>2</v>
      </c>
      <c r="D868" s="10">
        <v>2</v>
      </c>
      <c r="E868" s="10"/>
      <c r="F868" s="28"/>
      <c r="G868" s="9">
        <f t="shared" ref="G868:G869" si="240">SUM(B868:F868)</f>
        <v>4</v>
      </c>
      <c r="H868" s="58">
        <v>43710</v>
      </c>
      <c r="I868" s="15" t="s">
        <v>5</v>
      </c>
      <c r="J868" s="8"/>
      <c r="K868" s="10"/>
      <c r="L868" s="10"/>
      <c r="M868" s="10"/>
      <c r="N868" s="28"/>
      <c r="O868" s="9">
        <f t="shared" si="239"/>
        <v>0</v>
      </c>
    </row>
    <row r="869" spans="1:16" x14ac:dyDescent="0.15">
      <c r="A869" s="38" t="s">
        <v>6</v>
      </c>
      <c r="B869" s="8"/>
      <c r="C869" s="10"/>
      <c r="D869" s="10"/>
      <c r="E869" s="10"/>
      <c r="F869" s="28">
        <v>3</v>
      </c>
      <c r="G869" s="9">
        <f t="shared" si="240"/>
        <v>3</v>
      </c>
      <c r="H869" s="58">
        <v>43718</v>
      </c>
      <c r="I869" s="15" t="s">
        <v>6</v>
      </c>
      <c r="J869" s="8"/>
      <c r="K869" s="10"/>
      <c r="L869" s="10"/>
      <c r="M869" s="10"/>
      <c r="N869" s="28"/>
      <c r="O869" s="9">
        <f t="shared" si="239"/>
        <v>0</v>
      </c>
    </row>
    <row r="870" spans="1:16" x14ac:dyDescent="0.15">
      <c r="A870" s="38" t="s">
        <v>616</v>
      </c>
      <c r="B870" s="8"/>
      <c r="C870" s="10">
        <v>1</v>
      </c>
      <c r="D870" s="10"/>
      <c r="E870" s="10"/>
      <c r="F870" s="30"/>
      <c r="G870" s="7">
        <f t="shared" si="237"/>
        <v>1</v>
      </c>
      <c r="H870" s="58">
        <v>43747</v>
      </c>
      <c r="I870" s="15" t="s">
        <v>84</v>
      </c>
      <c r="J870" s="11"/>
      <c r="K870" s="12"/>
      <c r="L870" s="12"/>
      <c r="M870" s="12"/>
      <c r="N870" s="31"/>
      <c r="O870" s="7">
        <f t="shared" si="239"/>
        <v>0</v>
      </c>
    </row>
    <row r="871" spans="1:16" x14ac:dyDescent="0.15">
      <c r="A871" s="38" t="s">
        <v>111</v>
      </c>
      <c r="B871" s="8"/>
      <c r="C871" s="10"/>
      <c r="D871" s="10"/>
      <c r="E871" s="10"/>
      <c r="F871" s="28">
        <v>1</v>
      </c>
      <c r="G871" s="9">
        <f t="shared" si="237"/>
        <v>1</v>
      </c>
      <c r="H871" s="58">
        <v>43761</v>
      </c>
      <c r="I871" s="15" t="s">
        <v>85</v>
      </c>
      <c r="J871" s="8"/>
      <c r="K871" s="10"/>
      <c r="L871" s="10"/>
      <c r="M871" s="10"/>
      <c r="N871" s="30"/>
      <c r="O871" s="7">
        <f t="shared" si="239"/>
        <v>0</v>
      </c>
    </row>
    <row r="872" spans="1:16" x14ac:dyDescent="0.15">
      <c r="A872" s="38" t="s">
        <v>111</v>
      </c>
      <c r="B872" s="11">
        <v>18</v>
      </c>
      <c r="C872" s="100">
        <v>8</v>
      </c>
      <c r="D872" s="100">
        <v>10</v>
      </c>
      <c r="E872" s="100">
        <v>4</v>
      </c>
      <c r="F872" s="101">
        <v>2</v>
      </c>
      <c r="G872" s="102">
        <f t="shared" si="237"/>
        <v>42</v>
      </c>
      <c r="H872" s="58">
        <v>43767</v>
      </c>
      <c r="I872" s="16" t="s">
        <v>88</v>
      </c>
      <c r="J872" s="8"/>
      <c r="K872" s="10"/>
      <c r="L872" s="10"/>
      <c r="M872" s="10"/>
      <c r="N872" s="30"/>
      <c r="O872" s="7">
        <f t="shared" si="239"/>
        <v>0</v>
      </c>
    </row>
    <row r="873" spans="1:16" ht="14.25" thickBot="1" x14ac:dyDescent="0.2">
      <c r="A873" s="38" t="s">
        <v>87</v>
      </c>
      <c r="B873" s="11"/>
      <c r="C873" s="100"/>
      <c r="D873" s="100"/>
      <c r="E873" s="100">
        <v>2</v>
      </c>
      <c r="F873" s="101"/>
      <c r="G873" s="102">
        <f t="shared" si="237"/>
        <v>2</v>
      </c>
      <c r="H873" s="58">
        <v>43859</v>
      </c>
      <c r="I873" s="16" t="s">
        <v>1044</v>
      </c>
      <c r="J873" s="11"/>
      <c r="K873" s="100"/>
      <c r="L873" s="100"/>
      <c r="M873" s="100"/>
      <c r="N873" s="101"/>
      <c r="O873" s="102">
        <f t="shared" si="239"/>
        <v>0</v>
      </c>
    </row>
    <row r="874" spans="1:16" ht="14.25" thickBot="1" x14ac:dyDescent="0.2">
      <c r="A874" s="72" t="s">
        <v>7</v>
      </c>
      <c r="B874" s="73">
        <f>SUM(B864:B873)</f>
        <v>25</v>
      </c>
      <c r="C874" s="74">
        <f t="shared" ref="C874:G874" si="241">SUM(C864:C873)</f>
        <v>13</v>
      </c>
      <c r="D874" s="74">
        <f t="shared" si="241"/>
        <v>14</v>
      </c>
      <c r="E874" s="74">
        <f t="shared" si="241"/>
        <v>10</v>
      </c>
      <c r="F874" s="105">
        <f t="shared" si="241"/>
        <v>8</v>
      </c>
      <c r="G874" s="105">
        <f t="shared" si="241"/>
        <v>70</v>
      </c>
      <c r="H874" s="56"/>
      <c r="I874" s="72" t="s">
        <v>7</v>
      </c>
      <c r="J874" s="73">
        <f>SUM(J864:J873)</f>
        <v>79</v>
      </c>
      <c r="K874" s="74">
        <f t="shared" ref="K874:O874" si="242">SUM(K864:K873)</f>
        <v>10</v>
      </c>
      <c r="L874" s="74">
        <f t="shared" si="242"/>
        <v>14</v>
      </c>
      <c r="M874" s="74">
        <f t="shared" si="242"/>
        <v>13</v>
      </c>
      <c r="N874" s="105">
        <f t="shared" si="242"/>
        <v>8</v>
      </c>
      <c r="O874" s="105">
        <f t="shared" si="242"/>
        <v>124</v>
      </c>
    </row>
    <row r="875" spans="1:16" x14ac:dyDescent="0.15">
      <c r="A875" s="16" t="s">
        <v>29</v>
      </c>
      <c r="B875" s="8"/>
      <c r="C875" s="10">
        <v>1</v>
      </c>
      <c r="D875" s="10"/>
      <c r="E875" s="10">
        <v>1</v>
      </c>
      <c r="F875" s="30"/>
      <c r="G875" s="7">
        <f t="shared" ref="G875:G900" si="243">SUM(B875:F875)</f>
        <v>2</v>
      </c>
      <c r="H875" s="58">
        <v>43683</v>
      </c>
      <c r="I875" s="16" t="s">
        <v>1093</v>
      </c>
      <c r="J875" s="17"/>
      <c r="K875" s="22"/>
      <c r="L875" s="22"/>
      <c r="M875" s="22">
        <v>2</v>
      </c>
      <c r="N875" s="29"/>
      <c r="O875" s="18">
        <f t="shared" ref="O875:O900" si="244">SUM(J875:N875)</f>
        <v>2</v>
      </c>
      <c r="P875" s="58">
        <v>43683</v>
      </c>
    </row>
    <row r="876" spans="1:16" x14ac:dyDescent="0.15">
      <c r="A876" s="16" t="s">
        <v>29</v>
      </c>
      <c r="B876" s="8"/>
      <c r="C876" s="10"/>
      <c r="D876" s="10"/>
      <c r="E876" s="10">
        <v>1</v>
      </c>
      <c r="F876" s="30"/>
      <c r="G876" s="7">
        <f t="shared" si="243"/>
        <v>1</v>
      </c>
      <c r="H876" s="58">
        <v>43686</v>
      </c>
      <c r="I876" s="16" t="s">
        <v>24</v>
      </c>
      <c r="J876" s="8"/>
      <c r="K876" s="10"/>
      <c r="L876" s="10"/>
      <c r="M876" s="10">
        <v>2</v>
      </c>
      <c r="N876" s="30"/>
      <c r="O876" s="7">
        <f t="shared" si="244"/>
        <v>2</v>
      </c>
      <c r="P876" s="58">
        <v>43693</v>
      </c>
    </row>
    <row r="877" spans="1:16" x14ac:dyDescent="0.15">
      <c r="A877" s="16" t="s">
        <v>29</v>
      </c>
      <c r="B877" s="8"/>
      <c r="C877" s="10"/>
      <c r="D877" s="10"/>
      <c r="E877" s="10"/>
      <c r="F877" s="30">
        <v>1</v>
      </c>
      <c r="G877" s="7">
        <f t="shared" si="243"/>
        <v>1</v>
      </c>
      <c r="H877" s="58">
        <v>43696</v>
      </c>
      <c r="I877" s="16" t="s">
        <v>1101</v>
      </c>
      <c r="J877" s="8">
        <v>2</v>
      </c>
      <c r="K877" s="10"/>
      <c r="L877" s="10"/>
      <c r="M877" s="10"/>
      <c r="N877" s="30"/>
      <c r="O877" s="7">
        <f t="shared" si="244"/>
        <v>2</v>
      </c>
      <c r="P877" s="58">
        <v>43700</v>
      </c>
    </row>
    <row r="878" spans="1:16" x14ac:dyDescent="0.15">
      <c r="A878" s="16" t="s">
        <v>29</v>
      </c>
      <c r="B878" s="8"/>
      <c r="C878" s="10"/>
      <c r="D878" s="10"/>
      <c r="E878" s="10"/>
      <c r="F878" s="30">
        <v>1</v>
      </c>
      <c r="G878" s="7">
        <f t="shared" si="243"/>
        <v>1</v>
      </c>
      <c r="H878" s="58">
        <v>43710</v>
      </c>
      <c r="I878" s="16" t="s">
        <v>24</v>
      </c>
      <c r="J878" s="11"/>
      <c r="K878" s="100">
        <v>2</v>
      </c>
      <c r="L878" s="100">
        <v>2</v>
      </c>
      <c r="M878" s="100"/>
      <c r="N878" s="101"/>
      <c r="O878" s="9">
        <f t="shared" si="244"/>
        <v>4</v>
      </c>
      <c r="P878" s="58">
        <v>43710</v>
      </c>
    </row>
    <row r="879" spans="1:16" x14ac:dyDescent="0.15">
      <c r="A879" s="16" t="s">
        <v>29</v>
      </c>
      <c r="B879" s="8"/>
      <c r="C879" s="10"/>
      <c r="D879" s="10"/>
      <c r="E879" s="10"/>
      <c r="F879" s="30">
        <v>1</v>
      </c>
      <c r="G879" s="7">
        <f t="shared" si="243"/>
        <v>1</v>
      </c>
      <c r="H879" s="58">
        <v>43718</v>
      </c>
      <c r="I879" s="16" t="s">
        <v>24</v>
      </c>
      <c r="J879" s="8"/>
      <c r="K879" s="10"/>
      <c r="L879" s="10"/>
      <c r="M879" s="10"/>
      <c r="N879" s="30">
        <v>3</v>
      </c>
      <c r="O879" s="7">
        <f t="shared" si="244"/>
        <v>3</v>
      </c>
      <c r="P879" s="58">
        <v>43718</v>
      </c>
    </row>
    <row r="880" spans="1:16" x14ac:dyDescent="0.15">
      <c r="A880" s="16" t="s">
        <v>29</v>
      </c>
      <c r="B880" s="8"/>
      <c r="C880" s="10">
        <v>1</v>
      </c>
      <c r="D880" s="10">
        <v>1</v>
      </c>
      <c r="E880" s="10"/>
      <c r="F880" s="30"/>
      <c r="G880" s="7">
        <f t="shared" si="243"/>
        <v>2</v>
      </c>
      <c r="H880" s="58">
        <v>43724</v>
      </c>
      <c r="I880" s="16" t="s">
        <v>24</v>
      </c>
      <c r="J880" s="8"/>
      <c r="K880" s="10"/>
      <c r="L880" s="10"/>
      <c r="M880" s="10">
        <v>2</v>
      </c>
      <c r="N880" s="30"/>
      <c r="O880" s="7">
        <f t="shared" si="244"/>
        <v>2</v>
      </c>
      <c r="P880" s="58">
        <v>43859</v>
      </c>
    </row>
    <row r="881" spans="1:18" x14ac:dyDescent="0.15">
      <c r="A881" s="16" t="s">
        <v>29</v>
      </c>
      <c r="B881" s="8"/>
      <c r="C881" s="10"/>
      <c r="D881" s="10"/>
      <c r="E881" s="10">
        <v>1</v>
      </c>
      <c r="F881" s="30"/>
      <c r="G881" s="7">
        <f t="shared" si="243"/>
        <v>1</v>
      </c>
      <c r="H881" s="58">
        <v>43747</v>
      </c>
      <c r="I881" s="16" t="s">
        <v>24</v>
      </c>
      <c r="J881" s="8"/>
      <c r="K881" s="10">
        <v>2</v>
      </c>
      <c r="L881" s="10"/>
      <c r="M881" s="10"/>
      <c r="N881" s="30">
        <v>2</v>
      </c>
      <c r="O881" s="7">
        <f t="shared" si="244"/>
        <v>4</v>
      </c>
      <c r="P881" s="58">
        <v>43865</v>
      </c>
    </row>
    <row r="882" spans="1:18" x14ac:dyDescent="0.15">
      <c r="A882" s="16" t="s">
        <v>29</v>
      </c>
      <c r="B882" s="8"/>
      <c r="C882" s="10">
        <v>1</v>
      </c>
      <c r="D882" s="10"/>
      <c r="E882" s="10"/>
      <c r="F882" s="30"/>
      <c r="G882" s="7">
        <f t="shared" si="243"/>
        <v>1</v>
      </c>
      <c r="H882" s="58">
        <v>43753</v>
      </c>
      <c r="I882" s="16" t="s">
        <v>110</v>
      </c>
      <c r="J882" s="8"/>
      <c r="K882" s="10">
        <v>2</v>
      </c>
      <c r="L882" s="10">
        <v>2</v>
      </c>
      <c r="M882" s="10">
        <v>2</v>
      </c>
      <c r="N882" s="30">
        <v>2</v>
      </c>
      <c r="O882" s="7">
        <f t="shared" si="244"/>
        <v>8</v>
      </c>
      <c r="P882" s="58">
        <v>43930</v>
      </c>
      <c r="Q882" s="56"/>
    </row>
    <row r="883" spans="1:18" x14ac:dyDescent="0.15">
      <c r="A883" s="16" t="s">
        <v>29</v>
      </c>
      <c r="B883" s="11"/>
      <c r="C883" s="12">
        <v>1</v>
      </c>
      <c r="D883" s="12"/>
      <c r="E883" s="12"/>
      <c r="F883" s="31"/>
      <c r="G883" s="7">
        <f t="shared" si="243"/>
        <v>1</v>
      </c>
      <c r="H883" s="58">
        <v>43762</v>
      </c>
      <c r="I883" s="16" t="s">
        <v>24</v>
      </c>
      <c r="J883" s="11"/>
      <c r="K883" s="12"/>
      <c r="L883" s="12"/>
      <c r="M883" s="12">
        <v>5</v>
      </c>
      <c r="N883" s="31">
        <v>1</v>
      </c>
      <c r="O883" s="7">
        <f t="shared" si="244"/>
        <v>6</v>
      </c>
      <c r="P883" s="57">
        <v>43962</v>
      </c>
    </row>
    <row r="884" spans="1:18" x14ac:dyDescent="0.15">
      <c r="A884" s="16" t="s">
        <v>1215</v>
      </c>
      <c r="B884" s="11">
        <v>18</v>
      </c>
      <c r="C884" s="12">
        <v>8</v>
      </c>
      <c r="D884" s="12">
        <v>8</v>
      </c>
      <c r="E884" s="12">
        <v>4</v>
      </c>
      <c r="F884" s="31">
        <v>2</v>
      </c>
      <c r="G884" s="7">
        <f t="shared" si="243"/>
        <v>40</v>
      </c>
      <c r="H884" s="58">
        <v>43771</v>
      </c>
      <c r="I884" s="16" t="s">
        <v>24</v>
      </c>
      <c r="J884" s="11">
        <v>3</v>
      </c>
      <c r="K884" s="12"/>
      <c r="L884" s="12"/>
      <c r="M884" s="12"/>
      <c r="N884" s="31"/>
      <c r="O884" s="7">
        <f t="shared" si="244"/>
        <v>3</v>
      </c>
      <c r="P884" s="58">
        <v>44008</v>
      </c>
      <c r="Q884" s="56"/>
      <c r="R884" s="56"/>
    </row>
    <row r="885" spans="1:18" x14ac:dyDescent="0.15">
      <c r="A885" s="16" t="s">
        <v>29</v>
      </c>
      <c r="B885" s="8"/>
      <c r="C885" s="10"/>
      <c r="D885" s="10"/>
      <c r="E885" s="10">
        <v>1</v>
      </c>
      <c r="F885" s="30"/>
      <c r="G885" s="7">
        <f t="shared" si="243"/>
        <v>1</v>
      </c>
      <c r="H885" s="58">
        <v>43857</v>
      </c>
      <c r="I885" s="16"/>
      <c r="J885" s="8"/>
      <c r="K885" s="10"/>
      <c r="L885" s="10"/>
      <c r="M885" s="10"/>
      <c r="N885" s="30"/>
      <c r="O885" s="7">
        <f t="shared" si="244"/>
        <v>0</v>
      </c>
    </row>
    <row r="886" spans="1:18" x14ac:dyDescent="0.15">
      <c r="A886" s="16" t="s">
        <v>29</v>
      </c>
      <c r="B886" s="8"/>
      <c r="C886" s="10"/>
      <c r="D886" s="10"/>
      <c r="E886" s="10"/>
      <c r="F886" s="30">
        <v>3</v>
      </c>
      <c r="G886" s="7">
        <f t="shared" si="243"/>
        <v>3</v>
      </c>
      <c r="H886" s="58">
        <v>43864</v>
      </c>
      <c r="I886" s="16"/>
      <c r="J886" s="8"/>
      <c r="K886" s="10"/>
      <c r="L886" s="10"/>
      <c r="M886" s="10"/>
      <c r="N886" s="30"/>
      <c r="O886" s="7">
        <f t="shared" si="244"/>
        <v>0</v>
      </c>
    </row>
    <row r="887" spans="1:18" x14ac:dyDescent="0.15">
      <c r="A887" s="51" t="s">
        <v>1254</v>
      </c>
      <c r="B887" s="11"/>
      <c r="C887" s="12">
        <v>-2</v>
      </c>
      <c r="D887" s="12"/>
      <c r="E887" s="12"/>
      <c r="F887" s="31">
        <v>-2</v>
      </c>
      <c r="G887" s="7">
        <f t="shared" si="243"/>
        <v>-4</v>
      </c>
      <c r="H887" s="58">
        <v>43865</v>
      </c>
      <c r="I887" s="16"/>
      <c r="J887" s="8"/>
      <c r="K887" s="10"/>
      <c r="L887" s="10"/>
      <c r="M887" s="10"/>
      <c r="N887" s="30"/>
      <c r="O887" s="7">
        <f t="shared" si="244"/>
        <v>0</v>
      </c>
    </row>
    <row r="888" spans="1:18" x14ac:dyDescent="0.15">
      <c r="A888" s="16" t="s">
        <v>1267</v>
      </c>
      <c r="B888" s="8"/>
      <c r="C888" s="10"/>
      <c r="D888" s="10"/>
      <c r="E888" s="10">
        <v>1</v>
      </c>
      <c r="F888" s="30"/>
      <c r="G888" s="7">
        <f t="shared" si="243"/>
        <v>1</v>
      </c>
      <c r="H888" s="58">
        <v>43880</v>
      </c>
      <c r="I888" s="64"/>
      <c r="J888" s="8"/>
      <c r="K888" s="10"/>
      <c r="L888" s="10"/>
      <c r="M888" s="10"/>
      <c r="N888" s="30"/>
      <c r="O888" s="7">
        <f t="shared" si="244"/>
        <v>0</v>
      </c>
    </row>
    <row r="889" spans="1:18" x14ac:dyDescent="0.15">
      <c r="A889" s="16" t="s">
        <v>117</v>
      </c>
      <c r="B889" s="8"/>
      <c r="C889" s="10"/>
      <c r="D889" s="10"/>
      <c r="E889" s="10"/>
      <c r="F889" s="30">
        <v>1</v>
      </c>
      <c r="G889" s="7">
        <f t="shared" si="243"/>
        <v>1</v>
      </c>
      <c r="H889" s="58">
        <v>43882</v>
      </c>
      <c r="I889" s="16"/>
      <c r="J889" s="8"/>
      <c r="K889" s="10"/>
      <c r="L889" s="10"/>
      <c r="M889" s="10"/>
      <c r="N889" s="30"/>
      <c r="O889" s="7">
        <f t="shared" si="244"/>
        <v>0</v>
      </c>
    </row>
    <row r="890" spans="1:18" x14ac:dyDescent="0.15">
      <c r="A890" s="16" t="s">
        <v>110</v>
      </c>
      <c r="B890" s="8">
        <v>1</v>
      </c>
      <c r="C890" s="10"/>
      <c r="D890" s="10"/>
      <c r="E890" s="10"/>
      <c r="F890" s="30"/>
      <c r="G890" s="7">
        <f t="shared" si="243"/>
        <v>1</v>
      </c>
      <c r="H890" s="58">
        <v>43916</v>
      </c>
      <c r="I890" s="16"/>
      <c r="J890" s="8"/>
      <c r="K890" s="10"/>
      <c r="L890" s="10"/>
      <c r="M890" s="10"/>
      <c r="N890" s="30"/>
      <c r="O890" s="7">
        <f t="shared" si="244"/>
        <v>0</v>
      </c>
    </row>
    <row r="891" spans="1:18" x14ac:dyDescent="0.15">
      <c r="A891" s="16" t="s">
        <v>110</v>
      </c>
      <c r="B891" s="8"/>
      <c r="C891" s="10"/>
      <c r="D891" s="10"/>
      <c r="E891" s="10">
        <v>2</v>
      </c>
      <c r="F891" s="30">
        <v>2</v>
      </c>
      <c r="G891" s="7">
        <f t="shared" si="243"/>
        <v>4</v>
      </c>
      <c r="H891" s="58">
        <v>43963</v>
      </c>
      <c r="I891" s="14"/>
      <c r="J891" s="8"/>
      <c r="K891" s="10"/>
      <c r="L891" s="10"/>
      <c r="M891" s="10"/>
      <c r="N891" s="30"/>
      <c r="O891" s="7">
        <f t="shared" si="244"/>
        <v>0</v>
      </c>
    </row>
    <row r="892" spans="1:18" x14ac:dyDescent="0.15">
      <c r="A892" s="16" t="s">
        <v>1305</v>
      </c>
      <c r="B892" s="8"/>
      <c r="C892" s="10"/>
      <c r="D892" s="10"/>
      <c r="E892" s="10">
        <v>-5</v>
      </c>
      <c r="F892" s="30">
        <v>-1</v>
      </c>
      <c r="G892" s="7">
        <f t="shared" si="243"/>
        <v>-6</v>
      </c>
      <c r="H892" s="58">
        <v>43962</v>
      </c>
      <c r="I892" s="16"/>
      <c r="J892" s="8"/>
      <c r="K892" s="10"/>
      <c r="L892" s="10"/>
      <c r="M892" s="10"/>
      <c r="N892" s="30"/>
      <c r="O892" s="7">
        <f t="shared" si="244"/>
        <v>0</v>
      </c>
    </row>
    <row r="893" spans="1:18" x14ac:dyDescent="0.15">
      <c r="A893" s="16" t="s">
        <v>110</v>
      </c>
      <c r="B893" s="8">
        <v>4</v>
      </c>
      <c r="C893" s="10"/>
      <c r="D893" s="10"/>
      <c r="E893" s="10">
        <v>3</v>
      </c>
      <c r="F893" s="30"/>
      <c r="G893" s="7">
        <f t="shared" si="243"/>
        <v>7</v>
      </c>
      <c r="H893" s="58">
        <v>43972</v>
      </c>
      <c r="I893" s="16"/>
      <c r="J893" s="8"/>
      <c r="K893" s="10"/>
      <c r="L893" s="10"/>
      <c r="M893" s="10"/>
      <c r="N893" s="30"/>
      <c r="O893" s="7">
        <f t="shared" si="244"/>
        <v>0</v>
      </c>
    </row>
    <row r="894" spans="1:18" x14ac:dyDescent="0.15">
      <c r="A894" s="16" t="s">
        <v>117</v>
      </c>
      <c r="B894" s="8"/>
      <c r="C894" s="10"/>
      <c r="D894" s="10">
        <v>1</v>
      </c>
      <c r="E894" s="10"/>
      <c r="F894" s="30"/>
      <c r="G894" s="7">
        <f t="shared" si="243"/>
        <v>1</v>
      </c>
      <c r="H894" s="58">
        <v>43986</v>
      </c>
      <c r="I894" s="16"/>
      <c r="J894" s="8"/>
      <c r="K894" s="10"/>
      <c r="L894" s="10"/>
      <c r="M894" s="10"/>
      <c r="N894" s="30"/>
      <c r="O894" s="9">
        <f t="shared" si="244"/>
        <v>0</v>
      </c>
    </row>
    <row r="895" spans="1:18" x14ac:dyDescent="0.15">
      <c r="A895" s="16" t="s">
        <v>29</v>
      </c>
      <c r="B895" s="8"/>
      <c r="C895" s="10"/>
      <c r="D895" s="10"/>
      <c r="E895" s="10">
        <v>1</v>
      </c>
      <c r="F895" s="30"/>
      <c r="G895" s="7">
        <f t="shared" si="243"/>
        <v>1</v>
      </c>
      <c r="H895" s="58">
        <v>43987</v>
      </c>
      <c r="I895" s="16"/>
      <c r="J895" s="8"/>
      <c r="K895" s="10"/>
      <c r="L895" s="10"/>
      <c r="M895" s="10"/>
      <c r="N895" s="30"/>
      <c r="O895" s="9">
        <f t="shared" si="244"/>
        <v>0</v>
      </c>
    </row>
    <row r="896" spans="1:18" x14ac:dyDescent="0.15">
      <c r="A896" s="16" t="s">
        <v>29</v>
      </c>
      <c r="B896" s="8">
        <v>1</v>
      </c>
      <c r="C896" s="10"/>
      <c r="D896" s="10"/>
      <c r="E896" s="10"/>
      <c r="F896" s="30"/>
      <c r="G896" s="7">
        <f t="shared" si="243"/>
        <v>1</v>
      </c>
      <c r="H896" s="58">
        <v>43991</v>
      </c>
      <c r="I896" s="50"/>
      <c r="J896" s="8"/>
      <c r="K896" s="10"/>
      <c r="L896" s="10"/>
      <c r="M896" s="10"/>
      <c r="N896" s="30"/>
      <c r="O896" s="9">
        <f t="shared" si="244"/>
        <v>0</v>
      </c>
    </row>
    <row r="897" spans="1:18" x14ac:dyDescent="0.15">
      <c r="A897" s="16" t="s">
        <v>29</v>
      </c>
      <c r="B897" s="8">
        <v>1</v>
      </c>
      <c r="C897" s="10"/>
      <c r="D897" s="10"/>
      <c r="E897" s="10"/>
      <c r="F897" s="30"/>
      <c r="G897" s="7">
        <f t="shared" si="243"/>
        <v>1</v>
      </c>
      <c r="H897" s="58">
        <v>44007</v>
      </c>
      <c r="I897" s="16"/>
      <c r="J897" s="8"/>
      <c r="K897" s="10"/>
      <c r="L897" s="10"/>
      <c r="M897" s="10"/>
      <c r="N897" s="30"/>
      <c r="O897" s="9">
        <f t="shared" si="244"/>
        <v>0</v>
      </c>
    </row>
    <row r="898" spans="1:18" x14ac:dyDescent="0.15">
      <c r="A898" s="16" t="s">
        <v>1322</v>
      </c>
      <c r="B898" s="8">
        <v>-3</v>
      </c>
      <c r="C898" s="10"/>
      <c r="D898" s="10"/>
      <c r="E898" s="10"/>
      <c r="F898" s="30"/>
      <c r="G898" s="7">
        <f t="shared" si="243"/>
        <v>-3</v>
      </c>
      <c r="H898" s="58">
        <v>44008</v>
      </c>
      <c r="I898" s="16"/>
      <c r="J898" s="8"/>
      <c r="K898" s="10"/>
      <c r="L898" s="10"/>
      <c r="M898" s="10"/>
      <c r="N898" s="30"/>
      <c r="O898" s="9">
        <f t="shared" si="244"/>
        <v>0</v>
      </c>
    </row>
    <row r="899" spans="1:18" x14ac:dyDescent="0.15">
      <c r="A899" s="16"/>
      <c r="B899" s="8"/>
      <c r="C899" s="10"/>
      <c r="D899" s="10"/>
      <c r="E899" s="10"/>
      <c r="F899" s="30"/>
      <c r="G899" s="7">
        <f t="shared" si="243"/>
        <v>0</v>
      </c>
      <c r="H899" s="58"/>
      <c r="I899" s="16"/>
      <c r="J899" s="8"/>
      <c r="K899" s="10"/>
      <c r="L899" s="10"/>
      <c r="M899" s="10"/>
      <c r="N899" s="30"/>
      <c r="O899" s="9">
        <f t="shared" si="244"/>
        <v>0</v>
      </c>
    </row>
    <row r="900" spans="1:18" ht="14.25" thickBot="1" x14ac:dyDescent="0.2">
      <c r="A900" s="51"/>
      <c r="B900" s="11"/>
      <c r="C900" s="12"/>
      <c r="D900" s="12"/>
      <c r="E900" s="12"/>
      <c r="F900" s="31"/>
      <c r="G900" s="7">
        <f t="shared" si="243"/>
        <v>0</v>
      </c>
      <c r="H900" s="58"/>
      <c r="I900" s="14"/>
      <c r="J900" s="8"/>
      <c r="K900" s="10"/>
      <c r="L900" s="10"/>
      <c r="M900" s="10"/>
      <c r="N900" s="30"/>
      <c r="O900" s="9">
        <f t="shared" si="244"/>
        <v>0</v>
      </c>
      <c r="P900" s="56"/>
      <c r="Q900" s="56"/>
    </row>
    <row r="901" spans="1:18" ht="14.25" thickBot="1" x14ac:dyDescent="0.2">
      <c r="A901" s="3" t="s">
        <v>11</v>
      </c>
      <c r="B901" s="23">
        <f>SUM(B875:B900)</f>
        <v>22</v>
      </c>
      <c r="C901" s="4">
        <f>SUM(C875:C900)</f>
        <v>10</v>
      </c>
      <c r="D901" s="4">
        <f>SUM(D875:D900)</f>
        <v>10</v>
      </c>
      <c r="E901" s="6">
        <f>SUM(E875:E900)</f>
        <v>10</v>
      </c>
      <c r="F901" s="32">
        <f>SUM(F875:F900)</f>
        <v>8</v>
      </c>
      <c r="G901" s="5">
        <f>SUM(B901:F901)</f>
        <v>60</v>
      </c>
      <c r="H901" s="58"/>
      <c r="I901" s="3" t="s">
        <v>11</v>
      </c>
      <c r="J901" s="23">
        <f>SUM(J875:J900)</f>
        <v>5</v>
      </c>
      <c r="K901" s="4">
        <f>SUM(K875:K900)</f>
        <v>6</v>
      </c>
      <c r="L901" s="4">
        <f>SUM(L875:L900)</f>
        <v>4</v>
      </c>
      <c r="M901" s="6">
        <f>SUM(M875:M900)</f>
        <v>13</v>
      </c>
      <c r="N901" s="32">
        <f>SUM(N875:N900)</f>
        <v>8</v>
      </c>
      <c r="O901" s="5">
        <f>SUM(J901:N901)</f>
        <v>36</v>
      </c>
    </row>
    <row r="902" spans="1:18" ht="14.25" thickBot="1" x14ac:dyDescent="0.2">
      <c r="A902" s="25" t="s">
        <v>12</v>
      </c>
      <c r="B902" s="63">
        <f>B874-B901</f>
        <v>3</v>
      </c>
      <c r="C902" s="26">
        <f t="shared" ref="C902:G902" si="245">C874-C901</f>
        <v>3</v>
      </c>
      <c r="D902" s="71">
        <f t="shared" si="245"/>
        <v>4</v>
      </c>
      <c r="E902" s="26">
        <f t="shared" si="245"/>
        <v>0</v>
      </c>
      <c r="F902" s="70">
        <f t="shared" si="245"/>
        <v>0</v>
      </c>
      <c r="G902" s="27">
        <f t="shared" si="245"/>
        <v>10</v>
      </c>
      <c r="H902" s="58"/>
      <c r="I902" s="25" t="s">
        <v>12</v>
      </c>
      <c r="J902" s="63">
        <f>J874-J901</f>
        <v>74</v>
      </c>
      <c r="K902" s="26">
        <f t="shared" ref="K902:O902" si="246">K874-K901</f>
        <v>4</v>
      </c>
      <c r="L902" s="71">
        <f t="shared" si="246"/>
        <v>10</v>
      </c>
      <c r="M902" s="26">
        <f t="shared" si="246"/>
        <v>0</v>
      </c>
      <c r="N902" s="70">
        <f t="shared" si="246"/>
        <v>0</v>
      </c>
      <c r="O902" s="27">
        <f t="shared" si="246"/>
        <v>88</v>
      </c>
    </row>
    <row r="903" spans="1:18" ht="21" x14ac:dyDescent="0.2">
      <c r="A903" s="83" t="s">
        <v>414</v>
      </c>
      <c r="B903" s="77"/>
      <c r="C903" s="77"/>
      <c r="D903" s="77"/>
      <c r="E903" s="77"/>
      <c r="F903" s="77"/>
      <c r="G903" s="77"/>
      <c r="H903" s="58"/>
      <c r="I903" s="83" t="s">
        <v>414</v>
      </c>
      <c r="J903" s="77"/>
      <c r="K903" s="77"/>
      <c r="L903" s="77"/>
      <c r="M903" s="77"/>
      <c r="N903" s="77"/>
      <c r="O903" s="77"/>
    </row>
    <row r="904" spans="1:18" ht="21.75" thickBot="1" x14ac:dyDescent="0.25">
      <c r="A904" s="83" t="s">
        <v>47</v>
      </c>
      <c r="B904" s="77"/>
      <c r="C904" s="77"/>
      <c r="D904" s="77"/>
      <c r="E904" s="84"/>
      <c r="F904" s="78" t="s">
        <v>53</v>
      </c>
      <c r="G904" s="77"/>
      <c r="H904" s="58"/>
      <c r="I904" s="83" t="s">
        <v>47</v>
      </c>
      <c r="J904" s="77"/>
      <c r="K904" s="77"/>
      <c r="L904" s="77"/>
      <c r="M904" s="84"/>
      <c r="N904" s="78" t="s">
        <v>54</v>
      </c>
      <c r="O904" s="77"/>
    </row>
    <row r="905" spans="1:18" ht="14.25" thickBot="1" x14ac:dyDescent="0.2">
      <c r="A905" s="13" t="s">
        <v>0</v>
      </c>
      <c r="B905" s="228" t="s">
        <v>49</v>
      </c>
      <c r="C905" s="229"/>
      <c r="D905" s="229"/>
      <c r="E905" s="229"/>
      <c r="F905" s="230"/>
      <c r="G905" s="231"/>
      <c r="H905" s="58"/>
      <c r="I905" s="13" t="s">
        <v>0</v>
      </c>
      <c r="J905" s="232" t="s">
        <v>49</v>
      </c>
      <c r="K905" s="233"/>
      <c r="L905" s="233"/>
      <c r="M905" s="233"/>
      <c r="N905" s="233"/>
      <c r="O905" s="234"/>
    </row>
    <row r="906" spans="1:18" ht="14.25" thickBot="1" x14ac:dyDescent="0.2">
      <c r="A906" s="3" t="s">
        <v>1</v>
      </c>
      <c r="B906" s="2" t="s">
        <v>42</v>
      </c>
      <c r="C906" s="21" t="s">
        <v>43</v>
      </c>
      <c r="D906" s="21" t="s">
        <v>44</v>
      </c>
      <c r="E906" s="24" t="s">
        <v>45</v>
      </c>
      <c r="F906" s="33" t="s">
        <v>46</v>
      </c>
      <c r="G906" s="34" t="s">
        <v>2</v>
      </c>
      <c r="H906" s="58"/>
      <c r="I906" s="3" t="s">
        <v>1</v>
      </c>
      <c r="J906" s="2" t="s">
        <v>42</v>
      </c>
      <c r="K906" s="21" t="s">
        <v>43</v>
      </c>
      <c r="L906" s="21" t="s">
        <v>44</v>
      </c>
      <c r="M906" s="24" t="s">
        <v>45</v>
      </c>
      <c r="N906" s="33" t="s">
        <v>46</v>
      </c>
      <c r="O906" s="3" t="s">
        <v>2</v>
      </c>
    </row>
    <row r="907" spans="1:18" ht="14.25" thickBot="1" x14ac:dyDescent="0.2">
      <c r="A907" s="116" t="s">
        <v>79</v>
      </c>
      <c r="B907" s="95">
        <f>B902</f>
        <v>3</v>
      </c>
      <c r="C907" s="97">
        <f t="shared" ref="C907:F907" si="247">C902</f>
        <v>3</v>
      </c>
      <c r="D907" s="55">
        <f t="shared" si="247"/>
        <v>4</v>
      </c>
      <c r="E907" s="98">
        <f t="shared" si="247"/>
        <v>0</v>
      </c>
      <c r="F907" s="98">
        <f t="shared" si="247"/>
        <v>0</v>
      </c>
      <c r="G907" s="52">
        <f t="shared" ref="G907:G916" si="248">SUM(B907:F907)</f>
        <v>10</v>
      </c>
      <c r="H907" s="58"/>
      <c r="I907" s="72" t="s">
        <v>79</v>
      </c>
      <c r="J907" s="73">
        <f>J902</f>
        <v>74</v>
      </c>
      <c r="K907" s="74">
        <f t="shared" ref="K907:N907" si="249">K902</f>
        <v>4</v>
      </c>
      <c r="L907" s="107">
        <f t="shared" si="249"/>
        <v>10</v>
      </c>
      <c r="M907" s="75">
        <f t="shared" si="249"/>
        <v>0</v>
      </c>
      <c r="N907" s="75">
        <f t="shared" si="249"/>
        <v>0</v>
      </c>
      <c r="O907" s="76">
        <f t="shared" ref="O907:O916" si="250">SUM(J907:N907)</f>
        <v>88</v>
      </c>
    </row>
    <row r="908" spans="1:18" x14ac:dyDescent="0.15">
      <c r="A908" s="38" t="s">
        <v>14</v>
      </c>
      <c r="B908" s="8">
        <v>8</v>
      </c>
      <c r="C908" s="10"/>
      <c r="D908" s="10"/>
      <c r="E908" s="10"/>
      <c r="F908" s="30"/>
      <c r="G908" s="7">
        <f t="shared" si="248"/>
        <v>8</v>
      </c>
      <c r="H908" s="58">
        <v>44016</v>
      </c>
      <c r="I908" s="15" t="s">
        <v>9</v>
      </c>
      <c r="J908" s="37">
        <v>6</v>
      </c>
      <c r="K908" s="35"/>
      <c r="L908" s="35"/>
      <c r="M908" s="35"/>
      <c r="N908" s="28"/>
      <c r="O908" s="7">
        <f t="shared" si="250"/>
        <v>6</v>
      </c>
      <c r="P908" s="58">
        <v>44100</v>
      </c>
      <c r="Q908" s="56"/>
      <c r="R908" s="56"/>
    </row>
    <row r="909" spans="1:18" x14ac:dyDescent="0.15">
      <c r="A909" s="38" t="s">
        <v>3</v>
      </c>
      <c r="B909" s="8"/>
      <c r="C909" s="10"/>
      <c r="D909" s="10">
        <v>5</v>
      </c>
      <c r="E909" s="10"/>
      <c r="F909" s="28"/>
      <c r="G909" s="9">
        <f t="shared" si="248"/>
        <v>5</v>
      </c>
      <c r="H909" s="58">
        <v>44027</v>
      </c>
      <c r="I909" s="15" t="s">
        <v>3</v>
      </c>
      <c r="J909" s="8"/>
      <c r="K909" s="10"/>
      <c r="L909" s="10"/>
      <c r="M909" s="10"/>
      <c r="N909" s="28"/>
      <c r="O909" s="9">
        <f t="shared" si="250"/>
        <v>0</v>
      </c>
      <c r="P909" s="56"/>
      <c r="Q909" s="56"/>
      <c r="R909" s="56"/>
    </row>
    <row r="910" spans="1:18" x14ac:dyDescent="0.15">
      <c r="A910" s="38" t="s">
        <v>4</v>
      </c>
      <c r="B910" s="142"/>
      <c r="C910" s="10">
        <v>4</v>
      </c>
      <c r="D910" s="10">
        <v>5</v>
      </c>
      <c r="E910" s="143"/>
      <c r="F910" s="192"/>
      <c r="G910" s="9">
        <f t="shared" si="248"/>
        <v>9</v>
      </c>
      <c r="H910" s="58">
        <v>44055</v>
      </c>
      <c r="I910" s="15" t="s">
        <v>4</v>
      </c>
      <c r="J910" s="8"/>
      <c r="K910" s="10"/>
      <c r="L910" s="10"/>
      <c r="M910" s="10"/>
      <c r="N910" s="28"/>
      <c r="O910" s="9">
        <f t="shared" si="250"/>
        <v>0</v>
      </c>
      <c r="P910" s="56"/>
      <c r="Q910" s="56"/>
      <c r="R910" s="56"/>
    </row>
    <row r="911" spans="1:18" x14ac:dyDescent="0.15">
      <c r="A911" s="38" t="s">
        <v>183</v>
      </c>
      <c r="B911" s="8">
        <v>1</v>
      </c>
      <c r="C911" s="10"/>
      <c r="D911" s="10">
        <v>2</v>
      </c>
      <c r="E911" s="10"/>
      <c r="F911" s="28"/>
      <c r="G911" s="9">
        <f t="shared" si="248"/>
        <v>3</v>
      </c>
      <c r="H911" s="58">
        <v>44091</v>
      </c>
      <c r="I911" s="15" t="s">
        <v>5</v>
      </c>
      <c r="J911" s="8"/>
      <c r="K911" s="10"/>
      <c r="L911" s="10"/>
      <c r="M911" s="10"/>
      <c r="N911" s="28"/>
      <c r="O911" s="9">
        <f t="shared" si="250"/>
        <v>0</v>
      </c>
      <c r="P911" s="56"/>
      <c r="Q911" s="56"/>
      <c r="R911" s="56"/>
    </row>
    <row r="912" spans="1:18" x14ac:dyDescent="0.15">
      <c r="A912" s="38" t="s">
        <v>6</v>
      </c>
      <c r="B912" s="8">
        <v>3</v>
      </c>
      <c r="C912" s="10"/>
      <c r="D912" s="10"/>
      <c r="E912" s="10"/>
      <c r="F912" s="28"/>
      <c r="G912" s="9">
        <f t="shared" si="248"/>
        <v>3</v>
      </c>
      <c r="H912" s="58">
        <v>44120</v>
      </c>
      <c r="I912" s="15" t="s">
        <v>6</v>
      </c>
      <c r="J912" s="8"/>
      <c r="K912" s="10"/>
      <c r="L912" s="10"/>
      <c r="M912" s="10"/>
      <c r="N912" s="28"/>
      <c r="O912" s="9">
        <f t="shared" si="250"/>
        <v>0</v>
      </c>
      <c r="P912" s="56"/>
      <c r="Q912" s="56"/>
      <c r="R912" s="56"/>
    </row>
    <row r="913" spans="1:17" x14ac:dyDescent="0.15">
      <c r="A913" s="38" t="s">
        <v>84</v>
      </c>
      <c r="B913" s="8">
        <v>5</v>
      </c>
      <c r="C913" s="10"/>
      <c r="D913" s="10"/>
      <c r="E913" s="10"/>
      <c r="F913" s="30"/>
      <c r="G913" s="7">
        <f t="shared" si="248"/>
        <v>5</v>
      </c>
      <c r="H913" s="58">
        <v>44156</v>
      </c>
      <c r="I913" s="15" t="s">
        <v>84</v>
      </c>
      <c r="J913" s="11"/>
      <c r="K913" s="12"/>
      <c r="L913" s="12"/>
      <c r="M913" s="12"/>
      <c r="N913" s="31"/>
      <c r="O913" s="7">
        <f t="shared" si="250"/>
        <v>0</v>
      </c>
    </row>
    <row r="914" spans="1:17" x14ac:dyDescent="0.15">
      <c r="A914" s="38" t="s">
        <v>1348</v>
      </c>
      <c r="B914" s="8"/>
      <c r="C914" s="10"/>
      <c r="D914" s="10"/>
      <c r="E914" s="10">
        <v>1</v>
      </c>
      <c r="F914" s="28"/>
      <c r="G914" s="9">
        <f t="shared" si="248"/>
        <v>1</v>
      </c>
      <c r="H914" s="58">
        <v>44298</v>
      </c>
      <c r="I914" s="15" t="s">
        <v>85</v>
      </c>
      <c r="J914" s="8"/>
      <c r="K914" s="10"/>
      <c r="L914" s="10"/>
      <c r="M914" s="10"/>
      <c r="N914" s="30"/>
      <c r="O914" s="7">
        <f t="shared" si="250"/>
        <v>0</v>
      </c>
    </row>
    <row r="915" spans="1:17" x14ac:dyDescent="0.15">
      <c r="A915" s="38" t="s">
        <v>86</v>
      </c>
      <c r="B915" s="11">
        <v>3</v>
      </c>
      <c r="C915" s="100"/>
      <c r="D915" s="100"/>
      <c r="E915" s="100"/>
      <c r="F915" s="101"/>
      <c r="G915" s="102">
        <f t="shared" si="248"/>
        <v>3</v>
      </c>
      <c r="H915" s="58">
        <v>44438</v>
      </c>
      <c r="I915" s="16" t="s">
        <v>88</v>
      </c>
      <c r="J915" s="8"/>
      <c r="K915" s="10"/>
      <c r="L915" s="10"/>
      <c r="M915" s="10"/>
      <c r="N915" s="30"/>
      <c r="O915" s="7">
        <f t="shared" si="250"/>
        <v>0</v>
      </c>
    </row>
    <row r="916" spans="1:17" ht="14.25" thickBot="1" x14ac:dyDescent="0.2">
      <c r="A916" s="38" t="s">
        <v>87</v>
      </c>
      <c r="B916" s="11"/>
      <c r="C916" s="100"/>
      <c r="D916" s="100"/>
      <c r="E916" s="100"/>
      <c r="F916" s="101"/>
      <c r="G916" s="102">
        <f t="shared" si="248"/>
        <v>0</v>
      </c>
      <c r="H916" s="58"/>
      <c r="I916" s="16" t="s">
        <v>1044</v>
      </c>
      <c r="J916" s="11"/>
      <c r="K916" s="100"/>
      <c r="L916" s="100"/>
      <c r="M916" s="100"/>
      <c r="N916" s="101"/>
      <c r="O916" s="102">
        <f t="shared" si="250"/>
        <v>0</v>
      </c>
    </row>
    <row r="917" spans="1:17" ht="14.25" thickBot="1" x14ac:dyDescent="0.2">
      <c r="A917" s="72" t="s">
        <v>7</v>
      </c>
      <c r="B917" s="73">
        <f>SUM(B907:B916)</f>
        <v>23</v>
      </c>
      <c r="C917" s="74">
        <f t="shared" ref="C917:G917" si="251">SUM(C907:C916)</f>
        <v>7</v>
      </c>
      <c r="D917" s="74">
        <f t="shared" si="251"/>
        <v>16</v>
      </c>
      <c r="E917" s="74">
        <f t="shared" si="251"/>
        <v>1</v>
      </c>
      <c r="F917" s="105">
        <f t="shared" si="251"/>
        <v>0</v>
      </c>
      <c r="G917" s="105">
        <f t="shared" si="251"/>
        <v>47</v>
      </c>
      <c r="H917" s="56"/>
      <c r="I917" s="72" t="s">
        <v>7</v>
      </c>
      <c r="J917" s="73">
        <f>SUM(J907:J916)</f>
        <v>80</v>
      </c>
      <c r="K917" s="74">
        <f t="shared" ref="K917:O917" si="252">SUM(K907:K916)</f>
        <v>4</v>
      </c>
      <c r="L917" s="74">
        <f t="shared" si="252"/>
        <v>10</v>
      </c>
      <c r="M917" s="74">
        <f t="shared" si="252"/>
        <v>0</v>
      </c>
      <c r="N917" s="105">
        <f t="shared" si="252"/>
        <v>0</v>
      </c>
      <c r="O917" s="105">
        <f t="shared" si="252"/>
        <v>94</v>
      </c>
    </row>
    <row r="918" spans="1:17" x14ac:dyDescent="0.15">
      <c r="A918" s="16" t="s">
        <v>110</v>
      </c>
      <c r="B918" s="8">
        <v>8</v>
      </c>
      <c r="C918" s="10"/>
      <c r="D918" s="10"/>
      <c r="E918" s="10"/>
      <c r="F918" s="30"/>
      <c r="G918" s="7">
        <f t="shared" ref="G918:G943" si="253">SUM(B918:F918)</f>
        <v>8</v>
      </c>
      <c r="H918" s="58">
        <v>44019</v>
      </c>
      <c r="I918" s="16" t="s">
        <v>1325</v>
      </c>
      <c r="J918" s="17">
        <v>8</v>
      </c>
      <c r="K918" s="22"/>
      <c r="L918" s="22"/>
      <c r="M918" s="22"/>
      <c r="N918" s="29"/>
      <c r="O918" s="18">
        <f t="shared" ref="O918:O943" si="254">SUM(J918:N918)</f>
        <v>8</v>
      </c>
      <c r="P918" s="58">
        <v>44016</v>
      </c>
    </row>
    <row r="919" spans="1:17" x14ac:dyDescent="0.15">
      <c r="A919" s="16" t="s">
        <v>110</v>
      </c>
      <c r="B919" s="8"/>
      <c r="C919" s="10"/>
      <c r="D919" s="10">
        <v>7</v>
      </c>
      <c r="E919" s="10"/>
      <c r="F919" s="30"/>
      <c r="G919" s="7">
        <f t="shared" si="253"/>
        <v>7</v>
      </c>
      <c r="H919" s="58">
        <v>44028</v>
      </c>
      <c r="I919" s="16" t="s">
        <v>24</v>
      </c>
      <c r="J919" s="8"/>
      <c r="K919" s="10"/>
      <c r="L919" s="10">
        <v>5</v>
      </c>
      <c r="M919" s="10"/>
      <c r="N919" s="30"/>
      <c r="O919" s="7">
        <f t="shared" si="254"/>
        <v>5</v>
      </c>
      <c r="P919" s="58">
        <v>44027</v>
      </c>
      <c r="Q919" s="56"/>
    </row>
    <row r="920" spans="1:17" x14ac:dyDescent="0.15">
      <c r="A920" s="16" t="s">
        <v>1332</v>
      </c>
      <c r="B920" s="8"/>
      <c r="C920" s="10"/>
      <c r="D920" s="10">
        <v>1</v>
      </c>
      <c r="E920" s="10"/>
      <c r="F920" s="30"/>
      <c r="G920" s="7">
        <f t="shared" si="253"/>
        <v>1</v>
      </c>
      <c r="H920" s="58">
        <v>44027</v>
      </c>
      <c r="I920" s="16" t="s">
        <v>24</v>
      </c>
      <c r="J920" s="8"/>
      <c r="K920" s="10">
        <v>4</v>
      </c>
      <c r="L920" s="10">
        <v>5</v>
      </c>
      <c r="M920" s="10"/>
      <c r="N920" s="30"/>
      <c r="O920" s="7">
        <f t="shared" si="254"/>
        <v>9</v>
      </c>
      <c r="P920" s="58">
        <v>44055</v>
      </c>
      <c r="Q920" s="56"/>
    </row>
    <row r="921" spans="1:17" x14ac:dyDescent="0.15">
      <c r="A921" s="16" t="s">
        <v>29</v>
      </c>
      <c r="B921" s="8"/>
      <c r="C921" s="10">
        <v>1</v>
      </c>
      <c r="D921" s="10">
        <v>1</v>
      </c>
      <c r="E921" s="10"/>
      <c r="F921" s="30"/>
      <c r="G921" s="7">
        <f t="shared" si="253"/>
        <v>2</v>
      </c>
      <c r="H921" s="58">
        <v>44032</v>
      </c>
      <c r="I921" s="16" t="s">
        <v>24</v>
      </c>
      <c r="J921" s="11">
        <v>3</v>
      </c>
      <c r="K921" s="100"/>
      <c r="L921" s="100"/>
      <c r="M921" s="100"/>
      <c r="N921" s="101"/>
      <c r="O921" s="9">
        <f t="shared" si="254"/>
        <v>3</v>
      </c>
      <c r="P921" s="58">
        <v>44120</v>
      </c>
      <c r="Q921" s="56"/>
    </row>
    <row r="922" spans="1:17" x14ac:dyDescent="0.15">
      <c r="A922" s="16" t="s">
        <v>29</v>
      </c>
      <c r="B922" s="8"/>
      <c r="C922" s="10"/>
      <c r="D922" s="10">
        <v>1</v>
      </c>
      <c r="E922" s="10"/>
      <c r="F922" s="30"/>
      <c r="G922" s="7">
        <f t="shared" si="253"/>
        <v>1</v>
      </c>
      <c r="H922" s="58">
        <v>44047</v>
      </c>
      <c r="I922" s="16" t="s">
        <v>24</v>
      </c>
      <c r="J922" s="8">
        <v>5</v>
      </c>
      <c r="K922" s="10"/>
      <c r="L922" s="10"/>
      <c r="M922" s="10"/>
      <c r="N922" s="30"/>
      <c r="O922" s="7">
        <f t="shared" si="254"/>
        <v>5</v>
      </c>
      <c r="P922" s="58">
        <v>44156</v>
      </c>
      <c r="Q922" s="56"/>
    </row>
    <row r="923" spans="1:17" x14ac:dyDescent="0.15">
      <c r="A923" s="16" t="s">
        <v>29</v>
      </c>
      <c r="B923" s="8"/>
      <c r="C923" s="10"/>
      <c r="D923" s="10">
        <v>1</v>
      </c>
      <c r="E923" s="10"/>
      <c r="F923" s="30"/>
      <c r="G923" s="7">
        <f t="shared" si="253"/>
        <v>1</v>
      </c>
      <c r="H923" s="58">
        <v>44048</v>
      </c>
      <c r="I923" s="15" t="s">
        <v>24</v>
      </c>
      <c r="J923" s="8">
        <v>3</v>
      </c>
      <c r="K923" s="45"/>
      <c r="L923" s="45"/>
      <c r="M923" s="45"/>
      <c r="N923" s="99"/>
      <c r="O923" s="9">
        <f t="shared" si="254"/>
        <v>3</v>
      </c>
      <c r="P923" s="58">
        <v>44438</v>
      </c>
      <c r="Q923" s="56"/>
    </row>
    <row r="924" spans="1:17" x14ac:dyDescent="0.15">
      <c r="A924" s="16" t="s">
        <v>29</v>
      </c>
      <c r="B924" s="8"/>
      <c r="C924" s="10">
        <v>1</v>
      </c>
      <c r="D924" s="10">
        <v>1</v>
      </c>
      <c r="E924" s="10"/>
      <c r="F924" s="30"/>
      <c r="G924" s="7">
        <f t="shared" si="253"/>
        <v>2</v>
      </c>
      <c r="H924" s="58">
        <v>44049</v>
      </c>
      <c r="I924" s="16"/>
      <c r="J924" s="37"/>
      <c r="K924" s="35"/>
      <c r="L924" s="35"/>
      <c r="M924" s="35"/>
      <c r="N924" s="28"/>
      <c r="O924" s="7">
        <f t="shared" si="254"/>
        <v>0</v>
      </c>
      <c r="P924" s="56"/>
    </row>
    <row r="925" spans="1:17" x14ac:dyDescent="0.15">
      <c r="A925" s="16" t="s">
        <v>1347</v>
      </c>
      <c r="B925" s="8"/>
      <c r="C925" s="10"/>
      <c r="D925" s="10">
        <v>1</v>
      </c>
      <c r="E925" s="10"/>
      <c r="F925" s="30"/>
      <c r="G925" s="7">
        <f t="shared" si="253"/>
        <v>1</v>
      </c>
      <c r="H925" s="58">
        <v>44056</v>
      </c>
      <c r="I925" s="16"/>
      <c r="J925" s="8"/>
      <c r="K925" s="10"/>
      <c r="L925" s="10"/>
      <c r="M925" s="10"/>
      <c r="N925" s="30"/>
      <c r="O925" s="7">
        <f t="shared" si="254"/>
        <v>0</v>
      </c>
    </row>
    <row r="926" spans="1:17" x14ac:dyDescent="0.15">
      <c r="A926" s="16" t="s">
        <v>713</v>
      </c>
      <c r="B926" s="11"/>
      <c r="C926" s="12">
        <v>1</v>
      </c>
      <c r="D926" s="12"/>
      <c r="E926" s="12"/>
      <c r="F926" s="31"/>
      <c r="G926" s="7">
        <f t="shared" si="253"/>
        <v>1</v>
      </c>
      <c r="H926" s="58">
        <v>44081</v>
      </c>
      <c r="I926" s="16"/>
      <c r="J926" s="11"/>
      <c r="K926" s="12"/>
      <c r="L926" s="12"/>
      <c r="M926" s="12"/>
      <c r="N926" s="31"/>
      <c r="O926" s="7">
        <f t="shared" si="254"/>
        <v>0</v>
      </c>
    </row>
    <row r="927" spans="1:17" x14ac:dyDescent="0.15">
      <c r="A927" s="16" t="s">
        <v>713</v>
      </c>
      <c r="B927" s="11"/>
      <c r="C927" s="12">
        <v>1</v>
      </c>
      <c r="D927" s="12"/>
      <c r="E927" s="12"/>
      <c r="F927" s="31"/>
      <c r="G927" s="7">
        <f t="shared" si="253"/>
        <v>1</v>
      </c>
      <c r="H927" s="58">
        <v>44085</v>
      </c>
      <c r="I927" s="16"/>
      <c r="J927" s="11"/>
      <c r="K927" s="12"/>
      <c r="L927" s="12"/>
      <c r="M927" s="12"/>
      <c r="N927" s="31"/>
      <c r="O927" s="7">
        <f t="shared" si="254"/>
        <v>0</v>
      </c>
    </row>
    <row r="928" spans="1:17" x14ac:dyDescent="0.15">
      <c r="A928" s="16" t="s">
        <v>1355</v>
      </c>
      <c r="B928" s="8">
        <v>6</v>
      </c>
      <c r="C928" s="10"/>
      <c r="D928" s="10"/>
      <c r="E928" s="10"/>
      <c r="F928" s="30"/>
      <c r="G928" s="7">
        <f t="shared" si="253"/>
        <v>6</v>
      </c>
      <c r="H928" s="58">
        <v>44100</v>
      </c>
      <c r="I928" s="16"/>
      <c r="J928" s="8"/>
      <c r="K928" s="10"/>
      <c r="L928" s="10"/>
      <c r="M928" s="10"/>
      <c r="N928" s="30"/>
      <c r="O928" s="7">
        <f t="shared" si="254"/>
        <v>0</v>
      </c>
    </row>
    <row r="929" spans="1:15" x14ac:dyDescent="0.15">
      <c r="A929" s="16" t="s">
        <v>110</v>
      </c>
      <c r="B929" s="8"/>
      <c r="C929" s="10">
        <v>2</v>
      </c>
      <c r="D929" s="10"/>
      <c r="E929" s="10"/>
      <c r="F929" s="30"/>
      <c r="G929" s="7">
        <f t="shared" si="253"/>
        <v>2</v>
      </c>
      <c r="H929" s="58">
        <v>44120</v>
      </c>
      <c r="I929" s="16"/>
      <c r="J929" s="8"/>
      <c r="K929" s="10"/>
      <c r="L929" s="10"/>
      <c r="M929" s="10"/>
      <c r="N929" s="30"/>
      <c r="O929" s="7">
        <f t="shared" si="254"/>
        <v>0</v>
      </c>
    </row>
    <row r="930" spans="1:15" x14ac:dyDescent="0.15">
      <c r="A930" s="16" t="s">
        <v>713</v>
      </c>
      <c r="B930" s="11">
        <v>1</v>
      </c>
      <c r="C930" s="12"/>
      <c r="D930" s="12"/>
      <c r="E930" s="12"/>
      <c r="F930" s="31"/>
      <c r="G930" s="7">
        <f t="shared" si="253"/>
        <v>1</v>
      </c>
      <c r="H930" s="58">
        <v>44113</v>
      </c>
      <c r="I930" s="16"/>
      <c r="J930" s="8"/>
      <c r="K930" s="10"/>
      <c r="L930" s="10"/>
      <c r="M930" s="10"/>
      <c r="N930" s="30"/>
      <c r="O930" s="7">
        <f t="shared" si="254"/>
        <v>0</v>
      </c>
    </row>
    <row r="931" spans="1:15" x14ac:dyDescent="0.15">
      <c r="A931" s="16" t="s">
        <v>713</v>
      </c>
      <c r="B931" s="8">
        <v>1</v>
      </c>
      <c r="C931" s="10"/>
      <c r="D931" s="10"/>
      <c r="E931" s="10"/>
      <c r="F931" s="30"/>
      <c r="G931" s="7">
        <f t="shared" si="253"/>
        <v>1</v>
      </c>
      <c r="H931" s="58">
        <v>44117</v>
      </c>
      <c r="I931" s="64"/>
      <c r="J931" s="8"/>
      <c r="K931" s="10"/>
      <c r="L931" s="10"/>
      <c r="M931" s="10"/>
      <c r="N931" s="30"/>
      <c r="O931" s="7">
        <f t="shared" si="254"/>
        <v>0</v>
      </c>
    </row>
    <row r="932" spans="1:15" x14ac:dyDescent="0.15">
      <c r="A932" s="16" t="s">
        <v>110</v>
      </c>
      <c r="B932" s="8"/>
      <c r="C932" s="10">
        <v>1</v>
      </c>
      <c r="D932" s="10"/>
      <c r="E932" s="10"/>
      <c r="F932" s="30"/>
      <c r="G932" s="7">
        <f t="shared" si="253"/>
        <v>1</v>
      </c>
      <c r="H932" s="58">
        <v>44151</v>
      </c>
      <c r="I932" s="16"/>
      <c r="J932" s="8"/>
      <c r="K932" s="10"/>
      <c r="L932" s="10"/>
      <c r="M932" s="10"/>
      <c r="N932" s="30"/>
      <c r="O932" s="7">
        <f t="shared" si="254"/>
        <v>0</v>
      </c>
    </row>
    <row r="933" spans="1:15" x14ac:dyDescent="0.15">
      <c r="A933" s="16" t="s">
        <v>713</v>
      </c>
      <c r="B933" s="8"/>
      <c r="C933" s="10"/>
      <c r="D933" s="10">
        <v>1</v>
      </c>
      <c r="E933" s="10"/>
      <c r="F933" s="30"/>
      <c r="G933" s="7">
        <f t="shared" si="253"/>
        <v>1</v>
      </c>
      <c r="H933" s="58">
        <v>44146</v>
      </c>
      <c r="I933" s="16"/>
      <c r="J933" s="8"/>
      <c r="K933" s="10"/>
      <c r="L933" s="10"/>
      <c r="M933" s="10"/>
      <c r="N933" s="30"/>
      <c r="O933" s="7">
        <f t="shared" si="254"/>
        <v>0</v>
      </c>
    </row>
    <row r="934" spans="1:15" x14ac:dyDescent="0.15">
      <c r="A934" s="16" t="s">
        <v>713</v>
      </c>
      <c r="B934" s="8">
        <v>1</v>
      </c>
      <c r="C934" s="10"/>
      <c r="D934" s="10"/>
      <c r="E934" s="10"/>
      <c r="F934" s="30"/>
      <c r="G934" s="7">
        <f t="shared" si="253"/>
        <v>1</v>
      </c>
      <c r="H934" s="58">
        <v>44159</v>
      </c>
      <c r="I934" s="14"/>
      <c r="J934" s="8"/>
      <c r="K934" s="10"/>
      <c r="L934" s="10"/>
      <c r="M934" s="10"/>
      <c r="N934" s="30"/>
      <c r="O934" s="7">
        <f t="shared" si="254"/>
        <v>0</v>
      </c>
    </row>
    <row r="935" spans="1:15" x14ac:dyDescent="0.15">
      <c r="A935" s="16" t="s">
        <v>110</v>
      </c>
      <c r="B935" s="8">
        <v>3</v>
      </c>
      <c r="C935" s="10"/>
      <c r="D935" s="10"/>
      <c r="E935" s="10"/>
      <c r="F935" s="30"/>
      <c r="G935" s="7">
        <f t="shared" si="253"/>
        <v>3</v>
      </c>
      <c r="H935" s="58">
        <v>44168</v>
      </c>
      <c r="I935" s="16"/>
      <c r="J935" s="8"/>
      <c r="K935" s="10"/>
      <c r="L935" s="10"/>
      <c r="M935" s="10"/>
      <c r="N935" s="30"/>
      <c r="O935" s="7">
        <f t="shared" si="254"/>
        <v>0</v>
      </c>
    </row>
    <row r="936" spans="1:15" x14ac:dyDescent="0.15">
      <c r="A936" s="16" t="s">
        <v>713</v>
      </c>
      <c r="B936" s="8"/>
      <c r="C936" s="10"/>
      <c r="D936" s="10">
        <v>1</v>
      </c>
      <c r="E936" s="10"/>
      <c r="F936" s="30"/>
      <c r="G936" s="7">
        <f t="shared" si="253"/>
        <v>1</v>
      </c>
      <c r="H936" s="58">
        <v>44244</v>
      </c>
      <c r="I936" s="16"/>
      <c r="J936" s="8"/>
      <c r="K936" s="10"/>
      <c r="L936" s="10"/>
      <c r="M936" s="10"/>
      <c r="N936" s="30"/>
      <c r="O936" s="7">
        <f t="shared" si="254"/>
        <v>0</v>
      </c>
    </row>
    <row r="937" spans="1:15" x14ac:dyDescent="0.15">
      <c r="A937" s="16" t="s">
        <v>713</v>
      </c>
      <c r="B937" s="8"/>
      <c r="C937" s="10"/>
      <c r="D937" s="10"/>
      <c r="E937" s="10">
        <v>1</v>
      </c>
      <c r="F937" s="30"/>
      <c r="G937" s="7">
        <f t="shared" si="253"/>
        <v>1</v>
      </c>
      <c r="H937" s="58">
        <v>44298</v>
      </c>
      <c r="I937" s="16"/>
      <c r="J937" s="8"/>
      <c r="K937" s="10"/>
      <c r="L937" s="10"/>
      <c r="M937" s="10"/>
      <c r="N937" s="30"/>
      <c r="O937" s="9">
        <f t="shared" si="254"/>
        <v>0</v>
      </c>
    </row>
    <row r="938" spans="1:15" x14ac:dyDescent="0.15">
      <c r="A938" s="16" t="s">
        <v>713</v>
      </c>
      <c r="B938" s="8">
        <v>1</v>
      </c>
      <c r="C938" s="10"/>
      <c r="D938" s="10"/>
      <c r="E938" s="10"/>
      <c r="F938" s="30"/>
      <c r="G938" s="7">
        <f t="shared" si="253"/>
        <v>1</v>
      </c>
      <c r="H938" s="58">
        <v>44366</v>
      </c>
      <c r="I938" s="16"/>
      <c r="J938" s="8"/>
      <c r="K938" s="10"/>
      <c r="L938" s="10"/>
      <c r="M938" s="10"/>
      <c r="N938" s="30"/>
      <c r="O938" s="9">
        <f t="shared" si="254"/>
        <v>0</v>
      </c>
    </row>
    <row r="939" spans="1:15" x14ac:dyDescent="0.15">
      <c r="A939" s="16" t="s">
        <v>110</v>
      </c>
      <c r="B939" s="8">
        <v>2</v>
      </c>
      <c r="C939" s="10"/>
      <c r="D939" s="10"/>
      <c r="E939" s="10"/>
      <c r="F939" s="30"/>
      <c r="G939" s="7">
        <f t="shared" si="253"/>
        <v>2</v>
      </c>
      <c r="H939" s="58">
        <v>44438</v>
      </c>
      <c r="I939" s="50"/>
      <c r="J939" s="8"/>
      <c r="K939" s="10"/>
      <c r="L939" s="10"/>
      <c r="M939" s="10"/>
      <c r="N939" s="30"/>
      <c r="O939" s="9">
        <f t="shared" si="254"/>
        <v>0</v>
      </c>
    </row>
    <row r="940" spans="1:15" x14ac:dyDescent="0.15">
      <c r="A940" s="50" t="s">
        <v>29</v>
      </c>
      <c r="B940" s="8"/>
      <c r="C940" s="10"/>
      <c r="D940" s="10">
        <v>1</v>
      </c>
      <c r="E940" s="10"/>
      <c r="F940" s="30"/>
      <c r="G940" s="7">
        <f t="shared" si="253"/>
        <v>1</v>
      </c>
      <c r="H940" s="58">
        <v>44431</v>
      </c>
      <c r="I940" s="16"/>
      <c r="J940" s="8"/>
      <c r="K940" s="10"/>
      <c r="L940" s="10"/>
      <c r="M940" s="10"/>
      <c r="N940" s="30"/>
      <c r="O940" s="9">
        <f t="shared" si="254"/>
        <v>0</v>
      </c>
    </row>
    <row r="941" spans="1:15" x14ac:dyDescent="0.15">
      <c r="A941" s="50" t="s">
        <v>29</v>
      </c>
      <c r="B941" s="8">
        <v>1</v>
      </c>
      <c r="C941" s="10"/>
      <c r="D941" s="10"/>
      <c r="E941" s="10"/>
      <c r="F941" s="30"/>
      <c r="G941" s="7">
        <f t="shared" si="253"/>
        <v>1</v>
      </c>
      <c r="H941" s="58">
        <v>44475</v>
      </c>
      <c r="I941" s="16"/>
      <c r="J941" s="8"/>
      <c r="K941" s="10"/>
      <c r="L941" s="10"/>
      <c r="M941" s="10"/>
      <c r="N941" s="30"/>
      <c r="O941" s="9">
        <f t="shared" si="254"/>
        <v>0</v>
      </c>
    </row>
    <row r="942" spans="1:15" x14ac:dyDescent="0.15">
      <c r="A942" s="50" t="s">
        <v>29</v>
      </c>
      <c r="B942" s="8">
        <v>1</v>
      </c>
      <c r="C942" s="10"/>
      <c r="D942" s="10"/>
      <c r="E942" s="10"/>
      <c r="F942" s="30"/>
      <c r="G942" s="7">
        <f t="shared" si="253"/>
        <v>1</v>
      </c>
      <c r="H942" s="58">
        <v>44572</v>
      </c>
      <c r="I942" s="16"/>
      <c r="J942" s="8"/>
      <c r="K942" s="10"/>
      <c r="L942" s="10"/>
      <c r="M942" s="10"/>
      <c r="N942" s="30"/>
      <c r="O942" s="9">
        <f t="shared" si="254"/>
        <v>0</v>
      </c>
    </row>
    <row r="943" spans="1:15" ht="14.25" thickBot="1" x14ac:dyDescent="0.2">
      <c r="A943" s="51"/>
      <c r="B943" s="11"/>
      <c r="C943" s="12"/>
      <c r="D943" s="12"/>
      <c r="E943" s="12"/>
      <c r="F943" s="31"/>
      <c r="G943" s="7">
        <f t="shared" si="253"/>
        <v>0</v>
      </c>
      <c r="H943" s="58"/>
      <c r="I943" s="14"/>
      <c r="J943" s="8"/>
      <c r="K943" s="10"/>
      <c r="L943" s="10"/>
      <c r="M943" s="10"/>
      <c r="N943" s="30"/>
      <c r="O943" s="9">
        <f t="shared" si="254"/>
        <v>0</v>
      </c>
    </row>
    <row r="944" spans="1:15" ht="14.25" thickBot="1" x14ac:dyDescent="0.2">
      <c r="A944" s="3" t="s">
        <v>11</v>
      </c>
      <c r="B944" s="23">
        <f>SUM(B918:B943)</f>
        <v>25</v>
      </c>
      <c r="C944" s="4">
        <f>SUM(C918:C943)</f>
        <v>7</v>
      </c>
      <c r="D944" s="4">
        <f>SUM(D918:D943)</f>
        <v>16</v>
      </c>
      <c r="E944" s="6">
        <f>SUM(E918:E943)</f>
        <v>1</v>
      </c>
      <c r="F944" s="32">
        <f>SUM(F918:F943)</f>
        <v>0</v>
      </c>
      <c r="G944" s="5">
        <f>SUM(B944:F944)</f>
        <v>49</v>
      </c>
      <c r="H944" s="58"/>
      <c r="I944" s="3" t="s">
        <v>11</v>
      </c>
      <c r="J944" s="23">
        <f>SUM(J918:J943)</f>
        <v>19</v>
      </c>
      <c r="K944" s="4">
        <f>SUM(K918:K943)</f>
        <v>4</v>
      </c>
      <c r="L944" s="4">
        <f>SUM(L918:L943)</f>
        <v>10</v>
      </c>
      <c r="M944" s="6">
        <f>SUM(M918:M943)</f>
        <v>0</v>
      </c>
      <c r="N944" s="32">
        <f>SUM(N918:N943)</f>
        <v>0</v>
      </c>
      <c r="O944" s="5">
        <f>SUM(J944:N944)</f>
        <v>33</v>
      </c>
    </row>
    <row r="945" spans="1:15" ht="14.25" thickBot="1" x14ac:dyDescent="0.2">
      <c r="A945" s="25" t="s">
        <v>12</v>
      </c>
      <c r="B945" s="63">
        <f>B917-B944</f>
        <v>-2</v>
      </c>
      <c r="C945" s="26">
        <f t="shared" ref="C945:G945" si="255">C917-C944</f>
        <v>0</v>
      </c>
      <c r="D945" s="71">
        <f t="shared" si="255"/>
        <v>0</v>
      </c>
      <c r="E945" s="26">
        <f t="shared" si="255"/>
        <v>0</v>
      </c>
      <c r="F945" s="70">
        <f t="shared" si="255"/>
        <v>0</v>
      </c>
      <c r="G945" s="27">
        <f t="shared" si="255"/>
        <v>-2</v>
      </c>
      <c r="H945" s="58"/>
      <c r="I945" s="25" t="s">
        <v>12</v>
      </c>
      <c r="J945" s="63">
        <f>J917-J944</f>
        <v>61</v>
      </c>
      <c r="K945" s="26">
        <f t="shared" ref="K945:O945" si="256">K917-K944</f>
        <v>0</v>
      </c>
      <c r="L945" s="71">
        <f t="shared" si="256"/>
        <v>0</v>
      </c>
      <c r="M945" s="26">
        <f t="shared" si="256"/>
        <v>0</v>
      </c>
      <c r="N945" s="70">
        <f t="shared" si="256"/>
        <v>0</v>
      </c>
      <c r="O945" s="27">
        <f t="shared" si="256"/>
        <v>61</v>
      </c>
    </row>
    <row r="946" spans="1:15" ht="21" x14ac:dyDescent="0.2">
      <c r="A946" s="83" t="s">
        <v>414</v>
      </c>
      <c r="B946" s="77"/>
      <c r="C946" s="77"/>
      <c r="D946" s="77"/>
      <c r="E946" s="77"/>
      <c r="F946" s="77"/>
      <c r="G946" s="77"/>
      <c r="H946" s="58"/>
      <c r="I946" s="83" t="s">
        <v>414</v>
      </c>
      <c r="J946" s="77"/>
      <c r="K946" s="77"/>
      <c r="L946" s="77"/>
      <c r="M946" s="77"/>
      <c r="N946" s="77"/>
      <c r="O946" s="77"/>
    </row>
    <row r="947" spans="1:15" ht="21.75" thickBot="1" x14ac:dyDescent="0.25">
      <c r="A947" s="83" t="s">
        <v>47</v>
      </c>
      <c r="B947" s="77"/>
      <c r="C947" s="77"/>
      <c r="D947" s="77"/>
      <c r="E947" s="84"/>
      <c r="F947" s="78" t="s">
        <v>53</v>
      </c>
      <c r="G947" s="77"/>
      <c r="H947" s="58"/>
      <c r="I947" s="83" t="s">
        <v>47</v>
      </c>
      <c r="J947" s="77"/>
      <c r="K947" s="77"/>
      <c r="L947" s="77"/>
      <c r="M947" s="84"/>
      <c r="N947" s="78" t="s">
        <v>54</v>
      </c>
      <c r="O947" s="77"/>
    </row>
    <row r="948" spans="1:15" ht="14.25" thickBot="1" x14ac:dyDescent="0.2">
      <c r="A948" s="13" t="s">
        <v>0</v>
      </c>
      <c r="B948" s="228" t="s">
        <v>49</v>
      </c>
      <c r="C948" s="229"/>
      <c r="D948" s="229"/>
      <c r="E948" s="229"/>
      <c r="F948" s="230"/>
      <c r="G948" s="231"/>
      <c r="H948" s="58"/>
      <c r="I948" s="13" t="s">
        <v>0</v>
      </c>
      <c r="J948" s="232" t="s">
        <v>49</v>
      </c>
      <c r="K948" s="233"/>
      <c r="L948" s="233"/>
      <c r="M948" s="233"/>
      <c r="N948" s="233"/>
      <c r="O948" s="234"/>
    </row>
    <row r="949" spans="1:15" ht="14.25" thickBot="1" x14ac:dyDescent="0.2">
      <c r="A949" s="3" t="s">
        <v>1</v>
      </c>
      <c r="B949" s="2" t="s">
        <v>42</v>
      </c>
      <c r="C949" s="21" t="s">
        <v>43</v>
      </c>
      <c r="D949" s="21" t="s">
        <v>44</v>
      </c>
      <c r="E949" s="24" t="s">
        <v>45</v>
      </c>
      <c r="F949" s="33" t="s">
        <v>46</v>
      </c>
      <c r="G949" s="34" t="s">
        <v>2</v>
      </c>
      <c r="H949" s="58"/>
      <c r="I949" s="3" t="s">
        <v>1</v>
      </c>
      <c r="J949" s="2" t="s">
        <v>42</v>
      </c>
      <c r="K949" s="21" t="s">
        <v>43</v>
      </c>
      <c r="L949" s="21" t="s">
        <v>44</v>
      </c>
      <c r="M949" s="24" t="s">
        <v>45</v>
      </c>
      <c r="N949" s="33" t="s">
        <v>46</v>
      </c>
      <c r="O949" s="3" t="s">
        <v>2</v>
      </c>
    </row>
    <row r="950" spans="1:15" ht="14.25" thickBot="1" x14ac:dyDescent="0.2">
      <c r="A950" s="116" t="s">
        <v>79</v>
      </c>
      <c r="B950" s="95">
        <f>B945</f>
        <v>-2</v>
      </c>
      <c r="C950" s="97">
        <f t="shared" ref="C950:F950" si="257">C945</f>
        <v>0</v>
      </c>
      <c r="D950" s="55">
        <f t="shared" si="257"/>
        <v>0</v>
      </c>
      <c r="E950" s="98">
        <f t="shared" si="257"/>
        <v>0</v>
      </c>
      <c r="F950" s="98">
        <f t="shared" si="257"/>
        <v>0</v>
      </c>
      <c r="G950" s="52">
        <f t="shared" ref="G950:G959" si="258">SUM(B950:F950)</f>
        <v>-2</v>
      </c>
      <c r="H950" s="58"/>
      <c r="I950" s="72" t="s">
        <v>79</v>
      </c>
      <c r="J950" s="73">
        <f>J945</f>
        <v>61</v>
      </c>
      <c r="K950" s="74">
        <f t="shared" ref="K950:N950" si="259">K945</f>
        <v>0</v>
      </c>
      <c r="L950" s="107">
        <f t="shared" si="259"/>
        <v>0</v>
      </c>
      <c r="M950" s="75">
        <f t="shared" si="259"/>
        <v>0</v>
      </c>
      <c r="N950" s="75">
        <f t="shared" si="259"/>
        <v>0</v>
      </c>
      <c r="O950" s="76">
        <f t="shared" ref="O950:O959" si="260">SUM(J950:N950)</f>
        <v>61</v>
      </c>
    </row>
    <row r="951" spans="1:15" x14ac:dyDescent="0.15">
      <c r="A951" s="38" t="s">
        <v>14</v>
      </c>
      <c r="B951" s="8">
        <v>3</v>
      </c>
      <c r="C951" s="10"/>
      <c r="D951" s="10"/>
      <c r="E951" s="10"/>
      <c r="F951" s="30"/>
      <c r="G951" s="7">
        <f t="shared" si="258"/>
        <v>3</v>
      </c>
      <c r="H951" s="58">
        <v>44576</v>
      </c>
      <c r="I951" s="15" t="s">
        <v>14</v>
      </c>
      <c r="J951" s="37"/>
      <c r="K951" s="35"/>
      <c r="L951" s="35"/>
      <c r="M951" s="35"/>
      <c r="N951" s="28"/>
      <c r="O951" s="7">
        <f t="shared" si="260"/>
        <v>0</v>
      </c>
    </row>
    <row r="952" spans="1:15" x14ac:dyDescent="0.15">
      <c r="A952" s="38" t="s">
        <v>3</v>
      </c>
      <c r="B952" s="8">
        <v>5</v>
      </c>
      <c r="C952" s="10"/>
      <c r="D952" s="10"/>
      <c r="E952" s="10"/>
      <c r="F952" s="28"/>
      <c r="G952" s="9">
        <f t="shared" si="258"/>
        <v>5</v>
      </c>
      <c r="H952" s="58">
        <v>44748</v>
      </c>
      <c r="I952" s="15" t="s">
        <v>3</v>
      </c>
      <c r="J952" s="8"/>
      <c r="K952" s="10"/>
      <c r="L952" s="10"/>
      <c r="M952" s="10"/>
      <c r="N952" s="28"/>
      <c r="O952" s="9">
        <f t="shared" si="260"/>
        <v>0</v>
      </c>
    </row>
    <row r="953" spans="1:15" x14ac:dyDescent="0.15">
      <c r="A953" s="38" t="s">
        <v>4</v>
      </c>
      <c r="B953" s="142">
        <v>5</v>
      </c>
      <c r="C953" s="10"/>
      <c r="D953" s="10"/>
      <c r="E953" s="143"/>
      <c r="F953" s="192"/>
      <c r="G953" s="9">
        <f t="shared" si="258"/>
        <v>5</v>
      </c>
      <c r="H953" s="58">
        <v>44779</v>
      </c>
      <c r="I953" s="15" t="s">
        <v>4</v>
      </c>
      <c r="J953" s="8"/>
      <c r="K953" s="10"/>
      <c r="L953" s="10"/>
      <c r="M953" s="10"/>
      <c r="N953" s="28"/>
      <c r="O953" s="9">
        <f t="shared" si="260"/>
        <v>0</v>
      </c>
    </row>
    <row r="954" spans="1:15" x14ac:dyDescent="0.15">
      <c r="A954" s="38" t="s">
        <v>1469</v>
      </c>
      <c r="B954" s="8">
        <v>2</v>
      </c>
      <c r="C954" s="10"/>
      <c r="D954" s="10"/>
      <c r="E954" s="10"/>
      <c r="F954" s="28"/>
      <c r="G954" s="9">
        <f t="shared" si="258"/>
        <v>2</v>
      </c>
      <c r="H954" s="58">
        <v>44790</v>
      </c>
      <c r="I954" s="15" t="s">
        <v>5</v>
      </c>
      <c r="J954" s="8"/>
      <c r="K954" s="10"/>
      <c r="L954" s="10"/>
      <c r="M954" s="10"/>
      <c r="N954" s="28"/>
      <c r="O954" s="9">
        <f t="shared" si="260"/>
        <v>0</v>
      </c>
    </row>
    <row r="955" spans="1:15" x14ac:dyDescent="0.15">
      <c r="A955" s="181" t="s">
        <v>6</v>
      </c>
      <c r="B955" s="182">
        <v>0</v>
      </c>
      <c r="C955" s="183"/>
      <c r="D955" s="183"/>
      <c r="E955" s="183"/>
      <c r="F955" s="178"/>
      <c r="G955" s="184">
        <f t="shared" si="258"/>
        <v>0</v>
      </c>
      <c r="H955" s="180">
        <v>44797</v>
      </c>
      <c r="I955" s="15" t="s">
        <v>6</v>
      </c>
      <c r="J955" s="8"/>
      <c r="K955" s="10"/>
      <c r="L955" s="10"/>
      <c r="M955" s="10"/>
      <c r="N955" s="28"/>
      <c r="O955" s="9">
        <f t="shared" si="260"/>
        <v>0</v>
      </c>
    </row>
    <row r="956" spans="1:15" x14ac:dyDescent="0.15">
      <c r="A956" s="38" t="s">
        <v>84</v>
      </c>
      <c r="B956" s="8">
        <v>3</v>
      </c>
      <c r="C956" s="10"/>
      <c r="D956" s="10"/>
      <c r="E956" s="10"/>
      <c r="F956" s="30"/>
      <c r="G956" s="7">
        <f t="shared" si="258"/>
        <v>3</v>
      </c>
      <c r="H956" s="58">
        <v>45194</v>
      </c>
      <c r="I956" s="15" t="s">
        <v>84</v>
      </c>
      <c r="J956" s="11"/>
      <c r="K956" s="12"/>
      <c r="L956" s="12"/>
      <c r="M956" s="12"/>
      <c r="N956" s="31"/>
      <c r="O956" s="7">
        <f t="shared" si="260"/>
        <v>0</v>
      </c>
    </row>
    <row r="957" spans="1:15" x14ac:dyDescent="0.15">
      <c r="A957" s="38" t="s">
        <v>85</v>
      </c>
      <c r="B957" s="8">
        <v>3</v>
      </c>
      <c r="C957" s="10"/>
      <c r="D957" s="10"/>
      <c r="E957" s="10"/>
      <c r="F957" s="28"/>
      <c r="G957" s="9">
        <f t="shared" si="258"/>
        <v>3</v>
      </c>
      <c r="H957" s="58">
        <v>45477</v>
      </c>
      <c r="I957" s="15" t="s">
        <v>85</v>
      </c>
      <c r="J957" s="8"/>
      <c r="K957" s="10"/>
      <c r="L957" s="10"/>
      <c r="M957" s="10"/>
      <c r="N957" s="30"/>
      <c r="O957" s="7">
        <f t="shared" si="260"/>
        <v>0</v>
      </c>
    </row>
    <row r="958" spans="1:15" x14ac:dyDescent="0.15">
      <c r="A958" s="38" t="s">
        <v>86</v>
      </c>
      <c r="B958" s="11"/>
      <c r="C958" s="100"/>
      <c r="D958" s="100"/>
      <c r="E958" s="100"/>
      <c r="F958" s="101"/>
      <c r="G958" s="102">
        <f t="shared" si="258"/>
        <v>0</v>
      </c>
      <c r="H958" s="58"/>
      <c r="I958" s="16" t="s">
        <v>88</v>
      </c>
      <c r="J958" s="8"/>
      <c r="K958" s="10"/>
      <c r="L958" s="10"/>
      <c r="M958" s="10"/>
      <c r="N958" s="30"/>
      <c r="O958" s="7">
        <f t="shared" si="260"/>
        <v>0</v>
      </c>
    </row>
    <row r="959" spans="1:15" ht="14.25" thickBot="1" x14ac:dyDescent="0.2">
      <c r="A959" s="38" t="s">
        <v>1348</v>
      </c>
      <c r="B959" s="11">
        <v>3</v>
      </c>
      <c r="C959" s="100"/>
      <c r="D959" s="100"/>
      <c r="E959" s="100">
        <v>1</v>
      </c>
      <c r="F959" s="101"/>
      <c r="G959" s="102">
        <f t="shared" si="258"/>
        <v>4</v>
      </c>
      <c r="H959" s="58">
        <v>44938</v>
      </c>
      <c r="I959" s="16" t="s">
        <v>1044</v>
      </c>
      <c r="J959" s="11"/>
      <c r="K959" s="100"/>
      <c r="L959" s="100"/>
      <c r="M959" s="100"/>
      <c r="N959" s="101"/>
      <c r="O959" s="102">
        <f t="shared" si="260"/>
        <v>0</v>
      </c>
    </row>
    <row r="960" spans="1:15" ht="14.25" thickBot="1" x14ac:dyDescent="0.2">
      <c r="A960" s="72" t="s">
        <v>7</v>
      </c>
      <c r="B960" s="73">
        <f>SUM(B950:B959)</f>
        <v>22</v>
      </c>
      <c r="C960" s="74">
        <f t="shared" ref="C960:G960" si="261">SUM(C950:C959)</f>
        <v>0</v>
      </c>
      <c r="D960" s="74">
        <f t="shared" si="261"/>
        <v>0</v>
      </c>
      <c r="E960" s="74">
        <f t="shared" si="261"/>
        <v>1</v>
      </c>
      <c r="F960" s="105">
        <f t="shared" si="261"/>
        <v>0</v>
      </c>
      <c r="G960" s="105">
        <f t="shared" si="261"/>
        <v>23</v>
      </c>
      <c r="H960" s="56"/>
      <c r="I960" s="72" t="s">
        <v>7</v>
      </c>
      <c r="J960" s="73">
        <f>SUM(J950:J959)</f>
        <v>61</v>
      </c>
      <c r="K960" s="74">
        <f t="shared" ref="K960:O960" si="262">SUM(K950:K959)</f>
        <v>0</v>
      </c>
      <c r="L960" s="74">
        <f t="shared" si="262"/>
        <v>0</v>
      </c>
      <c r="M960" s="74">
        <f t="shared" si="262"/>
        <v>0</v>
      </c>
      <c r="N960" s="105">
        <f t="shared" si="262"/>
        <v>0</v>
      </c>
      <c r="O960" s="105">
        <f t="shared" si="262"/>
        <v>61</v>
      </c>
    </row>
    <row r="961" spans="1:16" x14ac:dyDescent="0.15">
      <c r="A961" s="50" t="s">
        <v>29</v>
      </c>
      <c r="B961" s="8">
        <v>1</v>
      </c>
      <c r="C961" s="10"/>
      <c r="D961" s="10"/>
      <c r="E961" s="10"/>
      <c r="F961" s="30"/>
      <c r="G961" s="7">
        <f t="shared" ref="G961:G986" si="263">SUM(B961:F961)</f>
        <v>1</v>
      </c>
      <c r="H961" s="58">
        <v>44670</v>
      </c>
      <c r="I961" s="16" t="s">
        <v>1455</v>
      </c>
      <c r="J961" s="17">
        <v>3</v>
      </c>
      <c r="K961" s="22"/>
      <c r="L961" s="22"/>
      <c r="M961" s="22"/>
      <c r="N961" s="29"/>
      <c r="O961" s="18">
        <f t="shared" ref="O961:O986" si="264">SUM(J961:N961)</f>
        <v>3</v>
      </c>
      <c r="P961" s="57">
        <v>44576</v>
      </c>
    </row>
    <row r="962" spans="1:16" x14ac:dyDescent="0.15">
      <c r="A962" s="50" t="s">
        <v>29</v>
      </c>
      <c r="B962" s="8">
        <v>1</v>
      </c>
      <c r="C962" s="10"/>
      <c r="D962" s="10"/>
      <c r="E962" s="10"/>
      <c r="F962" s="30"/>
      <c r="G962" s="7">
        <f t="shared" si="263"/>
        <v>1</v>
      </c>
      <c r="H962" s="58">
        <v>44708</v>
      </c>
      <c r="I962" s="16" t="s">
        <v>24</v>
      </c>
      <c r="J962" s="8">
        <v>5</v>
      </c>
      <c r="K962" s="10"/>
      <c r="L962" s="10"/>
      <c r="M962" s="10"/>
      <c r="N962" s="30"/>
      <c r="O962" s="7">
        <f t="shared" si="264"/>
        <v>5</v>
      </c>
      <c r="P962" s="58">
        <v>44748</v>
      </c>
    </row>
    <row r="963" spans="1:16" x14ac:dyDescent="0.15">
      <c r="A963" s="50" t="s">
        <v>29</v>
      </c>
      <c r="B963" s="8">
        <v>1</v>
      </c>
      <c r="C963" s="10"/>
      <c r="D963" s="10"/>
      <c r="E963" s="10"/>
      <c r="F963" s="30"/>
      <c r="G963" s="7">
        <f t="shared" si="263"/>
        <v>1</v>
      </c>
      <c r="H963" s="58">
        <v>44722</v>
      </c>
      <c r="I963" s="16" t="s">
        <v>24</v>
      </c>
      <c r="J963" s="8">
        <v>5</v>
      </c>
      <c r="K963" s="10"/>
      <c r="L963" s="10"/>
      <c r="M963" s="10"/>
      <c r="N963" s="30"/>
      <c r="O963" s="7">
        <f t="shared" si="264"/>
        <v>5</v>
      </c>
      <c r="P963" s="58">
        <v>44779</v>
      </c>
    </row>
    <row r="964" spans="1:16" x14ac:dyDescent="0.15">
      <c r="A964" s="50" t="s">
        <v>29</v>
      </c>
      <c r="B964" s="8">
        <v>1</v>
      </c>
      <c r="C964" s="10"/>
      <c r="D964" s="10"/>
      <c r="E964" s="10"/>
      <c r="F964" s="30"/>
      <c r="G964" s="7">
        <f t="shared" si="263"/>
        <v>1</v>
      </c>
      <c r="H964" s="58">
        <v>44747</v>
      </c>
      <c r="I964" s="16" t="s">
        <v>24</v>
      </c>
      <c r="J964" s="11">
        <v>3</v>
      </c>
      <c r="K964" s="100"/>
      <c r="L964" s="100"/>
      <c r="M964" s="100"/>
      <c r="N964" s="101"/>
      <c r="O964" s="9">
        <f t="shared" si="264"/>
        <v>3</v>
      </c>
      <c r="P964" s="58">
        <v>45194</v>
      </c>
    </row>
    <row r="965" spans="1:16" x14ac:dyDescent="0.15">
      <c r="A965" s="50" t="s">
        <v>29</v>
      </c>
      <c r="B965" s="8">
        <v>1</v>
      </c>
      <c r="C965" s="10"/>
      <c r="D965" s="10"/>
      <c r="E965" s="10"/>
      <c r="F965" s="30"/>
      <c r="G965" s="7">
        <f t="shared" si="263"/>
        <v>1</v>
      </c>
      <c r="H965" s="58">
        <v>44748</v>
      </c>
      <c r="I965" s="16" t="s">
        <v>24</v>
      </c>
      <c r="J965" s="8">
        <v>3</v>
      </c>
      <c r="K965" s="10"/>
      <c r="L965" s="10"/>
      <c r="M965" s="10"/>
      <c r="N965" s="30"/>
      <c r="O965" s="7">
        <f t="shared" si="264"/>
        <v>3</v>
      </c>
      <c r="P965" s="58">
        <v>45477</v>
      </c>
    </row>
    <row r="966" spans="1:16" x14ac:dyDescent="0.15">
      <c r="A966" s="50" t="s">
        <v>29</v>
      </c>
      <c r="B966" s="8">
        <v>1</v>
      </c>
      <c r="C966" s="10"/>
      <c r="D966" s="10"/>
      <c r="E966" s="10"/>
      <c r="F966" s="30"/>
      <c r="G966" s="7">
        <f t="shared" si="263"/>
        <v>1</v>
      </c>
      <c r="H966" s="58">
        <v>44802</v>
      </c>
      <c r="I966" s="15"/>
      <c r="J966" s="8"/>
      <c r="K966" s="45"/>
      <c r="L966" s="45"/>
      <c r="M966" s="45"/>
      <c r="N966" s="99"/>
      <c r="O966" s="9">
        <f t="shared" si="264"/>
        <v>0</v>
      </c>
      <c r="P966" s="56"/>
    </row>
    <row r="967" spans="1:16" x14ac:dyDescent="0.15">
      <c r="A967" s="50" t="s">
        <v>29</v>
      </c>
      <c r="B967" s="8">
        <v>1</v>
      </c>
      <c r="C967" s="10"/>
      <c r="D967" s="10"/>
      <c r="E967" s="10"/>
      <c r="F967" s="30"/>
      <c r="G967" s="7">
        <f t="shared" si="263"/>
        <v>1</v>
      </c>
      <c r="H967" s="58">
        <v>44845</v>
      </c>
      <c r="I967" s="16"/>
      <c r="J967" s="37"/>
      <c r="K967" s="35"/>
      <c r="L967" s="35"/>
      <c r="M967" s="35"/>
      <c r="N967" s="28"/>
      <c r="O967" s="7">
        <f t="shared" si="264"/>
        <v>0</v>
      </c>
      <c r="P967" s="56"/>
    </row>
    <row r="968" spans="1:16" x14ac:dyDescent="0.15">
      <c r="A968" s="50" t="s">
        <v>29</v>
      </c>
      <c r="B968" s="8">
        <v>1</v>
      </c>
      <c r="C968" s="10"/>
      <c r="D968" s="10"/>
      <c r="E968" s="10"/>
      <c r="F968" s="30"/>
      <c r="G968" s="7">
        <f t="shared" si="263"/>
        <v>1</v>
      </c>
      <c r="H968" s="58">
        <v>44907</v>
      </c>
      <c r="I968" s="16"/>
      <c r="J968" s="8"/>
      <c r="K968" s="10"/>
      <c r="L968" s="10"/>
      <c r="M968" s="10"/>
      <c r="N968" s="30"/>
      <c r="O968" s="7">
        <f t="shared" si="264"/>
        <v>0</v>
      </c>
      <c r="P968" s="56"/>
    </row>
    <row r="969" spans="1:16" x14ac:dyDescent="0.15">
      <c r="A969" s="50" t="s">
        <v>29</v>
      </c>
      <c r="B969" s="11">
        <v>1</v>
      </c>
      <c r="C969" s="12"/>
      <c r="D969" s="12"/>
      <c r="E969" s="12"/>
      <c r="F969" s="31"/>
      <c r="G969" s="7">
        <f t="shared" si="263"/>
        <v>1</v>
      </c>
      <c r="H969" s="58">
        <v>45096</v>
      </c>
      <c r="I969" s="16"/>
      <c r="J969" s="11"/>
      <c r="K969" s="12"/>
      <c r="L969" s="12"/>
      <c r="M969" s="12"/>
      <c r="N969" s="31"/>
      <c r="O969" s="7">
        <f t="shared" si="264"/>
        <v>0</v>
      </c>
    </row>
    <row r="970" spans="1:16" x14ac:dyDescent="0.15">
      <c r="A970" s="50" t="s">
        <v>29</v>
      </c>
      <c r="B970" s="11">
        <v>1</v>
      </c>
      <c r="C970" s="12"/>
      <c r="D970" s="12"/>
      <c r="E970" s="12"/>
      <c r="F970" s="31"/>
      <c r="G970" s="7">
        <f t="shared" si="263"/>
        <v>1</v>
      </c>
      <c r="H970" s="58">
        <v>45154</v>
      </c>
      <c r="I970" s="16"/>
      <c r="J970" s="11"/>
      <c r="K970" s="12"/>
      <c r="L970" s="12"/>
      <c r="M970" s="12"/>
      <c r="N970" s="31"/>
      <c r="O970" s="7">
        <f t="shared" si="264"/>
        <v>0</v>
      </c>
    </row>
    <row r="971" spans="1:16" x14ac:dyDescent="0.15">
      <c r="A971" s="50" t="s">
        <v>29</v>
      </c>
      <c r="B971" s="8">
        <v>1</v>
      </c>
      <c r="C971" s="10"/>
      <c r="D971" s="10"/>
      <c r="E971" s="10"/>
      <c r="F971" s="30"/>
      <c r="G971" s="7">
        <f t="shared" si="263"/>
        <v>1</v>
      </c>
      <c r="H971" s="58">
        <v>45156</v>
      </c>
      <c r="I971" s="16"/>
      <c r="J971" s="8"/>
      <c r="K971" s="10"/>
      <c r="L971" s="10"/>
      <c r="M971" s="10"/>
      <c r="N971" s="30"/>
      <c r="O971" s="7">
        <f t="shared" si="264"/>
        <v>0</v>
      </c>
    </row>
    <row r="972" spans="1:16" x14ac:dyDescent="0.15">
      <c r="A972" s="50" t="s">
        <v>29</v>
      </c>
      <c r="B972" s="8">
        <v>1</v>
      </c>
      <c r="C972" s="10"/>
      <c r="D972" s="10"/>
      <c r="E972" s="10"/>
      <c r="F972" s="30"/>
      <c r="G972" s="7">
        <f t="shared" si="263"/>
        <v>1</v>
      </c>
      <c r="H972" s="58">
        <v>45190</v>
      </c>
      <c r="I972" s="16"/>
      <c r="J972" s="8"/>
      <c r="K972" s="10"/>
      <c r="L972" s="10"/>
      <c r="M972" s="10"/>
      <c r="N972" s="30"/>
      <c r="O972" s="7">
        <f t="shared" si="264"/>
        <v>0</v>
      </c>
    </row>
    <row r="973" spans="1:16" x14ac:dyDescent="0.15">
      <c r="A973" s="50" t="s">
        <v>29</v>
      </c>
      <c r="B973" s="11">
        <v>1</v>
      </c>
      <c r="C973" s="12"/>
      <c r="D973" s="12"/>
      <c r="E973" s="12"/>
      <c r="F973" s="31"/>
      <c r="G973" s="7">
        <f t="shared" si="263"/>
        <v>1</v>
      </c>
      <c r="H973" s="58">
        <v>45313</v>
      </c>
      <c r="I973" s="16"/>
      <c r="J973" s="8"/>
      <c r="K973" s="10"/>
      <c r="L973" s="10"/>
      <c r="M973" s="10"/>
      <c r="N973" s="30"/>
      <c r="O973" s="7">
        <f t="shared" si="264"/>
        <v>0</v>
      </c>
    </row>
    <row r="974" spans="1:16" x14ac:dyDescent="0.15">
      <c r="A974" s="50" t="s">
        <v>29</v>
      </c>
      <c r="B974" s="8">
        <v>1</v>
      </c>
      <c r="C974" s="10"/>
      <c r="D974" s="10"/>
      <c r="E974" s="10"/>
      <c r="F974" s="30"/>
      <c r="G974" s="7">
        <f t="shared" si="263"/>
        <v>1</v>
      </c>
      <c r="H974" s="58">
        <v>45369</v>
      </c>
      <c r="I974" s="64"/>
      <c r="J974" s="8"/>
      <c r="K974" s="10"/>
      <c r="L974" s="10"/>
      <c r="M974" s="10"/>
      <c r="N974" s="30"/>
      <c r="O974" s="7">
        <f t="shared" si="264"/>
        <v>0</v>
      </c>
    </row>
    <row r="975" spans="1:16" x14ac:dyDescent="0.15">
      <c r="A975" s="50" t="s">
        <v>29</v>
      </c>
      <c r="B975" s="8"/>
      <c r="C975" s="10"/>
      <c r="D975" s="10"/>
      <c r="E975" s="10">
        <v>1</v>
      </c>
      <c r="F975" s="30"/>
      <c r="G975" s="7">
        <f t="shared" si="263"/>
        <v>1</v>
      </c>
      <c r="H975" s="58">
        <v>45390</v>
      </c>
      <c r="I975" s="16"/>
      <c r="J975" s="8"/>
      <c r="K975" s="10"/>
      <c r="L975" s="10"/>
      <c r="M975" s="10"/>
      <c r="N975" s="30"/>
      <c r="O975" s="7">
        <f t="shared" si="264"/>
        <v>0</v>
      </c>
    </row>
    <row r="976" spans="1:16" x14ac:dyDescent="0.15">
      <c r="A976" s="50" t="s">
        <v>29</v>
      </c>
      <c r="B976" s="8">
        <v>1</v>
      </c>
      <c r="C976" s="10"/>
      <c r="D976" s="10"/>
      <c r="E976" s="10"/>
      <c r="F976" s="30"/>
      <c r="G976" s="7">
        <f t="shared" si="263"/>
        <v>1</v>
      </c>
      <c r="H976" s="58">
        <v>45455</v>
      </c>
      <c r="I976" s="16"/>
      <c r="J976" s="8"/>
      <c r="K976" s="10"/>
      <c r="L976" s="10"/>
      <c r="M976" s="10"/>
      <c r="N976" s="30"/>
      <c r="O976" s="7">
        <f t="shared" si="264"/>
        <v>0</v>
      </c>
    </row>
    <row r="977" spans="1:15" x14ac:dyDescent="0.15">
      <c r="A977" s="50" t="s">
        <v>29</v>
      </c>
      <c r="B977" s="8">
        <v>1</v>
      </c>
      <c r="C977" s="10"/>
      <c r="D977" s="10"/>
      <c r="E977" s="10"/>
      <c r="F977" s="30"/>
      <c r="G977" s="7">
        <f t="shared" si="263"/>
        <v>1</v>
      </c>
      <c r="H977" s="58">
        <v>45462</v>
      </c>
      <c r="I977" s="14"/>
      <c r="J977" s="8"/>
      <c r="K977" s="10"/>
      <c r="L977" s="10"/>
      <c r="M977" s="10"/>
      <c r="N977" s="30"/>
      <c r="O977" s="7">
        <f t="shared" si="264"/>
        <v>0</v>
      </c>
    </row>
    <row r="978" spans="1:15" x14ac:dyDescent="0.15">
      <c r="A978" s="50" t="s">
        <v>29</v>
      </c>
      <c r="B978" s="8">
        <v>1</v>
      </c>
      <c r="C978" s="10"/>
      <c r="D978" s="10"/>
      <c r="E978" s="10"/>
      <c r="F978" s="30"/>
      <c r="G978" s="7">
        <f t="shared" si="263"/>
        <v>1</v>
      </c>
      <c r="H978" s="58">
        <v>45478</v>
      </c>
      <c r="I978" s="16"/>
      <c r="J978" s="8"/>
      <c r="K978" s="10"/>
      <c r="L978" s="10"/>
      <c r="M978" s="10"/>
      <c r="N978" s="30"/>
      <c r="O978" s="7">
        <f t="shared" si="264"/>
        <v>0</v>
      </c>
    </row>
    <row r="979" spans="1:15" x14ac:dyDescent="0.15">
      <c r="A979" s="50" t="s">
        <v>29</v>
      </c>
      <c r="B979" s="8">
        <v>1</v>
      </c>
      <c r="C979" s="10"/>
      <c r="D979" s="10"/>
      <c r="E979" s="10"/>
      <c r="F979" s="30"/>
      <c r="G979" s="7">
        <f t="shared" si="263"/>
        <v>1</v>
      </c>
      <c r="H979" s="58">
        <v>45492</v>
      </c>
      <c r="I979" s="16"/>
      <c r="J979" s="8"/>
      <c r="K979" s="10"/>
      <c r="L979" s="10"/>
      <c r="M979" s="10"/>
      <c r="N979" s="30"/>
      <c r="O979" s="7">
        <f t="shared" si="264"/>
        <v>0</v>
      </c>
    </row>
    <row r="980" spans="1:15" x14ac:dyDescent="0.15">
      <c r="A980" s="50" t="s">
        <v>29</v>
      </c>
      <c r="B980" s="8">
        <v>1</v>
      </c>
      <c r="C980" s="10"/>
      <c r="D980" s="10"/>
      <c r="E980" s="10"/>
      <c r="F980" s="30"/>
      <c r="G980" s="7">
        <f t="shared" si="263"/>
        <v>1</v>
      </c>
      <c r="H980" s="58">
        <v>45506</v>
      </c>
      <c r="I980" s="16"/>
      <c r="J980" s="8"/>
      <c r="K980" s="10"/>
      <c r="L980" s="10"/>
      <c r="M980" s="10"/>
      <c r="N980" s="30"/>
      <c r="O980" s="9">
        <f t="shared" si="264"/>
        <v>0</v>
      </c>
    </row>
    <row r="981" spans="1:15" x14ac:dyDescent="0.15">
      <c r="A981" s="16" t="s">
        <v>1632</v>
      </c>
      <c r="B981" s="8">
        <v>1</v>
      </c>
      <c r="C981" s="10"/>
      <c r="D981" s="10"/>
      <c r="E981" s="10"/>
      <c r="F981" s="30"/>
      <c r="G981" s="7">
        <f t="shared" si="263"/>
        <v>1</v>
      </c>
      <c r="H981" s="58">
        <v>45530</v>
      </c>
      <c r="I981" s="16"/>
      <c r="J981" s="8"/>
      <c r="K981" s="10"/>
      <c r="L981" s="10"/>
      <c r="M981" s="10"/>
      <c r="N981" s="30"/>
      <c r="O981" s="9">
        <f t="shared" si="264"/>
        <v>0</v>
      </c>
    </row>
    <row r="982" spans="1:15" x14ac:dyDescent="0.15">
      <c r="A982" s="50" t="s">
        <v>29</v>
      </c>
      <c r="B982" s="8">
        <v>1</v>
      </c>
      <c r="C982" s="10"/>
      <c r="D982" s="10"/>
      <c r="E982" s="10"/>
      <c r="F982" s="30"/>
      <c r="G982" s="7">
        <f t="shared" si="263"/>
        <v>1</v>
      </c>
      <c r="H982" s="58">
        <v>45540</v>
      </c>
      <c r="I982" s="50"/>
      <c r="J982" s="8"/>
      <c r="K982" s="10"/>
      <c r="L982" s="10"/>
      <c r="M982" s="10"/>
      <c r="N982" s="30"/>
      <c r="O982" s="9">
        <f t="shared" si="264"/>
        <v>0</v>
      </c>
    </row>
    <row r="983" spans="1:15" x14ac:dyDescent="0.15">
      <c r="A983" s="50"/>
      <c r="B983" s="8"/>
      <c r="C983" s="10"/>
      <c r="D983" s="10"/>
      <c r="E983" s="10"/>
      <c r="F983" s="30"/>
      <c r="G983" s="7"/>
      <c r="H983" s="58"/>
      <c r="I983" s="16"/>
      <c r="J983" s="8"/>
      <c r="K983" s="10"/>
      <c r="L983" s="10"/>
      <c r="M983" s="10"/>
      <c r="N983" s="30"/>
      <c r="O983" s="9">
        <f t="shared" si="264"/>
        <v>0</v>
      </c>
    </row>
    <row r="984" spans="1:15" x14ac:dyDescent="0.15">
      <c r="A984" s="16"/>
      <c r="B984" s="8"/>
      <c r="C984" s="10"/>
      <c r="D984" s="10"/>
      <c r="E984" s="10"/>
      <c r="F984" s="30"/>
      <c r="G984" s="7">
        <f t="shared" si="263"/>
        <v>0</v>
      </c>
      <c r="H984" s="58"/>
      <c r="I984" s="16"/>
      <c r="J984" s="8"/>
      <c r="K984" s="10"/>
      <c r="L984" s="10"/>
      <c r="M984" s="10"/>
      <c r="N984" s="30"/>
      <c r="O984" s="9">
        <f t="shared" si="264"/>
        <v>0</v>
      </c>
    </row>
    <row r="985" spans="1:15" x14ac:dyDescent="0.15">
      <c r="A985" s="16"/>
      <c r="B985" s="8"/>
      <c r="C985" s="10"/>
      <c r="D985" s="10"/>
      <c r="E985" s="10"/>
      <c r="F985" s="30"/>
      <c r="G985" s="7">
        <f t="shared" si="263"/>
        <v>0</v>
      </c>
      <c r="H985" s="58"/>
      <c r="I985" s="16"/>
      <c r="J985" s="8"/>
      <c r="K985" s="10"/>
      <c r="L985" s="10"/>
      <c r="M985" s="10"/>
      <c r="N985" s="30"/>
      <c r="O985" s="9">
        <f t="shared" si="264"/>
        <v>0</v>
      </c>
    </row>
    <row r="986" spans="1:15" ht="14.25" thickBot="1" x14ac:dyDescent="0.2">
      <c r="A986" s="51"/>
      <c r="B986" s="11"/>
      <c r="C986" s="12"/>
      <c r="D986" s="12"/>
      <c r="E986" s="12"/>
      <c r="F986" s="31"/>
      <c r="G986" s="7">
        <f t="shared" si="263"/>
        <v>0</v>
      </c>
      <c r="H986" s="58"/>
      <c r="I986" s="14"/>
      <c r="J986" s="8"/>
      <c r="K986" s="10"/>
      <c r="L986" s="10"/>
      <c r="M986" s="10"/>
      <c r="N986" s="30"/>
      <c r="O986" s="9">
        <f t="shared" si="264"/>
        <v>0</v>
      </c>
    </row>
    <row r="987" spans="1:15" ht="14.25" thickBot="1" x14ac:dyDescent="0.2">
      <c r="A987" s="3" t="s">
        <v>11</v>
      </c>
      <c r="B987" s="23">
        <f>SUM(B961:B986)</f>
        <v>21</v>
      </c>
      <c r="C987" s="203">
        <f>SUM(C961:C986)</f>
        <v>0</v>
      </c>
      <c r="D987" s="203">
        <f>SUM(D961:D986)</f>
        <v>0</v>
      </c>
      <c r="E987" s="203">
        <f>SUM(E961:E986)</f>
        <v>1</v>
      </c>
      <c r="F987" s="205">
        <f>SUM(F961:F986)</f>
        <v>0</v>
      </c>
      <c r="G987" s="5">
        <f>SUM(B987:F987)</f>
        <v>22</v>
      </c>
      <c r="H987" s="58"/>
      <c r="I987" s="3" t="s">
        <v>11</v>
      </c>
      <c r="J987" s="23">
        <f>SUM(J961:J986)</f>
        <v>19</v>
      </c>
      <c r="K987" s="203">
        <f>SUM(K961:K986)</f>
        <v>0</v>
      </c>
      <c r="L987" s="203">
        <f>SUM(L961:L986)</f>
        <v>0</v>
      </c>
      <c r="M987" s="204">
        <f>SUM(M961:M986)</f>
        <v>0</v>
      </c>
      <c r="N987" s="205">
        <f>SUM(N961:N986)</f>
        <v>0</v>
      </c>
      <c r="O987" s="5">
        <f>SUM(J987:N987)</f>
        <v>19</v>
      </c>
    </row>
    <row r="988" spans="1:15" ht="14.25" thickBot="1" x14ac:dyDescent="0.2">
      <c r="A988" s="25" t="s">
        <v>12</v>
      </c>
      <c r="B988" s="63">
        <f>B960-B987</f>
        <v>1</v>
      </c>
      <c r="C988" s="206">
        <f t="shared" ref="C988:G988" si="265">C960-C987</f>
        <v>0</v>
      </c>
      <c r="D988" s="206">
        <f t="shared" si="265"/>
        <v>0</v>
      </c>
      <c r="E988" s="206">
        <f t="shared" ref="E988" si="266">E960-E987</f>
        <v>0</v>
      </c>
      <c r="F988" s="208">
        <f t="shared" si="265"/>
        <v>0</v>
      </c>
      <c r="G988" s="27">
        <f t="shared" si="265"/>
        <v>1</v>
      </c>
      <c r="H988" s="58"/>
      <c r="I988" s="25" t="s">
        <v>12</v>
      </c>
      <c r="J988" s="63">
        <f>J960-J987</f>
        <v>42</v>
      </c>
      <c r="K988" s="206">
        <f t="shared" ref="K988:O988" si="267">K960-K987</f>
        <v>0</v>
      </c>
      <c r="L988" s="207">
        <f t="shared" si="267"/>
        <v>0</v>
      </c>
      <c r="M988" s="206">
        <f t="shared" si="267"/>
        <v>0</v>
      </c>
      <c r="N988" s="208">
        <f t="shared" si="267"/>
        <v>0</v>
      </c>
      <c r="O988" s="27">
        <f t="shared" si="267"/>
        <v>42</v>
      </c>
    </row>
    <row r="989" spans="1:15" ht="21" x14ac:dyDescent="0.2">
      <c r="A989" s="83" t="s">
        <v>414</v>
      </c>
      <c r="B989" s="77"/>
      <c r="C989" s="77"/>
      <c r="D989" s="77"/>
      <c r="E989" s="77"/>
      <c r="F989" s="77"/>
      <c r="G989" s="77"/>
      <c r="H989" s="58"/>
      <c r="I989" s="83" t="s">
        <v>414</v>
      </c>
      <c r="J989" s="77"/>
      <c r="K989" s="77"/>
      <c r="L989" s="77"/>
      <c r="M989" s="77"/>
      <c r="N989" s="77"/>
      <c r="O989" s="77"/>
    </row>
    <row r="990" spans="1:15" ht="21.75" thickBot="1" x14ac:dyDescent="0.25">
      <c r="A990" s="83" t="s">
        <v>47</v>
      </c>
      <c r="B990" s="77"/>
      <c r="C990" s="77"/>
      <c r="D990" s="77"/>
      <c r="E990" s="84"/>
      <c r="F990" s="78" t="s">
        <v>53</v>
      </c>
      <c r="G990" s="77"/>
      <c r="H990" s="58"/>
      <c r="I990" s="83" t="s">
        <v>47</v>
      </c>
      <c r="J990" s="77"/>
      <c r="K990" s="77"/>
      <c r="L990" s="77"/>
      <c r="M990" s="84"/>
      <c r="N990" s="78" t="s">
        <v>54</v>
      </c>
      <c r="O990" s="77"/>
    </row>
    <row r="991" spans="1:15" ht="14.25" thickBot="1" x14ac:dyDescent="0.2">
      <c r="A991" s="13" t="s">
        <v>0</v>
      </c>
      <c r="B991" s="228" t="s">
        <v>49</v>
      </c>
      <c r="C991" s="229"/>
      <c r="D991" s="229"/>
      <c r="E991" s="229"/>
      <c r="F991" s="230"/>
      <c r="G991" s="231"/>
      <c r="H991" s="58"/>
      <c r="I991" s="13" t="s">
        <v>0</v>
      </c>
      <c r="J991" s="232" t="s">
        <v>49</v>
      </c>
      <c r="K991" s="233"/>
      <c r="L991" s="233"/>
      <c r="M991" s="233"/>
      <c r="N991" s="233"/>
      <c r="O991" s="234"/>
    </row>
    <row r="992" spans="1:15" ht="14.25" thickBot="1" x14ac:dyDescent="0.2">
      <c r="A992" s="3" t="s">
        <v>1</v>
      </c>
      <c r="B992" s="2" t="s">
        <v>42</v>
      </c>
      <c r="C992" s="21" t="s">
        <v>43</v>
      </c>
      <c r="D992" s="21" t="s">
        <v>44</v>
      </c>
      <c r="E992" s="24" t="s">
        <v>45</v>
      </c>
      <c r="F992" s="33" t="s">
        <v>46</v>
      </c>
      <c r="G992" s="34" t="s">
        <v>2</v>
      </c>
      <c r="H992" s="58"/>
      <c r="I992" s="3" t="s">
        <v>1</v>
      </c>
      <c r="J992" s="2" t="s">
        <v>42</v>
      </c>
      <c r="K992" s="21" t="s">
        <v>43</v>
      </c>
      <c r="L992" s="21" t="s">
        <v>44</v>
      </c>
      <c r="M992" s="24" t="s">
        <v>45</v>
      </c>
      <c r="N992" s="33" t="s">
        <v>46</v>
      </c>
      <c r="O992" s="3" t="s">
        <v>2</v>
      </c>
    </row>
    <row r="993" spans="1:19" ht="14.25" thickBot="1" x14ac:dyDescent="0.2">
      <c r="A993" s="116" t="s">
        <v>79</v>
      </c>
      <c r="B993" s="95">
        <f>B988</f>
        <v>1</v>
      </c>
      <c r="C993" s="97">
        <f t="shared" ref="C993:F993" si="268">C988</f>
        <v>0</v>
      </c>
      <c r="D993" s="55">
        <f t="shared" si="268"/>
        <v>0</v>
      </c>
      <c r="E993" s="98">
        <f t="shared" si="268"/>
        <v>0</v>
      </c>
      <c r="F993" s="98">
        <f t="shared" si="268"/>
        <v>0</v>
      </c>
      <c r="G993" s="52">
        <f t="shared" ref="G993:G1002" si="269">SUM(B993:F993)</f>
        <v>1</v>
      </c>
      <c r="H993" s="58"/>
      <c r="I993" s="72" t="s">
        <v>79</v>
      </c>
      <c r="J993" s="73">
        <f>J988</f>
        <v>42</v>
      </c>
      <c r="K993" s="74">
        <f t="shared" ref="K993:N993" si="270">K988</f>
        <v>0</v>
      </c>
      <c r="L993" s="107">
        <f t="shared" si="270"/>
        <v>0</v>
      </c>
      <c r="M993" s="75">
        <f t="shared" si="270"/>
        <v>0</v>
      </c>
      <c r="N993" s="75">
        <f t="shared" si="270"/>
        <v>0</v>
      </c>
      <c r="O993" s="76">
        <f t="shared" ref="O993:O1002" si="271">SUM(J993:N993)</f>
        <v>42</v>
      </c>
    </row>
    <row r="994" spans="1:19" x14ac:dyDescent="0.15">
      <c r="A994" s="15" t="s">
        <v>14</v>
      </c>
      <c r="B994" s="37">
        <v>5</v>
      </c>
      <c r="C994" s="35"/>
      <c r="D994" s="35"/>
      <c r="E994" s="35"/>
      <c r="F994" s="28"/>
      <c r="G994" s="7">
        <f t="shared" si="269"/>
        <v>5</v>
      </c>
      <c r="H994" s="58">
        <v>45540</v>
      </c>
      <c r="I994" s="15" t="s">
        <v>14</v>
      </c>
      <c r="J994" s="37"/>
      <c r="K994" s="35"/>
      <c r="L994" s="35"/>
      <c r="M994" s="35"/>
      <c r="N994" s="28"/>
      <c r="O994" s="7">
        <f t="shared" si="271"/>
        <v>0</v>
      </c>
    </row>
    <row r="995" spans="1:19" x14ac:dyDescent="0.15">
      <c r="A995" s="15" t="s">
        <v>3</v>
      </c>
      <c r="B995" s="8">
        <v>3</v>
      </c>
      <c r="C995" s="10"/>
      <c r="D995" s="10"/>
      <c r="E995" s="10"/>
      <c r="F995" s="28"/>
      <c r="G995" s="9">
        <f t="shared" si="269"/>
        <v>3</v>
      </c>
      <c r="H995" s="58">
        <v>45685</v>
      </c>
      <c r="I995" s="15" t="s">
        <v>1661</v>
      </c>
      <c r="J995" s="8">
        <v>5</v>
      </c>
      <c r="K995" s="10"/>
      <c r="L995" s="10"/>
      <c r="M995" s="10"/>
      <c r="N995" s="28"/>
      <c r="O995" s="9">
        <f t="shared" si="271"/>
        <v>5</v>
      </c>
      <c r="P995" s="57">
        <v>46116</v>
      </c>
    </row>
    <row r="996" spans="1:19" x14ac:dyDescent="0.15">
      <c r="A996" s="15" t="s">
        <v>4</v>
      </c>
      <c r="B996" s="8">
        <v>1</v>
      </c>
      <c r="C996" s="10"/>
      <c r="D996" s="10"/>
      <c r="E996" s="10"/>
      <c r="F996" s="28"/>
      <c r="G996" s="9">
        <f t="shared" si="269"/>
        <v>1</v>
      </c>
      <c r="H996" s="58">
        <v>45705</v>
      </c>
      <c r="I996" s="15" t="s">
        <v>4</v>
      </c>
      <c r="J996" s="8"/>
      <c r="K996" s="10"/>
      <c r="L996" s="10"/>
      <c r="M996" s="10"/>
      <c r="N996" s="28"/>
      <c r="O996" s="9">
        <f t="shared" si="271"/>
        <v>0</v>
      </c>
    </row>
    <row r="997" spans="1:19" x14ac:dyDescent="0.15">
      <c r="A997" s="15" t="s">
        <v>5</v>
      </c>
      <c r="B997" s="8">
        <v>5</v>
      </c>
      <c r="C997" s="10"/>
      <c r="D997" s="10"/>
      <c r="E997" s="10"/>
      <c r="F997" s="28"/>
      <c r="G997" s="9">
        <f t="shared" si="269"/>
        <v>5</v>
      </c>
      <c r="H997" s="58">
        <v>45772</v>
      </c>
      <c r="I997" s="15" t="s">
        <v>5</v>
      </c>
      <c r="J997" s="8"/>
      <c r="K997" s="10"/>
      <c r="L997" s="10"/>
      <c r="M997" s="10"/>
      <c r="N997" s="28"/>
      <c r="O997" s="9">
        <f t="shared" si="271"/>
        <v>0</v>
      </c>
    </row>
    <row r="998" spans="1:19" x14ac:dyDescent="0.15">
      <c r="A998" s="15" t="s">
        <v>6</v>
      </c>
      <c r="B998" s="8">
        <v>5</v>
      </c>
      <c r="C998" s="10"/>
      <c r="D998" s="10"/>
      <c r="E998" s="10"/>
      <c r="F998" s="28"/>
      <c r="G998" s="9">
        <f t="shared" si="269"/>
        <v>5</v>
      </c>
      <c r="H998" s="58">
        <v>45818</v>
      </c>
      <c r="I998" s="15" t="s">
        <v>6</v>
      </c>
      <c r="J998" s="8"/>
      <c r="K998" s="10"/>
      <c r="L998" s="10"/>
      <c r="M998" s="10"/>
      <c r="N998" s="28"/>
      <c r="O998" s="9">
        <f t="shared" si="271"/>
        <v>0</v>
      </c>
    </row>
    <row r="999" spans="1:19" x14ac:dyDescent="0.15">
      <c r="A999" s="15" t="s">
        <v>1348</v>
      </c>
      <c r="B999" s="11">
        <v>0</v>
      </c>
      <c r="C999" s="12"/>
      <c r="D999" s="12"/>
      <c r="E999" s="12"/>
      <c r="F999" s="31"/>
      <c r="G999" s="7">
        <f t="shared" si="269"/>
        <v>0</v>
      </c>
      <c r="H999" s="57">
        <v>45894</v>
      </c>
      <c r="I999" s="15" t="s">
        <v>84</v>
      </c>
      <c r="J999" s="11"/>
      <c r="K999" s="12"/>
      <c r="L999" s="12"/>
      <c r="M999" s="12"/>
      <c r="N999" s="31"/>
      <c r="O999" s="7">
        <f t="shared" si="271"/>
        <v>0</v>
      </c>
    </row>
    <row r="1000" spans="1:19" x14ac:dyDescent="0.15">
      <c r="A1000" s="15" t="s">
        <v>85</v>
      </c>
      <c r="B1000" s="8"/>
      <c r="C1000" s="10"/>
      <c r="D1000" s="10"/>
      <c r="E1000" s="10"/>
      <c r="F1000" s="30"/>
      <c r="G1000" s="7">
        <f t="shared" si="269"/>
        <v>0</v>
      </c>
      <c r="I1000" s="15" t="s">
        <v>85</v>
      </c>
      <c r="J1000" s="8"/>
      <c r="K1000" s="10"/>
      <c r="L1000" s="10"/>
      <c r="M1000" s="10"/>
      <c r="N1000" s="30"/>
      <c r="O1000" s="7">
        <f t="shared" si="271"/>
        <v>0</v>
      </c>
    </row>
    <row r="1001" spans="1:19" x14ac:dyDescent="0.15">
      <c r="A1001" s="16" t="s">
        <v>88</v>
      </c>
      <c r="B1001" s="8"/>
      <c r="C1001" s="10"/>
      <c r="D1001" s="10"/>
      <c r="E1001" s="10"/>
      <c r="F1001" s="30"/>
      <c r="G1001" s="7">
        <f t="shared" si="269"/>
        <v>0</v>
      </c>
      <c r="I1001" s="16" t="s">
        <v>88</v>
      </c>
      <c r="J1001" s="8"/>
      <c r="K1001" s="10"/>
      <c r="L1001" s="10"/>
      <c r="M1001" s="10"/>
      <c r="N1001" s="30"/>
      <c r="O1001" s="7">
        <f t="shared" si="271"/>
        <v>0</v>
      </c>
    </row>
    <row r="1002" spans="1:19" ht="14.25" thickBot="1" x14ac:dyDescent="0.2">
      <c r="A1002" s="16" t="s">
        <v>1044</v>
      </c>
      <c r="B1002" s="11"/>
      <c r="C1002" s="100"/>
      <c r="D1002" s="100"/>
      <c r="E1002" s="100"/>
      <c r="F1002" s="101"/>
      <c r="G1002" s="102">
        <f t="shared" si="269"/>
        <v>0</v>
      </c>
      <c r="I1002" s="16" t="s">
        <v>1044</v>
      </c>
      <c r="J1002" s="11"/>
      <c r="K1002" s="100"/>
      <c r="L1002" s="100"/>
      <c r="M1002" s="100"/>
      <c r="N1002" s="101"/>
      <c r="O1002" s="102">
        <f t="shared" si="271"/>
        <v>0</v>
      </c>
    </row>
    <row r="1003" spans="1:19" ht="14.25" thickBot="1" x14ac:dyDescent="0.2">
      <c r="A1003" s="72" t="s">
        <v>7</v>
      </c>
      <c r="B1003" s="73">
        <f>SUM(B993:B1002)</f>
        <v>20</v>
      </c>
      <c r="C1003" s="74">
        <f t="shared" ref="C1003:G1003" si="272">SUM(C993:C1002)</f>
        <v>0</v>
      </c>
      <c r="D1003" s="74">
        <f t="shared" si="272"/>
        <v>0</v>
      </c>
      <c r="E1003" s="74">
        <f t="shared" si="272"/>
        <v>0</v>
      </c>
      <c r="F1003" s="105">
        <f t="shared" si="272"/>
        <v>0</v>
      </c>
      <c r="G1003" s="105">
        <f t="shared" si="272"/>
        <v>20</v>
      </c>
      <c r="H1003" s="56"/>
      <c r="I1003" s="72" t="s">
        <v>7</v>
      </c>
      <c r="J1003" s="73">
        <f>SUM(J993:J1002)</f>
        <v>47</v>
      </c>
      <c r="K1003" s="74">
        <f t="shared" ref="K1003:O1003" si="273">SUM(K993:K1002)</f>
        <v>0</v>
      </c>
      <c r="L1003" s="74">
        <f t="shared" si="273"/>
        <v>0</v>
      </c>
      <c r="M1003" s="74">
        <f t="shared" si="273"/>
        <v>0</v>
      </c>
      <c r="N1003" s="105">
        <f t="shared" si="273"/>
        <v>0</v>
      </c>
      <c r="O1003" s="105">
        <f t="shared" si="273"/>
        <v>47</v>
      </c>
    </row>
    <row r="1004" spans="1:19" x14ac:dyDescent="0.15">
      <c r="A1004" s="50" t="s">
        <v>29</v>
      </c>
      <c r="B1004" s="8">
        <v>1</v>
      </c>
      <c r="C1004" s="10"/>
      <c r="D1004" s="10"/>
      <c r="E1004" s="10"/>
      <c r="F1004" s="30"/>
      <c r="G1004" s="7">
        <f t="shared" ref="G1004" si="274">SUM(B1004:F1004)</f>
        <v>1</v>
      </c>
      <c r="H1004" s="58">
        <v>45540</v>
      </c>
      <c r="I1004" s="16" t="s">
        <v>24</v>
      </c>
      <c r="J1004" s="8">
        <v>5</v>
      </c>
      <c r="K1004" s="10"/>
      <c r="L1004" s="10"/>
      <c r="M1004" s="10"/>
      <c r="N1004" s="30"/>
      <c r="O1004" s="9">
        <f t="shared" ref="O1004:O1007" si="275">SUM(J1004:N1004)</f>
        <v>5</v>
      </c>
      <c r="P1004" s="58">
        <v>45541</v>
      </c>
    </row>
    <row r="1005" spans="1:19" x14ac:dyDescent="0.15">
      <c r="A1005" s="50" t="s">
        <v>29</v>
      </c>
      <c r="B1005" s="8">
        <v>1</v>
      </c>
      <c r="C1005" s="10"/>
      <c r="D1005" s="10"/>
      <c r="E1005" s="10"/>
      <c r="F1005" s="30"/>
      <c r="G1005" s="7">
        <f t="shared" ref="G1005:G1026" si="276">SUM(B1005:F1005)</f>
        <v>1</v>
      </c>
      <c r="H1005" s="58">
        <v>45621</v>
      </c>
      <c r="I1005" s="16" t="s">
        <v>24</v>
      </c>
      <c r="J1005" s="8">
        <v>3</v>
      </c>
      <c r="K1005" s="10"/>
      <c r="L1005" s="10"/>
      <c r="M1005" s="10"/>
      <c r="N1005" s="30"/>
      <c r="O1005" s="9">
        <f t="shared" si="275"/>
        <v>3</v>
      </c>
      <c r="P1005" s="58">
        <v>45685</v>
      </c>
      <c r="Q1005" s="56"/>
      <c r="R1005" s="56"/>
      <c r="S1005" s="56"/>
    </row>
    <row r="1006" spans="1:19" x14ac:dyDescent="0.15">
      <c r="A1006" s="50" t="s">
        <v>29</v>
      </c>
      <c r="B1006" s="8">
        <v>1</v>
      </c>
      <c r="C1006" s="10"/>
      <c r="D1006" s="10"/>
      <c r="E1006" s="10"/>
      <c r="F1006" s="30"/>
      <c r="G1006" s="7">
        <f t="shared" si="276"/>
        <v>1</v>
      </c>
      <c r="H1006" s="58">
        <v>45677</v>
      </c>
      <c r="I1006" s="16" t="s">
        <v>24</v>
      </c>
      <c r="J1006" s="8">
        <v>5</v>
      </c>
      <c r="K1006" s="10"/>
      <c r="L1006" s="10"/>
      <c r="M1006" s="10"/>
      <c r="N1006" s="30"/>
      <c r="O1006" s="9">
        <f t="shared" si="275"/>
        <v>5</v>
      </c>
      <c r="P1006" s="58">
        <v>45772</v>
      </c>
      <c r="Q1006" s="56"/>
      <c r="R1006" s="56"/>
      <c r="S1006" s="56"/>
    </row>
    <row r="1007" spans="1:19" x14ac:dyDescent="0.15">
      <c r="A1007" s="50" t="s">
        <v>29</v>
      </c>
      <c r="B1007" s="8">
        <v>1</v>
      </c>
      <c r="C1007" s="10"/>
      <c r="D1007" s="10"/>
      <c r="E1007" s="10"/>
      <c r="F1007" s="30"/>
      <c r="G1007" s="7">
        <f t="shared" si="276"/>
        <v>1</v>
      </c>
      <c r="H1007" s="58">
        <v>45684</v>
      </c>
      <c r="I1007" s="16" t="s">
        <v>24</v>
      </c>
      <c r="J1007" s="8">
        <v>5</v>
      </c>
      <c r="K1007" s="10"/>
      <c r="L1007" s="10"/>
      <c r="M1007" s="10"/>
      <c r="N1007" s="30"/>
      <c r="O1007" s="9">
        <f t="shared" si="275"/>
        <v>5</v>
      </c>
      <c r="P1007" s="58">
        <v>45818</v>
      </c>
      <c r="Q1007" s="56"/>
      <c r="R1007" s="56"/>
      <c r="S1007" s="56"/>
    </row>
    <row r="1008" spans="1:19" x14ac:dyDescent="0.15">
      <c r="A1008" s="50" t="s">
        <v>29</v>
      </c>
      <c r="B1008" s="8">
        <v>1</v>
      </c>
      <c r="C1008" s="10"/>
      <c r="D1008" s="10"/>
      <c r="E1008" s="10"/>
      <c r="F1008" s="30"/>
      <c r="G1008" s="7">
        <f t="shared" si="276"/>
        <v>1</v>
      </c>
      <c r="H1008" s="58">
        <v>45726</v>
      </c>
      <c r="I1008" s="16"/>
      <c r="J1008" s="8"/>
      <c r="K1008" s="10"/>
      <c r="L1008" s="10"/>
      <c r="M1008" s="10"/>
      <c r="N1008" s="30"/>
      <c r="O1008" s="9">
        <f t="shared" ref="O1008:O1026" si="277">SUM(J1008:N1008)</f>
        <v>0</v>
      </c>
      <c r="P1008" s="56"/>
      <c r="Q1008" s="56"/>
      <c r="R1008" s="56"/>
      <c r="S1008" s="56"/>
    </row>
    <row r="1009" spans="1:19" x14ac:dyDescent="0.15">
      <c r="A1009" s="50" t="s">
        <v>29</v>
      </c>
      <c r="B1009" s="8">
        <v>1</v>
      </c>
      <c r="C1009" s="10"/>
      <c r="D1009" s="10"/>
      <c r="E1009" s="10"/>
      <c r="F1009" s="30"/>
      <c r="G1009" s="7">
        <f t="shared" si="276"/>
        <v>1</v>
      </c>
      <c r="H1009" s="58">
        <v>45741</v>
      </c>
      <c r="I1009" s="16"/>
      <c r="J1009" s="8"/>
      <c r="K1009" s="10"/>
      <c r="L1009" s="10"/>
      <c r="M1009" s="10"/>
      <c r="N1009" s="30"/>
      <c r="O1009" s="9">
        <f t="shared" si="277"/>
        <v>0</v>
      </c>
      <c r="P1009" s="56"/>
      <c r="Q1009" s="56"/>
      <c r="R1009" s="56"/>
      <c r="S1009" s="56"/>
    </row>
    <row r="1010" spans="1:19" x14ac:dyDescent="0.15">
      <c r="A1010" s="50" t="s">
        <v>29</v>
      </c>
      <c r="B1010" s="8">
        <v>1</v>
      </c>
      <c r="C1010" s="10"/>
      <c r="D1010" s="10"/>
      <c r="E1010" s="10"/>
      <c r="F1010" s="30"/>
      <c r="G1010" s="7">
        <f t="shared" si="276"/>
        <v>1</v>
      </c>
      <c r="H1010" s="58">
        <v>45742</v>
      </c>
      <c r="I1010" s="16"/>
      <c r="J1010" s="8"/>
      <c r="K1010" s="10"/>
      <c r="L1010" s="10"/>
      <c r="M1010" s="10"/>
      <c r="N1010" s="30"/>
      <c r="O1010" s="9">
        <f t="shared" si="277"/>
        <v>0</v>
      </c>
      <c r="P1010" s="56"/>
      <c r="Q1010" s="56"/>
      <c r="R1010" s="56"/>
      <c r="S1010" s="56"/>
    </row>
    <row r="1011" spans="1:19" x14ac:dyDescent="0.15">
      <c r="A1011" s="50" t="s">
        <v>29</v>
      </c>
      <c r="B1011" s="8">
        <v>3</v>
      </c>
      <c r="C1011" s="10"/>
      <c r="D1011" s="10"/>
      <c r="E1011" s="10"/>
      <c r="F1011" s="30"/>
      <c r="G1011" s="7">
        <f t="shared" si="276"/>
        <v>3</v>
      </c>
      <c r="H1011" s="58">
        <v>45768</v>
      </c>
      <c r="I1011" s="16"/>
      <c r="J1011" s="8"/>
      <c r="K1011" s="10"/>
      <c r="L1011" s="10"/>
      <c r="M1011" s="10"/>
      <c r="N1011" s="30"/>
      <c r="O1011" s="9">
        <f t="shared" si="277"/>
        <v>0</v>
      </c>
    </row>
    <row r="1012" spans="1:19" x14ac:dyDescent="0.15">
      <c r="A1012" s="50" t="s">
        <v>29</v>
      </c>
      <c r="B1012" s="8">
        <v>1</v>
      </c>
      <c r="C1012" s="10"/>
      <c r="D1012" s="10"/>
      <c r="E1012" s="10"/>
      <c r="F1012" s="30"/>
      <c r="G1012" s="7">
        <f t="shared" si="276"/>
        <v>1</v>
      </c>
      <c r="H1012" s="58">
        <v>45786</v>
      </c>
      <c r="I1012" s="16"/>
      <c r="J1012" s="8"/>
      <c r="K1012" s="10"/>
      <c r="L1012" s="10"/>
      <c r="M1012" s="10"/>
      <c r="N1012" s="30"/>
      <c r="O1012" s="9">
        <f t="shared" si="277"/>
        <v>0</v>
      </c>
    </row>
    <row r="1013" spans="1:19" x14ac:dyDescent="0.15">
      <c r="A1013" s="50" t="s">
        <v>29</v>
      </c>
      <c r="B1013" s="8">
        <v>1</v>
      </c>
      <c r="C1013" s="10"/>
      <c r="D1013" s="10"/>
      <c r="E1013" s="10"/>
      <c r="F1013" s="30"/>
      <c r="G1013" s="7">
        <f t="shared" si="276"/>
        <v>1</v>
      </c>
      <c r="H1013" s="58">
        <v>45796</v>
      </c>
      <c r="I1013" s="16"/>
      <c r="J1013" s="8"/>
      <c r="K1013" s="10"/>
      <c r="L1013" s="10"/>
      <c r="M1013" s="10"/>
      <c r="N1013" s="30"/>
      <c r="O1013" s="9">
        <f t="shared" si="277"/>
        <v>0</v>
      </c>
    </row>
    <row r="1014" spans="1:19" x14ac:dyDescent="0.15">
      <c r="A1014" s="50" t="s">
        <v>29</v>
      </c>
      <c r="B1014" s="8">
        <v>1</v>
      </c>
      <c r="C1014" s="10"/>
      <c r="D1014" s="10"/>
      <c r="E1014" s="10"/>
      <c r="F1014" s="30"/>
      <c r="G1014" s="7">
        <f t="shared" si="276"/>
        <v>1</v>
      </c>
      <c r="H1014" s="58">
        <v>45817</v>
      </c>
      <c r="I1014" s="16"/>
      <c r="J1014" s="8"/>
      <c r="K1014" s="10"/>
      <c r="L1014" s="10"/>
      <c r="M1014" s="10"/>
      <c r="N1014" s="30"/>
      <c r="O1014" s="9">
        <f t="shared" si="277"/>
        <v>0</v>
      </c>
    </row>
    <row r="1015" spans="1:19" x14ac:dyDescent="0.15">
      <c r="A1015" s="50" t="s">
        <v>29</v>
      </c>
      <c r="B1015" s="8">
        <v>1</v>
      </c>
      <c r="C1015" s="10"/>
      <c r="D1015" s="10"/>
      <c r="E1015" s="10"/>
      <c r="F1015" s="30"/>
      <c r="G1015" s="7">
        <f t="shared" si="276"/>
        <v>1</v>
      </c>
      <c r="H1015" s="58">
        <v>45936</v>
      </c>
      <c r="I1015" s="16"/>
      <c r="J1015" s="8"/>
      <c r="K1015" s="10"/>
      <c r="L1015" s="10"/>
      <c r="M1015" s="10"/>
      <c r="N1015" s="30"/>
      <c r="O1015" s="9">
        <f t="shared" si="277"/>
        <v>0</v>
      </c>
    </row>
    <row r="1016" spans="1:19" x14ac:dyDescent="0.15">
      <c r="A1016" s="50" t="s">
        <v>29</v>
      </c>
      <c r="B1016" s="8">
        <v>1</v>
      </c>
      <c r="C1016" s="10"/>
      <c r="D1016" s="10"/>
      <c r="E1016" s="10"/>
      <c r="F1016" s="30"/>
      <c r="G1016" s="7">
        <f t="shared" si="276"/>
        <v>1</v>
      </c>
      <c r="H1016" s="58">
        <v>46035</v>
      </c>
      <c r="I1016" s="16"/>
      <c r="J1016" s="8"/>
      <c r="K1016" s="10"/>
      <c r="L1016" s="10"/>
      <c r="M1016" s="10"/>
      <c r="N1016" s="30"/>
      <c r="O1016" s="9">
        <f t="shared" si="277"/>
        <v>0</v>
      </c>
    </row>
    <row r="1017" spans="1:19" x14ac:dyDescent="0.15">
      <c r="A1017" s="16" t="s">
        <v>1660</v>
      </c>
      <c r="B1017" s="8">
        <v>5</v>
      </c>
      <c r="C1017" s="10"/>
      <c r="D1017" s="10"/>
      <c r="E1017" s="10"/>
      <c r="F1017" s="30"/>
      <c r="G1017" s="7">
        <f t="shared" si="276"/>
        <v>5</v>
      </c>
      <c r="H1017" s="58">
        <v>46116</v>
      </c>
      <c r="I1017" s="16"/>
      <c r="J1017" s="8"/>
      <c r="K1017" s="10"/>
      <c r="L1017" s="10"/>
      <c r="M1017" s="10"/>
      <c r="N1017" s="30"/>
      <c r="O1017" s="9">
        <f t="shared" si="277"/>
        <v>0</v>
      </c>
    </row>
    <row r="1018" spans="1:19" x14ac:dyDescent="0.15">
      <c r="A1018" s="16"/>
      <c r="B1018" s="8"/>
      <c r="C1018" s="10"/>
      <c r="D1018" s="10"/>
      <c r="E1018" s="10"/>
      <c r="F1018" s="30"/>
      <c r="G1018" s="7">
        <f t="shared" si="276"/>
        <v>0</v>
      </c>
      <c r="H1018" s="58"/>
      <c r="I1018" s="16"/>
      <c r="J1018" s="8"/>
      <c r="K1018" s="10"/>
      <c r="L1018" s="10"/>
      <c r="M1018" s="10"/>
      <c r="N1018" s="30"/>
      <c r="O1018" s="9">
        <f t="shared" si="277"/>
        <v>0</v>
      </c>
    </row>
    <row r="1019" spans="1:19" x14ac:dyDescent="0.15">
      <c r="A1019" s="16"/>
      <c r="B1019" s="8"/>
      <c r="C1019" s="10"/>
      <c r="D1019" s="10"/>
      <c r="E1019" s="10"/>
      <c r="F1019" s="30"/>
      <c r="G1019" s="7">
        <f t="shared" si="276"/>
        <v>0</v>
      </c>
      <c r="H1019" s="58"/>
      <c r="I1019" s="16"/>
      <c r="J1019" s="8"/>
      <c r="K1019" s="10"/>
      <c r="L1019" s="10"/>
      <c r="M1019" s="10"/>
      <c r="N1019" s="30"/>
      <c r="O1019" s="9">
        <f t="shared" si="277"/>
        <v>0</v>
      </c>
    </row>
    <row r="1020" spans="1:19" x14ac:dyDescent="0.15">
      <c r="A1020" s="16"/>
      <c r="B1020" s="8"/>
      <c r="C1020" s="10"/>
      <c r="D1020" s="10"/>
      <c r="E1020" s="10"/>
      <c r="F1020" s="30"/>
      <c r="G1020" s="7">
        <f t="shared" si="276"/>
        <v>0</v>
      </c>
      <c r="H1020" s="58"/>
      <c r="I1020" s="16"/>
      <c r="J1020" s="8"/>
      <c r="K1020" s="10"/>
      <c r="L1020" s="10"/>
      <c r="M1020" s="10"/>
      <c r="N1020" s="30"/>
      <c r="O1020" s="9">
        <f t="shared" si="277"/>
        <v>0</v>
      </c>
    </row>
    <row r="1021" spans="1:19" x14ac:dyDescent="0.15">
      <c r="A1021" s="16"/>
      <c r="B1021" s="8"/>
      <c r="C1021" s="10"/>
      <c r="D1021" s="10"/>
      <c r="E1021" s="10"/>
      <c r="F1021" s="30"/>
      <c r="G1021" s="7">
        <f t="shared" si="276"/>
        <v>0</v>
      </c>
      <c r="H1021" s="58"/>
      <c r="I1021" s="16"/>
      <c r="J1021" s="8"/>
      <c r="K1021" s="10"/>
      <c r="L1021" s="10"/>
      <c r="M1021" s="10"/>
      <c r="N1021" s="30"/>
      <c r="O1021" s="9">
        <f t="shared" si="277"/>
        <v>0</v>
      </c>
    </row>
    <row r="1022" spans="1:19" x14ac:dyDescent="0.15">
      <c r="A1022" s="16"/>
      <c r="B1022" s="8"/>
      <c r="C1022" s="10"/>
      <c r="D1022" s="10"/>
      <c r="E1022" s="10"/>
      <c r="F1022" s="30"/>
      <c r="G1022" s="7">
        <f t="shared" si="276"/>
        <v>0</v>
      </c>
      <c r="H1022" s="58"/>
      <c r="I1022" s="16"/>
      <c r="J1022" s="8"/>
      <c r="K1022" s="10"/>
      <c r="L1022" s="10"/>
      <c r="M1022" s="10"/>
      <c r="N1022" s="30"/>
      <c r="O1022" s="9">
        <f t="shared" si="277"/>
        <v>0</v>
      </c>
    </row>
    <row r="1023" spans="1:19" x14ac:dyDescent="0.15">
      <c r="A1023" s="16"/>
      <c r="B1023" s="8"/>
      <c r="C1023" s="10"/>
      <c r="D1023" s="10"/>
      <c r="E1023" s="10"/>
      <c r="F1023" s="30"/>
      <c r="G1023" s="7">
        <f t="shared" si="276"/>
        <v>0</v>
      </c>
      <c r="H1023" s="58"/>
      <c r="I1023" s="16"/>
      <c r="J1023" s="8"/>
      <c r="K1023" s="10"/>
      <c r="L1023" s="10"/>
      <c r="M1023" s="10"/>
      <c r="N1023" s="30"/>
      <c r="O1023" s="9">
        <f t="shared" si="277"/>
        <v>0</v>
      </c>
    </row>
    <row r="1024" spans="1:19" x14ac:dyDescent="0.15">
      <c r="A1024" s="16"/>
      <c r="B1024" s="8"/>
      <c r="C1024" s="10"/>
      <c r="D1024" s="10"/>
      <c r="E1024" s="10"/>
      <c r="F1024" s="30"/>
      <c r="G1024" s="7">
        <f t="shared" si="276"/>
        <v>0</v>
      </c>
      <c r="H1024" s="58"/>
      <c r="I1024" s="16"/>
      <c r="J1024" s="8"/>
      <c r="K1024" s="10"/>
      <c r="L1024" s="10"/>
      <c r="M1024" s="10"/>
      <c r="N1024" s="30"/>
      <c r="O1024" s="9">
        <f t="shared" si="277"/>
        <v>0</v>
      </c>
    </row>
    <row r="1025" spans="1:15" x14ac:dyDescent="0.15">
      <c r="A1025" s="16"/>
      <c r="B1025" s="8"/>
      <c r="C1025" s="10"/>
      <c r="D1025" s="10"/>
      <c r="E1025" s="10"/>
      <c r="F1025" s="30"/>
      <c r="G1025" s="7">
        <f t="shared" si="276"/>
        <v>0</v>
      </c>
      <c r="H1025" s="58"/>
      <c r="I1025" s="16"/>
      <c r="J1025" s="8"/>
      <c r="K1025" s="10"/>
      <c r="L1025" s="10"/>
      <c r="M1025" s="10"/>
      <c r="N1025" s="30"/>
      <c r="O1025" s="9">
        <f t="shared" si="277"/>
        <v>0</v>
      </c>
    </row>
    <row r="1026" spans="1:15" x14ac:dyDescent="0.15">
      <c r="A1026" s="16"/>
      <c r="B1026" s="8"/>
      <c r="C1026" s="10"/>
      <c r="D1026" s="10"/>
      <c r="E1026" s="10"/>
      <c r="F1026" s="30"/>
      <c r="G1026" s="7">
        <f t="shared" si="276"/>
        <v>0</v>
      </c>
      <c r="H1026" s="58"/>
      <c r="I1026" s="16"/>
      <c r="J1026" s="8"/>
      <c r="K1026" s="10"/>
      <c r="L1026" s="10"/>
      <c r="M1026" s="10"/>
      <c r="N1026" s="30"/>
      <c r="O1026" s="9">
        <f t="shared" si="277"/>
        <v>0</v>
      </c>
    </row>
    <row r="1027" spans="1:15" x14ac:dyDescent="0.15">
      <c r="A1027" s="16"/>
      <c r="B1027" s="8"/>
      <c r="C1027" s="10"/>
      <c r="D1027" s="10"/>
      <c r="E1027" s="10"/>
      <c r="F1027" s="30"/>
      <c r="G1027" s="7">
        <f t="shared" ref="G1027:G1029" si="278">SUM(B1027:F1027)</f>
        <v>0</v>
      </c>
      <c r="H1027" s="58"/>
      <c r="I1027" s="16"/>
      <c r="J1027" s="8"/>
      <c r="K1027" s="10"/>
      <c r="L1027" s="10"/>
      <c r="M1027" s="10"/>
      <c r="N1027" s="30"/>
      <c r="O1027" s="9">
        <f t="shared" ref="O1027:O1029" si="279">SUM(J1027:N1027)</f>
        <v>0</v>
      </c>
    </row>
    <row r="1028" spans="1:15" x14ac:dyDescent="0.15">
      <c r="A1028" s="16"/>
      <c r="B1028" s="8"/>
      <c r="C1028" s="10"/>
      <c r="D1028" s="10"/>
      <c r="E1028" s="10"/>
      <c r="F1028" s="30"/>
      <c r="G1028" s="7">
        <f t="shared" si="278"/>
        <v>0</v>
      </c>
      <c r="H1028" s="58"/>
      <c r="I1028" s="16"/>
      <c r="J1028" s="8"/>
      <c r="K1028" s="10"/>
      <c r="L1028" s="10"/>
      <c r="M1028" s="10"/>
      <c r="N1028" s="30"/>
      <c r="O1028" s="9">
        <f t="shared" si="279"/>
        <v>0</v>
      </c>
    </row>
    <row r="1029" spans="1:15" ht="14.25" thickBot="1" x14ac:dyDescent="0.2">
      <c r="A1029" s="51"/>
      <c r="B1029" s="11"/>
      <c r="C1029" s="12"/>
      <c r="D1029" s="12"/>
      <c r="E1029" s="12"/>
      <c r="F1029" s="31"/>
      <c r="G1029" s="7">
        <f t="shared" si="278"/>
        <v>0</v>
      </c>
      <c r="H1029" s="58"/>
      <c r="I1029" s="14"/>
      <c r="J1029" s="8"/>
      <c r="K1029" s="10"/>
      <c r="L1029" s="10"/>
      <c r="M1029" s="10"/>
      <c r="N1029" s="30"/>
      <c r="O1029" s="9">
        <f t="shared" si="279"/>
        <v>0</v>
      </c>
    </row>
    <row r="1030" spans="1:15" ht="14.25" thickBot="1" x14ac:dyDescent="0.2">
      <c r="A1030" s="3" t="s">
        <v>11</v>
      </c>
      <c r="B1030" s="23">
        <f>SUM(B1004:B1029)</f>
        <v>20</v>
      </c>
      <c r="C1030" s="203">
        <f>SUM(C1004:C1029)</f>
        <v>0</v>
      </c>
      <c r="D1030" s="203">
        <f>SUM(D1004:D1029)</f>
        <v>0</v>
      </c>
      <c r="E1030" s="203">
        <f>SUM(E1004:E1029)</f>
        <v>0</v>
      </c>
      <c r="F1030" s="205">
        <f>SUM(F1004:F1029)</f>
        <v>0</v>
      </c>
      <c r="G1030" s="5">
        <f>SUM(B1030:F1030)</f>
        <v>20</v>
      </c>
      <c r="H1030" s="58"/>
      <c r="I1030" s="3" t="s">
        <v>11</v>
      </c>
      <c r="J1030" s="23">
        <f>SUM(J1004:J1029)</f>
        <v>18</v>
      </c>
      <c r="K1030" s="203">
        <f>SUM(K1004:K1029)</f>
        <v>0</v>
      </c>
      <c r="L1030" s="203">
        <f>SUM(L1004:L1029)</f>
        <v>0</v>
      </c>
      <c r="M1030" s="204">
        <f>SUM(M1004:M1029)</f>
        <v>0</v>
      </c>
      <c r="N1030" s="205">
        <f>SUM(N1004:N1029)</f>
        <v>0</v>
      </c>
      <c r="O1030" s="5">
        <f>SUM(J1030:N1030)</f>
        <v>18</v>
      </c>
    </row>
    <row r="1031" spans="1:15" ht="14.25" thickBot="1" x14ac:dyDescent="0.2">
      <c r="A1031" s="25" t="s">
        <v>12</v>
      </c>
      <c r="B1031" s="63">
        <f>B1003-B1030</f>
        <v>0</v>
      </c>
      <c r="C1031" s="206">
        <f t="shared" ref="C1031:G1031" si="280">C1003-C1030</f>
        <v>0</v>
      </c>
      <c r="D1031" s="206">
        <f t="shared" si="280"/>
        <v>0</v>
      </c>
      <c r="E1031" s="206">
        <f t="shared" si="280"/>
        <v>0</v>
      </c>
      <c r="F1031" s="208">
        <f t="shared" si="280"/>
        <v>0</v>
      </c>
      <c r="G1031" s="27">
        <f t="shared" si="280"/>
        <v>0</v>
      </c>
      <c r="H1031" s="58"/>
      <c r="I1031" s="25" t="s">
        <v>12</v>
      </c>
      <c r="J1031" s="63">
        <f>J1003-J1030</f>
        <v>29</v>
      </c>
      <c r="K1031" s="206">
        <f t="shared" ref="K1031:O1031" si="281">K1003-K1030</f>
        <v>0</v>
      </c>
      <c r="L1031" s="207">
        <f t="shared" si="281"/>
        <v>0</v>
      </c>
      <c r="M1031" s="206">
        <f t="shared" si="281"/>
        <v>0</v>
      </c>
      <c r="N1031" s="208">
        <f t="shared" si="281"/>
        <v>0</v>
      </c>
      <c r="O1031" s="27">
        <f t="shared" si="281"/>
        <v>29</v>
      </c>
    </row>
    <row r="1032" spans="1:15" x14ac:dyDescent="0.15">
      <c r="B1032" t="s">
        <v>1659</v>
      </c>
      <c r="J1032" t="s">
        <v>1659</v>
      </c>
    </row>
  </sheetData>
  <mergeCells count="48">
    <mergeCell ref="B991:G991"/>
    <mergeCell ref="J991:O991"/>
    <mergeCell ref="B819:G819"/>
    <mergeCell ref="J819:O819"/>
    <mergeCell ref="B733:G733"/>
    <mergeCell ref="J733:O733"/>
    <mergeCell ref="B948:G948"/>
    <mergeCell ref="J948:O948"/>
    <mergeCell ref="B905:G905"/>
    <mergeCell ref="J905:O905"/>
    <mergeCell ref="B862:G862"/>
    <mergeCell ref="J862:O862"/>
    <mergeCell ref="B690:G690"/>
    <mergeCell ref="J690:O690"/>
    <mergeCell ref="B776:G776"/>
    <mergeCell ref="J776:O776"/>
    <mergeCell ref="B3:G3"/>
    <mergeCell ref="J3:O3"/>
    <mergeCell ref="B45:G45"/>
    <mergeCell ref="J45:O45"/>
    <mergeCell ref="B88:G88"/>
    <mergeCell ref="J88:O88"/>
    <mergeCell ref="B260:G260"/>
    <mergeCell ref="J260:O260"/>
    <mergeCell ref="J303:O303"/>
    <mergeCell ref="B303:G303"/>
    <mergeCell ref="J346:O346"/>
    <mergeCell ref="B346:G346"/>
    <mergeCell ref="B131:G131"/>
    <mergeCell ref="J131:O131"/>
    <mergeCell ref="B174:G174"/>
    <mergeCell ref="J174:O174"/>
    <mergeCell ref="J217:O217"/>
    <mergeCell ref="B217:G217"/>
    <mergeCell ref="B389:G389"/>
    <mergeCell ref="J389:O389"/>
    <mergeCell ref="B561:G561"/>
    <mergeCell ref="J561:O561"/>
    <mergeCell ref="B647:G647"/>
    <mergeCell ref="J647:O647"/>
    <mergeCell ref="B518:G518"/>
    <mergeCell ref="J518:O518"/>
    <mergeCell ref="B604:G604"/>
    <mergeCell ref="J604:O604"/>
    <mergeCell ref="B475:G475"/>
    <mergeCell ref="J475:O475"/>
    <mergeCell ref="B432:G432"/>
    <mergeCell ref="J432:O432"/>
  </mergeCells>
  <phoneticPr fontId="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R1161"/>
  <sheetViews>
    <sheetView topLeftCell="A1121" zoomScale="90" zoomScaleNormal="90" workbookViewId="0">
      <selection activeCell="B1161" sqref="B1161"/>
    </sheetView>
  </sheetViews>
  <sheetFormatPr defaultRowHeight="13.5" x14ac:dyDescent="0.15"/>
  <cols>
    <col min="1" max="1" width="22.375" customWidth="1"/>
    <col min="8" max="8" width="9.25" bestFit="1" customWidth="1"/>
    <col min="9" max="9" width="22.375" customWidth="1"/>
    <col min="16" max="16" width="9.25" bestFit="1" customWidth="1"/>
  </cols>
  <sheetData>
    <row r="1" spans="1:16" ht="21" x14ac:dyDescent="0.2">
      <c r="A1" s="86" t="s">
        <v>50</v>
      </c>
      <c r="B1" s="87"/>
      <c r="C1" s="87"/>
      <c r="D1" s="87"/>
      <c r="E1" s="87"/>
      <c r="F1" s="87"/>
      <c r="G1" s="87"/>
      <c r="H1" s="1"/>
      <c r="I1" s="86" t="s">
        <v>59</v>
      </c>
      <c r="J1" s="87"/>
      <c r="K1" s="87"/>
      <c r="L1" s="87"/>
      <c r="M1" s="87"/>
      <c r="N1" s="87"/>
      <c r="O1" s="87"/>
      <c r="P1" s="1"/>
    </row>
    <row r="2" spans="1:16" ht="21.75" thickBot="1" x14ac:dyDescent="0.25">
      <c r="A2" s="86" t="s">
        <v>51</v>
      </c>
      <c r="B2" s="87"/>
      <c r="C2" s="87"/>
      <c r="D2" s="87"/>
      <c r="E2" s="85"/>
      <c r="F2" s="88" t="s">
        <v>53</v>
      </c>
      <c r="G2" s="87"/>
      <c r="H2" s="1"/>
      <c r="I2" s="86" t="s">
        <v>51</v>
      </c>
      <c r="J2" s="87"/>
      <c r="K2" s="87"/>
      <c r="L2" s="87"/>
      <c r="M2" s="89"/>
      <c r="N2" s="88" t="s">
        <v>54</v>
      </c>
      <c r="O2" s="87"/>
      <c r="P2" s="1"/>
    </row>
    <row r="3" spans="1:16" ht="14.25" thickBot="1" x14ac:dyDescent="0.2">
      <c r="A3" s="13" t="s">
        <v>0</v>
      </c>
      <c r="B3" s="228" t="s">
        <v>52</v>
      </c>
      <c r="C3" s="229"/>
      <c r="D3" s="229"/>
      <c r="E3" s="229"/>
      <c r="F3" s="230"/>
      <c r="G3" s="231"/>
      <c r="H3" s="1"/>
      <c r="I3" s="13" t="s">
        <v>0</v>
      </c>
      <c r="J3" s="228" t="s">
        <v>49</v>
      </c>
      <c r="K3" s="229"/>
      <c r="L3" s="229"/>
      <c r="M3" s="229"/>
      <c r="N3" s="230"/>
      <c r="O3" s="231"/>
      <c r="P3" s="1"/>
    </row>
    <row r="4" spans="1:16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" t="s">
        <v>2</v>
      </c>
      <c r="H4" s="1"/>
      <c r="I4" s="3" t="s">
        <v>1</v>
      </c>
      <c r="J4" s="41" t="s">
        <v>42</v>
      </c>
      <c r="K4" s="42" t="s">
        <v>43</v>
      </c>
      <c r="L4" s="42" t="s">
        <v>44</v>
      </c>
      <c r="M4" s="43" t="s">
        <v>45</v>
      </c>
      <c r="N4" s="44" t="s">
        <v>46</v>
      </c>
      <c r="O4" s="3" t="s">
        <v>2</v>
      </c>
      <c r="P4" s="1"/>
    </row>
    <row r="5" spans="1:16" x14ac:dyDescent="0.15">
      <c r="A5" s="15" t="s">
        <v>14</v>
      </c>
      <c r="B5" s="17">
        <v>10</v>
      </c>
      <c r="C5" s="22">
        <v>10</v>
      </c>
      <c r="D5" s="22">
        <v>10</v>
      </c>
      <c r="E5" s="22">
        <v>10</v>
      </c>
      <c r="F5" s="103">
        <v>10</v>
      </c>
      <c r="G5" s="18">
        <f t="shared" ref="G5:G16" si="0">SUM(B5:F5)</f>
        <v>50</v>
      </c>
      <c r="H5" s="36">
        <v>42335</v>
      </c>
      <c r="I5" s="15" t="s">
        <v>14</v>
      </c>
      <c r="J5" s="17">
        <v>10</v>
      </c>
      <c r="K5" s="111">
        <v>10</v>
      </c>
      <c r="L5" s="111">
        <v>10</v>
      </c>
      <c r="M5" s="111">
        <v>10</v>
      </c>
      <c r="N5" s="112">
        <v>10</v>
      </c>
      <c r="O5" s="18">
        <f t="shared" ref="O5:O13" si="1">SUM(J5:N5)</f>
        <v>50</v>
      </c>
      <c r="P5" s="36">
        <v>42335</v>
      </c>
    </row>
    <row r="6" spans="1:16" x14ac:dyDescent="0.15">
      <c r="A6" s="15" t="s">
        <v>3</v>
      </c>
      <c r="B6" s="8">
        <v>1</v>
      </c>
      <c r="C6" s="10">
        <v>1</v>
      </c>
      <c r="D6" s="10"/>
      <c r="E6" s="10"/>
      <c r="F6" s="104"/>
      <c r="G6" s="9">
        <f t="shared" si="0"/>
        <v>2</v>
      </c>
      <c r="H6" s="36">
        <v>42360</v>
      </c>
      <c r="I6" s="15" t="s">
        <v>3</v>
      </c>
      <c r="J6" s="8">
        <v>102</v>
      </c>
      <c r="K6" s="45">
        <v>109</v>
      </c>
      <c r="L6" s="45">
        <v>106</v>
      </c>
      <c r="M6" s="45">
        <v>112</v>
      </c>
      <c r="N6" s="46">
        <v>91</v>
      </c>
      <c r="O6" s="9">
        <f t="shared" si="1"/>
        <v>520</v>
      </c>
      <c r="P6" s="36">
        <v>42359</v>
      </c>
    </row>
    <row r="7" spans="1:16" x14ac:dyDescent="0.15">
      <c r="A7" s="15" t="s">
        <v>4</v>
      </c>
      <c r="B7" s="8">
        <v>5</v>
      </c>
      <c r="C7" s="10">
        <v>5</v>
      </c>
      <c r="D7" s="10">
        <v>5</v>
      </c>
      <c r="E7" s="10">
        <v>4</v>
      </c>
      <c r="F7" s="104">
        <v>4</v>
      </c>
      <c r="G7" s="9">
        <f t="shared" si="0"/>
        <v>23</v>
      </c>
      <c r="H7" s="36">
        <v>42360</v>
      </c>
      <c r="I7" s="15" t="s">
        <v>4</v>
      </c>
      <c r="J7" s="8"/>
      <c r="K7" s="45"/>
      <c r="L7" s="45"/>
      <c r="M7" s="45"/>
      <c r="N7" s="46"/>
      <c r="O7" s="9">
        <f t="shared" si="1"/>
        <v>0</v>
      </c>
      <c r="P7" s="36"/>
    </row>
    <row r="8" spans="1:16" x14ac:dyDescent="0.15">
      <c r="A8" s="15" t="s">
        <v>5</v>
      </c>
      <c r="B8" s="8">
        <v>10</v>
      </c>
      <c r="C8" s="10">
        <v>10</v>
      </c>
      <c r="D8" s="10">
        <v>10</v>
      </c>
      <c r="E8" s="10">
        <v>10</v>
      </c>
      <c r="F8" s="104">
        <v>10</v>
      </c>
      <c r="G8" s="9">
        <f t="shared" si="0"/>
        <v>50</v>
      </c>
      <c r="H8" s="36">
        <v>42377</v>
      </c>
      <c r="I8" s="15" t="s">
        <v>5</v>
      </c>
      <c r="J8" s="8"/>
      <c r="K8" s="45"/>
      <c r="L8" s="45"/>
      <c r="M8" s="45"/>
      <c r="N8" s="46"/>
      <c r="O8" s="9">
        <f t="shared" si="1"/>
        <v>0</v>
      </c>
      <c r="P8" s="1"/>
    </row>
    <row r="9" spans="1:16" x14ac:dyDescent="0.15">
      <c r="A9" s="15" t="s">
        <v>6</v>
      </c>
      <c r="B9" s="11">
        <v>10</v>
      </c>
      <c r="C9" s="12"/>
      <c r="D9" s="12">
        <v>10</v>
      </c>
      <c r="E9" s="12">
        <v>10</v>
      </c>
      <c r="F9" s="108"/>
      <c r="G9" s="9">
        <f t="shared" si="0"/>
        <v>30</v>
      </c>
      <c r="H9" s="36">
        <v>42390</v>
      </c>
      <c r="I9" s="15" t="s">
        <v>6</v>
      </c>
      <c r="J9" s="8"/>
      <c r="K9" s="45"/>
      <c r="L9" s="45"/>
      <c r="M9" s="45"/>
      <c r="N9" s="46"/>
      <c r="O9" s="9">
        <f t="shared" si="1"/>
        <v>0</v>
      </c>
      <c r="P9" s="1"/>
    </row>
    <row r="10" spans="1:16" x14ac:dyDescent="0.15">
      <c r="A10" s="15" t="s">
        <v>84</v>
      </c>
      <c r="B10" s="8"/>
      <c r="C10" s="10"/>
      <c r="D10" s="10">
        <v>10</v>
      </c>
      <c r="E10" s="10"/>
      <c r="F10" s="30"/>
      <c r="G10" s="7">
        <f t="shared" si="0"/>
        <v>10</v>
      </c>
      <c r="H10" s="36">
        <v>42397</v>
      </c>
      <c r="I10" s="15" t="s">
        <v>84</v>
      </c>
      <c r="J10" s="8"/>
      <c r="K10" s="45"/>
      <c r="L10" s="45"/>
      <c r="M10" s="45"/>
      <c r="N10" s="46"/>
      <c r="O10" s="7">
        <f t="shared" si="1"/>
        <v>0</v>
      </c>
      <c r="P10" s="1"/>
    </row>
    <row r="11" spans="1:16" x14ac:dyDescent="0.15">
      <c r="A11" s="16" t="s">
        <v>89</v>
      </c>
      <c r="B11" s="8"/>
      <c r="C11" s="10"/>
      <c r="D11" s="10"/>
      <c r="E11" s="10"/>
      <c r="F11" s="30">
        <v>10</v>
      </c>
      <c r="G11" s="7">
        <f t="shared" si="0"/>
        <v>10</v>
      </c>
      <c r="H11" s="36">
        <v>42412</v>
      </c>
      <c r="I11" s="15" t="s">
        <v>85</v>
      </c>
      <c r="J11" s="8"/>
      <c r="K11" s="45"/>
      <c r="L11" s="45"/>
      <c r="M11" s="45"/>
      <c r="N11" s="46"/>
      <c r="O11" s="61">
        <f t="shared" si="1"/>
        <v>0</v>
      </c>
      <c r="P11" s="1"/>
    </row>
    <row r="12" spans="1:16" x14ac:dyDescent="0.15">
      <c r="A12" s="15" t="s">
        <v>86</v>
      </c>
      <c r="B12" s="8">
        <v>10</v>
      </c>
      <c r="C12" s="45">
        <v>25</v>
      </c>
      <c r="D12" s="45">
        <v>20</v>
      </c>
      <c r="E12" s="45">
        <v>10</v>
      </c>
      <c r="F12" s="46">
        <v>5</v>
      </c>
      <c r="G12" s="102">
        <f t="shared" si="0"/>
        <v>70</v>
      </c>
      <c r="H12" s="36">
        <v>42426</v>
      </c>
      <c r="I12" s="15" t="s">
        <v>86</v>
      </c>
      <c r="J12" s="8"/>
      <c r="K12" s="45"/>
      <c r="L12" s="45"/>
      <c r="M12" s="45"/>
      <c r="N12" s="46"/>
      <c r="O12" s="102">
        <f t="shared" si="1"/>
        <v>0</v>
      </c>
      <c r="P12" s="1"/>
    </row>
    <row r="13" spans="1:16" ht="14.25" thickBot="1" x14ac:dyDescent="0.2">
      <c r="A13" s="15" t="s">
        <v>87</v>
      </c>
      <c r="B13" s="11">
        <v>5</v>
      </c>
      <c r="C13" s="100">
        <v>5</v>
      </c>
      <c r="D13" s="100"/>
      <c r="E13" s="100">
        <v>5</v>
      </c>
      <c r="F13" s="109">
        <v>5</v>
      </c>
      <c r="G13" s="40">
        <f t="shared" si="0"/>
        <v>20</v>
      </c>
      <c r="H13" s="36">
        <v>42430</v>
      </c>
      <c r="I13" s="15" t="s">
        <v>87</v>
      </c>
      <c r="J13" s="47"/>
      <c r="K13" s="48"/>
      <c r="L13" s="48"/>
      <c r="M13" s="48"/>
      <c r="N13" s="49"/>
      <c r="O13" s="40">
        <f t="shared" si="1"/>
        <v>0</v>
      </c>
      <c r="P13" s="1"/>
    </row>
    <row r="14" spans="1:16" ht="14.25" thickBot="1" x14ac:dyDescent="0.2">
      <c r="A14" s="72" t="s">
        <v>7</v>
      </c>
      <c r="B14" s="73">
        <f>SUM(B5:B13)</f>
        <v>51</v>
      </c>
      <c r="C14" s="74">
        <f t="shared" ref="C14:G14" si="2">SUM(C5:C13)</f>
        <v>56</v>
      </c>
      <c r="D14" s="74">
        <f t="shared" si="2"/>
        <v>65</v>
      </c>
      <c r="E14" s="74">
        <f t="shared" si="2"/>
        <v>49</v>
      </c>
      <c r="F14" s="105">
        <f t="shared" si="2"/>
        <v>44</v>
      </c>
      <c r="G14" s="76">
        <f t="shared" si="2"/>
        <v>265</v>
      </c>
      <c r="H14" s="1"/>
      <c r="I14" s="72" t="s">
        <v>7</v>
      </c>
      <c r="J14" s="73">
        <f>SUM(J5:J13)</f>
        <v>112</v>
      </c>
      <c r="K14" s="74">
        <f t="shared" ref="K14" si="3">SUM(K5:K13)</f>
        <v>119</v>
      </c>
      <c r="L14" s="74">
        <f t="shared" ref="L14" si="4">SUM(L5:L13)</f>
        <v>116</v>
      </c>
      <c r="M14" s="74">
        <f t="shared" ref="M14" si="5">SUM(M5:M13)</f>
        <v>122</v>
      </c>
      <c r="N14" s="105">
        <f t="shared" ref="N14" si="6">SUM(N5:N13)</f>
        <v>101</v>
      </c>
      <c r="O14" s="76">
        <f t="shared" ref="O14" si="7">SUM(O5:O13)</f>
        <v>570</v>
      </c>
      <c r="P14" s="69"/>
    </row>
    <row r="15" spans="1:16" x14ac:dyDescent="0.15">
      <c r="A15" s="16" t="s">
        <v>62</v>
      </c>
      <c r="B15" s="37">
        <v>10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50</v>
      </c>
      <c r="H15" s="36">
        <v>42338</v>
      </c>
      <c r="I15" s="16" t="s">
        <v>63</v>
      </c>
      <c r="J15" s="17">
        <v>10</v>
      </c>
      <c r="K15" s="22">
        <v>10</v>
      </c>
      <c r="L15" s="22">
        <v>10</v>
      </c>
      <c r="M15" s="22">
        <v>10</v>
      </c>
      <c r="N15" s="29">
        <v>10</v>
      </c>
      <c r="O15" s="18">
        <f t="shared" ref="O15:O16" si="8">SUM(J15:N15)</f>
        <v>50</v>
      </c>
      <c r="P15" s="36">
        <v>42335</v>
      </c>
    </row>
    <row r="16" spans="1:16" x14ac:dyDescent="0.15">
      <c r="A16" s="39" t="s">
        <v>68</v>
      </c>
      <c r="B16" s="8">
        <v>1</v>
      </c>
      <c r="C16" s="10">
        <v>1</v>
      </c>
      <c r="D16" s="10"/>
      <c r="E16" s="10"/>
      <c r="F16" s="30"/>
      <c r="G16" s="7">
        <f t="shared" si="0"/>
        <v>2</v>
      </c>
      <c r="H16" s="36">
        <v>42363</v>
      </c>
      <c r="I16" s="16" t="s">
        <v>37</v>
      </c>
      <c r="J16" s="8">
        <v>1</v>
      </c>
      <c r="K16" s="10">
        <v>1</v>
      </c>
      <c r="L16" s="10"/>
      <c r="M16" s="10"/>
      <c r="N16" s="30"/>
      <c r="O16" s="7">
        <f t="shared" si="8"/>
        <v>2</v>
      </c>
      <c r="P16" s="36">
        <v>42360</v>
      </c>
    </row>
    <row r="17" spans="1:16" x14ac:dyDescent="0.15">
      <c r="A17" s="14" t="s">
        <v>66</v>
      </c>
      <c r="B17" s="8">
        <v>3</v>
      </c>
      <c r="C17" s="10">
        <v>3</v>
      </c>
      <c r="D17" s="10">
        <v>3</v>
      </c>
      <c r="E17" s="10">
        <v>2</v>
      </c>
      <c r="F17" s="30">
        <v>2</v>
      </c>
      <c r="G17" s="7">
        <f t="shared" ref="G17:G40" si="9">SUM(B17:F17)</f>
        <v>13</v>
      </c>
      <c r="H17" s="36">
        <v>42363</v>
      </c>
      <c r="I17" s="16" t="s">
        <v>37</v>
      </c>
      <c r="J17" s="8">
        <v>5</v>
      </c>
      <c r="K17" s="10">
        <v>5</v>
      </c>
      <c r="L17" s="10">
        <v>5</v>
      </c>
      <c r="M17" s="10">
        <v>4</v>
      </c>
      <c r="N17" s="30">
        <v>4</v>
      </c>
      <c r="O17" s="7">
        <f t="shared" ref="O17:O40" si="10">SUM(J17:N17)</f>
        <v>23</v>
      </c>
      <c r="P17" s="36">
        <v>42360</v>
      </c>
    </row>
    <row r="18" spans="1:16" x14ac:dyDescent="0.15">
      <c r="A18" s="14" t="s">
        <v>69</v>
      </c>
      <c r="B18" s="8">
        <v>1</v>
      </c>
      <c r="C18" s="10">
        <v>1</v>
      </c>
      <c r="D18" s="10">
        <v>1</v>
      </c>
      <c r="E18" s="10">
        <v>1</v>
      </c>
      <c r="F18" s="30">
        <v>1</v>
      </c>
      <c r="G18" s="7">
        <f t="shared" si="9"/>
        <v>5</v>
      </c>
      <c r="H18" s="36">
        <v>42363</v>
      </c>
      <c r="I18" s="16" t="s">
        <v>37</v>
      </c>
      <c r="J18" s="8">
        <v>10</v>
      </c>
      <c r="K18" s="10">
        <v>10</v>
      </c>
      <c r="L18" s="10">
        <v>10</v>
      </c>
      <c r="M18" s="10">
        <v>10</v>
      </c>
      <c r="N18" s="30">
        <v>10</v>
      </c>
      <c r="O18" s="7">
        <f t="shared" si="10"/>
        <v>50</v>
      </c>
      <c r="P18" s="36">
        <v>42377</v>
      </c>
    </row>
    <row r="19" spans="1:16" x14ac:dyDescent="0.15">
      <c r="A19" s="14" t="s">
        <v>73</v>
      </c>
      <c r="B19" s="8">
        <v>1</v>
      </c>
      <c r="C19" s="10"/>
      <c r="D19" s="10"/>
      <c r="E19" s="10"/>
      <c r="F19" s="30"/>
      <c r="G19" s="7">
        <f t="shared" si="9"/>
        <v>1</v>
      </c>
      <c r="H19" s="36">
        <v>42383</v>
      </c>
      <c r="I19" s="16" t="s">
        <v>37</v>
      </c>
      <c r="J19" s="8">
        <v>10</v>
      </c>
      <c r="K19" s="10"/>
      <c r="L19" s="10">
        <v>10</v>
      </c>
      <c r="M19" s="10">
        <v>10</v>
      </c>
      <c r="N19" s="30"/>
      <c r="O19" s="7">
        <f t="shared" si="10"/>
        <v>30</v>
      </c>
      <c r="P19" s="36">
        <v>42390</v>
      </c>
    </row>
    <row r="20" spans="1:16" x14ac:dyDescent="0.15">
      <c r="A20" s="16" t="s">
        <v>71</v>
      </c>
      <c r="B20" s="8"/>
      <c r="C20" s="10"/>
      <c r="D20" s="10">
        <v>5</v>
      </c>
      <c r="E20" s="10"/>
      <c r="F20" s="30"/>
      <c r="G20" s="7">
        <f t="shared" si="9"/>
        <v>5</v>
      </c>
      <c r="H20" s="36">
        <v>42388</v>
      </c>
      <c r="I20" s="16" t="s">
        <v>37</v>
      </c>
      <c r="J20" s="8"/>
      <c r="K20" s="10"/>
      <c r="L20" s="10">
        <v>10</v>
      </c>
      <c r="M20" s="10"/>
      <c r="N20" s="30"/>
      <c r="O20" s="7">
        <f t="shared" si="10"/>
        <v>10</v>
      </c>
      <c r="P20" s="36">
        <v>42397</v>
      </c>
    </row>
    <row r="21" spans="1:16" x14ac:dyDescent="0.15">
      <c r="A21" s="16" t="s">
        <v>32</v>
      </c>
      <c r="B21" s="8"/>
      <c r="C21" s="10"/>
      <c r="D21" s="10"/>
      <c r="E21" s="10">
        <v>5</v>
      </c>
      <c r="F21" s="30"/>
      <c r="G21" s="7">
        <f t="shared" si="9"/>
        <v>5</v>
      </c>
      <c r="H21" s="36">
        <v>42390</v>
      </c>
      <c r="I21" s="16" t="s">
        <v>37</v>
      </c>
      <c r="J21" s="8"/>
      <c r="K21" s="10"/>
      <c r="L21" s="10"/>
      <c r="M21" s="10"/>
      <c r="N21" s="30">
        <v>10</v>
      </c>
      <c r="O21" s="7">
        <f t="shared" si="10"/>
        <v>10</v>
      </c>
      <c r="P21" s="36">
        <v>42412</v>
      </c>
    </row>
    <row r="22" spans="1:16" x14ac:dyDescent="0.15">
      <c r="A22" s="16" t="s">
        <v>91</v>
      </c>
      <c r="B22" s="8"/>
      <c r="C22" s="10">
        <v>-1</v>
      </c>
      <c r="D22" s="10">
        <v>-1</v>
      </c>
      <c r="E22" s="10">
        <v>-1</v>
      </c>
      <c r="F22" s="30">
        <v>-1</v>
      </c>
      <c r="G22" s="7">
        <f t="shared" si="9"/>
        <v>-4</v>
      </c>
      <c r="H22" s="36">
        <v>42384</v>
      </c>
      <c r="I22" s="16" t="s">
        <v>37</v>
      </c>
      <c r="J22" s="8">
        <v>10</v>
      </c>
      <c r="K22" s="10">
        <v>25</v>
      </c>
      <c r="L22" s="10">
        <v>20</v>
      </c>
      <c r="M22" s="10">
        <v>10</v>
      </c>
      <c r="N22" s="30">
        <v>5</v>
      </c>
      <c r="O22" s="7">
        <f t="shared" si="10"/>
        <v>70</v>
      </c>
      <c r="P22" s="36">
        <v>42426</v>
      </c>
    </row>
    <row r="23" spans="1:16" x14ac:dyDescent="0.15">
      <c r="A23" s="16" t="s">
        <v>22</v>
      </c>
      <c r="B23" s="8">
        <v>10</v>
      </c>
      <c r="C23" s="10"/>
      <c r="D23" s="10"/>
      <c r="E23" s="10"/>
      <c r="F23" s="30"/>
      <c r="G23" s="7">
        <f t="shared" ref="G23:G31" si="11">SUM(B23:F23)</f>
        <v>10</v>
      </c>
      <c r="H23" s="36">
        <v>42394</v>
      </c>
      <c r="I23" s="16" t="s">
        <v>37</v>
      </c>
      <c r="J23" s="11">
        <v>5</v>
      </c>
      <c r="K23" s="100">
        <v>5</v>
      </c>
      <c r="L23" s="100"/>
      <c r="M23" s="100">
        <v>5</v>
      </c>
      <c r="N23" s="109">
        <v>5</v>
      </c>
      <c r="O23" s="9">
        <f t="shared" si="10"/>
        <v>20</v>
      </c>
      <c r="P23" s="36">
        <v>42430</v>
      </c>
    </row>
    <row r="24" spans="1:16" x14ac:dyDescent="0.15">
      <c r="A24" s="39" t="s">
        <v>23</v>
      </c>
      <c r="B24" s="8">
        <v>-1</v>
      </c>
      <c r="C24" s="10"/>
      <c r="D24" s="10"/>
      <c r="E24" s="10"/>
      <c r="F24" s="30"/>
      <c r="G24" s="7">
        <f t="shared" si="11"/>
        <v>-1</v>
      </c>
      <c r="H24" s="36">
        <v>42388</v>
      </c>
      <c r="I24" s="16"/>
      <c r="J24" s="11"/>
      <c r="K24" s="12"/>
      <c r="L24" s="12"/>
      <c r="M24" s="12"/>
      <c r="N24" s="31"/>
      <c r="O24" s="7">
        <f t="shared" si="10"/>
        <v>0</v>
      </c>
      <c r="P24" s="1"/>
    </row>
    <row r="25" spans="1:16" x14ac:dyDescent="0.15">
      <c r="A25" s="16" t="s">
        <v>74</v>
      </c>
      <c r="B25" s="11">
        <v>-1</v>
      </c>
      <c r="C25" s="12"/>
      <c r="D25" s="12"/>
      <c r="E25" s="12"/>
      <c r="F25" s="31"/>
      <c r="G25" s="7">
        <f t="shared" si="11"/>
        <v>-1</v>
      </c>
      <c r="H25" s="36">
        <v>42390</v>
      </c>
      <c r="I25" s="16"/>
      <c r="J25" s="8"/>
      <c r="K25" s="10"/>
      <c r="L25" s="10"/>
      <c r="M25" s="10"/>
      <c r="N25" s="30"/>
      <c r="O25" s="7">
        <f t="shared" si="10"/>
        <v>0</v>
      </c>
      <c r="P25" s="1"/>
    </row>
    <row r="26" spans="1:16" x14ac:dyDescent="0.15">
      <c r="A26" s="16" t="s">
        <v>32</v>
      </c>
      <c r="B26" s="8"/>
      <c r="C26" s="10">
        <v>3</v>
      </c>
      <c r="D26" s="10"/>
      <c r="E26" s="10"/>
      <c r="F26" s="30"/>
      <c r="G26" s="7">
        <f t="shared" si="11"/>
        <v>3</v>
      </c>
      <c r="H26" s="36">
        <v>42396</v>
      </c>
      <c r="I26" s="14"/>
      <c r="J26" s="8"/>
      <c r="K26" s="10"/>
      <c r="L26" s="10"/>
      <c r="M26" s="10"/>
      <c r="N26" s="30"/>
      <c r="O26" s="7">
        <f t="shared" si="10"/>
        <v>0</v>
      </c>
      <c r="P26" s="1"/>
    </row>
    <row r="27" spans="1:16" x14ac:dyDescent="0.15">
      <c r="A27" s="16" t="s">
        <v>22</v>
      </c>
      <c r="B27" s="8"/>
      <c r="C27" s="10"/>
      <c r="D27" s="10">
        <v>10</v>
      </c>
      <c r="E27" s="10"/>
      <c r="F27" s="30"/>
      <c r="G27" s="7">
        <f t="shared" si="11"/>
        <v>10</v>
      </c>
      <c r="H27" s="36">
        <v>42401</v>
      </c>
      <c r="I27" s="16"/>
      <c r="J27" s="8"/>
      <c r="K27" s="10"/>
      <c r="L27" s="10"/>
      <c r="M27" s="10"/>
      <c r="N27" s="30"/>
      <c r="O27" s="7">
        <f t="shared" si="10"/>
        <v>0</v>
      </c>
      <c r="P27" s="1"/>
    </row>
    <row r="28" spans="1:16" x14ac:dyDescent="0.15">
      <c r="A28" s="16" t="s">
        <v>22</v>
      </c>
      <c r="B28" s="8"/>
      <c r="C28" s="10"/>
      <c r="D28" s="10"/>
      <c r="E28" s="10"/>
      <c r="F28" s="30">
        <v>10</v>
      </c>
      <c r="G28" s="7">
        <f t="shared" si="11"/>
        <v>10</v>
      </c>
      <c r="H28" s="36">
        <v>42415</v>
      </c>
      <c r="I28" s="16"/>
      <c r="J28" s="8"/>
      <c r="K28" s="10"/>
      <c r="L28" s="10"/>
      <c r="M28" s="10"/>
      <c r="N28" s="30"/>
      <c r="O28" s="7">
        <f t="shared" si="10"/>
        <v>0</v>
      </c>
      <c r="P28" s="1"/>
    </row>
    <row r="29" spans="1:16" x14ac:dyDescent="0.15">
      <c r="A29" s="16" t="s">
        <v>22</v>
      </c>
      <c r="B29" s="8"/>
      <c r="C29" s="10"/>
      <c r="D29" s="10">
        <v>10</v>
      </c>
      <c r="E29" s="10">
        <v>10</v>
      </c>
      <c r="F29" s="30"/>
      <c r="G29" s="7">
        <f t="shared" si="11"/>
        <v>20</v>
      </c>
      <c r="H29" s="36">
        <v>42422</v>
      </c>
      <c r="I29" s="16"/>
      <c r="J29" s="8"/>
      <c r="K29" s="10"/>
      <c r="L29" s="10"/>
      <c r="M29" s="10"/>
      <c r="N29" s="30"/>
      <c r="O29" s="7">
        <f t="shared" si="10"/>
        <v>0</v>
      </c>
      <c r="P29" s="1"/>
    </row>
    <row r="30" spans="1:16" x14ac:dyDescent="0.15">
      <c r="A30" s="16" t="s">
        <v>32</v>
      </c>
      <c r="B30" s="8"/>
      <c r="C30" s="10">
        <v>2</v>
      </c>
      <c r="D30" s="10"/>
      <c r="E30" s="10"/>
      <c r="F30" s="30"/>
      <c r="G30" s="7">
        <f t="shared" si="11"/>
        <v>2</v>
      </c>
      <c r="H30" s="36">
        <v>42418</v>
      </c>
      <c r="I30" s="16"/>
      <c r="J30" s="8"/>
      <c r="K30" s="10"/>
      <c r="L30" s="10"/>
      <c r="M30" s="10"/>
      <c r="N30" s="30"/>
      <c r="O30" s="7">
        <f t="shared" si="10"/>
        <v>0</v>
      </c>
      <c r="P30" s="1"/>
    </row>
    <row r="31" spans="1:16" x14ac:dyDescent="0.15">
      <c r="A31" s="16" t="s">
        <v>90</v>
      </c>
      <c r="B31" s="8">
        <v>1</v>
      </c>
      <c r="C31" s="10"/>
      <c r="D31" s="10"/>
      <c r="E31" s="10"/>
      <c r="F31" s="30"/>
      <c r="G31" s="7">
        <f t="shared" si="11"/>
        <v>1</v>
      </c>
      <c r="H31" s="36">
        <v>42418</v>
      </c>
      <c r="I31" s="14"/>
      <c r="J31" s="8"/>
      <c r="K31" s="10"/>
      <c r="L31" s="10"/>
      <c r="M31" s="10"/>
      <c r="N31" s="30"/>
      <c r="O31" s="7">
        <f t="shared" si="10"/>
        <v>0</v>
      </c>
      <c r="P31" s="1"/>
    </row>
    <row r="32" spans="1:16" x14ac:dyDescent="0.15">
      <c r="A32" s="16" t="s">
        <v>93</v>
      </c>
      <c r="B32" s="8">
        <v>1</v>
      </c>
      <c r="C32" s="10"/>
      <c r="D32" s="10"/>
      <c r="E32" s="10"/>
      <c r="F32" s="30"/>
      <c r="G32" s="7">
        <f t="shared" si="9"/>
        <v>1</v>
      </c>
      <c r="H32" s="36">
        <v>42422</v>
      </c>
      <c r="I32" s="16"/>
      <c r="J32" s="8"/>
      <c r="K32" s="10"/>
      <c r="L32" s="10"/>
      <c r="M32" s="10"/>
      <c r="N32" s="30"/>
      <c r="O32" s="7">
        <f t="shared" si="10"/>
        <v>0</v>
      </c>
      <c r="P32" s="1"/>
    </row>
    <row r="33" spans="1:16" x14ac:dyDescent="0.15">
      <c r="A33" s="16" t="s">
        <v>22</v>
      </c>
      <c r="B33" s="8"/>
      <c r="C33" s="10">
        <v>10</v>
      </c>
      <c r="D33" s="10"/>
      <c r="E33" s="10"/>
      <c r="F33" s="30"/>
      <c r="G33" s="7">
        <f t="shared" si="9"/>
        <v>10</v>
      </c>
      <c r="H33" s="36">
        <v>42430</v>
      </c>
      <c r="I33" s="16"/>
      <c r="J33" s="8"/>
      <c r="K33" s="10"/>
      <c r="L33" s="10"/>
      <c r="M33" s="10"/>
      <c r="N33" s="30"/>
      <c r="O33" s="7">
        <f t="shared" si="10"/>
        <v>0</v>
      </c>
      <c r="P33" s="1"/>
    </row>
    <row r="34" spans="1:16" x14ac:dyDescent="0.15">
      <c r="A34" s="16" t="s">
        <v>95</v>
      </c>
      <c r="B34" s="8"/>
      <c r="C34" s="10"/>
      <c r="D34" s="10"/>
      <c r="E34" s="10"/>
      <c r="F34" s="30">
        <v>1</v>
      </c>
      <c r="G34" s="7">
        <f t="shared" si="9"/>
        <v>1</v>
      </c>
      <c r="H34" s="36">
        <v>42427</v>
      </c>
      <c r="I34" s="16"/>
      <c r="J34" s="8"/>
      <c r="K34" s="10"/>
      <c r="L34" s="10"/>
      <c r="M34" s="10"/>
      <c r="N34" s="30"/>
      <c r="O34" s="7">
        <f t="shared" si="10"/>
        <v>0</v>
      </c>
      <c r="P34" s="1"/>
    </row>
    <row r="35" spans="1:16" x14ac:dyDescent="0.15">
      <c r="A35" s="16" t="s">
        <v>31</v>
      </c>
      <c r="B35" s="8">
        <v>1</v>
      </c>
      <c r="C35" s="10"/>
      <c r="D35" s="10"/>
      <c r="E35" s="10"/>
      <c r="F35" s="30"/>
      <c r="G35" s="7">
        <f t="shared" si="9"/>
        <v>1</v>
      </c>
      <c r="H35" s="36">
        <v>42432</v>
      </c>
      <c r="I35" s="14"/>
      <c r="J35" s="8"/>
      <c r="K35" s="10"/>
      <c r="L35" s="10"/>
      <c r="M35" s="10"/>
      <c r="N35" s="30"/>
      <c r="O35" s="7">
        <f t="shared" si="10"/>
        <v>0</v>
      </c>
      <c r="P35" s="1"/>
    </row>
    <row r="36" spans="1:16" x14ac:dyDescent="0.15">
      <c r="A36" s="16" t="s">
        <v>98</v>
      </c>
      <c r="B36" s="8"/>
      <c r="C36" s="10">
        <v>1</v>
      </c>
      <c r="D36" s="10"/>
      <c r="E36" s="10"/>
      <c r="F36" s="59"/>
      <c r="G36" s="7">
        <f t="shared" si="9"/>
        <v>1</v>
      </c>
      <c r="H36" s="36">
        <v>42426</v>
      </c>
      <c r="I36" s="16"/>
      <c r="J36" s="11"/>
      <c r="K36" s="12"/>
      <c r="L36" s="12"/>
      <c r="M36" s="12"/>
      <c r="N36" s="31"/>
      <c r="O36" s="7">
        <f t="shared" si="10"/>
        <v>0</v>
      </c>
      <c r="P36" s="1"/>
    </row>
    <row r="37" spans="1:16" x14ac:dyDescent="0.15">
      <c r="A37" s="16" t="s">
        <v>78</v>
      </c>
      <c r="B37" s="37">
        <v>10</v>
      </c>
      <c r="C37" s="35">
        <v>15</v>
      </c>
      <c r="D37" s="35">
        <v>15</v>
      </c>
      <c r="E37" s="35">
        <v>10</v>
      </c>
      <c r="F37" s="28">
        <v>10</v>
      </c>
      <c r="G37" s="7">
        <f t="shared" ref="G37" si="12">SUM(B37:F37)</f>
        <v>60</v>
      </c>
      <c r="H37" s="36">
        <v>42431</v>
      </c>
      <c r="I37" s="14"/>
      <c r="J37" s="8"/>
      <c r="K37" s="10"/>
      <c r="L37" s="10"/>
      <c r="M37" s="10"/>
      <c r="N37" s="30"/>
      <c r="O37" s="7">
        <f t="shared" si="10"/>
        <v>0</v>
      </c>
      <c r="P37" s="1"/>
    </row>
    <row r="38" spans="1:16" x14ac:dyDescent="0.15">
      <c r="A38" s="16" t="s">
        <v>31</v>
      </c>
      <c r="B38" s="8">
        <v>1</v>
      </c>
      <c r="C38" s="10">
        <v>3</v>
      </c>
      <c r="D38" s="10"/>
      <c r="E38" s="10"/>
      <c r="F38" s="30">
        <v>2</v>
      </c>
      <c r="G38" s="7">
        <f t="shared" si="9"/>
        <v>6</v>
      </c>
      <c r="H38" s="36">
        <v>42433</v>
      </c>
      <c r="I38" s="14"/>
      <c r="J38" s="8"/>
      <c r="K38" s="10"/>
      <c r="L38" s="10"/>
      <c r="M38" s="10"/>
      <c r="N38" s="30"/>
      <c r="O38" s="7">
        <f t="shared" si="10"/>
        <v>0</v>
      </c>
      <c r="P38" s="36"/>
    </row>
    <row r="39" spans="1:16" x14ac:dyDescent="0.15">
      <c r="A39" s="16"/>
      <c r="B39" s="8"/>
      <c r="C39" s="10"/>
      <c r="D39" s="10"/>
      <c r="E39" s="10"/>
      <c r="F39" s="30"/>
      <c r="G39" s="9">
        <f t="shared" si="9"/>
        <v>0</v>
      </c>
      <c r="H39" s="36"/>
      <c r="I39" s="14"/>
      <c r="J39" s="8"/>
      <c r="K39" s="10"/>
      <c r="L39" s="10"/>
      <c r="M39" s="10"/>
      <c r="N39" s="30"/>
      <c r="O39" s="7">
        <f t="shared" si="10"/>
        <v>0</v>
      </c>
      <c r="P39" s="36"/>
    </row>
    <row r="40" spans="1:16" ht="14.25" thickBot="1" x14ac:dyDescent="0.2">
      <c r="A40" s="16"/>
      <c r="B40" s="37"/>
      <c r="C40" s="35"/>
      <c r="D40" s="35"/>
      <c r="E40" s="35"/>
      <c r="F40" s="28"/>
      <c r="G40" s="7">
        <f t="shared" si="9"/>
        <v>0</v>
      </c>
      <c r="H40" s="36"/>
      <c r="I40" s="20"/>
      <c r="J40" s="11"/>
      <c r="K40" s="12"/>
      <c r="L40" s="12"/>
      <c r="M40" s="12"/>
      <c r="N40" s="31"/>
      <c r="O40" s="7">
        <f t="shared" si="10"/>
        <v>0</v>
      </c>
      <c r="P40" s="36"/>
    </row>
    <row r="41" spans="1:16" ht="14.25" thickBot="1" x14ac:dyDescent="0.2">
      <c r="A41" s="3" t="s">
        <v>11</v>
      </c>
      <c r="B41" s="23">
        <f>SUM(B15:B40)</f>
        <v>38</v>
      </c>
      <c r="C41" s="4">
        <f>SUM(C15:C40)</f>
        <v>48</v>
      </c>
      <c r="D41" s="4">
        <f>SUM(D15:D40)</f>
        <v>53</v>
      </c>
      <c r="E41" s="6">
        <f>SUM(E15:E40)</f>
        <v>37</v>
      </c>
      <c r="F41" s="32">
        <f>SUM(F15:F40)</f>
        <v>35</v>
      </c>
      <c r="G41" s="5">
        <f>SUM(B41:F41)</f>
        <v>211</v>
      </c>
      <c r="H41" s="1"/>
      <c r="I41" s="3" t="s">
        <v>11</v>
      </c>
      <c r="J41" s="23">
        <f>SUM(J15:J40)</f>
        <v>51</v>
      </c>
      <c r="K41" s="4">
        <f>SUM(K15:K40)</f>
        <v>56</v>
      </c>
      <c r="L41" s="4">
        <f>SUM(L15:L40)</f>
        <v>65</v>
      </c>
      <c r="M41" s="6">
        <f>SUM(M15:M40)</f>
        <v>49</v>
      </c>
      <c r="N41" s="32">
        <f>SUM(N15:N40)</f>
        <v>44</v>
      </c>
      <c r="O41" s="5">
        <f>SUM(J41:N41)</f>
        <v>265</v>
      </c>
      <c r="P41" s="1"/>
    </row>
    <row r="42" spans="1:16" ht="14.25" thickBot="1" x14ac:dyDescent="0.2">
      <c r="A42" s="25" t="s">
        <v>12</v>
      </c>
      <c r="B42" s="63">
        <f>B14-B41</f>
        <v>13</v>
      </c>
      <c r="C42" s="26">
        <f t="shared" ref="C42:G42" si="13">C14-C41</f>
        <v>8</v>
      </c>
      <c r="D42" s="71">
        <f t="shared" si="13"/>
        <v>12</v>
      </c>
      <c r="E42" s="26">
        <f t="shared" si="13"/>
        <v>12</v>
      </c>
      <c r="F42" s="70">
        <f t="shared" si="13"/>
        <v>9</v>
      </c>
      <c r="G42" s="27">
        <f t="shared" si="13"/>
        <v>54</v>
      </c>
      <c r="H42" s="1"/>
      <c r="I42" s="25" t="s">
        <v>12</v>
      </c>
      <c r="J42" s="63">
        <f>J14-J41</f>
        <v>61</v>
      </c>
      <c r="K42" s="26">
        <f t="shared" ref="K42:O42" si="14">K14-K41</f>
        <v>63</v>
      </c>
      <c r="L42" s="71">
        <f t="shared" si="14"/>
        <v>51</v>
      </c>
      <c r="M42" s="26">
        <f t="shared" si="14"/>
        <v>73</v>
      </c>
      <c r="N42" s="70">
        <f t="shared" si="14"/>
        <v>57</v>
      </c>
      <c r="O42" s="27">
        <f t="shared" si="14"/>
        <v>305</v>
      </c>
      <c r="P42" s="1"/>
    </row>
    <row r="43" spans="1:16" ht="21" x14ac:dyDescent="0.2">
      <c r="A43" s="86" t="s">
        <v>50</v>
      </c>
      <c r="B43" s="87"/>
      <c r="C43" s="87"/>
      <c r="D43" s="87"/>
      <c r="E43" s="87"/>
      <c r="F43" s="87"/>
      <c r="G43" s="87"/>
      <c r="H43" s="1"/>
      <c r="I43" s="86" t="s">
        <v>50</v>
      </c>
      <c r="J43" s="87"/>
      <c r="K43" s="87"/>
      <c r="L43" s="87"/>
      <c r="M43" s="87"/>
      <c r="N43" s="87"/>
      <c r="O43" s="87"/>
      <c r="P43" s="1"/>
    </row>
    <row r="44" spans="1:16" ht="21.75" thickBot="1" x14ac:dyDescent="0.25">
      <c r="A44" s="86" t="s">
        <v>51</v>
      </c>
      <c r="B44" s="87"/>
      <c r="C44" s="87"/>
      <c r="D44" s="87"/>
      <c r="E44" s="85"/>
      <c r="F44" s="88" t="s">
        <v>53</v>
      </c>
      <c r="G44" s="87"/>
      <c r="H44" s="1"/>
      <c r="I44" s="86" t="s">
        <v>51</v>
      </c>
      <c r="J44" s="87"/>
      <c r="K44" s="87"/>
      <c r="L44" s="87"/>
      <c r="M44" s="89"/>
      <c r="N44" s="88" t="s">
        <v>54</v>
      </c>
      <c r="O44" s="87"/>
      <c r="P44" s="1"/>
    </row>
    <row r="45" spans="1:16" ht="14.25" thickBot="1" x14ac:dyDescent="0.2">
      <c r="A45" s="13" t="s">
        <v>0</v>
      </c>
      <c r="B45" s="228" t="s">
        <v>52</v>
      </c>
      <c r="C45" s="229"/>
      <c r="D45" s="229"/>
      <c r="E45" s="229"/>
      <c r="F45" s="230"/>
      <c r="G45" s="231"/>
      <c r="H45" s="1"/>
      <c r="I45" s="13" t="s">
        <v>0</v>
      </c>
      <c r="J45" s="228" t="s">
        <v>49</v>
      </c>
      <c r="K45" s="229"/>
      <c r="L45" s="229"/>
      <c r="M45" s="229"/>
      <c r="N45" s="230"/>
      <c r="O45" s="231"/>
      <c r="P45" s="1"/>
    </row>
    <row r="46" spans="1:16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" t="s">
        <v>2</v>
      </c>
      <c r="H46" s="1"/>
      <c r="I46" s="3" t="s">
        <v>1</v>
      </c>
      <c r="J46" s="2" t="s">
        <v>42</v>
      </c>
      <c r="K46" s="21" t="s">
        <v>43</v>
      </c>
      <c r="L46" s="21" t="s">
        <v>44</v>
      </c>
      <c r="M46" s="24" t="s">
        <v>45</v>
      </c>
      <c r="N46" s="33" t="s">
        <v>46</v>
      </c>
      <c r="O46" s="3" t="s">
        <v>2</v>
      </c>
      <c r="P46" s="1"/>
    </row>
    <row r="47" spans="1:16" ht="14.25" thickBot="1" x14ac:dyDescent="0.2">
      <c r="A47" s="72" t="s">
        <v>79</v>
      </c>
      <c r="B47" s="73">
        <f>B42</f>
        <v>13</v>
      </c>
      <c r="C47" s="74">
        <f t="shared" ref="C47:F47" si="15">C42</f>
        <v>8</v>
      </c>
      <c r="D47" s="107">
        <f t="shared" si="15"/>
        <v>12</v>
      </c>
      <c r="E47" s="75">
        <f t="shared" si="15"/>
        <v>12</v>
      </c>
      <c r="F47" s="75">
        <f t="shared" si="15"/>
        <v>9</v>
      </c>
      <c r="G47" s="76">
        <f t="shared" ref="G47:G56" si="16">SUM(B47:F47)</f>
        <v>54</v>
      </c>
      <c r="H47" s="90"/>
      <c r="I47" s="96" t="s">
        <v>79</v>
      </c>
      <c r="J47" s="95">
        <f>J42</f>
        <v>61</v>
      </c>
      <c r="K47" s="97">
        <f t="shared" ref="K47:N47" si="17">K42</f>
        <v>63</v>
      </c>
      <c r="L47" s="55">
        <f t="shared" si="17"/>
        <v>51</v>
      </c>
      <c r="M47" s="98">
        <f t="shared" si="17"/>
        <v>73</v>
      </c>
      <c r="N47" s="98">
        <f t="shared" si="17"/>
        <v>57</v>
      </c>
      <c r="O47" s="52">
        <f t="shared" ref="O47:O56" si="18">SUM(J47:N47)</f>
        <v>305</v>
      </c>
      <c r="P47" s="90"/>
    </row>
    <row r="48" spans="1:16" x14ac:dyDescent="0.15">
      <c r="A48" s="38" t="s">
        <v>100</v>
      </c>
      <c r="B48" s="37"/>
      <c r="C48" s="35">
        <v>1</v>
      </c>
      <c r="D48" s="35"/>
      <c r="E48" s="35"/>
      <c r="F48" s="28"/>
      <c r="G48" s="7">
        <f t="shared" si="16"/>
        <v>1</v>
      </c>
      <c r="H48" s="36">
        <v>42430</v>
      </c>
      <c r="I48" s="15" t="s">
        <v>15</v>
      </c>
      <c r="J48" s="8">
        <v>8</v>
      </c>
      <c r="K48" s="10">
        <v>2</v>
      </c>
      <c r="L48" s="10">
        <v>15</v>
      </c>
      <c r="M48" s="10">
        <v>9</v>
      </c>
      <c r="N48" s="28">
        <v>0</v>
      </c>
      <c r="O48" s="9">
        <f t="shared" si="18"/>
        <v>34</v>
      </c>
      <c r="P48" s="36">
        <v>42432</v>
      </c>
    </row>
    <row r="49" spans="1:16" x14ac:dyDescent="0.15">
      <c r="A49" s="15" t="s">
        <v>16</v>
      </c>
      <c r="B49" s="8"/>
      <c r="C49" s="10">
        <v>5</v>
      </c>
      <c r="D49" s="10"/>
      <c r="E49" s="10"/>
      <c r="F49" s="28">
        <v>10</v>
      </c>
      <c r="G49" s="9">
        <f t="shared" si="16"/>
        <v>15</v>
      </c>
      <c r="H49" s="36">
        <v>42432</v>
      </c>
      <c r="I49" s="15" t="s">
        <v>16</v>
      </c>
      <c r="J49" s="8"/>
      <c r="K49" s="10"/>
      <c r="L49" s="10"/>
      <c r="M49" s="10"/>
      <c r="N49" s="28"/>
      <c r="O49" s="9">
        <f t="shared" si="18"/>
        <v>0</v>
      </c>
      <c r="P49" s="36"/>
    </row>
    <row r="50" spans="1:16" x14ac:dyDescent="0.15">
      <c r="A50" s="15" t="s">
        <v>19</v>
      </c>
      <c r="B50" s="8"/>
      <c r="C50" s="10">
        <v>1</v>
      </c>
      <c r="D50" s="10"/>
      <c r="E50" s="10">
        <v>1</v>
      </c>
      <c r="F50" s="28"/>
      <c r="G50" s="9">
        <f t="shared" si="16"/>
        <v>2</v>
      </c>
      <c r="H50" s="36">
        <v>42436</v>
      </c>
      <c r="I50" s="15" t="s">
        <v>4</v>
      </c>
      <c r="J50" s="8"/>
      <c r="K50" s="45"/>
      <c r="L50" s="45"/>
      <c r="M50" s="45"/>
      <c r="N50" s="46"/>
      <c r="O50" s="9">
        <f t="shared" si="18"/>
        <v>0</v>
      </c>
      <c r="P50" s="1"/>
    </row>
    <row r="51" spans="1:16" x14ac:dyDescent="0.15">
      <c r="A51" s="15" t="s">
        <v>20</v>
      </c>
      <c r="B51" s="8"/>
      <c r="C51" s="10"/>
      <c r="D51" s="10">
        <v>5</v>
      </c>
      <c r="E51" s="10"/>
      <c r="F51" s="28"/>
      <c r="G51" s="9">
        <f t="shared" si="16"/>
        <v>5</v>
      </c>
      <c r="H51" s="36">
        <v>42444</v>
      </c>
      <c r="I51" s="15" t="s">
        <v>5</v>
      </c>
      <c r="J51" s="8"/>
      <c r="K51" s="45"/>
      <c r="L51" s="45"/>
      <c r="M51" s="45"/>
      <c r="N51" s="46"/>
      <c r="O51" s="9">
        <f t="shared" si="18"/>
        <v>0</v>
      </c>
      <c r="P51" s="1"/>
    </row>
    <row r="52" spans="1:16" x14ac:dyDescent="0.15">
      <c r="A52" s="15" t="s">
        <v>80</v>
      </c>
      <c r="B52" s="8">
        <v>10</v>
      </c>
      <c r="C52" s="10"/>
      <c r="D52" s="10">
        <v>5</v>
      </c>
      <c r="E52" s="10">
        <v>5</v>
      </c>
      <c r="F52" s="28">
        <v>10</v>
      </c>
      <c r="G52" s="9">
        <f t="shared" si="16"/>
        <v>30</v>
      </c>
      <c r="H52" s="36">
        <v>42455</v>
      </c>
      <c r="I52" s="15" t="s">
        <v>6</v>
      </c>
      <c r="J52" s="8"/>
      <c r="K52" s="45"/>
      <c r="L52" s="45"/>
      <c r="M52" s="45"/>
      <c r="N52" s="46"/>
      <c r="O52" s="9">
        <f t="shared" si="18"/>
        <v>0</v>
      </c>
      <c r="P52" s="1"/>
    </row>
    <row r="53" spans="1:16" x14ac:dyDescent="0.15">
      <c r="A53" s="15" t="s">
        <v>19</v>
      </c>
      <c r="B53" s="8"/>
      <c r="C53" s="10"/>
      <c r="D53" s="10"/>
      <c r="E53" s="10"/>
      <c r="F53" s="28">
        <v>1</v>
      </c>
      <c r="G53" s="9">
        <f t="shared" si="16"/>
        <v>1</v>
      </c>
      <c r="H53" s="36">
        <v>42458</v>
      </c>
      <c r="I53" s="15" t="s">
        <v>84</v>
      </c>
      <c r="J53" s="8"/>
      <c r="K53" s="45"/>
      <c r="L53" s="45"/>
      <c r="M53" s="45"/>
      <c r="N53" s="46"/>
      <c r="O53" s="7">
        <f t="shared" si="18"/>
        <v>0</v>
      </c>
      <c r="P53" s="1"/>
    </row>
    <row r="54" spans="1:16" x14ac:dyDescent="0.15">
      <c r="A54" s="15" t="s">
        <v>19</v>
      </c>
      <c r="B54" s="8">
        <v>1</v>
      </c>
      <c r="C54" s="10"/>
      <c r="D54" s="10"/>
      <c r="E54" s="10"/>
      <c r="F54" s="28"/>
      <c r="G54" s="9">
        <f t="shared" si="16"/>
        <v>1</v>
      </c>
      <c r="H54" s="36">
        <v>42460</v>
      </c>
      <c r="I54" s="15" t="s">
        <v>85</v>
      </c>
      <c r="J54" s="8"/>
      <c r="K54" s="45"/>
      <c r="L54" s="45"/>
      <c r="M54" s="45"/>
      <c r="N54" s="46"/>
      <c r="O54" s="7">
        <f t="shared" si="18"/>
        <v>0</v>
      </c>
      <c r="P54" s="1"/>
    </row>
    <row r="55" spans="1:16" ht="14.25" thickBot="1" x14ac:dyDescent="0.2">
      <c r="A55" s="15" t="s">
        <v>86</v>
      </c>
      <c r="B55" s="11">
        <v>10</v>
      </c>
      <c r="C55" s="100">
        <v>10</v>
      </c>
      <c r="D55" s="100">
        <v>5</v>
      </c>
      <c r="E55" s="100">
        <v>5</v>
      </c>
      <c r="F55" s="109">
        <v>5</v>
      </c>
      <c r="G55" s="40">
        <f t="shared" ref="G55" si="19">SUM(B55:F55)</f>
        <v>35</v>
      </c>
      <c r="H55" s="36">
        <v>42471</v>
      </c>
      <c r="I55" s="15" t="s">
        <v>86</v>
      </c>
      <c r="J55" s="8"/>
      <c r="K55" s="45"/>
      <c r="L55" s="45"/>
      <c r="M55" s="45"/>
      <c r="N55" s="46"/>
      <c r="O55" s="102">
        <f t="shared" si="18"/>
        <v>0</v>
      </c>
      <c r="P55" s="1"/>
    </row>
    <row r="56" spans="1:16" ht="14.25" thickBot="1" x14ac:dyDescent="0.2">
      <c r="A56" s="15" t="s">
        <v>111</v>
      </c>
      <c r="B56" s="11">
        <v>1</v>
      </c>
      <c r="C56" s="100"/>
      <c r="D56" s="100"/>
      <c r="E56" s="100"/>
      <c r="F56" s="109"/>
      <c r="G56" s="40">
        <f t="shared" si="16"/>
        <v>1</v>
      </c>
      <c r="H56" s="36">
        <v>42483</v>
      </c>
      <c r="I56" s="15" t="s">
        <v>87</v>
      </c>
      <c r="J56" s="11"/>
      <c r="K56" s="100"/>
      <c r="L56" s="100"/>
      <c r="M56" s="100"/>
      <c r="N56" s="109"/>
      <c r="O56" s="40">
        <f t="shared" si="18"/>
        <v>0</v>
      </c>
      <c r="P56" s="1"/>
    </row>
    <row r="57" spans="1:16" ht="14.25" thickBot="1" x14ac:dyDescent="0.2">
      <c r="A57" s="72" t="s">
        <v>7</v>
      </c>
      <c r="B57" s="73">
        <f>SUM(B47:B56)</f>
        <v>35</v>
      </c>
      <c r="C57" s="74">
        <f t="shared" ref="C57:G57" si="20">SUM(C47:C56)</f>
        <v>25</v>
      </c>
      <c r="D57" s="74">
        <f t="shared" si="20"/>
        <v>27</v>
      </c>
      <c r="E57" s="74">
        <f t="shared" si="20"/>
        <v>23</v>
      </c>
      <c r="F57" s="105">
        <f t="shared" si="20"/>
        <v>35</v>
      </c>
      <c r="G57" s="76">
        <f t="shared" si="20"/>
        <v>145</v>
      </c>
      <c r="H57" s="1"/>
      <c r="I57" s="72" t="s">
        <v>7</v>
      </c>
      <c r="J57" s="73">
        <f>SUM(J47:J56)</f>
        <v>69</v>
      </c>
      <c r="K57" s="74">
        <f t="shared" ref="K57:O57" si="21">SUM(K47:K56)</f>
        <v>65</v>
      </c>
      <c r="L57" s="74">
        <f t="shared" si="21"/>
        <v>66</v>
      </c>
      <c r="M57" s="74">
        <f t="shared" si="21"/>
        <v>82</v>
      </c>
      <c r="N57" s="105">
        <f t="shared" si="21"/>
        <v>57</v>
      </c>
      <c r="O57" s="76">
        <f t="shared" si="21"/>
        <v>339</v>
      </c>
      <c r="P57" s="69"/>
    </row>
    <row r="58" spans="1:16" x14ac:dyDescent="0.15">
      <c r="A58" s="16" t="s">
        <v>22</v>
      </c>
      <c r="B58" s="8"/>
      <c r="C58" s="10"/>
      <c r="D58" s="10"/>
      <c r="E58" s="10"/>
      <c r="F58" s="30">
        <v>10</v>
      </c>
      <c r="G58" s="9">
        <f t="shared" ref="G58" si="22">SUM(B58:F58)</f>
        <v>10</v>
      </c>
      <c r="H58" s="36">
        <v>42436</v>
      </c>
      <c r="I58" s="15" t="s">
        <v>101</v>
      </c>
      <c r="J58" s="8"/>
      <c r="K58" s="10">
        <v>5</v>
      </c>
      <c r="L58" s="10"/>
      <c r="M58" s="10"/>
      <c r="N58" s="28">
        <v>10</v>
      </c>
      <c r="O58" s="9">
        <f t="shared" ref="O58" si="23">SUM(J58:N58)</f>
        <v>15</v>
      </c>
      <c r="P58" s="36">
        <v>42432</v>
      </c>
    </row>
    <row r="59" spans="1:16" x14ac:dyDescent="0.15">
      <c r="A59" s="16" t="s">
        <v>31</v>
      </c>
      <c r="B59" s="8"/>
      <c r="C59" s="10"/>
      <c r="D59" s="10"/>
      <c r="E59" s="10">
        <v>1</v>
      </c>
      <c r="F59" s="30"/>
      <c r="G59" s="7">
        <f t="shared" ref="G59:G83" si="24">SUM(B59:F59)</f>
        <v>1</v>
      </c>
      <c r="H59" s="36">
        <v>42436</v>
      </c>
      <c r="I59" s="15" t="s">
        <v>101</v>
      </c>
      <c r="J59" s="8"/>
      <c r="K59" s="10"/>
      <c r="L59" s="10">
        <v>5</v>
      </c>
      <c r="M59" s="10"/>
      <c r="N59" s="30"/>
      <c r="O59" s="7">
        <f t="shared" ref="O59:O83" si="25">SUM(J59:N59)</f>
        <v>5</v>
      </c>
      <c r="P59" s="36">
        <v>42444</v>
      </c>
    </row>
    <row r="60" spans="1:16" x14ac:dyDescent="0.15">
      <c r="A60" s="16" t="s">
        <v>31</v>
      </c>
      <c r="B60" s="8"/>
      <c r="C60" s="10"/>
      <c r="D60" s="10">
        <v>2</v>
      </c>
      <c r="E60" s="10"/>
      <c r="F60" s="30"/>
      <c r="G60" s="7">
        <f t="shared" si="24"/>
        <v>2</v>
      </c>
      <c r="H60" s="36">
        <v>42440</v>
      </c>
      <c r="I60" s="15" t="s">
        <v>101</v>
      </c>
      <c r="J60" s="8">
        <v>10</v>
      </c>
      <c r="K60" s="10"/>
      <c r="L60" s="10">
        <v>5</v>
      </c>
      <c r="M60" s="10">
        <v>5</v>
      </c>
      <c r="N60" s="30">
        <v>10</v>
      </c>
      <c r="O60" s="7">
        <f t="shared" si="25"/>
        <v>30</v>
      </c>
      <c r="P60" s="36">
        <v>42455</v>
      </c>
    </row>
    <row r="61" spans="1:16" x14ac:dyDescent="0.15">
      <c r="A61" s="16" t="s">
        <v>31</v>
      </c>
      <c r="B61" s="8"/>
      <c r="C61" s="10"/>
      <c r="D61" s="10">
        <v>1</v>
      </c>
      <c r="E61" s="10"/>
      <c r="F61" s="30">
        <v>1</v>
      </c>
      <c r="G61" s="7">
        <f t="shared" si="24"/>
        <v>2</v>
      </c>
      <c r="H61" s="36">
        <v>42445</v>
      </c>
      <c r="I61" s="15" t="s">
        <v>101</v>
      </c>
      <c r="J61" s="8">
        <v>10</v>
      </c>
      <c r="K61" s="10">
        <v>10</v>
      </c>
      <c r="L61" s="10">
        <v>5</v>
      </c>
      <c r="M61" s="10">
        <v>5</v>
      </c>
      <c r="N61" s="30">
        <v>5</v>
      </c>
      <c r="O61" s="7">
        <f t="shared" si="25"/>
        <v>35</v>
      </c>
      <c r="P61" s="36">
        <v>42471</v>
      </c>
    </row>
    <row r="62" spans="1:16" x14ac:dyDescent="0.15">
      <c r="A62" s="16" t="s">
        <v>31</v>
      </c>
      <c r="B62" s="8"/>
      <c r="C62" s="10">
        <v>2</v>
      </c>
      <c r="D62" s="10">
        <v>3</v>
      </c>
      <c r="E62" s="10"/>
      <c r="F62" s="30"/>
      <c r="G62" s="7">
        <f t="shared" si="24"/>
        <v>5</v>
      </c>
      <c r="H62" s="36">
        <v>42446</v>
      </c>
      <c r="I62" s="16"/>
      <c r="J62" s="8"/>
      <c r="K62" s="10"/>
      <c r="L62" s="10"/>
      <c r="M62" s="10"/>
      <c r="N62" s="30"/>
      <c r="O62" s="7">
        <f t="shared" si="25"/>
        <v>0</v>
      </c>
      <c r="P62" s="36"/>
    </row>
    <row r="63" spans="1:16" x14ac:dyDescent="0.15">
      <c r="A63" s="16" t="s">
        <v>22</v>
      </c>
      <c r="B63" s="8">
        <v>10</v>
      </c>
      <c r="C63" s="10"/>
      <c r="D63" s="10"/>
      <c r="E63" s="10"/>
      <c r="F63" s="30"/>
      <c r="G63" s="7">
        <f t="shared" si="24"/>
        <v>10</v>
      </c>
      <c r="H63" s="36">
        <v>42457</v>
      </c>
      <c r="I63" s="16"/>
      <c r="J63" s="8"/>
      <c r="K63" s="10"/>
      <c r="L63" s="10"/>
      <c r="M63" s="10"/>
      <c r="N63" s="30"/>
      <c r="O63" s="7">
        <f t="shared" si="25"/>
        <v>0</v>
      </c>
      <c r="P63" s="36"/>
    </row>
    <row r="64" spans="1:16" x14ac:dyDescent="0.15">
      <c r="A64" s="16" t="s">
        <v>31</v>
      </c>
      <c r="B64" s="8"/>
      <c r="C64" s="10"/>
      <c r="D64" s="10"/>
      <c r="E64" s="10"/>
      <c r="F64" s="30">
        <v>2</v>
      </c>
      <c r="G64" s="7">
        <f t="shared" si="24"/>
        <v>2</v>
      </c>
      <c r="H64" s="36">
        <v>42455</v>
      </c>
      <c r="I64" s="16"/>
      <c r="J64" s="8"/>
      <c r="K64" s="10"/>
      <c r="L64" s="10"/>
      <c r="M64" s="10"/>
      <c r="N64" s="30"/>
      <c r="O64" s="7">
        <f t="shared" si="25"/>
        <v>0</v>
      </c>
      <c r="P64" s="36"/>
    </row>
    <row r="65" spans="1:17" x14ac:dyDescent="0.15">
      <c r="A65" s="16" t="s">
        <v>103</v>
      </c>
      <c r="B65" s="8">
        <v>2</v>
      </c>
      <c r="C65" s="10">
        <v>1</v>
      </c>
      <c r="D65" s="10">
        <v>1</v>
      </c>
      <c r="E65" s="10">
        <v>1</v>
      </c>
      <c r="F65" s="30">
        <v>1</v>
      </c>
      <c r="G65" s="7">
        <f t="shared" si="24"/>
        <v>6</v>
      </c>
      <c r="H65" s="36">
        <v>42454</v>
      </c>
      <c r="I65" s="16"/>
      <c r="J65" s="8"/>
      <c r="K65" s="10"/>
      <c r="L65" s="10"/>
      <c r="M65" s="10"/>
      <c r="N65" s="30"/>
      <c r="O65" s="7">
        <f t="shared" si="25"/>
        <v>0</v>
      </c>
      <c r="P65" s="1"/>
    </row>
    <row r="66" spans="1:17" x14ac:dyDescent="0.15">
      <c r="A66" s="39" t="s">
        <v>104</v>
      </c>
      <c r="B66" s="8">
        <v>1</v>
      </c>
      <c r="C66" s="10"/>
      <c r="D66" s="10"/>
      <c r="E66" s="10"/>
      <c r="F66" s="30"/>
      <c r="G66" s="7">
        <f t="shared" si="24"/>
        <v>1</v>
      </c>
      <c r="H66" s="36">
        <v>42454</v>
      </c>
      <c r="I66" s="39"/>
      <c r="J66" s="8"/>
      <c r="K66" s="10"/>
      <c r="L66" s="10"/>
      <c r="M66" s="10"/>
      <c r="N66" s="30"/>
      <c r="O66" s="7">
        <f t="shared" si="25"/>
        <v>0</v>
      </c>
      <c r="P66" s="1"/>
    </row>
    <row r="67" spans="1:17" x14ac:dyDescent="0.15">
      <c r="A67" s="16" t="s">
        <v>108</v>
      </c>
      <c r="B67" s="11">
        <v>-1</v>
      </c>
      <c r="C67" s="12"/>
      <c r="D67" s="12"/>
      <c r="E67" s="12"/>
      <c r="F67" s="31"/>
      <c r="G67" s="7">
        <f t="shared" si="24"/>
        <v>-1</v>
      </c>
      <c r="H67" s="36">
        <v>42459</v>
      </c>
      <c r="I67" s="16"/>
      <c r="J67" s="11"/>
      <c r="K67" s="12"/>
      <c r="L67" s="12"/>
      <c r="M67" s="12"/>
      <c r="N67" s="31"/>
      <c r="O67" s="7">
        <f t="shared" si="25"/>
        <v>0</v>
      </c>
      <c r="P67" s="1"/>
    </row>
    <row r="68" spans="1:17" x14ac:dyDescent="0.15">
      <c r="A68" s="16" t="s">
        <v>109</v>
      </c>
      <c r="B68" s="8"/>
      <c r="C68" s="10"/>
      <c r="D68" s="10"/>
      <c r="E68" s="10">
        <v>1</v>
      </c>
      <c r="F68" s="30"/>
      <c r="G68" s="7">
        <f t="shared" si="24"/>
        <v>1</v>
      </c>
      <c r="H68" s="36">
        <v>42459</v>
      </c>
      <c r="I68" s="16"/>
      <c r="J68" s="8"/>
      <c r="K68" s="10"/>
      <c r="L68" s="10"/>
      <c r="M68" s="10"/>
      <c r="N68" s="30"/>
      <c r="O68" s="7">
        <f t="shared" si="25"/>
        <v>0</v>
      </c>
      <c r="P68" s="1"/>
    </row>
    <row r="69" spans="1:17" x14ac:dyDescent="0.15">
      <c r="A69" s="16" t="s">
        <v>31</v>
      </c>
      <c r="B69" s="8"/>
      <c r="C69" s="10">
        <v>1</v>
      </c>
      <c r="D69" s="10"/>
      <c r="E69" s="10"/>
      <c r="F69" s="30">
        <v>3</v>
      </c>
      <c r="G69" s="7">
        <f t="shared" si="24"/>
        <v>4</v>
      </c>
      <c r="H69" s="36">
        <v>42466</v>
      </c>
      <c r="I69" s="14"/>
      <c r="J69" s="8"/>
      <c r="K69" s="10"/>
      <c r="L69" s="10"/>
      <c r="M69" s="10"/>
      <c r="N69" s="30"/>
      <c r="O69" s="7">
        <f t="shared" si="25"/>
        <v>0</v>
      </c>
      <c r="P69" s="1"/>
    </row>
    <row r="70" spans="1:17" x14ac:dyDescent="0.15">
      <c r="A70" s="16" t="s">
        <v>33</v>
      </c>
      <c r="B70" s="8"/>
      <c r="C70" s="10">
        <v>1</v>
      </c>
      <c r="D70" s="10"/>
      <c r="E70" s="10"/>
      <c r="F70" s="30"/>
      <c r="G70" s="7">
        <f t="shared" si="24"/>
        <v>1</v>
      </c>
      <c r="H70" s="36">
        <v>42467</v>
      </c>
      <c r="I70" s="16"/>
      <c r="J70" s="8"/>
      <c r="K70" s="10"/>
      <c r="L70" s="10"/>
      <c r="M70" s="10"/>
      <c r="N70" s="30"/>
      <c r="O70" s="7">
        <f t="shared" si="25"/>
        <v>0</v>
      </c>
      <c r="P70" s="1"/>
    </row>
    <row r="71" spans="1:17" x14ac:dyDescent="0.15">
      <c r="A71" s="16" t="s">
        <v>110</v>
      </c>
      <c r="B71" s="8">
        <v>5</v>
      </c>
      <c r="C71" s="10">
        <v>6</v>
      </c>
      <c r="D71" s="10">
        <v>5</v>
      </c>
      <c r="E71" s="10">
        <v>4</v>
      </c>
      <c r="F71" s="30">
        <v>3</v>
      </c>
      <c r="G71" s="7">
        <f t="shared" si="24"/>
        <v>23</v>
      </c>
      <c r="H71" s="36">
        <v>42471</v>
      </c>
      <c r="I71" s="16"/>
      <c r="J71" s="8"/>
      <c r="K71" s="10"/>
      <c r="L71" s="10"/>
      <c r="M71" s="10"/>
      <c r="N71" s="30"/>
      <c r="O71" s="7">
        <f t="shared" si="25"/>
        <v>0</v>
      </c>
      <c r="P71" s="1"/>
    </row>
    <row r="72" spans="1:17" x14ac:dyDescent="0.15">
      <c r="A72" s="16" t="s">
        <v>119</v>
      </c>
      <c r="B72" s="8">
        <v>2</v>
      </c>
      <c r="C72" s="10"/>
      <c r="D72" s="10"/>
      <c r="E72" s="10">
        <v>1</v>
      </c>
      <c r="F72" s="30"/>
      <c r="G72" s="7">
        <f t="shared" si="24"/>
        <v>3</v>
      </c>
      <c r="H72" s="36">
        <v>42471</v>
      </c>
      <c r="I72" s="16"/>
      <c r="J72" s="8"/>
      <c r="K72" s="10"/>
      <c r="L72" s="10"/>
      <c r="M72" s="10"/>
      <c r="N72" s="30"/>
      <c r="O72" s="7">
        <f t="shared" si="25"/>
        <v>0</v>
      </c>
      <c r="P72" s="1"/>
    </row>
    <row r="73" spans="1:17" x14ac:dyDescent="0.15">
      <c r="A73" s="16" t="s">
        <v>113</v>
      </c>
      <c r="B73" s="8"/>
      <c r="C73" s="10">
        <v>1</v>
      </c>
      <c r="D73" s="10"/>
      <c r="E73" s="10"/>
      <c r="F73" s="30"/>
      <c r="G73" s="7">
        <f t="shared" si="24"/>
        <v>1</v>
      </c>
      <c r="H73" s="36">
        <v>42467</v>
      </c>
      <c r="I73" s="16"/>
      <c r="J73" s="8"/>
      <c r="K73" s="10"/>
      <c r="L73" s="10"/>
      <c r="M73" s="10"/>
      <c r="N73" s="30"/>
      <c r="O73" s="7">
        <f t="shared" si="25"/>
        <v>0</v>
      </c>
      <c r="P73" s="1"/>
    </row>
    <row r="74" spans="1:17" x14ac:dyDescent="0.15">
      <c r="A74" s="14" t="s">
        <v>116</v>
      </c>
      <c r="B74" s="8"/>
      <c r="C74" s="10"/>
      <c r="D74" s="10">
        <v>2</v>
      </c>
      <c r="E74" s="10"/>
      <c r="F74" s="30"/>
      <c r="G74" s="7">
        <f t="shared" si="24"/>
        <v>2</v>
      </c>
      <c r="H74" s="36">
        <v>42481</v>
      </c>
      <c r="I74" s="14"/>
      <c r="J74" s="8"/>
      <c r="K74" s="10"/>
      <c r="L74" s="10"/>
      <c r="M74" s="10"/>
      <c r="N74" s="30"/>
      <c r="O74" s="7">
        <f t="shared" si="25"/>
        <v>0</v>
      </c>
      <c r="P74" s="1"/>
      <c r="Q74" s="1"/>
    </row>
    <row r="75" spans="1:17" x14ac:dyDescent="0.15">
      <c r="A75" s="16" t="s">
        <v>90</v>
      </c>
      <c r="B75" s="8">
        <v>1</v>
      </c>
      <c r="C75" s="10"/>
      <c r="D75" s="10"/>
      <c r="E75" s="10"/>
      <c r="F75" s="30"/>
      <c r="G75" s="7">
        <f t="shared" si="24"/>
        <v>1</v>
      </c>
      <c r="H75" s="36">
        <v>42479</v>
      </c>
      <c r="I75" s="16"/>
      <c r="J75" s="8"/>
      <c r="K75" s="10"/>
      <c r="L75" s="10"/>
      <c r="M75" s="10"/>
      <c r="N75" s="30"/>
      <c r="O75" s="7">
        <f t="shared" si="25"/>
        <v>0</v>
      </c>
      <c r="P75" s="1"/>
      <c r="Q75" s="1"/>
    </row>
    <row r="76" spans="1:17" x14ac:dyDescent="0.15">
      <c r="A76" s="16" t="s">
        <v>117</v>
      </c>
      <c r="B76" s="8"/>
      <c r="C76" s="10"/>
      <c r="D76" s="10">
        <v>1</v>
      </c>
      <c r="E76" s="10"/>
      <c r="F76" s="30"/>
      <c r="G76" s="7">
        <f t="shared" si="24"/>
        <v>1</v>
      </c>
      <c r="H76" s="36">
        <v>42482</v>
      </c>
      <c r="I76" s="16"/>
      <c r="J76" s="8"/>
      <c r="K76" s="10"/>
      <c r="L76" s="10"/>
      <c r="M76" s="10"/>
      <c r="N76" s="30"/>
      <c r="O76" s="7">
        <f t="shared" si="25"/>
        <v>0</v>
      </c>
      <c r="P76" s="1"/>
      <c r="Q76" s="1"/>
    </row>
    <row r="77" spans="1:17" x14ac:dyDescent="0.15">
      <c r="A77" s="16" t="s">
        <v>33</v>
      </c>
      <c r="B77" s="8">
        <v>1</v>
      </c>
      <c r="C77" s="10">
        <v>1</v>
      </c>
      <c r="D77" s="10">
        <v>1</v>
      </c>
      <c r="E77" s="10">
        <v>1</v>
      </c>
      <c r="F77" s="30"/>
      <c r="G77" s="7">
        <f t="shared" si="24"/>
        <v>4</v>
      </c>
      <c r="H77" s="36">
        <v>42486</v>
      </c>
      <c r="I77" s="16"/>
      <c r="J77" s="8"/>
      <c r="K77" s="10"/>
      <c r="L77" s="10"/>
      <c r="M77" s="10"/>
      <c r="N77" s="30"/>
      <c r="O77" s="7">
        <f t="shared" si="25"/>
        <v>0</v>
      </c>
      <c r="P77" s="1"/>
      <c r="Q77" s="1"/>
    </row>
    <row r="78" spans="1:17" x14ac:dyDescent="0.15">
      <c r="A78" s="14" t="s">
        <v>102</v>
      </c>
      <c r="B78" s="8"/>
      <c r="C78" s="10">
        <v>1</v>
      </c>
      <c r="D78" s="10"/>
      <c r="E78" s="10">
        <v>1</v>
      </c>
      <c r="F78" s="30"/>
      <c r="G78" s="7">
        <f t="shared" si="24"/>
        <v>2</v>
      </c>
      <c r="H78" s="36">
        <v>42485</v>
      </c>
      <c r="I78" s="14"/>
      <c r="J78" s="8"/>
      <c r="K78" s="10"/>
      <c r="L78" s="10"/>
      <c r="M78" s="10"/>
      <c r="N78" s="30"/>
      <c r="O78" s="7">
        <f t="shared" si="25"/>
        <v>0</v>
      </c>
      <c r="P78" s="1"/>
      <c r="Q78" s="1"/>
    </row>
    <row r="79" spans="1:17" x14ac:dyDescent="0.15">
      <c r="A79" s="16" t="s">
        <v>120</v>
      </c>
      <c r="B79" s="11"/>
      <c r="C79" s="12"/>
      <c r="D79" s="12"/>
      <c r="E79" s="12">
        <v>2</v>
      </c>
      <c r="F79" s="31"/>
      <c r="G79" s="7">
        <f t="shared" si="24"/>
        <v>2</v>
      </c>
      <c r="H79" s="36">
        <v>42487</v>
      </c>
      <c r="I79" s="16"/>
      <c r="J79" s="11"/>
      <c r="K79" s="12"/>
      <c r="L79" s="12"/>
      <c r="M79" s="12"/>
      <c r="N79" s="31"/>
      <c r="O79" s="7">
        <f t="shared" si="25"/>
        <v>0</v>
      </c>
      <c r="P79" s="1"/>
      <c r="Q79" s="1"/>
    </row>
    <row r="80" spans="1:17" x14ac:dyDescent="0.15">
      <c r="A80" s="14" t="s">
        <v>123</v>
      </c>
      <c r="B80" s="8">
        <v>2</v>
      </c>
      <c r="C80" s="10">
        <v>2</v>
      </c>
      <c r="D80" s="10">
        <v>2</v>
      </c>
      <c r="E80" s="10">
        <v>2</v>
      </c>
      <c r="F80" s="30">
        <v>2</v>
      </c>
      <c r="G80" s="7">
        <f t="shared" si="24"/>
        <v>10</v>
      </c>
      <c r="H80" s="36">
        <v>42486</v>
      </c>
      <c r="I80" s="14"/>
      <c r="J80" s="8"/>
      <c r="K80" s="10"/>
      <c r="L80" s="10"/>
      <c r="M80" s="10"/>
      <c r="N80" s="30"/>
      <c r="O80" s="7">
        <f t="shared" si="25"/>
        <v>0</v>
      </c>
      <c r="P80" s="1"/>
      <c r="Q80" s="1"/>
    </row>
    <row r="81" spans="1:17" x14ac:dyDescent="0.15">
      <c r="A81" s="16" t="s">
        <v>110</v>
      </c>
      <c r="B81" s="8"/>
      <c r="C81" s="10"/>
      <c r="D81" s="10"/>
      <c r="E81" s="10"/>
      <c r="F81" s="30">
        <v>3</v>
      </c>
      <c r="G81" s="7">
        <f t="shared" si="24"/>
        <v>3</v>
      </c>
      <c r="H81" s="36">
        <v>42492</v>
      </c>
      <c r="I81" s="14"/>
      <c r="J81" s="8"/>
      <c r="K81" s="10"/>
      <c r="L81" s="10"/>
      <c r="M81" s="10"/>
      <c r="N81" s="30"/>
      <c r="O81" s="7">
        <f t="shared" si="25"/>
        <v>0</v>
      </c>
      <c r="P81" s="36"/>
      <c r="Q81" s="1"/>
    </row>
    <row r="82" spans="1:17" x14ac:dyDescent="0.15">
      <c r="A82" s="14" t="s">
        <v>32</v>
      </c>
      <c r="B82" s="8"/>
      <c r="C82" s="10">
        <v>1</v>
      </c>
      <c r="D82" s="10"/>
      <c r="E82" s="10"/>
      <c r="F82" s="30"/>
      <c r="G82" s="7">
        <f t="shared" si="24"/>
        <v>1</v>
      </c>
      <c r="H82" s="36">
        <v>42492</v>
      </c>
      <c r="I82" s="14"/>
      <c r="J82" s="8"/>
      <c r="K82" s="10"/>
      <c r="L82" s="10"/>
      <c r="M82" s="10"/>
      <c r="N82" s="30"/>
      <c r="O82" s="7">
        <f t="shared" si="25"/>
        <v>0</v>
      </c>
      <c r="P82" s="36"/>
      <c r="Q82" s="1"/>
    </row>
    <row r="83" spans="1:17" ht="14.25" thickBot="1" x14ac:dyDescent="0.2">
      <c r="A83" s="14" t="s">
        <v>102</v>
      </c>
      <c r="B83" s="11">
        <v>1</v>
      </c>
      <c r="C83" s="12"/>
      <c r="D83" s="12"/>
      <c r="E83" s="12"/>
      <c r="F83" s="31"/>
      <c r="G83" s="7">
        <f t="shared" si="24"/>
        <v>1</v>
      </c>
      <c r="H83" s="36">
        <v>42488</v>
      </c>
      <c r="I83" s="20"/>
      <c r="J83" s="11"/>
      <c r="K83" s="12"/>
      <c r="L83" s="12"/>
      <c r="M83" s="12"/>
      <c r="N83" s="31"/>
      <c r="O83" s="7">
        <f t="shared" si="25"/>
        <v>0</v>
      </c>
      <c r="P83" s="36"/>
      <c r="Q83" s="1"/>
    </row>
    <row r="84" spans="1:17" ht="14.25" thickBot="1" x14ac:dyDescent="0.2">
      <c r="A84" s="3" t="s">
        <v>11</v>
      </c>
      <c r="B84" s="23">
        <f>SUM(B58:B83)</f>
        <v>24</v>
      </c>
      <c r="C84" s="4">
        <f>SUM(C58:C83)</f>
        <v>17</v>
      </c>
      <c r="D84" s="4">
        <f>SUM(D58:D83)</f>
        <v>18</v>
      </c>
      <c r="E84" s="6">
        <f>SUM(E58:E83)</f>
        <v>14</v>
      </c>
      <c r="F84" s="32">
        <f>SUM(F58:F83)</f>
        <v>25</v>
      </c>
      <c r="G84" s="5">
        <f>SUM(B84:F84)</f>
        <v>98</v>
      </c>
      <c r="H84" s="1"/>
      <c r="I84" s="3" t="s">
        <v>11</v>
      </c>
      <c r="J84" s="23">
        <f>SUM(J58:J83)</f>
        <v>20</v>
      </c>
      <c r="K84" s="4">
        <f>SUM(K58:K83)</f>
        <v>15</v>
      </c>
      <c r="L84" s="4">
        <f>SUM(L58:L83)</f>
        <v>15</v>
      </c>
      <c r="M84" s="6">
        <f>SUM(M58:M83)</f>
        <v>10</v>
      </c>
      <c r="N84" s="32">
        <f>SUM(N58:N83)</f>
        <v>25</v>
      </c>
      <c r="O84" s="5">
        <f>SUM(J84:N84)</f>
        <v>85</v>
      </c>
      <c r="P84" s="1"/>
      <c r="Q84" s="1"/>
    </row>
    <row r="85" spans="1:17" ht="14.25" thickBot="1" x14ac:dyDescent="0.2">
      <c r="A85" s="25" t="s">
        <v>12</v>
      </c>
      <c r="B85" s="63">
        <f>B57-B84</f>
        <v>11</v>
      </c>
      <c r="C85" s="26">
        <f t="shared" ref="C85:G85" si="26">C57-C84</f>
        <v>8</v>
      </c>
      <c r="D85" s="71">
        <f t="shared" si="26"/>
        <v>9</v>
      </c>
      <c r="E85" s="26">
        <f t="shared" si="26"/>
        <v>9</v>
      </c>
      <c r="F85" s="70">
        <f t="shared" si="26"/>
        <v>10</v>
      </c>
      <c r="G85" s="27">
        <f t="shared" si="26"/>
        <v>47</v>
      </c>
      <c r="H85" s="1"/>
      <c r="I85" s="25" t="s">
        <v>12</v>
      </c>
      <c r="J85" s="63">
        <f>J57-J84</f>
        <v>49</v>
      </c>
      <c r="K85" s="26">
        <f t="shared" ref="K85:O85" si="27">K57-K84</f>
        <v>50</v>
      </c>
      <c r="L85" s="71">
        <f t="shared" si="27"/>
        <v>51</v>
      </c>
      <c r="M85" s="26">
        <f t="shared" si="27"/>
        <v>72</v>
      </c>
      <c r="N85" s="70">
        <f t="shared" si="27"/>
        <v>32</v>
      </c>
      <c r="O85" s="27">
        <f t="shared" si="27"/>
        <v>254</v>
      </c>
      <c r="P85" s="1"/>
      <c r="Q85" s="1"/>
    </row>
    <row r="86" spans="1:17" ht="21" x14ac:dyDescent="0.2">
      <c r="A86" s="86" t="s">
        <v>50</v>
      </c>
      <c r="B86" s="87"/>
      <c r="C86" s="87"/>
      <c r="D86" s="87"/>
      <c r="E86" s="87"/>
      <c r="F86" s="87"/>
      <c r="G86" s="87"/>
      <c r="H86" s="1"/>
      <c r="I86" s="86" t="s">
        <v>50</v>
      </c>
      <c r="J86" s="87"/>
      <c r="K86" s="87"/>
      <c r="L86" s="87"/>
      <c r="M86" s="87"/>
      <c r="N86" s="87"/>
      <c r="O86" s="87"/>
      <c r="P86" s="1"/>
      <c r="Q86" s="1"/>
    </row>
    <row r="87" spans="1:17" ht="21.75" thickBot="1" x14ac:dyDescent="0.25">
      <c r="A87" s="86" t="s">
        <v>51</v>
      </c>
      <c r="B87" s="87"/>
      <c r="C87" s="87"/>
      <c r="D87" s="87"/>
      <c r="E87" s="85"/>
      <c r="F87" s="88" t="s">
        <v>53</v>
      </c>
      <c r="G87" s="87"/>
      <c r="H87" s="1"/>
      <c r="I87" s="86" t="s">
        <v>51</v>
      </c>
      <c r="J87" s="87"/>
      <c r="K87" s="87"/>
      <c r="L87" s="87"/>
      <c r="M87" s="89"/>
      <c r="N87" s="88" t="s">
        <v>54</v>
      </c>
      <c r="O87" s="87"/>
      <c r="P87" s="1"/>
    </row>
    <row r="88" spans="1:17" ht="14.25" thickBot="1" x14ac:dyDescent="0.2">
      <c r="A88" s="13" t="s">
        <v>0</v>
      </c>
      <c r="B88" s="228" t="s">
        <v>52</v>
      </c>
      <c r="C88" s="229"/>
      <c r="D88" s="229"/>
      <c r="E88" s="229"/>
      <c r="F88" s="230"/>
      <c r="G88" s="231"/>
      <c r="H88" s="1"/>
      <c r="I88" s="13" t="s">
        <v>0</v>
      </c>
      <c r="J88" s="228" t="s">
        <v>49</v>
      </c>
      <c r="K88" s="229"/>
      <c r="L88" s="229"/>
      <c r="M88" s="229"/>
      <c r="N88" s="230"/>
      <c r="O88" s="231"/>
      <c r="P88" s="1"/>
      <c r="Q88" s="1"/>
    </row>
    <row r="89" spans="1:17" ht="14.25" thickBot="1" x14ac:dyDescent="0.2">
      <c r="A89" s="3" t="s">
        <v>1</v>
      </c>
      <c r="B89" s="2" t="s">
        <v>42</v>
      </c>
      <c r="C89" s="21" t="s">
        <v>43</v>
      </c>
      <c r="D89" s="21" t="s">
        <v>44</v>
      </c>
      <c r="E89" s="24" t="s">
        <v>45</v>
      </c>
      <c r="F89" s="33" t="s">
        <v>46</v>
      </c>
      <c r="G89" s="3" t="s">
        <v>2</v>
      </c>
      <c r="H89" s="1"/>
      <c r="I89" s="3" t="s">
        <v>1</v>
      </c>
      <c r="J89" s="2" t="s">
        <v>42</v>
      </c>
      <c r="K89" s="21" t="s">
        <v>43</v>
      </c>
      <c r="L89" s="21" t="s">
        <v>44</v>
      </c>
      <c r="M89" s="24" t="s">
        <v>45</v>
      </c>
      <c r="N89" s="33" t="s">
        <v>46</v>
      </c>
      <c r="O89" s="3" t="s">
        <v>2</v>
      </c>
      <c r="P89" s="1"/>
      <c r="Q89" s="1"/>
    </row>
    <row r="90" spans="1:17" ht="14.25" thickBot="1" x14ac:dyDescent="0.2">
      <c r="A90" s="72" t="s">
        <v>79</v>
      </c>
      <c r="B90" s="73">
        <f>B85</f>
        <v>11</v>
      </c>
      <c r="C90" s="74">
        <f t="shared" ref="C90:F90" si="28">C85</f>
        <v>8</v>
      </c>
      <c r="D90" s="107">
        <f t="shared" si="28"/>
        <v>9</v>
      </c>
      <c r="E90" s="75">
        <f t="shared" si="28"/>
        <v>9</v>
      </c>
      <c r="F90" s="75">
        <f t="shared" si="28"/>
        <v>10</v>
      </c>
      <c r="G90" s="76">
        <f t="shared" ref="G90:G99" si="29">SUM(B90:F90)</f>
        <v>47</v>
      </c>
      <c r="H90" s="90"/>
      <c r="I90" s="72" t="s">
        <v>79</v>
      </c>
      <c r="J90" s="73">
        <f>J85</f>
        <v>49</v>
      </c>
      <c r="K90" s="74">
        <f t="shared" ref="K90:N90" si="30">K85</f>
        <v>50</v>
      </c>
      <c r="L90" s="107">
        <f t="shared" si="30"/>
        <v>51</v>
      </c>
      <c r="M90" s="75">
        <f t="shared" si="30"/>
        <v>72</v>
      </c>
      <c r="N90" s="75">
        <f t="shared" si="30"/>
        <v>32</v>
      </c>
      <c r="O90" s="76">
        <f t="shared" ref="O90:O99" si="31">SUM(J90:N90)</f>
        <v>254</v>
      </c>
      <c r="P90" s="90"/>
    </row>
    <row r="91" spans="1:17" x14ac:dyDescent="0.15">
      <c r="A91" s="38" t="s">
        <v>15</v>
      </c>
      <c r="B91" s="37">
        <v>10</v>
      </c>
      <c r="C91" s="35"/>
      <c r="D91" s="35"/>
      <c r="E91" s="35">
        <v>10</v>
      </c>
      <c r="F91" s="28">
        <v>10</v>
      </c>
      <c r="G91" s="7">
        <f t="shared" si="29"/>
        <v>30</v>
      </c>
      <c r="H91" s="36">
        <v>42490</v>
      </c>
      <c r="I91" s="38" t="s">
        <v>14</v>
      </c>
      <c r="J91" s="37"/>
      <c r="K91" s="35"/>
      <c r="L91" s="35"/>
      <c r="M91" s="35"/>
      <c r="N91" s="28"/>
      <c r="O91" s="7">
        <f t="shared" si="31"/>
        <v>0</v>
      </c>
      <c r="P91" s="36"/>
    </row>
    <row r="92" spans="1:17" x14ac:dyDescent="0.15">
      <c r="A92" s="15" t="s">
        <v>16</v>
      </c>
      <c r="B92" s="8"/>
      <c r="C92" s="10">
        <v>5</v>
      </c>
      <c r="D92" s="10">
        <v>5</v>
      </c>
      <c r="E92" s="10">
        <v>5</v>
      </c>
      <c r="F92" s="28">
        <v>5</v>
      </c>
      <c r="G92" s="9">
        <f t="shared" si="29"/>
        <v>20</v>
      </c>
      <c r="H92" s="36">
        <v>42492</v>
      </c>
      <c r="I92" s="38" t="s">
        <v>3</v>
      </c>
      <c r="J92" s="8"/>
      <c r="K92" s="10"/>
      <c r="L92" s="10"/>
      <c r="M92" s="10"/>
      <c r="N92" s="28"/>
      <c r="O92" s="9">
        <f t="shared" si="31"/>
        <v>0</v>
      </c>
      <c r="P92" s="36"/>
    </row>
    <row r="93" spans="1:17" x14ac:dyDescent="0.15">
      <c r="A93" s="15" t="s">
        <v>18</v>
      </c>
      <c r="B93" s="8">
        <v>5</v>
      </c>
      <c r="C93" s="10">
        <v>5</v>
      </c>
      <c r="D93" s="10">
        <v>10</v>
      </c>
      <c r="E93" s="10">
        <v>5</v>
      </c>
      <c r="F93" s="28">
        <v>5</v>
      </c>
      <c r="G93" s="9">
        <f t="shared" si="29"/>
        <v>30</v>
      </c>
      <c r="H93" s="36">
        <v>42501</v>
      </c>
      <c r="I93" s="38" t="s">
        <v>4</v>
      </c>
      <c r="J93" s="8"/>
      <c r="K93" s="45"/>
      <c r="L93" s="45"/>
      <c r="M93" s="45"/>
      <c r="N93" s="46"/>
      <c r="O93" s="9">
        <f t="shared" si="31"/>
        <v>0</v>
      </c>
      <c r="P93" s="1"/>
    </row>
    <row r="94" spans="1:17" x14ac:dyDescent="0.15">
      <c r="A94" s="15" t="s">
        <v>111</v>
      </c>
      <c r="B94" s="8"/>
      <c r="C94" s="10"/>
      <c r="D94" s="10">
        <v>1</v>
      </c>
      <c r="E94" s="10">
        <v>1</v>
      </c>
      <c r="F94" s="28"/>
      <c r="G94" s="9">
        <f t="shared" si="29"/>
        <v>2</v>
      </c>
      <c r="H94" s="36">
        <v>42504</v>
      </c>
      <c r="I94" s="15" t="s">
        <v>5</v>
      </c>
      <c r="J94" s="8"/>
      <c r="K94" s="45"/>
      <c r="L94" s="45"/>
      <c r="M94" s="45"/>
      <c r="N94" s="46"/>
      <c r="O94" s="9">
        <f t="shared" si="31"/>
        <v>0</v>
      </c>
      <c r="P94" s="1"/>
    </row>
    <row r="95" spans="1:17" x14ac:dyDescent="0.15">
      <c r="A95" s="15" t="s">
        <v>19</v>
      </c>
      <c r="B95" s="8"/>
      <c r="C95" s="10"/>
      <c r="D95" s="10"/>
      <c r="E95" s="10"/>
      <c r="F95" s="28">
        <v>1</v>
      </c>
      <c r="G95" s="9">
        <f t="shared" si="29"/>
        <v>1</v>
      </c>
      <c r="H95" s="36">
        <v>42511</v>
      </c>
      <c r="I95" s="15" t="s">
        <v>6</v>
      </c>
      <c r="J95" s="8"/>
      <c r="K95" s="45"/>
      <c r="L95" s="45"/>
      <c r="M95" s="45"/>
      <c r="N95" s="46"/>
      <c r="O95" s="9">
        <f t="shared" si="31"/>
        <v>0</v>
      </c>
      <c r="P95" s="1"/>
    </row>
    <row r="96" spans="1:17" x14ac:dyDescent="0.15">
      <c r="A96" s="15" t="s">
        <v>137</v>
      </c>
      <c r="B96" s="8"/>
      <c r="C96" s="10"/>
      <c r="D96" s="10"/>
      <c r="E96" s="10"/>
      <c r="F96" s="28">
        <v>1</v>
      </c>
      <c r="G96" s="9">
        <f t="shared" si="29"/>
        <v>1</v>
      </c>
      <c r="H96" s="36">
        <v>42511</v>
      </c>
      <c r="I96" s="15" t="s">
        <v>84</v>
      </c>
      <c r="J96" s="8"/>
      <c r="K96" s="45"/>
      <c r="L96" s="45"/>
      <c r="M96" s="45"/>
      <c r="N96" s="46"/>
      <c r="O96" s="7">
        <f t="shared" si="31"/>
        <v>0</v>
      </c>
      <c r="P96" s="1"/>
    </row>
    <row r="97" spans="1:17" x14ac:dyDescent="0.15">
      <c r="A97" s="15" t="s">
        <v>21</v>
      </c>
      <c r="B97" s="8">
        <v>1</v>
      </c>
      <c r="C97" s="10"/>
      <c r="D97" s="10">
        <v>1</v>
      </c>
      <c r="E97" s="10">
        <v>2</v>
      </c>
      <c r="F97" s="28">
        <v>1</v>
      </c>
      <c r="G97" s="9">
        <f t="shared" si="29"/>
        <v>5</v>
      </c>
      <c r="H97" s="36">
        <v>42516</v>
      </c>
      <c r="I97" s="15" t="s">
        <v>85</v>
      </c>
      <c r="J97" s="8"/>
      <c r="K97" s="45"/>
      <c r="L97" s="45"/>
      <c r="M97" s="45"/>
      <c r="N97" s="46"/>
      <c r="O97" s="7">
        <f t="shared" si="31"/>
        <v>0</v>
      </c>
      <c r="P97" s="1"/>
    </row>
    <row r="98" spans="1:17" x14ac:dyDescent="0.15">
      <c r="A98" s="15" t="s">
        <v>17</v>
      </c>
      <c r="B98" s="8">
        <v>1</v>
      </c>
      <c r="C98" s="45"/>
      <c r="D98" s="45">
        <v>2</v>
      </c>
      <c r="E98" s="45">
        <v>2</v>
      </c>
      <c r="F98" s="46"/>
      <c r="G98" s="110">
        <f t="shared" si="29"/>
        <v>5</v>
      </c>
      <c r="H98" s="36">
        <v>42517</v>
      </c>
      <c r="I98" s="15" t="s">
        <v>86</v>
      </c>
      <c r="J98" s="8"/>
      <c r="K98" s="45"/>
      <c r="L98" s="45"/>
      <c r="M98" s="45"/>
      <c r="N98" s="46"/>
      <c r="O98" s="102">
        <f t="shared" si="31"/>
        <v>0</v>
      </c>
      <c r="P98" s="1"/>
    </row>
    <row r="99" spans="1:17" ht="14.25" thickBot="1" x14ac:dyDescent="0.2">
      <c r="A99" s="15" t="s">
        <v>111</v>
      </c>
      <c r="B99" s="11"/>
      <c r="C99" s="100"/>
      <c r="D99" s="100"/>
      <c r="E99" s="100">
        <v>1</v>
      </c>
      <c r="F99" s="109">
        <v>1</v>
      </c>
      <c r="G99" s="40">
        <f t="shared" si="29"/>
        <v>2</v>
      </c>
      <c r="H99" s="36">
        <v>42517</v>
      </c>
      <c r="I99" s="15" t="s">
        <v>87</v>
      </c>
      <c r="J99" s="47"/>
      <c r="K99" s="48"/>
      <c r="L99" s="48"/>
      <c r="M99" s="48"/>
      <c r="N99" s="49"/>
      <c r="O99" s="40">
        <f t="shared" si="31"/>
        <v>0</v>
      </c>
      <c r="P99" s="1"/>
    </row>
    <row r="100" spans="1:17" ht="14.25" thickBot="1" x14ac:dyDescent="0.2">
      <c r="A100" s="72" t="s">
        <v>7</v>
      </c>
      <c r="B100" s="73">
        <f>SUM(B90:B99)</f>
        <v>28</v>
      </c>
      <c r="C100" s="74">
        <f t="shared" ref="C100" si="32">SUM(C90:C99)</f>
        <v>18</v>
      </c>
      <c r="D100" s="74">
        <f t="shared" ref="D100" si="33">SUM(D90:D99)</f>
        <v>28</v>
      </c>
      <c r="E100" s="74">
        <f t="shared" ref="E100" si="34">SUM(E90:E99)</f>
        <v>35</v>
      </c>
      <c r="F100" s="105">
        <f t="shared" ref="F100" si="35">SUM(F90:F99)</f>
        <v>34</v>
      </c>
      <c r="G100" s="76">
        <f t="shared" ref="G100" si="36">SUM(G90:G99)</f>
        <v>143</v>
      </c>
      <c r="H100" s="36"/>
      <c r="I100" s="72" t="s">
        <v>7</v>
      </c>
      <c r="J100" s="73">
        <f>SUM(J90:J99)</f>
        <v>49</v>
      </c>
      <c r="K100" s="74">
        <f t="shared" ref="K100" si="37">SUM(K90:K99)</f>
        <v>50</v>
      </c>
      <c r="L100" s="74">
        <f t="shared" ref="L100" si="38">SUM(L90:L99)</f>
        <v>51</v>
      </c>
      <c r="M100" s="74">
        <f t="shared" ref="M100" si="39">SUM(M90:M99)</f>
        <v>72</v>
      </c>
      <c r="N100" s="105">
        <f t="shared" ref="N100" si="40">SUM(N90:N99)</f>
        <v>32</v>
      </c>
      <c r="O100" s="76">
        <f t="shared" ref="O100" si="41">SUM(O90:O99)</f>
        <v>254</v>
      </c>
      <c r="P100" s="69"/>
    </row>
    <row r="101" spans="1:17" x14ac:dyDescent="0.15">
      <c r="A101" s="16" t="s">
        <v>124</v>
      </c>
      <c r="B101" s="37"/>
      <c r="C101" s="35"/>
      <c r="D101" s="35"/>
      <c r="E101" s="35">
        <v>10</v>
      </c>
      <c r="F101" s="28">
        <v>10</v>
      </c>
      <c r="G101" s="18">
        <f t="shared" ref="G101:G126" si="42">SUM(B101:F101)</f>
        <v>20</v>
      </c>
      <c r="H101" s="36">
        <v>42500</v>
      </c>
      <c r="I101" s="16" t="s">
        <v>125</v>
      </c>
      <c r="J101" s="17">
        <v>10</v>
      </c>
      <c r="K101" s="22"/>
      <c r="L101" s="22"/>
      <c r="M101" s="22">
        <v>10</v>
      </c>
      <c r="N101" s="29">
        <v>10</v>
      </c>
      <c r="O101" s="18">
        <f t="shared" ref="O101:O126" si="43">SUM(J101:N101)</f>
        <v>30</v>
      </c>
      <c r="P101" s="36">
        <v>42490</v>
      </c>
    </row>
    <row r="102" spans="1:17" x14ac:dyDescent="0.15">
      <c r="A102" s="14" t="s">
        <v>102</v>
      </c>
      <c r="B102" s="8"/>
      <c r="C102" s="10"/>
      <c r="D102" s="10"/>
      <c r="E102" s="10"/>
      <c r="F102" s="30">
        <v>1</v>
      </c>
      <c r="G102" s="7">
        <f t="shared" si="42"/>
        <v>1</v>
      </c>
      <c r="H102" s="36">
        <v>42492</v>
      </c>
      <c r="I102" s="16" t="s">
        <v>37</v>
      </c>
      <c r="J102" s="8"/>
      <c r="K102" s="10">
        <v>5</v>
      </c>
      <c r="L102" s="10">
        <v>5</v>
      </c>
      <c r="M102" s="10">
        <v>5</v>
      </c>
      <c r="N102" s="30">
        <v>5</v>
      </c>
      <c r="O102" s="7">
        <f t="shared" si="43"/>
        <v>20</v>
      </c>
      <c r="P102" s="36">
        <v>42492</v>
      </c>
    </row>
    <row r="103" spans="1:17" x14ac:dyDescent="0.15">
      <c r="A103" s="14" t="s">
        <v>126</v>
      </c>
      <c r="B103" s="8">
        <v>10</v>
      </c>
      <c r="C103" s="10"/>
      <c r="D103" s="10"/>
      <c r="E103" s="10"/>
      <c r="F103" s="30"/>
      <c r="G103" s="7">
        <f t="shared" si="42"/>
        <v>10</v>
      </c>
      <c r="H103" s="36">
        <v>42492</v>
      </c>
      <c r="I103" s="16" t="s">
        <v>37</v>
      </c>
      <c r="J103" s="8">
        <v>5</v>
      </c>
      <c r="K103" s="10">
        <v>5</v>
      </c>
      <c r="L103" s="10">
        <v>10</v>
      </c>
      <c r="M103" s="10">
        <v>5</v>
      </c>
      <c r="N103" s="28">
        <v>5</v>
      </c>
      <c r="O103" s="9">
        <f t="shared" si="43"/>
        <v>30</v>
      </c>
      <c r="P103" s="36">
        <v>42501</v>
      </c>
    </row>
    <row r="104" spans="1:17" x14ac:dyDescent="0.15">
      <c r="A104" s="14" t="s">
        <v>102</v>
      </c>
      <c r="B104" s="8"/>
      <c r="C104" s="10"/>
      <c r="D104" s="10"/>
      <c r="E104" s="10"/>
      <c r="F104" s="30">
        <v>1</v>
      </c>
      <c r="G104" s="7">
        <f t="shared" si="42"/>
        <v>1</v>
      </c>
      <c r="H104" s="36">
        <v>42497</v>
      </c>
      <c r="I104" s="16"/>
      <c r="J104" s="8"/>
      <c r="K104" s="10"/>
      <c r="L104" s="10"/>
      <c r="M104" s="10"/>
      <c r="N104" s="30"/>
      <c r="O104" s="7">
        <f t="shared" si="43"/>
        <v>0</v>
      </c>
      <c r="P104" s="36"/>
    </row>
    <row r="105" spans="1:17" x14ac:dyDescent="0.15">
      <c r="A105" s="14" t="s">
        <v>123</v>
      </c>
      <c r="B105" s="8"/>
      <c r="C105" s="10"/>
      <c r="D105" s="10"/>
      <c r="E105" s="10"/>
      <c r="F105" s="30">
        <v>1</v>
      </c>
      <c r="G105" s="7">
        <f t="shared" si="42"/>
        <v>1</v>
      </c>
      <c r="H105" s="36">
        <v>42497</v>
      </c>
      <c r="I105" s="16"/>
      <c r="J105" s="8"/>
      <c r="K105" s="10"/>
      <c r="L105" s="10"/>
      <c r="M105" s="10"/>
      <c r="N105" s="30"/>
      <c r="O105" s="7">
        <f t="shared" si="43"/>
        <v>0</v>
      </c>
      <c r="P105" s="36"/>
    </row>
    <row r="106" spans="1:17" x14ac:dyDescent="0.15">
      <c r="A106" s="16" t="s">
        <v>128</v>
      </c>
      <c r="B106" s="8">
        <v>1</v>
      </c>
      <c r="C106" s="10"/>
      <c r="D106" s="10"/>
      <c r="E106" s="10"/>
      <c r="F106" s="30"/>
      <c r="G106" s="7">
        <f t="shared" si="42"/>
        <v>1</v>
      </c>
      <c r="H106" s="36">
        <v>42499</v>
      </c>
      <c r="I106" s="16"/>
      <c r="J106" s="8"/>
      <c r="K106" s="10"/>
      <c r="L106" s="10"/>
      <c r="M106" s="10"/>
      <c r="N106" s="30"/>
      <c r="O106" s="7">
        <f t="shared" si="43"/>
        <v>0</v>
      </c>
      <c r="P106" s="36"/>
      <c r="Q106" s="1"/>
    </row>
    <row r="107" spans="1:17" x14ac:dyDescent="0.15">
      <c r="A107" s="14" t="s">
        <v>25</v>
      </c>
      <c r="B107" s="8"/>
      <c r="C107" s="10">
        <v>3</v>
      </c>
      <c r="D107" s="10">
        <v>6</v>
      </c>
      <c r="E107" s="10">
        <v>7</v>
      </c>
      <c r="F107" s="30">
        <v>4</v>
      </c>
      <c r="G107" s="7">
        <f t="shared" si="42"/>
        <v>20</v>
      </c>
      <c r="H107" s="36">
        <v>42501</v>
      </c>
      <c r="I107" s="16"/>
      <c r="J107" s="8"/>
      <c r="K107" s="10"/>
      <c r="L107" s="10"/>
      <c r="M107" s="10"/>
      <c r="N107" s="30"/>
      <c r="O107" s="7">
        <f t="shared" si="43"/>
        <v>0</v>
      </c>
      <c r="P107" s="36"/>
      <c r="Q107" s="1"/>
    </row>
    <row r="108" spans="1:17" x14ac:dyDescent="0.15">
      <c r="A108" s="14" t="s">
        <v>25</v>
      </c>
      <c r="B108" s="8">
        <v>3</v>
      </c>
      <c r="C108" s="10"/>
      <c r="D108" s="10"/>
      <c r="E108" s="10"/>
      <c r="F108" s="30">
        <v>1</v>
      </c>
      <c r="G108" s="7">
        <f t="shared" si="42"/>
        <v>4</v>
      </c>
      <c r="H108" s="36">
        <v>42503</v>
      </c>
      <c r="I108" s="16"/>
      <c r="J108" s="8"/>
      <c r="K108" s="10"/>
      <c r="L108" s="10"/>
      <c r="M108" s="10"/>
      <c r="N108" s="30"/>
      <c r="O108" s="7">
        <f t="shared" si="43"/>
        <v>0</v>
      </c>
      <c r="P108" s="1"/>
      <c r="Q108" s="1"/>
    </row>
    <row r="109" spans="1:17" x14ac:dyDescent="0.15">
      <c r="A109" s="39" t="s">
        <v>134</v>
      </c>
      <c r="B109" s="8">
        <v>1</v>
      </c>
      <c r="C109" s="10"/>
      <c r="D109" s="10"/>
      <c r="E109" s="10"/>
      <c r="F109" s="30"/>
      <c r="G109" s="7">
        <f t="shared" si="42"/>
        <v>1</v>
      </c>
      <c r="H109" s="36">
        <v>42507</v>
      </c>
      <c r="I109" s="39"/>
      <c r="J109" s="8"/>
      <c r="K109" s="10"/>
      <c r="L109" s="10"/>
      <c r="M109" s="10"/>
      <c r="N109" s="30"/>
      <c r="O109" s="7">
        <f t="shared" si="43"/>
        <v>0</v>
      </c>
      <c r="P109" s="1"/>
      <c r="Q109" s="1"/>
    </row>
    <row r="110" spans="1:17" x14ac:dyDescent="0.15">
      <c r="A110" s="16" t="s">
        <v>141</v>
      </c>
      <c r="B110" s="11"/>
      <c r="C110" s="12"/>
      <c r="D110" s="12"/>
      <c r="E110" s="12"/>
      <c r="F110" s="31">
        <v>1</v>
      </c>
      <c r="G110" s="7">
        <f t="shared" si="42"/>
        <v>1</v>
      </c>
      <c r="H110" s="36">
        <v>42514</v>
      </c>
      <c r="I110" s="16"/>
      <c r="J110" s="11"/>
      <c r="K110" s="12"/>
      <c r="L110" s="12"/>
      <c r="M110" s="12"/>
      <c r="N110" s="31"/>
      <c r="O110" s="7">
        <f t="shared" si="43"/>
        <v>0</v>
      </c>
      <c r="P110" s="1"/>
      <c r="Q110" s="1"/>
    </row>
    <row r="111" spans="1:17" x14ac:dyDescent="0.15">
      <c r="A111" s="16" t="s">
        <v>145</v>
      </c>
      <c r="B111" s="8"/>
      <c r="C111" s="10"/>
      <c r="D111" s="10"/>
      <c r="E111" s="10"/>
      <c r="F111" s="30">
        <v>1</v>
      </c>
      <c r="G111" s="7">
        <f t="shared" si="42"/>
        <v>1</v>
      </c>
      <c r="H111" s="36">
        <v>42517</v>
      </c>
      <c r="I111" s="16"/>
      <c r="J111" s="8"/>
      <c r="K111" s="10"/>
      <c r="L111" s="10"/>
      <c r="M111" s="10"/>
      <c r="N111" s="30"/>
      <c r="O111" s="7">
        <f t="shared" si="43"/>
        <v>0</v>
      </c>
      <c r="P111" s="1"/>
      <c r="Q111" s="1"/>
    </row>
    <row r="112" spans="1:17" x14ac:dyDescent="0.15">
      <c r="A112" s="16" t="s">
        <v>110</v>
      </c>
      <c r="B112" s="8"/>
      <c r="C112" s="10"/>
      <c r="D112" s="10"/>
      <c r="E112" s="10">
        <v>3</v>
      </c>
      <c r="F112" s="30"/>
      <c r="G112" s="7">
        <f t="shared" si="42"/>
        <v>3</v>
      </c>
      <c r="H112" s="36">
        <v>42524</v>
      </c>
      <c r="I112" s="14"/>
      <c r="J112" s="8"/>
      <c r="K112" s="10"/>
      <c r="L112" s="10"/>
      <c r="M112" s="10"/>
      <c r="N112" s="30"/>
      <c r="O112" s="7">
        <f t="shared" si="43"/>
        <v>0</v>
      </c>
      <c r="P112" s="1"/>
      <c r="Q112" s="1"/>
    </row>
    <row r="113" spans="1:17" x14ac:dyDescent="0.15">
      <c r="A113" s="16" t="s">
        <v>147</v>
      </c>
      <c r="B113" s="8"/>
      <c r="C113" s="10"/>
      <c r="D113" s="10"/>
      <c r="E113" s="10">
        <v>1</v>
      </c>
      <c r="F113" s="30"/>
      <c r="G113" s="7">
        <f t="shared" si="42"/>
        <v>1</v>
      </c>
      <c r="H113" s="36">
        <v>42520</v>
      </c>
      <c r="I113" s="16"/>
      <c r="J113" s="8"/>
      <c r="K113" s="10"/>
      <c r="L113" s="10"/>
      <c r="M113" s="10"/>
      <c r="N113" s="30"/>
      <c r="O113" s="7">
        <f t="shared" si="43"/>
        <v>0</v>
      </c>
      <c r="P113" s="1"/>
      <c r="Q113" s="1"/>
    </row>
    <row r="114" spans="1:17" x14ac:dyDescent="0.15">
      <c r="A114" s="16" t="s">
        <v>110</v>
      </c>
      <c r="B114" s="8"/>
      <c r="C114" s="10"/>
      <c r="D114" s="10"/>
      <c r="E114" s="10"/>
      <c r="F114" s="30">
        <v>6</v>
      </c>
      <c r="G114" s="7">
        <f t="shared" si="42"/>
        <v>6</v>
      </c>
      <c r="H114" s="36">
        <v>42527</v>
      </c>
      <c r="I114" s="16"/>
      <c r="J114" s="8"/>
      <c r="K114" s="10"/>
      <c r="L114" s="10"/>
      <c r="M114" s="10"/>
      <c r="N114" s="30"/>
      <c r="O114" s="7">
        <f t="shared" si="43"/>
        <v>0</v>
      </c>
      <c r="P114" s="1"/>
      <c r="Q114" s="1"/>
    </row>
    <row r="115" spans="1:17" x14ac:dyDescent="0.15">
      <c r="A115" s="16" t="s">
        <v>152</v>
      </c>
      <c r="B115" s="8"/>
      <c r="C115" s="10"/>
      <c r="D115" s="10"/>
      <c r="E115" s="10"/>
      <c r="F115" s="30">
        <v>-2</v>
      </c>
      <c r="G115" s="7">
        <f t="shared" si="42"/>
        <v>-2</v>
      </c>
      <c r="H115" s="36">
        <v>42520</v>
      </c>
      <c r="I115" s="16"/>
      <c r="J115" s="8"/>
      <c r="K115" s="10"/>
      <c r="L115" s="10"/>
      <c r="M115" s="10"/>
      <c r="N115" s="30"/>
      <c r="O115" s="7">
        <f t="shared" si="43"/>
        <v>0</v>
      </c>
      <c r="P115" s="36"/>
      <c r="Q115" s="1"/>
    </row>
    <row r="116" spans="1:17" x14ac:dyDescent="0.15">
      <c r="A116" s="16" t="s">
        <v>33</v>
      </c>
      <c r="B116" s="8"/>
      <c r="C116" s="10"/>
      <c r="D116" s="10">
        <v>1</v>
      </c>
      <c r="E116" s="10"/>
      <c r="F116" s="30"/>
      <c r="G116" s="7">
        <f t="shared" si="42"/>
        <v>1</v>
      </c>
      <c r="H116" s="36">
        <v>42523</v>
      </c>
      <c r="I116" s="16"/>
      <c r="J116" s="8"/>
      <c r="K116" s="10"/>
      <c r="L116" s="10"/>
      <c r="M116" s="10"/>
      <c r="N116" s="30"/>
      <c r="O116" s="7">
        <f t="shared" si="43"/>
        <v>0</v>
      </c>
      <c r="P116" s="1"/>
      <c r="Q116" s="1"/>
    </row>
    <row r="117" spans="1:17" x14ac:dyDescent="0.15">
      <c r="A117" s="16"/>
      <c r="B117" s="8"/>
      <c r="C117" s="10"/>
      <c r="D117" s="10"/>
      <c r="E117" s="10"/>
      <c r="F117" s="30"/>
      <c r="G117" s="7">
        <f t="shared" si="42"/>
        <v>0</v>
      </c>
      <c r="H117" s="36"/>
      <c r="I117" s="14"/>
      <c r="J117" s="8"/>
      <c r="K117" s="10"/>
      <c r="L117" s="10"/>
      <c r="M117" s="10"/>
      <c r="N117" s="30"/>
      <c r="O117" s="7">
        <f t="shared" si="43"/>
        <v>0</v>
      </c>
      <c r="P117" s="36"/>
      <c r="Q117" s="1"/>
    </row>
    <row r="118" spans="1:17" x14ac:dyDescent="0.15">
      <c r="A118" s="16"/>
      <c r="B118" s="8"/>
      <c r="C118" s="10"/>
      <c r="D118" s="10"/>
      <c r="E118" s="10"/>
      <c r="F118" s="30"/>
      <c r="G118" s="7">
        <f t="shared" si="42"/>
        <v>0</v>
      </c>
      <c r="H118" s="36"/>
      <c r="I118" s="16"/>
      <c r="J118" s="8"/>
      <c r="K118" s="10"/>
      <c r="L118" s="10"/>
      <c r="M118" s="10"/>
      <c r="N118" s="30"/>
      <c r="O118" s="7">
        <f t="shared" si="43"/>
        <v>0</v>
      </c>
      <c r="P118" s="1"/>
      <c r="Q118" s="1"/>
    </row>
    <row r="119" spans="1:17" x14ac:dyDescent="0.15">
      <c r="A119" s="16"/>
      <c r="B119" s="8"/>
      <c r="C119" s="10"/>
      <c r="D119" s="10"/>
      <c r="E119" s="10"/>
      <c r="F119" s="30"/>
      <c r="G119" s="7">
        <f t="shared" si="42"/>
        <v>0</v>
      </c>
      <c r="H119" s="36"/>
      <c r="I119" s="16"/>
      <c r="J119" s="8"/>
      <c r="K119" s="10"/>
      <c r="L119" s="10"/>
      <c r="M119" s="10"/>
      <c r="N119" s="30"/>
      <c r="O119" s="7">
        <f t="shared" si="43"/>
        <v>0</v>
      </c>
      <c r="P119" s="1"/>
      <c r="Q119" s="1"/>
    </row>
    <row r="120" spans="1:17" x14ac:dyDescent="0.15">
      <c r="A120" s="16"/>
      <c r="B120" s="8"/>
      <c r="C120" s="10"/>
      <c r="D120" s="10"/>
      <c r="E120" s="10"/>
      <c r="F120" s="30"/>
      <c r="G120" s="7">
        <f t="shared" si="42"/>
        <v>0</v>
      </c>
      <c r="H120" s="36"/>
      <c r="I120" s="16"/>
      <c r="J120" s="8"/>
      <c r="K120" s="10"/>
      <c r="L120" s="10"/>
      <c r="M120" s="10"/>
      <c r="N120" s="30"/>
      <c r="O120" s="7">
        <f t="shared" si="43"/>
        <v>0</v>
      </c>
      <c r="P120" s="36"/>
      <c r="Q120" s="1"/>
    </row>
    <row r="121" spans="1:17" x14ac:dyDescent="0.15">
      <c r="A121" s="14"/>
      <c r="B121" s="8"/>
      <c r="C121" s="10"/>
      <c r="D121" s="10"/>
      <c r="E121" s="10"/>
      <c r="F121" s="30"/>
      <c r="G121" s="7">
        <f t="shared" si="42"/>
        <v>0</v>
      </c>
      <c r="H121" s="36"/>
      <c r="I121" s="14"/>
      <c r="J121" s="8"/>
      <c r="K121" s="10"/>
      <c r="L121" s="10"/>
      <c r="M121" s="10"/>
      <c r="N121" s="30"/>
      <c r="O121" s="7">
        <f t="shared" si="43"/>
        <v>0</v>
      </c>
      <c r="P121" s="1"/>
      <c r="Q121" s="1"/>
    </row>
    <row r="122" spans="1:17" x14ac:dyDescent="0.15">
      <c r="A122" s="16"/>
      <c r="B122" s="11"/>
      <c r="C122" s="12"/>
      <c r="D122" s="12"/>
      <c r="E122" s="12"/>
      <c r="F122" s="31"/>
      <c r="G122" s="7">
        <f t="shared" si="42"/>
        <v>0</v>
      </c>
      <c r="H122" s="36"/>
      <c r="I122" s="16"/>
      <c r="J122" s="8"/>
      <c r="K122" s="10"/>
      <c r="L122" s="10"/>
      <c r="M122" s="10"/>
      <c r="N122" s="30"/>
      <c r="O122" s="7">
        <f t="shared" ref="O122:O125" si="44">SUM(J122:N122)</f>
        <v>0</v>
      </c>
      <c r="P122" s="36"/>
      <c r="Q122" s="56"/>
    </row>
    <row r="123" spans="1:17" x14ac:dyDescent="0.15">
      <c r="A123" s="14"/>
      <c r="B123" s="8"/>
      <c r="C123" s="10"/>
      <c r="D123" s="10"/>
      <c r="E123" s="10"/>
      <c r="F123" s="30"/>
      <c r="G123" s="7">
        <f t="shared" si="42"/>
        <v>0</v>
      </c>
      <c r="H123" s="36"/>
      <c r="I123" s="14"/>
      <c r="J123" s="8"/>
      <c r="K123" s="10"/>
      <c r="L123" s="10"/>
      <c r="M123" s="10"/>
      <c r="N123" s="30"/>
      <c r="O123" s="7">
        <f t="shared" si="44"/>
        <v>0</v>
      </c>
      <c r="P123" s="1"/>
      <c r="Q123" s="56"/>
    </row>
    <row r="124" spans="1:17" x14ac:dyDescent="0.15">
      <c r="A124" s="14"/>
      <c r="B124" s="8"/>
      <c r="C124" s="10"/>
      <c r="D124" s="10"/>
      <c r="E124" s="10"/>
      <c r="F124" s="30"/>
      <c r="G124" s="7">
        <f t="shared" si="42"/>
        <v>0</v>
      </c>
      <c r="H124" s="1"/>
      <c r="I124" s="16"/>
      <c r="J124" s="11"/>
      <c r="K124" s="12"/>
      <c r="L124" s="12"/>
      <c r="M124" s="12"/>
      <c r="N124" s="31"/>
      <c r="O124" s="7">
        <f t="shared" si="44"/>
        <v>0</v>
      </c>
      <c r="P124" s="1"/>
      <c r="Q124" s="56"/>
    </row>
    <row r="125" spans="1:17" x14ac:dyDescent="0.15">
      <c r="A125" s="14"/>
      <c r="B125" s="8"/>
      <c r="C125" s="10"/>
      <c r="D125" s="10"/>
      <c r="E125" s="10"/>
      <c r="F125" s="30"/>
      <c r="G125" s="7">
        <f t="shared" si="42"/>
        <v>0</v>
      </c>
      <c r="H125" s="1"/>
      <c r="I125" s="14"/>
      <c r="J125" s="8"/>
      <c r="K125" s="10"/>
      <c r="L125" s="10"/>
      <c r="M125" s="10"/>
      <c r="N125" s="30"/>
      <c r="O125" s="7">
        <f t="shared" si="44"/>
        <v>0</v>
      </c>
      <c r="P125" s="1"/>
    </row>
    <row r="126" spans="1:17" ht="14.25" thickBot="1" x14ac:dyDescent="0.2">
      <c r="A126" s="20"/>
      <c r="B126" s="11"/>
      <c r="C126" s="12"/>
      <c r="D126" s="12"/>
      <c r="E126" s="12"/>
      <c r="F126" s="31"/>
      <c r="G126" s="7">
        <f t="shared" si="42"/>
        <v>0</v>
      </c>
      <c r="H126" s="1"/>
      <c r="I126" s="20"/>
      <c r="J126" s="11"/>
      <c r="K126" s="12"/>
      <c r="L126" s="12"/>
      <c r="M126" s="12"/>
      <c r="N126" s="31"/>
      <c r="O126" s="7">
        <f t="shared" si="43"/>
        <v>0</v>
      </c>
      <c r="P126" s="36"/>
    </row>
    <row r="127" spans="1:17" ht="14.25" thickBot="1" x14ac:dyDescent="0.2">
      <c r="A127" s="3" t="s">
        <v>11</v>
      </c>
      <c r="B127" s="23">
        <f>SUM(B101:B126)</f>
        <v>15</v>
      </c>
      <c r="C127" s="4">
        <f>SUM(C101:C126)</f>
        <v>3</v>
      </c>
      <c r="D127" s="4">
        <f>SUM(D101:D126)</f>
        <v>7</v>
      </c>
      <c r="E127" s="6">
        <f>SUM(E101:E126)</f>
        <v>21</v>
      </c>
      <c r="F127" s="32">
        <f>SUM(F101:F126)</f>
        <v>24</v>
      </c>
      <c r="G127" s="5">
        <f>SUM(B127:F127)</f>
        <v>70</v>
      </c>
      <c r="H127" s="56"/>
      <c r="I127" s="3" t="s">
        <v>11</v>
      </c>
      <c r="J127" s="23">
        <f>SUM(J101:J126)</f>
        <v>15</v>
      </c>
      <c r="K127" s="4">
        <f>SUM(K101:K126)</f>
        <v>10</v>
      </c>
      <c r="L127" s="4">
        <f>SUM(L101:L126)</f>
        <v>15</v>
      </c>
      <c r="M127" s="6">
        <f>SUM(M101:M126)</f>
        <v>20</v>
      </c>
      <c r="N127" s="32">
        <f>SUM(N101:N126)</f>
        <v>20</v>
      </c>
      <c r="O127" s="5">
        <f>SUM(J127:N127)</f>
        <v>80</v>
      </c>
      <c r="P127" s="1"/>
    </row>
    <row r="128" spans="1:17" ht="14.25" thickBot="1" x14ac:dyDescent="0.2">
      <c r="A128" s="25" t="s">
        <v>12</v>
      </c>
      <c r="B128" s="63">
        <f>B100-B127</f>
        <v>13</v>
      </c>
      <c r="C128" s="26">
        <f t="shared" ref="C128:G128" si="45">C100-C127</f>
        <v>15</v>
      </c>
      <c r="D128" s="71">
        <f t="shared" si="45"/>
        <v>21</v>
      </c>
      <c r="E128" s="26">
        <f t="shared" si="45"/>
        <v>14</v>
      </c>
      <c r="F128" s="70">
        <f t="shared" si="45"/>
        <v>10</v>
      </c>
      <c r="G128" s="27">
        <f t="shared" si="45"/>
        <v>73</v>
      </c>
      <c r="H128" s="56"/>
      <c r="I128" s="25" t="s">
        <v>12</v>
      </c>
      <c r="J128" s="63">
        <f>J100-J127</f>
        <v>34</v>
      </c>
      <c r="K128" s="26">
        <f t="shared" ref="K128:O128" si="46">K100-K127</f>
        <v>40</v>
      </c>
      <c r="L128" s="71">
        <f t="shared" si="46"/>
        <v>36</v>
      </c>
      <c r="M128" s="26">
        <f t="shared" si="46"/>
        <v>52</v>
      </c>
      <c r="N128" s="70">
        <f t="shared" si="46"/>
        <v>12</v>
      </c>
      <c r="O128" s="27">
        <f t="shared" si="46"/>
        <v>174</v>
      </c>
      <c r="P128" s="1"/>
    </row>
    <row r="129" spans="1:16" ht="21" x14ac:dyDescent="0.2">
      <c r="A129" s="86" t="s">
        <v>50</v>
      </c>
      <c r="B129" s="87"/>
      <c r="C129" s="87"/>
      <c r="D129" s="87"/>
      <c r="E129" s="87"/>
      <c r="F129" s="87"/>
      <c r="G129" s="87"/>
      <c r="H129" s="56"/>
      <c r="I129" s="86" t="s">
        <v>50</v>
      </c>
      <c r="J129" s="87"/>
      <c r="K129" s="87"/>
      <c r="L129" s="87"/>
      <c r="M129" s="87"/>
      <c r="N129" s="87"/>
      <c r="O129" s="87"/>
      <c r="P129" s="1"/>
    </row>
    <row r="130" spans="1:16" ht="21.75" thickBot="1" x14ac:dyDescent="0.25">
      <c r="A130" s="86" t="s">
        <v>51</v>
      </c>
      <c r="B130" s="87"/>
      <c r="C130" s="87"/>
      <c r="D130" s="87"/>
      <c r="E130" s="85"/>
      <c r="F130" s="88" t="s">
        <v>53</v>
      </c>
      <c r="G130" s="87"/>
      <c r="H130" s="56"/>
      <c r="I130" s="86" t="s">
        <v>51</v>
      </c>
      <c r="J130" s="87"/>
      <c r="K130" s="87"/>
      <c r="L130" s="87"/>
      <c r="M130" s="89"/>
      <c r="N130" s="88" t="s">
        <v>54</v>
      </c>
      <c r="O130" s="87"/>
      <c r="P130" s="1"/>
    </row>
    <row r="131" spans="1:16" ht="14.25" thickBot="1" x14ac:dyDescent="0.2">
      <c r="A131" s="13" t="s">
        <v>0</v>
      </c>
      <c r="B131" s="228" t="s">
        <v>52</v>
      </c>
      <c r="C131" s="229"/>
      <c r="D131" s="229"/>
      <c r="E131" s="229"/>
      <c r="F131" s="230"/>
      <c r="G131" s="231"/>
      <c r="H131" s="56"/>
      <c r="I131" s="13" t="s">
        <v>0</v>
      </c>
      <c r="J131" s="228" t="s">
        <v>49</v>
      </c>
      <c r="K131" s="229"/>
      <c r="L131" s="229"/>
      <c r="M131" s="229"/>
      <c r="N131" s="230"/>
      <c r="O131" s="231"/>
      <c r="P131" s="1"/>
    </row>
    <row r="132" spans="1:16" ht="14.25" thickBot="1" x14ac:dyDescent="0.2">
      <c r="A132" s="3" t="s">
        <v>1</v>
      </c>
      <c r="B132" s="2" t="s">
        <v>42</v>
      </c>
      <c r="C132" s="21" t="s">
        <v>43</v>
      </c>
      <c r="D132" s="21" t="s">
        <v>44</v>
      </c>
      <c r="E132" s="24" t="s">
        <v>45</v>
      </c>
      <c r="F132" s="33" t="s">
        <v>46</v>
      </c>
      <c r="G132" s="3" t="s">
        <v>2</v>
      </c>
      <c r="H132" s="58"/>
      <c r="I132" s="3" t="s">
        <v>1</v>
      </c>
      <c r="J132" s="2" t="s">
        <v>42</v>
      </c>
      <c r="K132" s="21" t="s">
        <v>43</v>
      </c>
      <c r="L132" s="21" t="s">
        <v>44</v>
      </c>
      <c r="M132" s="24" t="s">
        <v>45</v>
      </c>
      <c r="N132" s="33" t="s">
        <v>46</v>
      </c>
      <c r="O132" s="3" t="s">
        <v>2</v>
      </c>
      <c r="P132" s="1"/>
    </row>
    <row r="133" spans="1:16" ht="14.25" thickBot="1" x14ac:dyDescent="0.2">
      <c r="A133" s="72" t="s">
        <v>79</v>
      </c>
      <c r="B133" s="73">
        <f>B128</f>
        <v>13</v>
      </c>
      <c r="C133" s="74">
        <f t="shared" ref="C133:F133" si="47">C128</f>
        <v>15</v>
      </c>
      <c r="D133" s="107">
        <f t="shared" si="47"/>
        <v>21</v>
      </c>
      <c r="E133" s="75">
        <f t="shared" si="47"/>
        <v>14</v>
      </c>
      <c r="F133" s="75">
        <f t="shared" si="47"/>
        <v>10</v>
      </c>
      <c r="G133" s="76">
        <f t="shared" ref="G133:G142" si="48">SUM(B133:F133)</f>
        <v>73</v>
      </c>
      <c r="H133" s="58"/>
      <c r="I133" s="72" t="s">
        <v>79</v>
      </c>
      <c r="J133" s="73">
        <f>J128</f>
        <v>34</v>
      </c>
      <c r="K133" s="74">
        <f t="shared" ref="K133:N133" si="49">K128</f>
        <v>40</v>
      </c>
      <c r="L133" s="107">
        <f t="shared" si="49"/>
        <v>36</v>
      </c>
      <c r="M133" s="75">
        <f t="shared" si="49"/>
        <v>52</v>
      </c>
      <c r="N133" s="75">
        <f t="shared" si="49"/>
        <v>12</v>
      </c>
      <c r="O133" s="76">
        <f t="shared" ref="O133:O142" si="50">SUM(J133:N133)</f>
        <v>174</v>
      </c>
      <c r="P133" s="90"/>
    </row>
    <row r="134" spans="1:16" x14ac:dyDescent="0.15">
      <c r="A134" s="38" t="s">
        <v>149</v>
      </c>
      <c r="B134" s="37">
        <v>1</v>
      </c>
      <c r="C134" s="35"/>
      <c r="D134" s="35"/>
      <c r="E134" s="35"/>
      <c r="F134" s="28"/>
      <c r="G134" s="7">
        <f t="shared" si="48"/>
        <v>1</v>
      </c>
      <c r="H134" s="58">
        <v>42518</v>
      </c>
      <c r="I134" s="38" t="s">
        <v>15</v>
      </c>
      <c r="J134" s="37"/>
      <c r="K134" s="35"/>
      <c r="L134" s="35"/>
      <c r="M134" s="35"/>
      <c r="N134" s="28"/>
      <c r="O134" s="7">
        <f t="shared" si="50"/>
        <v>0</v>
      </c>
      <c r="P134" s="36"/>
    </row>
    <row r="135" spans="1:16" x14ac:dyDescent="0.15">
      <c r="A135" s="15" t="s">
        <v>16</v>
      </c>
      <c r="B135" s="8"/>
      <c r="C135" s="10">
        <v>10</v>
      </c>
      <c r="D135" s="10"/>
      <c r="E135" s="10">
        <v>10</v>
      </c>
      <c r="F135" s="28"/>
      <c r="G135" s="9">
        <f t="shared" si="48"/>
        <v>20</v>
      </c>
      <c r="H135" s="58">
        <v>42524</v>
      </c>
      <c r="I135" s="15" t="s">
        <v>3</v>
      </c>
      <c r="J135" s="8">
        <v>120</v>
      </c>
      <c r="K135" s="10">
        <v>129</v>
      </c>
      <c r="L135" s="10">
        <v>158</v>
      </c>
      <c r="M135" s="10">
        <v>109</v>
      </c>
      <c r="N135" s="28">
        <v>119</v>
      </c>
      <c r="O135" s="9">
        <f t="shared" si="50"/>
        <v>635</v>
      </c>
      <c r="P135" s="36">
        <v>42516</v>
      </c>
    </row>
    <row r="136" spans="1:16" x14ac:dyDescent="0.15">
      <c r="A136" s="15" t="s">
        <v>157</v>
      </c>
      <c r="B136" s="8">
        <v>1</v>
      </c>
      <c r="C136" s="10"/>
      <c r="D136" s="10"/>
      <c r="E136" s="10"/>
      <c r="F136" s="28"/>
      <c r="G136" s="9">
        <f t="shared" si="48"/>
        <v>1</v>
      </c>
      <c r="H136" s="58">
        <v>42525</v>
      </c>
      <c r="I136" s="15" t="s">
        <v>4</v>
      </c>
      <c r="J136" s="8">
        <v>1</v>
      </c>
      <c r="K136" s="45">
        <v>2</v>
      </c>
      <c r="L136" s="45">
        <v>2</v>
      </c>
      <c r="M136" s="45">
        <v>2</v>
      </c>
      <c r="N136" s="46">
        <v>2</v>
      </c>
      <c r="O136" s="9">
        <f t="shared" si="50"/>
        <v>9</v>
      </c>
      <c r="P136" s="36">
        <v>42530</v>
      </c>
    </row>
    <row r="137" spans="1:16" x14ac:dyDescent="0.15">
      <c r="A137" s="15" t="s">
        <v>19</v>
      </c>
      <c r="B137" s="8"/>
      <c r="C137" s="10"/>
      <c r="D137" s="10"/>
      <c r="E137" s="10">
        <v>1</v>
      </c>
      <c r="F137" s="28"/>
      <c r="G137" s="9">
        <f t="shared" si="48"/>
        <v>1</v>
      </c>
      <c r="H137" s="36">
        <v>42534</v>
      </c>
      <c r="I137" s="15" t="s">
        <v>5</v>
      </c>
      <c r="J137" s="8"/>
      <c r="K137" s="45"/>
      <c r="L137" s="45"/>
      <c r="M137" s="45"/>
      <c r="N137" s="46"/>
      <c r="O137" s="9">
        <f t="shared" si="50"/>
        <v>0</v>
      </c>
      <c r="P137" s="1"/>
    </row>
    <row r="138" spans="1:16" x14ac:dyDescent="0.15">
      <c r="A138" s="15" t="s">
        <v>80</v>
      </c>
      <c r="B138" s="8">
        <v>10</v>
      </c>
      <c r="C138" s="10"/>
      <c r="D138" s="10"/>
      <c r="E138" s="10"/>
      <c r="F138" s="28">
        <v>15</v>
      </c>
      <c r="G138" s="9">
        <f t="shared" si="48"/>
        <v>25</v>
      </c>
      <c r="H138" s="58">
        <v>42537</v>
      </c>
      <c r="I138" s="15" t="s">
        <v>6</v>
      </c>
      <c r="J138" s="8"/>
      <c r="K138" s="45"/>
      <c r="L138" s="45"/>
      <c r="M138" s="45"/>
      <c r="N138" s="46"/>
      <c r="O138" s="9">
        <f t="shared" si="50"/>
        <v>0</v>
      </c>
      <c r="P138" s="1"/>
    </row>
    <row r="139" spans="1:16" x14ac:dyDescent="0.15">
      <c r="A139" s="15" t="s">
        <v>17</v>
      </c>
      <c r="B139" s="8"/>
      <c r="C139" s="10"/>
      <c r="D139" s="10"/>
      <c r="E139" s="10"/>
      <c r="F139" s="28">
        <v>1</v>
      </c>
      <c r="G139" s="9">
        <f t="shared" si="48"/>
        <v>1</v>
      </c>
      <c r="H139" s="58">
        <v>42539</v>
      </c>
      <c r="I139" s="15" t="s">
        <v>84</v>
      </c>
      <c r="J139" s="8"/>
      <c r="K139" s="45"/>
      <c r="L139" s="45"/>
      <c r="M139" s="45"/>
      <c r="N139" s="46"/>
      <c r="O139" s="7">
        <f t="shared" si="50"/>
        <v>0</v>
      </c>
      <c r="P139" s="1"/>
    </row>
    <row r="140" spans="1:16" x14ac:dyDescent="0.15">
      <c r="A140" s="15" t="s">
        <v>183</v>
      </c>
      <c r="B140" s="8"/>
      <c r="C140" s="10"/>
      <c r="D140" s="10"/>
      <c r="E140" s="10">
        <v>1</v>
      </c>
      <c r="F140" s="28">
        <v>1</v>
      </c>
      <c r="G140" s="9">
        <f t="shared" si="48"/>
        <v>2</v>
      </c>
      <c r="H140" s="58">
        <v>42545</v>
      </c>
      <c r="I140" s="15" t="s">
        <v>85</v>
      </c>
      <c r="J140" s="8"/>
      <c r="K140" s="45"/>
      <c r="L140" s="45"/>
      <c r="M140" s="45"/>
      <c r="N140" s="46"/>
      <c r="O140" s="7">
        <f t="shared" si="50"/>
        <v>0</v>
      </c>
      <c r="P140" s="1"/>
    </row>
    <row r="141" spans="1:16" ht="14.25" thickBot="1" x14ac:dyDescent="0.2">
      <c r="A141" s="15" t="s">
        <v>86</v>
      </c>
      <c r="B141" s="11">
        <v>5</v>
      </c>
      <c r="C141" s="100">
        <v>5</v>
      </c>
      <c r="D141" s="100"/>
      <c r="E141" s="100">
        <v>15</v>
      </c>
      <c r="F141" s="109"/>
      <c r="G141" s="40">
        <f t="shared" ref="G141" si="51">SUM(B141:F141)</f>
        <v>25</v>
      </c>
      <c r="H141" s="58">
        <v>42549</v>
      </c>
      <c r="I141" s="15" t="s">
        <v>86</v>
      </c>
      <c r="J141" s="8"/>
      <c r="K141" s="45"/>
      <c r="L141" s="45"/>
      <c r="M141" s="45"/>
      <c r="N141" s="46"/>
      <c r="O141" s="102">
        <f t="shared" si="50"/>
        <v>0</v>
      </c>
      <c r="P141" s="1"/>
    </row>
    <row r="142" spans="1:16" ht="14.25" thickBot="1" x14ac:dyDescent="0.2">
      <c r="A142" s="15" t="s">
        <v>87</v>
      </c>
      <c r="B142" s="11"/>
      <c r="C142" s="100"/>
      <c r="D142" s="100">
        <v>10</v>
      </c>
      <c r="E142" s="100"/>
      <c r="F142" s="109"/>
      <c r="G142" s="40">
        <f t="shared" si="48"/>
        <v>10</v>
      </c>
      <c r="H142" s="58">
        <v>42558</v>
      </c>
      <c r="I142" s="15" t="s">
        <v>87</v>
      </c>
      <c r="J142" s="47"/>
      <c r="K142" s="48"/>
      <c r="L142" s="48"/>
      <c r="M142" s="48"/>
      <c r="N142" s="49"/>
      <c r="O142" s="40">
        <f t="shared" si="50"/>
        <v>0</v>
      </c>
      <c r="P142" s="1"/>
    </row>
    <row r="143" spans="1:16" ht="14.25" thickBot="1" x14ac:dyDescent="0.2">
      <c r="A143" s="72" t="s">
        <v>7</v>
      </c>
      <c r="B143" s="73">
        <f>SUM(B133:B142)</f>
        <v>30</v>
      </c>
      <c r="C143" s="74">
        <f t="shared" ref="C143:G143" si="52">SUM(C133:C142)</f>
        <v>30</v>
      </c>
      <c r="D143" s="74">
        <f t="shared" si="52"/>
        <v>31</v>
      </c>
      <c r="E143" s="74">
        <f t="shared" si="52"/>
        <v>41</v>
      </c>
      <c r="F143" s="105">
        <f t="shared" si="52"/>
        <v>27</v>
      </c>
      <c r="G143" s="76">
        <f t="shared" si="52"/>
        <v>159</v>
      </c>
      <c r="H143" s="58"/>
      <c r="I143" s="72" t="s">
        <v>7</v>
      </c>
      <c r="J143" s="73">
        <f>SUM(J133:J142)</f>
        <v>155</v>
      </c>
      <c r="K143" s="74">
        <f t="shared" ref="K143:O143" si="53">SUM(K133:K142)</f>
        <v>171</v>
      </c>
      <c r="L143" s="74">
        <f t="shared" si="53"/>
        <v>196</v>
      </c>
      <c r="M143" s="74">
        <f t="shared" si="53"/>
        <v>163</v>
      </c>
      <c r="N143" s="105">
        <f t="shared" si="53"/>
        <v>133</v>
      </c>
      <c r="O143" s="76">
        <f t="shared" si="53"/>
        <v>818</v>
      </c>
      <c r="P143" s="69"/>
    </row>
    <row r="144" spans="1:16" x14ac:dyDescent="0.15">
      <c r="A144" s="16" t="s">
        <v>147</v>
      </c>
      <c r="B144" s="8"/>
      <c r="C144" s="10"/>
      <c r="D144" s="10"/>
      <c r="E144" s="10"/>
      <c r="F144" s="30">
        <v>2</v>
      </c>
      <c r="G144" s="7">
        <f t="shared" ref="G144" si="54">SUM(B144:F144)</f>
        <v>2</v>
      </c>
      <c r="H144" s="36">
        <v>42522</v>
      </c>
      <c r="I144" s="16" t="s">
        <v>37</v>
      </c>
      <c r="J144" s="8"/>
      <c r="K144" s="10">
        <v>10</v>
      </c>
      <c r="L144" s="10"/>
      <c r="M144" s="10">
        <v>10</v>
      </c>
      <c r="N144" s="28"/>
      <c r="O144" s="9">
        <f t="shared" ref="O144" si="55">SUM(J144:N144)</f>
        <v>20</v>
      </c>
      <c r="P144" s="58">
        <v>42524</v>
      </c>
    </row>
    <row r="145" spans="1:16" x14ac:dyDescent="0.15">
      <c r="A145" s="39" t="s">
        <v>154</v>
      </c>
      <c r="B145" s="8"/>
      <c r="C145" s="10">
        <v>10</v>
      </c>
      <c r="D145" s="10"/>
      <c r="E145" s="10">
        <v>10</v>
      </c>
      <c r="F145" s="30"/>
      <c r="G145" s="7">
        <f t="shared" ref="G145:G169" si="56">SUM(B145:F145)</f>
        <v>20</v>
      </c>
      <c r="H145" s="58">
        <v>42527</v>
      </c>
      <c r="I145" s="16" t="s">
        <v>37</v>
      </c>
      <c r="J145" s="8">
        <v>10</v>
      </c>
      <c r="K145" s="10"/>
      <c r="L145" s="10"/>
      <c r="M145" s="10"/>
      <c r="N145" s="30">
        <v>15</v>
      </c>
      <c r="O145" s="7">
        <f t="shared" ref="O145:O169" si="57">SUM(J145:N145)</f>
        <v>25</v>
      </c>
      <c r="P145" s="36">
        <v>42537</v>
      </c>
    </row>
    <row r="146" spans="1:16" x14ac:dyDescent="0.15">
      <c r="A146" s="16" t="s">
        <v>25</v>
      </c>
      <c r="B146" s="8"/>
      <c r="C146" s="10"/>
      <c r="D146" s="10"/>
      <c r="E146" s="10">
        <v>1</v>
      </c>
      <c r="F146" s="30">
        <v>1</v>
      </c>
      <c r="G146" s="7">
        <f t="shared" si="56"/>
        <v>2</v>
      </c>
      <c r="H146" s="58">
        <v>42524</v>
      </c>
      <c r="I146" s="16" t="s">
        <v>37</v>
      </c>
      <c r="J146" s="8">
        <v>5</v>
      </c>
      <c r="K146" s="10">
        <v>5</v>
      </c>
      <c r="L146" s="10"/>
      <c r="M146" s="10">
        <v>15</v>
      </c>
      <c r="N146" s="30"/>
      <c r="O146" s="7">
        <f t="shared" si="57"/>
        <v>25</v>
      </c>
      <c r="P146" s="36">
        <v>42549</v>
      </c>
    </row>
    <row r="147" spans="1:16" x14ac:dyDescent="0.15">
      <c r="A147" s="39" t="s">
        <v>154</v>
      </c>
      <c r="B147" s="8">
        <v>10</v>
      </c>
      <c r="C147" s="10"/>
      <c r="D147" s="10"/>
      <c r="E147" s="10"/>
      <c r="F147" s="30"/>
      <c r="G147" s="7">
        <f t="shared" si="56"/>
        <v>10</v>
      </c>
      <c r="H147" s="58">
        <v>42534</v>
      </c>
      <c r="I147" s="16" t="s">
        <v>37</v>
      </c>
      <c r="J147" s="8"/>
      <c r="K147" s="10"/>
      <c r="L147" s="10">
        <v>10</v>
      </c>
      <c r="M147" s="10"/>
      <c r="N147" s="30"/>
      <c r="O147" s="7">
        <f t="shared" si="57"/>
        <v>10</v>
      </c>
      <c r="P147" s="36">
        <v>42558</v>
      </c>
    </row>
    <row r="148" spans="1:16" x14ac:dyDescent="0.15">
      <c r="A148" s="14" t="s">
        <v>163</v>
      </c>
      <c r="B148" s="8">
        <v>1</v>
      </c>
      <c r="C148" s="10"/>
      <c r="D148" s="10"/>
      <c r="E148" s="10"/>
      <c r="F148" s="30"/>
      <c r="G148" s="7">
        <f t="shared" si="56"/>
        <v>1</v>
      </c>
      <c r="H148" s="58">
        <v>42534</v>
      </c>
      <c r="I148" s="16"/>
      <c r="J148" s="8"/>
      <c r="K148" s="10"/>
      <c r="L148" s="10"/>
      <c r="M148" s="10"/>
      <c r="N148" s="30"/>
      <c r="O148" s="7">
        <f t="shared" si="57"/>
        <v>0</v>
      </c>
      <c r="P148" s="36"/>
    </row>
    <row r="149" spans="1:16" x14ac:dyDescent="0.15">
      <c r="A149" s="16" t="s">
        <v>166</v>
      </c>
      <c r="B149" s="8"/>
      <c r="C149" s="10">
        <v>1</v>
      </c>
      <c r="D149" s="10"/>
      <c r="E149" s="10"/>
      <c r="F149" s="30"/>
      <c r="G149" s="7">
        <f t="shared" si="56"/>
        <v>1</v>
      </c>
      <c r="H149" s="58">
        <v>42535</v>
      </c>
      <c r="I149" s="16"/>
      <c r="J149" s="8"/>
      <c r="K149" s="10"/>
      <c r="L149" s="10"/>
      <c r="M149" s="10"/>
      <c r="N149" s="30"/>
      <c r="O149" s="7">
        <f t="shared" si="57"/>
        <v>0</v>
      </c>
      <c r="P149" s="36"/>
    </row>
    <row r="150" spans="1:16" x14ac:dyDescent="0.15">
      <c r="A150" s="16" t="s">
        <v>169</v>
      </c>
      <c r="B150" s="8"/>
      <c r="C150" s="10"/>
      <c r="D150" s="10"/>
      <c r="E150" s="10"/>
      <c r="F150" s="30">
        <v>7</v>
      </c>
      <c r="G150" s="7">
        <f t="shared" si="56"/>
        <v>7</v>
      </c>
      <c r="H150" s="58">
        <v>42541</v>
      </c>
      <c r="I150" s="16"/>
      <c r="J150" s="8"/>
      <c r="K150" s="10"/>
      <c r="L150" s="10"/>
      <c r="M150" s="10"/>
      <c r="N150" s="30"/>
      <c r="O150" s="7">
        <f t="shared" si="57"/>
        <v>0</v>
      </c>
      <c r="P150" s="36"/>
    </row>
    <row r="151" spans="1:16" x14ac:dyDescent="0.15">
      <c r="A151" s="16" t="s">
        <v>110</v>
      </c>
      <c r="B151" s="8"/>
      <c r="C151" s="10"/>
      <c r="D151" s="10"/>
      <c r="E151" s="10">
        <v>3</v>
      </c>
      <c r="F151" s="30"/>
      <c r="G151" s="7">
        <f t="shared" si="56"/>
        <v>3</v>
      </c>
      <c r="H151" s="58">
        <v>42544</v>
      </c>
      <c r="I151" s="16"/>
      <c r="J151" s="8"/>
      <c r="K151" s="10"/>
      <c r="L151" s="10"/>
      <c r="M151" s="10"/>
      <c r="N151" s="30"/>
      <c r="O151" s="7">
        <f t="shared" si="57"/>
        <v>0</v>
      </c>
      <c r="P151" s="1"/>
    </row>
    <row r="152" spans="1:16" x14ac:dyDescent="0.15">
      <c r="A152" s="39" t="s">
        <v>38</v>
      </c>
      <c r="B152" s="8"/>
      <c r="C152" s="10">
        <v>1</v>
      </c>
      <c r="D152" s="10"/>
      <c r="E152" s="10"/>
      <c r="F152" s="30"/>
      <c r="G152" s="7">
        <f t="shared" si="56"/>
        <v>1</v>
      </c>
      <c r="H152" s="58">
        <v>42541</v>
      </c>
      <c r="I152" s="39"/>
      <c r="J152" s="8"/>
      <c r="K152" s="10"/>
      <c r="L152" s="10"/>
      <c r="M152" s="10"/>
      <c r="N152" s="30"/>
      <c r="O152" s="7">
        <f t="shared" si="57"/>
        <v>0</v>
      </c>
      <c r="P152" s="1"/>
    </row>
    <row r="153" spans="1:16" x14ac:dyDescent="0.15">
      <c r="A153" s="14" t="s">
        <v>163</v>
      </c>
      <c r="B153" s="11">
        <v>1</v>
      </c>
      <c r="C153" s="12">
        <v>1</v>
      </c>
      <c r="D153" s="12"/>
      <c r="E153" s="12">
        <v>1</v>
      </c>
      <c r="F153" s="31">
        <v>1</v>
      </c>
      <c r="G153" s="7">
        <f t="shared" si="56"/>
        <v>4</v>
      </c>
      <c r="H153" s="58">
        <v>42541</v>
      </c>
      <c r="I153" s="16"/>
      <c r="J153" s="11"/>
      <c r="K153" s="12"/>
      <c r="L153" s="12"/>
      <c r="M153" s="12"/>
      <c r="N153" s="31"/>
      <c r="O153" s="7">
        <f t="shared" si="57"/>
        <v>0</v>
      </c>
      <c r="P153" s="1"/>
    </row>
    <row r="154" spans="1:16" x14ac:dyDescent="0.15">
      <c r="A154" s="14" t="s">
        <v>126</v>
      </c>
      <c r="B154" s="8"/>
      <c r="C154" s="10"/>
      <c r="D154" s="10"/>
      <c r="E154" s="10">
        <v>5</v>
      </c>
      <c r="F154" s="30"/>
      <c r="G154" s="7">
        <f t="shared" si="56"/>
        <v>5</v>
      </c>
      <c r="H154" s="58">
        <v>42545</v>
      </c>
      <c r="I154" s="16"/>
      <c r="J154" s="8"/>
      <c r="K154" s="10"/>
      <c r="L154" s="10"/>
      <c r="M154" s="10"/>
      <c r="N154" s="30"/>
      <c r="O154" s="7">
        <f t="shared" si="57"/>
        <v>0</v>
      </c>
      <c r="P154" s="1"/>
    </row>
    <row r="155" spans="1:16" x14ac:dyDescent="0.15">
      <c r="A155" s="16" t="s">
        <v>184</v>
      </c>
      <c r="B155" s="8"/>
      <c r="C155" s="10"/>
      <c r="D155" s="10">
        <v>1</v>
      </c>
      <c r="E155" s="10"/>
      <c r="F155" s="30"/>
      <c r="G155" s="7">
        <f t="shared" si="56"/>
        <v>1</v>
      </c>
      <c r="H155" s="58">
        <v>42546</v>
      </c>
      <c r="I155" s="39"/>
      <c r="J155" s="8"/>
      <c r="K155" s="10"/>
      <c r="L155" s="10"/>
      <c r="M155" s="10"/>
      <c r="N155" s="30"/>
      <c r="O155" s="7">
        <f t="shared" si="57"/>
        <v>0</v>
      </c>
      <c r="P155" s="1"/>
    </row>
    <row r="156" spans="1:16" x14ac:dyDescent="0.15">
      <c r="A156" s="16" t="s">
        <v>110</v>
      </c>
      <c r="B156" s="8"/>
      <c r="C156" s="10"/>
      <c r="D156" s="10">
        <v>5</v>
      </c>
      <c r="E156" s="10">
        <v>5</v>
      </c>
      <c r="F156" s="30"/>
      <c r="G156" s="7">
        <f t="shared" si="56"/>
        <v>10</v>
      </c>
      <c r="H156" s="58">
        <v>42555</v>
      </c>
      <c r="I156" s="16"/>
      <c r="J156" s="8"/>
      <c r="K156" s="10"/>
      <c r="L156" s="10"/>
      <c r="M156" s="10"/>
      <c r="N156" s="30"/>
      <c r="O156" s="7">
        <f t="shared" si="57"/>
        <v>0</v>
      </c>
      <c r="P156" s="1"/>
    </row>
    <row r="157" spans="1:16" x14ac:dyDescent="0.15">
      <c r="A157" s="16" t="s">
        <v>25</v>
      </c>
      <c r="B157" s="8"/>
      <c r="C157" s="10"/>
      <c r="D157" s="10"/>
      <c r="E157" s="10">
        <v>1</v>
      </c>
      <c r="F157" s="30"/>
      <c r="G157" s="7">
        <f t="shared" si="56"/>
        <v>1</v>
      </c>
      <c r="H157" s="58">
        <v>42550</v>
      </c>
      <c r="I157" s="16"/>
      <c r="J157" s="8"/>
      <c r="K157" s="10"/>
      <c r="L157" s="10"/>
      <c r="M157" s="10"/>
      <c r="N157" s="30"/>
      <c r="O157" s="7">
        <f t="shared" si="57"/>
        <v>0</v>
      </c>
      <c r="P157" s="36"/>
    </row>
    <row r="158" spans="1:16" x14ac:dyDescent="0.15">
      <c r="A158" s="15" t="s">
        <v>17</v>
      </c>
      <c r="B158" s="8"/>
      <c r="C158" s="10"/>
      <c r="D158" s="10"/>
      <c r="E158" s="10">
        <v>-1</v>
      </c>
      <c r="F158" s="30"/>
      <c r="G158" s="7">
        <f t="shared" si="56"/>
        <v>-1</v>
      </c>
      <c r="H158" s="58">
        <v>42550</v>
      </c>
      <c r="I158" s="16"/>
      <c r="J158" s="8"/>
      <c r="K158" s="10"/>
      <c r="L158" s="10"/>
      <c r="M158" s="10"/>
      <c r="N158" s="30"/>
      <c r="O158" s="7">
        <f t="shared" si="57"/>
        <v>0</v>
      </c>
      <c r="P158" s="36"/>
    </row>
    <row r="159" spans="1:16" x14ac:dyDescent="0.15">
      <c r="A159" s="16" t="s">
        <v>189</v>
      </c>
      <c r="B159" s="8"/>
      <c r="C159" s="10"/>
      <c r="D159" s="10"/>
      <c r="E159" s="10"/>
      <c r="F159" s="30">
        <v>-1</v>
      </c>
      <c r="G159" s="7">
        <f t="shared" si="56"/>
        <v>-1</v>
      </c>
      <c r="H159" s="58">
        <v>42550</v>
      </c>
      <c r="I159" s="16"/>
      <c r="J159" s="8"/>
      <c r="K159" s="10"/>
      <c r="L159" s="10"/>
      <c r="M159" s="10"/>
      <c r="N159" s="30"/>
      <c r="O159" s="7">
        <f t="shared" si="57"/>
        <v>0</v>
      </c>
      <c r="P159" s="1"/>
    </row>
    <row r="160" spans="1:16" x14ac:dyDescent="0.15">
      <c r="A160" s="14" t="s">
        <v>29</v>
      </c>
      <c r="B160" s="8"/>
      <c r="C160" s="10">
        <v>1</v>
      </c>
      <c r="D160" s="10"/>
      <c r="E160" s="10"/>
      <c r="F160" s="30"/>
      <c r="G160" s="7">
        <f t="shared" si="56"/>
        <v>1</v>
      </c>
      <c r="H160" s="58">
        <v>42550</v>
      </c>
      <c r="I160" s="14"/>
      <c r="J160" s="8"/>
      <c r="K160" s="10"/>
      <c r="L160" s="10"/>
      <c r="M160" s="10"/>
      <c r="N160" s="30"/>
      <c r="O160" s="7">
        <f t="shared" si="57"/>
        <v>0</v>
      </c>
      <c r="P160" s="36"/>
    </row>
    <row r="161" spans="1:16" x14ac:dyDescent="0.15">
      <c r="A161" s="16" t="s">
        <v>117</v>
      </c>
      <c r="B161" s="8"/>
      <c r="C161" s="10"/>
      <c r="D161" s="10"/>
      <c r="E161" s="10">
        <v>1</v>
      </c>
      <c r="F161" s="30"/>
      <c r="G161" s="7">
        <f t="shared" si="56"/>
        <v>1</v>
      </c>
      <c r="H161" s="58">
        <v>42555</v>
      </c>
      <c r="I161" s="16"/>
      <c r="J161" s="8"/>
      <c r="K161" s="10"/>
      <c r="L161" s="10"/>
      <c r="M161" s="10"/>
      <c r="N161" s="30"/>
      <c r="O161" s="7">
        <f t="shared" si="57"/>
        <v>0</v>
      </c>
      <c r="P161" s="1"/>
    </row>
    <row r="162" spans="1:16" x14ac:dyDescent="0.15">
      <c r="A162" s="16" t="s">
        <v>110</v>
      </c>
      <c r="B162" s="8"/>
      <c r="C162" s="10">
        <v>5</v>
      </c>
      <c r="D162" s="10"/>
      <c r="E162" s="10"/>
      <c r="F162" s="30"/>
      <c r="G162" s="7">
        <f t="shared" si="56"/>
        <v>5</v>
      </c>
      <c r="H162" s="58">
        <v>42559</v>
      </c>
      <c r="I162" s="16"/>
      <c r="J162" s="8"/>
      <c r="K162" s="10"/>
      <c r="L162" s="10"/>
      <c r="M162" s="10"/>
      <c r="N162" s="30"/>
      <c r="O162" s="7">
        <f t="shared" si="57"/>
        <v>0</v>
      </c>
      <c r="P162" s="1"/>
    </row>
    <row r="163" spans="1:16" x14ac:dyDescent="0.15">
      <c r="A163" s="16" t="s">
        <v>22</v>
      </c>
      <c r="B163" s="8"/>
      <c r="C163" s="10"/>
      <c r="D163" s="10">
        <v>10</v>
      </c>
      <c r="E163" s="10"/>
      <c r="F163" s="30"/>
      <c r="G163" s="7">
        <f t="shared" si="56"/>
        <v>10</v>
      </c>
      <c r="H163" s="58">
        <v>42562</v>
      </c>
      <c r="I163" s="16"/>
      <c r="J163" s="8"/>
      <c r="K163" s="10"/>
      <c r="L163" s="10"/>
      <c r="M163" s="10"/>
      <c r="N163" s="30"/>
      <c r="O163" s="7">
        <f t="shared" si="57"/>
        <v>0</v>
      </c>
      <c r="P163" s="36"/>
    </row>
    <row r="164" spans="1:16" x14ac:dyDescent="0.15">
      <c r="A164" s="14" t="s">
        <v>191</v>
      </c>
      <c r="B164" s="8">
        <v>-1</v>
      </c>
      <c r="C164" s="10"/>
      <c r="D164" s="10"/>
      <c r="E164" s="10"/>
      <c r="F164" s="30"/>
      <c r="G164" s="7">
        <f t="shared" si="56"/>
        <v>-1</v>
      </c>
      <c r="H164" s="58">
        <v>42555</v>
      </c>
      <c r="I164" s="14"/>
      <c r="J164" s="8"/>
      <c r="K164" s="10"/>
      <c r="L164" s="10"/>
      <c r="M164" s="10"/>
      <c r="N164" s="30"/>
      <c r="O164" s="7">
        <f t="shared" si="57"/>
        <v>0</v>
      </c>
      <c r="P164" s="1"/>
    </row>
    <row r="165" spans="1:16" x14ac:dyDescent="0.15">
      <c r="A165" s="16" t="s">
        <v>192</v>
      </c>
      <c r="B165" s="11"/>
      <c r="C165" s="12">
        <v>-1</v>
      </c>
      <c r="D165" s="12"/>
      <c r="E165" s="12"/>
      <c r="F165" s="31"/>
      <c r="G165" s="7">
        <f t="shared" si="56"/>
        <v>-1</v>
      </c>
      <c r="H165" s="58">
        <v>42556</v>
      </c>
      <c r="I165" s="16"/>
      <c r="J165" s="8"/>
      <c r="K165" s="10"/>
      <c r="L165" s="10"/>
      <c r="M165" s="10"/>
      <c r="N165" s="30"/>
      <c r="O165" s="7">
        <f t="shared" si="57"/>
        <v>0</v>
      </c>
      <c r="P165" s="36"/>
    </row>
    <row r="166" spans="1:16" x14ac:dyDescent="0.15">
      <c r="A166" s="39" t="s">
        <v>38</v>
      </c>
      <c r="B166" s="8"/>
      <c r="C166" s="10">
        <v>1</v>
      </c>
      <c r="D166" s="10"/>
      <c r="E166" s="10"/>
      <c r="F166" s="30"/>
      <c r="G166" s="7">
        <f t="shared" si="56"/>
        <v>1</v>
      </c>
      <c r="H166" s="58">
        <v>42558</v>
      </c>
      <c r="I166" s="14"/>
      <c r="J166" s="8"/>
      <c r="K166" s="10"/>
      <c r="L166" s="10"/>
      <c r="M166" s="10"/>
      <c r="N166" s="30"/>
      <c r="O166" s="7">
        <f t="shared" si="57"/>
        <v>0</v>
      </c>
      <c r="P166" s="1"/>
    </row>
    <row r="167" spans="1:16" x14ac:dyDescent="0.15">
      <c r="A167" s="51" t="s">
        <v>196</v>
      </c>
      <c r="B167" s="8"/>
      <c r="C167" s="10">
        <v>1</v>
      </c>
      <c r="D167" s="10"/>
      <c r="E167" s="10">
        <v>2</v>
      </c>
      <c r="F167" s="30"/>
      <c r="G167" s="7">
        <f t="shared" si="56"/>
        <v>3</v>
      </c>
      <c r="H167" s="58">
        <v>42559</v>
      </c>
      <c r="I167" s="16"/>
      <c r="J167" s="11"/>
      <c r="K167" s="12"/>
      <c r="L167" s="12"/>
      <c r="M167" s="12"/>
      <c r="N167" s="31"/>
      <c r="O167" s="7">
        <f t="shared" si="57"/>
        <v>0</v>
      </c>
      <c r="P167" s="1"/>
    </row>
    <row r="168" spans="1:16" x14ac:dyDescent="0.15">
      <c r="A168" s="14" t="s">
        <v>197</v>
      </c>
      <c r="B168" s="8"/>
      <c r="C168" s="10"/>
      <c r="D168" s="10"/>
      <c r="E168" s="10">
        <v>1</v>
      </c>
      <c r="F168" s="30"/>
      <c r="G168" s="7">
        <f t="shared" si="56"/>
        <v>1</v>
      </c>
      <c r="H168" s="58">
        <v>42558</v>
      </c>
      <c r="I168" s="14"/>
      <c r="J168" s="8"/>
      <c r="K168" s="10"/>
      <c r="L168" s="10"/>
      <c r="M168" s="10"/>
      <c r="N168" s="30"/>
      <c r="O168" s="7">
        <f t="shared" si="57"/>
        <v>0</v>
      </c>
      <c r="P168" s="1"/>
    </row>
    <row r="169" spans="1:16" ht="14.25" thickBot="1" x14ac:dyDescent="0.2">
      <c r="A169" s="16" t="s">
        <v>198</v>
      </c>
      <c r="B169" s="11">
        <v>2</v>
      </c>
      <c r="C169" s="12">
        <v>2</v>
      </c>
      <c r="D169" s="12">
        <v>2</v>
      </c>
      <c r="E169" s="12">
        <v>2</v>
      </c>
      <c r="F169" s="31">
        <v>2</v>
      </c>
      <c r="G169" s="7">
        <f t="shared" si="56"/>
        <v>10</v>
      </c>
      <c r="H169" s="58">
        <v>42563</v>
      </c>
      <c r="I169" s="20"/>
      <c r="J169" s="11"/>
      <c r="K169" s="12"/>
      <c r="L169" s="12"/>
      <c r="M169" s="12"/>
      <c r="N169" s="31"/>
      <c r="O169" s="7">
        <f t="shared" si="57"/>
        <v>0</v>
      </c>
      <c r="P169" s="36"/>
    </row>
    <row r="170" spans="1:16" ht="14.25" thickBot="1" x14ac:dyDescent="0.2">
      <c r="A170" s="3" t="s">
        <v>11</v>
      </c>
      <c r="B170" s="23">
        <f>SUM(B144:B169)</f>
        <v>13</v>
      </c>
      <c r="C170" s="4">
        <f>SUM(C144:C169)</f>
        <v>22</v>
      </c>
      <c r="D170" s="4">
        <f>SUM(D144:D169)</f>
        <v>18</v>
      </c>
      <c r="E170" s="6">
        <f>SUM(E144:E169)</f>
        <v>31</v>
      </c>
      <c r="F170" s="32">
        <f>SUM(F144:F169)</f>
        <v>12</v>
      </c>
      <c r="G170" s="5">
        <f>SUM(B170:F170)</f>
        <v>96</v>
      </c>
      <c r="H170" s="56"/>
      <c r="I170" s="3" t="s">
        <v>11</v>
      </c>
      <c r="J170" s="23">
        <f>SUM(J144:J169)</f>
        <v>15</v>
      </c>
      <c r="K170" s="4">
        <f>SUM(K144:K169)</f>
        <v>15</v>
      </c>
      <c r="L170" s="4">
        <f>SUM(L144:L169)</f>
        <v>10</v>
      </c>
      <c r="M170" s="6">
        <f>SUM(M144:M169)</f>
        <v>25</v>
      </c>
      <c r="N170" s="32">
        <f>SUM(N144:N169)</f>
        <v>15</v>
      </c>
      <c r="O170" s="5">
        <f>SUM(J170:N170)</f>
        <v>80</v>
      </c>
      <c r="P170" s="1"/>
    </row>
    <row r="171" spans="1:16" ht="14.25" thickBot="1" x14ac:dyDescent="0.2">
      <c r="A171" s="25" t="s">
        <v>12</v>
      </c>
      <c r="B171" s="63">
        <f>B143-B170</f>
        <v>17</v>
      </c>
      <c r="C171" s="26">
        <f t="shared" ref="C171:G171" si="58">C143-C170</f>
        <v>8</v>
      </c>
      <c r="D171" s="71">
        <f t="shared" si="58"/>
        <v>13</v>
      </c>
      <c r="E171" s="26">
        <f t="shared" si="58"/>
        <v>10</v>
      </c>
      <c r="F171" s="70">
        <f t="shared" si="58"/>
        <v>15</v>
      </c>
      <c r="G171" s="27">
        <f t="shared" si="58"/>
        <v>63</v>
      </c>
      <c r="H171" s="58"/>
      <c r="I171" s="25" t="s">
        <v>12</v>
      </c>
      <c r="J171" s="63">
        <f>J143-J170</f>
        <v>140</v>
      </c>
      <c r="K171" s="26">
        <f t="shared" ref="K171:O171" si="59">K143-K170</f>
        <v>156</v>
      </c>
      <c r="L171" s="71">
        <f t="shared" si="59"/>
        <v>186</v>
      </c>
      <c r="M171" s="26">
        <f t="shared" si="59"/>
        <v>138</v>
      </c>
      <c r="N171" s="70">
        <f t="shared" si="59"/>
        <v>118</v>
      </c>
      <c r="O171" s="27">
        <f t="shared" si="59"/>
        <v>738</v>
      </c>
      <c r="P171" s="1"/>
    </row>
    <row r="172" spans="1:16" ht="21" x14ac:dyDescent="0.2">
      <c r="A172" s="86" t="s">
        <v>50</v>
      </c>
      <c r="B172" s="87"/>
      <c r="C172" s="87"/>
      <c r="D172" s="87"/>
      <c r="E172" s="87"/>
      <c r="F172" s="87"/>
      <c r="G172" s="87"/>
      <c r="H172" s="56"/>
      <c r="I172" s="86" t="s">
        <v>50</v>
      </c>
      <c r="J172" s="87"/>
      <c r="K172" s="87"/>
      <c r="L172" s="87"/>
      <c r="M172" s="87"/>
      <c r="N172" s="87"/>
      <c r="O172" s="87"/>
      <c r="P172" s="1"/>
    </row>
    <row r="173" spans="1:16" ht="21.75" thickBot="1" x14ac:dyDescent="0.25">
      <c r="A173" s="86" t="s">
        <v>51</v>
      </c>
      <c r="B173" s="87"/>
      <c r="C173" s="87"/>
      <c r="D173" s="87"/>
      <c r="E173" s="85"/>
      <c r="F173" s="88" t="s">
        <v>53</v>
      </c>
      <c r="G173" s="87"/>
      <c r="H173" s="56"/>
      <c r="I173" s="86" t="s">
        <v>51</v>
      </c>
      <c r="J173" s="87"/>
      <c r="K173" s="87"/>
      <c r="L173" s="87"/>
      <c r="M173" s="89"/>
      <c r="N173" s="88" t="s">
        <v>54</v>
      </c>
      <c r="O173" s="87"/>
      <c r="P173" s="1"/>
    </row>
    <row r="174" spans="1:16" ht="14.25" thickBot="1" x14ac:dyDescent="0.2">
      <c r="A174" s="13" t="s">
        <v>0</v>
      </c>
      <c r="B174" s="228" t="s">
        <v>52</v>
      </c>
      <c r="C174" s="229"/>
      <c r="D174" s="229"/>
      <c r="E174" s="229"/>
      <c r="F174" s="230"/>
      <c r="G174" s="231"/>
      <c r="H174" s="56"/>
      <c r="I174" s="13" t="s">
        <v>0</v>
      </c>
      <c r="J174" s="228" t="s">
        <v>49</v>
      </c>
      <c r="K174" s="229"/>
      <c r="L174" s="229"/>
      <c r="M174" s="229"/>
      <c r="N174" s="230"/>
      <c r="O174" s="231"/>
      <c r="P174" s="1"/>
    </row>
    <row r="175" spans="1:16" ht="14.25" thickBot="1" x14ac:dyDescent="0.2">
      <c r="A175" s="3" t="s">
        <v>1</v>
      </c>
      <c r="B175" s="2" t="s">
        <v>42</v>
      </c>
      <c r="C175" s="21" t="s">
        <v>43</v>
      </c>
      <c r="D175" s="21" t="s">
        <v>44</v>
      </c>
      <c r="E175" s="24" t="s">
        <v>45</v>
      </c>
      <c r="F175" s="33" t="s">
        <v>46</v>
      </c>
      <c r="G175" s="3" t="s">
        <v>2</v>
      </c>
      <c r="H175" s="58"/>
      <c r="I175" s="3" t="s">
        <v>1</v>
      </c>
      <c r="J175" s="2" t="s">
        <v>42</v>
      </c>
      <c r="K175" s="21" t="s">
        <v>43</v>
      </c>
      <c r="L175" s="21" t="s">
        <v>44</v>
      </c>
      <c r="M175" s="24" t="s">
        <v>45</v>
      </c>
      <c r="N175" s="33" t="s">
        <v>46</v>
      </c>
      <c r="O175" s="3" t="s">
        <v>2</v>
      </c>
      <c r="P175" s="1"/>
    </row>
    <row r="176" spans="1:16" ht="14.25" thickBot="1" x14ac:dyDescent="0.2">
      <c r="A176" s="72" t="s">
        <v>79</v>
      </c>
      <c r="B176" s="73">
        <f>B171</f>
        <v>17</v>
      </c>
      <c r="C176" s="74">
        <f t="shared" ref="C176:F176" si="60">C171</f>
        <v>8</v>
      </c>
      <c r="D176" s="107">
        <f t="shared" si="60"/>
        <v>13</v>
      </c>
      <c r="E176" s="75">
        <f t="shared" si="60"/>
        <v>10</v>
      </c>
      <c r="F176" s="75">
        <f t="shared" si="60"/>
        <v>15</v>
      </c>
      <c r="G176" s="76">
        <f t="shared" ref="G176:G185" si="61">SUM(B176:F176)</f>
        <v>63</v>
      </c>
      <c r="H176" s="58"/>
      <c r="I176" s="72" t="s">
        <v>79</v>
      </c>
      <c r="J176" s="73">
        <f>J171</f>
        <v>140</v>
      </c>
      <c r="K176" s="74">
        <f t="shared" ref="K176:N176" si="62">K171</f>
        <v>156</v>
      </c>
      <c r="L176" s="107">
        <f t="shared" si="62"/>
        <v>186</v>
      </c>
      <c r="M176" s="75">
        <f t="shared" si="62"/>
        <v>138</v>
      </c>
      <c r="N176" s="75">
        <f t="shared" si="62"/>
        <v>118</v>
      </c>
      <c r="O176" s="76">
        <f t="shared" ref="O176:O185" si="63">SUM(J176:N176)</f>
        <v>738</v>
      </c>
      <c r="P176" s="90"/>
    </row>
    <row r="177" spans="1:16" x14ac:dyDescent="0.15">
      <c r="A177" s="15" t="s">
        <v>15</v>
      </c>
      <c r="B177" s="37"/>
      <c r="C177" s="35">
        <v>10</v>
      </c>
      <c r="D177" s="35"/>
      <c r="E177" s="35">
        <v>10</v>
      </c>
      <c r="F177" s="28"/>
      <c r="G177" s="7">
        <f t="shared" si="61"/>
        <v>20</v>
      </c>
      <c r="H177" s="58">
        <v>42559</v>
      </c>
      <c r="I177" s="38" t="s">
        <v>15</v>
      </c>
      <c r="J177" s="37"/>
      <c r="K177" s="35"/>
      <c r="L177" s="35"/>
      <c r="M177" s="35"/>
      <c r="N177" s="28"/>
      <c r="O177" s="7">
        <f t="shared" si="63"/>
        <v>0</v>
      </c>
      <c r="P177" s="36"/>
    </row>
    <row r="178" spans="1:16" x14ac:dyDescent="0.15">
      <c r="A178" s="15" t="s">
        <v>16</v>
      </c>
      <c r="B178" s="8"/>
      <c r="C178" s="10"/>
      <c r="D178" s="10"/>
      <c r="E178" s="10"/>
      <c r="F178" s="28">
        <v>10</v>
      </c>
      <c r="G178" s="9">
        <f t="shared" si="61"/>
        <v>10</v>
      </c>
      <c r="H178" s="58">
        <v>42565</v>
      </c>
      <c r="I178" s="15" t="s">
        <v>3</v>
      </c>
      <c r="J178" s="8"/>
      <c r="K178" s="10"/>
      <c r="L178" s="10"/>
      <c r="M178" s="10"/>
      <c r="N178" s="28"/>
      <c r="O178" s="9">
        <f t="shared" si="63"/>
        <v>0</v>
      </c>
      <c r="P178" s="36"/>
    </row>
    <row r="179" spans="1:16" x14ac:dyDescent="0.15">
      <c r="A179" s="15" t="s">
        <v>214</v>
      </c>
      <c r="B179" s="8"/>
      <c r="C179" s="10"/>
      <c r="D179" s="10">
        <v>2</v>
      </c>
      <c r="E179" s="10"/>
      <c r="F179" s="28">
        <v>1</v>
      </c>
      <c r="G179" s="9">
        <f t="shared" si="61"/>
        <v>3</v>
      </c>
      <c r="H179" s="58">
        <v>42564</v>
      </c>
      <c r="I179" s="15" t="s">
        <v>4</v>
      </c>
      <c r="J179" s="8"/>
      <c r="K179" s="45"/>
      <c r="L179" s="45"/>
      <c r="M179" s="45"/>
      <c r="N179" s="46"/>
      <c r="O179" s="9">
        <f t="shared" si="63"/>
        <v>0</v>
      </c>
      <c r="P179" s="36"/>
    </row>
    <row r="180" spans="1:16" x14ac:dyDescent="0.15">
      <c r="A180" s="15" t="s">
        <v>20</v>
      </c>
      <c r="B180" s="8"/>
      <c r="C180" s="10"/>
      <c r="D180" s="10">
        <v>10</v>
      </c>
      <c r="E180" s="10"/>
      <c r="F180" s="28">
        <v>10</v>
      </c>
      <c r="G180" s="9">
        <f t="shared" si="61"/>
        <v>20</v>
      </c>
      <c r="H180" s="36">
        <v>42567</v>
      </c>
      <c r="I180" s="15" t="s">
        <v>5</v>
      </c>
      <c r="J180" s="8"/>
      <c r="K180" s="45"/>
      <c r="L180" s="45"/>
      <c r="M180" s="45"/>
      <c r="N180" s="46"/>
      <c r="O180" s="9">
        <f t="shared" si="63"/>
        <v>0</v>
      </c>
      <c r="P180" s="1"/>
    </row>
    <row r="181" spans="1:16" x14ac:dyDescent="0.15">
      <c r="A181" s="15" t="s">
        <v>19</v>
      </c>
      <c r="B181" s="8"/>
      <c r="C181" s="10">
        <v>1</v>
      </c>
      <c r="D181" s="10"/>
      <c r="E181" s="10"/>
      <c r="F181" s="28"/>
      <c r="G181" s="9">
        <f t="shared" ref="G181" si="64">SUM(B181:F181)</f>
        <v>1</v>
      </c>
      <c r="H181" s="58">
        <v>42566</v>
      </c>
      <c r="I181" s="15" t="s">
        <v>6</v>
      </c>
      <c r="J181" s="8"/>
      <c r="K181" s="45"/>
      <c r="L181" s="45"/>
      <c r="M181" s="45"/>
      <c r="N181" s="46"/>
      <c r="O181" s="9">
        <f t="shared" si="63"/>
        <v>0</v>
      </c>
      <c r="P181" s="1"/>
    </row>
    <row r="182" spans="1:16" x14ac:dyDescent="0.15">
      <c r="A182" s="15" t="s">
        <v>221</v>
      </c>
      <c r="B182" s="8"/>
      <c r="C182" s="10"/>
      <c r="D182" s="10"/>
      <c r="E182" s="10">
        <v>1</v>
      </c>
      <c r="F182" s="28"/>
      <c r="G182" s="9">
        <f t="shared" si="61"/>
        <v>1</v>
      </c>
      <c r="H182" s="58">
        <v>42570</v>
      </c>
      <c r="I182" s="15" t="s">
        <v>84</v>
      </c>
      <c r="J182" s="8"/>
      <c r="K182" s="45"/>
      <c r="L182" s="45"/>
      <c r="M182" s="45"/>
      <c r="N182" s="46"/>
      <c r="O182" s="7">
        <f t="shared" si="63"/>
        <v>0</v>
      </c>
      <c r="P182" s="1"/>
    </row>
    <row r="183" spans="1:16" x14ac:dyDescent="0.15">
      <c r="A183" s="15" t="s">
        <v>82</v>
      </c>
      <c r="B183" s="8"/>
      <c r="C183" s="10">
        <v>10</v>
      </c>
      <c r="D183" s="10"/>
      <c r="E183" s="10">
        <v>10</v>
      </c>
      <c r="F183" s="28">
        <v>15</v>
      </c>
      <c r="G183" s="9">
        <f t="shared" si="61"/>
        <v>35</v>
      </c>
      <c r="H183" s="58">
        <v>42577</v>
      </c>
      <c r="I183" s="15" t="s">
        <v>85</v>
      </c>
      <c r="J183" s="8"/>
      <c r="K183" s="45"/>
      <c r="L183" s="45"/>
      <c r="M183" s="45"/>
      <c r="N183" s="46"/>
      <c r="O183" s="7">
        <f t="shared" si="63"/>
        <v>0</v>
      </c>
      <c r="P183" s="1"/>
    </row>
    <row r="184" spans="1:16" x14ac:dyDescent="0.15">
      <c r="A184" s="15" t="s">
        <v>83</v>
      </c>
      <c r="B184" s="11">
        <v>5</v>
      </c>
      <c r="C184" s="100"/>
      <c r="D184" s="100">
        <v>10</v>
      </c>
      <c r="E184" s="100"/>
      <c r="F184" s="109"/>
      <c r="G184" s="9">
        <f t="shared" si="61"/>
        <v>15</v>
      </c>
      <c r="H184" s="58">
        <v>42579</v>
      </c>
      <c r="I184" s="15" t="s">
        <v>86</v>
      </c>
      <c r="J184" s="8"/>
      <c r="K184" s="45"/>
      <c r="L184" s="45"/>
      <c r="M184" s="45"/>
      <c r="N184" s="46"/>
      <c r="O184" s="102">
        <f t="shared" si="63"/>
        <v>0</v>
      </c>
      <c r="P184" s="1"/>
    </row>
    <row r="185" spans="1:16" ht="14.25" thickBot="1" x14ac:dyDescent="0.2">
      <c r="A185" s="15" t="s">
        <v>19</v>
      </c>
      <c r="B185" s="11"/>
      <c r="C185" s="100"/>
      <c r="D185" s="100"/>
      <c r="E185" s="100"/>
      <c r="F185" s="109">
        <v>1</v>
      </c>
      <c r="G185" s="115">
        <f t="shared" si="61"/>
        <v>1</v>
      </c>
      <c r="H185" s="58">
        <v>42579</v>
      </c>
      <c r="I185" s="15" t="s">
        <v>87</v>
      </c>
      <c r="J185" s="47"/>
      <c r="K185" s="48"/>
      <c r="L185" s="48"/>
      <c r="M185" s="48"/>
      <c r="N185" s="49"/>
      <c r="O185" s="40">
        <f t="shared" si="63"/>
        <v>0</v>
      </c>
      <c r="P185" s="1"/>
    </row>
    <row r="186" spans="1:16" ht="14.25" thickBot="1" x14ac:dyDescent="0.2">
      <c r="A186" s="72" t="s">
        <v>7</v>
      </c>
      <c r="B186" s="73">
        <f>SUM(B176:B185)</f>
        <v>22</v>
      </c>
      <c r="C186" s="74">
        <f t="shared" ref="C186:G186" si="65">SUM(C176:C185)</f>
        <v>29</v>
      </c>
      <c r="D186" s="74">
        <f t="shared" si="65"/>
        <v>35</v>
      </c>
      <c r="E186" s="74">
        <f t="shared" si="65"/>
        <v>31</v>
      </c>
      <c r="F186" s="105">
        <f t="shared" si="65"/>
        <v>52</v>
      </c>
      <c r="G186" s="76">
        <f t="shared" si="65"/>
        <v>169</v>
      </c>
      <c r="H186" s="58"/>
      <c r="I186" s="72" t="s">
        <v>7</v>
      </c>
      <c r="J186" s="73">
        <f>SUM(J176:J185)</f>
        <v>140</v>
      </c>
      <c r="K186" s="74">
        <f t="shared" ref="K186:O186" si="66">SUM(K176:K185)</f>
        <v>156</v>
      </c>
      <c r="L186" s="74">
        <f t="shared" si="66"/>
        <v>186</v>
      </c>
      <c r="M186" s="74">
        <f t="shared" si="66"/>
        <v>138</v>
      </c>
      <c r="N186" s="105">
        <f t="shared" si="66"/>
        <v>118</v>
      </c>
      <c r="O186" s="76">
        <f t="shared" si="66"/>
        <v>738</v>
      </c>
      <c r="P186" s="69"/>
    </row>
    <row r="187" spans="1:16" x14ac:dyDescent="0.15">
      <c r="A187" s="51" t="s">
        <v>204</v>
      </c>
      <c r="B187" s="8"/>
      <c r="C187" s="10">
        <v>1</v>
      </c>
      <c r="D187" s="10"/>
      <c r="E187" s="10"/>
      <c r="F187" s="30"/>
      <c r="G187" s="7">
        <f t="shared" ref="G187:G212" si="67">SUM(B187:F187)</f>
        <v>1</v>
      </c>
      <c r="H187" s="36">
        <v>42560</v>
      </c>
      <c r="I187" s="16" t="s">
        <v>200</v>
      </c>
      <c r="J187" s="8"/>
      <c r="K187" s="10">
        <v>10</v>
      </c>
      <c r="L187" s="10"/>
      <c r="M187" s="10">
        <v>10</v>
      </c>
      <c r="N187" s="28"/>
      <c r="O187" s="9">
        <f t="shared" ref="O187:O212" si="68">SUM(J187:N187)</f>
        <v>20</v>
      </c>
      <c r="P187" s="58">
        <v>42559</v>
      </c>
    </row>
    <row r="188" spans="1:16" x14ac:dyDescent="0.15">
      <c r="A188" s="51" t="s">
        <v>207</v>
      </c>
      <c r="B188" s="8"/>
      <c r="C188" s="10">
        <v>1</v>
      </c>
      <c r="D188" s="10">
        <v>1</v>
      </c>
      <c r="E188" s="10">
        <v>1</v>
      </c>
      <c r="F188" s="30"/>
      <c r="G188" s="7">
        <f t="shared" si="67"/>
        <v>3</v>
      </c>
      <c r="H188" s="58">
        <v>42563</v>
      </c>
      <c r="I188" s="16" t="s">
        <v>210</v>
      </c>
      <c r="J188" s="8"/>
      <c r="K188" s="10"/>
      <c r="L188" s="10"/>
      <c r="M188" s="10"/>
      <c r="N188" s="30">
        <v>10</v>
      </c>
      <c r="O188" s="7">
        <f t="shared" si="68"/>
        <v>10</v>
      </c>
      <c r="P188" s="36">
        <v>42565</v>
      </c>
    </row>
    <row r="189" spans="1:16" x14ac:dyDescent="0.15">
      <c r="A189" s="16" t="s">
        <v>38</v>
      </c>
      <c r="B189" s="8"/>
      <c r="C189" s="10"/>
      <c r="D189" s="10">
        <v>1</v>
      </c>
      <c r="E189" s="10"/>
      <c r="F189" s="30"/>
      <c r="G189" s="7">
        <f t="shared" si="67"/>
        <v>1</v>
      </c>
      <c r="H189" s="58">
        <v>42563</v>
      </c>
      <c r="I189" s="16" t="s">
        <v>37</v>
      </c>
      <c r="J189" s="8"/>
      <c r="K189" s="10"/>
      <c r="L189" s="10">
        <v>10</v>
      </c>
      <c r="M189" s="10"/>
      <c r="N189" s="30">
        <v>10</v>
      </c>
      <c r="O189" s="7">
        <f t="shared" si="68"/>
        <v>20</v>
      </c>
      <c r="P189" s="36">
        <v>42567</v>
      </c>
    </row>
    <row r="190" spans="1:16" x14ac:dyDescent="0.15">
      <c r="A190" s="51" t="s">
        <v>208</v>
      </c>
      <c r="B190" s="8"/>
      <c r="C190" s="10">
        <v>2</v>
      </c>
      <c r="D190" s="10"/>
      <c r="E190" s="10"/>
      <c r="F190" s="30"/>
      <c r="G190" s="7">
        <f t="shared" si="67"/>
        <v>2</v>
      </c>
      <c r="H190" s="58">
        <v>42565</v>
      </c>
      <c r="I190" s="16" t="s">
        <v>225</v>
      </c>
      <c r="J190" s="8">
        <v>7</v>
      </c>
      <c r="K190" s="10">
        <v>28</v>
      </c>
      <c r="L190" s="10">
        <v>7</v>
      </c>
      <c r="M190" s="10">
        <v>10</v>
      </c>
      <c r="N190" s="30">
        <v>7</v>
      </c>
      <c r="O190" s="7">
        <f t="shared" si="68"/>
        <v>59</v>
      </c>
      <c r="P190" s="36">
        <v>42573</v>
      </c>
    </row>
    <row r="191" spans="1:16" x14ac:dyDescent="0.15">
      <c r="A191" s="16" t="s">
        <v>22</v>
      </c>
      <c r="B191" s="8"/>
      <c r="C191" s="10" t="s">
        <v>209</v>
      </c>
      <c r="D191" s="10"/>
      <c r="E191" s="10"/>
      <c r="F191" s="30">
        <v>10</v>
      </c>
      <c r="G191" s="7">
        <f t="shared" si="67"/>
        <v>10</v>
      </c>
      <c r="H191" s="58">
        <v>42570</v>
      </c>
      <c r="I191" s="16" t="s">
        <v>37</v>
      </c>
      <c r="J191" s="8"/>
      <c r="K191" s="10">
        <v>10</v>
      </c>
      <c r="L191" s="10"/>
      <c r="M191" s="10">
        <v>10</v>
      </c>
      <c r="N191" s="30">
        <v>15</v>
      </c>
      <c r="O191" s="7">
        <f t="shared" si="68"/>
        <v>35</v>
      </c>
      <c r="P191" s="36">
        <v>42577</v>
      </c>
    </row>
    <row r="192" spans="1:16" x14ac:dyDescent="0.15">
      <c r="A192" s="16" t="s">
        <v>211</v>
      </c>
      <c r="B192" s="8"/>
      <c r="C192" s="10"/>
      <c r="D192" s="10"/>
      <c r="E192" s="10"/>
      <c r="F192" s="30">
        <v>3</v>
      </c>
      <c r="G192" s="7">
        <f t="shared" si="67"/>
        <v>3</v>
      </c>
      <c r="H192" s="58">
        <v>42570</v>
      </c>
      <c r="I192" s="16" t="s">
        <v>37</v>
      </c>
      <c r="J192" s="8">
        <v>5</v>
      </c>
      <c r="K192" s="10"/>
      <c r="L192" s="10">
        <v>10</v>
      </c>
      <c r="M192" s="10"/>
      <c r="N192" s="30"/>
      <c r="O192" s="7">
        <f t="shared" si="68"/>
        <v>15</v>
      </c>
      <c r="P192" s="36">
        <v>42579</v>
      </c>
    </row>
    <row r="193" spans="1:17" x14ac:dyDescent="0.15">
      <c r="A193" s="16" t="s">
        <v>212</v>
      </c>
      <c r="B193" s="8"/>
      <c r="C193" s="10"/>
      <c r="D193" s="10"/>
      <c r="E193" s="10"/>
      <c r="F193" s="30">
        <v>1</v>
      </c>
      <c r="G193" s="7">
        <f t="shared" si="67"/>
        <v>1</v>
      </c>
      <c r="H193" s="58">
        <v>42565</v>
      </c>
      <c r="I193" s="16"/>
      <c r="J193" s="8"/>
      <c r="K193" s="10"/>
      <c r="L193" s="10"/>
      <c r="M193" s="10"/>
      <c r="N193" s="30"/>
      <c r="O193" s="7">
        <f t="shared" si="68"/>
        <v>0</v>
      </c>
      <c r="P193" s="36"/>
    </row>
    <row r="194" spans="1:17" x14ac:dyDescent="0.15">
      <c r="A194" s="16" t="s">
        <v>25</v>
      </c>
      <c r="B194" s="8"/>
      <c r="C194" s="10"/>
      <c r="D194" s="10">
        <v>1</v>
      </c>
      <c r="E194" s="10">
        <v>1</v>
      </c>
      <c r="F194" s="30"/>
      <c r="G194" s="7">
        <f t="shared" si="67"/>
        <v>2</v>
      </c>
      <c r="H194" s="58">
        <v>42566</v>
      </c>
      <c r="I194" s="16"/>
      <c r="J194" s="8"/>
      <c r="K194" s="10"/>
      <c r="L194" s="10"/>
      <c r="M194" s="10"/>
      <c r="N194" s="30"/>
      <c r="O194" s="7">
        <f t="shared" si="68"/>
        <v>0</v>
      </c>
      <c r="P194" s="1"/>
    </row>
    <row r="195" spans="1:17" x14ac:dyDescent="0.15">
      <c r="A195" s="16" t="s">
        <v>38</v>
      </c>
      <c r="B195" s="8"/>
      <c r="C195" s="10"/>
      <c r="D195" s="10"/>
      <c r="E195" s="10"/>
      <c r="F195" s="30">
        <v>1</v>
      </c>
      <c r="G195" s="7">
        <f t="shared" si="67"/>
        <v>1</v>
      </c>
      <c r="H195" s="58">
        <v>42566</v>
      </c>
      <c r="I195" s="39"/>
      <c r="J195" s="8"/>
      <c r="K195" s="10"/>
      <c r="L195" s="10"/>
      <c r="M195" s="10"/>
      <c r="N195" s="30"/>
      <c r="O195" s="7">
        <f t="shared" si="68"/>
        <v>0</v>
      </c>
      <c r="P195" s="1"/>
    </row>
    <row r="196" spans="1:17" x14ac:dyDescent="0.15">
      <c r="A196" s="14" t="s">
        <v>216</v>
      </c>
      <c r="B196" s="11">
        <v>1</v>
      </c>
      <c r="C196" s="12">
        <v>1</v>
      </c>
      <c r="D196" s="12">
        <v>1</v>
      </c>
      <c r="E196" s="12">
        <v>1</v>
      </c>
      <c r="F196" s="31">
        <v>1</v>
      </c>
      <c r="G196" s="7">
        <f t="shared" si="67"/>
        <v>5</v>
      </c>
      <c r="H196" s="58">
        <v>42566</v>
      </c>
      <c r="I196" s="16"/>
      <c r="J196" s="11"/>
      <c r="K196" s="12"/>
      <c r="L196" s="12"/>
      <c r="M196" s="12"/>
      <c r="N196" s="31"/>
      <c r="O196" s="7">
        <f t="shared" si="68"/>
        <v>0</v>
      </c>
      <c r="P196" s="1"/>
    </row>
    <row r="197" spans="1:17" x14ac:dyDescent="0.15">
      <c r="A197" s="14" t="s">
        <v>220</v>
      </c>
      <c r="B197" s="8"/>
      <c r="C197" s="10"/>
      <c r="D197" s="10"/>
      <c r="E197" s="10">
        <v>5</v>
      </c>
      <c r="F197" s="30"/>
      <c r="G197" s="7">
        <f t="shared" si="67"/>
        <v>5</v>
      </c>
      <c r="H197" s="58">
        <v>42577</v>
      </c>
      <c r="I197" s="16"/>
      <c r="J197" s="8"/>
      <c r="K197" s="10"/>
      <c r="L197" s="10"/>
      <c r="M197" s="10"/>
      <c r="N197" s="30"/>
      <c r="O197" s="7">
        <f t="shared" si="68"/>
        <v>0</v>
      </c>
      <c r="P197" s="1"/>
    </row>
    <row r="198" spans="1:17" x14ac:dyDescent="0.15">
      <c r="A198" s="16" t="s">
        <v>223</v>
      </c>
      <c r="B198" s="8"/>
      <c r="C198" s="10"/>
      <c r="D198" s="10"/>
      <c r="E198" s="10"/>
      <c r="F198" s="30">
        <v>10</v>
      </c>
      <c r="G198" s="7">
        <f t="shared" si="67"/>
        <v>10</v>
      </c>
      <c r="H198" s="58">
        <v>42576</v>
      </c>
      <c r="I198" s="39"/>
      <c r="J198" s="8"/>
      <c r="K198" s="10"/>
      <c r="L198" s="10"/>
      <c r="M198" s="10"/>
      <c r="N198" s="30"/>
      <c r="O198" s="7">
        <f t="shared" si="68"/>
        <v>0</v>
      </c>
      <c r="P198" s="1"/>
      <c r="Q198" s="56"/>
    </row>
    <row r="199" spans="1:17" x14ac:dyDescent="0.15">
      <c r="A199" s="16" t="s">
        <v>110</v>
      </c>
      <c r="B199" s="8"/>
      <c r="C199" s="10"/>
      <c r="D199" s="10"/>
      <c r="E199" s="10">
        <v>3</v>
      </c>
      <c r="F199" s="30"/>
      <c r="G199" s="7">
        <f t="shared" si="67"/>
        <v>3</v>
      </c>
      <c r="H199" s="58">
        <v>42577</v>
      </c>
      <c r="I199" s="16"/>
      <c r="J199" s="8"/>
      <c r="K199" s="10"/>
      <c r="L199" s="10"/>
      <c r="M199" s="10"/>
      <c r="N199" s="30"/>
      <c r="O199" s="7">
        <f t="shared" si="68"/>
        <v>0</v>
      </c>
      <c r="P199" s="1"/>
    </row>
    <row r="200" spans="1:17" x14ac:dyDescent="0.15">
      <c r="A200" s="16" t="s">
        <v>227</v>
      </c>
      <c r="B200" s="8"/>
      <c r="C200" s="10"/>
      <c r="D200" s="10"/>
      <c r="E200" s="10"/>
      <c r="F200" s="30">
        <v>1</v>
      </c>
      <c r="G200" s="7">
        <f t="shared" si="67"/>
        <v>1</v>
      </c>
      <c r="H200" s="58">
        <v>42573</v>
      </c>
      <c r="I200" s="16"/>
      <c r="J200" s="8"/>
      <c r="K200" s="10"/>
      <c r="L200" s="10"/>
      <c r="M200" s="10"/>
      <c r="N200" s="30"/>
      <c r="O200" s="7">
        <f t="shared" si="68"/>
        <v>0</v>
      </c>
      <c r="P200" s="36"/>
    </row>
    <row r="201" spans="1:17" x14ac:dyDescent="0.15">
      <c r="A201" s="16" t="s">
        <v>25</v>
      </c>
      <c r="B201" s="8"/>
      <c r="C201" s="10"/>
      <c r="D201" s="10"/>
      <c r="E201" s="10">
        <v>1</v>
      </c>
      <c r="F201" s="30">
        <v>1</v>
      </c>
      <c r="G201" s="7">
        <f t="shared" si="67"/>
        <v>2</v>
      </c>
      <c r="H201" s="58">
        <v>42577</v>
      </c>
      <c r="I201" s="16"/>
      <c r="J201" s="8"/>
      <c r="K201" s="10"/>
      <c r="L201" s="10"/>
      <c r="M201" s="10"/>
      <c r="N201" s="30"/>
      <c r="O201" s="7">
        <f t="shared" si="68"/>
        <v>0</v>
      </c>
      <c r="P201" s="36"/>
    </row>
    <row r="202" spans="1:17" x14ac:dyDescent="0.15">
      <c r="A202" s="16" t="s">
        <v>230</v>
      </c>
      <c r="B202" s="8">
        <v>4</v>
      </c>
      <c r="C202" s="10">
        <v>11</v>
      </c>
      <c r="D202" s="10">
        <v>5</v>
      </c>
      <c r="E202" s="10">
        <v>4</v>
      </c>
      <c r="F202" s="30">
        <v>6</v>
      </c>
      <c r="G202" s="7">
        <f t="shared" si="67"/>
        <v>30</v>
      </c>
      <c r="H202" s="58">
        <v>42578</v>
      </c>
      <c r="I202" s="16"/>
      <c r="J202" s="8"/>
      <c r="K202" s="10"/>
      <c r="L202" s="10"/>
      <c r="M202" s="10"/>
      <c r="N202" s="30"/>
      <c r="O202" s="7">
        <f t="shared" si="68"/>
        <v>0</v>
      </c>
      <c r="P202" s="1"/>
    </row>
    <row r="203" spans="1:17" x14ac:dyDescent="0.15">
      <c r="A203" s="16" t="s">
        <v>117</v>
      </c>
      <c r="B203" s="8"/>
      <c r="C203" s="10"/>
      <c r="D203" s="10"/>
      <c r="E203" s="10"/>
      <c r="F203" s="30">
        <v>1</v>
      </c>
      <c r="G203" s="7">
        <f t="shared" si="67"/>
        <v>1</v>
      </c>
      <c r="H203" s="58">
        <v>42577</v>
      </c>
      <c r="I203" s="14"/>
      <c r="J203" s="8"/>
      <c r="K203" s="10"/>
      <c r="L203" s="10"/>
      <c r="M203" s="10"/>
      <c r="N203" s="30"/>
      <c r="O203" s="7">
        <f t="shared" si="68"/>
        <v>0</v>
      </c>
      <c r="P203" s="36"/>
    </row>
    <row r="204" spans="1:17" x14ac:dyDescent="0.15">
      <c r="A204" s="16" t="s">
        <v>232</v>
      </c>
      <c r="B204" s="8"/>
      <c r="C204" s="10"/>
      <c r="D204" s="10"/>
      <c r="E204" s="10">
        <v>1</v>
      </c>
      <c r="F204" s="30"/>
      <c r="G204" s="7">
        <f t="shared" si="67"/>
        <v>1</v>
      </c>
      <c r="H204" s="58">
        <v>42578</v>
      </c>
      <c r="I204" s="16"/>
      <c r="J204" s="8"/>
      <c r="K204" s="10"/>
      <c r="L204" s="10"/>
      <c r="M204" s="10"/>
      <c r="N204" s="30"/>
      <c r="O204" s="7">
        <f t="shared" si="68"/>
        <v>0</v>
      </c>
      <c r="P204" s="1"/>
    </row>
    <row r="205" spans="1:17" x14ac:dyDescent="0.15">
      <c r="A205" s="16" t="s">
        <v>22</v>
      </c>
      <c r="B205" s="8"/>
      <c r="C205" s="10"/>
      <c r="D205" s="10">
        <v>10</v>
      </c>
      <c r="E205" s="10"/>
      <c r="F205" s="30"/>
      <c r="G205" s="7">
        <f t="shared" si="67"/>
        <v>10</v>
      </c>
      <c r="H205" s="58">
        <v>42583</v>
      </c>
      <c r="I205" s="16"/>
      <c r="J205" s="8"/>
      <c r="K205" s="10"/>
      <c r="L205" s="10"/>
      <c r="M205" s="10"/>
      <c r="N205" s="30"/>
      <c r="O205" s="7">
        <f t="shared" si="68"/>
        <v>0</v>
      </c>
      <c r="P205" s="1"/>
    </row>
    <row r="206" spans="1:17" x14ac:dyDescent="0.15">
      <c r="A206" s="16" t="s">
        <v>110</v>
      </c>
      <c r="B206" s="8">
        <v>2</v>
      </c>
      <c r="C206" s="10"/>
      <c r="D206" s="10"/>
      <c r="E206" s="10"/>
      <c r="F206" s="30"/>
      <c r="G206" s="7">
        <f t="shared" si="67"/>
        <v>2</v>
      </c>
      <c r="H206" s="58">
        <v>42583</v>
      </c>
      <c r="I206" s="16"/>
      <c r="J206" s="8"/>
      <c r="K206" s="10"/>
      <c r="L206" s="10"/>
      <c r="M206" s="10"/>
      <c r="N206" s="30"/>
      <c r="O206" s="7">
        <f t="shared" si="68"/>
        <v>0</v>
      </c>
      <c r="P206" s="36"/>
    </row>
    <row r="207" spans="1:17" x14ac:dyDescent="0.15">
      <c r="A207" s="16" t="s">
        <v>25</v>
      </c>
      <c r="B207" s="8"/>
      <c r="C207" s="10"/>
      <c r="D207" s="10"/>
      <c r="E207" s="10"/>
      <c r="F207" s="30">
        <v>1</v>
      </c>
      <c r="G207" s="7">
        <f t="shared" si="67"/>
        <v>1</v>
      </c>
      <c r="H207" s="58">
        <v>42581</v>
      </c>
      <c r="I207" s="14"/>
      <c r="J207" s="8"/>
      <c r="K207" s="10"/>
      <c r="L207" s="10"/>
      <c r="M207" s="10"/>
      <c r="N207" s="30"/>
      <c r="O207" s="7">
        <f t="shared" si="68"/>
        <v>0</v>
      </c>
      <c r="P207" s="1"/>
    </row>
    <row r="208" spans="1:17" x14ac:dyDescent="0.15">
      <c r="A208" s="16" t="s">
        <v>215</v>
      </c>
      <c r="B208" s="11"/>
      <c r="C208" s="12"/>
      <c r="D208" s="12"/>
      <c r="E208" s="12">
        <v>1</v>
      </c>
      <c r="F208" s="31"/>
      <c r="G208" s="7">
        <f t="shared" si="67"/>
        <v>1</v>
      </c>
      <c r="H208" s="58">
        <v>42586</v>
      </c>
      <c r="I208" s="16"/>
      <c r="J208" s="8"/>
      <c r="K208" s="10"/>
      <c r="L208" s="10"/>
      <c r="M208" s="10"/>
      <c r="N208" s="30"/>
      <c r="O208" s="7">
        <f t="shared" si="68"/>
        <v>0</v>
      </c>
      <c r="P208" s="36"/>
    </row>
    <row r="209" spans="1:16" x14ac:dyDescent="0.15">
      <c r="A209" s="39" t="s">
        <v>242</v>
      </c>
      <c r="B209" s="8"/>
      <c r="C209" s="10"/>
      <c r="D209" s="10">
        <v>-1</v>
      </c>
      <c r="E209" s="10"/>
      <c r="F209" s="30"/>
      <c r="G209" s="7">
        <f t="shared" si="67"/>
        <v>-1</v>
      </c>
      <c r="H209" s="58">
        <v>42584</v>
      </c>
      <c r="I209" s="14"/>
      <c r="J209" s="8"/>
      <c r="K209" s="10"/>
      <c r="L209" s="10"/>
      <c r="M209" s="10"/>
      <c r="N209" s="30"/>
      <c r="O209" s="7">
        <f t="shared" si="68"/>
        <v>0</v>
      </c>
      <c r="P209" s="1"/>
    </row>
    <row r="210" spans="1:16" x14ac:dyDescent="0.15">
      <c r="A210" s="39" t="s">
        <v>114</v>
      </c>
      <c r="B210" s="8"/>
      <c r="C210" s="10"/>
      <c r="D210" s="10"/>
      <c r="E210" s="10"/>
      <c r="F210" s="30">
        <v>-1</v>
      </c>
      <c r="G210" s="7">
        <f t="shared" si="67"/>
        <v>-1</v>
      </c>
      <c r="H210" s="58">
        <v>42585</v>
      </c>
      <c r="I210" s="16"/>
      <c r="J210" s="11"/>
      <c r="K210" s="12"/>
      <c r="L210" s="12"/>
      <c r="M210" s="12"/>
      <c r="N210" s="31"/>
      <c r="O210" s="7">
        <f t="shared" si="68"/>
        <v>0</v>
      </c>
      <c r="P210" s="1"/>
    </row>
    <row r="211" spans="1:16" x14ac:dyDescent="0.15">
      <c r="A211" s="14" t="s">
        <v>244</v>
      </c>
      <c r="B211" s="8"/>
      <c r="C211" s="10"/>
      <c r="D211" s="10">
        <v>-1</v>
      </c>
      <c r="E211" s="10"/>
      <c r="F211" s="30"/>
      <c r="G211" s="7">
        <f t="shared" si="67"/>
        <v>-1</v>
      </c>
      <c r="H211" s="58">
        <v>42585</v>
      </c>
      <c r="I211" s="14"/>
      <c r="J211" s="8"/>
      <c r="K211" s="10"/>
      <c r="L211" s="10"/>
      <c r="M211" s="10"/>
      <c r="N211" s="30"/>
      <c r="O211" s="7">
        <f t="shared" si="68"/>
        <v>0</v>
      </c>
      <c r="P211" s="1"/>
    </row>
    <row r="212" spans="1:16" ht="14.25" thickBot="1" x14ac:dyDescent="0.2">
      <c r="A212" s="16" t="s">
        <v>245</v>
      </c>
      <c r="B212" s="11"/>
      <c r="C212" s="12"/>
      <c r="D212" s="12"/>
      <c r="E212" s="12"/>
      <c r="F212" s="31">
        <v>-1</v>
      </c>
      <c r="G212" s="7">
        <f t="shared" si="67"/>
        <v>-1</v>
      </c>
      <c r="H212" s="58">
        <v>42586</v>
      </c>
      <c r="I212" s="20"/>
      <c r="J212" s="11"/>
      <c r="K212" s="12"/>
      <c r="L212" s="12"/>
      <c r="M212" s="12"/>
      <c r="N212" s="31"/>
      <c r="O212" s="7">
        <f t="shared" si="68"/>
        <v>0</v>
      </c>
      <c r="P212" s="36"/>
    </row>
    <row r="213" spans="1:16" ht="14.25" thickBot="1" x14ac:dyDescent="0.2">
      <c r="A213" s="3" t="s">
        <v>11</v>
      </c>
      <c r="B213" s="23">
        <f>SUM(B187:B212)</f>
        <v>7</v>
      </c>
      <c r="C213" s="4">
        <f>SUM(C187:C212)</f>
        <v>16</v>
      </c>
      <c r="D213" s="4">
        <f>SUM(D187:D212)</f>
        <v>17</v>
      </c>
      <c r="E213" s="6">
        <f>SUM(E187:E212)</f>
        <v>18</v>
      </c>
      <c r="F213" s="32">
        <f>SUM(F187:F212)</f>
        <v>34</v>
      </c>
      <c r="G213" s="5">
        <f>SUM(B213:F213)</f>
        <v>92</v>
      </c>
      <c r="H213" s="56"/>
      <c r="I213" s="3" t="s">
        <v>11</v>
      </c>
      <c r="J213" s="23">
        <f>SUM(J187:J212)</f>
        <v>12</v>
      </c>
      <c r="K213" s="4">
        <f>SUM(K187:K212)</f>
        <v>48</v>
      </c>
      <c r="L213" s="4">
        <f>SUM(L187:L212)</f>
        <v>27</v>
      </c>
      <c r="M213" s="6">
        <f>SUM(M187:M212)</f>
        <v>30</v>
      </c>
      <c r="N213" s="32">
        <f>SUM(N187:N212)</f>
        <v>42</v>
      </c>
      <c r="O213" s="5">
        <f>SUM(J213:N213)</f>
        <v>159</v>
      </c>
      <c r="P213" s="1"/>
    </row>
    <row r="214" spans="1:16" ht="14.25" thickBot="1" x14ac:dyDescent="0.2">
      <c r="A214" s="25" t="s">
        <v>12</v>
      </c>
      <c r="B214" s="63">
        <f>B186-B213</f>
        <v>15</v>
      </c>
      <c r="C214" s="26">
        <f t="shared" ref="C214:G214" si="69">C186-C213</f>
        <v>13</v>
      </c>
      <c r="D214" s="71">
        <f t="shared" si="69"/>
        <v>18</v>
      </c>
      <c r="E214" s="26">
        <f t="shared" si="69"/>
        <v>13</v>
      </c>
      <c r="F214" s="70">
        <f t="shared" si="69"/>
        <v>18</v>
      </c>
      <c r="G214" s="27">
        <f t="shared" si="69"/>
        <v>77</v>
      </c>
      <c r="H214" s="58"/>
      <c r="I214" s="25" t="s">
        <v>12</v>
      </c>
      <c r="J214" s="63">
        <f>J186-J213</f>
        <v>128</v>
      </c>
      <c r="K214" s="26">
        <f t="shared" ref="K214:O214" si="70">K186-K213</f>
        <v>108</v>
      </c>
      <c r="L214" s="71">
        <f t="shared" si="70"/>
        <v>159</v>
      </c>
      <c r="M214" s="26">
        <f t="shared" si="70"/>
        <v>108</v>
      </c>
      <c r="N214" s="70">
        <f t="shared" si="70"/>
        <v>76</v>
      </c>
      <c r="O214" s="27">
        <f t="shared" si="70"/>
        <v>579</v>
      </c>
      <c r="P214" s="1"/>
    </row>
    <row r="215" spans="1:16" ht="21" x14ac:dyDescent="0.2">
      <c r="A215" s="86" t="s">
        <v>50</v>
      </c>
      <c r="B215" s="87"/>
      <c r="C215" s="87"/>
      <c r="D215" s="87"/>
      <c r="E215" s="87"/>
      <c r="F215" s="87"/>
      <c r="G215" s="87"/>
      <c r="H215" s="56"/>
      <c r="I215" s="86" t="s">
        <v>50</v>
      </c>
      <c r="J215" s="87"/>
      <c r="K215" s="87"/>
      <c r="L215" s="87"/>
      <c r="M215" s="87"/>
      <c r="N215" s="87"/>
      <c r="O215" s="87"/>
      <c r="P215" s="1"/>
    </row>
    <row r="216" spans="1:16" ht="21.75" thickBot="1" x14ac:dyDescent="0.25">
      <c r="A216" s="86" t="s">
        <v>51</v>
      </c>
      <c r="B216" s="87"/>
      <c r="C216" s="87"/>
      <c r="D216" s="87"/>
      <c r="E216" s="85"/>
      <c r="F216" s="88" t="s">
        <v>53</v>
      </c>
      <c r="G216" s="87"/>
      <c r="H216" s="56"/>
      <c r="I216" s="86" t="s">
        <v>51</v>
      </c>
      <c r="J216" s="87"/>
      <c r="K216" s="87"/>
      <c r="L216" s="87"/>
      <c r="M216" s="89"/>
      <c r="N216" s="88" t="s">
        <v>54</v>
      </c>
      <c r="O216" s="87"/>
      <c r="P216" s="1"/>
    </row>
    <row r="217" spans="1:16" ht="14.25" thickBot="1" x14ac:dyDescent="0.2">
      <c r="A217" s="13" t="s">
        <v>0</v>
      </c>
      <c r="B217" s="228" t="s">
        <v>52</v>
      </c>
      <c r="C217" s="229"/>
      <c r="D217" s="229"/>
      <c r="E217" s="229"/>
      <c r="F217" s="230"/>
      <c r="G217" s="231"/>
      <c r="H217" s="56"/>
      <c r="I217" s="13" t="s">
        <v>0</v>
      </c>
      <c r="J217" s="228" t="s">
        <v>49</v>
      </c>
      <c r="K217" s="229"/>
      <c r="L217" s="229"/>
      <c r="M217" s="229"/>
      <c r="N217" s="230"/>
      <c r="O217" s="231"/>
      <c r="P217" s="1"/>
    </row>
    <row r="218" spans="1:16" ht="14.25" thickBot="1" x14ac:dyDescent="0.2">
      <c r="A218" s="3" t="s">
        <v>1</v>
      </c>
      <c r="B218" s="2" t="s">
        <v>42</v>
      </c>
      <c r="C218" s="21" t="s">
        <v>43</v>
      </c>
      <c r="D218" s="21" t="s">
        <v>44</v>
      </c>
      <c r="E218" s="24" t="s">
        <v>45</v>
      </c>
      <c r="F218" s="33" t="s">
        <v>46</v>
      </c>
      <c r="G218" s="3" t="s">
        <v>2</v>
      </c>
      <c r="H218" s="58"/>
      <c r="I218" s="3" t="s">
        <v>1</v>
      </c>
      <c r="J218" s="2" t="s">
        <v>42</v>
      </c>
      <c r="K218" s="21" t="s">
        <v>43</v>
      </c>
      <c r="L218" s="21" t="s">
        <v>44</v>
      </c>
      <c r="M218" s="24" t="s">
        <v>45</v>
      </c>
      <c r="N218" s="33" t="s">
        <v>46</v>
      </c>
      <c r="O218" s="3" t="s">
        <v>2</v>
      </c>
      <c r="P218" s="1"/>
    </row>
    <row r="219" spans="1:16" ht="14.25" thickBot="1" x14ac:dyDescent="0.2">
      <c r="A219" s="72" t="s">
        <v>79</v>
      </c>
      <c r="B219" s="73">
        <f>B214</f>
        <v>15</v>
      </c>
      <c r="C219" s="74">
        <f t="shared" ref="C219:F219" si="71">C214</f>
        <v>13</v>
      </c>
      <c r="D219" s="107">
        <f t="shared" si="71"/>
        <v>18</v>
      </c>
      <c r="E219" s="75">
        <f t="shared" si="71"/>
        <v>13</v>
      </c>
      <c r="F219" s="75">
        <f t="shared" si="71"/>
        <v>18</v>
      </c>
      <c r="G219" s="76">
        <f t="shared" ref="G219:G228" si="72">SUM(B219:F219)</f>
        <v>77</v>
      </c>
      <c r="H219" s="58"/>
      <c r="I219" s="72" t="s">
        <v>79</v>
      </c>
      <c r="J219" s="73">
        <f>J214</f>
        <v>128</v>
      </c>
      <c r="K219" s="74">
        <f t="shared" ref="K219:N219" si="73">K214</f>
        <v>108</v>
      </c>
      <c r="L219" s="107">
        <f t="shared" si="73"/>
        <v>159</v>
      </c>
      <c r="M219" s="75">
        <f t="shared" si="73"/>
        <v>108</v>
      </c>
      <c r="N219" s="75">
        <f t="shared" si="73"/>
        <v>76</v>
      </c>
      <c r="O219" s="76">
        <f t="shared" ref="O219:O228" si="74">SUM(J219:N219)</f>
        <v>579</v>
      </c>
      <c r="P219" s="90"/>
    </row>
    <row r="220" spans="1:16" x14ac:dyDescent="0.15">
      <c r="A220" s="39" t="s">
        <v>238</v>
      </c>
      <c r="B220" s="37">
        <v>1</v>
      </c>
      <c r="C220" s="35"/>
      <c r="D220" s="35"/>
      <c r="E220" s="35"/>
      <c r="F220" s="28"/>
      <c r="G220" s="7">
        <f t="shared" si="72"/>
        <v>1</v>
      </c>
      <c r="H220" s="58">
        <v>42583</v>
      </c>
      <c r="I220" s="38" t="s">
        <v>15</v>
      </c>
      <c r="J220" s="37"/>
      <c r="K220" s="35"/>
      <c r="L220" s="35"/>
      <c r="M220" s="35"/>
      <c r="N220" s="28"/>
      <c r="O220" s="7">
        <f t="shared" si="74"/>
        <v>0</v>
      </c>
      <c r="P220" s="36"/>
    </row>
    <row r="221" spans="1:16" x14ac:dyDescent="0.15">
      <c r="A221" s="15" t="s">
        <v>19</v>
      </c>
      <c r="B221" s="8"/>
      <c r="C221" s="10"/>
      <c r="D221" s="10"/>
      <c r="E221" s="10">
        <v>1</v>
      </c>
      <c r="F221" s="28">
        <v>4</v>
      </c>
      <c r="G221" s="9">
        <f t="shared" si="72"/>
        <v>5</v>
      </c>
      <c r="H221" s="58">
        <v>42588</v>
      </c>
      <c r="I221" s="15" t="s">
        <v>3</v>
      </c>
      <c r="J221" s="8"/>
      <c r="K221" s="10"/>
      <c r="L221" s="10"/>
      <c r="M221" s="10"/>
      <c r="N221" s="28"/>
      <c r="O221" s="9">
        <f t="shared" si="74"/>
        <v>0</v>
      </c>
      <c r="P221" s="36"/>
    </row>
    <row r="222" spans="1:16" x14ac:dyDescent="0.15">
      <c r="A222" s="15" t="s">
        <v>17</v>
      </c>
      <c r="B222" s="8"/>
      <c r="C222" s="10"/>
      <c r="D222" s="10"/>
      <c r="E222" s="10"/>
      <c r="F222" s="28">
        <v>2</v>
      </c>
      <c r="G222" s="9">
        <f t="shared" si="72"/>
        <v>2</v>
      </c>
      <c r="H222" s="58">
        <v>42592</v>
      </c>
      <c r="I222" s="15" t="s">
        <v>4</v>
      </c>
      <c r="J222" s="8"/>
      <c r="K222" s="45"/>
      <c r="L222" s="45"/>
      <c r="M222" s="45"/>
      <c r="N222" s="46"/>
      <c r="O222" s="9">
        <f t="shared" si="74"/>
        <v>0</v>
      </c>
      <c r="P222" s="36"/>
    </row>
    <row r="223" spans="1:16" x14ac:dyDescent="0.15">
      <c r="A223" s="15" t="s">
        <v>19</v>
      </c>
      <c r="B223" s="8">
        <v>1</v>
      </c>
      <c r="C223" s="10"/>
      <c r="D223" s="10">
        <v>2</v>
      </c>
      <c r="E223" s="10">
        <v>2</v>
      </c>
      <c r="F223" s="28"/>
      <c r="G223" s="9">
        <f t="shared" si="72"/>
        <v>5</v>
      </c>
      <c r="H223" s="36">
        <v>42598</v>
      </c>
      <c r="I223" s="15" t="s">
        <v>5</v>
      </c>
      <c r="J223" s="8"/>
      <c r="K223" s="45"/>
      <c r="L223" s="45"/>
      <c r="M223" s="45"/>
      <c r="N223" s="46"/>
      <c r="O223" s="9">
        <f t="shared" si="74"/>
        <v>0</v>
      </c>
      <c r="P223" s="1"/>
    </row>
    <row r="224" spans="1:16" x14ac:dyDescent="0.15">
      <c r="A224" s="15" t="s">
        <v>243</v>
      </c>
      <c r="B224" s="8">
        <v>1</v>
      </c>
      <c r="C224" s="10"/>
      <c r="D224" s="10"/>
      <c r="E224" s="10">
        <v>1</v>
      </c>
      <c r="F224" s="28"/>
      <c r="G224" s="9">
        <f t="shared" si="72"/>
        <v>2</v>
      </c>
      <c r="H224" s="58">
        <v>42602</v>
      </c>
      <c r="I224" s="15" t="s">
        <v>6</v>
      </c>
      <c r="J224" s="8"/>
      <c r="K224" s="45"/>
      <c r="L224" s="45"/>
      <c r="M224" s="45"/>
      <c r="N224" s="46"/>
      <c r="O224" s="9">
        <f t="shared" si="74"/>
        <v>0</v>
      </c>
      <c r="P224" s="1"/>
    </row>
    <row r="225" spans="1:17" x14ac:dyDescent="0.15">
      <c r="A225" s="15" t="s">
        <v>81</v>
      </c>
      <c r="B225" s="8">
        <v>10</v>
      </c>
      <c r="C225" s="10">
        <v>10</v>
      </c>
      <c r="D225" s="10"/>
      <c r="E225" s="10">
        <v>5</v>
      </c>
      <c r="F225" s="28">
        <v>5</v>
      </c>
      <c r="G225" s="9">
        <f t="shared" si="72"/>
        <v>30</v>
      </c>
      <c r="H225" s="58">
        <v>42606</v>
      </c>
      <c r="I225" s="15" t="s">
        <v>84</v>
      </c>
      <c r="J225" s="8"/>
      <c r="K225" s="45"/>
      <c r="L225" s="45"/>
      <c r="M225" s="45"/>
      <c r="N225" s="46"/>
      <c r="O225" s="7">
        <f t="shared" si="74"/>
        <v>0</v>
      </c>
      <c r="P225" s="1"/>
    </row>
    <row r="226" spans="1:17" x14ac:dyDescent="0.15">
      <c r="A226" s="15" t="s">
        <v>19</v>
      </c>
      <c r="B226" s="8">
        <v>1</v>
      </c>
      <c r="C226" s="10"/>
      <c r="D226" s="10">
        <v>1</v>
      </c>
      <c r="E226" s="10"/>
      <c r="F226" s="28">
        <v>1</v>
      </c>
      <c r="G226" s="9">
        <f t="shared" si="72"/>
        <v>3</v>
      </c>
      <c r="H226" s="58">
        <v>42607</v>
      </c>
      <c r="I226" s="15" t="s">
        <v>85</v>
      </c>
      <c r="J226" s="8"/>
      <c r="K226" s="45"/>
      <c r="L226" s="45"/>
      <c r="M226" s="45"/>
      <c r="N226" s="46"/>
      <c r="O226" s="7">
        <f t="shared" si="74"/>
        <v>0</v>
      </c>
      <c r="P226" s="1"/>
    </row>
    <row r="227" spans="1:17" x14ac:dyDescent="0.15">
      <c r="A227" s="15" t="s">
        <v>261</v>
      </c>
      <c r="B227" s="11">
        <v>1</v>
      </c>
      <c r="C227" s="100"/>
      <c r="D227" s="100"/>
      <c r="E227" s="100">
        <v>2</v>
      </c>
      <c r="F227" s="109"/>
      <c r="G227" s="9">
        <f t="shared" ref="G227" si="75">SUM(B227:F227)</f>
        <v>3</v>
      </c>
      <c r="H227" s="58">
        <v>42613</v>
      </c>
      <c r="I227" s="15" t="s">
        <v>86</v>
      </c>
      <c r="J227" s="8"/>
      <c r="K227" s="45"/>
      <c r="L227" s="45"/>
      <c r="M227" s="45"/>
      <c r="N227" s="46"/>
      <c r="O227" s="102">
        <f t="shared" si="74"/>
        <v>0</v>
      </c>
      <c r="P227" s="1"/>
    </row>
    <row r="228" spans="1:17" ht="14.25" thickBot="1" x14ac:dyDescent="0.2">
      <c r="A228" s="15" t="s">
        <v>27</v>
      </c>
      <c r="B228" s="11"/>
      <c r="C228" s="100"/>
      <c r="D228" s="100"/>
      <c r="E228" s="100"/>
      <c r="F228" s="109">
        <v>10</v>
      </c>
      <c r="G228" s="115">
        <f t="shared" si="72"/>
        <v>10</v>
      </c>
      <c r="H228" s="58">
        <v>42621</v>
      </c>
      <c r="I228" s="15" t="s">
        <v>87</v>
      </c>
      <c r="J228" s="47"/>
      <c r="K228" s="48"/>
      <c r="L228" s="48"/>
      <c r="M228" s="48"/>
      <c r="N228" s="49"/>
      <c r="O228" s="40">
        <f t="shared" si="74"/>
        <v>0</v>
      </c>
      <c r="P228" s="1"/>
    </row>
    <row r="229" spans="1:17" ht="14.25" thickBot="1" x14ac:dyDescent="0.2">
      <c r="A229" s="72" t="s">
        <v>7</v>
      </c>
      <c r="B229" s="73">
        <f>SUM(B219:B228)</f>
        <v>30</v>
      </c>
      <c r="C229" s="74">
        <f t="shared" ref="C229:G229" si="76">SUM(C219:C228)</f>
        <v>23</v>
      </c>
      <c r="D229" s="74">
        <f t="shared" si="76"/>
        <v>21</v>
      </c>
      <c r="E229" s="74">
        <f t="shared" si="76"/>
        <v>24</v>
      </c>
      <c r="F229" s="105">
        <f t="shared" si="76"/>
        <v>40</v>
      </c>
      <c r="G229" s="76">
        <f t="shared" si="76"/>
        <v>138</v>
      </c>
      <c r="H229" s="58"/>
      <c r="I229" s="72" t="s">
        <v>7</v>
      </c>
      <c r="J229" s="73">
        <f>SUM(J219:J228)</f>
        <v>128</v>
      </c>
      <c r="K229" s="74">
        <f t="shared" ref="K229:O229" si="77">SUM(K219:K228)</f>
        <v>108</v>
      </c>
      <c r="L229" s="74">
        <f t="shared" si="77"/>
        <v>159</v>
      </c>
      <c r="M229" s="74">
        <f t="shared" si="77"/>
        <v>108</v>
      </c>
      <c r="N229" s="105">
        <f t="shared" si="77"/>
        <v>76</v>
      </c>
      <c r="O229" s="76">
        <f t="shared" si="77"/>
        <v>579</v>
      </c>
      <c r="P229" s="69"/>
    </row>
    <row r="230" spans="1:17" x14ac:dyDescent="0.15">
      <c r="A230" s="16" t="s">
        <v>110</v>
      </c>
      <c r="B230" s="8"/>
      <c r="C230" s="10"/>
      <c r="D230" s="10"/>
      <c r="E230" s="10"/>
      <c r="F230" s="30">
        <v>6</v>
      </c>
      <c r="G230" s="7">
        <f t="shared" ref="G230:G255" si="78">SUM(B230:F230)</f>
        <v>6</v>
      </c>
      <c r="H230" s="36">
        <v>42598</v>
      </c>
      <c r="I230" s="16" t="s">
        <v>255</v>
      </c>
      <c r="J230" s="8">
        <v>10</v>
      </c>
      <c r="K230" s="10">
        <v>10</v>
      </c>
      <c r="L230" s="10"/>
      <c r="M230" s="10">
        <v>5</v>
      </c>
      <c r="N230" s="28">
        <v>5</v>
      </c>
      <c r="O230" s="9">
        <f t="shared" ref="O230:O255" si="79">SUM(J230:N230)</f>
        <v>30</v>
      </c>
      <c r="P230" s="58">
        <v>42606</v>
      </c>
    </row>
    <row r="231" spans="1:17" x14ac:dyDescent="0.15">
      <c r="A231" s="51" t="s">
        <v>247</v>
      </c>
      <c r="B231" s="8">
        <v>2</v>
      </c>
      <c r="C231" s="10"/>
      <c r="D231" s="10"/>
      <c r="E231" s="10"/>
      <c r="F231" s="30"/>
      <c r="G231" s="7">
        <f t="shared" si="78"/>
        <v>2</v>
      </c>
      <c r="H231" s="58">
        <v>42600</v>
      </c>
      <c r="I231" s="16" t="s">
        <v>302</v>
      </c>
      <c r="J231" s="8"/>
      <c r="K231" s="10">
        <v>-4</v>
      </c>
      <c r="L231" s="10"/>
      <c r="M231" s="10"/>
      <c r="N231" s="30"/>
      <c r="O231" s="7">
        <f t="shared" si="79"/>
        <v>-4</v>
      </c>
      <c r="P231" s="36">
        <v>42613</v>
      </c>
      <c r="Q231" s="56"/>
    </row>
    <row r="232" spans="1:17" x14ac:dyDescent="0.15">
      <c r="A232" s="16" t="s">
        <v>254</v>
      </c>
      <c r="B232" s="8"/>
      <c r="C232" s="10">
        <v>5</v>
      </c>
      <c r="D232" s="10"/>
      <c r="E232" s="10"/>
      <c r="F232" s="30"/>
      <c r="G232" s="7">
        <f t="shared" si="78"/>
        <v>5</v>
      </c>
      <c r="H232" s="58">
        <v>42607</v>
      </c>
      <c r="I232" s="16" t="s">
        <v>24</v>
      </c>
      <c r="J232" s="8"/>
      <c r="K232" s="10"/>
      <c r="L232" s="10"/>
      <c r="M232" s="10"/>
      <c r="N232" s="30">
        <v>10</v>
      </c>
      <c r="O232" s="7">
        <f t="shared" ref="O232:O233" si="80">SUM(J232:N232)</f>
        <v>10</v>
      </c>
      <c r="P232" s="36">
        <v>42621</v>
      </c>
    </row>
    <row r="233" spans="1:17" x14ac:dyDescent="0.15">
      <c r="A233" s="16" t="s">
        <v>22</v>
      </c>
      <c r="B233" s="8">
        <v>10</v>
      </c>
      <c r="C233" s="10">
        <v>10</v>
      </c>
      <c r="D233" s="10"/>
      <c r="E233" s="10">
        <v>10</v>
      </c>
      <c r="F233" s="30">
        <v>10</v>
      </c>
      <c r="G233" s="7">
        <f t="shared" si="78"/>
        <v>40</v>
      </c>
      <c r="H233" s="58">
        <v>42611</v>
      </c>
      <c r="I233" s="16" t="s">
        <v>24</v>
      </c>
      <c r="J233" s="8"/>
      <c r="K233" s="10">
        <v>5</v>
      </c>
      <c r="L233" s="10">
        <v>5</v>
      </c>
      <c r="M233" s="10">
        <v>5</v>
      </c>
      <c r="N233" s="30">
        <v>5</v>
      </c>
      <c r="O233" s="7">
        <f t="shared" si="80"/>
        <v>20</v>
      </c>
      <c r="P233" s="36">
        <v>42639</v>
      </c>
    </row>
    <row r="234" spans="1:17" x14ac:dyDescent="0.15">
      <c r="A234" s="16" t="s">
        <v>264</v>
      </c>
      <c r="B234" s="8">
        <v>1</v>
      </c>
      <c r="C234" s="10">
        <v>2</v>
      </c>
      <c r="D234" s="10">
        <v>1</v>
      </c>
      <c r="E234" s="10">
        <v>1</v>
      </c>
      <c r="F234" s="30">
        <v>1</v>
      </c>
      <c r="G234" s="7">
        <f t="shared" si="78"/>
        <v>6</v>
      </c>
      <c r="H234" s="58">
        <v>42619</v>
      </c>
      <c r="I234" s="16"/>
      <c r="J234" s="8"/>
      <c r="K234" s="10"/>
      <c r="L234" s="10"/>
      <c r="M234" s="10"/>
      <c r="N234" s="30"/>
      <c r="O234" s="7">
        <f t="shared" si="79"/>
        <v>0</v>
      </c>
      <c r="P234" s="36"/>
    </row>
    <row r="235" spans="1:17" x14ac:dyDescent="0.15">
      <c r="A235" s="16" t="s">
        <v>266</v>
      </c>
      <c r="B235" s="8"/>
      <c r="C235" s="10">
        <v>-1</v>
      </c>
      <c r="D235" s="10">
        <v>-1</v>
      </c>
      <c r="E235" s="10"/>
      <c r="F235" s="30">
        <v>-1</v>
      </c>
      <c r="G235" s="7">
        <f t="shared" si="78"/>
        <v>-3</v>
      </c>
      <c r="H235" s="58">
        <v>42616</v>
      </c>
      <c r="I235" s="16"/>
      <c r="J235" s="8"/>
      <c r="K235" s="10"/>
      <c r="L235" s="10"/>
      <c r="M235" s="10"/>
      <c r="N235" s="30"/>
      <c r="O235" s="7">
        <f t="shared" si="79"/>
        <v>0</v>
      </c>
      <c r="P235" s="36"/>
    </row>
    <row r="236" spans="1:17" x14ac:dyDescent="0.15">
      <c r="A236" s="16" t="s">
        <v>110</v>
      </c>
      <c r="B236" s="8">
        <v>2</v>
      </c>
      <c r="C236" s="10"/>
      <c r="D236" s="10">
        <v>2</v>
      </c>
      <c r="E236" s="10">
        <v>2</v>
      </c>
      <c r="F236" s="30"/>
      <c r="G236" s="7">
        <f t="shared" si="78"/>
        <v>6</v>
      </c>
      <c r="H236" s="58">
        <v>42622</v>
      </c>
      <c r="I236" s="16"/>
      <c r="J236" s="8"/>
      <c r="K236" s="10"/>
      <c r="L236" s="10"/>
      <c r="M236" s="10"/>
      <c r="N236" s="30"/>
      <c r="O236" s="7">
        <f t="shared" si="79"/>
        <v>0</v>
      </c>
      <c r="P236" s="36"/>
    </row>
    <row r="237" spans="1:17" x14ac:dyDescent="0.15">
      <c r="A237" s="16" t="s">
        <v>267</v>
      </c>
      <c r="B237" s="8"/>
      <c r="C237" s="10">
        <v>-1</v>
      </c>
      <c r="D237" s="10">
        <v>-1</v>
      </c>
      <c r="E237" s="10"/>
      <c r="F237" s="30">
        <v>-1</v>
      </c>
      <c r="G237" s="7">
        <f t="shared" si="78"/>
        <v>-3</v>
      </c>
      <c r="H237" s="58">
        <v>42619</v>
      </c>
      <c r="I237" s="16"/>
      <c r="J237" s="8"/>
      <c r="K237" s="10"/>
      <c r="L237" s="10"/>
      <c r="M237" s="10"/>
      <c r="N237" s="30"/>
      <c r="O237" s="7">
        <f t="shared" si="79"/>
        <v>0</v>
      </c>
      <c r="P237" s="1"/>
    </row>
    <row r="238" spans="1:17" x14ac:dyDescent="0.15">
      <c r="A238" s="39" t="s">
        <v>268</v>
      </c>
      <c r="B238" s="8">
        <v>1</v>
      </c>
      <c r="C238" s="10"/>
      <c r="D238" s="10"/>
      <c r="E238" s="10"/>
      <c r="F238" s="30"/>
      <c r="G238" s="7">
        <f t="shared" si="78"/>
        <v>1</v>
      </c>
      <c r="H238" s="58">
        <v>42619</v>
      </c>
      <c r="I238" s="39"/>
      <c r="J238" s="8"/>
      <c r="K238" s="10"/>
      <c r="L238" s="10"/>
      <c r="M238" s="10"/>
      <c r="N238" s="30"/>
      <c r="O238" s="7">
        <f t="shared" si="79"/>
        <v>0</v>
      </c>
      <c r="P238" s="1"/>
    </row>
    <row r="239" spans="1:17" x14ac:dyDescent="0.15">
      <c r="A239" s="16" t="s">
        <v>22</v>
      </c>
      <c r="B239" s="11"/>
      <c r="C239" s="12"/>
      <c r="D239" s="12"/>
      <c r="E239" s="12"/>
      <c r="F239" s="31">
        <v>20</v>
      </c>
      <c r="G239" s="7">
        <f t="shared" si="78"/>
        <v>20</v>
      </c>
      <c r="H239" s="58">
        <v>42625</v>
      </c>
      <c r="I239" s="16"/>
      <c r="J239" s="11"/>
      <c r="K239" s="12"/>
      <c r="L239" s="12"/>
      <c r="M239" s="12"/>
      <c r="N239" s="31"/>
      <c r="O239" s="7">
        <f t="shared" si="79"/>
        <v>0</v>
      </c>
      <c r="P239" s="1"/>
    </row>
    <row r="240" spans="1:17" x14ac:dyDescent="0.15">
      <c r="A240" s="14" t="s">
        <v>39</v>
      </c>
      <c r="B240" s="8"/>
      <c r="C240" s="10">
        <v>-1</v>
      </c>
      <c r="D240" s="10"/>
      <c r="E240" s="10"/>
      <c r="F240" s="30">
        <v>-1</v>
      </c>
      <c r="G240" s="7">
        <f t="shared" si="78"/>
        <v>-2</v>
      </c>
      <c r="H240" s="58">
        <v>42620</v>
      </c>
      <c r="I240" s="16"/>
      <c r="J240" s="8"/>
      <c r="K240" s="10"/>
      <c r="L240" s="10"/>
      <c r="M240" s="10"/>
      <c r="N240" s="30"/>
      <c r="O240" s="7">
        <f t="shared" si="79"/>
        <v>0</v>
      </c>
      <c r="P240" s="1"/>
    </row>
    <row r="241" spans="1:16" x14ac:dyDescent="0.15">
      <c r="A241" s="16" t="s">
        <v>22</v>
      </c>
      <c r="B241" s="8"/>
      <c r="C241" s="10"/>
      <c r="D241" s="10">
        <v>10</v>
      </c>
      <c r="E241" s="10"/>
      <c r="F241" s="30"/>
      <c r="G241" s="7">
        <f t="shared" si="78"/>
        <v>10</v>
      </c>
      <c r="H241" s="58">
        <v>42633</v>
      </c>
      <c r="I241" s="39"/>
      <c r="J241" s="8"/>
      <c r="K241" s="10"/>
      <c r="L241" s="10"/>
      <c r="M241" s="10"/>
      <c r="N241" s="30"/>
      <c r="O241" s="7">
        <f t="shared" si="79"/>
        <v>0</v>
      </c>
      <c r="P241" s="1"/>
    </row>
    <row r="242" spans="1:16" x14ac:dyDescent="0.15">
      <c r="A242" s="16" t="s">
        <v>285</v>
      </c>
      <c r="B242" s="8"/>
      <c r="C242" s="10"/>
      <c r="D242" s="10">
        <v>1</v>
      </c>
      <c r="E242" s="10"/>
      <c r="F242" s="30"/>
      <c r="G242" s="7">
        <f t="shared" si="78"/>
        <v>1</v>
      </c>
      <c r="H242" s="58">
        <v>42626</v>
      </c>
      <c r="I242" s="16"/>
      <c r="J242" s="8"/>
      <c r="K242" s="10"/>
      <c r="L242" s="10"/>
      <c r="M242" s="10"/>
      <c r="N242" s="30"/>
      <c r="O242" s="7">
        <f t="shared" si="79"/>
        <v>0</v>
      </c>
      <c r="P242" s="1"/>
    </row>
    <row r="243" spans="1:16" x14ac:dyDescent="0.15">
      <c r="A243" s="16" t="s">
        <v>25</v>
      </c>
      <c r="B243" s="8"/>
      <c r="C243" s="10"/>
      <c r="D243" s="10"/>
      <c r="E243" s="10">
        <v>1</v>
      </c>
      <c r="F243" s="30"/>
      <c r="G243" s="7">
        <f t="shared" si="78"/>
        <v>1</v>
      </c>
      <c r="H243" s="58">
        <v>42634</v>
      </c>
      <c r="I243" s="16"/>
      <c r="J243" s="8"/>
      <c r="K243" s="10"/>
      <c r="L243" s="10"/>
      <c r="M243" s="10"/>
      <c r="N243" s="30"/>
      <c r="O243" s="7">
        <f t="shared" si="79"/>
        <v>0</v>
      </c>
      <c r="P243" s="36"/>
    </row>
    <row r="244" spans="1:16" x14ac:dyDescent="0.15">
      <c r="A244" s="16" t="s">
        <v>182</v>
      </c>
      <c r="B244" s="8"/>
      <c r="C244" s="10"/>
      <c r="D244" s="10">
        <v>1</v>
      </c>
      <c r="E244" s="10"/>
      <c r="F244" s="30"/>
      <c r="G244" s="7">
        <f t="shared" si="78"/>
        <v>1</v>
      </c>
      <c r="H244" s="58">
        <v>42639</v>
      </c>
      <c r="I244" s="16"/>
      <c r="J244" s="8"/>
      <c r="K244" s="10"/>
      <c r="L244" s="10"/>
      <c r="M244" s="10"/>
      <c r="N244" s="30"/>
      <c r="O244" s="7">
        <f t="shared" si="79"/>
        <v>0</v>
      </c>
      <c r="P244" s="36"/>
    </row>
    <row r="245" spans="1:16" x14ac:dyDescent="0.15">
      <c r="A245" s="16" t="s">
        <v>25</v>
      </c>
      <c r="B245" s="8"/>
      <c r="C245" s="10">
        <v>2</v>
      </c>
      <c r="D245" s="10">
        <v>1</v>
      </c>
      <c r="E245" s="10">
        <v>1</v>
      </c>
      <c r="F245" s="30"/>
      <c r="G245" s="7">
        <f t="shared" si="78"/>
        <v>4</v>
      </c>
      <c r="H245" s="58">
        <v>42637</v>
      </c>
      <c r="I245" s="16"/>
      <c r="J245" s="8"/>
      <c r="K245" s="10"/>
      <c r="L245" s="10"/>
      <c r="M245" s="10"/>
      <c r="N245" s="30"/>
      <c r="O245" s="7">
        <f t="shared" si="79"/>
        <v>0</v>
      </c>
      <c r="P245" s="1"/>
    </row>
    <row r="246" spans="1:16" x14ac:dyDescent="0.15">
      <c r="A246" s="16" t="s">
        <v>182</v>
      </c>
      <c r="B246" s="8"/>
      <c r="C246" s="10"/>
      <c r="D246" s="10">
        <v>1</v>
      </c>
      <c r="E246" s="10"/>
      <c r="F246" s="30"/>
      <c r="G246" s="7">
        <f t="shared" si="78"/>
        <v>1</v>
      </c>
      <c r="H246" s="58">
        <v>42640</v>
      </c>
      <c r="I246" s="14"/>
      <c r="J246" s="8"/>
      <c r="K246" s="10"/>
      <c r="L246" s="10"/>
      <c r="M246" s="10"/>
      <c r="N246" s="30"/>
      <c r="O246" s="7">
        <f t="shared" si="79"/>
        <v>0</v>
      </c>
      <c r="P246" s="36"/>
    </row>
    <row r="247" spans="1:16" x14ac:dyDescent="0.15">
      <c r="A247" s="16" t="s">
        <v>282</v>
      </c>
      <c r="B247" s="8"/>
      <c r="C247" s="10">
        <v>-1</v>
      </c>
      <c r="D247" s="10"/>
      <c r="E247" s="10">
        <v>-1</v>
      </c>
      <c r="F247" s="30"/>
      <c r="G247" s="7">
        <f t="shared" si="78"/>
        <v>-2</v>
      </c>
      <c r="H247" s="58">
        <v>42637</v>
      </c>
      <c r="I247" s="16"/>
      <c r="J247" s="8"/>
      <c r="K247" s="10"/>
      <c r="L247" s="10"/>
      <c r="M247" s="10"/>
      <c r="N247" s="30"/>
      <c r="O247" s="7">
        <f t="shared" si="79"/>
        <v>0</v>
      </c>
      <c r="P247" s="1"/>
    </row>
    <row r="248" spans="1:16" x14ac:dyDescent="0.15">
      <c r="A248" s="16" t="s">
        <v>286</v>
      </c>
      <c r="B248" s="8"/>
      <c r="C248" s="10"/>
      <c r="D248" s="10"/>
      <c r="E248" s="10">
        <v>1</v>
      </c>
      <c r="F248" s="30"/>
      <c r="G248" s="7">
        <f t="shared" si="78"/>
        <v>1</v>
      </c>
      <c r="H248" s="58">
        <v>42639</v>
      </c>
      <c r="I248" s="16"/>
      <c r="J248" s="8"/>
      <c r="K248" s="10"/>
      <c r="L248" s="10"/>
      <c r="M248" s="10"/>
      <c r="N248" s="30"/>
      <c r="O248" s="7">
        <f t="shared" si="79"/>
        <v>0</v>
      </c>
      <c r="P248" s="1"/>
    </row>
    <row r="249" spans="1:16" x14ac:dyDescent="0.15">
      <c r="A249" s="16"/>
      <c r="B249" s="8"/>
      <c r="C249" s="10"/>
      <c r="D249" s="10"/>
      <c r="E249" s="10"/>
      <c r="F249" s="30"/>
      <c r="G249" s="7">
        <f t="shared" si="78"/>
        <v>0</v>
      </c>
      <c r="H249" s="58"/>
      <c r="I249" s="16"/>
      <c r="J249" s="8"/>
      <c r="K249" s="10"/>
      <c r="L249" s="10"/>
      <c r="M249" s="10"/>
      <c r="N249" s="30"/>
      <c r="O249" s="7">
        <f t="shared" si="79"/>
        <v>0</v>
      </c>
      <c r="P249" s="36"/>
    </row>
    <row r="250" spans="1:16" x14ac:dyDescent="0.15">
      <c r="A250" s="14"/>
      <c r="B250" s="8"/>
      <c r="C250" s="10"/>
      <c r="D250" s="10"/>
      <c r="E250" s="10"/>
      <c r="F250" s="30"/>
      <c r="G250" s="7">
        <f t="shared" si="78"/>
        <v>0</v>
      </c>
      <c r="H250" s="58"/>
      <c r="I250" s="14"/>
      <c r="J250" s="8"/>
      <c r="K250" s="10"/>
      <c r="L250" s="10"/>
      <c r="M250" s="10"/>
      <c r="N250" s="30"/>
      <c r="O250" s="7">
        <f t="shared" si="79"/>
        <v>0</v>
      </c>
      <c r="P250" s="36"/>
    </row>
    <row r="251" spans="1:16" x14ac:dyDescent="0.15">
      <c r="A251" s="16"/>
      <c r="B251" s="11"/>
      <c r="C251" s="12"/>
      <c r="D251" s="12"/>
      <c r="E251" s="12"/>
      <c r="F251" s="31"/>
      <c r="G251" s="7">
        <f t="shared" si="78"/>
        <v>0</v>
      </c>
      <c r="H251" s="58"/>
      <c r="I251" s="20"/>
      <c r="J251" s="11"/>
      <c r="K251" s="12"/>
      <c r="L251" s="12"/>
      <c r="M251" s="12"/>
      <c r="N251" s="31"/>
      <c r="O251" s="7">
        <f t="shared" si="79"/>
        <v>0</v>
      </c>
      <c r="P251" s="36"/>
    </row>
    <row r="252" spans="1:16" x14ac:dyDescent="0.15">
      <c r="A252" s="39"/>
      <c r="B252" s="8"/>
      <c r="C252" s="10"/>
      <c r="D252" s="10"/>
      <c r="E252" s="10"/>
      <c r="F252" s="30"/>
      <c r="G252" s="7">
        <f t="shared" si="78"/>
        <v>0</v>
      </c>
      <c r="H252" s="58"/>
      <c r="I252" s="14"/>
      <c r="J252" s="8"/>
      <c r="K252" s="10"/>
      <c r="L252" s="10"/>
      <c r="M252" s="10"/>
      <c r="N252" s="30"/>
      <c r="O252" s="7">
        <f t="shared" ref="O252:O254" si="81">SUM(J252:N252)</f>
        <v>0</v>
      </c>
      <c r="P252" s="36"/>
    </row>
    <row r="253" spans="1:16" x14ac:dyDescent="0.15">
      <c r="A253" s="51"/>
      <c r="B253" s="8"/>
      <c r="C253" s="10"/>
      <c r="D253" s="10"/>
      <c r="E253" s="10"/>
      <c r="F253" s="30"/>
      <c r="G253" s="7">
        <f t="shared" si="78"/>
        <v>0</v>
      </c>
      <c r="H253" s="58"/>
      <c r="I253" s="20"/>
      <c r="J253" s="11"/>
      <c r="K253" s="12"/>
      <c r="L253" s="12"/>
      <c r="M253" s="12"/>
      <c r="N253" s="31"/>
      <c r="O253" s="7">
        <f t="shared" si="81"/>
        <v>0</v>
      </c>
      <c r="P253" s="36"/>
    </row>
    <row r="254" spans="1:16" x14ac:dyDescent="0.15">
      <c r="A254" s="14"/>
      <c r="B254" s="8"/>
      <c r="C254" s="10"/>
      <c r="D254" s="10"/>
      <c r="E254" s="10"/>
      <c r="F254" s="30"/>
      <c r="G254" s="7">
        <f t="shared" si="78"/>
        <v>0</v>
      </c>
      <c r="H254" s="58"/>
      <c r="I254" s="14"/>
      <c r="J254" s="8"/>
      <c r="K254" s="10"/>
      <c r="L254" s="10"/>
      <c r="M254" s="10"/>
      <c r="N254" s="30"/>
      <c r="O254" s="7">
        <f t="shared" si="81"/>
        <v>0</v>
      </c>
      <c r="P254" s="1"/>
    </row>
    <row r="255" spans="1:16" ht="14.25" thickBot="1" x14ac:dyDescent="0.2">
      <c r="A255" s="16"/>
      <c r="B255" s="11"/>
      <c r="C255" s="12"/>
      <c r="D255" s="12"/>
      <c r="E255" s="12"/>
      <c r="F255" s="31"/>
      <c r="G255" s="7">
        <f t="shared" si="78"/>
        <v>0</v>
      </c>
      <c r="H255" s="58"/>
      <c r="I255" s="20"/>
      <c r="J255" s="11"/>
      <c r="K255" s="12"/>
      <c r="L255" s="12"/>
      <c r="M255" s="12"/>
      <c r="N255" s="31"/>
      <c r="O255" s="7">
        <f t="shared" si="79"/>
        <v>0</v>
      </c>
      <c r="P255" s="36"/>
    </row>
    <row r="256" spans="1:16" ht="14.25" thickBot="1" x14ac:dyDescent="0.2">
      <c r="A256" s="3" t="s">
        <v>11</v>
      </c>
      <c r="B256" s="23">
        <f>SUM(B230:B255)</f>
        <v>16</v>
      </c>
      <c r="C256" s="4">
        <f>SUM(C230:C255)</f>
        <v>15</v>
      </c>
      <c r="D256" s="4">
        <f>SUM(D230:D255)</f>
        <v>15</v>
      </c>
      <c r="E256" s="6">
        <f>SUM(E230:E255)</f>
        <v>15</v>
      </c>
      <c r="F256" s="32">
        <f>SUM(F230:F255)</f>
        <v>34</v>
      </c>
      <c r="G256" s="5">
        <f>SUM(B256:F256)</f>
        <v>95</v>
      </c>
      <c r="H256" s="56"/>
      <c r="I256" s="3" t="s">
        <v>11</v>
      </c>
      <c r="J256" s="23">
        <f>SUM(J230:J255)</f>
        <v>10</v>
      </c>
      <c r="K256" s="4">
        <f>SUM(K230:K255)</f>
        <v>11</v>
      </c>
      <c r="L256" s="4">
        <f>SUM(L230:L255)</f>
        <v>5</v>
      </c>
      <c r="M256" s="6">
        <f>SUM(M230:M255)</f>
        <v>10</v>
      </c>
      <c r="N256" s="32">
        <f>SUM(N230:N255)</f>
        <v>20</v>
      </c>
      <c r="O256" s="5">
        <f>SUM(J256:N256)</f>
        <v>56</v>
      </c>
      <c r="P256" s="1"/>
    </row>
    <row r="257" spans="1:16" ht="14.25" thickBot="1" x14ac:dyDescent="0.2">
      <c r="A257" s="25" t="s">
        <v>12</v>
      </c>
      <c r="B257" s="63">
        <f>B229-B256</f>
        <v>14</v>
      </c>
      <c r="C257" s="26">
        <f t="shared" ref="C257:G257" si="82">C229-C256</f>
        <v>8</v>
      </c>
      <c r="D257" s="71">
        <f t="shared" si="82"/>
        <v>6</v>
      </c>
      <c r="E257" s="26">
        <f t="shared" si="82"/>
        <v>9</v>
      </c>
      <c r="F257" s="70">
        <f t="shared" si="82"/>
        <v>6</v>
      </c>
      <c r="G257" s="27">
        <f t="shared" si="82"/>
        <v>43</v>
      </c>
      <c r="H257" s="58"/>
      <c r="I257" s="25" t="s">
        <v>12</v>
      </c>
      <c r="J257" s="63">
        <f>J229-J256</f>
        <v>118</v>
      </c>
      <c r="K257" s="26">
        <f t="shared" ref="K257:O257" si="83">K229-K256</f>
        <v>97</v>
      </c>
      <c r="L257" s="71">
        <f t="shared" si="83"/>
        <v>154</v>
      </c>
      <c r="M257" s="26">
        <f t="shared" si="83"/>
        <v>98</v>
      </c>
      <c r="N257" s="70">
        <f t="shared" si="83"/>
        <v>56</v>
      </c>
      <c r="O257" s="27">
        <f t="shared" si="83"/>
        <v>523</v>
      </c>
      <c r="P257" s="1"/>
    </row>
    <row r="258" spans="1:16" ht="21" x14ac:dyDescent="0.2">
      <c r="A258" s="86" t="s">
        <v>50</v>
      </c>
      <c r="B258" s="87"/>
      <c r="C258" s="87"/>
      <c r="D258" s="87"/>
      <c r="E258" s="87"/>
      <c r="F258" s="87"/>
      <c r="G258" s="87"/>
      <c r="H258" s="58"/>
      <c r="I258" s="86" t="s">
        <v>50</v>
      </c>
      <c r="J258" s="87"/>
      <c r="K258" s="87"/>
      <c r="L258" s="87"/>
      <c r="M258" s="87"/>
      <c r="N258" s="87"/>
      <c r="O258" s="87"/>
      <c r="P258" s="1"/>
    </row>
    <row r="259" spans="1:16" ht="21.75" thickBot="1" x14ac:dyDescent="0.25">
      <c r="A259" s="86" t="s">
        <v>51</v>
      </c>
      <c r="B259" s="87"/>
      <c r="C259" s="87"/>
      <c r="D259" s="87"/>
      <c r="E259" s="85"/>
      <c r="F259" s="88" t="s">
        <v>53</v>
      </c>
      <c r="G259" s="87"/>
      <c r="H259" s="58"/>
      <c r="I259" s="86" t="s">
        <v>51</v>
      </c>
      <c r="J259" s="87"/>
      <c r="K259" s="87"/>
      <c r="L259" s="87"/>
      <c r="M259" s="89"/>
      <c r="N259" s="88" t="s">
        <v>54</v>
      </c>
      <c r="O259" s="87"/>
      <c r="P259" s="1"/>
    </row>
    <row r="260" spans="1:16" ht="14.25" thickBot="1" x14ac:dyDescent="0.2">
      <c r="A260" s="13" t="s">
        <v>0</v>
      </c>
      <c r="B260" s="228" t="s">
        <v>52</v>
      </c>
      <c r="C260" s="229"/>
      <c r="D260" s="229"/>
      <c r="E260" s="229"/>
      <c r="F260" s="230"/>
      <c r="G260" s="231"/>
      <c r="H260" s="58"/>
      <c r="I260" s="13" t="s">
        <v>0</v>
      </c>
      <c r="J260" s="228" t="s">
        <v>49</v>
      </c>
      <c r="K260" s="229"/>
      <c r="L260" s="229"/>
      <c r="M260" s="229"/>
      <c r="N260" s="230"/>
      <c r="O260" s="231"/>
      <c r="P260" s="1"/>
    </row>
    <row r="261" spans="1:16" ht="14.25" thickBot="1" x14ac:dyDescent="0.2">
      <c r="A261" s="3" t="s">
        <v>1</v>
      </c>
      <c r="B261" s="2" t="s">
        <v>42</v>
      </c>
      <c r="C261" s="21" t="s">
        <v>43</v>
      </c>
      <c r="D261" s="21" t="s">
        <v>44</v>
      </c>
      <c r="E261" s="24" t="s">
        <v>45</v>
      </c>
      <c r="F261" s="33" t="s">
        <v>46</v>
      </c>
      <c r="G261" s="3" t="s">
        <v>2</v>
      </c>
      <c r="H261" s="58"/>
      <c r="I261" s="3" t="s">
        <v>1</v>
      </c>
      <c r="J261" s="2" t="s">
        <v>42</v>
      </c>
      <c r="K261" s="21" t="s">
        <v>43</v>
      </c>
      <c r="L261" s="21" t="s">
        <v>44</v>
      </c>
      <c r="M261" s="24" t="s">
        <v>45</v>
      </c>
      <c r="N261" s="33" t="s">
        <v>46</v>
      </c>
      <c r="O261" s="3" t="s">
        <v>2</v>
      </c>
      <c r="P261" s="1"/>
    </row>
    <row r="262" spans="1:16" ht="14.25" thickBot="1" x14ac:dyDescent="0.2">
      <c r="A262" s="72" t="s">
        <v>79</v>
      </c>
      <c r="B262" s="73">
        <f>B257</f>
        <v>14</v>
      </c>
      <c r="C262" s="74">
        <f t="shared" ref="C262:F262" si="84">C257</f>
        <v>8</v>
      </c>
      <c r="D262" s="107">
        <f t="shared" si="84"/>
        <v>6</v>
      </c>
      <c r="E262" s="75">
        <f t="shared" si="84"/>
        <v>9</v>
      </c>
      <c r="F262" s="75">
        <f t="shared" si="84"/>
        <v>6</v>
      </c>
      <c r="G262" s="76">
        <f t="shared" ref="G262:G271" si="85">SUM(B262:F262)</f>
        <v>43</v>
      </c>
      <c r="H262" s="58"/>
      <c r="I262" s="72" t="s">
        <v>79</v>
      </c>
      <c r="J262" s="73">
        <f>J257</f>
        <v>118</v>
      </c>
      <c r="K262" s="74">
        <f t="shared" ref="K262:N262" si="86">K257</f>
        <v>97</v>
      </c>
      <c r="L262" s="107">
        <f t="shared" si="86"/>
        <v>154</v>
      </c>
      <c r="M262" s="75">
        <f t="shared" si="86"/>
        <v>98</v>
      </c>
      <c r="N262" s="75">
        <f t="shared" si="86"/>
        <v>56</v>
      </c>
      <c r="O262" s="76">
        <f t="shared" ref="O262:O271" si="87">SUM(J262:N262)</f>
        <v>523</v>
      </c>
      <c r="P262" s="90"/>
    </row>
    <row r="263" spans="1:16" x14ac:dyDescent="0.15">
      <c r="A263" s="15" t="s">
        <v>15</v>
      </c>
      <c r="B263" s="37"/>
      <c r="C263" s="35">
        <v>5</v>
      </c>
      <c r="D263" s="35">
        <v>5</v>
      </c>
      <c r="E263" s="35">
        <v>5</v>
      </c>
      <c r="F263" s="28">
        <v>5</v>
      </c>
      <c r="G263" s="7">
        <f t="shared" si="85"/>
        <v>20</v>
      </c>
      <c r="H263" s="58">
        <v>42639</v>
      </c>
      <c r="I263" s="38" t="s">
        <v>15</v>
      </c>
      <c r="J263" s="37"/>
      <c r="K263" s="35"/>
      <c r="L263" s="35"/>
      <c r="M263" s="35"/>
      <c r="N263" s="28"/>
      <c r="O263" s="7">
        <f t="shared" si="87"/>
        <v>0</v>
      </c>
      <c r="P263" s="36"/>
    </row>
    <row r="264" spans="1:16" x14ac:dyDescent="0.15">
      <c r="A264" s="15" t="s">
        <v>16</v>
      </c>
      <c r="B264" s="8"/>
      <c r="C264" s="10">
        <v>5</v>
      </c>
      <c r="D264" s="10"/>
      <c r="E264" s="10">
        <v>10</v>
      </c>
      <c r="F264" s="28">
        <v>5</v>
      </c>
      <c r="G264" s="9">
        <f t="shared" si="85"/>
        <v>20</v>
      </c>
      <c r="H264" s="58">
        <v>42646</v>
      </c>
      <c r="I264" s="15" t="s">
        <v>3</v>
      </c>
      <c r="J264" s="8"/>
      <c r="K264" s="10"/>
      <c r="L264" s="10"/>
      <c r="M264" s="10"/>
      <c r="N264" s="28"/>
      <c r="O264" s="9">
        <f t="shared" si="87"/>
        <v>0</v>
      </c>
      <c r="P264" s="36"/>
    </row>
    <row r="265" spans="1:16" x14ac:dyDescent="0.15">
      <c r="A265" s="15" t="s">
        <v>19</v>
      </c>
      <c r="B265" s="8">
        <v>1</v>
      </c>
      <c r="C265" s="10"/>
      <c r="D265" s="10"/>
      <c r="E265" s="10">
        <v>2</v>
      </c>
      <c r="F265" s="28"/>
      <c r="G265" s="9">
        <f t="shared" si="85"/>
        <v>3</v>
      </c>
      <c r="H265" s="58">
        <v>42654</v>
      </c>
      <c r="I265" s="15" t="s">
        <v>4</v>
      </c>
      <c r="J265" s="8"/>
      <c r="K265" s="45"/>
      <c r="L265" s="45"/>
      <c r="M265" s="45"/>
      <c r="N265" s="46"/>
      <c r="O265" s="9">
        <f t="shared" si="87"/>
        <v>0</v>
      </c>
      <c r="P265" s="36"/>
    </row>
    <row r="266" spans="1:16" x14ac:dyDescent="0.15">
      <c r="A266" s="15" t="s">
        <v>20</v>
      </c>
      <c r="B266" s="8"/>
      <c r="C266" s="10"/>
      <c r="D266" s="10">
        <v>10</v>
      </c>
      <c r="E266" s="10"/>
      <c r="F266" s="28">
        <v>10</v>
      </c>
      <c r="G266" s="9">
        <f t="shared" si="85"/>
        <v>20</v>
      </c>
      <c r="H266" s="58">
        <v>42656</v>
      </c>
      <c r="I266" s="15" t="s">
        <v>5</v>
      </c>
      <c r="J266" s="8"/>
      <c r="K266" s="45"/>
      <c r="L266" s="45"/>
      <c r="M266" s="45"/>
      <c r="N266" s="46"/>
      <c r="O266" s="9">
        <f t="shared" si="87"/>
        <v>0</v>
      </c>
      <c r="P266" s="1"/>
    </row>
    <row r="267" spans="1:16" x14ac:dyDescent="0.15">
      <c r="A267" s="15" t="s">
        <v>80</v>
      </c>
      <c r="B267" s="8"/>
      <c r="C267" s="10">
        <v>5</v>
      </c>
      <c r="D267" s="10">
        <v>15</v>
      </c>
      <c r="E267" s="10"/>
      <c r="F267" s="28"/>
      <c r="G267" s="9">
        <f t="shared" si="85"/>
        <v>20</v>
      </c>
      <c r="H267" s="58">
        <v>42660</v>
      </c>
      <c r="I267" s="15" t="s">
        <v>6</v>
      </c>
      <c r="J267" s="8"/>
      <c r="K267" s="45"/>
      <c r="L267" s="45"/>
      <c r="M267" s="45"/>
      <c r="N267" s="46"/>
      <c r="O267" s="9">
        <f t="shared" si="87"/>
        <v>0</v>
      </c>
      <c r="P267" s="1"/>
    </row>
    <row r="268" spans="1:16" x14ac:dyDescent="0.15">
      <c r="A268" s="15" t="s">
        <v>183</v>
      </c>
      <c r="B268" s="8"/>
      <c r="C268" s="10">
        <v>1</v>
      </c>
      <c r="D268" s="10"/>
      <c r="E268" s="10"/>
      <c r="F268" s="28"/>
      <c r="G268" s="9">
        <f t="shared" si="85"/>
        <v>1</v>
      </c>
      <c r="H268" s="58">
        <v>42661</v>
      </c>
      <c r="I268" s="15" t="s">
        <v>84</v>
      </c>
      <c r="J268" s="8"/>
      <c r="K268" s="45"/>
      <c r="L268" s="45"/>
      <c r="M268" s="45"/>
      <c r="N268" s="46"/>
      <c r="O268" s="7">
        <f t="shared" si="87"/>
        <v>0</v>
      </c>
      <c r="P268" s="1"/>
    </row>
    <row r="269" spans="1:16" x14ac:dyDescent="0.15">
      <c r="A269" s="15" t="s">
        <v>19</v>
      </c>
      <c r="B269" s="8"/>
      <c r="C269" s="10">
        <v>1</v>
      </c>
      <c r="D269" s="10"/>
      <c r="E269" s="10">
        <v>1</v>
      </c>
      <c r="F269" s="28">
        <v>1</v>
      </c>
      <c r="G269" s="9">
        <f t="shared" si="85"/>
        <v>3</v>
      </c>
      <c r="H269" s="58">
        <v>42664</v>
      </c>
      <c r="I269" s="15" t="s">
        <v>85</v>
      </c>
      <c r="J269" s="8"/>
      <c r="K269" s="45"/>
      <c r="L269" s="45"/>
      <c r="M269" s="45"/>
      <c r="N269" s="46"/>
      <c r="O269" s="7">
        <f t="shared" si="87"/>
        <v>0</v>
      </c>
      <c r="P269" s="1"/>
    </row>
    <row r="270" spans="1:16" x14ac:dyDescent="0.15">
      <c r="A270" s="15" t="s">
        <v>83</v>
      </c>
      <c r="B270" s="11"/>
      <c r="C270" s="100">
        <v>5</v>
      </c>
      <c r="D270" s="100"/>
      <c r="E270" s="100"/>
      <c r="F270" s="109"/>
      <c r="G270" s="9">
        <f t="shared" si="85"/>
        <v>5</v>
      </c>
      <c r="H270" s="58">
        <v>42668</v>
      </c>
      <c r="I270" s="15" t="s">
        <v>86</v>
      </c>
      <c r="J270" s="8"/>
      <c r="K270" s="45"/>
      <c r="L270" s="45"/>
      <c r="M270" s="45"/>
      <c r="N270" s="46"/>
      <c r="O270" s="102">
        <f t="shared" si="87"/>
        <v>0</v>
      </c>
      <c r="P270" s="1"/>
    </row>
    <row r="271" spans="1:16" ht="14.25" thickBot="1" x14ac:dyDescent="0.2">
      <c r="A271" s="15" t="s">
        <v>19</v>
      </c>
      <c r="B271" s="11">
        <v>1</v>
      </c>
      <c r="C271" s="100"/>
      <c r="D271" s="100"/>
      <c r="E271" s="100"/>
      <c r="F271" s="109">
        <v>1</v>
      </c>
      <c r="G271" s="115">
        <f t="shared" si="85"/>
        <v>2</v>
      </c>
      <c r="H271" s="58">
        <v>42670</v>
      </c>
      <c r="I271" s="15" t="s">
        <v>87</v>
      </c>
      <c r="J271" s="47"/>
      <c r="K271" s="48"/>
      <c r="L271" s="48"/>
      <c r="M271" s="48"/>
      <c r="N271" s="49"/>
      <c r="O271" s="40">
        <f t="shared" si="87"/>
        <v>0</v>
      </c>
      <c r="P271" s="1"/>
    </row>
    <row r="272" spans="1:16" ht="14.25" thickBot="1" x14ac:dyDescent="0.2">
      <c r="A272" s="72" t="s">
        <v>7</v>
      </c>
      <c r="B272" s="73">
        <f>SUM(B262:B271)</f>
        <v>16</v>
      </c>
      <c r="C272" s="74">
        <f t="shared" ref="C272:G272" si="88">SUM(C262:C271)</f>
        <v>30</v>
      </c>
      <c r="D272" s="74">
        <f t="shared" si="88"/>
        <v>36</v>
      </c>
      <c r="E272" s="74">
        <f t="shared" si="88"/>
        <v>27</v>
      </c>
      <c r="F272" s="105">
        <f t="shared" si="88"/>
        <v>28</v>
      </c>
      <c r="G272" s="76">
        <f t="shared" si="88"/>
        <v>137</v>
      </c>
      <c r="H272" s="58"/>
      <c r="I272" s="72" t="s">
        <v>7</v>
      </c>
      <c r="J272" s="73">
        <f>SUM(J262:J271)</f>
        <v>118</v>
      </c>
      <c r="K272" s="74">
        <f t="shared" ref="K272:O272" si="89">SUM(K262:K271)</f>
        <v>97</v>
      </c>
      <c r="L272" s="74">
        <f t="shared" si="89"/>
        <v>154</v>
      </c>
      <c r="M272" s="74">
        <f t="shared" si="89"/>
        <v>98</v>
      </c>
      <c r="N272" s="105">
        <f t="shared" si="89"/>
        <v>56</v>
      </c>
      <c r="O272" s="76">
        <f t="shared" si="89"/>
        <v>523</v>
      </c>
      <c r="P272" s="69"/>
    </row>
    <row r="273" spans="1:16" x14ac:dyDescent="0.15">
      <c r="A273" s="16" t="s">
        <v>22</v>
      </c>
      <c r="B273" s="8"/>
      <c r="C273" s="10"/>
      <c r="D273" s="10"/>
      <c r="E273" s="10">
        <v>10</v>
      </c>
      <c r="F273" s="30"/>
      <c r="G273" s="7">
        <f t="shared" ref="G273:G298" si="90">SUM(B273:F273)</f>
        <v>10</v>
      </c>
      <c r="H273" s="58">
        <v>42646</v>
      </c>
      <c r="I273" s="16" t="s">
        <v>291</v>
      </c>
      <c r="J273" s="8"/>
      <c r="K273" s="10">
        <v>5</v>
      </c>
      <c r="L273" s="10"/>
      <c r="M273" s="10">
        <v>10</v>
      </c>
      <c r="N273" s="28">
        <v>5</v>
      </c>
      <c r="O273" s="9">
        <f t="shared" ref="O273:O298" si="91">SUM(J273:N273)</f>
        <v>20</v>
      </c>
      <c r="P273" s="58">
        <v>42646</v>
      </c>
    </row>
    <row r="274" spans="1:16" x14ac:dyDescent="0.15">
      <c r="A274" s="51" t="s">
        <v>288</v>
      </c>
      <c r="B274" s="8"/>
      <c r="C274" s="10"/>
      <c r="D274" s="10"/>
      <c r="E274" s="10"/>
      <c r="F274" s="30">
        <v>1</v>
      </c>
      <c r="G274" s="7">
        <f t="shared" si="90"/>
        <v>1</v>
      </c>
      <c r="H274" s="58">
        <v>42641</v>
      </c>
      <c r="I274" s="16" t="s">
        <v>24</v>
      </c>
      <c r="J274" s="8"/>
      <c r="K274" s="10"/>
      <c r="L274" s="10">
        <v>10</v>
      </c>
      <c r="M274" s="10"/>
      <c r="N274" s="30">
        <v>10</v>
      </c>
      <c r="O274" s="7">
        <f t="shared" si="91"/>
        <v>20</v>
      </c>
      <c r="P274" s="36">
        <v>42656</v>
      </c>
    </row>
    <row r="275" spans="1:16" x14ac:dyDescent="0.15">
      <c r="A275" s="16" t="s">
        <v>182</v>
      </c>
      <c r="B275" s="8"/>
      <c r="C275" s="10"/>
      <c r="D275" s="10">
        <v>1</v>
      </c>
      <c r="E275" s="10"/>
      <c r="F275" s="30"/>
      <c r="G275" s="7">
        <f t="shared" si="90"/>
        <v>1</v>
      </c>
      <c r="H275" s="58">
        <v>42641</v>
      </c>
      <c r="I275" s="16" t="s">
        <v>24</v>
      </c>
      <c r="J275" s="8"/>
      <c r="K275" s="10">
        <v>5</v>
      </c>
      <c r="L275" s="10">
        <v>15</v>
      </c>
      <c r="M275" s="10"/>
      <c r="N275" s="30"/>
      <c r="O275" s="7">
        <f t="shared" si="91"/>
        <v>20</v>
      </c>
      <c r="P275" s="36">
        <v>42660</v>
      </c>
    </row>
    <row r="276" spans="1:16" x14ac:dyDescent="0.15">
      <c r="A276" s="16" t="s">
        <v>182</v>
      </c>
      <c r="B276" s="8"/>
      <c r="C276" s="10">
        <v>2</v>
      </c>
      <c r="D276" s="10"/>
      <c r="E276" s="10"/>
      <c r="F276" s="30">
        <v>1</v>
      </c>
      <c r="G276" s="7">
        <f t="shared" si="90"/>
        <v>3</v>
      </c>
      <c r="H276" s="58">
        <v>42643</v>
      </c>
      <c r="I276" s="16" t="s">
        <v>24</v>
      </c>
      <c r="J276" s="8"/>
      <c r="K276" s="10">
        <v>5</v>
      </c>
      <c r="L276" s="10"/>
      <c r="M276" s="10"/>
      <c r="N276" s="30"/>
      <c r="O276" s="7">
        <f t="shared" si="91"/>
        <v>5</v>
      </c>
      <c r="P276" s="36">
        <v>42668</v>
      </c>
    </row>
    <row r="277" spans="1:16" x14ac:dyDescent="0.15">
      <c r="A277" s="16" t="s">
        <v>110</v>
      </c>
      <c r="B277" s="8"/>
      <c r="C277" s="10">
        <v>2</v>
      </c>
      <c r="D277" s="10"/>
      <c r="E277" s="10"/>
      <c r="F277" s="30"/>
      <c r="G277" s="7">
        <f t="shared" si="90"/>
        <v>2</v>
      </c>
      <c r="H277" s="58">
        <v>42648</v>
      </c>
      <c r="I277" s="16" t="s">
        <v>24</v>
      </c>
      <c r="J277" s="8"/>
      <c r="K277" s="10"/>
      <c r="L277" s="10"/>
      <c r="M277" s="10"/>
      <c r="N277" s="30">
        <v>5</v>
      </c>
      <c r="O277" s="7">
        <f t="shared" si="91"/>
        <v>5</v>
      </c>
      <c r="P277" s="36">
        <v>42683</v>
      </c>
    </row>
    <row r="278" spans="1:16" x14ac:dyDescent="0.15">
      <c r="A278" s="16" t="s">
        <v>182</v>
      </c>
      <c r="B278" s="8"/>
      <c r="C278" s="10"/>
      <c r="D278" s="10"/>
      <c r="E278" s="10"/>
      <c r="F278" s="30">
        <v>1</v>
      </c>
      <c r="G278" s="7">
        <f t="shared" si="90"/>
        <v>1</v>
      </c>
      <c r="H278" s="58">
        <v>42643</v>
      </c>
      <c r="I278" s="16"/>
      <c r="J278" s="8"/>
      <c r="K278" s="10"/>
      <c r="L278" s="10"/>
      <c r="M278" s="10"/>
      <c r="N278" s="30"/>
      <c r="O278" s="7">
        <f t="shared" si="91"/>
        <v>0</v>
      </c>
      <c r="P278" s="36"/>
    </row>
    <row r="279" spans="1:16" x14ac:dyDescent="0.15">
      <c r="A279" s="16" t="s">
        <v>110</v>
      </c>
      <c r="B279" s="8"/>
      <c r="C279" s="10">
        <v>3</v>
      </c>
      <c r="D279" s="10"/>
      <c r="E279" s="10"/>
      <c r="F279" s="30"/>
      <c r="G279" s="7">
        <f t="shared" si="90"/>
        <v>3</v>
      </c>
      <c r="H279" s="58">
        <v>42648</v>
      </c>
      <c r="I279" s="16"/>
      <c r="J279" s="8"/>
      <c r="K279" s="10"/>
      <c r="L279" s="10"/>
      <c r="M279" s="10"/>
      <c r="N279" s="30"/>
      <c r="O279" s="7">
        <f t="shared" si="91"/>
        <v>0</v>
      </c>
      <c r="P279" s="36"/>
    </row>
    <row r="280" spans="1:16" x14ac:dyDescent="0.15">
      <c r="A280" s="16" t="s">
        <v>182</v>
      </c>
      <c r="B280" s="8"/>
      <c r="C280" s="10"/>
      <c r="D280" s="10">
        <v>3</v>
      </c>
      <c r="E280" s="10">
        <v>2</v>
      </c>
      <c r="F280" s="30"/>
      <c r="G280" s="7">
        <f t="shared" si="90"/>
        <v>5</v>
      </c>
      <c r="H280" s="58">
        <v>42647</v>
      </c>
      <c r="I280" s="16"/>
      <c r="J280" s="8"/>
      <c r="K280" s="10"/>
      <c r="L280" s="10"/>
      <c r="M280" s="10"/>
      <c r="N280" s="30"/>
      <c r="O280" s="7">
        <f t="shared" si="91"/>
        <v>0</v>
      </c>
      <c r="P280" s="1"/>
    </row>
    <row r="281" spans="1:16" x14ac:dyDescent="0.15">
      <c r="A281" s="39" t="s">
        <v>292</v>
      </c>
      <c r="B281" s="8"/>
      <c r="C281" s="10"/>
      <c r="D281" s="10">
        <v>1</v>
      </c>
      <c r="E281" s="10"/>
      <c r="F281" s="30">
        <v>1</v>
      </c>
      <c r="G281" s="7">
        <f t="shared" si="90"/>
        <v>2</v>
      </c>
      <c r="H281" s="58">
        <v>42649</v>
      </c>
      <c r="I281" s="39"/>
      <c r="J281" s="8"/>
      <c r="K281" s="10"/>
      <c r="L281" s="10"/>
      <c r="M281" s="10"/>
      <c r="N281" s="30"/>
      <c r="O281" s="7">
        <f t="shared" si="91"/>
        <v>0</v>
      </c>
      <c r="P281" s="1"/>
    </row>
    <row r="282" spans="1:16" x14ac:dyDescent="0.15">
      <c r="A282" s="14" t="s">
        <v>294</v>
      </c>
      <c r="B282" s="11"/>
      <c r="C282" s="12"/>
      <c r="D282" s="12">
        <v>1</v>
      </c>
      <c r="E282" s="12"/>
      <c r="F282" s="31"/>
      <c r="G282" s="7">
        <f t="shared" si="90"/>
        <v>1</v>
      </c>
      <c r="H282" s="58">
        <v>42646</v>
      </c>
      <c r="I282" s="16"/>
      <c r="J282" s="11"/>
      <c r="K282" s="12"/>
      <c r="L282" s="12"/>
      <c r="M282" s="12"/>
      <c r="N282" s="31"/>
      <c r="O282" s="7">
        <f t="shared" si="91"/>
        <v>0</v>
      </c>
      <c r="P282" s="1"/>
    </row>
    <row r="283" spans="1:16" x14ac:dyDescent="0.15">
      <c r="A283" s="16" t="s">
        <v>182</v>
      </c>
      <c r="B283" s="8"/>
      <c r="C283" s="10">
        <v>1</v>
      </c>
      <c r="D283" s="10"/>
      <c r="E283" s="10"/>
      <c r="F283" s="30"/>
      <c r="G283" s="7">
        <f t="shared" si="90"/>
        <v>1</v>
      </c>
      <c r="H283" s="58">
        <v>42651</v>
      </c>
      <c r="I283" s="16"/>
      <c r="J283" s="8"/>
      <c r="K283" s="10"/>
      <c r="L283" s="10"/>
      <c r="M283" s="10"/>
      <c r="N283" s="30"/>
      <c r="O283" s="7">
        <f t="shared" si="91"/>
        <v>0</v>
      </c>
      <c r="P283" s="1"/>
    </row>
    <row r="284" spans="1:16" x14ac:dyDescent="0.15">
      <c r="A284" s="16" t="s">
        <v>117</v>
      </c>
      <c r="B284" s="8"/>
      <c r="C284" s="10"/>
      <c r="D284" s="10">
        <v>1</v>
      </c>
      <c r="E284" s="10"/>
      <c r="F284" s="30"/>
      <c r="G284" s="7">
        <f t="shared" si="90"/>
        <v>1</v>
      </c>
      <c r="H284" s="58">
        <v>42655</v>
      </c>
      <c r="I284" s="39"/>
      <c r="J284" s="8"/>
      <c r="K284" s="10"/>
      <c r="L284" s="10"/>
      <c r="M284" s="10"/>
      <c r="N284" s="30"/>
      <c r="O284" s="7">
        <f t="shared" si="91"/>
        <v>0</v>
      </c>
      <c r="P284" s="1"/>
    </row>
    <row r="285" spans="1:16" x14ac:dyDescent="0.15">
      <c r="A285" s="16" t="s">
        <v>297</v>
      </c>
      <c r="B285" s="8"/>
      <c r="C285" s="10"/>
      <c r="D285" s="10"/>
      <c r="E285" s="10"/>
      <c r="F285" s="30">
        <v>10</v>
      </c>
      <c r="G285" s="7">
        <f t="shared" si="90"/>
        <v>10</v>
      </c>
      <c r="H285" s="58">
        <v>42660</v>
      </c>
      <c r="I285" s="16"/>
      <c r="J285" s="8"/>
      <c r="K285" s="10"/>
      <c r="L285" s="10"/>
      <c r="M285" s="10"/>
      <c r="N285" s="30"/>
      <c r="O285" s="7">
        <f t="shared" si="91"/>
        <v>0</v>
      </c>
      <c r="P285" s="1"/>
    </row>
    <row r="286" spans="1:16" x14ac:dyDescent="0.15">
      <c r="A286" s="16" t="s">
        <v>182</v>
      </c>
      <c r="B286" s="8"/>
      <c r="C286" s="10">
        <v>1</v>
      </c>
      <c r="D286" s="10"/>
      <c r="E286" s="10"/>
      <c r="F286" s="30"/>
      <c r="G286" s="7">
        <f t="shared" si="90"/>
        <v>1</v>
      </c>
      <c r="H286" s="58">
        <v>42658</v>
      </c>
      <c r="I286" s="16"/>
      <c r="J286" s="8"/>
      <c r="K286" s="10"/>
      <c r="L286" s="10"/>
      <c r="M286" s="10"/>
      <c r="N286" s="30"/>
      <c r="O286" s="7">
        <f t="shared" si="91"/>
        <v>0</v>
      </c>
      <c r="P286" s="36"/>
    </row>
    <row r="287" spans="1:16" x14ac:dyDescent="0.15">
      <c r="A287" s="16" t="s">
        <v>182</v>
      </c>
      <c r="B287" s="8"/>
      <c r="C287" s="10">
        <v>1</v>
      </c>
      <c r="D287" s="10"/>
      <c r="E287" s="10"/>
      <c r="F287" s="30"/>
      <c r="G287" s="7">
        <f t="shared" si="90"/>
        <v>1</v>
      </c>
      <c r="H287" s="58">
        <v>42658</v>
      </c>
      <c r="I287" s="16"/>
      <c r="J287" s="8"/>
      <c r="K287" s="10"/>
      <c r="L287" s="10"/>
      <c r="M287" s="10"/>
      <c r="N287" s="30"/>
      <c r="O287" s="7">
        <f t="shared" si="91"/>
        <v>0</v>
      </c>
      <c r="P287" s="36"/>
    </row>
    <row r="288" spans="1:16" x14ac:dyDescent="0.15">
      <c r="A288" s="16" t="s">
        <v>303</v>
      </c>
      <c r="B288" s="8">
        <v>2</v>
      </c>
      <c r="C288" s="10">
        <v>2</v>
      </c>
      <c r="D288" s="10">
        <v>4</v>
      </c>
      <c r="E288" s="10"/>
      <c r="F288" s="30"/>
      <c r="G288" s="7">
        <f t="shared" si="90"/>
        <v>8</v>
      </c>
      <c r="H288" s="58">
        <v>42662</v>
      </c>
      <c r="I288" s="16"/>
      <c r="J288" s="8"/>
      <c r="K288" s="10"/>
      <c r="L288" s="10"/>
      <c r="M288" s="10"/>
      <c r="N288" s="30"/>
      <c r="O288" s="7">
        <f t="shared" si="91"/>
        <v>0</v>
      </c>
      <c r="P288" s="1"/>
    </row>
    <row r="289" spans="1:17" x14ac:dyDescent="0.15">
      <c r="A289" s="16" t="s">
        <v>110</v>
      </c>
      <c r="B289" s="8"/>
      <c r="C289" s="10"/>
      <c r="D289" s="10">
        <v>3</v>
      </c>
      <c r="E289" s="10"/>
      <c r="F289" s="30"/>
      <c r="G289" s="7">
        <f t="shared" si="90"/>
        <v>3</v>
      </c>
      <c r="H289" s="58">
        <v>42664</v>
      </c>
      <c r="I289" s="14"/>
      <c r="J289" s="8"/>
      <c r="K289" s="10"/>
      <c r="L289" s="10"/>
      <c r="M289" s="10"/>
      <c r="N289" s="30"/>
      <c r="O289" s="7">
        <f t="shared" si="91"/>
        <v>0</v>
      </c>
      <c r="P289" s="36"/>
    </row>
    <row r="290" spans="1:17" x14ac:dyDescent="0.15">
      <c r="A290" s="16" t="s">
        <v>182</v>
      </c>
      <c r="B290" s="8"/>
      <c r="C290" s="10"/>
      <c r="D290" s="10">
        <v>2</v>
      </c>
      <c r="E290" s="10"/>
      <c r="F290" s="30"/>
      <c r="G290" s="7">
        <f t="shared" si="90"/>
        <v>2</v>
      </c>
      <c r="H290" s="58">
        <v>42662</v>
      </c>
      <c r="I290" s="16"/>
      <c r="J290" s="8"/>
      <c r="K290" s="10"/>
      <c r="L290" s="10"/>
      <c r="M290" s="10"/>
      <c r="N290" s="30"/>
      <c r="O290" s="7">
        <f t="shared" si="91"/>
        <v>0</v>
      </c>
      <c r="P290" s="1"/>
    </row>
    <row r="291" spans="1:17" x14ac:dyDescent="0.15">
      <c r="A291" s="16" t="s">
        <v>31</v>
      </c>
      <c r="B291" s="8"/>
      <c r="C291" s="10"/>
      <c r="D291" s="10"/>
      <c r="E291" s="10"/>
      <c r="F291" s="30">
        <v>2</v>
      </c>
      <c r="G291" s="7">
        <f t="shared" si="90"/>
        <v>2</v>
      </c>
      <c r="H291" s="58">
        <v>42664</v>
      </c>
      <c r="I291" s="16"/>
      <c r="J291" s="8"/>
      <c r="K291" s="10"/>
      <c r="L291" s="10"/>
      <c r="M291" s="10"/>
      <c r="N291" s="30"/>
      <c r="O291" s="7">
        <f t="shared" si="91"/>
        <v>0</v>
      </c>
      <c r="P291" s="1"/>
    </row>
    <row r="292" spans="1:17" x14ac:dyDescent="0.15">
      <c r="A292" s="16" t="s">
        <v>182</v>
      </c>
      <c r="B292" s="8"/>
      <c r="C292" s="10"/>
      <c r="D292" s="10">
        <v>1</v>
      </c>
      <c r="E292" s="10"/>
      <c r="F292" s="30"/>
      <c r="G292" s="7">
        <f t="shared" si="90"/>
        <v>1</v>
      </c>
      <c r="H292" s="58">
        <v>42664</v>
      </c>
      <c r="I292" s="16"/>
      <c r="J292" s="8"/>
      <c r="K292" s="10"/>
      <c r="L292" s="10"/>
      <c r="M292" s="10"/>
      <c r="N292" s="30"/>
      <c r="O292" s="7">
        <f t="shared" si="91"/>
        <v>0</v>
      </c>
      <c r="P292" s="36"/>
    </row>
    <row r="293" spans="1:17" x14ac:dyDescent="0.15">
      <c r="A293" s="16" t="s">
        <v>31</v>
      </c>
      <c r="B293" s="8"/>
      <c r="C293" s="10">
        <v>3</v>
      </c>
      <c r="D293" s="10"/>
      <c r="E293" s="10">
        <v>2</v>
      </c>
      <c r="F293" s="30">
        <v>1</v>
      </c>
      <c r="G293" s="7">
        <f t="shared" si="90"/>
        <v>6</v>
      </c>
      <c r="H293" s="58">
        <v>42669</v>
      </c>
      <c r="I293" s="14"/>
      <c r="J293" s="8"/>
      <c r="K293" s="10"/>
      <c r="L293" s="10"/>
      <c r="M293" s="10"/>
      <c r="N293" s="30"/>
      <c r="O293" s="7">
        <f t="shared" si="91"/>
        <v>0</v>
      </c>
      <c r="P293" s="36"/>
    </row>
    <row r="294" spans="1:17" x14ac:dyDescent="0.15">
      <c r="A294" s="16" t="s">
        <v>31</v>
      </c>
      <c r="B294" s="11"/>
      <c r="C294" s="12"/>
      <c r="D294" s="12"/>
      <c r="E294" s="12">
        <v>1</v>
      </c>
      <c r="F294" s="31">
        <v>1</v>
      </c>
      <c r="G294" s="7">
        <f t="shared" si="90"/>
        <v>2</v>
      </c>
      <c r="H294" s="58">
        <v>42669</v>
      </c>
      <c r="I294" s="20"/>
      <c r="J294" s="11"/>
      <c r="K294" s="12"/>
      <c r="L294" s="12"/>
      <c r="M294" s="12"/>
      <c r="N294" s="31"/>
      <c r="O294" s="7">
        <f t="shared" si="91"/>
        <v>0</v>
      </c>
      <c r="P294" s="36"/>
      <c r="Q294" s="56"/>
    </row>
    <row r="295" spans="1:17" x14ac:dyDescent="0.15">
      <c r="A295" s="39" t="s">
        <v>311</v>
      </c>
      <c r="B295" s="8"/>
      <c r="C295" s="10"/>
      <c r="D295" s="10">
        <v>5</v>
      </c>
      <c r="E295" s="10"/>
      <c r="F295" s="30"/>
      <c r="G295" s="7">
        <f t="shared" si="90"/>
        <v>5</v>
      </c>
      <c r="H295" s="58">
        <v>42681</v>
      </c>
      <c r="I295" s="14"/>
      <c r="J295" s="8"/>
      <c r="K295" s="10"/>
      <c r="L295" s="10"/>
      <c r="M295" s="10"/>
      <c r="N295" s="30"/>
      <c r="O295" s="7">
        <f t="shared" si="91"/>
        <v>0</v>
      </c>
      <c r="P295" s="36"/>
    </row>
    <row r="296" spans="1:17" x14ac:dyDescent="0.15">
      <c r="A296" s="16" t="s">
        <v>182</v>
      </c>
      <c r="B296" s="8"/>
      <c r="C296" s="10">
        <v>1</v>
      </c>
      <c r="D296" s="10"/>
      <c r="E296" s="10"/>
      <c r="F296" s="30"/>
      <c r="G296" s="7">
        <f t="shared" si="90"/>
        <v>1</v>
      </c>
      <c r="H296" s="58">
        <v>42681</v>
      </c>
      <c r="I296" s="20"/>
      <c r="J296" s="11"/>
      <c r="K296" s="12"/>
      <c r="L296" s="12"/>
      <c r="M296" s="12"/>
      <c r="N296" s="31"/>
      <c r="O296" s="7">
        <f t="shared" si="91"/>
        <v>0</v>
      </c>
      <c r="P296" s="36"/>
    </row>
    <row r="297" spans="1:17" x14ac:dyDescent="0.15">
      <c r="A297" s="14" t="s">
        <v>313</v>
      </c>
      <c r="B297" s="8"/>
      <c r="C297" s="10"/>
      <c r="D297" s="10"/>
      <c r="E297" s="10"/>
      <c r="F297" s="30">
        <v>1</v>
      </c>
      <c r="G297" s="7">
        <f t="shared" si="90"/>
        <v>1</v>
      </c>
      <c r="H297" s="58">
        <v>42681</v>
      </c>
      <c r="I297" s="14"/>
      <c r="J297" s="8"/>
      <c r="K297" s="10"/>
      <c r="L297" s="10"/>
      <c r="M297" s="10"/>
      <c r="N297" s="30"/>
      <c r="O297" s="7">
        <f t="shared" si="91"/>
        <v>0</v>
      </c>
      <c r="P297" s="1"/>
    </row>
    <row r="298" spans="1:17" ht="14.25" thickBot="1" x14ac:dyDescent="0.2">
      <c r="A298" s="14" t="s">
        <v>29</v>
      </c>
      <c r="B298" s="11">
        <v>1</v>
      </c>
      <c r="C298" s="12"/>
      <c r="D298" s="12"/>
      <c r="E298" s="12"/>
      <c r="F298" s="31"/>
      <c r="G298" s="7">
        <f t="shared" si="90"/>
        <v>1</v>
      </c>
      <c r="H298" s="58">
        <v>42682</v>
      </c>
      <c r="I298" s="20"/>
      <c r="J298" s="11"/>
      <c r="K298" s="12"/>
      <c r="L298" s="12"/>
      <c r="M298" s="12"/>
      <c r="N298" s="31"/>
      <c r="O298" s="7">
        <f t="shared" si="91"/>
        <v>0</v>
      </c>
      <c r="P298" s="36"/>
    </row>
    <row r="299" spans="1:17" ht="14.25" thickBot="1" x14ac:dyDescent="0.2">
      <c r="A299" s="3" t="s">
        <v>11</v>
      </c>
      <c r="B299" s="23">
        <f>SUM(B273:B298)</f>
        <v>3</v>
      </c>
      <c r="C299" s="4">
        <f>SUM(C273:C298)</f>
        <v>16</v>
      </c>
      <c r="D299" s="4">
        <f>SUM(D273:D298)</f>
        <v>22</v>
      </c>
      <c r="E299" s="6">
        <f>SUM(E273:E298)</f>
        <v>15</v>
      </c>
      <c r="F299" s="32">
        <f>SUM(F273:F298)</f>
        <v>19</v>
      </c>
      <c r="G299" s="5">
        <f>SUM(B299:F299)</f>
        <v>75</v>
      </c>
      <c r="H299" s="58"/>
      <c r="I299" s="3" t="s">
        <v>11</v>
      </c>
      <c r="J299" s="23">
        <f>SUM(J273:J298)</f>
        <v>0</v>
      </c>
      <c r="K299" s="4">
        <f>SUM(K273:K298)</f>
        <v>15</v>
      </c>
      <c r="L299" s="4">
        <f>SUM(L273:L298)</f>
        <v>25</v>
      </c>
      <c r="M299" s="6">
        <f>SUM(M273:M298)</f>
        <v>10</v>
      </c>
      <c r="N299" s="32">
        <f>SUM(N273:N298)</f>
        <v>20</v>
      </c>
      <c r="O299" s="5">
        <f>SUM(J299:N299)</f>
        <v>70</v>
      </c>
      <c r="P299" s="1"/>
    </row>
    <row r="300" spans="1:17" ht="14.25" thickBot="1" x14ac:dyDescent="0.2">
      <c r="A300" s="25" t="s">
        <v>12</v>
      </c>
      <c r="B300" s="63">
        <f>B272-B299</f>
        <v>13</v>
      </c>
      <c r="C300" s="26">
        <f t="shared" ref="C300:G300" si="92">C272-C299</f>
        <v>14</v>
      </c>
      <c r="D300" s="71">
        <f t="shared" si="92"/>
        <v>14</v>
      </c>
      <c r="E300" s="26">
        <f t="shared" si="92"/>
        <v>12</v>
      </c>
      <c r="F300" s="70">
        <f t="shared" si="92"/>
        <v>9</v>
      </c>
      <c r="G300" s="27">
        <f t="shared" si="92"/>
        <v>62</v>
      </c>
      <c r="H300" s="58"/>
      <c r="I300" s="25" t="s">
        <v>12</v>
      </c>
      <c r="J300" s="63">
        <f>J272-J299</f>
        <v>118</v>
      </c>
      <c r="K300" s="26">
        <f t="shared" ref="K300:O300" si="93">K272-K299</f>
        <v>82</v>
      </c>
      <c r="L300" s="71">
        <f t="shared" si="93"/>
        <v>129</v>
      </c>
      <c r="M300" s="26">
        <f t="shared" si="93"/>
        <v>88</v>
      </c>
      <c r="N300" s="70">
        <f t="shared" si="93"/>
        <v>36</v>
      </c>
      <c r="O300" s="27">
        <f t="shared" si="93"/>
        <v>453</v>
      </c>
      <c r="P300" s="1"/>
    </row>
    <row r="301" spans="1:17" ht="21" x14ac:dyDescent="0.2">
      <c r="A301" s="86" t="s">
        <v>50</v>
      </c>
      <c r="B301" s="87"/>
      <c r="C301" s="87"/>
      <c r="D301" s="87"/>
      <c r="E301" s="87"/>
      <c r="F301" s="87"/>
      <c r="G301" s="87"/>
      <c r="H301" s="58"/>
      <c r="I301" s="86" t="s">
        <v>50</v>
      </c>
      <c r="J301" s="87"/>
      <c r="K301" s="87"/>
      <c r="L301" s="87"/>
      <c r="M301" s="87"/>
      <c r="N301" s="87"/>
      <c r="O301" s="87"/>
    </row>
    <row r="302" spans="1:17" ht="21.75" thickBot="1" x14ac:dyDescent="0.25">
      <c r="A302" s="86" t="s">
        <v>51</v>
      </c>
      <c r="B302" s="87"/>
      <c r="C302" s="87"/>
      <c r="D302" s="87"/>
      <c r="E302" s="85"/>
      <c r="F302" s="88" t="s">
        <v>53</v>
      </c>
      <c r="G302" s="87"/>
      <c r="H302" s="58"/>
      <c r="I302" s="86" t="s">
        <v>51</v>
      </c>
      <c r="J302" s="87"/>
      <c r="K302" s="87"/>
      <c r="L302" s="87"/>
      <c r="M302" s="89"/>
      <c r="N302" s="88" t="s">
        <v>54</v>
      </c>
      <c r="O302" s="87"/>
    </row>
    <row r="303" spans="1:17" ht="14.25" thickBot="1" x14ac:dyDescent="0.2">
      <c r="A303" s="13" t="s">
        <v>0</v>
      </c>
      <c r="B303" s="228" t="s">
        <v>52</v>
      </c>
      <c r="C303" s="229"/>
      <c r="D303" s="229"/>
      <c r="E303" s="229"/>
      <c r="F303" s="230"/>
      <c r="G303" s="231"/>
      <c r="H303" s="58"/>
      <c r="I303" s="13" t="s">
        <v>0</v>
      </c>
      <c r="J303" s="228" t="s">
        <v>49</v>
      </c>
      <c r="K303" s="229"/>
      <c r="L303" s="229"/>
      <c r="M303" s="229"/>
      <c r="N303" s="230"/>
      <c r="O303" s="231"/>
    </row>
    <row r="304" spans="1:17" ht="14.25" thickBot="1" x14ac:dyDescent="0.2">
      <c r="A304" s="3" t="s">
        <v>1</v>
      </c>
      <c r="B304" s="2" t="s">
        <v>42</v>
      </c>
      <c r="C304" s="21" t="s">
        <v>43</v>
      </c>
      <c r="D304" s="21" t="s">
        <v>44</v>
      </c>
      <c r="E304" s="24" t="s">
        <v>45</v>
      </c>
      <c r="F304" s="33" t="s">
        <v>46</v>
      </c>
      <c r="G304" s="3" t="s">
        <v>2</v>
      </c>
      <c r="H304" s="58"/>
      <c r="I304" s="3" t="s">
        <v>1</v>
      </c>
      <c r="J304" s="2" t="s">
        <v>42</v>
      </c>
      <c r="K304" s="21" t="s">
        <v>43</v>
      </c>
      <c r="L304" s="21" t="s">
        <v>44</v>
      </c>
      <c r="M304" s="24" t="s">
        <v>45</v>
      </c>
      <c r="N304" s="33" t="s">
        <v>46</v>
      </c>
      <c r="O304" s="3" t="s">
        <v>2</v>
      </c>
    </row>
    <row r="305" spans="1:16" ht="14.25" thickBot="1" x14ac:dyDescent="0.2">
      <c r="A305" s="72" t="s">
        <v>79</v>
      </c>
      <c r="B305" s="73">
        <f>B300</f>
        <v>13</v>
      </c>
      <c r="C305" s="74">
        <f t="shared" ref="C305:F305" si="94">C300</f>
        <v>14</v>
      </c>
      <c r="D305" s="107">
        <f t="shared" si="94"/>
        <v>14</v>
      </c>
      <c r="E305" s="75">
        <f t="shared" si="94"/>
        <v>12</v>
      </c>
      <c r="F305" s="75">
        <f t="shared" si="94"/>
        <v>9</v>
      </c>
      <c r="G305" s="76">
        <f t="shared" ref="G305:G314" si="95">SUM(B305:F305)</f>
        <v>62</v>
      </c>
      <c r="H305" s="58"/>
      <c r="I305" s="72" t="s">
        <v>79</v>
      </c>
      <c r="J305" s="73">
        <f>J300</f>
        <v>118</v>
      </c>
      <c r="K305" s="74">
        <f t="shared" ref="K305:N305" si="96">K300</f>
        <v>82</v>
      </c>
      <c r="L305" s="107">
        <f t="shared" si="96"/>
        <v>129</v>
      </c>
      <c r="M305" s="75">
        <f t="shared" si="96"/>
        <v>88</v>
      </c>
      <c r="N305" s="75">
        <f t="shared" si="96"/>
        <v>36</v>
      </c>
      <c r="O305" s="76">
        <f t="shared" ref="O305:O314" si="97">SUM(J305:N305)</f>
        <v>453</v>
      </c>
    </row>
    <row r="306" spans="1:16" x14ac:dyDescent="0.15">
      <c r="A306" s="15" t="s">
        <v>15</v>
      </c>
      <c r="B306" s="37"/>
      <c r="C306" s="35"/>
      <c r="D306" s="35"/>
      <c r="E306" s="35"/>
      <c r="F306" s="28">
        <v>5</v>
      </c>
      <c r="G306" s="7">
        <f t="shared" si="95"/>
        <v>5</v>
      </c>
      <c r="H306" s="58">
        <v>42683</v>
      </c>
      <c r="I306" s="38" t="s">
        <v>15</v>
      </c>
      <c r="J306" s="37"/>
      <c r="K306" s="35"/>
      <c r="L306" s="35"/>
      <c r="M306" s="35"/>
      <c r="N306" s="28"/>
      <c r="O306" s="7">
        <f t="shared" si="97"/>
        <v>0</v>
      </c>
    </row>
    <row r="307" spans="1:16" x14ac:dyDescent="0.15">
      <c r="A307" s="15" t="s">
        <v>19</v>
      </c>
      <c r="B307" s="8"/>
      <c r="C307" s="10"/>
      <c r="D307" s="10"/>
      <c r="E307" s="10"/>
      <c r="F307" s="28">
        <v>1</v>
      </c>
      <c r="G307" s="9">
        <f t="shared" si="95"/>
        <v>1</v>
      </c>
      <c r="H307" s="58">
        <v>42695</v>
      </c>
      <c r="I307" s="15" t="s">
        <v>3</v>
      </c>
      <c r="J307" s="8">
        <v>102</v>
      </c>
      <c r="K307" s="10">
        <v>131</v>
      </c>
      <c r="L307" s="10">
        <v>82</v>
      </c>
      <c r="M307" s="10">
        <v>118</v>
      </c>
      <c r="N307" s="28">
        <v>166</v>
      </c>
      <c r="O307" s="9">
        <f t="shared" si="97"/>
        <v>599</v>
      </c>
      <c r="P307" s="36">
        <v>42718</v>
      </c>
    </row>
    <row r="308" spans="1:16" x14ac:dyDescent="0.15">
      <c r="A308" s="15" t="s">
        <v>18</v>
      </c>
      <c r="B308" s="8"/>
      <c r="C308" s="10"/>
      <c r="D308" s="10"/>
      <c r="E308" s="10">
        <v>20</v>
      </c>
      <c r="F308" s="28"/>
      <c r="G308" s="9">
        <f t="shared" si="95"/>
        <v>20</v>
      </c>
      <c r="H308" s="58">
        <v>42704</v>
      </c>
      <c r="I308" s="15" t="s">
        <v>4</v>
      </c>
      <c r="J308" s="8">
        <v>4</v>
      </c>
      <c r="K308" s="45">
        <v>5</v>
      </c>
      <c r="L308" s="45">
        <v>4</v>
      </c>
      <c r="M308" s="45">
        <v>6</v>
      </c>
      <c r="N308" s="46">
        <v>2</v>
      </c>
      <c r="O308" s="9">
        <f t="shared" si="97"/>
        <v>21</v>
      </c>
      <c r="P308" s="57">
        <v>43817</v>
      </c>
    </row>
    <row r="309" spans="1:16" x14ac:dyDescent="0.15">
      <c r="A309" s="15" t="s">
        <v>19</v>
      </c>
      <c r="B309" s="8"/>
      <c r="C309" s="10"/>
      <c r="D309" s="10"/>
      <c r="E309" s="10"/>
      <c r="F309" s="28">
        <v>1</v>
      </c>
      <c r="G309" s="9">
        <f t="shared" si="95"/>
        <v>1</v>
      </c>
      <c r="H309" s="58">
        <v>42704</v>
      </c>
      <c r="I309" s="15" t="s">
        <v>5</v>
      </c>
      <c r="J309" s="8"/>
      <c r="K309" s="45"/>
      <c r="L309" s="45"/>
      <c r="M309" s="45"/>
      <c r="N309" s="46"/>
      <c r="O309" s="9">
        <f t="shared" si="97"/>
        <v>0</v>
      </c>
    </row>
    <row r="310" spans="1:16" x14ac:dyDescent="0.15">
      <c r="A310" s="15" t="s">
        <v>322</v>
      </c>
      <c r="B310" s="8"/>
      <c r="C310" s="10"/>
      <c r="D310" s="10">
        <v>1</v>
      </c>
      <c r="E310" s="10"/>
      <c r="F310" s="28"/>
      <c r="G310" s="9">
        <f t="shared" si="95"/>
        <v>1</v>
      </c>
      <c r="H310" s="58">
        <v>42706</v>
      </c>
      <c r="I310" s="15" t="s">
        <v>6</v>
      </c>
      <c r="J310" s="8"/>
      <c r="K310" s="45"/>
      <c r="L310" s="45"/>
      <c r="M310" s="45"/>
      <c r="N310" s="46"/>
      <c r="O310" s="9">
        <f t="shared" si="97"/>
        <v>0</v>
      </c>
    </row>
    <row r="311" spans="1:16" x14ac:dyDescent="0.15">
      <c r="A311" s="15" t="s">
        <v>324</v>
      </c>
      <c r="B311" s="8"/>
      <c r="C311" s="10"/>
      <c r="D311" s="10"/>
      <c r="E311" s="10">
        <v>1</v>
      </c>
      <c r="F311" s="28"/>
      <c r="G311" s="9">
        <f t="shared" si="95"/>
        <v>1</v>
      </c>
      <c r="H311" s="58">
        <v>42706</v>
      </c>
      <c r="I311" s="15" t="s">
        <v>84</v>
      </c>
      <c r="J311" s="8"/>
      <c r="K311" s="45"/>
      <c r="L311" s="45"/>
      <c r="M311" s="45"/>
      <c r="N311" s="46"/>
      <c r="O311" s="7">
        <f t="shared" si="97"/>
        <v>0</v>
      </c>
    </row>
    <row r="312" spans="1:16" x14ac:dyDescent="0.15">
      <c r="A312" s="15" t="s">
        <v>354</v>
      </c>
      <c r="B312" s="8">
        <v>1</v>
      </c>
      <c r="C312" s="10">
        <v>1</v>
      </c>
      <c r="D312" s="10">
        <v>1</v>
      </c>
      <c r="E312" s="10"/>
      <c r="F312" s="28"/>
      <c r="G312" s="9">
        <f t="shared" si="95"/>
        <v>3</v>
      </c>
      <c r="H312" s="58">
        <v>42719</v>
      </c>
      <c r="I312" s="15" t="s">
        <v>85</v>
      </c>
      <c r="J312" s="8"/>
      <c r="K312" s="45"/>
      <c r="L312" s="45"/>
      <c r="M312" s="45"/>
      <c r="N312" s="46"/>
      <c r="O312" s="7">
        <f t="shared" si="97"/>
        <v>0</v>
      </c>
      <c r="P312" s="58"/>
    </row>
    <row r="313" spans="1:16" x14ac:dyDescent="0.15">
      <c r="A313" s="15" t="s">
        <v>19</v>
      </c>
      <c r="B313" s="11"/>
      <c r="C313" s="100">
        <v>1</v>
      </c>
      <c r="D313" s="100"/>
      <c r="E313" s="100"/>
      <c r="F313" s="109">
        <v>1</v>
      </c>
      <c r="G313" s="9">
        <f t="shared" si="95"/>
        <v>2</v>
      </c>
      <c r="H313" s="58">
        <v>42720</v>
      </c>
      <c r="I313" s="15" t="s">
        <v>86</v>
      </c>
      <c r="J313" s="8"/>
      <c r="K313" s="45"/>
      <c r="L313" s="45"/>
      <c r="M313" s="45"/>
      <c r="N313" s="46"/>
      <c r="O313" s="102">
        <f t="shared" si="97"/>
        <v>0</v>
      </c>
      <c r="P313" s="58"/>
    </row>
    <row r="314" spans="1:16" ht="14.25" thickBot="1" x14ac:dyDescent="0.2">
      <c r="A314" s="15" t="s">
        <v>159</v>
      </c>
      <c r="B314" s="11"/>
      <c r="C314" s="100">
        <v>5</v>
      </c>
      <c r="D314" s="100"/>
      <c r="E314" s="100">
        <v>5</v>
      </c>
      <c r="F314" s="109"/>
      <c r="G314" s="115">
        <f t="shared" si="95"/>
        <v>10</v>
      </c>
      <c r="H314" s="58">
        <v>42741</v>
      </c>
      <c r="I314" s="15" t="s">
        <v>87</v>
      </c>
      <c r="J314" s="47"/>
      <c r="K314" s="48"/>
      <c r="L314" s="48"/>
      <c r="M314" s="48"/>
      <c r="N314" s="49"/>
      <c r="O314" s="40">
        <f t="shared" si="97"/>
        <v>0</v>
      </c>
      <c r="P314" s="58"/>
    </row>
    <row r="315" spans="1:16" ht="14.25" thickBot="1" x14ac:dyDescent="0.2">
      <c r="A315" s="72" t="s">
        <v>7</v>
      </c>
      <c r="B315" s="73">
        <f>SUM(B305:B314)</f>
        <v>14</v>
      </c>
      <c r="C315" s="74">
        <f t="shared" ref="C315:G315" si="98">SUM(C305:C314)</f>
        <v>21</v>
      </c>
      <c r="D315" s="74">
        <f t="shared" si="98"/>
        <v>16</v>
      </c>
      <c r="E315" s="74">
        <f t="shared" si="98"/>
        <v>38</v>
      </c>
      <c r="F315" s="105">
        <f t="shared" si="98"/>
        <v>17</v>
      </c>
      <c r="G315" s="76">
        <f t="shared" si="98"/>
        <v>106</v>
      </c>
      <c r="H315" s="58"/>
      <c r="I315" s="72" t="s">
        <v>7</v>
      </c>
      <c r="J315" s="73">
        <f>SUM(J305:J314)</f>
        <v>224</v>
      </c>
      <c r="K315" s="74">
        <f t="shared" ref="K315:O315" si="99">SUM(K305:K314)</f>
        <v>218</v>
      </c>
      <c r="L315" s="74">
        <f t="shared" si="99"/>
        <v>215</v>
      </c>
      <c r="M315" s="74">
        <f t="shared" si="99"/>
        <v>212</v>
      </c>
      <c r="N315" s="105">
        <f t="shared" si="99"/>
        <v>204</v>
      </c>
      <c r="O315" s="76">
        <f t="shared" si="99"/>
        <v>1073</v>
      </c>
      <c r="P315" s="58"/>
    </row>
    <row r="316" spans="1:16" x14ac:dyDescent="0.15">
      <c r="A316" s="16" t="s">
        <v>182</v>
      </c>
      <c r="B316" s="8"/>
      <c r="C316" s="10"/>
      <c r="D316" s="10"/>
      <c r="E316" s="10"/>
      <c r="F316" s="30">
        <v>1</v>
      </c>
      <c r="G316" s="7">
        <f t="shared" ref="G316:G341" si="100">SUM(B316:F316)</f>
        <v>1</v>
      </c>
      <c r="H316" s="58">
        <v>42685</v>
      </c>
      <c r="I316" s="16" t="s">
        <v>319</v>
      </c>
      <c r="J316" s="8"/>
      <c r="K316" s="10"/>
      <c r="L316" s="10"/>
      <c r="M316" s="10">
        <v>20</v>
      </c>
      <c r="N316" s="28"/>
      <c r="O316" s="9">
        <f t="shared" ref="O316:O341" si="101">SUM(J316:N316)</f>
        <v>20</v>
      </c>
      <c r="P316" s="58">
        <v>42704</v>
      </c>
    </row>
    <row r="317" spans="1:16" x14ac:dyDescent="0.15">
      <c r="A317" s="16" t="s">
        <v>182</v>
      </c>
      <c r="B317" s="8"/>
      <c r="C317" s="10"/>
      <c r="D317" s="10"/>
      <c r="E317" s="10"/>
      <c r="F317" s="30">
        <v>1</v>
      </c>
      <c r="G317" s="7">
        <f t="shared" si="100"/>
        <v>1</v>
      </c>
      <c r="H317" s="58">
        <v>42689</v>
      </c>
      <c r="I317" s="16" t="s">
        <v>24</v>
      </c>
      <c r="J317" s="8"/>
      <c r="K317" s="10">
        <v>5</v>
      </c>
      <c r="L317" s="10"/>
      <c r="M317" s="10">
        <v>5</v>
      </c>
      <c r="N317" s="30"/>
      <c r="O317" s="7">
        <f t="shared" si="101"/>
        <v>10</v>
      </c>
      <c r="P317" s="58">
        <v>42741</v>
      </c>
    </row>
    <row r="318" spans="1:16" x14ac:dyDescent="0.15">
      <c r="A318" s="16" t="s">
        <v>31</v>
      </c>
      <c r="B318" s="8"/>
      <c r="C318" s="10"/>
      <c r="D318" s="10"/>
      <c r="E318" s="10">
        <v>1</v>
      </c>
      <c r="F318" s="30">
        <v>1</v>
      </c>
      <c r="G318" s="7">
        <f t="shared" si="100"/>
        <v>2</v>
      </c>
      <c r="H318" s="58">
        <v>42692</v>
      </c>
      <c r="I318" s="16"/>
      <c r="J318" s="8"/>
      <c r="K318" s="10"/>
      <c r="L318" s="10"/>
      <c r="M318" s="10"/>
      <c r="N318" s="30"/>
      <c r="O318" s="7">
        <f t="shared" si="101"/>
        <v>0</v>
      </c>
      <c r="P318" s="56"/>
    </row>
    <row r="319" spans="1:16" x14ac:dyDescent="0.15">
      <c r="A319" s="16" t="s">
        <v>314</v>
      </c>
      <c r="B319" s="8"/>
      <c r="C319" s="10"/>
      <c r="D319" s="10"/>
      <c r="E319" s="10">
        <v>2</v>
      </c>
      <c r="F319" s="30"/>
      <c r="G319" s="7">
        <f t="shared" si="100"/>
        <v>2</v>
      </c>
      <c r="H319" s="58">
        <v>42696</v>
      </c>
      <c r="I319" s="16"/>
      <c r="J319" s="8"/>
      <c r="K319" s="10"/>
      <c r="L319" s="10"/>
      <c r="M319" s="10"/>
      <c r="N319" s="30"/>
      <c r="O319" s="7">
        <f t="shared" si="101"/>
        <v>0</v>
      </c>
    </row>
    <row r="320" spans="1:16" x14ac:dyDescent="0.15">
      <c r="A320" s="16" t="s">
        <v>182</v>
      </c>
      <c r="B320" s="8"/>
      <c r="C320" s="10">
        <v>1</v>
      </c>
      <c r="D320" s="10"/>
      <c r="E320" s="10"/>
      <c r="F320" s="30"/>
      <c r="G320" s="7">
        <f t="shared" si="100"/>
        <v>1</v>
      </c>
      <c r="H320" s="58">
        <v>42700</v>
      </c>
      <c r="I320" s="16"/>
      <c r="J320" s="8"/>
      <c r="K320" s="10"/>
      <c r="L320" s="10"/>
      <c r="M320" s="10"/>
      <c r="N320" s="30"/>
      <c r="O320" s="7">
        <f t="shared" si="101"/>
        <v>0</v>
      </c>
    </row>
    <row r="321" spans="1:17" x14ac:dyDescent="0.15">
      <c r="A321" s="16" t="s">
        <v>317</v>
      </c>
      <c r="B321" s="8"/>
      <c r="C321" s="10"/>
      <c r="D321" s="10"/>
      <c r="E321" s="10">
        <v>20</v>
      </c>
      <c r="F321" s="30"/>
      <c r="G321" s="7">
        <f t="shared" si="100"/>
        <v>20</v>
      </c>
      <c r="H321" s="58">
        <v>42709</v>
      </c>
      <c r="I321" s="16"/>
      <c r="J321" s="8"/>
      <c r="K321" s="10"/>
      <c r="L321" s="10"/>
      <c r="M321" s="10"/>
      <c r="N321" s="30"/>
      <c r="O321" s="7">
        <f t="shared" si="101"/>
        <v>0</v>
      </c>
    </row>
    <row r="322" spans="1:17" x14ac:dyDescent="0.15">
      <c r="A322" s="16" t="s">
        <v>325</v>
      </c>
      <c r="B322" s="8"/>
      <c r="C322" s="10"/>
      <c r="D322" s="10"/>
      <c r="E322" s="10"/>
      <c r="F322" s="30">
        <v>2</v>
      </c>
      <c r="G322" s="7">
        <f t="shared" si="100"/>
        <v>2</v>
      </c>
      <c r="H322" s="58">
        <v>42711</v>
      </c>
      <c r="I322" s="16"/>
      <c r="J322" s="8"/>
      <c r="K322" s="10"/>
      <c r="L322" s="10"/>
      <c r="M322" s="10"/>
      <c r="N322" s="30"/>
      <c r="O322" s="7">
        <f t="shared" si="101"/>
        <v>0</v>
      </c>
    </row>
    <row r="323" spans="1:17" x14ac:dyDescent="0.15">
      <c r="A323" s="16" t="s">
        <v>327</v>
      </c>
      <c r="B323" s="8"/>
      <c r="C323" s="10">
        <v>-2</v>
      </c>
      <c r="D323" s="10"/>
      <c r="E323" s="10"/>
      <c r="F323" s="30"/>
      <c r="G323" s="7">
        <f t="shared" si="100"/>
        <v>-2</v>
      </c>
      <c r="H323" s="58">
        <v>42709</v>
      </c>
      <c r="I323" s="16"/>
      <c r="J323" s="8"/>
      <c r="K323" s="10"/>
      <c r="L323" s="10"/>
      <c r="M323" s="10"/>
      <c r="N323" s="30"/>
      <c r="O323" s="7">
        <f t="shared" si="101"/>
        <v>0</v>
      </c>
    </row>
    <row r="324" spans="1:17" x14ac:dyDescent="0.15">
      <c r="A324" s="16" t="s">
        <v>22</v>
      </c>
      <c r="B324" s="8"/>
      <c r="C324" s="10">
        <v>10</v>
      </c>
      <c r="D324" s="10"/>
      <c r="E324" s="10"/>
      <c r="F324" s="30"/>
      <c r="G324" s="7">
        <f t="shared" si="100"/>
        <v>10</v>
      </c>
      <c r="H324" s="58">
        <v>42730</v>
      </c>
      <c r="I324" s="39"/>
      <c r="J324" s="8"/>
      <c r="K324" s="10"/>
      <c r="L324" s="10"/>
      <c r="M324" s="10"/>
      <c r="N324" s="30"/>
      <c r="O324" s="7">
        <f t="shared" si="101"/>
        <v>0</v>
      </c>
    </row>
    <row r="325" spans="1:17" x14ac:dyDescent="0.15">
      <c r="A325" s="14" t="s">
        <v>338</v>
      </c>
      <c r="B325" s="11"/>
      <c r="C325" s="12"/>
      <c r="D325" s="12"/>
      <c r="E325" s="12">
        <v>1</v>
      </c>
      <c r="F325" s="31"/>
      <c r="G325" s="7">
        <f t="shared" si="100"/>
        <v>1</v>
      </c>
      <c r="H325" s="58">
        <v>42731</v>
      </c>
      <c r="I325" s="16"/>
      <c r="J325" s="11"/>
      <c r="K325" s="12"/>
      <c r="L325" s="12"/>
      <c r="M325" s="12"/>
      <c r="N325" s="31"/>
      <c r="O325" s="7">
        <f t="shared" si="101"/>
        <v>0</v>
      </c>
    </row>
    <row r="326" spans="1:17" x14ac:dyDescent="0.15">
      <c r="A326" s="16" t="s">
        <v>31</v>
      </c>
      <c r="B326" s="8"/>
      <c r="C326" s="10"/>
      <c r="D326" s="10"/>
      <c r="E326" s="10"/>
      <c r="F326" s="30">
        <v>1</v>
      </c>
      <c r="G326" s="7">
        <f t="shared" si="100"/>
        <v>1</v>
      </c>
      <c r="H326" s="58">
        <v>42744</v>
      </c>
      <c r="I326" s="16"/>
      <c r="J326" s="8"/>
      <c r="K326" s="10"/>
      <c r="L326" s="10"/>
      <c r="M326" s="10"/>
      <c r="N326" s="30"/>
      <c r="O326" s="7">
        <f t="shared" si="101"/>
        <v>0</v>
      </c>
    </row>
    <row r="327" spans="1:17" x14ac:dyDescent="0.15">
      <c r="A327" s="14" t="s">
        <v>329</v>
      </c>
      <c r="B327" s="8">
        <v>1</v>
      </c>
      <c r="C327" s="10"/>
      <c r="D327" s="10"/>
      <c r="E327" s="10">
        <v>2</v>
      </c>
      <c r="F327" s="30"/>
      <c r="G327" s="7">
        <f t="shared" si="100"/>
        <v>3</v>
      </c>
      <c r="H327" s="58">
        <v>42745</v>
      </c>
      <c r="I327" s="39"/>
      <c r="J327" s="8"/>
      <c r="K327" s="10"/>
      <c r="L327" s="10"/>
      <c r="M327" s="10"/>
      <c r="N327" s="30"/>
      <c r="O327" s="7">
        <f t="shared" si="101"/>
        <v>0</v>
      </c>
    </row>
    <row r="328" spans="1:17" x14ac:dyDescent="0.15">
      <c r="A328" s="16" t="s">
        <v>342</v>
      </c>
      <c r="B328" s="8"/>
      <c r="C328" s="10"/>
      <c r="D328" s="10">
        <v>3</v>
      </c>
      <c r="E328" s="10"/>
      <c r="F328" s="30"/>
      <c r="G328" s="7">
        <f t="shared" si="100"/>
        <v>3</v>
      </c>
      <c r="H328" s="58">
        <v>42748</v>
      </c>
      <c r="I328" s="16"/>
      <c r="J328" s="8"/>
      <c r="K328" s="10"/>
      <c r="L328" s="10"/>
      <c r="M328" s="10"/>
      <c r="N328" s="30"/>
      <c r="O328" s="7">
        <f t="shared" si="101"/>
        <v>0</v>
      </c>
    </row>
    <row r="329" spans="1:17" x14ac:dyDescent="0.15">
      <c r="A329" s="16" t="s">
        <v>344</v>
      </c>
      <c r="B329" s="8"/>
      <c r="C329" s="10"/>
      <c r="D329" s="10">
        <v>1</v>
      </c>
      <c r="E329" s="10"/>
      <c r="F329" s="30"/>
      <c r="G329" s="7">
        <f t="shared" si="100"/>
        <v>1</v>
      </c>
      <c r="H329" s="58">
        <v>42745</v>
      </c>
      <c r="I329" s="16"/>
      <c r="J329" s="8"/>
      <c r="K329" s="10"/>
      <c r="L329" s="10"/>
      <c r="M329" s="10"/>
      <c r="N329" s="30"/>
      <c r="O329" s="7">
        <f t="shared" si="101"/>
        <v>0</v>
      </c>
    </row>
    <row r="330" spans="1:17" x14ac:dyDescent="0.15">
      <c r="A330" s="16" t="s">
        <v>110</v>
      </c>
      <c r="B330" s="8"/>
      <c r="C330" s="10"/>
      <c r="D330" s="10"/>
      <c r="E330" s="10">
        <v>2</v>
      </c>
      <c r="F330" s="30"/>
      <c r="G330" s="7">
        <f t="shared" si="100"/>
        <v>2</v>
      </c>
      <c r="H330" s="58">
        <v>42758</v>
      </c>
      <c r="I330" s="16"/>
      <c r="J330" s="8"/>
      <c r="K330" s="10"/>
      <c r="L330" s="10"/>
      <c r="M330" s="10"/>
      <c r="N330" s="30"/>
      <c r="O330" s="7">
        <f t="shared" si="101"/>
        <v>0</v>
      </c>
    </row>
    <row r="331" spans="1:17" x14ac:dyDescent="0.15">
      <c r="A331" s="16" t="s">
        <v>348</v>
      </c>
      <c r="B331" s="8"/>
      <c r="C331" s="10"/>
      <c r="D331" s="10">
        <v>1</v>
      </c>
      <c r="E331" s="10"/>
      <c r="F331" s="30">
        <v>1</v>
      </c>
      <c r="G331" s="7">
        <f t="shared" si="100"/>
        <v>2</v>
      </c>
      <c r="H331" s="58">
        <v>42753</v>
      </c>
      <c r="I331" s="16"/>
      <c r="J331" s="8"/>
      <c r="K331" s="10"/>
      <c r="L331" s="10"/>
      <c r="M331" s="10"/>
      <c r="N331" s="30"/>
      <c r="O331" s="7">
        <f t="shared" si="101"/>
        <v>0</v>
      </c>
    </row>
    <row r="332" spans="1:17" x14ac:dyDescent="0.15">
      <c r="A332" s="14" t="s">
        <v>350</v>
      </c>
      <c r="B332" s="8"/>
      <c r="C332" s="10"/>
      <c r="D332" s="10"/>
      <c r="E332" s="10"/>
      <c r="F332" s="30">
        <v>1</v>
      </c>
      <c r="G332" s="7">
        <f t="shared" si="100"/>
        <v>1</v>
      </c>
      <c r="H332" s="58">
        <v>42751</v>
      </c>
      <c r="I332" s="14"/>
      <c r="J332" s="8"/>
      <c r="K332" s="10"/>
      <c r="L332" s="10"/>
      <c r="M332" s="10"/>
      <c r="N332" s="30"/>
      <c r="O332" s="7">
        <f t="shared" si="101"/>
        <v>0</v>
      </c>
      <c r="P332" s="58"/>
    </row>
    <row r="333" spans="1:17" x14ac:dyDescent="0.15">
      <c r="A333" s="16"/>
      <c r="B333" s="8"/>
      <c r="C333" s="10"/>
      <c r="D333" s="10"/>
      <c r="E333" s="10"/>
      <c r="F333" s="30"/>
      <c r="G333" s="7">
        <f t="shared" si="100"/>
        <v>0</v>
      </c>
      <c r="H333" s="58"/>
      <c r="I333" s="16"/>
      <c r="J333" s="8"/>
      <c r="K333" s="10"/>
      <c r="L333" s="10"/>
      <c r="M333" s="10"/>
      <c r="N333" s="30"/>
      <c r="O333" s="7">
        <f t="shared" si="101"/>
        <v>0</v>
      </c>
      <c r="P333" s="58"/>
    </row>
    <row r="334" spans="1:17" x14ac:dyDescent="0.15">
      <c r="A334" s="16"/>
      <c r="B334" s="8"/>
      <c r="C334" s="10"/>
      <c r="D334" s="10"/>
      <c r="E334" s="10"/>
      <c r="F334" s="30"/>
      <c r="G334" s="7">
        <f t="shared" si="100"/>
        <v>0</v>
      </c>
      <c r="H334" s="58"/>
      <c r="I334" s="16"/>
      <c r="J334" s="8"/>
      <c r="K334" s="10"/>
      <c r="L334" s="10"/>
      <c r="M334" s="10"/>
      <c r="N334" s="30"/>
      <c r="O334" s="7">
        <f t="shared" si="101"/>
        <v>0</v>
      </c>
      <c r="P334" s="58"/>
    </row>
    <row r="335" spans="1:17" x14ac:dyDescent="0.15">
      <c r="A335" s="16"/>
      <c r="B335" s="8"/>
      <c r="C335" s="10"/>
      <c r="D335" s="10"/>
      <c r="E335" s="10"/>
      <c r="F335" s="30"/>
      <c r="G335" s="7">
        <f t="shared" si="100"/>
        <v>0</v>
      </c>
      <c r="H335" s="58"/>
      <c r="I335" s="16"/>
      <c r="J335" s="8"/>
      <c r="K335" s="10"/>
      <c r="L335" s="10"/>
      <c r="M335" s="10"/>
      <c r="N335" s="30"/>
      <c r="O335" s="7">
        <f t="shared" si="101"/>
        <v>0</v>
      </c>
      <c r="P335" s="56"/>
      <c r="Q335" s="56"/>
    </row>
    <row r="336" spans="1:17" x14ac:dyDescent="0.15">
      <c r="A336" s="14"/>
      <c r="B336" s="8"/>
      <c r="C336" s="10"/>
      <c r="D336" s="10"/>
      <c r="E336" s="10"/>
      <c r="F336" s="30"/>
      <c r="G336" s="7">
        <f t="shared" si="100"/>
        <v>0</v>
      </c>
      <c r="H336" s="58"/>
      <c r="I336" s="14"/>
      <c r="J336" s="8"/>
      <c r="K336" s="10"/>
      <c r="L336" s="10"/>
      <c r="M336" s="10"/>
      <c r="N336" s="30"/>
      <c r="O336" s="7">
        <f t="shared" si="101"/>
        <v>0</v>
      </c>
      <c r="P336" s="1"/>
      <c r="Q336" s="56"/>
    </row>
    <row r="337" spans="1:17" x14ac:dyDescent="0.15">
      <c r="A337" s="16"/>
      <c r="B337" s="11"/>
      <c r="C337" s="12"/>
      <c r="D337" s="12"/>
      <c r="E337" s="12"/>
      <c r="F337" s="31"/>
      <c r="G337" s="7">
        <f t="shared" si="100"/>
        <v>0</v>
      </c>
      <c r="H337" s="58"/>
      <c r="I337" s="20"/>
      <c r="J337" s="11"/>
      <c r="K337" s="12"/>
      <c r="L337" s="12"/>
      <c r="M337" s="12"/>
      <c r="N337" s="31"/>
      <c r="O337" s="7">
        <f t="shared" si="101"/>
        <v>0</v>
      </c>
      <c r="P337" s="36"/>
      <c r="Q337" s="56"/>
    </row>
    <row r="338" spans="1:17" x14ac:dyDescent="0.15">
      <c r="A338" s="39"/>
      <c r="B338" s="8"/>
      <c r="C338" s="10"/>
      <c r="D338" s="10"/>
      <c r="E338" s="10"/>
      <c r="F338" s="30"/>
      <c r="G338" s="7">
        <f t="shared" si="100"/>
        <v>0</v>
      </c>
      <c r="H338" s="58"/>
      <c r="I338" s="14"/>
      <c r="J338" s="8"/>
      <c r="K338" s="10"/>
      <c r="L338" s="10"/>
      <c r="M338" s="10"/>
      <c r="N338" s="30"/>
      <c r="O338" s="7">
        <f t="shared" si="101"/>
        <v>0</v>
      </c>
      <c r="P338" s="1"/>
      <c r="Q338" s="56"/>
    </row>
    <row r="339" spans="1:17" x14ac:dyDescent="0.15">
      <c r="A339" s="51"/>
      <c r="B339" s="8"/>
      <c r="C339" s="10"/>
      <c r="D339" s="10"/>
      <c r="E339" s="10"/>
      <c r="F339" s="30"/>
      <c r="G339" s="7">
        <f t="shared" si="100"/>
        <v>0</v>
      </c>
      <c r="H339" s="58"/>
      <c r="I339" s="20"/>
      <c r="J339" s="11"/>
      <c r="K339" s="12"/>
      <c r="L339" s="12"/>
      <c r="M339" s="12"/>
      <c r="N339" s="31"/>
      <c r="O339" s="7">
        <f t="shared" si="101"/>
        <v>0</v>
      </c>
      <c r="P339" s="36"/>
      <c r="Q339" s="56"/>
    </row>
    <row r="340" spans="1:17" x14ac:dyDescent="0.15">
      <c r="A340" s="14"/>
      <c r="B340" s="8"/>
      <c r="C340" s="10"/>
      <c r="D340" s="10"/>
      <c r="E340" s="10"/>
      <c r="F340" s="30"/>
      <c r="G340" s="7">
        <f t="shared" si="100"/>
        <v>0</v>
      </c>
      <c r="H340" s="58"/>
      <c r="I340" s="14"/>
      <c r="J340" s="8"/>
      <c r="K340" s="10"/>
      <c r="L340" s="10"/>
      <c r="M340" s="10"/>
      <c r="N340" s="30"/>
      <c r="O340" s="7">
        <f t="shared" si="101"/>
        <v>0</v>
      </c>
      <c r="P340" s="56"/>
      <c r="Q340" s="56"/>
    </row>
    <row r="341" spans="1:17" ht="14.25" thickBot="1" x14ac:dyDescent="0.2">
      <c r="A341" s="16"/>
      <c r="B341" s="11"/>
      <c r="C341" s="12"/>
      <c r="D341" s="12"/>
      <c r="E341" s="12"/>
      <c r="F341" s="31"/>
      <c r="G341" s="7">
        <f t="shared" si="100"/>
        <v>0</v>
      </c>
      <c r="H341" s="58"/>
      <c r="I341" s="20"/>
      <c r="J341" s="11"/>
      <c r="K341" s="12"/>
      <c r="L341" s="12"/>
      <c r="M341" s="12"/>
      <c r="N341" s="31"/>
      <c r="O341" s="7">
        <f t="shared" si="101"/>
        <v>0</v>
      </c>
      <c r="P341" s="56"/>
      <c r="Q341" s="56"/>
    </row>
    <row r="342" spans="1:17" ht="14.25" thickBot="1" x14ac:dyDescent="0.2">
      <c r="A342" s="3" t="s">
        <v>11</v>
      </c>
      <c r="B342" s="23">
        <f>SUM(B316:B341)</f>
        <v>1</v>
      </c>
      <c r="C342" s="4">
        <f>SUM(C316:C341)</f>
        <v>9</v>
      </c>
      <c r="D342" s="4">
        <f>SUM(D316:D341)</f>
        <v>5</v>
      </c>
      <c r="E342" s="6">
        <f>SUM(E316:E341)</f>
        <v>28</v>
      </c>
      <c r="F342" s="32">
        <f>SUM(F316:F341)</f>
        <v>8</v>
      </c>
      <c r="G342" s="5">
        <f>SUM(B342:F342)</f>
        <v>51</v>
      </c>
      <c r="H342" s="58"/>
      <c r="I342" s="3" t="s">
        <v>11</v>
      </c>
      <c r="J342" s="23">
        <f>SUM(J316:J341)</f>
        <v>0</v>
      </c>
      <c r="K342" s="4">
        <f>SUM(K316:K341)</f>
        <v>5</v>
      </c>
      <c r="L342" s="4">
        <f>SUM(L316:L341)</f>
        <v>0</v>
      </c>
      <c r="M342" s="6">
        <f>SUM(M316:M341)</f>
        <v>25</v>
      </c>
      <c r="N342" s="32">
        <f>SUM(N316:N341)</f>
        <v>0</v>
      </c>
      <c r="O342" s="5">
        <f>SUM(J342:N342)</f>
        <v>30</v>
      </c>
    </row>
    <row r="343" spans="1:17" ht="14.25" thickBot="1" x14ac:dyDescent="0.2">
      <c r="A343" s="25" t="s">
        <v>12</v>
      </c>
      <c r="B343" s="63">
        <f>B315-B342</f>
        <v>13</v>
      </c>
      <c r="C343" s="26">
        <f t="shared" ref="C343:G343" si="102">C315-C342</f>
        <v>12</v>
      </c>
      <c r="D343" s="71">
        <f t="shared" si="102"/>
        <v>11</v>
      </c>
      <c r="E343" s="26">
        <f t="shared" si="102"/>
        <v>10</v>
      </c>
      <c r="F343" s="70">
        <f t="shared" si="102"/>
        <v>9</v>
      </c>
      <c r="G343" s="27">
        <f t="shared" si="102"/>
        <v>55</v>
      </c>
      <c r="H343" s="58"/>
      <c r="I343" s="25" t="s">
        <v>12</v>
      </c>
      <c r="J343" s="63">
        <f>J315-J342</f>
        <v>224</v>
      </c>
      <c r="K343" s="26">
        <f t="shared" ref="K343:O343" si="103">K315-K342</f>
        <v>213</v>
      </c>
      <c r="L343" s="71">
        <f t="shared" si="103"/>
        <v>215</v>
      </c>
      <c r="M343" s="26">
        <f t="shared" si="103"/>
        <v>187</v>
      </c>
      <c r="N343" s="70">
        <f t="shared" si="103"/>
        <v>204</v>
      </c>
      <c r="O343" s="27">
        <f t="shared" si="103"/>
        <v>1043</v>
      </c>
    </row>
    <row r="344" spans="1:17" ht="21" x14ac:dyDescent="0.2">
      <c r="A344" s="86" t="s">
        <v>50</v>
      </c>
      <c r="B344" s="87"/>
      <c r="C344" s="87"/>
      <c r="D344" s="87"/>
      <c r="E344" s="87"/>
      <c r="F344" s="87"/>
      <c r="G344" s="87"/>
      <c r="H344" s="58"/>
      <c r="I344" s="86" t="s">
        <v>50</v>
      </c>
      <c r="J344" s="87"/>
      <c r="K344" s="87"/>
      <c r="L344" s="87"/>
      <c r="M344" s="87"/>
      <c r="N344" s="87"/>
      <c r="O344" s="87"/>
    </row>
    <row r="345" spans="1:17" ht="21.75" thickBot="1" x14ac:dyDescent="0.25">
      <c r="A345" s="86" t="s">
        <v>51</v>
      </c>
      <c r="B345" s="87"/>
      <c r="C345" s="87"/>
      <c r="D345" s="87"/>
      <c r="E345" s="85"/>
      <c r="F345" s="88" t="s">
        <v>53</v>
      </c>
      <c r="G345" s="87"/>
      <c r="H345" s="58"/>
      <c r="I345" s="86" t="s">
        <v>51</v>
      </c>
      <c r="J345" s="87"/>
      <c r="K345" s="87"/>
      <c r="L345" s="87"/>
      <c r="M345" s="89"/>
      <c r="N345" s="88" t="s">
        <v>54</v>
      </c>
      <c r="O345" s="87"/>
    </row>
    <row r="346" spans="1:17" ht="14.25" thickBot="1" x14ac:dyDescent="0.2">
      <c r="A346" s="13" t="s">
        <v>0</v>
      </c>
      <c r="B346" s="228" t="s">
        <v>52</v>
      </c>
      <c r="C346" s="229"/>
      <c r="D346" s="229"/>
      <c r="E346" s="229"/>
      <c r="F346" s="230"/>
      <c r="G346" s="231"/>
      <c r="H346" s="58"/>
      <c r="I346" s="13" t="s">
        <v>0</v>
      </c>
      <c r="J346" s="228" t="s">
        <v>49</v>
      </c>
      <c r="K346" s="229"/>
      <c r="L346" s="229"/>
      <c r="M346" s="229"/>
      <c r="N346" s="230"/>
      <c r="O346" s="231"/>
    </row>
    <row r="347" spans="1:17" ht="14.25" thickBot="1" x14ac:dyDescent="0.2">
      <c r="A347" s="3" t="s">
        <v>1</v>
      </c>
      <c r="B347" s="2" t="s">
        <v>42</v>
      </c>
      <c r="C347" s="21" t="s">
        <v>43</v>
      </c>
      <c r="D347" s="21" t="s">
        <v>44</v>
      </c>
      <c r="E347" s="24" t="s">
        <v>45</v>
      </c>
      <c r="F347" s="33" t="s">
        <v>46</v>
      </c>
      <c r="G347" s="3" t="s">
        <v>2</v>
      </c>
      <c r="H347" s="58"/>
      <c r="I347" s="3" t="s">
        <v>1</v>
      </c>
      <c r="J347" s="2" t="s">
        <v>42</v>
      </c>
      <c r="K347" s="21" t="s">
        <v>43</v>
      </c>
      <c r="L347" s="21" t="s">
        <v>44</v>
      </c>
      <c r="M347" s="24" t="s">
        <v>45</v>
      </c>
      <c r="N347" s="33" t="s">
        <v>46</v>
      </c>
      <c r="O347" s="3" t="s">
        <v>2</v>
      </c>
    </row>
    <row r="348" spans="1:17" ht="14.25" thickBot="1" x14ac:dyDescent="0.2">
      <c r="A348" s="72" t="s">
        <v>79</v>
      </c>
      <c r="B348" s="73">
        <f>B343</f>
        <v>13</v>
      </c>
      <c r="C348" s="74">
        <f t="shared" ref="C348:F348" si="104">C343</f>
        <v>12</v>
      </c>
      <c r="D348" s="107">
        <f t="shared" si="104"/>
        <v>11</v>
      </c>
      <c r="E348" s="75">
        <f t="shared" si="104"/>
        <v>10</v>
      </c>
      <c r="F348" s="75">
        <f t="shared" si="104"/>
        <v>9</v>
      </c>
      <c r="G348" s="76">
        <f t="shared" ref="G348:G357" si="105">SUM(B348:F348)</f>
        <v>55</v>
      </c>
      <c r="H348" s="58"/>
      <c r="I348" s="72" t="s">
        <v>79</v>
      </c>
      <c r="J348" s="73">
        <f>J343</f>
        <v>224</v>
      </c>
      <c r="K348" s="74">
        <f t="shared" ref="K348:N348" si="106">K343</f>
        <v>213</v>
      </c>
      <c r="L348" s="107">
        <f t="shared" si="106"/>
        <v>215</v>
      </c>
      <c r="M348" s="75">
        <f t="shared" si="106"/>
        <v>187</v>
      </c>
      <c r="N348" s="75">
        <f t="shared" si="106"/>
        <v>204</v>
      </c>
      <c r="O348" s="76">
        <f t="shared" ref="O348:O357" si="107">SUM(J348:N348)</f>
        <v>1043</v>
      </c>
    </row>
    <row r="349" spans="1:17" x14ac:dyDescent="0.15">
      <c r="A349" s="15" t="s">
        <v>15</v>
      </c>
      <c r="B349" s="37"/>
      <c r="C349" s="35"/>
      <c r="D349" s="35"/>
      <c r="E349" s="35">
        <v>5</v>
      </c>
      <c r="F349" s="28">
        <v>5</v>
      </c>
      <c r="G349" s="7">
        <f t="shared" si="105"/>
        <v>10</v>
      </c>
      <c r="H349" s="58">
        <v>42755</v>
      </c>
      <c r="I349" s="38" t="s">
        <v>15</v>
      </c>
      <c r="J349" s="37"/>
      <c r="K349" s="35"/>
      <c r="L349" s="35"/>
      <c r="M349" s="35"/>
      <c r="N349" s="28"/>
      <c r="O349" s="7">
        <f t="shared" si="107"/>
        <v>0</v>
      </c>
    </row>
    <row r="350" spans="1:17" x14ac:dyDescent="0.15">
      <c r="A350" s="15" t="s">
        <v>19</v>
      </c>
      <c r="B350" s="8">
        <v>1</v>
      </c>
      <c r="C350" s="10"/>
      <c r="D350" s="10"/>
      <c r="E350" s="10">
        <v>2</v>
      </c>
      <c r="F350" s="28">
        <v>2</v>
      </c>
      <c r="G350" s="9">
        <f t="shared" si="105"/>
        <v>5</v>
      </c>
      <c r="H350" s="58">
        <v>42754</v>
      </c>
      <c r="I350" s="15" t="s">
        <v>3</v>
      </c>
      <c r="J350" s="8"/>
      <c r="K350" s="10"/>
      <c r="L350" s="10"/>
      <c r="M350" s="10"/>
      <c r="N350" s="28"/>
      <c r="O350" s="9">
        <f t="shared" si="107"/>
        <v>0</v>
      </c>
    </row>
    <row r="351" spans="1:17" x14ac:dyDescent="0.15">
      <c r="A351" s="15" t="s">
        <v>157</v>
      </c>
      <c r="B351" s="8">
        <v>1</v>
      </c>
      <c r="C351" s="10"/>
      <c r="D351" s="10"/>
      <c r="E351" s="10"/>
      <c r="F351" s="28"/>
      <c r="G351" s="9">
        <f t="shared" si="105"/>
        <v>1</v>
      </c>
      <c r="H351" s="58">
        <v>42755</v>
      </c>
      <c r="I351" s="15" t="s">
        <v>4</v>
      </c>
      <c r="J351" s="8"/>
      <c r="K351" s="45"/>
      <c r="L351" s="45"/>
      <c r="M351" s="45"/>
      <c r="N351" s="46"/>
      <c r="O351" s="9">
        <f t="shared" si="107"/>
        <v>0</v>
      </c>
      <c r="P351" s="58"/>
    </row>
    <row r="352" spans="1:17" x14ac:dyDescent="0.15">
      <c r="A352" s="15" t="s">
        <v>40</v>
      </c>
      <c r="B352" s="8">
        <v>1</v>
      </c>
      <c r="C352" s="10"/>
      <c r="D352" s="10"/>
      <c r="E352" s="10">
        <v>1</v>
      </c>
      <c r="F352" s="28">
        <v>1</v>
      </c>
      <c r="G352" s="9">
        <f t="shared" si="105"/>
        <v>3</v>
      </c>
      <c r="H352" s="58">
        <v>42760</v>
      </c>
      <c r="I352" s="15" t="s">
        <v>5</v>
      </c>
      <c r="J352" s="8"/>
      <c r="K352" s="45"/>
      <c r="L352" s="45"/>
      <c r="M352" s="45"/>
      <c r="N352" s="46"/>
      <c r="O352" s="9">
        <f t="shared" si="107"/>
        <v>0</v>
      </c>
      <c r="P352" s="58"/>
    </row>
    <row r="353" spans="1:18" x14ac:dyDescent="0.15">
      <c r="A353" s="15" t="s">
        <v>80</v>
      </c>
      <c r="B353" s="8">
        <v>10</v>
      </c>
      <c r="C353" s="10">
        <v>20</v>
      </c>
      <c r="D353" s="10"/>
      <c r="E353" s="10"/>
      <c r="F353" s="28">
        <v>10</v>
      </c>
      <c r="G353" s="9">
        <f t="shared" si="105"/>
        <v>40</v>
      </c>
      <c r="H353" s="58">
        <v>42767</v>
      </c>
      <c r="I353" s="15" t="s">
        <v>6</v>
      </c>
      <c r="J353" s="8"/>
      <c r="K353" s="45"/>
      <c r="L353" s="45"/>
      <c r="M353" s="45"/>
      <c r="N353" s="46"/>
      <c r="O353" s="9">
        <f t="shared" si="107"/>
        <v>0</v>
      </c>
      <c r="P353" s="58"/>
    </row>
    <row r="354" spans="1:18" x14ac:dyDescent="0.15">
      <c r="A354" s="15" t="s">
        <v>81</v>
      </c>
      <c r="B354" s="8"/>
      <c r="C354" s="10">
        <v>5</v>
      </c>
      <c r="D354" s="10">
        <v>10</v>
      </c>
      <c r="E354" s="10"/>
      <c r="F354" s="28"/>
      <c r="G354" s="9">
        <f t="shared" si="105"/>
        <v>15</v>
      </c>
      <c r="H354" s="58">
        <v>42769</v>
      </c>
      <c r="I354" s="15" t="s">
        <v>84</v>
      </c>
      <c r="J354" s="8"/>
      <c r="K354" s="45"/>
      <c r="L354" s="45"/>
      <c r="M354" s="45"/>
      <c r="N354" s="46"/>
      <c r="O354" s="7">
        <f t="shared" si="107"/>
        <v>0</v>
      </c>
      <c r="P354" s="58"/>
    </row>
    <row r="355" spans="1:18" x14ac:dyDescent="0.15">
      <c r="A355" s="15" t="s">
        <v>17</v>
      </c>
      <c r="B355" s="8">
        <v>1</v>
      </c>
      <c r="C355" s="10"/>
      <c r="D355" s="10">
        <v>2</v>
      </c>
      <c r="E355" s="10"/>
      <c r="F355" s="28"/>
      <c r="G355" s="9">
        <f t="shared" si="105"/>
        <v>3</v>
      </c>
      <c r="H355" s="58">
        <v>42774</v>
      </c>
      <c r="I355" s="15" t="s">
        <v>85</v>
      </c>
      <c r="J355" s="8"/>
      <c r="K355" s="45"/>
      <c r="L355" s="45"/>
      <c r="M355" s="45"/>
      <c r="N355" s="46"/>
      <c r="O355" s="7">
        <f t="shared" si="107"/>
        <v>0</v>
      </c>
      <c r="P355" s="58"/>
    </row>
    <row r="356" spans="1:18" x14ac:dyDescent="0.15">
      <c r="A356" s="15" t="s">
        <v>83</v>
      </c>
      <c r="B356" s="11"/>
      <c r="C356" s="100"/>
      <c r="D356" s="100">
        <v>10</v>
      </c>
      <c r="E356" s="100"/>
      <c r="F356" s="109">
        <v>10</v>
      </c>
      <c r="G356" s="9">
        <f t="shared" si="105"/>
        <v>20</v>
      </c>
      <c r="H356" s="58">
        <v>42786</v>
      </c>
      <c r="I356" s="15" t="s">
        <v>86</v>
      </c>
      <c r="J356" s="8"/>
      <c r="K356" s="45"/>
      <c r="L356" s="45"/>
      <c r="M356" s="45"/>
      <c r="N356" s="46"/>
      <c r="O356" s="102">
        <f t="shared" si="107"/>
        <v>0</v>
      </c>
      <c r="P356" s="58"/>
      <c r="Q356" s="56"/>
      <c r="R356" s="56"/>
    </row>
    <row r="357" spans="1:18" ht="14.25" thickBot="1" x14ac:dyDescent="0.2">
      <c r="A357" s="15" t="s">
        <v>373</v>
      </c>
      <c r="B357" s="11">
        <v>2</v>
      </c>
      <c r="C357" s="100"/>
      <c r="D357" s="100">
        <v>2</v>
      </c>
      <c r="E357" s="100"/>
      <c r="F357" s="109"/>
      <c r="G357" s="115">
        <f t="shared" si="105"/>
        <v>4</v>
      </c>
      <c r="H357" s="58">
        <v>42789</v>
      </c>
      <c r="I357" s="15" t="s">
        <v>87</v>
      </c>
      <c r="J357" s="47"/>
      <c r="K357" s="48"/>
      <c r="L357" s="48"/>
      <c r="M357" s="48"/>
      <c r="N357" s="49"/>
      <c r="O357" s="40">
        <f t="shared" si="107"/>
        <v>0</v>
      </c>
      <c r="P357" s="68"/>
    </row>
    <row r="358" spans="1:18" ht="14.25" thickBot="1" x14ac:dyDescent="0.2">
      <c r="A358" s="72" t="s">
        <v>7</v>
      </c>
      <c r="B358" s="73">
        <f>SUM(B348:B357)</f>
        <v>29</v>
      </c>
      <c r="C358" s="74">
        <f t="shared" ref="C358:G358" si="108">SUM(C348:C357)</f>
        <v>37</v>
      </c>
      <c r="D358" s="74">
        <f t="shared" si="108"/>
        <v>35</v>
      </c>
      <c r="E358" s="74">
        <f t="shared" si="108"/>
        <v>18</v>
      </c>
      <c r="F358" s="105">
        <f t="shared" si="108"/>
        <v>37</v>
      </c>
      <c r="G358" s="76">
        <f t="shared" si="108"/>
        <v>156</v>
      </c>
      <c r="H358" s="58"/>
      <c r="I358" s="72" t="s">
        <v>7</v>
      </c>
      <c r="J358" s="73">
        <f>SUM(J348:J357)</f>
        <v>224</v>
      </c>
      <c r="K358" s="74">
        <f t="shared" ref="K358:O358" si="109">SUM(K348:K357)</f>
        <v>213</v>
      </c>
      <c r="L358" s="74">
        <f t="shared" si="109"/>
        <v>215</v>
      </c>
      <c r="M358" s="74">
        <f t="shared" si="109"/>
        <v>187</v>
      </c>
      <c r="N358" s="105">
        <f t="shared" si="109"/>
        <v>204</v>
      </c>
      <c r="O358" s="76">
        <f t="shared" si="109"/>
        <v>1043</v>
      </c>
    </row>
    <row r="359" spans="1:18" x14ac:dyDescent="0.15">
      <c r="A359" s="16" t="s">
        <v>25</v>
      </c>
      <c r="B359" s="8"/>
      <c r="C359" s="10"/>
      <c r="D359" s="10"/>
      <c r="E359" s="10"/>
      <c r="F359" s="30">
        <v>1</v>
      </c>
      <c r="G359" s="7">
        <f t="shared" ref="G359:G384" si="110">SUM(B359:F359)</f>
        <v>1</v>
      </c>
      <c r="H359" s="58">
        <v>42755</v>
      </c>
      <c r="I359" s="16" t="s">
        <v>352</v>
      </c>
      <c r="J359" s="8"/>
      <c r="K359" s="10"/>
      <c r="L359" s="10"/>
      <c r="M359" s="10">
        <v>5</v>
      </c>
      <c r="N359" s="28">
        <v>5</v>
      </c>
      <c r="O359" s="9">
        <f t="shared" ref="O359:O384" si="111">SUM(J359:N359)</f>
        <v>10</v>
      </c>
      <c r="P359" s="58">
        <v>42755</v>
      </c>
    </row>
    <row r="360" spans="1:18" x14ac:dyDescent="0.15">
      <c r="A360" s="16" t="s">
        <v>25</v>
      </c>
      <c r="B360" s="8">
        <v>1</v>
      </c>
      <c r="C360" s="10"/>
      <c r="D360" s="10"/>
      <c r="E360" s="10"/>
      <c r="F360" s="30"/>
      <c r="G360" s="7">
        <f t="shared" si="110"/>
        <v>1</v>
      </c>
      <c r="H360" s="58">
        <v>42760</v>
      </c>
      <c r="I360" s="16" t="s">
        <v>24</v>
      </c>
      <c r="J360" s="8">
        <v>10</v>
      </c>
      <c r="K360" s="10">
        <v>20</v>
      </c>
      <c r="L360" s="10"/>
      <c r="M360" s="10"/>
      <c r="N360" s="30">
        <v>10</v>
      </c>
      <c r="O360" s="7">
        <f t="shared" si="111"/>
        <v>40</v>
      </c>
      <c r="P360" s="58">
        <v>42767</v>
      </c>
    </row>
    <row r="361" spans="1:18" x14ac:dyDescent="0.15">
      <c r="A361" s="16" t="s">
        <v>110</v>
      </c>
      <c r="B361" s="8"/>
      <c r="C361" s="10">
        <v>10</v>
      </c>
      <c r="D361" s="10"/>
      <c r="E361" s="10"/>
      <c r="F361" s="30"/>
      <c r="G361" s="7">
        <f t="shared" si="110"/>
        <v>10</v>
      </c>
      <c r="H361" s="58">
        <v>42768</v>
      </c>
      <c r="I361" s="16" t="s">
        <v>24</v>
      </c>
      <c r="J361" s="8"/>
      <c r="K361" s="10">
        <v>5</v>
      </c>
      <c r="L361" s="10">
        <v>10</v>
      </c>
      <c r="M361" s="10"/>
      <c r="N361" s="30"/>
      <c r="O361" s="7">
        <f t="shared" si="111"/>
        <v>15</v>
      </c>
      <c r="P361" s="58">
        <v>42769</v>
      </c>
    </row>
    <row r="362" spans="1:18" x14ac:dyDescent="0.15">
      <c r="A362" s="16" t="s">
        <v>360</v>
      </c>
      <c r="B362" s="8">
        <v>10</v>
      </c>
      <c r="C362" s="10">
        <v>10</v>
      </c>
      <c r="D362" s="10">
        <v>10</v>
      </c>
      <c r="E362" s="10"/>
      <c r="F362" s="30">
        <v>10</v>
      </c>
      <c r="G362" s="7">
        <f t="shared" si="110"/>
        <v>40</v>
      </c>
      <c r="H362" s="58">
        <v>42772</v>
      </c>
      <c r="I362" s="16" t="s">
        <v>24</v>
      </c>
      <c r="J362" s="8"/>
      <c r="K362" s="10"/>
      <c r="L362" s="10">
        <v>10</v>
      </c>
      <c r="M362" s="10"/>
      <c r="N362" s="30">
        <v>10</v>
      </c>
      <c r="O362" s="7">
        <f t="shared" si="111"/>
        <v>20</v>
      </c>
      <c r="P362" s="58">
        <v>42786</v>
      </c>
    </row>
    <row r="363" spans="1:18" x14ac:dyDescent="0.15">
      <c r="A363" s="16" t="s">
        <v>25</v>
      </c>
      <c r="B363" s="8"/>
      <c r="C363" s="10">
        <v>1</v>
      </c>
      <c r="D363" s="10"/>
      <c r="E363" s="10"/>
      <c r="F363" s="30">
        <v>2</v>
      </c>
      <c r="G363" s="7">
        <f t="shared" si="110"/>
        <v>3</v>
      </c>
      <c r="H363" s="58">
        <v>42767</v>
      </c>
      <c r="I363" s="16" t="s">
        <v>24</v>
      </c>
      <c r="J363" s="8"/>
      <c r="K363" s="10"/>
      <c r="L363" s="10">
        <v>10</v>
      </c>
      <c r="M363" s="10"/>
      <c r="N363" s="30"/>
      <c r="O363" s="7">
        <f t="shared" si="111"/>
        <v>10</v>
      </c>
      <c r="P363" s="58">
        <v>42802</v>
      </c>
    </row>
    <row r="364" spans="1:18" x14ac:dyDescent="0.15">
      <c r="A364" s="16" t="s">
        <v>363</v>
      </c>
      <c r="B364" s="8"/>
      <c r="C364" s="10"/>
      <c r="D364" s="10"/>
      <c r="E364" s="10"/>
      <c r="F364" s="30">
        <v>2</v>
      </c>
      <c r="G364" s="7">
        <f t="shared" si="110"/>
        <v>2</v>
      </c>
      <c r="H364" s="58">
        <v>42769</v>
      </c>
      <c r="I364" s="16" t="s">
        <v>24</v>
      </c>
      <c r="J364" s="8"/>
      <c r="K364" s="10"/>
      <c r="L364" s="10"/>
      <c r="M364" s="10"/>
      <c r="N364" s="30">
        <v>10</v>
      </c>
      <c r="O364" s="7">
        <f t="shared" si="111"/>
        <v>10</v>
      </c>
      <c r="P364" s="58">
        <v>42807</v>
      </c>
    </row>
    <row r="365" spans="1:18" x14ac:dyDescent="0.15">
      <c r="A365" s="16" t="s">
        <v>110</v>
      </c>
      <c r="B365" s="8"/>
      <c r="C365" s="10"/>
      <c r="D365" s="10"/>
      <c r="E365" s="10"/>
      <c r="F365" s="30">
        <v>3</v>
      </c>
      <c r="G365" s="7">
        <f t="shared" si="110"/>
        <v>3</v>
      </c>
      <c r="H365" s="58">
        <v>42776</v>
      </c>
      <c r="I365" s="16"/>
      <c r="J365" s="8"/>
      <c r="K365" s="10"/>
      <c r="L365" s="10"/>
      <c r="M365" s="10"/>
      <c r="N365" s="30"/>
      <c r="O365" s="7">
        <f t="shared" si="111"/>
        <v>0</v>
      </c>
    </row>
    <row r="366" spans="1:18" x14ac:dyDescent="0.15">
      <c r="A366" s="16" t="s">
        <v>364</v>
      </c>
      <c r="B366" s="8">
        <v>1</v>
      </c>
      <c r="C366" s="10">
        <v>2</v>
      </c>
      <c r="D366" s="10">
        <v>1</v>
      </c>
      <c r="E366" s="10"/>
      <c r="F366" s="30">
        <v>1</v>
      </c>
      <c r="G366" s="7">
        <f t="shared" si="110"/>
        <v>5</v>
      </c>
      <c r="H366" s="58">
        <v>42772</v>
      </c>
      <c r="I366" s="16"/>
      <c r="J366" s="8"/>
      <c r="K366" s="10"/>
      <c r="L366" s="10"/>
      <c r="M366" s="10"/>
      <c r="N366" s="30"/>
      <c r="O366" s="7">
        <f t="shared" si="111"/>
        <v>0</v>
      </c>
    </row>
    <row r="367" spans="1:18" x14ac:dyDescent="0.15">
      <c r="A367" s="16" t="s">
        <v>368</v>
      </c>
      <c r="B367" s="8"/>
      <c r="C367" s="10"/>
      <c r="D367" s="10"/>
      <c r="E367" s="10">
        <v>1</v>
      </c>
      <c r="F367" s="30"/>
      <c r="G367" s="7">
        <f t="shared" si="110"/>
        <v>1</v>
      </c>
      <c r="H367" s="58">
        <v>42774</v>
      </c>
      <c r="I367" s="39"/>
      <c r="J367" s="8"/>
      <c r="K367" s="10"/>
      <c r="L367" s="10"/>
      <c r="M367" s="10"/>
      <c r="N367" s="30"/>
      <c r="O367" s="7">
        <f t="shared" si="111"/>
        <v>0</v>
      </c>
    </row>
    <row r="368" spans="1:18" x14ac:dyDescent="0.15">
      <c r="A368" s="16" t="s">
        <v>329</v>
      </c>
      <c r="B368" s="11"/>
      <c r="C368" s="12"/>
      <c r="D368" s="12">
        <v>3</v>
      </c>
      <c r="E368" s="12"/>
      <c r="F368" s="31"/>
      <c r="G368" s="7">
        <f t="shared" si="110"/>
        <v>3</v>
      </c>
      <c r="H368" s="58">
        <v>42776</v>
      </c>
      <c r="I368" s="16"/>
      <c r="J368" s="11"/>
      <c r="K368" s="12"/>
      <c r="L368" s="12"/>
      <c r="M368" s="12"/>
      <c r="N368" s="31"/>
      <c r="O368" s="7">
        <f t="shared" si="111"/>
        <v>0</v>
      </c>
    </row>
    <row r="369" spans="1:16" x14ac:dyDescent="0.15">
      <c r="A369" s="16" t="s">
        <v>329</v>
      </c>
      <c r="B369" s="8"/>
      <c r="C369" s="10"/>
      <c r="D369" s="10"/>
      <c r="E369" s="10"/>
      <c r="F369" s="30">
        <v>1</v>
      </c>
      <c r="G369" s="7">
        <f t="shared" si="110"/>
        <v>1</v>
      </c>
      <c r="H369" s="58">
        <v>42790</v>
      </c>
      <c r="I369" s="16"/>
      <c r="J369" s="8"/>
      <c r="K369" s="10"/>
      <c r="L369" s="10"/>
      <c r="M369" s="10"/>
      <c r="N369" s="30"/>
      <c r="O369" s="7">
        <f t="shared" si="111"/>
        <v>0</v>
      </c>
    </row>
    <row r="370" spans="1:16" x14ac:dyDescent="0.15">
      <c r="A370" s="14" t="s">
        <v>377</v>
      </c>
      <c r="B370" s="8">
        <v>2</v>
      </c>
      <c r="C370" s="10"/>
      <c r="D370" s="10"/>
      <c r="E370" s="10"/>
      <c r="F370" s="30"/>
      <c r="G370" s="7">
        <f t="shared" si="110"/>
        <v>2</v>
      </c>
      <c r="H370" s="58">
        <v>42802</v>
      </c>
      <c r="I370" s="39"/>
      <c r="J370" s="8"/>
      <c r="K370" s="10"/>
      <c r="L370" s="10"/>
      <c r="M370" s="10"/>
      <c r="N370" s="30"/>
      <c r="O370" s="7">
        <f t="shared" si="111"/>
        <v>0</v>
      </c>
    </row>
    <row r="371" spans="1:16" x14ac:dyDescent="0.15">
      <c r="A371" s="16" t="s">
        <v>22</v>
      </c>
      <c r="B371" s="8"/>
      <c r="C371" s="10"/>
      <c r="D371" s="10"/>
      <c r="E371" s="10"/>
      <c r="F371" s="30">
        <v>10</v>
      </c>
      <c r="G371" s="7">
        <f t="shared" si="110"/>
        <v>10</v>
      </c>
      <c r="H371" s="58">
        <v>42800</v>
      </c>
      <c r="I371" s="16"/>
      <c r="J371" s="8"/>
      <c r="K371" s="10"/>
      <c r="L371" s="10"/>
      <c r="M371" s="10"/>
      <c r="N371" s="30"/>
      <c r="O371" s="7">
        <f t="shared" si="111"/>
        <v>0</v>
      </c>
    </row>
    <row r="372" spans="1:16" x14ac:dyDescent="0.15">
      <c r="A372" s="16" t="s">
        <v>329</v>
      </c>
      <c r="B372" s="8"/>
      <c r="C372" s="10"/>
      <c r="D372" s="10">
        <v>2</v>
      </c>
      <c r="E372" s="10"/>
      <c r="F372" s="30"/>
      <c r="G372" s="7">
        <f t="shared" si="110"/>
        <v>2</v>
      </c>
      <c r="H372" s="58">
        <v>42801</v>
      </c>
      <c r="I372" s="16"/>
      <c r="J372" s="8"/>
      <c r="K372" s="10"/>
      <c r="L372" s="10"/>
      <c r="M372" s="10"/>
      <c r="N372" s="30"/>
      <c r="O372" s="7">
        <f t="shared" si="111"/>
        <v>0</v>
      </c>
    </row>
    <row r="373" spans="1:16" x14ac:dyDescent="0.15">
      <c r="A373" s="16" t="s">
        <v>22</v>
      </c>
      <c r="B373" s="8"/>
      <c r="C373" s="10"/>
      <c r="D373" s="10">
        <v>10</v>
      </c>
      <c r="E373" s="10"/>
      <c r="F373" s="30"/>
      <c r="G373" s="7">
        <f t="shared" si="110"/>
        <v>10</v>
      </c>
      <c r="H373" s="58">
        <v>42804</v>
      </c>
      <c r="I373" s="16"/>
      <c r="J373" s="8"/>
      <c r="K373" s="10"/>
      <c r="L373" s="10"/>
      <c r="M373" s="10"/>
      <c r="N373" s="30"/>
      <c r="O373" s="7">
        <f t="shared" si="111"/>
        <v>0</v>
      </c>
    </row>
    <row r="374" spans="1:16" x14ac:dyDescent="0.15">
      <c r="A374" s="16" t="s">
        <v>382</v>
      </c>
      <c r="B374" s="8"/>
      <c r="C374" s="10"/>
      <c r="D374" s="10">
        <v>-10</v>
      </c>
      <c r="E374" s="10"/>
      <c r="F374" s="30"/>
      <c r="G374" s="7">
        <f t="shared" si="110"/>
        <v>-10</v>
      </c>
      <c r="H374" s="58">
        <v>42802</v>
      </c>
      <c r="I374" s="16"/>
      <c r="J374" s="8"/>
      <c r="K374" s="10"/>
      <c r="L374" s="10"/>
      <c r="M374" s="10"/>
      <c r="N374" s="30"/>
      <c r="O374" s="7">
        <f t="shared" si="111"/>
        <v>0</v>
      </c>
    </row>
    <row r="375" spans="1:16" x14ac:dyDescent="0.15">
      <c r="A375" s="39" t="s">
        <v>384</v>
      </c>
      <c r="B375" s="8">
        <v>1</v>
      </c>
      <c r="C375" s="10"/>
      <c r="D375" s="10"/>
      <c r="E375" s="10"/>
      <c r="F375" s="30"/>
      <c r="G375" s="7">
        <f t="shared" si="110"/>
        <v>1</v>
      </c>
      <c r="H375" s="58">
        <v>42801</v>
      </c>
      <c r="I375" s="14"/>
      <c r="J375" s="8"/>
      <c r="K375" s="10"/>
      <c r="L375" s="10"/>
      <c r="M375" s="10"/>
      <c r="N375" s="30"/>
      <c r="O375" s="7">
        <f t="shared" si="111"/>
        <v>0</v>
      </c>
    </row>
    <row r="376" spans="1:16" x14ac:dyDescent="0.15">
      <c r="A376" s="16" t="s">
        <v>385</v>
      </c>
      <c r="B376" s="8">
        <v>-1</v>
      </c>
      <c r="C376" s="10"/>
      <c r="D376" s="10"/>
      <c r="E376" s="10">
        <v>-1</v>
      </c>
      <c r="F376" s="30"/>
      <c r="G376" s="7">
        <f t="shared" si="110"/>
        <v>-2</v>
      </c>
      <c r="H376" s="58">
        <v>42802</v>
      </c>
      <c r="I376" s="16"/>
      <c r="J376" s="8"/>
      <c r="K376" s="10"/>
      <c r="L376" s="10"/>
      <c r="M376" s="10"/>
      <c r="N376" s="30"/>
      <c r="O376" s="7">
        <f t="shared" si="111"/>
        <v>0</v>
      </c>
    </row>
    <row r="377" spans="1:16" x14ac:dyDescent="0.15">
      <c r="A377" s="16" t="s">
        <v>386</v>
      </c>
      <c r="B377" s="8"/>
      <c r="C377" s="10"/>
      <c r="D377" s="10"/>
      <c r="E377" s="10">
        <v>2</v>
      </c>
      <c r="F377" s="30">
        <v>4</v>
      </c>
      <c r="G377" s="7">
        <f t="shared" si="110"/>
        <v>6</v>
      </c>
      <c r="H377" s="58">
        <v>42809</v>
      </c>
      <c r="I377" s="16"/>
      <c r="J377" s="8"/>
      <c r="K377" s="10"/>
      <c r="L377" s="10"/>
      <c r="M377" s="10"/>
      <c r="N377" s="30"/>
      <c r="O377" s="7">
        <f t="shared" si="111"/>
        <v>0</v>
      </c>
    </row>
    <row r="378" spans="1:16" x14ac:dyDescent="0.15">
      <c r="A378" s="16" t="s">
        <v>28</v>
      </c>
      <c r="B378" s="8"/>
      <c r="C378" s="10"/>
      <c r="D378" s="10"/>
      <c r="E378" s="10"/>
      <c r="F378" s="30">
        <v>-10</v>
      </c>
      <c r="G378" s="7">
        <f t="shared" si="110"/>
        <v>-10</v>
      </c>
      <c r="H378" s="58">
        <v>42807</v>
      </c>
      <c r="I378" s="16"/>
      <c r="J378" s="8"/>
      <c r="K378" s="10"/>
      <c r="L378" s="10"/>
      <c r="M378" s="10"/>
      <c r="N378" s="30"/>
      <c r="O378" s="7">
        <f t="shared" si="111"/>
        <v>0</v>
      </c>
      <c r="P378" s="56"/>
    </row>
    <row r="379" spans="1:16" x14ac:dyDescent="0.15">
      <c r="A379" s="14" t="s">
        <v>389</v>
      </c>
      <c r="B379" s="8"/>
      <c r="C379" s="10"/>
      <c r="D379" s="10">
        <v>1</v>
      </c>
      <c r="E379" s="10">
        <v>1</v>
      </c>
      <c r="F379" s="30"/>
      <c r="G379" s="7">
        <f t="shared" si="110"/>
        <v>2</v>
      </c>
      <c r="H379" s="58">
        <v>42808</v>
      </c>
      <c r="I379" s="16"/>
      <c r="J379" s="8"/>
      <c r="K379" s="10"/>
      <c r="L379" s="10"/>
      <c r="M379" s="10"/>
      <c r="N379" s="30"/>
      <c r="O379" s="7">
        <f t="shared" ref="O379:O380" si="112">SUM(J379:N379)</f>
        <v>0</v>
      </c>
      <c r="P379" s="58"/>
    </row>
    <row r="380" spans="1:16" x14ac:dyDescent="0.15">
      <c r="A380" s="16" t="s">
        <v>329</v>
      </c>
      <c r="B380" s="11">
        <v>2</v>
      </c>
      <c r="C380" s="12"/>
      <c r="D380" s="12"/>
      <c r="E380" s="12"/>
      <c r="F380" s="31"/>
      <c r="G380" s="7">
        <f t="shared" si="110"/>
        <v>2</v>
      </c>
      <c r="H380" s="58">
        <v>42808</v>
      </c>
      <c r="I380" s="16"/>
      <c r="J380" s="8"/>
      <c r="K380" s="10"/>
      <c r="L380" s="10"/>
      <c r="M380" s="10"/>
      <c r="N380" s="30"/>
      <c r="O380" s="7">
        <f t="shared" si="112"/>
        <v>0</v>
      </c>
      <c r="P380" s="58"/>
    </row>
    <row r="381" spans="1:16" x14ac:dyDescent="0.15">
      <c r="A381" s="14" t="s">
        <v>25</v>
      </c>
      <c r="B381" s="8"/>
      <c r="C381" s="10">
        <v>2</v>
      </c>
      <c r="D381" s="10">
        <v>1</v>
      </c>
      <c r="E381" s="10"/>
      <c r="F381" s="30"/>
      <c r="G381" s="7">
        <f t="shared" si="110"/>
        <v>3</v>
      </c>
      <c r="H381" s="58">
        <v>42810</v>
      </c>
      <c r="I381" s="16"/>
      <c r="J381" s="8"/>
      <c r="K381" s="10"/>
      <c r="L381" s="10"/>
      <c r="M381" s="10"/>
      <c r="N381" s="30"/>
      <c r="O381" s="7">
        <f t="shared" si="111"/>
        <v>0</v>
      </c>
      <c r="P381" s="58"/>
    </row>
    <row r="382" spans="1:16" x14ac:dyDescent="0.15">
      <c r="A382" s="14" t="s">
        <v>25</v>
      </c>
      <c r="B382" s="8"/>
      <c r="C382" s="10">
        <v>2</v>
      </c>
      <c r="D382" s="10"/>
      <c r="E382" s="10"/>
      <c r="F382" s="30">
        <v>1</v>
      </c>
      <c r="G382" s="7">
        <f t="shared" si="110"/>
        <v>3</v>
      </c>
      <c r="H382" s="58">
        <v>42811</v>
      </c>
      <c r="I382" s="14"/>
      <c r="J382" s="11"/>
      <c r="K382" s="12"/>
      <c r="L382" s="12"/>
      <c r="M382" s="12"/>
      <c r="N382" s="31"/>
      <c r="O382" s="7">
        <f t="shared" ref="O382" si="113">SUM(J382:N382)</f>
        <v>0</v>
      </c>
      <c r="P382" s="36"/>
    </row>
    <row r="383" spans="1:16" x14ac:dyDescent="0.15">
      <c r="A383" s="14" t="s">
        <v>394</v>
      </c>
      <c r="B383" s="8"/>
      <c r="C383" s="10"/>
      <c r="D383" s="10"/>
      <c r="E383" s="10">
        <v>12</v>
      </c>
      <c r="F383" s="30"/>
      <c r="G383" s="7">
        <f t="shared" si="110"/>
        <v>12</v>
      </c>
      <c r="H383" s="58">
        <v>42821</v>
      </c>
      <c r="I383" s="14"/>
      <c r="J383" s="8"/>
      <c r="K383" s="10"/>
      <c r="L383" s="10"/>
      <c r="M383" s="10"/>
      <c r="N383" s="30"/>
      <c r="O383" s="7">
        <f t="shared" si="111"/>
        <v>0</v>
      </c>
      <c r="P383" s="56"/>
    </row>
    <row r="384" spans="1:16" ht="14.25" thickBot="1" x14ac:dyDescent="0.2">
      <c r="A384" s="39" t="s">
        <v>395</v>
      </c>
      <c r="B384" s="11">
        <v>-1</v>
      </c>
      <c r="C384" s="12"/>
      <c r="D384" s="12"/>
      <c r="E384" s="12"/>
      <c r="F384" s="31"/>
      <c r="G384" s="7">
        <f t="shared" si="110"/>
        <v>-1</v>
      </c>
      <c r="H384" s="58">
        <v>42811</v>
      </c>
      <c r="I384" s="20"/>
      <c r="J384" s="11"/>
      <c r="K384" s="12"/>
      <c r="L384" s="12"/>
      <c r="M384" s="12"/>
      <c r="N384" s="31"/>
      <c r="O384" s="7">
        <f t="shared" si="111"/>
        <v>0</v>
      </c>
      <c r="P384" s="56"/>
    </row>
    <row r="385" spans="1:16" ht="14.25" thickBot="1" x14ac:dyDescent="0.2">
      <c r="A385" s="3" t="s">
        <v>11</v>
      </c>
      <c r="B385" s="23">
        <f>SUM(B359:B384)</f>
        <v>15</v>
      </c>
      <c r="C385" s="4">
        <f>SUM(C359:C384)</f>
        <v>27</v>
      </c>
      <c r="D385" s="4">
        <f>SUM(D359:D384)</f>
        <v>18</v>
      </c>
      <c r="E385" s="6">
        <f>SUM(E359:E384)</f>
        <v>15</v>
      </c>
      <c r="F385" s="32">
        <f>SUM(F359:F384)</f>
        <v>25</v>
      </c>
      <c r="G385" s="5">
        <f>SUM(B385:F385)</f>
        <v>100</v>
      </c>
      <c r="H385" s="58"/>
      <c r="I385" s="3" t="s">
        <v>11</v>
      </c>
      <c r="J385" s="23">
        <f>SUM(J359:J384)</f>
        <v>10</v>
      </c>
      <c r="K385" s="4">
        <f>SUM(K359:K384)</f>
        <v>25</v>
      </c>
      <c r="L385" s="4">
        <f>SUM(L359:L384)</f>
        <v>30</v>
      </c>
      <c r="M385" s="6">
        <f>SUM(M359:M384)</f>
        <v>5</v>
      </c>
      <c r="N385" s="32">
        <f>SUM(N359:N384)</f>
        <v>35</v>
      </c>
      <c r="O385" s="5">
        <f>SUM(J385:N385)</f>
        <v>105</v>
      </c>
    </row>
    <row r="386" spans="1:16" ht="14.25" thickBot="1" x14ac:dyDescent="0.2">
      <c r="A386" s="25" t="s">
        <v>12</v>
      </c>
      <c r="B386" s="63">
        <f>B358-B385</f>
        <v>14</v>
      </c>
      <c r="C386" s="26">
        <f t="shared" ref="C386:G386" si="114">C358-C385</f>
        <v>10</v>
      </c>
      <c r="D386" s="71">
        <f t="shared" si="114"/>
        <v>17</v>
      </c>
      <c r="E386" s="26">
        <f t="shared" si="114"/>
        <v>3</v>
      </c>
      <c r="F386" s="70">
        <f t="shared" si="114"/>
        <v>12</v>
      </c>
      <c r="G386" s="27">
        <f t="shared" si="114"/>
        <v>56</v>
      </c>
      <c r="H386" s="58"/>
      <c r="I386" s="25" t="s">
        <v>12</v>
      </c>
      <c r="J386" s="63">
        <f>J358-J385</f>
        <v>214</v>
      </c>
      <c r="K386" s="26">
        <f t="shared" ref="K386:O386" si="115">K358-K385</f>
        <v>188</v>
      </c>
      <c r="L386" s="71">
        <f t="shared" si="115"/>
        <v>185</v>
      </c>
      <c r="M386" s="26">
        <f t="shared" si="115"/>
        <v>182</v>
      </c>
      <c r="N386" s="70">
        <f t="shared" si="115"/>
        <v>169</v>
      </c>
      <c r="O386" s="27">
        <f t="shared" si="115"/>
        <v>938</v>
      </c>
    </row>
    <row r="387" spans="1:16" ht="21" x14ac:dyDescent="0.2">
      <c r="A387" s="86" t="s">
        <v>50</v>
      </c>
      <c r="B387" s="87"/>
      <c r="C387" s="87"/>
      <c r="D387" s="87"/>
      <c r="E387" s="87"/>
      <c r="F387" s="87"/>
      <c r="G387" s="87"/>
      <c r="H387" s="58"/>
      <c r="I387" s="86" t="s">
        <v>50</v>
      </c>
      <c r="J387" s="87"/>
      <c r="K387" s="87"/>
      <c r="L387" s="87"/>
      <c r="M387" s="87"/>
      <c r="N387" s="87"/>
      <c r="O387" s="87"/>
    </row>
    <row r="388" spans="1:16" ht="21.75" thickBot="1" x14ac:dyDescent="0.25">
      <c r="A388" s="86" t="s">
        <v>51</v>
      </c>
      <c r="B388" s="87"/>
      <c r="C388" s="87"/>
      <c r="D388" s="87"/>
      <c r="E388" s="85"/>
      <c r="F388" s="88" t="s">
        <v>53</v>
      </c>
      <c r="G388" s="87"/>
      <c r="H388" s="58"/>
      <c r="I388" s="86" t="s">
        <v>51</v>
      </c>
      <c r="J388" s="87"/>
      <c r="K388" s="87"/>
      <c r="L388" s="87"/>
      <c r="M388" s="89"/>
      <c r="N388" s="88" t="s">
        <v>54</v>
      </c>
      <c r="O388" s="87"/>
    </row>
    <row r="389" spans="1:16" ht="14.25" thickBot="1" x14ac:dyDescent="0.2">
      <c r="A389" s="13" t="s">
        <v>0</v>
      </c>
      <c r="B389" s="228" t="s">
        <v>52</v>
      </c>
      <c r="C389" s="229"/>
      <c r="D389" s="229"/>
      <c r="E389" s="229"/>
      <c r="F389" s="230"/>
      <c r="G389" s="231"/>
      <c r="H389" s="58"/>
      <c r="I389" s="13" t="s">
        <v>0</v>
      </c>
      <c r="J389" s="228" t="s">
        <v>49</v>
      </c>
      <c r="K389" s="229"/>
      <c r="L389" s="229"/>
      <c r="M389" s="229"/>
      <c r="N389" s="230"/>
      <c r="O389" s="231"/>
    </row>
    <row r="390" spans="1:16" ht="14.25" thickBot="1" x14ac:dyDescent="0.2">
      <c r="A390" s="3" t="s">
        <v>1</v>
      </c>
      <c r="B390" s="2" t="s">
        <v>42</v>
      </c>
      <c r="C390" s="21" t="s">
        <v>43</v>
      </c>
      <c r="D390" s="21" t="s">
        <v>44</v>
      </c>
      <c r="E390" s="24" t="s">
        <v>45</v>
      </c>
      <c r="F390" s="33" t="s">
        <v>46</v>
      </c>
      <c r="G390" s="3" t="s">
        <v>2</v>
      </c>
      <c r="H390" s="58"/>
      <c r="I390" s="3" t="s">
        <v>1</v>
      </c>
      <c r="J390" s="2" t="s">
        <v>42</v>
      </c>
      <c r="K390" s="21" t="s">
        <v>43</v>
      </c>
      <c r="L390" s="21" t="s">
        <v>44</v>
      </c>
      <c r="M390" s="24" t="s">
        <v>45</v>
      </c>
      <c r="N390" s="33" t="s">
        <v>46</v>
      </c>
      <c r="O390" s="3" t="s">
        <v>2</v>
      </c>
    </row>
    <row r="391" spans="1:16" ht="14.25" thickBot="1" x14ac:dyDescent="0.2">
      <c r="A391" s="72" t="s">
        <v>79</v>
      </c>
      <c r="B391" s="73">
        <f>B386</f>
        <v>14</v>
      </c>
      <c r="C391" s="74">
        <f t="shared" ref="C391:F391" si="116">C386</f>
        <v>10</v>
      </c>
      <c r="D391" s="107">
        <f t="shared" si="116"/>
        <v>17</v>
      </c>
      <c r="E391" s="75">
        <f t="shared" si="116"/>
        <v>3</v>
      </c>
      <c r="F391" s="75">
        <f t="shared" si="116"/>
        <v>12</v>
      </c>
      <c r="G391" s="76">
        <f t="shared" ref="G391:G400" si="117">SUM(B391:F391)</f>
        <v>56</v>
      </c>
      <c r="H391" s="58"/>
      <c r="I391" s="72" t="s">
        <v>79</v>
      </c>
      <c r="J391" s="73">
        <f>J386</f>
        <v>214</v>
      </c>
      <c r="K391" s="74">
        <f t="shared" ref="K391:N391" si="118">K386</f>
        <v>188</v>
      </c>
      <c r="L391" s="107">
        <f t="shared" si="118"/>
        <v>185</v>
      </c>
      <c r="M391" s="75">
        <f t="shared" si="118"/>
        <v>182</v>
      </c>
      <c r="N391" s="75">
        <f t="shared" si="118"/>
        <v>169</v>
      </c>
      <c r="O391" s="76">
        <f t="shared" ref="O391:O400" si="119">SUM(J391:N391)</f>
        <v>938</v>
      </c>
    </row>
    <row r="392" spans="1:16" x14ac:dyDescent="0.15">
      <c r="A392" s="15" t="s">
        <v>15</v>
      </c>
      <c r="B392" s="37"/>
      <c r="C392" s="35">
        <v>5</v>
      </c>
      <c r="D392" s="35"/>
      <c r="E392" s="35">
        <v>10</v>
      </c>
      <c r="F392" s="28"/>
      <c r="G392" s="7">
        <f t="shared" si="117"/>
        <v>15</v>
      </c>
      <c r="H392" s="58">
        <v>42818</v>
      </c>
      <c r="I392" s="38" t="s">
        <v>15</v>
      </c>
      <c r="J392" s="37"/>
      <c r="K392" s="35"/>
      <c r="L392" s="35"/>
      <c r="M392" s="35"/>
      <c r="N392" s="28"/>
      <c r="O392" s="7">
        <f t="shared" si="119"/>
        <v>0</v>
      </c>
    </row>
    <row r="393" spans="1:16" x14ac:dyDescent="0.15">
      <c r="A393" s="15" t="s">
        <v>271</v>
      </c>
      <c r="B393" s="8"/>
      <c r="C393" s="10"/>
      <c r="D393" s="10">
        <v>1</v>
      </c>
      <c r="E393" s="10"/>
      <c r="F393" s="28"/>
      <c r="G393" s="9">
        <f t="shared" si="117"/>
        <v>1</v>
      </c>
      <c r="H393" s="58">
        <v>42819</v>
      </c>
      <c r="I393" s="15" t="s">
        <v>3</v>
      </c>
      <c r="J393" s="8"/>
      <c r="K393" s="10"/>
      <c r="L393" s="10"/>
      <c r="M393" s="10"/>
      <c r="N393" s="28"/>
      <c r="O393" s="9">
        <f t="shared" si="119"/>
        <v>0</v>
      </c>
    </row>
    <row r="394" spans="1:16" x14ac:dyDescent="0.15">
      <c r="A394" s="15" t="s">
        <v>18</v>
      </c>
      <c r="B394" s="8">
        <v>5</v>
      </c>
      <c r="C394" s="10"/>
      <c r="D394" s="10"/>
      <c r="E394" s="10">
        <v>5</v>
      </c>
      <c r="F394" s="28">
        <v>5</v>
      </c>
      <c r="G394" s="9">
        <f t="shared" si="117"/>
        <v>15</v>
      </c>
      <c r="H394" s="58">
        <v>42823</v>
      </c>
      <c r="I394" s="15" t="s">
        <v>4</v>
      </c>
      <c r="J394" s="8"/>
      <c r="K394" s="45"/>
      <c r="L394" s="45"/>
      <c r="M394" s="45"/>
      <c r="N394" s="46"/>
      <c r="O394" s="9">
        <f t="shared" si="119"/>
        <v>0</v>
      </c>
      <c r="P394" s="58"/>
    </row>
    <row r="395" spans="1:16" x14ac:dyDescent="0.15">
      <c r="A395" s="15" t="s">
        <v>19</v>
      </c>
      <c r="B395" s="8"/>
      <c r="C395" s="10"/>
      <c r="D395" s="10">
        <v>1</v>
      </c>
      <c r="E395" s="10">
        <v>4</v>
      </c>
      <c r="F395" s="28">
        <v>4</v>
      </c>
      <c r="G395" s="9">
        <f t="shared" si="117"/>
        <v>9</v>
      </c>
      <c r="H395" s="58">
        <v>42823</v>
      </c>
      <c r="I395" s="15" t="s">
        <v>5</v>
      </c>
      <c r="J395" s="8"/>
      <c r="K395" s="45"/>
      <c r="L395" s="45"/>
      <c r="M395" s="45"/>
      <c r="N395" s="46"/>
      <c r="O395" s="9">
        <f t="shared" si="119"/>
        <v>0</v>
      </c>
      <c r="P395" s="58"/>
    </row>
    <row r="396" spans="1:16" x14ac:dyDescent="0.15">
      <c r="A396" s="15" t="s">
        <v>183</v>
      </c>
      <c r="B396" s="8">
        <v>2</v>
      </c>
      <c r="C396" s="10">
        <v>1</v>
      </c>
      <c r="D396" s="10"/>
      <c r="E396" s="10"/>
      <c r="F396" s="28"/>
      <c r="G396" s="9">
        <f t="shared" si="117"/>
        <v>3</v>
      </c>
      <c r="H396" s="58">
        <v>42826</v>
      </c>
      <c r="I396" s="15" t="s">
        <v>6</v>
      </c>
      <c r="J396" s="8"/>
      <c r="K396" s="45"/>
      <c r="L396" s="45"/>
      <c r="M396" s="45"/>
      <c r="N396" s="46"/>
      <c r="O396" s="9">
        <f t="shared" si="119"/>
        <v>0</v>
      </c>
      <c r="P396" s="58"/>
    </row>
    <row r="397" spans="1:16" x14ac:dyDescent="0.15">
      <c r="A397" s="15" t="s">
        <v>411</v>
      </c>
      <c r="B397" s="8"/>
      <c r="C397" s="10">
        <v>1</v>
      </c>
      <c r="D397" s="10"/>
      <c r="E397" s="10"/>
      <c r="F397" s="28"/>
      <c r="G397" s="9">
        <f t="shared" si="117"/>
        <v>1</v>
      </c>
      <c r="H397" s="58">
        <v>42830</v>
      </c>
      <c r="I397" s="15" t="s">
        <v>84</v>
      </c>
      <c r="J397" s="8"/>
      <c r="K397" s="45"/>
      <c r="L397" s="45"/>
      <c r="M397" s="45"/>
      <c r="N397" s="46"/>
      <c r="O397" s="7">
        <f t="shared" si="119"/>
        <v>0</v>
      </c>
      <c r="P397" s="58"/>
    </row>
    <row r="398" spans="1:16" x14ac:dyDescent="0.15">
      <c r="A398" s="15" t="s">
        <v>17</v>
      </c>
      <c r="B398" s="8"/>
      <c r="C398" s="10"/>
      <c r="D398" s="10"/>
      <c r="E398" s="10">
        <v>1</v>
      </c>
      <c r="F398" s="28"/>
      <c r="G398" s="9">
        <f t="shared" si="117"/>
        <v>1</v>
      </c>
      <c r="H398" s="58">
        <v>42832</v>
      </c>
      <c r="I398" s="15" t="s">
        <v>85</v>
      </c>
      <c r="J398" s="8"/>
      <c r="K398" s="45"/>
      <c r="L398" s="45"/>
      <c r="M398" s="45"/>
      <c r="N398" s="46"/>
      <c r="O398" s="7">
        <f t="shared" si="119"/>
        <v>0</v>
      </c>
      <c r="P398" s="58"/>
    </row>
    <row r="399" spans="1:16" x14ac:dyDescent="0.15">
      <c r="A399" s="15" t="s">
        <v>83</v>
      </c>
      <c r="B399" s="11"/>
      <c r="C399" s="100"/>
      <c r="D399" s="100"/>
      <c r="E399" s="100"/>
      <c r="F399" s="109">
        <v>10</v>
      </c>
      <c r="G399" s="9">
        <f t="shared" si="117"/>
        <v>10</v>
      </c>
      <c r="H399" s="58">
        <v>42838</v>
      </c>
      <c r="I399" s="15" t="s">
        <v>86</v>
      </c>
      <c r="J399" s="8"/>
      <c r="K399" s="45"/>
      <c r="L399" s="45"/>
      <c r="M399" s="45"/>
      <c r="N399" s="46"/>
      <c r="O399" s="102">
        <f t="shared" si="119"/>
        <v>0</v>
      </c>
      <c r="P399" s="58"/>
    </row>
    <row r="400" spans="1:16" ht="14.25" thickBot="1" x14ac:dyDescent="0.2">
      <c r="A400" s="15" t="s">
        <v>17</v>
      </c>
      <c r="B400" s="11"/>
      <c r="C400" s="100"/>
      <c r="D400" s="100"/>
      <c r="E400" s="100"/>
      <c r="F400" s="109">
        <v>1</v>
      </c>
      <c r="G400" s="115">
        <f t="shared" si="117"/>
        <v>1</v>
      </c>
      <c r="H400" s="58">
        <v>42844</v>
      </c>
      <c r="I400" s="15" t="s">
        <v>87</v>
      </c>
      <c r="J400" s="47"/>
      <c r="K400" s="48"/>
      <c r="L400" s="48"/>
      <c r="M400" s="48"/>
      <c r="N400" s="49"/>
      <c r="O400" s="40">
        <f t="shared" si="119"/>
        <v>0</v>
      </c>
      <c r="P400" s="68"/>
    </row>
    <row r="401" spans="1:16" ht="14.25" thickBot="1" x14ac:dyDescent="0.2">
      <c r="A401" s="72" t="s">
        <v>7</v>
      </c>
      <c r="B401" s="73">
        <f>SUM(B391:B400)</f>
        <v>21</v>
      </c>
      <c r="C401" s="74">
        <f t="shared" ref="C401:G401" si="120">SUM(C391:C400)</f>
        <v>17</v>
      </c>
      <c r="D401" s="74">
        <f t="shared" si="120"/>
        <v>19</v>
      </c>
      <c r="E401" s="74">
        <f t="shared" si="120"/>
        <v>23</v>
      </c>
      <c r="F401" s="105">
        <f t="shared" si="120"/>
        <v>32</v>
      </c>
      <c r="G401" s="76">
        <f t="shared" si="120"/>
        <v>112</v>
      </c>
      <c r="H401" s="58"/>
      <c r="I401" s="72" t="s">
        <v>7</v>
      </c>
      <c r="J401" s="73">
        <f>SUM(J391:J400)</f>
        <v>214</v>
      </c>
      <c r="K401" s="74">
        <f t="shared" ref="K401:O401" si="121">SUM(K391:K400)</f>
        <v>188</v>
      </c>
      <c r="L401" s="74">
        <f t="shared" si="121"/>
        <v>185</v>
      </c>
      <c r="M401" s="74">
        <f t="shared" si="121"/>
        <v>182</v>
      </c>
      <c r="N401" s="105">
        <f t="shared" si="121"/>
        <v>169</v>
      </c>
      <c r="O401" s="76">
        <f t="shared" si="121"/>
        <v>938</v>
      </c>
    </row>
    <row r="402" spans="1:16" x14ac:dyDescent="0.15">
      <c r="A402" s="16" t="s">
        <v>396</v>
      </c>
      <c r="B402" s="8"/>
      <c r="C402" s="10"/>
      <c r="D402" s="10">
        <v>1</v>
      </c>
      <c r="E402" s="10"/>
      <c r="F402" s="30"/>
      <c r="G402" s="7">
        <f t="shared" ref="G402:G427" si="122">SUM(B402:F402)</f>
        <v>1</v>
      </c>
      <c r="H402" s="58">
        <v>42816</v>
      </c>
      <c r="I402" s="16" t="s">
        <v>398</v>
      </c>
      <c r="J402" s="8"/>
      <c r="K402" s="10">
        <v>5</v>
      </c>
      <c r="L402" s="10"/>
      <c r="M402" s="10">
        <v>10</v>
      </c>
      <c r="N402" s="28"/>
      <c r="O402" s="9">
        <f t="shared" ref="O402:O427" si="123">SUM(J402:N402)</f>
        <v>15</v>
      </c>
      <c r="P402" s="58">
        <v>42818</v>
      </c>
    </row>
    <row r="403" spans="1:16" x14ac:dyDescent="0.15">
      <c r="A403" s="16" t="s">
        <v>25</v>
      </c>
      <c r="B403" s="8"/>
      <c r="C403" s="10"/>
      <c r="D403" s="10"/>
      <c r="E403" s="10">
        <v>1</v>
      </c>
      <c r="F403" s="30"/>
      <c r="G403" s="7">
        <f t="shared" si="122"/>
        <v>1</v>
      </c>
      <c r="H403" s="58">
        <v>42817</v>
      </c>
      <c r="I403" s="16" t="s">
        <v>24</v>
      </c>
      <c r="J403" s="8">
        <v>5</v>
      </c>
      <c r="K403" s="10"/>
      <c r="L403" s="10"/>
      <c r="M403" s="10">
        <v>5</v>
      </c>
      <c r="N403" s="30">
        <v>5</v>
      </c>
      <c r="O403" s="7">
        <f t="shared" si="123"/>
        <v>15</v>
      </c>
      <c r="P403" s="58">
        <v>42823</v>
      </c>
    </row>
    <row r="404" spans="1:16" x14ac:dyDescent="0.15">
      <c r="A404" s="16" t="s">
        <v>25</v>
      </c>
      <c r="B404" s="8"/>
      <c r="C404" s="10"/>
      <c r="D404" s="10"/>
      <c r="E404" s="10">
        <v>1</v>
      </c>
      <c r="F404" s="30"/>
      <c r="G404" s="7">
        <f t="shared" si="122"/>
        <v>1</v>
      </c>
      <c r="H404" s="58">
        <v>42819</v>
      </c>
      <c r="I404" s="16" t="s">
        <v>24</v>
      </c>
      <c r="J404" s="8"/>
      <c r="K404" s="10"/>
      <c r="L404" s="10"/>
      <c r="M404" s="10"/>
      <c r="N404" s="30">
        <v>10</v>
      </c>
      <c r="O404" s="7">
        <f t="shared" si="123"/>
        <v>10</v>
      </c>
      <c r="P404" s="58">
        <v>42838</v>
      </c>
    </row>
    <row r="405" spans="1:16" x14ac:dyDescent="0.15">
      <c r="A405" s="16" t="s">
        <v>399</v>
      </c>
      <c r="B405" s="8">
        <v>5</v>
      </c>
      <c r="C405" s="10">
        <v>5</v>
      </c>
      <c r="D405" s="10">
        <v>5</v>
      </c>
      <c r="E405" s="10">
        <v>3</v>
      </c>
      <c r="F405" s="30">
        <v>3</v>
      </c>
      <c r="G405" s="7">
        <f t="shared" si="122"/>
        <v>21</v>
      </c>
      <c r="H405" s="58">
        <v>42822</v>
      </c>
      <c r="I405" s="16" t="s">
        <v>24</v>
      </c>
      <c r="J405" s="8"/>
      <c r="K405" s="10"/>
      <c r="L405" s="10"/>
      <c r="M405" s="10"/>
      <c r="N405" s="30">
        <v>10</v>
      </c>
      <c r="O405" s="7">
        <f t="shared" si="123"/>
        <v>10</v>
      </c>
      <c r="P405" s="58">
        <v>42872</v>
      </c>
    </row>
    <row r="406" spans="1:16" x14ac:dyDescent="0.15">
      <c r="A406" s="16" t="s">
        <v>401</v>
      </c>
      <c r="B406" s="8"/>
      <c r="C406" s="10"/>
      <c r="D406" s="10"/>
      <c r="E406" s="10"/>
      <c r="F406" s="30">
        <v>1</v>
      </c>
      <c r="G406" s="7">
        <f t="shared" si="122"/>
        <v>1</v>
      </c>
      <c r="H406" s="58">
        <v>42822</v>
      </c>
      <c r="I406" s="16"/>
      <c r="J406" s="8"/>
      <c r="K406" s="10"/>
      <c r="L406" s="10"/>
      <c r="M406" s="10"/>
      <c r="N406" s="30"/>
      <c r="O406" s="7">
        <f t="shared" si="123"/>
        <v>0</v>
      </c>
      <c r="P406" s="58"/>
    </row>
    <row r="407" spans="1:16" x14ac:dyDescent="0.15">
      <c r="A407" s="16" t="s">
        <v>25</v>
      </c>
      <c r="B407" s="8"/>
      <c r="C407" s="10"/>
      <c r="D407" s="10"/>
      <c r="E407" s="10"/>
      <c r="F407" s="30">
        <v>1</v>
      </c>
      <c r="G407" s="7">
        <f t="shared" si="122"/>
        <v>1</v>
      </c>
      <c r="H407" s="58">
        <v>42828</v>
      </c>
      <c r="I407" s="16"/>
      <c r="J407" s="8"/>
      <c r="K407" s="10"/>
      <c r="L407" s="10"/>
      <c r="M407" s="10"/>
      <c r="N407" s="30"/>
      <c r="O407" s="7">
        <f t="shared" si="123"/>
        <v>0</v>
      </c>
      <c r="P407" s="58"/>
    </row>
    <row r="408" spans="1:16" x14ac:dyDescent="0.15">
      <c r="A408" s="16" t="s">
        <v>412</v>
      </c>
      <c r="B408" s="8"/>
      <c r="C408" s="10"/>
      <c r="D408" s="10"/>
      <c r="E408" s="10"/>
      <c r="F408" s="30">
        <v>1</v>
      </c>
      <c r="G408" s="7">
        <f t="shared" si="122"/>
        <v>1</v>
      </c>
      <c r="H408" s="58">
        <v>42830</v>
      </c>
      <c r="I408" s="16"/>
      <c r="J408" s="8"/>
      <c r="K408" s="10"/>
      <c r="L408" s="10"/>
      <c r="M408" s="10"/>
      <c r="N408" s="30"/>
      <c r="O408" s="7">
        <f t="shared" si="123"/>
        <v>0</v>
      </c>
    </row>
    <row r="409" spans="1:16" x14ac:dyDescent="0.15">
      <c r="A409" s="16" t="s">
        <v>25</v>
      </c>
      <c r="B409" s="8"/>
      <c r="C409" s="10"/>
      <c r="D409" s="10"/>
      <c r="E409" s="10"/>
      <c r="F409" s="30">
        <v>1</v>
      </c>
      <c r="G409" s="7">
        <f t="shared" si="122"/>
        <v>1</v>
      </c>
      <c r="H409" s="58">
        <v>42832</v>
      </c>
      <c r="I409" s="16"/>
      <c r="J409" s="8"/>
      <c r="K409" s="10"/>
      <c r="L409" s="10"/>
      <c r="M409" s="10"/>
      <c r="N409" s="30"/>
      <c r="O409" s="7">
        <f t="shared" si="123"/>
        <v>0</v>
      </c>
    </row>
    <row r="410" spans="1:16" x14ac:dyDescent="0.15">
      <c r="A410" s="16" t="s">
        <v>33</v>
      </c>
      <c r="B410" s="8">
        <v>2</v>
      </c>
      <c r="C410" s="10"/>
      <c r="D410" s="10"/>
      <c r="E410" s="10"/>
      <c r="F410" s="30"/>
      <c r="G410" s="7">
        <f t="shared" si="122"/>
        <v>2</v>
      </c>
      <c r="H410" s="58">
        <v>42836</v>
      </c>
      <c r="I410" s="39"/>
      <c r="J410" s="8"/>
      <c r="K410" s="10"/>
      <c r="L410" s="10"/>
      <c r="M410" s="10"/>
      <c r="N410" s="30"/>
      <c r="O410" s="7">
        <f t="shared" si="123"/>
        <v>0</v>
      </c>
    </row>
    <row r="411" spans="1:16" x14ac:dyDescent="0.15">
      <c r="A411" s="16" t="s">
        <v>417</v>
      </c>
      <c r="B411" s="11"/>
      <c r="C411" s="12"/>
      <c r="D411" s="12"/>
      <c r="E411" s="12"/>
      <c r="F411" s="31">
        <v>10</v>
      </c>
      <c r="G411" s="7">
        <f t="shared" si="122"/>
        <v>10</v>
      </c>
      <c r="H411" s="58">
        <v>42842</v>
      </c>
      <c r="I411" s="16"/>
      <c r="J411" s="11"/>
      <c r="K411" s="12"/>
      <c r="L411" s="12"/>
      <c r="M411" s="12"/>
      <c r="N411" s="31"/>
      <c r="O411" s="7">
        <f t="shared" si="123"/>
        <v>0</v>
      </c>
    </row>
    <row r="412" spans="1:16" x14ac:dyDescent="0.15">
      <c r="A412" s="50" t="s">
        <v>432</v>
      </c>
      <c r="B412" s="8">
        <v>1</v>
      </c>
      <c r="C412" s="10"/>
      <c r="D412" s="10"/>
      <c r="E412" s="10"/>
      <c r="F412" s="30"/>
      <c r="G412" s="7">
        <f t="shared" si="122"/>
        <v>1</v>
      </c>
      <c r="H412" s="58">
        <v>42856</v>
      </c>
      <c r="I412" s="16"/>
      <c r="J412" s="8"/>
      <c r="K412" s="10"/>
      <c r="L412" s="10"/>
      <c r="M412" s="10"/>
      <c r="N412" s="30"/>
      <c r="O412" s="7">
        <f t="shared" si="123"/>
        <v>0</v>
      </c>
    </row>
    <row r="413" spans="1:16" x14ac:dyDescent="0.15">
      <c r="A413" s="16" t="s">
        <v>33</v>
      </c>
      <c r="B413" s="8"/>
      <c r="C413" s="10">
        <v>1</v>
      </c>
      <c r="D413" s="10">
        <v>1</v>
      </c>
      <c r="E413" s="10">
        <v>1</v>
      </c>
      <c r="F413" s="30">
        <v>2</v>
      </c>
      <c r="G413" s="7">
        <f t="shared" si="122"/>
        <v>5</v>
      </c>
      <c r="H413" s="58">
        <v>42865</v>
      </c>
      <c r="I413" s="39"/>
      <c r="J413" s="8"/>
      <c r="K413" s="10"/>
      <c r="L413" s="10"/>
      <c r="M413" s="10"/>
      <c r="N413" s="30"/>
      <c r="O413" s="7">
        <f t="shared" si="123"/>
        <v>0</v>
      </c>
    </row>
    <row r="414" spans="1:16" x14ac:dyDescent="0.15">
      <c r="A414" s="16" t="s">
        <v>433</v>
      </c>
      <c r="B414" s="8">
        <v>-6</v>
      </c>
      <c r="C414" s="10">
        <v>-4</v>
      </c>
      <c r="D414" s="10">
        <v>-5</v>
      </c>
      <c r="E414" s="10">
        <v>-5</v>
      </c>
      <c r="F414" s="30">
        <v>-3</v>
      </c>
      <c r="G414" s="7">
        <f t="shared" si="122"/>
        <v>-23</v>
      </c>
      <c r="H414" s="58">
        <v>42857</v>
      </c>
      <c r="I414" s="16"/>
      <c r="J414" s="8"/>
      <c r="K414" s="10"/>
      <c r="L414" s="10"/>
      <c r="M414" s="10"/>
      <c r="N414" s="30"/>
      <c r="O414" s="7">
        <f t="shared" si="123"/>
        <v>0</v>
      </c>
    </row>
    <row r="415" spans="1:16" x14ac:dyDescent="0.15">
      <c r="A415" s="50" t="s">
        <v>435</v>
      </c>
      <c r="B415" s="8">
        <v>2</v>
      </c>
      <c r="C415" s="10"/>
      <c r="D415" s="10"/>
      <c r="E415" s="10"/>
      <c r="F415" s="30"/>
      <c r="G415" s="7">
        <f t="shared" si="122"/>
        <v>2</v>
      </c>
      <c r="H415" s="58">
        <v>42863</v>
      </c>
      <c r="I415" s="16"/>
      <c r="J415" s="8"/>
      <c r="K415" s="10"/>
      <c r="L415" s="10"/>
      <c r="M415" s="10"/>
      <c r="N415" s="30"/>
      <c r="O415" s="7">
        <f t="shared" si="123"/>
        <v>0</v>
      </c>
    </row>
    <row r="416" spans="1:16" x14ac:dyDescent="0.15">
      <c r="A416" s="16" t="s">
        <v>110</v>
      </c>
      <c r="B416" s="8">
        <v>2</v>
      </c>
      <c r="C416" s="10"/>
      <c r="D416" s="10"/>
      <c r="E416" s="10"/>
      <c r="F416" s="30"/>
      <c r="G416" s="7">
        <f t="shared" si="122"/>
        <v>2</v>
      </c>
      <c r="H416" s="58">
        <v>42867</v>
      </c>
      <c r="I416" s="16"/>
      <c r="J416" s="8"/>
      <c r="K416" s="10"/>
      <c r="L416" s="10"/>
      <c r="M416" s="10"/>
      <c r="N416" s="30"/>
      <c r="O416" s="7">
        <f t="shared" si="123"/>
        <v>0</v>
      </c>
    </row>
    <row r="417" spans="1:16" x14ac:dyDescent="0.15">
      <c r="A417" s="16" t="s">
        <v>22</v>
      </c>
      <c r="B417" s="8"/>
      <c r="C417" s="10"/>
      <c r="D417" s="10"/>
      <c r="E417" s="10">
        <v>10</v>
      </c>
      <c r="F417" s="30"/>
      <c r="G417" s="7">
        <f t="shared" si="122"/>
        <v>10</v>
      </c>
      <c r="H417" s="58">
        <v>42870</v>
      </c>
      <c r="I417" s="16"/>
      <c r="J417" s="8"/>
      <c r="K417" s="10"/>
      <c r="L417" s="10"/>
      <c r="M417" s="10"/>
      <c r="N417" s="30"/>
      <c r="O417" s="7">
        <f t="shared" si="123"/>
        <v>0</v>
      </c>
    </row>
    <row r="418" spans="1:16" x14ac:dyDescent="0.15">
      <c r="A418" s="39" t="s">
        <v>438</v>
      </c>
      <c r="B418" s="8"/>
      <c r="C418" s="10"/>
      <c r="D418" s="10"/>
      <c r="E418" s="10"/>
      <c r="F418" s="30">
        <v>1</v>
      </c>
      <c r="G418" s="7">
        <f t="shared" si="122"/>
        <v>1</v>
      </c>
      <c r="H418" s="58">
        <v>42864</v>
      </c>
      <c r="I418" s="14"/>
      <c r="J418" s="8"/>
      <c r="K418" s="10"/>
      <c r="L418" s="10"/>
      <c r="M418" s="10"/>
      <c r="N418" s="30"/>
      <c r="O418" s="7">
        <f t="shared" si="123"/>
        <v>0</v>
      </c>
    </row>
    <row r="419" spans="1:16" x14ac:dyDescent="0.15">
      <c r="A419" s="16" t="s">
        <v>439</v>
      </c>
      <c r="B419" s="8"/>
      <c r="C419" s="10"/>
      <c r="D419" s="10">
        <v>1</v>
      </c>
      <c r="E419" s="10"/>
      <c r="F419" s="30"/>
      <c r="G419" s="7">
        <f t="shared" si="122"/>
        <v>1</v>
      </c>
      <c r="H419" s="58">
        <v>42870</v>
      </c>
      <c r="I419" s="16"/>
      <c r="J419" s="8"/>
      <c r="K419" s="10"/>
      <c r="L419" s="10"/>
      <c r="M419" s="10"/>
      <c r="N419" s="30"/>
      <c r="O419" s="7">
        <f t="shared" si="123"/>
        <v>0</v>
      </c>
    </row>
    <row r="420" spans="1:16" x14ac:dyDescent="0.15">
      <c r="A420" s="16" t="s">
        <v>39</v>
      </c>
      <c r="B420" s="8"/>
      <c r="C420" s="10"/>
      <c r="D420" s="10"/>
      <c r="E420" s="10">
        <v>-1</v>
      </c>
      <c r="F420" s="30"/>
      <c r="G420" s="7">
        <f t="shared" si="122"/>
        <v>-1</v>
      </c>
      <c r="H420" s="58">
        <v>42867</v>
      </c>
      <c r="I420" s="16"/>
      <c r="J420" s="8"/>
      <c r="K420" s="10"/>
      <c r="L420" s="10"/>
      <c r="M420" s="10"/>
      <c r="N420" s="30"/>
      <c r="O420" s="7">
        <f t="shared" si="123"/>
        <v>0</v>
      </c>
    </row>
    <row r="421" spans="1:16" x14ac:dyDescent="0.15">
      <c r="A421" s="16" t="s">
        <v>440</v>
      </c>
      <c r="B421" s="8"/>
      <c r="C421" s="10"/>
      <c r="D421" s="10"/>
      <c r="E421" s="10"/>
      <c r="F421" s="30">
        <v>1</v>
      </c>
      <c r="G421" s="7">
        <f t="shared" si="122"/>
        <v>1</v>
      </c>
      <c r="H421" s="58">
        <v>42871</v>
      </c>
      <c r="I421" s="16"/>
      <c r="J421" s="8"/>
      <c r="K421" s="10"/>
      <c r="L421" s="10"/>
      <c r="M421" s="10"/>
      <c r="N421" s="30"/>
      <c r="O421" s="7">
        <f t="shared" si="123"/>
        <v>0</v>
      </c>
      <c r="P421" s="56"/>
    </row>
    <row r="422" spans="1:16" x14ac:dyDescent="0.15">
      <c r="A422" s="14" t="s">
        <v>441</v>
      </c>
      <c r="B422" s="8"/>
      <c r="C422" s="10"/>
      <c r="D422" s="10"/>
      <c r="E422" s="10"/>
      <c r="F422" s="30">
        <v>-10</v>
      </c>
      <c r="G422" s="7">
        <f t="shared" si="122"/>
        <v>-10</v>
      </c>
      <c r="H422" s="58">
        <v>42872</v>
      </c>
      <c r="I422" s="16"/>
      <c r="J422" s="8"/>
      <c r="K422" s="10"/>
      <c r="L422" s="10"/>
      <c r="M422" s="10"/>
      <c r="N422" s="30"/>
      <c r="O422" s="7">
        <f t="shared" si="123"/>
        <v>0</v>
      </c>
      <c r="P422" s="58"/>
    </row>
    <row r="423" spans="1:16" x14ac:dyDescent="0.15">
      <c r="A423" s="16" t="s">
        <v>29</v>
      </c>
      <c r="B423" s="11"/>
      <c r="C423" s="12"/>
      <c r="D423" s="12"/>
      <c r="E423" s="12">
        <v>1</v>
      </c>
      <c r="F423" s="31"/>
      <c r="G423" s="7">
        <f t="shared" si="122"/>
        <v>1</v>
      </c>
      <c r="H423" s="58">
        <v>42872</v>
      </c>
      <c r="I423" s="50"/>
      <c r="J423" s="8"/>
      <c r="K423" s="10"/>
      <c r="L423" s="10"/>
      <c r="M423" s="10"/>
      <c r="N423" s="30"/>
      <c r="O423" s="7">
        <f t="shared" si="123"/>
        <v>0</v>
      </c>
      <c r="P423" s="58"/>
    </row>
    <row r="424" spans="1:16" x14ac:dyDescent="0.15">
      <c r="A424" s="16" t="s">
        <v>110</v>
      </c>
      <c r="B424" s="8"/>
      <c r="C424" s="10"/>
      <c r="D424" s="10"/>
      <c r="E424" s="10"/>
      <c r="F424" s="30">
        <v>8</v>
      </c>
      <c r="G424" s="7">
        <f t="shared" si="122"/>
        <v>8</v>
      </c>
      <c r="H424" s="58">
        <v>42881</v>
      </c>
      <c r="I424" s="16"/>
      <c r="J424" s="8"/>
      <c r="K424" s="10"/>
      <c r="L424" s="10"/>
      <c r="M424" s="10"/>
      <c r="N424" s="30"/>
      <c r="O424" s="7">
        <f t="shared" si="123"/>
        <v>0</v>
      </c>
      <c r="P424" s="58"/>
    </row>
    <row r="425" spans="1:16" x14ac:dyDescent="0.15">
      <c r="A425" s="14" t="s">
        <v>445</v>
      </c>
      <c r="B425" s="8">
        <v>2</v>
      </c>
      <c r="C425" s="10"/>
      <c r="D425" s="10"/>
      <c r="E425" s="10"/>
      <c r="F425" s="30"/>
      <c r="G425" s="7">
        <f t="shared" si="122"/>
        <v>2</v>
      </c>
      <c r="H425" s="58">
        <v>42881</v>
      </c>
      <c r="I425" s="16"/>
      <c r="J425" s="8"/>
      <c r="K425" s="10"/>
      <c r="L425" s="10"/>
      <c r="M425" s="10"/>
      <c r="N425" s="30"/>
      <c r="O425" s="7">
        <f t="shared" ref="O425" si="124">SUM(J425:N425)</f>
        <v>0</v>
      </c>
      <c r="P425" s="58"/>
    </row>
    <row r="426" spans="1:16" x14ac:dyDescent="0.15">
      <c r="A426" s="14" t="s">
        <v>451</v>
      </c>
      <c r="B426" s="8"/>
      <c r="C426" s="10">
        <v>1</v>
      </c>
      <c r="D426" s="10"/>
      <c r="E426" s="10"/>
      <c r="F426" s="30"/>
      <c r="G426" s="7">
        <f t="shared" si="122"/>
        <v>1</v>
      </c>
      <c r="H426" s="58">
        <v>42884</v>
      </c>
      <c r="I426" s="16"/>
      <c r="J426" s="8"/>
      <c r="K426" s="10"/>
      <c r="L426" s="10"/>
      <c r="M426" s="10"/>
      <c r="N426" s="30"/>
      <c r="O426" s="7">
        <f t="shared" ref="O426" si="125">SUM(J426:N426)</f>
        <v>0</v>
      </c>
      <c r="P426" s="58"/>
    </row>
    <row r="427" spans="1:16" ht="14.25" thickBot="1" x14ac:dyDescent="0.2">
      <c r="A427" s="39" t="s">
        <v>457</v>
      </c>
      <c r="B427" s="11"/>
      <c r="C427" s="12">
        <v>-1</v>
      </c>
      <c r="D427" s="12">
        <v>-1</v>
      </c>
      <c r="E427" s="12">
        <v>-1</v>
      </c>
      <c r="F427" s="31"/>
      <c r="G427" s="7">
        <f t="shared" si="122"/>
        <v>-3</v>
      </c>
      <c r="H427" s="58">
        <v>42886</v>
      </c>
      <c r="I427" s="20"/>
      <c r="J427" s="11"/>
      <c r="K427" s="12"/>
      <c r="L427" s="12"/>
      <c r="M427" s="12"/>
      <c r="N427" s="31"/>
      <c r="O427" s="7">
        <f t="shared" si="123"/>
        <v>0</v>
      </c>
      <c r="P427" s="56"/>
    </row>
    <row r="428" spans="1:16" ht="14.25" thickBot="1" x14ac:dyDescent="0.2">
      <c r="A428" s="3" t="s">
        <v>11</v>
      </c>
      <c r="B428" s="23">
        <f>SUM(B402:B427)</f>
        <v>8</v>
      </c>
      <c r="C428" s="4">
        <f>SUM(C402:C427)</f>
        <v>2</v>
      </c>
      <c r="D428" s="4">
        <f>SUM(D402:D427)</f>
        <v>2</v>
      </c>
      <c r="E428" s="6">
        <f>SUM(E402:E427)</f>
        <v>10</v>
      </c>
      <c r="F428" s="32">
        <f>SUM(F402:F427)</f>
        <v>16</v>
      </c>
      <c r="G428" s="5">
        <f>SUM(B428:F428)</f>
        <v>38</v>
      </c>
      <c r="H428" s="58"/>
      <c r="I428" s="3" t="s">
        <v>11</v>
      </c>
      <c r="J428" s="23">
        <f>SUM(J402:J427)</f>
        <v>5</v>
      </c>
      <c r="K428" s="4">
        <f>SUM(K402:K427)</f>
        <v>5</v>
      </c>
      <c r="L428" s="4">
        <f>SUM(L402:L427)</f>
        <v>0</v>
      </c>
      <c r="M428" s="6">
        <f>SUM(M402:M427)</f>
        <v>15</v>
      </c>
      <c r="N428" s="32">
        <f>SUM(N402:N427)</f>
        <v>25</v>
      </c>
      <c r="O428" s="5">
        <f>SUM(J428:N428)</f>
        <v>50</v>
      </c>
    </row>
    <row r="429" spans="1:16" ht="14.25" thickBot="1" x14ac:dyDescent="0.2">
      <c r="A429" s="25" t="s">
        <v>12</v>
      </c>
      <c r="B429" s="63">
        <f>B401-B428</f>
        <v>13</v>
      </c>
      <c r="C429" s="26">
        <f t="shared" ref="C429:G429" si="126">C401-C428</f>
        <v>15</v>
      </c>
      <c r="D429" s="71">
        <f t="shared" si="126"/>
        <v>17</v>
      </c>
      <c r="E429" s="26">
        <f t="shared" si="126"/>
        <v>13</v>
      </c>
      <c r="F429" s="70">
        <f t="shared" si="126"/>
        <v>16</v>
      </c>
      <c r="G429" s="27">
        <f t="shared" si="126"/>
        <v>74</v>
      </c>
      <c r="H429" s="58"/>
      <c r="I429" s="25" t="s">
        <v>12</v>
      </c>
      <c r="J429" s="63">
        <f>J401-J428</f>
        <v>209</v>
      </c>
      <c r="K429" s="26">
        <f t="shared" ref="K429:O429" si="127">K401-K428</f>
        <v>183</v>
      </c>
      <c r="L429" s="71">
        <f t="shared" si="127"/>
        <v>185</v>
      </c>
      <c r="M429" s="26">
        <f t="shared" si="127"/>
        <v>167</v>
      </c>
      <c r="N429" s="70">
        <f t="shared" si="127"/>
        <v>144</v>
      </c>
      <c r="O429" s="27">
        <f t="shared" si="127"/>
        <v>888</v>
      </c>
    </row>
    <row r="430" spans="1:16" ht="21" x14ac:dyDescent="0.2">
      <c r="A430" s="86" t="s">
        <v>50</v>
      </c>
      <c r="B430" s="87"/>
      <c r="C430" s="87"/>
      <c r="D430" s="87"/>
      <c r="E430" s="87"/>
      <c r="F430" s="87"/>
      <c r="G430" s="87"/>
      <c r="H430" s="58"/>
      <c r="I430" s="86" t="s">
        <v>50</v>
      </c>
      <c r="J430" s="87"/>
      <c r="K430" s="87"/>
      <c r="L430" s="87"/>
      <c r="M430" s="87"/>
      <c r="N430" s="87"/>
      <c r="O430" s="87"/>
    </row>
    <row r="431" spans="1:16" ht="21.75" thickBot="1" x14ac:dyDescent="0.25">
      <c r="A431" s="86" t="s">
        <v>51</v>
      </c>
      <c r="B431" s="87"/>
      <c r="C431" s="87"/>
      <c r="D431" s="87"/>
      <c r="E431" s="85"/>
      <c r="F431" s="88" t="s">
        <v>53</v>
      </c>
      <c r="G431" s="87"/>
      <c r="H431" s="58"/>
      <c r="I431" s="86" t="s">
        <v>51</v>
      </c>
      <c r="J431" s="87"/>
      <c r="K431" s="87"/>
      <c r="L431" s="87"/>
      <c r="M431" s="89"/>
      <c r="N431" s="88" t="s">
        <v>54</v>
      </c>
      <c r="O431" s="87"/>
    </row>
    <row r="432" spans="1:16" ht="14.25" thickBot="1" x14ac:dyDescent="0.2">
      <c r="A432" s="13" t="s">
        <v>0</v>
      </c>
      <c r="B432" s="228" t="s">
        <v>52</v>
      </c>
      <c r="C432" s="229"/>
      <c r="D432" s="229"/>
      <c r="E432" s="229"/>
      <c r="F432" s="230"/>
      <c r="G432" s="231"/>
      <c r="H432" s="58"/>
      <c r="I432" s="13" t="s">
        <v>0</v>
      </c>
      <c r="J432" s="228" t="s">
        <v>49</v>
      </c>
      <c r="K432" s="229"/>
      <c r="L432" s="229"/>
      <c r="M432" s="229"/>
      <c r="N432" s="230"/>
      <c r="O432" s="231"/>
    </row>
    <row r="433" spans="1:16" ht="14.25" thickBot="1" x14ac:dyDescent="0.2">
      <c r="A433" s="3" t="s">
        <v>1</v>
      </c>
      <c r="B433" s="2" t="s">
        <v>42</v>
      </c>
      <c r="C433" s="21" t="s">
        <v>43</v>
      </c>
      <c r="D433" s="21" t="s">
        <v>44</v>
      </c>
      <c r="E433" s="24" t="s">
        <v>45</v>
      </c>
      <c r="F433" s="33" t="s">
        <v>46</v>
      </c>
      <c r="G433" s="3" t="s">
        <v>2</v>
      </c>
      <c r="H433" s="58"/>
      <c r="I433" s="3" t="s">
        <v>1</v>
      </c>
      <c r="J433" s="2" t="s">
        <v>42</v>
      </c>
      <c r="K433" s="21" t="s">
        <v>43</v>
      </c>
      <c r="L433" s="21" t="s">
        <v>44</v>
      </c>
      <c r="M433" s="24" t="s">
        <v>45</v>
      </c>
      <c r="N433" s="33" t="s">
        <v>46</v>
      </c>
      <c r="O433" s="3" t="s">
        <v>2</v>
      </c>
    </row>
    <row r="434" spans="1:16" ht="14.25" thickBot="1" x14ac:dyDescent="0.2">
      <c r="A434" s="72" t="s">
        <v>79</v>
      </c>
      <c r="B434" s="73">
        <f>B429</f>
        <v>13</v>
      </c>
      <c r="C434" s="74">
        <f t="shared" ref="C434:F434" si="128">C429</f>
        <v>15</v>
      </c>
      <c r="D434" s="107">
        <f t="shared" si="128"/>
        <v>17</v>
      </c>
      <c r="E434" s="75">
        <f t="shared" si="128"/>
        <v>13</v>
      </c>
      <c r="F434" s="75">
        <f t="shared" si="128"/>
        <v>16</v>
      </c>
      <c r="G434" s="76">
        <f t="shared" ref="G434:G443" si="129">SUM(B434:F434)</f>
        <v>74</v>
      </c>
      <c r="H434" s="58"/>
      <c r="I434" s="72" t="s">
        <v>79</v>
      </c>
      <c r="J434" s="73">
        <f>J429</f>
        <v>209</v>
      </c>
      <c r="K434" s="74">
        <f t="shared" ref="K434:N434" si="130">K429</f>
        <v>183</v>
      </c>
      <c r="L434" s="107">
        <f t="shared" si="130"/>
        <v>185</v>
      </c>
      <c r="M434" s="75">
        <f t="shared" si="130"/>
        <v>167</v>
      </c>
      <c r="N434" s="75">
        <f t="shared" si="130"/>
        <v>144</v>
      </c>
      <c r="O434" s="76">
        <f t="shared" ref="O434:O443" si="131">SUM(J434:N434)</f>
        <v>888</v>
      </c>
    </row>
    <row r="435" spans="1:16" x14ac:dyDescent="0.15">
      <c r="A435" s="15" t="s">
        <v>271</v>
      </c>
      <c r="B435" s="37">
        <v>1</v>
      </c>
      <c r="C435" s="35"/>
      <c r="D435" s="35"/>
      <c r="E435" s="35"/>
      <c r="F435" s="28"/>
      <c r="G435" s="7">
        <f t="shared" si="129"/>
        <v>1</v>
      </c>
      <c r="H435" s="58">
        <v>42892</v>
      </c>
      <c r="I435" s="38" t="s">
        <v>15</v>
      </c>
      <c r="J435" s="37"/>
      <c r="K435" s="35"/>
      <c r="L435" s="35"/>
      <c r="M435" s="35"/>
      <c r="N435" s="28"/>
      <c r="O435" s="7">
        <f t="shared" si="131"/>
        <v>0</v>
      </c>
    </row>
    <row r="436" spans="1:16" x14ac:dyDescent="0.15">
      <c r="A436" s="15" t="s">
        <v>16</v>
      </c>
      <c r="B436" s="8"/>
      <c r="C436" s="10"/>
      <c r="D436" s="10"/>
      <c r="E436" s="10"/>
      <c r="F436" s="28">
        <v>10</v>
      </c>
      <c r="G436" s="9">
        <f t="shared" si="129"/>
        <v>10</v>
      </c>
      <c r="H436" s="58">
        <v>42900</v>
      </c>
      <c r="I436" s="15" t="s">
        <v>3</v>
      </c>
      <c r="J436" s="8"/>
      <c r="K436" s="10"/>
      <c r="L436" s="10"/>
      <c r="M436" s="10"/>
      <c r="N436" s="28"/>
      <c r="O436" s="9">
        <f t="shared" si="131"/>
        <v>0</v>
      </c>
    </row>
    <row r="437" spans="1:16" x14ac:dyDescent="0.15">
      <c r="A437" s="134" t="s">
        <v>466</v>
      </c>
      <c r="B437" s="8">
        <v>2</v>
      </c>
      <c r="C437" s="10"/>
      <c r="D437" s="10"/>
      <c r="E437" s="10"/>
      <c r="F437" s="28"/>
      <c r="G437" s="9">
        <f t="shared" si="129"/>
        <v>2</v>
      </c>
      <c r="H437" s="58">
        <v>42901</v>
      </c>
      <c r="I437" s="15" t="s">
        <v>4</v>
      </c>
      <c r="J437" s="8"/>
      <c r="K437" s="45"/>
      <c r="L437" s="45"/>
      <c r="M437" s="45"/>
      <c r="N437" s="46"/>
      <c r="O437" s="9">
        <f t="shared" si="131"/>
        <v>0</v>
      </c>
      <c r="P437" s="58"/>
    </row>
    <row r="438" spans="1:16" x14ac:dyDescent="0.15">
      <c r="A438" s="134" t="s">
        <v>468</v>
      </c>
      <c r="B438" s="8">
        <v>1</v>
      </c>
      <c r="C438" s="10"/>
      <c r="D438" s="10"/>
      <c r="E438" s="10"/>
      <c r="F438" s="28"/>
      <c r="G438" s="9">
        <f t="shared" si="129"/>
        <v>1</v>
      </c>
      <c r="H438" s="58">
        <v>42902</v>
      </c>
      <c r="I438" s="15" t="s">
        <v>5</v>
      </c>
      <c r="J438" s="8"/>
      <c r="K438" s="45"/>
      <c r="L438" s="45"/>
      <c r="M438" s="45"/>
      <c r="N438" s="46"/>
      <c r="O438" s="9">
        <f t="shared" si="131"/>
        <v>0</v>
      </c>
      <c r="P438" s="58"/>
    </row>
    <row r="439" spans="1:16" x14ac:dyDescent="0.15">
      <c r="A439" s="15" t="s">
        <v>19</v>
      </c>
      <c r="B439" s="8">
        <v>1</v>
      </c>
      <c r="C439" s="10"/>
      <c r="D439" s="10"/>
      <c r="E439" s="10"/>
      <c r="F439" s="28"/>
      <c r="G439" s="9">
        <f t="shared" si="129"/>
        <v>1</v>
      </c>
      <c r="H439" s="58">
        <v>42908</v>
      </c>
      <c r="I439" s="15" t="s">
        <v>6</v>
      </c>
      <c r="J439" s="8"/>
      <c r="K439" s="45"/>
      <c r="L439" s="45"/>
      <c r="M439" s="45"/>
      <c r="N439" s="46"/>
      <c r="O439" s="9">
        <f t="shared" si="131"/>
        <v>0</v>
      </c>
      <c r="P439" s="58"/>
    </row>
    <row r="440" spans="1:16" x14ac:dyDescent="0.15">
      <c r="A440" s="15" t="s">
        <v>81</v>
      </c>
      <c r="B440" s="8"/>
      <c r="C440" s="10"/>
      <c r="D440" s="10">
        <v>15</v>
      </c>
      <c r="E440" s="10"/>
      <c r="F440" s="28"/>
      <c r="G440" s="9">
        <f t="shared" si="129"/>
        <v>15</v>
      </c>
      <c r="H440" s="58">
        <v>42914</v>
      </c>
      <c r="I440" s="15" t="s">
        <v>84</v>
      </c>
      <c r="J440" s="8"/>
      <c r="K440" s="45"/>
      <c r="L440" s="45"/>
      <c r="M440" s="45"/>
      <c r="N440" s="46"/>
      <c r="O440" s="7">
        <f t="shared" si="131"/>
        <v>0</v>
      </c>
      <c r="P440" s="58"/>
    </row>
    <row r="441" spans="1:16" x14ac:dyDescent="0.15">
      <c r="A441" s="15" t="s">
        <v>82</v>
      </c>
      <c r="B441" s="8"/>
      <c r="C441" s="10"/>
      <c r="D441" s="10"/>
      <c r="E441" s="10">
        <v>15</v>
      </c>
      <c r="F441" s="28"/>
      <c r="G441" s="9">
        <f t="shared" si="129"/>
        <v>15</v>
      </c>
      <c r="H441" s="58">
        <v>42928</v>
      </c>
      <c r="I441" s="15" t="s">
        <v>85</v>
      </c>
      <c r="J441" s="8"/>
      <c r="K441" s="45"/>
      <c r="L441" s="45"/>
      <c r="M441" s="45"/>
      <c r="N441" s="46"/>
      <c r="O441" s="7">
        <f t="shared" si="131"/>
        <v>0</v>
      </c>
      <c r="P441" s="58"/>
    </row>
    <row r="442" spans="1:16" x14ac:dyDescent="0.15">
      <c r="A442" s="15" t="s">
        <v>83</v>
      </c>
      <c r="B442" s="11">
        <v>1</v>
      </c>
      <c r="C442" s="100">
        <v>1</v>
      </c>
      <c r="D442" s="100">
        <v>1</v>
      </c>
      <c r="E442" s="100">
        <v>1</v>
      </c>
      <c r="F442" s="109">
        <v>1</v>
      </c>
      <c r="G442" s="9">
        <f t="shared" si="129"/>
        <v>5</v>
      </c>
      <c r="H442" s="58">
        <v>42931</v>
      </c>
      <c r="I442" s="15" t="s">
        <v>86</v>
      </c>
      <c r="J442" s="8"/>
      <c r="K442" s="45"/>
      <c r="L442" s="45"/>
      <c r="M442" s="45"/>
      <c r="N442" s="46"/>
      <c r="O442" s="102">
        <f t="shared" si="131"/>
        <v>0</v>
      </c>
      <c r="P442" s="58"/>
    </row>
    <row r="443" spans="1:16" ht="14.25" thickBot="1" x14ac:dyDescent="0.2">
      <c r="A443" s="15" t="s">
        <v>159</v>
      </c>
      <c r="B443" s="11"/>
      <c r="C443" s="100"/>
      <c r="D443" s="100"/>
      <c r="E443" s="100"/>
      <c r="F443" s="109">
        <v>5</v>
      </c>
      <c r="G443" s="115">
        <f t="shared" si="129"/>
        <v>5</v>
      </c>
      <c r="H443" s="58">
        <v>42944</v>
      </c>
      <c r="I443" s="15" t="s">
        <v>87</v>
      </c>
      <c r="J443" s="47"/>
      <c r="K443" s="48"/>
      <c r="L443" s="48"/>
      <c r="M443" s="48"/>
      <c r="N443" s="49"/>
      <c r="O443" s="40">
        <f t="shared" si="131"/>
        <v>0</v>
      </c>
      <c r="P443" s="68"/>
    </row>
    <row r="444" spans="1:16" ht="14.25" thickBot="1" x14ac:dyDescent="0.2">
      <c r="A444" s="72" t="s">
        <v>7</v>
      </c>
      <c r="B444" s="73">
        <f>SUM(B434:B443)</f>
        <v>19</v>
      </c>
      <c r="C444" s="74">
        <f t="shared" ref="C444:G444" si="132">SUM(C434:C443)</f>
        <v>16</v>
      </c>
      <c r="D444" s="74">
        <f t="shared" si="132"/>
        <v>33</v>
      </c>
      <c r="E444" s="74">
        <f t="shared" si="132"/>
        <v>29</v>
      </c>
      <c r="F444" s="105">
        <f t="shared" si="132"/>
        <v>32</v>
      </c>
      <c r="G444" s="76">
        <f t="shared" si="132"/>
        <v>129</v>
      </c>
      <c r="H444" s="58"/>
      <c r="I444" s="72" t="s">
        <v>7</v>
      </c>
      <c r="J444" s="73">
        <f>SUM(J434:J443)</f>
        <v>209</v>
      </c>
      <c r="K444" s="74">
        <f t="shared" ref="K444:O444" si="133">SUM(K434:K443)</f>
        <v>183</v>
      </c>
      <c r="L444" s="74">
        <f t="shared" si="133"/>
        <v>185</v>
      </c>
      <c r="M444" s="74">
        <f t="shared" si="133"/>
        <v>167</v>
      </c>
      <c r="N444" s="105">
        <f t="shared" si="133"/>
        <v>144</v>
      </c>
      <c r="O444" s="76">
        <f t="shared" si="133"/>
        <v>888</v>
      </c>
    </row>
    <row r="445" spans="1:16" x14ac:dyDescent="0.15">
      <c r="A445" s="16" t="s">
        <v>110</v>
      </c>
      <c r="B445" s="8"/>
      <c r="C445" s="10"/>
      <c r="D445" s="10">
        <v>3</v>
      </c>
      <c r="E445" s="10"/>
      <c r="F445" s="30"/>
      <c r="G445" s="7">
        <f t="shared" ref="G445:G470" si="134">SUM(B445:F445)</f>
        <v>3</v>
      </c>
      <c r="H445" s="58">
        <v>42898</v>
      </c>
      <c r="I445" s="16" t="s">
        <v>463</v>
      </c>
      <c r="J445" s="8"/>
      <c r="K445" s="10"/>
      <c r="L445" s="10"/>
      <c r="M445" s="10"/>
      <c r="N445" s="28">
        <v>10</v>
      </c>
      <c r="O445" s="9">
        <f t="shared" ref="O445:O470" si="135">SUM(J445:N445)</f>
        <v>10</v>
      </c>
      <c r="P445" s="58">
        <v>42900</v>
      </c>
    </row>
    <row r="446" spans="1:16" x14ac:dyDescent="0.15">
      <c r="A446" s="16" t="s">
        <v>460</v>
      </c>
      <c r="B446" s="8"/>
      <c r="C446" s="10"/>
      <c r="D446" s="10"/>
      <c r="E446" s="10"/>
      <c r="F446" s="30">
        <v>1</v>
      </c>
      <c r="G446" s="7">
        <f t="shared" si="134"/>
        <v>1</v>
      </c>
      <c r="H446" s="58">
        <v>42891</v>
      </c>
      <c r="I446" s="16" t="s">
        <v>24</v>
      </c>
      <c r="J446" s="8"/>
      <c r="K446" s="10"/>
      <c r="L446" s="10">
        <v>15</v>
      </c>
      <c r="M446" s="10"/>
      <c r="N446" s="30"/>
      <c r="O446" s="7">
        <f t="shared" si="135"/>
        <v>15</v>
      </c>
      <c r="P446" s="58">
        <v>42914</v>
      </c>
    </row>
    <row r="447" spans="1:16" x14ac:dyDescent="0.15">
      <c r="A447" s="16" t="s">
        <v>29</v>
      </c>
      <c r="B447" s="8"/>
      <c r="C447" s="10"/>
      <c r="D447" s="10">
        <v>1</v>
      </c>
      <c r="E447" s="10"/>
      <c r="F447" s="30"/>
      <c r="G447" s="7">
        <f t="shared" si="134"/>
        <v>1</v>
      </c>
      <c r="H447" s="58">
        <v>42894</v>
      </c>
      <c r="I447" s="16" t="s">
        <v>24</v>
      </c>
      <c r="J447" s="8"/>
      <c r="K447" s="10"/>
      <c r="L447" s="10"/>
      <c r="M447" s="10">
        <v>15</v>
      </c>
      <c r="N447" s="30"/>
      <c r="O447" s="7">
        <f t="shared" si="135"/>
        <v>15</v>
      </c>
      <c r="P447" s="58">
        <v>42928</v>
      </c>
    </row>
    <row r="448" spans="1:16" x14ac:dyDescent="0.15">
      <c r="A448" s="16" t="s">
        <v>22</v>
      </c>
      <c r="B448" s="8"/>
      <c r="C448" s="10"/>
      <c r="D448" s="10"/>
      <c r="E448" s="10"/>
      <c r="F448" s="30">
        <v>10</v>
      </c>
      <c r="G448" s="7">
        <f t="shared" si="134"/>
        <v>10</v>
      </c>
      <c r="H448" s="58">
        <v>42905</v>
      </c>
      <c r="I448" s="16" t="s">
        <v>24</v>
      </c>
      <c r="J448" s="8"/>
      <c r="K448" s="10"/>
      <c r="L448" s="10"/>
      <c r="M448" s="10"/>
      <c r="N448" s="30">
        <v>5</v>
      </c>
      <c r="O448" s="7">
        <f t="shared" si="135"/>
        <v>5</v>
      </c>
      <c r="P448" s="58">
        <v>42944</v>
      </c>
    </row>
    <row r="449" spans="1:17" x14ac:dyDescent="0.15">
      <c r="A449" s="16" t="s">
        <v>110</v>
      </c>
      <c r="B449" s="8"/>
      <c r="C449" s="10"/>
      <c r="D449" s="10">
        <v>3</v>
      </c>
      <c r="E449" s="10"/>
      <c r="F449" s="30"/>
      <c r="G449" s="7">
        <f t="shared" si="134"/>
        <v>3</v>
      </c>
      <c r="H449" s="58">
        <v>42912</v>
      </c>
      <c r="I449" s="16"/>
      <c r="J449" s="8"/>
      <c r="K449" s="10"/>
      <c r="L449" s="10"/>
      <c r="M449" s="10"/>
      <c r="N449" s="30"/>
      <c r="O449" s="7">
        <f t="shared" si="135"/>
        <v>0</v>
      </c>
      <c r="P449" s="58"/>
    </row>
    <row r="450" spans="1:17" x14ac:dyDescent="0.15">
      <c r="A450" s="16" t="s">
        <v>29</v>
      </c>
      <c r="B450" s="8"/>
      <c r="C450" s="10"/>
      <c r="D450" s="10"/>
      <c r="E450" s="10"/>
      <c r="F450" s="30">
        <v>1</v>
      </c>
      <c r="G450" s="7">
        <f t="shared" si="134"/>
        <v>1</v>
      </c>
      <c r="H450" s="58">
        <v>42912</v>
      </c>
      <c r="I450" s="16"/>
      <c r="J450" s="8"/>
      <c r="K450" s="10"/>
      <c r="L450" s="10"/>
      <c r="M450" s="10"/>
      <c r="N450" s="30"/>
      <c r="O450" s="7">
        <f t="shared" si="135"/>
        <v>0</v>
      </c>
      <c r="P450" s="58"/>
    </row>
    <row r="451" spans="1:17" x14ac:dyDescent="0.15">
      <c r="A451" s="16" t="s">
        <v>22</v>
      </c>
      <c r="B451" s="8"/>
      <c r="C451" s="10"/>
      <c r="D451" s="10">
        <v>10</v>
      </c>
      <c r="E451" s="10"/>
      <c r="F451" s="30"/>
      <c r="G451" s="7">
        <f t="shared" si="134"/>
        <v>10</v>
      </c>
      <c r="H451" s="58">
        <v>42919</v>
      </c>
      <c r="I451" s="16"/>
      <c r="J451" s="8"/>
      <c r="K451" s="10"/>
      <c r="L451" s="10"/>
      <c r="M451" s="10"/>
      <c r="N451" s="30"/>
      <c r="O451" s="7">
        <f t="shared" si="135"/>
        <v>0</v>
      </c>
    </row>
    <row r="452" spans="1:17" x14ac:dyDescent="0.15">
      <c r="A452" s="39" t="s">
        <v>474</v>
      </c>
      <c r="B452" s="8">
        <v>-1</v>
      </c>
      <c r="C452" s="10"/>
      <c r="D452" s="10"/>
      <c r="E452" s="10"/>
      <c r="F452" s="30"/>
      <c r="G452" s="7">
        <f t="shared" si="134"/>
        <v>-1</v>
      </c>
      <c r="H452" s="58">
        <v>42920</v>
      </c>
      <c r="I452" s="16"/>
      <c r="J452" s="8"/>
      <c r="K452" s="10"/>
      <c r="L452" s="10"/>
      <c r="M452" s="10"/>
      <c r="N452" s="30"/>
      <c r="O452" s="7">
        <f t="shared" si="135"/>
        <v>0</v>
      </c>
    </row>
    <row r="453" spans="1:17" x14ac:dyDescent="0.15">
      <c r="A453" s="50" t="s">
        <v>487</v>
      </c>
      <c r="B453" s="8"/>
      <c r="C453" s="10">
        <v>1</v>
      </c>
      <c r="D453" s="10"/>
      <c r="E453" s="10">
        <v>1</v>
      </c>
      <c r="F453" s="30"/>
      <c r="G453" s="7">
        <f t="shared" si="134"/>
        <v>2</v>
      </c>
      <c r="H453" s="58">
        <v>42924</v>
      </c>
      <c r="I453" s="39"/>
      <c r="J453" s="8"/>
      <c r="K453" s="10"/>
      <c r="L453" s="10"/>
      <c r="M453" s="10"/>
      <c r="N453" s="30"/>
      <c r="O453" s="7">
        <f t="shared" si="135"/>
        <v>0</v>
      </c>
    </row>
    <row r="454" spans="1:17" x14ac:dyDescent="0.15">
      <c r="A454" s="16" t="s">
        <v>479</v>
      </c>
      <c r="B454" s="11">
        <v>1</v>
      </c>
      <c r="C454" s="12"/>
      <c r="D454" s="12">
        <v>1</v>
      </c>
      <c r="E454" s="12"/>
      <c r="F454" s="31">
        <v>2</v>
      </c>
      <c r="G454" s="7">
        <f t="shared" si="134"/>
        <v>4</v>
      </c>
      <c r="H454" s="58">
        <v>42927</v>
      </c>
      <c r="I454" s="16"/>
      <c r="J454" s="11"/>
      <c r="K454" s="12"/>
      <c r="L454" s="12"/>
      <c r="M454" s="12"/>
      <c r="N454" s="31"/>
      <c r="O454" s="7">
        <f t="shared" si="135"/>
        <v>0</v>
      </c>
    </row>
    <row r="455" spans="1:17" x14ac:dyDescent="0.15">
      <c r="A455" s="50" t="s">
        <v>482</v>
      </c>
      <c r="B455" s="8"/>
      <c r="C455" s="10">
        <v>1</v>
      </c>
      <c r="D455" s="10">
        <v>1</v>
      </c>
      <c r="E455" s="10"/>
      <c r="F455" s="30"/>
      <c r="G455" s="7">
        <f t="shared" si="134"/>
        <v>2</v>
      </c>
      <c r="H455" s="58">
        <v>42928</v>
      </c>
      <c r="I455" s="16"/>
      <c r="J455" s="8"/>
      <c r="K455" s="10"/>
      <c r="L455" s="10"/>
      <c r="M455" s="10"/>
      <c r="N455" s="30"/>
      <c r="O455" s="7">
        <f t="shared" si="135"/>
        <v>0</v>
      </c>
    </row>
    <row r="456" spans="1:17" x14ac:dyDescent="0.15">
      <c r="A456" s="14" t="s">
        <v>484</v>
      </c>
      <c r="B456" s="8"/>
      <c r="C456" s="10"/>
      <c r="D456" s="10"/>
      <c r="E456" s="10">
        <v>10</v>
      </c>
      <c r="F456" s="30"/>
      <c r="G456" s="7">
        <f t="shared" si="134"/>
        <v>10</v>
      </c>
      <c r="H456" s="58">
        <v>42930</v>
      </c>
      <c r="I456" s="39"/>
      <c r="J456" s="8"/>
      <c r="K456" s="10"/>
      <c r="L456" s="10"/>
      <c r="M456" s="10"/>
      <c r="N456" s="30"/>
      <c r="O456" s="7">
        <f t="shared" si="135"/>
        <v>0</v>
      </c>
    </row>
    <row r="457" spans="1:17" x14ac:dyDescent="0.15">
      <c r="A457" s="16" t="s">
        <v>25</v>
      </c>
      <c r="B457" s="8"/>
      <c r="C457" s="10"/>
      <c r="D457" s="10">
        <v>1</v>
      </c>
      <c r="E457" s="10">
        <v>1</v>
      </c>
      <c r="F457" s="30">
        <v>2</v>
      </c>
      <c r="G457" s="7">
        <f t="shared" si="134"/>
        <v>4</v>
      </c>
      <c r="H457" s="58">
        <v>42929</v>
      </c>
      <c r="I457" s="16"/>
      <c r="J457" s="8"/>
      <c r="K457" s="10"/>
      <c r="L457" s="10"/>
      <c r="M457" s="10"/>
      <c r="N457" s="30"/>
      <c r="O457" s="7">
        <f t="shared" si="135"/>
        <v>0</v>
      </c>
    </row>
    <row r="458" spans="1:17" x14ac:dyDescent="0.15">
      <c r="A458" s="16" t="s">
        <v>25</v>
      </c>
      <c r="B458" s="8">
        <v>1</v>
      </c>
      <c r="C458" s="10"/>
      <c r="D458" s="10"/>
      <c r="E458" s="10"/>
      <c r="F458" s="30"/>
      <c r="G458" s="7">
        <f t="shared" si="134"/>
        <v>1</v>
      </c>
      <c r="H458" s="58">
        <v>42931</v>
      </c>
      <c r="I458" s="16"/>
      <c r="J458" s="8"/>
      <c r="K458" s="10"/>
      <c r="L458" s="10"/>
      <c r="M458" s="10"/>
      <c r="N458" s="30"/>
      <c r="O458" s="7">
        <f t="shared" si="135"/>
        <v>0</v>
      </c>
    </row>
    <row r="459" spans="1:17" x14ac:dyDescent="0.15">
      <c r="A459" s="15" t="s">
        <v>19</v>
      </c>
      <c r="B459" s="8">
        <v>-1</v>
      </c>
      <c r="C459" s="10"/>
      <c r="D459" s="10"/>
      <c r="E459" s="10">
        <v>-1</v>
      </c>
      <c r="F459" s="30">
        <v>-2</v>
      </c>
      <c r="G459" s="7">
        <f t="shared" si="134"/>
        <v>-4</v>
      </c>
      <c r="H459" s="58">
        <v>42936</v>
      </c>
      <c r="I459" s="16"/>
      <c r="J459" s="8"/>
      <c r="K459" s="10"/>
      <c r="L459" s="10"/>
      <c r="M459" s="10"/>
      <c r="N459" s="30"/>
      <c r="O459" s="7">
        <f t="shared" si="135"/>
        <v>0</v>
      </c>
    </row>
    <row r="460" spans="1:17" x14ac:dyDescent="0.15">
      <c r="A460" s="16" t="s">
        <v>25</v>
      </c>
      <c r="B460" s="8"/>
      <c r="C460" s="10"/>
      <c r="D460" s="10"/>
      <c r="E460" s="10"/>
      <c r="F460" s="30">
        <v>1</v>
      </c>
      <c r="G460" s="7">
        <f t="shared" si="134"/>
        <v>1</v>
      </c>
      <c r="H460" s="58">
        <v>42938</v>
      </c>
      <c r="I460" s="16"/>
      <c r="J460" s="8"/>
      <c r="K460" s="10"/>
      <c r="L460" s="10"/>
      <c r="M460" s="10"/>
      <c r="N460" s="30"/>
      <c r="O460" s="7">
        <f t="shared" si="135"/>
        <v>0</v>
      </c>
    </row>
    <row r="461" spans="1:17" x14ac:dyDescent="0.15">
      <c r="A461" s="50" t="s">
        <v>493</v>
      </c>
      <c r="B461" s="8"/>
      <c r="C461" s="10">
        <v>1</v>
      </c>
      <c r="D461" s="10"/>
      <c r="E461" s="10"/>
      <c r="F461" s="30"/>
      <c r="G461" s="7">
        <f t="shared" si="134"/>
        <v>1</v>
      </c>
      <c r="H461" s="58">
        <v>42942</v>
      </c>
      <c r="I461" s="14"/>
      <c r="J461" s="8"/>
      <c r="K461" s="10"/>
      <c r="L461" s="10"/>
      <c r="M461" s="10"/>
      <c r="N461" s="30"/>
      <c r="O461" s="7">
        <f t="shared" si="135"/>
        <v>0</v>
      </c>
    </row>
    <row r="462" spans="1:17" x14ac:dyDescent="0.15">
      <c r="A462" s="16" t="s">
        <v>117</v>
      </c>
      <c r="B462" s="8"/>
      <c r="C462" s="10"/>
      <c r="D462" s="10">
        <v>1</v>
      </c>
      <c r="E462" s="10"/>
      <c r="F462" s="30"/>
      <c r="G462" s="7">
        <f t="shared" si="134"/>
        <v>1</v>
      </c>
      <c r="H462" s="58">
        <v>42941</v>
      </c>
      <c r="I462" s="16"/>
      <c r="J462" s="8"/>
      <c r="K462" s="10"/>
      <c r="L462" s="10"/>
      <c r="M462" s="10"/>
      <c r="N462" s="30"/>
      <c r="O462" s="7">
        <f t="shared" si="135"/>
        <v>0</v>
      </c>
    </row>
    <row r="463" spans="1:17" x14ac:dyDescent="0.15">
      <c r="A463" s="16" t="s">
        <v>110</v>
      </c>
      <c r="B463" s="8"/>
      <c r="C463" s="10"/>
      <c r="D463" s="10"/>
      <c r="E463" s="10"/>
      <c r="F463" s="30">
        <v>3</v>
      </c>
      <c r="G463" s="7">
        <f t="shared" si="134"/>
        <v>3</v>
      </c>
      <c r="H463" s="58">
        <v>42948</v>
      </c>
      <c r="I463" s="16"/>
      <c r="J463" s="8"/>
      <c r="K463" s="10"/>
      <c r="L463" s="10"/>
      <c r="M463" s="10"/>
      <c r="N463" s="30"/>
      <c r="O463" s="7">
        <f t="shared" si="135"/>
        <v>0</v>
      </c>
      <c r="P463" s="56"/>
      <c r="Q463" s="56"/>
    </row>
    <row r="464" spans="1:17" x14ac:dyDescent="0.15">
      <c r="A464" s="15" t="s">
        <v>271</v>
      </c>
      <c r="B464" s="8">
        <v>-1</v>
      </c>
      <c r="C464" s="10"/>
      <c r="D464" s="10"/>
      <c r="E464" s="10"/>
      <c r="F464" s="30"/>
      <c r="G464" s="7">
        <f t="shared" si="134"/>
        <v>-1</v>
      </c>
      <c r="H464" s="58">
        <v>42935</v>
      </c>
      <c r="I464" s="16"/>
      <c r="J464" s="8"/>
      <c r="K464" s="10"/>
      <c r="L464" s="10"/>
      <c r="M464" s="10"/>
      <c r="N464" s="30"/>
      <c r="O464" s="7">
        <f t="shared" si="135"/>
        <v>0</v>
      </c>
      <c r="P464" s="56"/>
      <c r="Q464" s="56"/>
    </row>
    <row r="465" spans="1:17" x14ac:dyDescent="0.15">
      <c r="A465" s="14" t="s">
        <v>496</v>
      </c>
      <c r="B465" s="8"/>
      <c r="C465" s="10"/>
      <c r="D465" s="10"/>
      <c r="E465" s="10">
        <v>-1</v>
      </c>
      <c r="F465" s="30"/>
      <c r="G465" s="7">
        <f t="shared" si="134"/>
        <v>-1</v>
      </c>
      <c r="H465" s="58">
        <v>42943</v>
      </c>
      <c r="I465" s="16"/>
      <c r="J465" s="8"/>
      <c r="K465" s="10"/>
      <c r="L465" s="10"/>
      <c r="M465" s="10"/>
      <c r="N465" s="30"/>
      <c r="O465" s="7">
        <f t="shared" si="135"/>
        <v>0</v>
      </c>
      <c r="P465" s="58"/>
      <c r="Q465" s="56"/>
    </row>
    <row r="466" spans="1:17" x14ac:dyDescent="0.15">
      <c r="A466" s="16" t="s">
        <v>110</v>
      </c>
      <c r="B466" s="11">
        <v>2</v>
      </c>
      <c r="C466" s="12"/>
      <c r="D466" s="12"/>
      <c r="E466" s="12"/>
      <c r="F466" s="31"/>
      <c r="G466" s="7">
        <f t="shared" si="134"/>
        <v>2</v>
      </c>
      <c r="H466" s="58">
        <v>42954</v>
      </c>
      <c r="I466" s="50"/>
      <c r="J466" s="8"/>
      <c r="K466" s="10"/>
      <c r="L466" s="10"/>
      <c r="M466" s="10"/>
      <c r="N466" s="30"/>
      <c r="O466" s="7">
        <f t="shared" si="135"/>
        <v>0</v>
      </c>
      <c r="P466" s="58"/>
      <c r="Q466" s="56"/>
    </row>
    <row r="467" spans="1:17" x14ac:dyDescent="0.15">
      <c r="A467" s="14" t="s">
        <v>215</v>
      </c>
      <c r="B467" s="8"/>
      <c r="C467" s="10">
        <v>1</v>
      </c>
      <c r="D467" s="10"/>
      <c r="E467" s="10"/>
      <c r="F467" s="30"/>
      <c r="G467" s="7">
        <f t="shared" si="134"/>
        <v>1</v>
      </c>
      <c r="H467" s="58">
        <v>42947</v>
      </c>
      <c r="I467" s="16"/>
      <c r="J467" s="8"/>
      <c r="K467" s="10"/>
      <c r="L467" s="10"/>
      <c r="M467" s="10"/>
      <c r="N467" s="30"/>
      <c r="O467" s="7">
        <f t="shared" si="135"/>
        <v>0</v>
      </c>
      <c r="P467" s="58"/>
      <c r="Q467" s="56"/>
    </row>
    <row r="468" spans="1:17" x14ac:dyDescent="0.15">
      <c r="A468" s="16" t="s">
        <v>110</v>
      </c>
      <c r="B468" s="8">
        <v>3</v>
      </c>
      <c r="C468" s="10"/>
      <c r="D468" s="10"/>
      <c r="E468" s="10"/>
      <c r="F468" s="30"/>
      <c r="G468" s="7">
        <f t="shared" si="134"/>
        <v>3</v>
      </c>
      <c r="H468" s="58">
        <v>42956</v>
      </c>
      <c r="I468" s="16"/>
      <c r="J468" s="8"/>
      <c r="K468" s="10"/>
      <c r="L468" s="10"/>
      <c r="M468" s="10"/>
      <c r="N468" s="30"/>
      <c r="O468" s="7">
        <f t="shared" si="135"/>
        <v>0</v>
      </c>
      <c r="P468" s="58"/>
      <c r="Q468" s="56"/>
    </row>
    <row r="469" spans="1:17" x14ac:dyDescent="0.15">
      <c r="A469" s="16" t="s">
        <v>25</v>
      </c>
      <c r="B469" s="8"/>
      <c r="C469" s="10">
        <v>1</v>
      </c>
      <c r="D469" s="10"/>
      <c r="E469" s="10"/>
      <c r="F469" s="30"/>
      <c r="G469" s="7">
        <f t="shared" si="134"/>
        <v>1</v>
      </c>
      <c r="H469" s="58">
        <v>42950</v>
      </c>
      <c r="I469" s="16"/>
      <c r="J469" s="8"/>
      <c r="K469" s="10"/>
      <c r="L469" s="10"/>
      <c r="M469" s="10"/>
      <c r="N469" s="30"/>
      <c r="O469" s="7">
        <f t="shared" si="135"/>
        <v>0</v>
      </c>
      <c r="P469" s="58"/>
    </row>
    <row r="470" spans="1:17" ht="14.25" thickBot="1" x14ac:dyDescent="0.2">
      <c r="A470" s="94"/>
      <c r="B470" s="11"/>
      <c r="C470" s="12"/>
      <c r="D470" s="12"/>
      <c r="E470" s="12"/>
      <c r="F470" s="31"/>
      <c r="G470" s="7">
        <f t="shared" si="134"/>
        <v>0</v>
      </c>
      <c r="H470" s="58"/>
      <c r="I470" s="20"/>
      <c r="J470" s="11"/>
      <c r="K470" s="12"/>
      <c r="L470" s="12"/>
      <c r="M470" s="12"/>
      <c r="N470" s="31"/>
      <c r="O470" s="7">
        <f t="shared" si="135"/>
        <v>0</v>
      </c>
      <c r="P470" s="56"/>
    </row>
    <row r="471" spans="1:17" ht="14.25" thickBot="1" x14ac:dyDescent="0.2">
      <c r="A471" s="3" t="s">
        <v>11</v>
      </c>
      <c r="B471" s="23">
        <f>SUM(B445:B470)</f>
        <v>4</v>
      </c>
      <c r="C471" s="4">
        <f>SUM(C445:C470)</f>
        <v>5</v>
      </c>
      <c r="D471" s="4">
        <f>SUM(D445:D470)</f>
        <v>21</v>
      </c>
      <c r="E471" s="6">
        <f>SUM(E445:E470)</f>
        <v>10</v>
      </c>
      <c r="F471" s="32">
        <f>SUM(F445:F470)</f>
        <v>18</v>
      </c>
      <c r="G471" s="5">
        <f>SUM(B471:F471)</f>
        <v>58</v>
      </c>
      <c r="H471" s="58"/>
      <c r="I471" s="3" t="s">
        <v>11</v>
      </c>
      <c r="J471" s="23">
        <f>SUM(J445:J470)</f>
        <v>0</v>
      </c>
      <c r="K471" s="4">
        <f>SUM(K445:K470)</f>
        <v>0</v>
      </c>
      <c r="L471" s="4">
        <f>SUM(L445:L470)</f>
        <v>15</v>
      </c>
      <c r="M471" s="6">
        <f>SUM(M445:M470)</f>
        <v>15</v>
      </c>
      <c r="N471" s="32">
        <f>SUM(N445:N470)</f>
        <v>15</v>
      </c>
      <c r="O471" s="5">
        <f>SUM(J471:N471)</f>
        <v>45</v>
      </c>
    </row>
    <row r="472" spans="1:17" ht="14.25" thickBot="1" x14ac:dyDescent="0.2">
      <c r="A472" s="25" t="s">
        <v>12</v>
      </c>
      <c r="B472" s="63">
        <f>B444-B471</f>
        <v>15</v>
      </c>
      <c r="C472" s="26">
        <f t="shared" ref="C472:G472" si="136">C444-C471</f>
        <v>11</v>
      </c>
      <c r="D472" s="71">
        <f t="shared" si="136"/>
        <v>12</v>
      </c>
      <c r="E472" s="26">
        <f t="shared" si="136"/>
        <v>19</v>
      </c>
      <c r="F472" s="70">
        <f t="shared" si="136"/>
        <v>14</v>
      </c>
      <c r="G472" s="27">
        <f t="shared" si="136"/>
        <v>71</v>
      </c>
      <c r="H472" s="58"/>
      <c r="I472" s="25" t="s">
        <v>12</v>
      </c>
      <c r="J472" s="63">
        <f>J444-J471</f>
        <v>209</v>
      </c>
      <c r="K472" s="26">
        <f t="shared" ref="K472:O472" si="137">K444-K471</f>
        <v>183</v>
      </c>
      <c r="L472" s="71">
        <f t="shared" si="137"/>
        <v>170</v>
      </c>
      <c r="M472" s="26">
        <f t="shared" si="137"/>
        <v>152</v>
      </c>
      <c r="N472" s="70">
        <f t="shared" si="137"/>
        <v>129</v>
      </c>
      <c r="O472" s="27">
        <f t="shared" si="137"/>
        <v>843</v>
      </c>
    </row>
    <row r="473" spans="1:17" ht="21" x14ac:dyDescent="0.2">
      <c r="A473" s="86" t="s">
        <v>50</v>
      </c>
      <c r="B473" s="87"/>
      <c r="C473" s="87"/>
      <c r="D473" s="87"/>
      <c r="E473" s="87"/>
      <c r="F473" s="87"/>
      <c r="G473" s="87"/>
      <c r="H473" s="58"/>
      <c r="I473" s="86" t="s">
        <v>50</v>
      </c>
      <c r="J473" s="87"/>
      <c r="K473" s="87"/>
      <c r="L473" s="87"/>
      <c r="M473" s="87"/>
      <c r="N473" s="87"/>
      <c r="O473" s="87"/>
    </row>
    <row r="474" spans="1:17" ht="21.75" thickBot="1" x14ac:dyDescent="0.25">
      <c r="A474" s="86" t="s">
        <v>51</v>
      </c>
      <c r="B474" s="87"/>
      <c r="C474" s="87"/>
      <c r="D474" s="87"/>
      <c r="E474" s="85"/>
      <c r="F474" s="88" t="s">
        <v>53</v>
      </c>
      <c r="G474" s="87"/>
      <c r="H474" s="58"/>
      <c r="I474" s="86" t="s">
        <v>51</v>
      </c>
      <c r="J474" s="87"/>
      <c r="K474" s="87"/>
      <c r="L474" s="87"/>
      <c r="M474" s="89"/>
      <c r="N474" s="88" t="s">
        <v>54</v>
      </c>
      <c r="O474" s="87"/>
    </row>
    <row r="475" spans="1:17" ht="14.25" thickBot="1" x14ac:dyDescent="0.2">
      <c r="A475" s="13" t="s">
        <v>0</v>
      </c>
      <c r="B475" s="228" t="s">
        <v>52</v>
      </c>
      <c r="C475" s="229"/>
      <c r="D475" s="229"/>
      <c r="E475" s="229"/>
      <c r="F475" s="230"/>
      <c r="G475" s="231"/>
      <c r="H475" s="58"/>
      <c r="I475" s="13" t="s">
        <v>0</v>
      </c>
      <c r="J475" s="228" t="s">
        <v>49</v>
      </c>
      <c r="K475" s="229"/>
      <c r="L475" s="229"/>
      <c r="M475" s="229"/>
      <c r="N475" s="230"/>
      <c r="O475" s="231"/>
    </row>
    <row r="476" spans="1:17" ht="14.25" thickBot="1" x14ac:dyDescent="0.2">
      <c r="A476" s="3" t="s">
        <v>1</v>
      </c>
      <c r="B476" s="2" t="s">
        <v>42</v>
      </c>
      <c r="C476" s="21" t="s">
        <v>43</v>
      </c>
      <c r="D476" s="21" t="s">
        <v>44</v>
      </c>
      <c r="E476" s="24" t="s">
        <v>45</v>
      </c>
      <c r="F476" s="33" t="s">
        <v>46</v>
      </c>
      <c r="G476" s="3" t="s">
        <v>2</v>
      </c>
      <c r="H476" s="58"/>
      <c r="I476" s="3" t="s">
        <v>1</v>
      </c>
      <c r="J476" s="2" t="s">
        <v>42</v>
      </c>
      <c r="K476" s="21" t="s">
        <v>43</v>
      </c>
      <c r="L476" s="21" t="s">
        <v>44</v>
      </c>
      <c r="M476" s="24" t="s">
        <v>45</v>
      </c>
      <c r="N476" s="33" t="s">
        <v>46</v>
      </c>
      <c r="O476" s="3" t="s">
        <v>2</v>
      </c>
    </row>
    <row r="477" spans="1:17" ht="14.25" thickBot="1" x14ac:dyDescent="0.2">
      <c r="A477" s="72" t="s">
        <v>79</v>
      </c>
      <c r="B477" s="73">
        <f>B472</f>
        <v>15</v>
      </c>
      <c r="C477" s="74">
        <f t="shared" ref="C477:F477" si="138">C472</f>
        <v>11</v>
      </c>
      <c r="D477" s="107">
        <f t="shared" si="138"/>
        <v>12</v>
      </c>
      <c r="E477" s="75">
        <f t="shared" si="138"/>
        <v>19</v>
      </c>
      <c r="F477" s="75">
        <f t="shared" si="138"/>
        <v>14</v>
      </c>
      <c r="G477" s="76">
        <f t="shared" ref="G477:G486" si="139">SUM(B477:F477)</f>
        <v>71</v>
      </c>
      <c r="H477" s="58"/>
      <c r="I477" s="72" t="s">
        <v>79</v>
      </c>
      <c r="J477" s="73">
        <f>J472</f>
        <v>209</v>
      </c>
      <c r="K477" s="74">
        <f t="shared" ref="K477:N477" si="140">K472</f>
        <v>183</v>
      </c>
      <c r="L477" s="107">
        <f t="shared" si="140"/>
        <v>170</v>
      </c>
      <c r="M477" s="75">
        <f t="shared" si="140"/>
        <v>152</v>
      </c>
      <c r="N477" s="75">
        <f t="shared" si="140"/>
        <v>129</v>
      </c>
      <c r="O477" s="76">
        <f t="shared" ref="O477:O486" si="141">SUM(J477:N477)</f>
        <v>843</v>
      </c>
    </row>
    <row r="478" spans="1:17" x14ac:dyDescent="0.15">
      <c r="A478" s="15" t="s">
        <v>15</v>
      </c>
      <c r="B478" s="37"/>
      <c r="C478" s="35"/>
      <c r="D478" s="35"/>
      <c r="E478" s="35">
        <v>5</v>
      </c>
      <c r="F478" s="28"/>
      <c r="G478" s="7">
        <f t="shared" si="139"/>
        <v>5</v>
      </c>
      <c r="H478" s="58">
        <v>42956</v>
      </c>
      <c r="I478" s="38" t="s">
        <v>15</v>
      </c>
      <c r="J478" s="37"/>
      <c r="K478" s="35"/>
      <c r="L478" s="35"/>
      <c r="M478" s="35"/>
      <c r="N478" s="28"/>
      <c r="O478" s="7">
        <f t="shared" si="141"/>
        <v>0</v>
      </c>
    </row>
    <row r="479" spans="1:17" x14ac:dyDescent="0.15">
      <c r="A479" s="15" t="s">
        <v>19</v>
      </c>
      <c r="B479" s="8"/>
      <c r="C479" s="10">
        <v>1</v>
      </c>
      <c r="D479" s="10"/>
      <c r="E479" s="10"/>
      <c r="F479" s="28"/>
      <c r="G479" s="9">
        <f t="shared" si="139"/>
        <v>1</v>
      </c>
      <c r="H479" s="58">
        <v>42963</v>
      </c>
      <c r="I479" s="15" t="s">
        <v>3</v>
      </c>
      <c r="J479" s="8"/>
      <c r="K479" s="10"/>
      <c r="L479" s="10"/>
      <c r="M479" s="10"/>
      <c r="N479" s="28"/>
      <c r="O479" s="9">
        <f t="shared" si="141"/>
        <v>0</v>
      </c>
    </row>
    <row r="480" spans="1:17" x14ac:dyDescent="0.15">
      <c r="A480" s="15" t="s">
        <v>383</v>
      </c>
      <c r="B480" s="8"/>
      <c r="C480" s="10">
        <v>1</v>
      </c>
      <c r="D480" s="10">
        <v>1</v>
      </c>
      <c r="E480" s="10"/>
      <c r="F480" s="28"/>
      <c r="G480" s="9">
        <f t="shared" si="139"/>
        <v>2</v>
      </c>
      <c r="H480" s="58">
        <v>42973</v>
      </c>
      <c r="I480" s="15" t="s">
        <v>4</v>
      </c>
      <c r="J480" s="8"/>
      <c r="K480" s="45"/>
      <c r="L480" s="45"/>
      <c r="M480" s="45"/>
      <c r="N480" s="46"/>
      <c r="O480" s="9">
        <f t="shared" si="141"/>
        <v>0</v>
      </c>
      <c r="P480" s="58"/>
    </row>
    <row r="481" spans="1:16" x14ac:dyDescent="0.15">
      <c r="A481" s="15" t="s">
        <v>411</v>
      </c>
      <c r="B481" s="8"/>
      <c r="C481" s="10"/>
      <c r="D481" s="10"/>
      <c r="E481" s="10"/>
      <c r="F481" s="28">
        <v>1</v>
      </c>
      <c r="G481" s="9">
        <f t="shared" si="139"/>
        <v>1</v>
      </c>
      <c r="H481" s="58">
        <v>42973</v>
      </c>
      <c r="I481" s="15" t="s">
        <v>5</v>
      </c>
      <c r="J481" s="8"/>
      <c r="K481" s="45"/>
      <c r="L481" s="45"/>
      <c r="M481" s="45"/>
      <c r="N481" s="46"/>
      <c r="O481" s="9">
        <f t="shared" si="141"/>
        <v>0</v>
      </c>
      <c r="P481" s="58"/>
    </row>
    <row r="482" spans="1:16" x14ac:dyDescent="0.15">
      <c r="A482" s="15" t="s">
        <v>261</v>
      </c>
      <c r="B482" s="8"/>
      <c r="C482" s="10"/>
      <c r="D482" s="10"/>
      <c r="E482" s="10">
        <v>1</v>
      </c>
      <c r="F482" s="28"/>
      <c r="G482" s="9">
        <f t="shared" si="139"/>
        <v>1</v>
      </c>
      <c r="H482" s="58">
        <v>42977</v>
      </c>
      <c r="I482" s="15" t="s">
        <v>6</v>
      </c>
      <c r="J482" s="8"/>
      <c r="K482" s="45"/>
      <c r="L482" s="45"/>
      <c r="M482" s="45"/>
      <c r="N482" s="46"/>
      <c r="O482" s="9">
        <f t="shared" si="141"/>
        <v>0</v>
      </c>
      <c r="P482" s="58"/>
    </row>
    <row r="483" spans="1:16" x14ac:dyDescent="0.15">
      <c r="A483" s="15" t="s">
        <v>81</v>
      </c>
      <c r="B483" s="8"/>
      <c r="C483" s="10"/>
      <c r="D483" s="10">
        <v>5</v>
      </c>
      <c r="E483" s="10"/>
      <c r="F483" s="28">
        <v>5</v>
      </c>
      <c r="G483" s="9">
        <f t="shared" si="139"/>
        <v>10</v>
      </c>
      <c r="H483" s="58">
        <v>42994</v>
      </c>
      <c r="I483" s="15" t="s">
        <v>84</v>
      </c>
      <c r="J483" s="8"/>
      <c r="K483" s="45"/>
      <c r="L483" s="45"/>
      <c r="M483" s="45"/>
      <c r="N483" s="46"/>
      <c r="O483" s="7">
        <f t="shared" si="141"/>
        <v>0</v>
      </c>
      <c r="P483" s="58"/>
    </row>
    <row r="484" spans="1:16" x14ac:dyDescent="0.15">
      <c r="A484" s="15" t="s">
        <v>383</v>
      </c>
      <c r="B484" s="8">
        <v>1</v>
      </c>
      <c r="C484" s="10"/>
      <c r="D484" s="10"/>
      <c r="E484" s="10">
        <v>1</v>
      </c>
      <c r="F484" s="28">
        <v>1</v>
      </c>
      <c r="G484" s="9">
        <f t="shared" si="139"/>
        <v>3</v>
      </c>
      <c r="H484" s="58">
        <v>42994</v>
      </c>
      <c r="I484" s="15" t="s">
        <v>85</v>
      </c>
      <c r="J484" s="8"/>
      <c r="K484" s="45"/>
      <c r="L484" s="45"/>
      <c r="M484" s="45"/>
      <c r="N484" s="46"/>
      <c r="O484" s="7">
        <f t="shared" si="141"/>
        <v>0</v>
      </c>
      <c r="P484" s="58"/>
    </row>
    <row r="485" spans="1:16" x14ac:dyDescent="0.15">
      <c r="A485" s="15" t="s">
        <v>19</v>
      </c>
      <c r="B485" s="11"/>
      <c r="C485" s="100"/>
      <c r="D485" s="100"/>
      <c r="E485" s="100">
        <v>1</v>
      </c>
      <c r="F485" s="109"/>
      <c r="G485" s="9">
        <f t="shared" si="139"/>
        <v>1</v>
      </c>
      <c r="H485" s="58">
        <v>43003</v>
      </c>
      <c r="I485" s="15" t="s">
        <v>86</v>
      </c>
      <c r="J485" s="8"/>
      <c r="K485" s="45"/>
      <c r="L485" s="45"/>
      <c r="M485" s="45"/>
      <c r="N485" s="46"/>
      <c r="O485" s="102">
        <f t="shared" si="141"/>
        <v>0</v>
      </c>
      <c r="P485" s="58"/>
    </row>
    <row r="486" spans="1:16" ht="14.25" thickBot="1" x14ac:dyDescent="0.2">
      <c r="A486" s="15" t="s">
        <v>383</v>
      </c>
      <c r="B486" s="11"/>
      <c r="C486" s="100"/>
      <c r="D486" s="100"/>
      <c r="E486" s="100"/>
      <c r="F486" s="109">
        <v>1</v>
      </c>
      <c r="G486" s="115">
        <f t="shared" si="139"/>
        <v>1</v>
      </c>
      <c r="H486" s="58">
        <v>43004</v>
      </c>
      <c r="I486" s="15" t="s">
        <v>87</v>
      </c>
      <c r="J486" s="47"/>
      <c r="K486" s="48"/>
      <c r="L486" s="48"/>
      <c r="M486" s="48"/>
      <c r="N486" s="49"/>
      <c r="O486" s="40">
        <f t="shared" si="141"/>
        <v>0</v>
      </c>
      <c r="P486" s="68"/>
    </row>
    <row r="487" spans="1:16" ht="14.25" thickBot="1" x14ac:dyDescent="0.2">
      <c r="A487" s="72" t="s">
        <v>7</v>
      </c>
      <c r="B487" s="73">
        <f>SUM(B477:B486)</f>
        <v>16</v>
      </c>
      <c r="C487" s="74">
        <f t="shared" ref="C487:G487" si="142">SUM(C477:C486)</f>
        <v>13</v>
      </c>
      <c r="D487" s="74">
        <f t="shared" si="142"/>
        <v>18</v>
      </c>
      <c r="E487" s="74">
        <f t="shared" si="142"/>
        <v>27</v>
      </c>
      <c r="F487" s="105">
        <f t="shared" si="142"/>
        <v>22</v>
      </c>
      <c r="G487" s="76">
        <f t="shared" si="142"/>
        <v>96</v>
      </c>
      <c r="H487" s="58"/>
      <c r="I487" s="72" t="s">
        <v>7</v>
      </c>
      <c r="J487" s="73">
        <f>SUM(J477:J486)</f>
        <v>209</v>
      </c>
      <c r="K487" s="74">
        <f t="shared" ref="K487:O487" si="143">SUM(K477:K486)</f>
        <v>183</v>
      </c>
      <c r="L487" s="74">
        <f t="shared" si="143"/>
        <v>170</v>
      </c>
      <c r="M487" s="74">
        <f t="shared" si="143"/>
        <v>152</v>
      </c>
      <c r="N487" s="105">
        <f t="shared" si="143"/>
        <v>129</v>
      </c>
      <c r="O487" s="76">
        <f t="shared" si="143"/>
        <v>843</v>
      </c>
    </row>
    <row r="488" spans="1:16" x14ac:dyDescent="0.15">
      <c r="A488" s="16" t="s">
        <v>110</v>
      </c>
      <c r="B488" s="8"/>
      <c r="C488" s="10"/>
      <c r="D488" s="10"/>
      <c r="E488" s="10"/>
      <c r="F488" s="30">
        <v>3</v>
      </c>
      <c r="G488" s="7">
        <f t="shared" ref="G488:G513" si="144">SUM(B488:F488)</f>
        <v>3</v>
      </c>
      <c r="H488" s="58">
        <v>42964</v>
      </c>
      <c r="I488" s="16" t="s">
        <v>509</v>
      </c>
      <c r="J488" s="8"/>
      <c r="K488" s="10"/>
      <c r="L488" s="10"/>
      <c r="M488" s="10">
        <v>5</v>
      </c>
      <c r="N488" s="28"/>
      <c r="O488" s="9">
        <f t="shared" ref="O488:O513" si="145">SUM(J488:N488)</f>
        <v>5</v>
      </c>
      <c r="P488" s="58">
        <v>42956</v>
      </c>
    </row>
    <row r="489" spans="1:16" x14ac:dyDescent="0.15">
      <c r="A489" s="14" t="s">
        <v>22</v>
      </c>
      <c r="B489" s="8"/>
      <c r="C489" s="10"/>
      <c r="D489" s="10"/>
      <c r="E489" s="10">
        <v>10</v>
      </c>
      <c r="F489" s="30"/>
      <c r="G489" s="7">
        <f t="shared" si="144"/>
        <v>10</v>
      </c>
      <c r="H489" s="58">
        <v>42965</v>
      </c>
      <c r="I489" s="16" t="s">
        <v>24</v>
      </c>
      <c r="J489" s="8"/>
      <c r="K489" s="10"/>
      <c r="L489" s="10">
        <v>5</v>
      </c>
      <c r="M489" s="10"/>
      <c r="N489" s="30">
        <v>5</v>
      </c>
      <c r="O489" s="7">
        <f t="shared" si="145"/>
        <v>10</v>
      </c>
      <c r="P489" s="58">
        <v>42994</v>
      </c>
    </row>
    <row r="490" spans="1:16" x14ac:dyDescent="0.15">
      <c r="A490" s="16" t="s">
        <v>512</v>
      </c>
      <c r="B490" s="8"/>
      <c r="C490" s="10"/>
      <c r="D490" s="10"/>
      <c r="E490" s="10">
        <v>1</v>
      </c>
      <c r="F490" s="30"/>
      <c r="G490" s="7">
        <f t="shared" si="144"/>
        <v>1</v>
      </c>
      <c r="H490" s="58">
        <v>42964</v>
      </c>
      <c r="I490" s="16" t="s">
        <v>24</v>
      </c>
      <c r="J490" s="8"/>
      <c r="K490" s="10"/>
      <c r="L490" s="10">
        <v>10</v>
      </c>
      <c r="M490" s="10">
        <v>10</v>
      </c>
      <c r="N490" s="30"/>
      <c r="O490" s="7">
        <f t="shared" si="145"/>
        <v>20</v>
      </c>
      <c r="P490" s="58">
        <v>43019</v>
      </c>
    </row>
    <row r="491" spans="1:16" x14ac:dyDescent="0.15">
      <c r="A491" s="50" t="s">
        <v>515</v>
      </c>
      <c r="B491" s="8"/>
      <c r="C491" s="10"/>
      <c r="D491" s="10">
        <v>1</v>
      </c>
      <c r="E491" s="10"/>
      <c r="F491" s="30"/>
      <c r="G491" s="7">
        <f t="shared" si="144"/>
        <v>1</v>
      </c>
      <c r="H491" s="58">
        <v>42966</v>
      </c>
      <c r="I491" s="16"/>
      <c r="J491" s="8"/>
      <c r="K491" s="10"/>
      <c r="L491" s="10"/>
      <c r="M491" s="10"/>
      <c r="N491" s="30"/>
      <c r="O491" s="7">
        <f t="shared" si="145"/>
        <v>0</v>
      </c>
      <c r="P491" s="58"/>
    </row>
    <row r="492" spans="1:16" x14ac:dyDescent="0.15">
      <c r="A492" s="16" t="s">
        <v>182</v>
      </c>
      <c r="B492" s="8"/>
      <c r="C492" s="10"/>
      <c r="D492" s="10">
        <v>1</v>
      </c>
      <c r="E492" s="10"/>
      <c r="F492" s="30"/>
      <c r="G492" s="7">
        <f t="shared" si="144"/>
        <v>1</v>
      </c>
      <c r="H492" s="58">
        <v>42972</v>
      </c>
      <c r="I492" s="16"/>
      <c r="J492" s="8"/>
      <c r="K492" s="10"/>
      <c r="L492" s="10"/>
      <c r="M492" s="10"/>
      <c r="N492" s="30"/>
      <c r="O492" s="7">
        <f t="shared" si="145"/>
        <v>0</v>
      </c>
      <c r="P492" s="58"/>
    </row>
    <row r="493" spans="1:16" x14ac:dyDescent="0.15">
      <c r="A493" s="16" t="s">
        <v>519</v>
      </c>
      <c r="B493" s="8"/>
      <c r="C493" s="10"/>
      <c r="D493" s="10"/>
      <c r="E493" s="10">
        <v>-1</v>
      </c>
      <c r="F493" s="30"/>
      <c r="G493" s="7">
        <f t="shared" si="144"/>
        <v>-1</v>
      </c>
      <c r="H493" s="58">
        <v>42975</v>
      </c>
      <c r="I493" s="16"/>
      <c r="J493" s="8"/>
      <c r="K493" s="10"/>
      <c r="L493" s="10"/>
      <c r="M493" s="10"/>
      <c r="N493" s="30"/>
      <c r="O493" s="7">
        <f t="shared" si="145"/>
        <v>0</v>
      </c>
      <c r="P493" s="58"/>
    </row>
    <row r="494" spans="1:16" x14ac:dyDescent="0.15">
      <c r="A494" s="16" t="s">
        <v>520</v>
      </c>
      <c r="B494" s="8"/>
      <c r="C494" s="10">
        <v>1</v>
      </c>
      <c r="D494" s="10"/>
      <c r="E494" s="10"/>
      <c r="F494" s="30"/>
      <c r="G494" s="7">
        <f t="shared" si="144"/>
        <v>1</v>
      </c>
      <c r="H494" s="58">
        <v>42976</v>
      </c>
      <c r="I494" s="16"/>
      <c r="J494" s="8"/>
      <c r="K494" s="10"/>
      <c r="L494" s="10"/>
      <c r="M494" s="10"/>
      <c r="N494" s="30"/>
      <c r="O494" s="7">
        <f t="shared" si="145"/>
        <v>0</v>
      </c>
    </row>
    <row r="495" spans="1:16" x14ac:dyDescent="0.15">
      <c r="A495" s="39" t="s">
        <v>523</v>
      </c>
      <c r="B495" s="8"/>
      <c r="C495" s="10">
        <v>1</v>
      </c>
      <c r="D495" s="10"/>
      <c r="E495" s="10"/>
      <c r="F495" s="30"/>
      <c r="G495" s="7">
        <f t="shared" si="144"/>
        <v>1</v>
      </c>
      <c r="H495" s="58">
        <v>42976</v>
      </c>
      <c r="I495" s="16"/>
      <c r="J495" s="8"/>
      <c r="K495" s="10"/>
      <c r="L495" s="10"/>
      <c r="M495" s="10"/>
      <c r="N495" s="30"/>
      <c r="O495" s="7">
        <f t="shared" si="145"/>
        <v>0</v>
      </c>
    </row>
    <row r="496" spans="1:16" x14ac:dyDescent="0.15">
      <c r="A496" s="50" t="s">
        <v>524</v>
      </c>
      <c r="B496" s="8"/>
      <c r="C496" s="10"/>
      <c r="D496" s="10"/>
      <c r="E496" s="10"/>
      <c r="F496" s="30">
        <v>1</v>
      </c>
      <c r="G496" s="7">
        <f t="shared" si="144"/>
        <v>1</v>
      </c>
      <c r="H496" s="58">
        <v>42978</v>
      </c>
      <c r="I496" s="39"/>
      <c r="J496" s="8"/>
      <c r="K496" s="10"/>
      <c r="L496" s="10"/>
      <c r="M496" s="10"/>
      <c r="N496" s="30"/>
      <c r="O496" s="7">
        <f t="shared" si="145"/>
        <v>0</v>
      </c>
    </row>
    <row r="497" spans="1:16" x14ac:dyDescent="0.15">
      <c r="A497" s="16" t="s">
        <v>110</v>
      </c>
      <c r="B497" s="11">
        <v>2</v>
      </c>
      <c r="C497" s="12"/>
      <c r="D497" s="12"/>
      <c r="E497" s="12"/>
      <c r="F497" s="31"/>
      <c r="G497" s="7">
        <f t="shared" si="144"/>
        <v>2</v>
      </c>
      <c r="H497" s="58">
        <v>42989</v>
      </c>
      <c r="I497" s="16"/>
      <c r="J497" s="11"/>
      <c r="K497" s="12"/>
      <c r="L497" s="12"/>
      <c r="M497" s="12"/>
      <c r="N497" s="31"/>
      <c r="O497" s="7">
        <f t="shared" si="145"/>
        <v>0</v>
      </c>
    </row>
    <row r="498" spans="1:16" x14ac:dyDescent="0.15">
      <c r="A498" s="50" t="s">
        <v>531</v>
      </c>
      <c r="B498" s="8"/>
      <c r="C498" s="10"/>
      <c r="D498" s="10"/>
      <c r="E498" s="10">
        <v>1</v>
      </c>
      <c r="F498" s="30"/>
      <c r="G498" s="7">
        <f t="shared" si="144"/>
        <v>1</v>
      </c>
      <c r="H498" s="58">
        <v>42982</v>
      </c>
      <c r="I498" s="16"/>
      <c r="J498" s="8"/>
      <c r="K498" s="10"/>
      <c r="L498" s="10"/>
      <c r="M498" s="10"/>
      <c r="N498" s="30"/>
      <c r="O498" s="7">
        <f t="shared" si="145"/>
        <v>0</v>
      </c>
    </row>
    <row r="499" spans="1:16" x14ac:dyDescent="0.15">
      <c r="A499" s="39" t="s">
        <v>329</v>
      </c>
      <c r="B499" s="8"/>
      <c r="C499" s="10">
        <v>1</v>
      </c>
      <c r="D499" s="10"/>
      <c r="E499" s="10"/>
      <c r="F499" s="30"/>
      <c r="G499" s="7">
        <f t="shared" si="144"/>
        <v>1</v>
      </c>
      <c r="H499" s="58">
        <v>42985</v>
      </c>
      <c r="I499" s="39"/>
      <c r="J499" s="8"/>
      <c r="K499" s="10"/>
      <c r="L499" s="10"/>
      <c r="M499" s="10"/>
      <c r="N499" s="30"/>
      <c r="O499" s="7">
        <f t="shared" si="145"/>
        <v>0</v>
      </c>
    </row>
    <row r="500" spans="1:16" x14ac:dyDescent="0.15">
      <c r="A500" s="50" t="s">
        <v>25</v>
      </c>
      <c r="B500" s="8"/>
      <c r="C500" s="10"/>
      <c r="D500" s="10"/>
      <c r="E500" s="10"/>
      <c r="F500" s="30">
        <v>1</v>
      </c>
      <c r="G500" s="7">
        <f t="shared" si="144"/>
        <v>1</v>
      </c>
      <c r="H500" s="58">
        <v>42987</v>
      </c>
      <c r="I500" s="16"/>
      <c r="J500" s="8"/>
      <c r="K500" s="10"/>
      <c r="L500" s="10"/>
      <c r="M500" s="10"/>
      <c r="N500" s="30"/>
      <c r="O500" s="7">
        <f t="shared" si="145"/>
        <v>0</v>
      </c>
    </row>
    <row r="501" spans="1:16" x14ac:dyDescent="0.15">
      <c r="A501" s="16" t="s">
        <v>110</v>
      </c>
      <c r="B501" s="8"/>
      <c r="C501" s="10"/>
      <c r="D501" s="10">
        <v>2</v>
      </c>
      <c r="E501" s="10"/>
      <c r="F501" s="30"/>
      <c r="G501" s="7">
        <f t="shared" si="144"/>
        <v>2</v>
      </c>
      <c r="H501" s="58">
        <v>42993</v>
      </c>
      <c r="I501" s="16"/>
      <c r="J501" s="8"/>
      <c r="K501" s="10"/>
      <c r="L501" s="10"/>
      <c r="M501" s="10"/>
      <c r="N501" s="30"/>
      <c r="O501" s="7">
        <f t="shared" si="145"/>
        <v>0</v>
      </c>
    </row>
    <row r="502" spans="1:16" x14ac:dyDescent="0.15">
      <c r="A502" s="15" t="s">
        <v>534</v>
      </c>
      <c r="B502" s="8"/>
      <c r="C502" s="10"/>
      <c r="D502" s="10"/>
      <c r="E502" s="10"/>
      <c r="F502" s="30">
        <v>1</v>
      </c>
      <c r="G502" s="7">
        <f t="shared" si="144"/>
        <v>1</v>
      </c>
      <c r="H502" s="58">
        <v>42991</v>
      </c>
      <c r="I502" s="16"/>
      <c r="J502" s="8"/>
      <c r="K502" s="10"/>
      <c r="L502" s="10"/>
      <c r="M502" s="10"/>
      <c r="N502" s="30"/>
      <c r="O502" s="7">
        <f t="shared" si="145"/>
        <v>0</v>
      </c>
    </row>
    <row r="503" spans="1:16" x14ac:dyDescent="0.15">
      <c r="A503" s="39" t="s">
        <v>329</v>
      </c>
      <c r="B503" s="8">
        <v>1</v>
      </c>
      <c r="C503" s="10">
        <v>1</v>
      </c>
      <c r="D503" s="10"/>
      <c r="E503" s="10"/>
      <c r="F503" s="30"/>
      <c r="G503" s="7">
        <f t="shared" si="144"/>
        <v>2</v>
      </c>
      <c r="H503" s="58">
        <v>42999</v>
      </c>
      <c r="I503" s="16"/>
      <c r="J503" s="8"/>
      <c r="K503" s="10"/>
      <c r="L503" s="10"/>
      <c r="M503" s="10"/>
      <c r="N503" s="30"/>
      <c r="O503" s="7">
        <f t="shared" si="145"/>
        <v>0</v>
      </c>
    </row>
    <row r="504" spans="1:16" x14ac:dyDescent="0.15">
      <c r="A504" s="16" t="s">
        <v>110</v>
      </c>
      <c r="B504" s="8"/>
      <c r="C504" s="10"/>
      <c r="D504" s="10">
        <v>2</v>
      </c>
      <c r="E504" s="10"/>
      <c r="F504" s="30"/>
      <c r="G504" s="7">
        <f t="shared" si="144"/>
        <v>2</v>
      </c>
      <c r="H504" s="58">
        <v>43010</v>
      </c>
      <c r="I504" s="14"/>
      <c r="J504" s="8"/>
      <c r="K504" s="10"/>
      <c r="L504" s="10"/>
      <c r="M504" s="10"/>
      <c r="N504" s="30"/>
      <c r="O504" s="7">
        <f t="shared" si="145"/>
        <v>0</v>
      </c>
      <c r="P504" s="56"/>
    </row>
    <row r="505" spans="1:16" x14ac:dyDescent="0.15">
      <c r="A505" s="16" t="s">
        <v>110</v>
      </c>
      <c r="B505" s="8"/>
      <c r="C505" s="10"/>
      <c r="D505" s="10"/>
      <c r="E505" s="10"/>
      <c r="F505" s="30">
        <v>3</v>
      </c>
      <c r="G505" s="7">
        <f t="shared" si="144"/>
        <v>3</v>
      </c>
      <c r="H505" s="58">
        <v>43014</v>
      </c>
      <c r="I505" s="16"/>
      <c r="J505" s="8"/>
      <c r="K505" s="10"/>
      <c r="L505" s="10"/>
      <c r="M505" s="10"/>
      <c r="N505" s="30"/>
      <c r="O505" s="7">
        <f t="shared" si="145"/>
        <v>0</v>
      </c>
      <c r="P505" s="56"/>
    </row>
    <row r="506" spans="1:16" x14ac:dyDescent="0.15">
      <c r="A506" s="39" t="s">
        <v>329</v>
      </c>
      <c r="B506" s="8"/>
      <c r="C506" s="10"/>
      <c r="D506" s="10">
        <v>1</v>
      </c>
      <c r="E506" s="10"/>
      <c r="F506" s="30"/>
      <c r="G506" s="7">
        <f t="shared" si="144"/>
        <v>1</v>
      </c>
      <c r="H506" s="58">
        <v>43010</v>
      </c>
      <c r="I506" s="16"/>
      <c r="J506" s="8"/>
      <c r="K506" s="10"/>
      <c r="L506" s="10"/>
      <c r="M506" s="10"/>
      <c r="N506" s="30"/>
      <c r="O506" s="7">
        <f t="shared" si="145"/>
        <v>0</v>
      </c>
      <c r="P506" s="56"/>
    </row>
    <row r="507" spans="1:16" x14ac:dyDescent="0.15">
      <c r="A507" s="16" t="s">
        <v>110</v>
      </c>
      <c r="B507" s="8"/>
      <c r="C507" s="10"/>
      <c r="D507" s="10">
        <v>3</v>
      </c>
      <c r="E507" s="10"/>
      <c r="F507" s="30"/>
      <c r="G507" s="7">
        <f t="shared" si="144"/>
        <v>3</v>
      </c>
      <c r="H507" s="58">
        <v>43014</v>
      </c>
      <c r="I507" s="16"/>
      <c r="J507" s="8"/>
      <c r="K507" s="10"/>
      <c r="L507" s="10"/>
      <c r="M507" s="10"/>
      <c r="N507" s="30"/>
      <c r="O507" s="7">
        <f t="shared" si="145"/>
        <v>0</v>
      </c>
      <c r="P507" s="56"/>
    </row>
    <row r="508" spans="1:16" x14ac:dyDescent="0.15">
      <c r="A508" s="16" t="s">
        <v>110</v>
      </c>
      <c r="B508" s="8">
        <v>2</v>
      </c>
      <c r="C508" s="10"/>
      <c r="D508" s="10"/>
      <c r="E508" s="10">
        <v>3</v>
      </c>
      <c r="F508" s="30">
        <v>3</v>
      </c>
      <c r="G508" s="7">
        <f t="shared" si="144"/>
        <v>8</v>
      </c>
      <c r="H508" s="58">
        <v>43014</v>
      </c>
      <c r="I508" s="16"/>
      <c r="J508" s="8"/>
      <c r="K508" s="10"/>
      <c r="L508" s="10"/>
      <c r="M508" s="10"/>
      <c r="N508" s="30"/>
      <c r="O508" s="7">
        <f t="shared" si="145"/>
        <v>0</v>
      </c>
      <c r="P508" s="58"/>
    </row>
    <row r="509" spans="1:16" x14ac:dyDescent="0.15">
      <c r="A509" s="16" t="s">
        <v>547</v>
      </c>
      <c r="B509" s="11"/>
      <c r="C509" s="12"/>
      <c r="D509" s="12"/>
      <c r="E509" s="12"/>
      <c r="F509" s="31">
        <v>1</v>
      </c>
      <c r="G509" s="7">
        <f t="shared" si="144"/>
        <v>1</v>
      </c>
      <c r="H509" s="58">
        <v>43010</v>
      </c>
      <c r="I509" s="50"/>
      <c r="J509" s="8"/>
      <c r="K509" s="10"/>
      <c r="L509" s="10"/>
      <c r="M509" s="10"/>
      <c r="N509" s="30"/>
      <c r="O509" s="7">
        <f t="shared" si="145"/>
        <v>0</v>
      </c>
      <c r="P509" s="58"/>
    </row>
    <row r="510" spans="1:16" x14ac:dyDescent="0.15">
      <c r="A510" s="16" t="s">
        <v>110</v>
      </c>
      <c r="B510" s="8"/>
      <c r="C510" s="10"/>
      <c r="D510" s="10"/>
      <c r="E510" s="10">
        <v>6</v>
      </c>
      <c r="F510" s="30"/>
      <c r="G510" s="7">
        <f t="shared" si="144"/>
        <v>6</v>
      </c>
      <c r="H510" s="58">
        <v>43019</v>
      </c>
      <c r="I510" s="16"/>
      <c r="J510" s="8"/>
      <c r="K510" s="10"/>
      <c r="L510" s="10"/>
      <c r="M510" s="10"/>
      <c r="N510" s="30"/>
      <c r="O510" s="7">
        <f t="shared" si="145"/>
        <v>0</v>
      </c>
      <c r="P510" s="58"/>
    </row>
    <row r="511" spans="1:16" x14ac:dyDescent="0.15">
      <c r="A511" s="16" t="s">
        <v>110</v>
      </c>
      <c r="B511" s="8"/>
      <c r="C511" s="10"/>
      <c r="D511" s="10">
        <v>2</v>
      </c>
      <c r="E511" s="10"/>
      <c r="F511" s="30"/>
      <c r="G511" s="7">
        <f t="shared" si="144"/>
        <v>2</v>
      </c>
      <c r="H511" s="58">
        <v>43021</v>
      </c>
      <c r="I511" s="16"/>
      <c r="J511" s="8"/>
      <c r="K511" s="10"/>
      <c r="L511" s="10"/>
      <c r="M511" s="10"/>
      <c r="N511" s="30"/>
      <c r="O511" s="7">
        <f t="shared" si="145"/>
        <v>0</v>
      </c>
      <c r="P511" s="58"/>
    </row>
    <row r="512" spans="1:16" x14ac:dyDescent="0.15">
      <c r="A512" s="16" t="s">
        <v>551</v>
      </c>
      <c r="B512" s="8"/>
      <c r="C512" s="10"/>
      <c r="D512" s="10">
        <v>-10</v>
      </c>
      <c r="E512" s="10">
        <v>-10</v>
      </c>
      <c r="F512" s="30"/>
      <c r="G512" s="7">
        <f t="shared" si="144"/>
        <v>-20</v>
      </c>
      <c r="H512" s="58">
        <v>43019</v>
      </c>
      <c r="I512" s="16"/>
      <c r="J512" s="8"/>
      <c r="K512" s="10"/>
      <c r="L512" s="10"/>
      <c r="M512" s="10"/>
      <c r="N512" s="30"/>
      <c r="O512" s="7">
        <f t="shared" si="145"/>
        <v>0</v>
      </c>
      <c r="P512" s="58"/>
    </row>
    <row r="513" spans="1:16" ht="14.25" thickBot="1" x14ac:dyDescent="0.2">
      <c r="A513" s="15" t="s">
        <v>383</v>
      </c>
      <c r="B513" s="11"/>
      <c r="C513" s="12">
        <v>-1</v>
      </c>
      <c r="D513" s="12"/>
      <c r="E513" s="12"/>
      <c r="F513" s="31"/>
      <c r="G513" s="7">
        <f t="shared" si="144"/>
        <v>-1</v>
      </c>
      <c r="H513" s="58">
        <v>43020</v>
      </c>
      <c r="I513" s="20"/>
      <c r="J513" s="11"/>
      <c r="K513" s="12"/>
      <c r="L513" s="12"/>
      <c r="M513" s="12"/>
      <c r="N513" s="31"/>
      <c r="O513" s="7">
        <f t="shared" si="145"/>
        <v>0</v>
      </c>
      <c r="P513" s="56"/>
    </row>
    <row r="514" spans="1:16" ht="14.25" thickBot="1" x14ac:dyDescent="0.2">
      <c r="A514" s="3" t="s">
        <v>11</v>
      </c>
      <c r="B514" s="23">
        <f>SUM(B488:B513)</f>
        <v>5</v>
      </c>
      <c r="C514" s="4">
        <f>SUM(C488:C513)</f>
        <v>3</v>
      </c>
      <c r="D514" s="4">
        <f>SUM(D488:D513)</f>
        <v>2</v>
      </c>
      <c r="E514" s="6">
        <f>SUM(E488:E513)</f>
        <v>10</v>
      </c>
      <c r="F514" s="32">
        <f>SUM(F488:F513)</f>
        <v>13</v>
      </c>
      <c r="G514" s="5">
        <f>SUM(B514:F514)</f>
        <v>33</v>
      </c>
      <c r="H514" s="58"/>
      <c r="I514" s="3" t="s">
        <v>11</v>
      </c>
      <c r="J514" s="23">
        <f>SUM(J488:J513)</f>
        <v>0</v>
      </c>
      <c r="K514" s="4">
        <f>SUM(K488:K513)</f>
        <v>0</v>
      </c>
      <c r="L514" s="4">
        <f>SUM(L488:L513)</f>
        <v>15</v>
      </c>
      <c r="M514" s="6">
        <f>SUM(M488:M513)</f>
        <v>15</v>
      </c>
      <c r="N514" s="32">
        <f>SUM(N488:N513)</f>
        <v>5</v>
      </c>
      <c r="O514" s="5">
        <f>SUM(J514:N514)</f>
        <v>35</v>
      </c>
    </row>
    <row r="515" spans="1:16" ht="14.25" thickBot="1" x14ac:dyDescent="0.2">
      <c r="A515" s="25" t="s">
        <v>12</v>
      </c>
      <c r="B515" s="63">
        <f>B487-B514</f>
        <v>11</v>
      </c>
      <c r="C515" s="26">
        <f t="shared" ref="C515:G515" si="146">C487-C514</f>
        <v>10</v>
      </c>
      <c r="D515" s="71">
        <f t="shared" si="146"/>
        <v>16</v>
      </c>
      <c r="E515" s="26">
        <f t="shared" si="146"/>
        <v>17</v>
      </c>
      <c r="F515" s="70">
        <f t="shared" si="146"/>
        <v>9</v>
      </c>
      <c r="G515" s="27">
        <f t="shared" si="146"/>
        <v>63</v>
      </c>
      <c r="H515" s="58"/>
      <c r="I515" s="25" t="s">
        <v>12</v>
      </c>
      <c r="J515" s="63">
        <f>J487-J514</f>
        <v>209</v>
      </c>
      <c r="K515" s="26">
        <f t="shared" ref="K515:O515" si="147">K487-K514</f>
        <v>183</v>
      </c>
      <c r="L515" s="71">
        <f t="shared" si="147"/>
        <v>155</v>
      </c>
      <c r="M515" s="26">
        <f t="shared" si="147"/>
        <v>137</v>
      </c>
      <c r="N515" s="70">
        <f t="shared" si="147"/>
        <v>124</v>
      </c>
      <c r="O515" s="27">
        <f t="shared" si="147"/>
        <v>808</v>
      </c>
    </row>
    <row r="516" spans="1:16" ht="21" x14ac:dyDescent="0.2">
      <c r="A516" s="86" t="s">
        <v>50</v>
      </c>
      <c r="B516" s="87"/>
      <c r="C516" s="87"/>
      <c r="D516" s="87"/>
      <c r="E516" s="87"/>
      <c r="F516" s="87"/>
      <c r="G516" s="87"/>
      <c r="H516" s="58"/>
      <c r="I516" s="86" t="s">
        <v>50</v>
      </c>
      <c r="J516" s="87"/>
      <c r="K516" s="87"/>
      <c r="L516" s="87"/>
      <c r="M516" s="87"/>
      <c r="N516" s="87"/>
      <c r="O516" s="87"/>
    </row>
    <row r="517" spans="1:16" ht="21.75" thickBot="1" x14ac:dyDescent="0.25">
      <c r="A517" s="86" t="s">
        <v>51</v>
      </c>
      <c r="B517" s="87"/>
      <c r="C517" s="87"/>
      <c r="D517" s="87"/>
      <c r="E517" s="85"/>
      <c r="F517" s="88" t="s">
        <v>53</v>
      </c>
      <c r="G517" s="87"/>
      <c r="H517" s="58"/>
      <c r="I517" s="86" t="s">
        <v>51</v>
      </c>
      <c r="J517" s="87"/>
      <c r="K517" s="87"/>
      <c r="L517" s="87"/>
      <c r="M517" s="89"/>
      <c r="N517" s="88" t="s">
        <v>54</v>
      </c>
      <c r="O517" s="87"/>
    </row>
    <row r="518" spans="1:16" ht="14.25" thickBot="1" x14ac:dyDescent="0.2">
      <c r="A518" s="13" t="s">
        <v>0</v>
      </c>
      <c r="B518" s="228" t="s">
        <v>52</v>
      </c>
      <c r="C518" s="229"/>
      <c r="D518" s="229"/>
      <c r="E518" s="229"/>
      <c r="F518" s="230"/>
      <c r="G518" s="231"/>
      <c r="H518" s="58"/>
      <c r="I518" s="13" t="s">
        <v>0</v>
      </c>
      <c r="J518" s="228" t="s">
        <v>49</v>
      </c>
      <c r="K518" s="229"/>
      <c r="L518" s="229"/>
      <c r="M518" s="229"/>
      <c r="N518" s="230"/>
      <c r="O518" s="231"/>
    </row>
    <row r="519" spans="1:16" ht="14.25" thickBot="1" x14ac:dyDescent="0.2">
      <c r="A519" s="3" t="s">
        <v>1</v>
      </c>
      <c r="B519" s="2" t="s">
        <v>42</v>
      </c>
      <c r="C519" s="21" t="s">
        <v>43</v>
      </c>
      <c r="D519" s="21" t="s">
        <v>44</v>
      </c>
      <c r="E519" s="24" t="s">
        <v>45</v>
      </c>
      <c r="F519" s="33" t="s">
        <v>46</v>
      </c>
      <c r="G519" s="3" t="s">
        <v>2</v>
      </c>
      <c r="H519" s="58"/>
      <c r="I519" s="3" t="s">
        <v>1</v>
      </c>
      <c r="J519" s="2" t="s">
        <v>42</v>
      </c>
      <c r="K519" s="21" t="s">
        <v>43</v>
      </c>
      <c r="L519" s="21" t="s">
        <v>44</v>
      </c>
      <c r="M519" s="24" t="s">
        <v>45</v>
      </c>
      <c r="N519" s="33" t="s">
        <v>46</v>
      </c>
      <c r="O519" s="3" t="s">
        <v>2</v>
      </c>
    </row>
    <row r="520" spans="1:16" ht="14.25" thickBot="1" x14ac:dyDescent="0.2">
      <c r="A520" s="72" t="s">
        <v>79</v>
      </c>
      <c r="B520" s="73">
        <f>B515</f>
        <v>11</v>
      </c>
      <c r="C520" s="74">
        <f t="shared" ref="C520:F520" si="148">C515</f>
        <v>10</v>
      </c>
      <c r="D520" s="107">
        <f t="shared" si="148"/>
        <v>16</v>
      </c>
      <c r="E520" s="75">
        <f t="shared" si="148"/>
        <v>17</v>
      </c>
      <c r="F520" s="75">
        <f t="shared" si="148"/>
        <v>9</v>
      </c>
      <c r="G520" s="76">
        <f t="shared" ref="G520:G529" si="149">SUM(B520:F520)</f>
        <v>63</v>
      </c>
      <c r="H520" s="58"/>
      <c r="I520" s="72" t="s">
        <v>79</v>
      </c>
      <c r="J520" s="73">
        <f>J515</f>
        <v>209</v>
      </c>
      <c r="K520" s="74">
        <f t="shared" ref="K520:N520" si="150">K515</f>
        <v>183</v>
      </c>
      <c r="L520" s="107">
        <f t="shared" si="150"/>
        <v>155</v>
      </c>
      <c r="M520" s="75">
        <f t="shared" si="150"/>
        <v>137</v>
      </c>
      <c r="N520" s="75">
        <f t="shared" si="150"/>
        <v>124</v>
      </c>
      <c r="O520" s="76">
        <f t="shared" ref="O520:O529" si="151">SUM(J520:N520)</f>
        <v>808</v>
      </c>
    </row>
    <row r="521" spans="1:16" x14ac:dyDescent="0.15">
      <c r="A521" s="15" t="s">
        <v>15</v>
      </c>
      <c r="B521" s="37"/>
      <c r="C521" s="35"/>
      <c r="D521" s="35"/>
      <c r="E521" s="35"/>
      <c r="F521" s="28">
        <v>10</v>
      </c>
      <c r="G521" s="7">
        <f t="shared" si="149"/>
        <v>10</v>
      </c>
      <c r="H521" s="58">
        <v>43024</v>
      </c>
      <c r="I521" s="38" t="s">
        <v>15</v>
      </c>
      <c r="J521" s="37"/>
      <c r="K521" s="35"/>
      <c r="L521" s="35"/>
      <c r="M521" s="35"/>
      <c r="N521" s="28"/>
      <c r="O521" s="7">
        <f t="shared" si="151"/>
        <v>0</v>
      </c>
    </row>
    <row r="522" spans="1:16" x14ac:dyDescent="0.15">
      <c r="A522" s="15" t="s">
        <v>19</v>
      </c>
      <c r="B522" s="8"/>
      <c r="C522" s="10"/>
      <c r="D522" s="10">
        <v>1</v>
      </c>
      <c r="E522" s="10">
        <v>1</v>
      </c>
      <c r="F522" s="28">
        <v>1</v>
      </c>
      <c r="G522" s="9">
        <f t="shared" si="149"/>
        <v>3</v>
      </c>
      <c r="H522" s="58">
        <v>43029</v>
      </c>
      <c r="I522" s="15" t="s">
        <v>3</v>
      </c>
      <c r="J522" s="8"/>
      <c r="K522" s="10"/>
      <c r="L522" s="10"/>
      <c r="M522" s="10"/>
      <c r="N522" s="28"/>
      <c r="O522" s="9">
        <f t="shared" si="151"/>
        <v>0</v>
      </c>
    </row>
    <row r="523" spans="1:16" x14ac:dyDescent="0.15">
      <c r="A523" s="15" t="s">
        <v>261</v>
      </c>
      <c r="B523" s="8"/>
      <c r="C523" s="10">
        <v>1</v>
      </c>
      <c r="D523" s="10"/>
      <c r="E523" s="10"/>
      <c r="F523" s="28"/>
      <c r="G523" s="9">
        <f t="shared" si="149"/>
        <v>1</v>
      </c>
      <c r="H523" s="58">
        <v>43038</v>
      </c>
      <c r="I523" s="15" t="s">
        <v>4</v>
      </c>
      <c r="J523" s="8"/>
      <c r="K523" s="45"/>
      <c r="L523" s="45"/>
      <c r="M523" s="45"/>
      <c r="N523" s="46"/>
      <c r="O523" s="9">
        <f t="shared" si="151"/>
        <v>0</v>
      </c>
      <c r="P523" s="58"/>
    </row>
    <row r="524" spans="1:16" x14ac:dyDescent="0.15">
      <c r="A524" s="15" t="s">
        <v>20</v>
      </c>
      <c r="B524" s="8"/>
      <c r="C524" s="10">
        <v>5</v>
      </c>
      <c r="D524" s="10"/>
      <c r="E524" s="10"/>
      <c r="F524" s="28"/>
      <c r="G524" s="9">
        <f t="shared" si="149"/>
        <v>5</v>
      </c>
      <c r="H524" s="58">
        <v>43040</v>
      </c>
      <c r="I524" s="15" t="s">
        <v>5</v>
      </c>
      <c r="J524" s="8"/>
      <c r="K524" s="45"/>
      <c r="L524" s="45"/>
      <c r="M524" s="45"/>
      <c r="N524" s="46"/>
      <c r="O524" s="9">
        <f t="shared" si="151"/>
        <v>0</v>
      </c>
      <c r="P524" s="58"/>
    </row>
    <row r="525" spans="1:16" x14ac:dyDescent="0.15">
      <c r="A525" s="15" t="s">
        <v>183</v>
      </c>
      <c r="B525" s="8"/>
      <c r="C525" s="10"/>
      <c r="D525" s="10">
        <v>1</v>
      </c>
      <c r="E525" s="10"/>
      <c r="F525" s="28"/>
      <c r="G525" s="9">
        <f t="shared" si="149"/>
        <v>1</v>
      </c>
      <c r="H525" s="58">
        <v>43040</v>
      </c>
      <c r="I525" s="15" t="s">
        <v>6</v>
      </c>
      <c r="J525" s="8"/>
      <c r="K525" s="45"/>
      <c r="L525" s="45"/>
      <c r="M525" s="45"/>
      <c r="N525" s="46"/>
      <c r="O525" s="9">
        <f t="shared" si="151"/>
        <v>0</v>
      </c>
      <c r="P525" s="58"/>
    </row>
    <row r="526" spans="1:16" x14ac:dyDescent="0.15">
      <c r="A526" s="15" t="s">
        <v>183</v>
      </c>
      <c r="B526" s="8"/>
      <c r="C526" s="10"/>
      <c r="D526" s="10"/>
      <c r="E526" s="10"/>
      <c r="F526" s="28">
        <v>1</v>
      </c>
      <c r="G526" s="9">
        <f t="shared" si="149"/>
        <v>1</v>
      </c>
      <c r="H526" s="58">
        <v>43066</v>
      </c>
      <c r="I526" s="15" t="s">
        <v>84</v>
      </c>
      <c r="J526" s="8"/>
      <c r="K526" s="45"/>
      <c r="L526" s="45"/>
      <c r="M526" s="45"/>
      <c r="N526" s="46"/>
      <c r="O526" s="7">
        <f t="shared" si="151"/>
        <v>0</v>
      </c>
      <c r="P526" s="58"/>
    </row>
    <row r="527" spans="1:16" x14ac:dyDescent="0.15">
      <c r="A527" s="15" t="s">
        <v>17</v>
      </c>
      <c r="B527" s="8"/>
      <c r="C527" s="10">
        <v>1</v>
      </c>
      <c r="D527" s="10"/>
      <c r="E527" s="10"/>
      <c r="F527" s="28"/>
      <c r="G527" s="9">
        <f t="shared" si="149"/>
        <v>1</v>
      </c>
      <c r="H527" s="58">
        <v>43067</v>
      </c>
      <c r="I527" s="15" t="s">
        <v>85</v>
      </c>
      <c r="J527" s="8"/>
      <c r="K527" s="45"/>
      <c r="L527" s="45"/>
      <c r="M527" s="45"/>
      <c r="N527" s="46"/>
      <c r="O527" s="7">
        <f t="shared" si="151"/>
        <v>0</v>
      </c>
      <c r="P527" s="58"/>
    </row>
    <row r="528" spans="1:16" x14ac:dyDescent="0.15">
      <c r="A528" s="15" t="s">
        <v>83</v>
      </c>
      <c r="B528" s="11">
        <v>5</v>
      </c>
      <c r="C528" s="100"/>
      <c r="D528" s="100"/>
      <c r="E528" s="100">
        <v>5</v>
      </c>
      <c r="F528" s="109"/>
      <c r="G528" s="9">
        <f t="shared" si="149"/>
        <v>10</v>
      </c>
      <c r="H528" s="58">
        <v>43083</v>
      </c>
      <c r="I528" s="15" t="s">
        <v>86</v>
      </c>
      <c r="J528" s="8"/>
      <c r="K528" s="45"/>
      <c r="L528" s="45"/>
      <c r="M528" s="45"/>
      <c r="N528" s="46"/>
      <c r="O528" s="102">
        <f t="shared" si="151"/>
        <v>0</v>
      </c>
      <c r="P528" s="58"/>
    </row>
    <row r="529" spans="1:16" ht="14.25" thickBot="1" x14ac:dyDescent="0.2">
      <c r="A529" s="15" t="s">
        <v>17</v>
      </c>
      <c r="B529" s="11"/>
      <c r="C529" s="100"/>
      <c r="D529" s="100">
        <v>1</v>
      </c>
      <c r="E529" s="100">
        <v>3</v>
      </c>
      <c r="F529" s="109"/>
      <c r="G529" s="115">
        <f t="shared" si="149"/>
        <v>4</v>
      </c>
      <c r="H529" s="58">
        <v>43096</v>
      </c>
      <c r="I529" s="15" t="s">
        <v>87</v>
      </c>
      <c r="J529" s="47"/>
      <c r="K529" s="48"/>
      <c r="L529" s="48"/>
      <c r="M529" s="48"/>
      <c r="N529" s="49"/>
      <c r="O529" s="40">
        <f t="shared" si="151"/>
        <v>0</v>
      </c>
      <c r="P529" s="68"/>
    </row>
    <row r="530" spans="1:16" ht="14.25" thickBot="1" x14ac:dyDescent="0.2">
      <c r="A530" s="72" t="s">
        <v>7</v>
      </c>
      <c r="B530" s="73">
        <f>SUM(B520:B529)</f>
        <v>16</v>
      </c>
      <c r="C530" s="74">
        <f t="shared" ref="C530:G530" si="152">SUM(C520:C529)</f>
        <v>17</v>
      </c>
      <c r="D530" s="74">
        <f t="shared" si="152"/>
        <v>19</v>
      </c>
      <c r="E530" s="74">
        <f t="shared" si="152"/>
        <v>26</v>
      </c>
      <c r="F530" s="105">
        <f t="shared" si="152"/>
        <v>21</v>
      </c>
      <c r="G530" s="76">
        <f t="shared" si="152"/>
        <v>99</v>
      </c>
      <c r="H530" s="58"/>
      <c r="I530" s="72" t="s">
        <v>7</v>
      </c>
      <c r="J530" s="73">
        <f>SUM(J520:J529)</f>
        <v>209</v>
      </c>
      <c r="K530" s="74">
        <f t="shared" ref="K530:O530" si="153">SUM(K520:K529)</f>
        <v>183</v>
      </c>
      <c r="L530" s="74">
        <f t="shared" si="153"/>
        <v>155</v>
      </c>
      <c r="M530" s="74">
        <f t="shared" si="153"/>
        <v>137</v>
      </c>
      <c r="N530" s="105">
        <f t="shared" si="153"/>
        <v>124</v>
      </c>
      <c r="O530" s="76">
        <f t="shared" si="153"/>
        <v>808</v>
      </c>
    </row>
    <row r="531" spans="1:16" x14ac:dyDescent="0.15">
      <c r="A531" s="16" t="s">
        <v>110</v>
      </c>
      <c r="B531" s="8"/>
      <c r="C531" s="10"/>
      <c r="D531" s="10"/>
      <c r="E531" s="10"/>
      <c r="F531" s="30">
        <v>4</v>
      </c>
      <c r="G531" s="7">
        <f t="shared" ref="G531:G556" si="154">SUM(B531:F531)</f>
        <v>4</v>
      </c>
      <c r="H531" s="58">
        <v>43027</v>
      </c>
      <c r="I531" s="16" t="s">
        <v>552</v>
      </c>
      <c r="J531" s="8"/>
      <c r="K531" s="10"/>
      <c r="L531" s="10"/>
      <c r="M531" s="10"/>
      <c r="N531" s="28">
        <v>10</v>
      </c>
      <c r="O531" s="9">
        <f t="shared" ref="O531:O556" si="155">SUM(J531:N531)</f>
        <v>10</v>
      </c>
      <c r="P531" s="58">
        <v>43024</v>
      </c>
    </row>
    <row r="532" spans="1:16" x14ac:dyDescent="0.15">
      <c r="A532" s="14" t="s">
        <v>117</v>
      </c>
      <c r="B532" s="8"/>
      <c r="C532" s="10">
        <v>1</v>
      </c>
      <c r="D532" s="10"/>
      <c r="E532" s="10"/>
      <c r="F532" s="30"/>
      <c r="G532" s="7">
        <f t="shared" si="154"/>
        <v>1</v>
      </c>
      <c r="H532" s="58">
        <v>43025</v>
      </c>
      <c r="I532" s="16" t="s">
        <v>24</v>
      </c>
      <c r="J532" s="8"/>
      <c r="K532" s="10">
        <v>5</v>
      </c>
      <c r="L532" s="10"/>
      <c r="M532" s="10"/>
      <c r="N532" s="30"/>
      <c r="O532" s="7">
        <f t="shared" si="155"/>
        <v>5</v>
      </c>
      <c r="P532" s="58">
        <v>43040</v>
      </c>
    </row>
    <row r="533" spans="1:16" x14ac:dyDescent="0.15">
      <c r="A533" s="16" t="s">
        <v>110</v>
      </c>
      <c r="B533" s="8"/>
      <c r="C533" s="10"/>
      <c r="D533" s="10"/>
      <c r="E533" s="10">
        <v>2</v>
      </c>
      <c r="F533" s="30"/>
      <c r="G533" s="7">
        <f t="shared" si="154"/>
        <v>2</v>
      </c>
      <c r="H533" s="58">
        <v>43040</v>
      </c>
      <c r="I533" s="16" t="s">
        <v>24</v>
      </c>
      <c r="J533" s="8">
        <v>5</v>
      </c>
      <c r="K533" s="10"/>
      <c r="L533" s="10"/>
      <c r="M533" s="10">
        <v>5</v>
      </c>
      <c r="N533" s="30"/>
      <c r="O533" s="7">
        <f t="shared" si="155"/>
        <v>10</v>
      </c>
      <c r="P533" s="58">
        <v>43083</v>
      </c>
    </row>
    <row r="534" spans="1:16" x14ac:dyDescent="0.15">
      <c r="A534" s="50" t="s">
        <v>556</v>
      </c>
      <c r="B534" s="8"/>
      <c r="C534" s="10">
        <v>1</v>
      </c>
      <c r="D534" s="10"/>
      <c r="E534" s="10"/>
      <c r="F534" s="30"/>
      <c r="G534" s="7">
        <f t="shared" si="154"/>
        <v>1</v>
      </c>
      <c r="H534" s="58">
        <v>43036</v>
      </c>
      <c r="I534" s="16" t="s">
        <v>24</v>
      </c>
      <c r="J534" s="8"/>
      <c r="K534" s="10"/>
      <c r="L534" s="10"/>
      <c r="M534" s="10"/>
      <c r="N534" s="30">
        <v>10</v>
      </c>
      <c r="O534" s="7">
        <f t="shared" si="155"/>
        <v>10</v>
      </c>
      <c r="P534" s="58">
        <v>43139</v>
      </c>
    </row>
    <row r="535" spans="1:16" x14ac:dyDescent="0.15">
      <c r="A535" s="16" t="s">
        <v>569</v>
      </c>
      <c r="B535" s="8"/>
      <c r="C535" s="10"/>
      <c r="D535" s="10"/>
      <c r="E535" s="10">
        <v>1</v>
      </c>
      <c r="F535" s="30"/>
      <c r="G535" s="7">
        <f t="shared" si="154"/>
        <v>1</v>
      </c>
      <c r="H535" s="58">
        <v>43045</v>
      </c>
      <c r="I535" s="16"/>
      <c r="J535" s="8"/>
      <c r="K535" s="10"/>
      <c r="L535" s="10"/>
      <c r="M535" s="10"/>
      <c r="N535" s="30"/>
      <c r="O535" s="7">
        <f t="shared" si="155"/>
        <v>0</v>
      </c>
      <c r="P535" s="58"/>
    </row>
    <row r="536" spans="1:16" x14ac:dyDescent="0.15">
      <c r="A536" s="16" t="s">
        <v>570</v>
      </c>
      <c r="B536" s="8">
        <v>1</v>
      </c>
      <c r="C536" s="10"/>
      <c r="D536" s="10"/>
      <c r="E536" s="10"/>
      <c r="F536" s="30"/>
      <c r="G536" s="7">
        <f t="shared" si="154"/>
        <v>1</v>
      </c>
      <c r="H536" s="58">
        <v>43048</v>
      </c>
      <c r="I536" s="16"/>
      <c r="J536" s="8"/>
      <c r="K536" s="10"/>
      <c r="L536" s="10"/>
      <c r="M536" s="10"/>
      <c r="N536" s="30"/>
      <c r="O536" s="7">
        <f t="shared" si="155"/>
        <v>0</v>
      </c>
      <c r="P536" s="58"/>
    </row>
    <row r="537" spans="1:16" x14ac:dyDescent="0.15">
      <c r="A537" s="16" t="s">
        <v>110</v>
      </c>
      <c r="B537" s="8">
        <v>3</v>
      </c>
      <c r="C537" s="10"/>
      <c r="D537" s="10"/>
      <c r="E537" s="10"/>
      <c r="F537" s="30"/>
      <c r="G537" s="7">
        <f t="shared" si="154"/>
        <v>3</v>
      </c>
      <c r="H537" s="58">
        <v>43066</v>
      </c>
      <c r="I537" s="16"/>
      <c r="J537" s="8"/>
      <c r="K537" s="10"/>
      <c r="L537" s="10"/>
      <c r="M537" s="10"/>
      <c r="N537" s="30"/>
      <c r="O537" s="7">
        <f t="shared" si="155"/>
        <v>0</v>
      </c>
    </row>
    <row r="538" spans="1:16" x14ac:dyDescent="0.15">
      <c r="A538" s="50" t="s">
        <v>25</v>
      </c>
      <c r="B538" s="8"/>
      <c r="C538" s="10">
        <v>1</v>
      </c>
      <c r="D538" s="10"/>
      <c r="E538" s="10">
        <v>1</v>
      </c>
      <c r="F538" s="30"/>
      <c r="G538" s="7">
        <f t="shared" si="154"/>
        <v>2</v>
      </c>
      <c r="H538" s="58">
        <v>43061</v>
      </c>
      <c r="I538" s="16"/>
      <c r="J538" s="8"/>
      <c r="K538" s="10"/>
      <c r="L538" s="10"/>
      <c r="M538" s="10"/>
      <c r="N538" s="30"/>
      <c r="O538" s="7">
        <f t="shared" si="155"/>
        <v>0</v>
      </c>
    </row>
    <row r="539" spans="1:16" x14ac:dyDescent="0.15">
      <c r="A539" s="50" t="s">
        <v>25</v>
      </c>
      <c r="B539" s="8"/>
      <c r="C539" s="10"/>
      <c r="D539" s="10">
        <v>1</v>
      </c>
      <c r="E539" s="10"/>
      <c r="F539" s="30">
        <v>1</v>
      </c>
      <c r="G539" s="7">
        <f t="shared" si="154"/>
        <v>2</v>
      </c>
      <c r="H539" s="58">
        <v>43064</v>
      </c>
      <c r="I539" s="39"/>
      <c r="J539" s="8"/>
      <c r="K539" s="10"/>
      <c r="L539" s="10"/>
      <c r="M539" s="10"/>
      <c r="N539" s="30"/>
      <c r="O539" s="7">
        <f t="shared" si="155"/>
        <v>0</v>
      </c>
    </row>
    <row r="540" spans="1:16" x14ac:dyDescent="0.15">
      <c r="A540" s="50" t="s">
        <v>25</v>
      </c>
      <c r="B540" s="11"/>
      <c r="C540" s="12">
        <v>1</v>
      </c>
      <c r="D540" s="12"/>
      <c r="E540" s="12"/>
      <c r="F540" s="31"/>
      <c r="G540" s="7">
        <f t="shared" si="154"/>
        <v>1</v>
      </c>
      <c r="H540" s="58">
        <v>43067</v>
      </c>
      <c r="I540" s="16"/>
      <c r="J540" s="11"/>
      <c r="K540" s="12"/>
      <c r="L540" s="12"/>
      <c r="M540" s="12"/>
      <c r="N540" s="31"/>
      <c r="O540" s="7">
        <f t="shared" si="155"/>
        <v>0</v>
      </c>
    </row>
    <row r="541" spans="1:16" x14ac:dyDescent="0.15">
      <c r="A541" s="50" t="s">
        <v>577</v>
      </c>
      <c r="B541" s="8"/>
      <c r="C541" s="10"/>
      <c r="D541" s="10"/>
      <c r="E541" s="10"/>
      <c r="F541" s="30">
        <v>1</v>
      </c>
      <c r="G541" s="7">
        <f t="shared" si="154"/>
        <v>1</v>
      </c>
      <c r="H541" s="58">
        <v>43063</v>
      </c>
      <c r="I541" s="16"/>
      <c r="J541" s="8"/>
      <c r="K541" s="10"/>
      <c r="L541" s="10"/>
      <c r="M541" s="10"/>
      <c r="N541" s="30"/>
      <c r="O541" s="7">
        <f t="shared" si="155"/>
        <v>0</v>
      </c>
    </row>
    <row r="542" spans="1:16" x14ac:dyDescent="0.15">
      <c r="A542" s="39" t="s">
        <v>580</v>
      </c>
      <c r="B542" s="8"/>
      <c r="C542" s="10"/>
      <c r="D542" s="10">
        <v>2</v>
      </c>
      <c r="E542" s="10"/>
      <c r="F542" s="30"/>
      <c r="G542" s="7">
        <f t="shared" si="154"/>
        <v>2</v>
      </c>
      <c r="H542" s="58">
        <v>43073</v>
      </c>
      <c r="I542" s="39"/>
      <c r="J542" s="8"/>
      <c r="K542" s="10"/>
      <c r="L542" s="10"/>
      <c r="M542" s="10"/>
      <c r="N542" s="30"/>
      <c r="O542" s="7">
        <f t="shared" si="155"/>
        <v>0</v>
      </c>
    </row>
    <row r="543" spans="1:16" x14ac:dyDescent="0.15">
      <c r="A543" s="50" t="s">
        <v>25</v>
      </c>
      <c r="B543" s="8"/>
      <c r="C543" s="10">
        <v>2</v>
      </c>
      <c r="D543" s="10">
        <v>1</v>
      </c>
      <c r="E543" s="10"/>
      <c r="F543" s="30">
        <v>1</v>
      </c>
      <c r="G543" s="7">
        <f t="shared" si="154"/>
        <v>4</v>
      </c>
      <c r="H543" s="58">
        <v>43068</v>
      </c>
      <c r="I543" s="16"/>
      <c r="J543" s="8"/>
      <c r="K543" s="10"/>
      <c r="L543" s="10"/>
      <c r="M543" s="10"/>
      <c r="N543" s="30"/>
      <c r="O543" s="7">
        <f t="shared" si="155"/>
        <v>0</v>
      </c>
    </row>
    <row r="544" spans="1:16" x14ac:dyDescent="0.15">
      <c r="A544" s="50" t="s">
        <v>25</v>
      </c>
      <c r="B544" s="8">
        <v>1</v>
      </c>
      <c r="C544" s="10">
        <v>3</v>
      </c>
      <c r="D544" s="10"/>
      <c r="E544" s="10"/>
      <c r="F544" s="30"/>
      <c r="G544" s="7">
        <f t="shared" si="154"/>
        <v>4</v>
      </c>
      <c r="H544" s="58">
        <v>43077</v>
      </c>
      <c r="I544" s="16"/>
      <c r="J544" s="8"/>
      <c r="K544" s="10"/>
      <c r="L544" s="10"/>
      <c r="M544" s="10"/>
      <c r="N544" s="30"/>
      <c r="O544" s="7">
        <f t="shared" si="155"/>
        <v>0</v>
      </c>
    </row>
    <row r="545" spans="1:16" x14ac:dyDescent="0.15">
      <c r="A545" s="50" t="s">
        <v>25</v>
      </c>
      <c r="B545" s="8"/>
      <c r="C545" s="10">
        <v>2</v>
      </c>
      <c r="D545" s="10"/>
      <c r="E545" s="10">
        <v>3</v>
      </c>
      <c r="F545" s="30">
        <v>2</v>
      </c>
      <c r="G545" s="7">
        <f t="shared" si="154"/>
        <v>7</v>
      </c>
      <c r="H545" s="58">
        <v>43081</v>
      </c>
      <c r="I545" s="16"/>
      <c r="J545" s="8"/>
      <c r="K545" s="10"/>
      <c r="L545" s="10"/>
      <c r="M545" s="10"/>
      <c r="N545" s="30"/>
      <c r="O545" s="7">
        <f t="shared" si="155"/>
        <v>0</v>
      </c>
    </row>
    <row r="546" spans="1:16" x14ac:dyDescent="0.15">
      <c r="A546" s="39" t="s">
        <v>110</v>
      </c>
      <c r="B546" s="8"/>
      <c r="C546" s="10"/>
      <c r="D546" s="10"/>
      <c r="E546" s="10">
        <v>2</v>
      </c>
      <c r="F546" s="30"/>
      <c r="G546" s="7">
        <f t="shared" si="154"/>
        <v>2</v>
      </c>
      <c r="H546" s="58">
        <v>43087</v>
      </c>
      <c r="I546" s="16"/>
      <c r="J546" s="8"/>
      <c r="K546" s="10"/>
      <c r="L546" s="10"/>
      <c r="M546" s="10"/>
      <c r="N546" s="30"/>
      <c r="O546" s="7">
        <f t="shared" si="155"/>
        <v>0</v>
      </c>
    </row>
    <row r="547" spans="1:16" x14ac:dyDescent="0.15">
      <c r="A547" s="39" t="s">
        <v>110</v>
      </c>
      <c r="B547" s="8"/>
      <c r="C547" s="10"/>
      <c r="D547" s="10"/>
      <c r="E547" s="10">
        <v>2</v>
      </c>
      <c r="F547" s="30"/>
      <c r="G547" s="7">
        <f t="shared" si="154"/>
        <v>2</v>
      </c>
      <c r="H547" s="58">
        <v>43091</v>
      </c>
      <c r="I547" s="14"/>
      <c r="J547" s="8"/>
      <c r="K547" s="10"/>
      <c r="L547" s="10"/>
      <c r="M547" s="10"/>
      <c r="N547" s="30"/>
      <c r="O547" s="7">
        <f t="shared" si="155"/>
        <v>0</v>
      </c>
      <c r="P547" s="56"/>
    </row>
    <row r="548" spans="1:16" x14ac:dyDescent="0.15">
      <c r="A548" s="50" t="s">
        <v>25</v>
      </c>
      <c r="B548" s="8">
        <v>1</v>
      </c>
      <c r="C548" s="10"/>
      <c r="D548" s="10"/>
      <c r="E548" s="10"/>
      <c r="F548" s="30"/>
      <c r="G548" s="7">
        <f t="shared" si="154"/>
        <v>1</v>
      </c>
      <c r="H548" s="58">
        <v>43088</v>
      </c>
      <c r="I548" s="16"/>
      <c r="J548" s="8"/>
      <c r="K548" s="10"/>
      <c r="L548" s="10"/>
      <c r="M548" s="10"/>
      <c r="N548" s="30"/>
      <c r="O548" s="7">
        <f t="shared" si="155"/>
        <v>0</v>
      </c>
      <c r="P548" s="56"/>
    </row>
    <row r="549" spans="1:16" x14ac:dyDescent="0.15">
      <c r="A549" s="39" t="s">
        <v>597</v>
      </c>
      <c r="B549" s="8"/>
      <c r="C549" s="10"/>
      <c r="D549" s="10"/>
      <c r="E549" s="10">
        <v>1</v>
      </c>
      <c r="F549" s="30"/>
      <c r="G549" s="7">
        <f t="shared" si="154"/>
        <v>1</v>
      </c>
      <c r="H549" s="58">
        <v>43090</v>
      </c>
      <c r="I549" s="16"/>
      <c r="J549" s="8"/>
      <c r="K549" s="10"/>
      <c r="L549" s="10"/>
      <c r="M549" s="10"/>
      <c r="N549" s="30"/>
      <c r="O549" s="7">
        <f t="shared" si="155"/>
        <v>0</v>
      </c>
      <c r="P549" s="56"/>
    </row>
    <row r="550" spans="1:16" x14ac:dyDescent="0.15">
      <c r="A550" s="16" t="s">
        <v>607</v>
      </c>
      <c r="B550" s="8"/>
      <c r="C550" s="10"/>
      <c r="D550" s="10"/>
      <c r="E550" s="10">
        <v>-1</v>
      </c>
      <c r="F550" s="30">
        <v>-1</v>
      </c>
      <c r="G550" s="7">
        <f t="shared" si="154"/>
        <v>-2</v>
      </c>
      <c r="H550" s="58">
        <v>43110</v>
      </c>
      <c r="I550" s="16"/>
      <c r="J550" s="8"/>
      <c r="K550" s="10"/>
      <c r="L550" s="10"/>
      <c r="M550" s="10"/>
      <c r="N550" s="30"/>
      <c r="O550" s="7">
        <f t="shared" si="155"/>
        <v>0</v>
      </c>
      <c r="P550" s="56"/>
    </row>
    <row r="551" spans="1:16" x14ac:dyDescent="0.15">
      <c r="A551" s="39" t="s">
        <v>29</v>
      </c>
      <c r="B551" s="8"/>
      <c r="C551" s="10">
        <v>1</v>
      </c>
      <c r="D551" s="10"/>
      <c r="E551" s="10"/>
      <c r="F551" s="30"/>
      <c r="G551" s="7">
        <f t="shared" si="154"/>
        <v>1</v>
      </c>
      <c r="H551" s="58">
        <v>43123</v>
      </c>
      <c r="I551" s="16"/>
      <c r="J551" s="8"/>
      <c r="K551" s="10"/>
      <c r="L551" s="10"/>
      <c r="M551" s="10"/>
      <c r="N551" s="30"/>
      <c r="O551" s="7">
        <f t="shared" si="155"/>
        <v>0</v>
      </c>
      <c r="P551" s="58"/>
    </row>
    <row r="552" spans="1:16" x14ac:dyDescent="0.15">
      <c r="A552" s="39" t="s">
        <v>110</v>
      </c>
      <c r="B552" s="11"/>
      <c r="C552" s="12"/>
      <c r="D552" s="12">
        <v>2</v>
      </c>
      <c r="E552" s="12"/>
      <c r="F552" s="31"/>
      <c r="G552" s="7">
        <f t="shared" si="154"/>
        <v>2</v>
      </c>
      <c r="H552" s="58">
        <v>43145</v>
      </c>
      <c r="I552" s="50"/>
      <c r="J552" s="8"/>
      <c r="K552" s="10"/>
      <c r="L552" s="10"/>
      <c r="M552" s="10"/>
      <c r="N552" s="30"/>
      <c r="O552" s="7">
        <f t="shared" si="155"/>
        <v>0</v>
      </c>
      <c r="P552" s="58"/>
    </row>
    <row r="553" spans="1:16" x14ac:dyDescent="0.15">
      <c r="A553" s="16" t="s">
        <v>620</v>
      </c>
      <c r="B553" s="8"/>
      <c r="C553" s="10"/>
      <c r="D553" s="10"/>
      <c r="E553" s="10"/>
      <c r="F553" s="30">
        <v>10</v>
      </c>
      <c r="G553" s="7">
        <f t="shared" si="154"/>
        <v>10</v>
      </c>
      <c r="H553" s="58">
        <v>43144</v>
      </c>
      <c r="I553" s="16"/>
      <c r="J553" s="8"/>
      <c r="K553" s="10"/>
      <c r="L553" s="10"/>
      <c r="M553" s="10"/>
      <c r="N553" s="30"/>
      <c r="O553" s="7">
        <f t="shared" si="155"/>
        <v>0</v>
      </c>
      <c r="P553" s="58"/>
    </row>
    <row r="554" spans="1:16" x14ac:dyDescent="0.15">
      <c r="A554" s="16" t="s">
        <v>621</v>
      </c>
      <c r="B554" s="8"/>
      <c r="C554" s="10"/>
      <c r="D554" s="10"/>
      <c r="E554" s="10"/>
      <c r="F554" s="30">
        <v>-10</v>
      </c>
      <c r="G554" s="7">
        <f t="shared" si="154"/>
        <v>-10</v>
      </c>
      <c r="H554" s="58">
        <v>43139</v>
      </c>
      <c r="I554" s="16"/>
      <c r="J554" s="8"/>
      <c r="K554" s="10"/>
      <c r="L554" s="10"/>
      <c r="M554" s="10"/>
      <c r="N554" s="30"/>
      <c r="O554" s="7">
        <f t="shared" si="155"/>
        <v>0</v>
      </c>
      <c r="P554" s="58"/>
    </row>
    <row r="555" spans="1:16" x14ac:dyDescent="0.15">
      <c r="A555" s="50" t="s">
        <v>25</v>
      </c>
      <c r="B555" s="8"/>
      <c r="C555" s="10"/>
      <c r="D555" s="10"/>
      <c r="E555" s="10"/>
      <c r="F555" s="30">
        <v>1</v>
      </c>
      <c r="G555" s="7">
        <f t="shared" si="154"/>
        <v>1</v>
      </c>
      <c r="H555" s="58">
        <v>43152</v>
      </c>
      <c r="I555" s="16"/>
      <c r="J555" s="8"/>
      <c r="K555" s="10"/>
      <c r="L555" s="10"/>
      <c r="M555" s="10"/>
      <c r="N555" s="30"/>
      <c r="O555" s="7">
        <f t="shared" si="155"/>
        <v>0</v>
      </c>
      <c r="P555" s="58"/>
    </row>
    <row r="556" spans="1:16" ht="14.25" thickBot="1" x14ac:dyDescent="0.2">
      <c r="A556" s="39" t="s">
        <v>29</v>
      </c>
      <c r="B556" s="11"/>
      <c r="C556" s="12"/>
      <c r="D556" s="12"/>
      <c r="E556" s="12"/>
      <c r="F556" s="31">
        <v>1</v>
      </c>
      <c r="G556" s="7">
        <f t="shared" si="154"/>
        <v>1</v>
      </c>
      <c r="H556" s="58">
        <v>43157</v>
      </c>
      <c r="I556" s="20"/>
      <c r="J556" s="11"/>
      <c r="K556" s="12"/>
      <c r="L556" s="12"/>
      <c r="M556" s="12"/>
      <c r="N556" s="31"/>
      <c r="O556" s="7">
        <f t="shared" si="155"/>
        <v>0</v>
      </c>
      <c r="P556" s="56"/>
    </row>
    <row r="557" spans="1:16" ht="14.25" thickBot="1" x14ac:dyDescent="0.2">
      <c r="A557" s="3" t="s">
        <v>11</v>
      </c>
      <c r="B557" s="23">
        <f>SUM(B531:B556)</f>
        <v>6</v>
      </c>
      <c r="C557" s="4">
        <f>SUM(C531:C556)</f>
        <v>12</v>
      </c>
      <c r="D557" s="4">
        <f>SUM(D531:D556)</f>
        <v>6</v>
      </c>
      <c r="E557" s="6">
        <f>SUM(E531:E556)</f>
        <v>11</v>
      </c>
      <c r="F557" s="32">
        <f>SUM(F531:F556)</f>
        <v>10</v>
      </c>
      <c r="G557" s="5">
        <f>SUM(B557:F557)</f>
        <v>45</v>
      </c>
      <c r="H557" s="58"/>
      <c r="I557" s="3" t="s">
        <v>11</v>
      </c>
      <c r="J557" s="23">
        <f>SUM(J531:J556)</f>
        <v>5</v>
      </c>
      <c r="K557" s="4">
        <f>SUM(K531:K556)</f>
        <v>5</v>
      </c>
      <c r="L557" s="4">
        <f>SUM(L531:L556)</f>
        <v>0</v>
      </c>
      <c r="M557" s="6">
        <f>SUM(M531:M556)</f>
        <v>5</v>
      </c>
      <c r="N557" s="32">
        <f>SUM(N531:N556)</f>
        <v>20</v>
      </c>
      <c r="O557" s="5">
        <f>SUM(J557:N557)</f>
        <v>35</v>
      </c>
    </row>
    <row r="558" spans="1:16" ht="14.25" thickBot="1" x14ac:dyDescent="0.2">
      <c r="A558" s="25" t="s">
        <v>12</v>
      </c>
      <c r="B558" s="63">
        <f>B530-B557</f>
        <v>10</v>
      </c>
      <c r="C558" s="26">
        <f t="shared" ref="C558:G558" si="156">C530-C557</f>
        <v>5</v>
      </c>
      <c r="D558" s="71">
        <f t="shared" si="156"/>
        <v>13</v>
      </c>
      <c r="E558" s="26">
        <f t="shared" si="156"/>
        <v>15</v>
      </c>
      <c r="F558" s="70">
        <f t="shared" si="156"/>
        <v>11</v>
      </c>
      <c r="G558" s="27">
        <f t="shared" si="156"/>
        <v>54</v>
      </c>
      <c r="H558" s="58"/>
      <c r="I558" s="25" t="s">
        <v>12</v>
      </c>
      <c r="J558" s="63">
        <f>J530-J557</f>
        <v>204</v>
      </c>
      <c r="K558" s="26">
        <f t="shared" ref="K558:O558" si="157">K530-K557</f>
        <v>178</v>
      </c>
      <c r="L558" s="71">
        <f t="shared" si="157"/>
        <v>155</v>
      </c>
      <c r="M558" s="26">
        <f t="shared" si="157"/>
        <v>132</v>
      </c>
      <c r="N558" s="70">
        <f t="shared" si="157"/>
        <v>104</v>
      </c>
      <c r="O558" s="27">
        <f t="shared" si="157"/>
        <v>773</v>
      </c>
    </row>
    <row r="559" spans="1:16" ht="21" x14ac:dyDescent="0.2">
      <c r="A559" s="86" t="s">
        <v>50</v>
      </c>
      <c r="B559" s="87"/>
      <c r="C559" s="87"/>
      <c r="D559" s="87"/>
      <c r="E559" s="87"/>
      <c r="F559" s="87"/>
      <c r="G559" s="87"/>
      <c r="H559" s="58"/>
      <c r="I559" s="86" t="s">
        <v>50</v>
      </c>
      <c r="J559" s="87"/>
      <c r="K559" s="87"/>
      <c r="L559" s="87"/>
      <c r="M559" s="87"/>
      <c r="N559" s="87"/>
      <c r="O559" s="87"/>
    </row>
    <row r="560" spans="1:16" ht="21.75" thickBot="1" x14ac:dyDescent="0.25">
      <c r="A560" s="86" t="s">
        <v>51</v>
      </c>
      <c r="B560" s="87"/>
      <c r="C560" s="87"/>
      <c r="D560" s="87"/>
      <c r="E560" s="85"/>
      <c r="F560" s="88" t="s">
        <v>53</v>
      </c>
      <c r="G560" s="87"/>
      <c r="H560" s="58"/>
      <c r="I560" s="86" t="s">
        <v>51</v>
      </c>
      <c r="J560" s="87"/>
      <c r="K560" s="87"/>
      <c r="L560" s="87"/>
      <c r="M560" s="89"/>
      <c r="N560" s="88" t="s">
        <v>54</v>
      </c>
      <c r="O560" s="87"/>
    </row>
    <row r="561" spans="1:16" ht="14.25" thickBot="1" x14ac:dyDescent="0.2">
      <c r="A561" s="13" t="s">
        <v>0</v>
      </c>
      <c r="B561" s="228" t="s">
        <v>52</v>
      </c>
      <c r="C561" s="229"/>
      <c r="D561" s="229"/>
      <c r="E561" s="229"/>
      <c r="F561" s="230"/>
      <c r="G561" s="231"/>
      <c r="H561" s="58"/>
      <c r="I561" s="13" t="s">
        <v>0</v>
      </c>
      <c r="J561" s="228" t="s">
        <v>49</v>
      </c>
      <c r="K561" s="229"/>
      <c r="L561" s="229"/>
      <c r="M561" s="229"/>
      <c r="N561" s="230"/>
      <c r="O561" s="231"/>
    </row>
    <row r="562" spans="1:16" ht="14.25" thickBot="1" x14ac:dyDescent="0.2">
      <c r="A562" s="3" t="s">
        <v>1</v>
      </c>
      <c r="B562" s="2" t="s">
        <v>42</v>
      </c>
      <c r="C562" s="21" t="s">
        <v>43</v>
      </c>
      <c r="D562" s="21" t="s">
        <v>44</v>
      </c>
      <c r="E562" s="24" t="s">
        <v>45</v>
      </c>
      <c r="F562" s="33" t="s">
        <v>46</v>
      </c>
      <c r="G562" s="3" t="s">
        <v>2</v>
      </c>
      <c r="H562" s="58"/>
      <c r="I562" s="3" t="s">
        <v>1</v>
      </c>
      <c r="J562" s="2" t="s">
        <v>42</v>
      </c>
      <c r="K562" s="21" t="s">
        <v>43</v>
      </c>
      <c r="L562" s="21" t="s">
        <v>44</v>
      </c>
      <c r="M562" s="24" t="s">
        <v>45</v>
      </c>
      <c r="N562" s="33" t="s">
        <v>46</v>
      </c>
      <c r="O562" s="3" t="s">
        <v>2</v>
      </c>
    </row>
    <row r="563" spans="1:16" ht="14.25" thickBot="1" x14ac:dyDescent="0.2">
      <c r="A563" s="72" t="s">
        <v>79</v>
      </c>
      <c r="B563" s="73">
        <f>B558</f>
        <v>10</v>
      </c>
      <c r="C563" s="74">
        <f t="shared" ref="C563:F563" si="158">C558</f>
        <v>5</v>
      </c>
      <c r="D563" s="107">
        <f t="shared" si="158"/>
        <v>13</v>
      </c>
      <c r="E563" s="75">
        <f t="shared" si="158"/>
        <v>15</v>
      </c>
      <c r="F563" s="75">
        <f t="shared" si="158"/>
        <v>11</v>
      </c>
      <c r="G563" s="76">
        <f t="shared" ref="G563:G572" si="159">SUM(B563:F563)</f>
        <v>54</v>
      </c>
      <c r="H563" s="58"/>
      <c r="I563" s="72" t="s">
        <v>79</v>
      </c>
      <c r="J563" s="73">
        <f>J558</f>
        <v>204</v>
      </c>
      <c r="K563" s="74">
        <f t="shared" ref="K563:N563" si="160">K558</f>
        <v>178</v>
      </c>
      <c r="L563" s="107">
        <f t="shared" si="160"/>
        <v>155</v>
      </c>
      <c r="M563" s="75">
        <f t="shared" si="160"/>
        <v>132</v>
      </c>
      <c r="N563" s="75">
        <f t="shared" si="160"/>
        <v>104</v>
      </c>
      <c r="O563" s="76">
        <f t="shared" ref="O563:O572" si="161">SUM(J563:N563)</f>
        <v>773</v>
      </c>
    </row>
    <row r="564" spans="1:16" x14ac:dyDescent="0.15">
      <c r="A564" s="15" t="s">
        <v>19</v>
      </c>
      <c r="B564" s="37"/>
      <c r="C564" s="35"/>
      <c r="D564" s="35"/>
      <c r="E564" s="35"/>
      <c r="F564" s="28">
        <v>1</v>
      </c>
      <c r="G564" s="7">
        <f t="shared" si="159"/>
        <v>1</v>
      </c>
      <c r="H564" s="58">
        <v>43157</v>
      </c>
      <c r="I564" s="38" t="s">
        <v>15</v>
      </c>
      <c r="J564" s="37"/>
      <c r="K564" s="35"/>
      <c r="L564" s="35"/>
      <c r="M564" s="35"/>
      <c r="N564" s="28"/>
      <c r="O564" s="7">
        <f t="shared" si="161"/>
        <v>0</v>
      </c>
    </row>
    <row r="565" spans="1:16" x14ac:dyDescent="0.15">
      <c r="A565" s="15" t="s">
        <v>16</v>
      </c>
      <c r="B565" s="8">
        <v>5</v>
      </c>
      <c r="C565" s="10">
        <v>5</v>
      </c>
      <c r="D565" s="10">
        <v>5</v>
      </c>
      <c r="E565" s="10">
        <v>5</v>
      </c>
      <c r="F565" s="28">
        <v>5</v>
      </c>
      <c r="G565" s="9">
        <f t="shared" si="159"/>
        <v>25</v>
      </c>
      <c r="H565" s="58">
        <v>43165</v>
      </c>
      <c r="I565" s="15" t="s">
        <v>3</v>
      </c>
      <c r="J565" s="8"/>
      <c r="K565" s="10"/>
      <c r="L565" s="10"/>
      <c r="M565" s="10"/>
      <c r="N565" s="28"/>
      <c r="O565" s="9">
        <f t="shared" si="161"/>
        <v>0</v>
      </c>
    </row>
    <row r="566" spans="1:16" x14ac:dyDescent="0.15">
      <c r="A566" s="15" t="s">
        <v>18</v>
      </c>
      <c r="B566" s="8"/>
      <c r="C566" s="10">
        <v>10</v>
      </c>
      <c r="D566" s="10">
        <v>5</v>
      </c>
      <c r="E566" s="10"/>
      <c r="F566" s="28"/>
      <c r="G566" s="9">
        <f t="shared" si="159"/>
        <v>15</v>
      </c>
      <c r="H566" s="58">
        <v>43179</v>
      </c>
      <c r="I566" s="15" t="s">
        <v>4</v>
      </c>
      <c r="J566" s="8"/>
      <c r="K566" s="45"/>
      <c r="L566" s="45"/>
      <c r="M566" s="45"/>
      <c r="N566" s="46"/>
      <c r="O566" s="9">
        <f t="shared" si="161"/>
        <v>0</v>
      </c>
      <c r="P566" s="58"/>
    </row>
    <row r="567" spans="1:16" x14ac:dyDescent="0.15">
      <c r="A567" s="15" t="s">
        <v>20</v>
      </c>
      <c r="B567" s="8">
        <v>5</v>
      </c>
      <c r="C567" s="10"/>
      <c r="D567" s="10"/>
      <c r="E567" s="10">
        <v>5</v>
      </c>
      <c r="F567" s="28"/>
      <c r="G567" s="9">
        <f t="shared" si="159"/>
        <v>10</v>
      </c>
      <c r="H567" s="58">
        <v>43189</v>
      </c>
      <c r="I567" s="15" t="s">
        <v>5</v>
      </c>
      <c r="J567" s="8"/>
      <c r="K567" s="45"/>
      <c r="L567" s="45"/>
      <c r="M567" s="45"/>
      <c r="N567" s="46"/>
      <c r="O567" s="9">
        <f t="shared" si="161"/>
        <v>0</v>
      </c>
      <c r="P567" s="58"/>
    </row>
    <row r="568" spans="1:16" x14ac:dyDescent="0.15">
      <c r="A568" s="15" t="s">
        <v>685</v>
      </c>
      <c r="B568" s="8"/>
      <c r="C568" s="10"/>
      <c r="D568" s="10"/>
      <c r="E568" s="10"/>
      <c r="F568" s="28">
        <v>1</v>
      </c>
      <c r="G568" s="9">
        <f t="shared" si="159"/>
        <v>1</v>
      </c>
      <c r="H568" s="58">
        <v>43202</v>
      </c>
      <c r="I568" s="15" t="s">
        <v>6</v>
      </c>
      <c r="J568" s="8"/>
      <c r="K568" s="45"/>
      <c r="L568" s="45"/>
      <c r="M568" s="45"/>
      <c r="N568" s="46"/>
      <c r="O568" s="9">
        <f t="shared" si="161"/>
        <v>0</v>
      </c>
      <c r="P568" s="58"/>
    </row>
    <row r="569" spans="1:16" x14ac:dyDescent="0.15">
      <c r="A569" s="15" t="s">
        <v>81</v>
      </c>
      <c r="B569" s="8"/>
      <c r="C569" s="10">
        <v>5</v>
      </c>
      <c r="D569" s="10"/>
      <c r="E569" s="10"/>
      <c r="F569" s="28"/>
      <c r="G569" s="9">
        <f t="shared" si="159"/>
        <v>5</v>
      </c>
      <c r="H569" s="58">
        <v>43202</v>
      </c>
      <c r="I569" s="15" t="s">
        <v>84</v>
      </c>
      <c r="J569" s="8"/>
      <c r="K569" s="45"/>
      <c r="L569" s="45"/>
      <c r="M569" s="45"/>
      <c r="N569" s="46"/>
      <c r="O569" s="7">
        <f t="shared" si="161"/>
        <v>0</v>
      </c>
      <c r="P569" s="58"/>
    </row>
    <row r="570" spans="1:16" x14ac:dyDescent="0.15">
      <c r="A570" s="15" t="s">
        <v>82</v>
      </c>
      <c r="B570" s="8"/>
      <c r="C570" s="10"/>
      <c r="D570" s="10">
        <v>5</v>
      </c>
      <c r="E570" s="10"/>
      <c r="F570" s="28"/>
      <c r="G570" s="9">
        <f t="shared" si="159"/>
        <v>5</v>
      </c>
      <c r="H570" s="58">
        <v>43210</v>
      </c>
      <c r="I570" s="15" t="s">
        <v>85</v>
      </c>
      <c r="J570" s="8"/>
      <c r="K570" s="45"/>
      <c r="L570" s="45"/>
      <c r="M570" s="45"/>
      <c r="N570" s="46"/>
      <c r="O570" s="7">
        <f t="shared" si="161"/>
        <v>0</v>
      </c>
      <c r="P570" s="58"/>
    </row>
    <row r="571" spans="1:16" x14ac:dyDescent="0.15">
      <c r="A571" s="15" t="s">
        <v>83</v>
      </c>
      <c r="B571" s="11"/>
      <c r="C571" s="100"/>
      <c r="D571" s="100"/>
      <c r="E571" s="100"/>
      <c r="F571" s="109">
        <v>5</v>
      </c>
      <c r="G571" s="9">
        <f t="shared" si="159"/>
        <v>5</v>
      </c>
      <c r="H571" s="58">
        <v>43213</v>
      </c>
      <c r="I571" s="15" t="s">
        <v>86</v>
      </c>
      <c r="J571" s="8"/>
      <c r="K571" s="45"/>
      <c r="L571" s="45"/>
      <c r="M571" s="45"/>
      <c r="N571" s="46"/>
      <c r="O571" s="102">
        <f t="shared" si="161"/>
        <v>0</v>
      </c>
      <c r="P571" s="58"/>
    </row>
    <row r="572" spans="1:16" ht="14.25" thickBot="1" x14ac:dyDescent="0.2">
      <c r="A572" s="15" t="s">
        <v>19</v>
      </c>
      <c r="B572" s="11"/>
      <c r="C572" s="100"/>
      <c r="D572" s="100"/>
      <c r="E572" s="100"/>
      <c r="F572" s="109">
        <v>1</v>
      </c>
      <c r="G572" s="115">
        <f t="shared" si="159"/>
        <v>1</v>
      </c>
      <c r="H572" s="58">
        <v>43234</v>
      </c>
      <c r="I572" s="15" t="s">
        <v>87</v>
      </c>
      <c r="J572" s="47"/>
      <c r="K572" s="48"/>
      <c r="L572" s="48"/>
      <c r="M572" s="48"/>
      <c r="N572" s="49"/>
      <c r="O572" s="40">
        <f t="shared" si="161"/>
        <v>0</v>
      </c>
      <c r="P572" s="68"/>
    </row>
    <row r="573" spans="1:16" ht="14.25" thickBot="1" x14ac:dyDescent="0.2">
      <c r="A573" s="72" t="s">
        <v>7</v>
      </c>
      <c r="B573" s="73">
        <f>SUM(B563:B572)</f>
        <v>20</v>
      </c>
      <c r="C573" s="74">
        <f t="shared" ref="C573:G573" si="162">SUM(C563:C572)</f>
        <v>25</v>
      </c>
      <c r="D573" s="74">
        <f t="shared" si="162"/>
        <v>28</v>
      </c>
      <c r="E573" s="74">
        <f t="shared" si="162"/>
        <v>25</v>
      </c>
      <c r="F573" s="105">
        <f t="shared" si="162"/>
        <v>24</v>
      </c>
      <c r="G573" s="76">
        <f t="shared" si="162"/>
        <v>122</v>
      </c>
      <c r="H573" s="58"/>
      <c r="I573" s="72" t="s">
        <v>7</v>
      </c>
      <c r="J573" s="73">
        <f>SUM(J563:J572)</f>
        <v>204</v>
      </c>
      <c r="K573" s="74">
        <f t="shared" ref="K573:O573" si="163">SUM(K563:K572)</f>
        <v>178</v>
      </c>
      <c r="L573" s="74">
        <f t="shared" si="163"/>
        <v>155</v>
      </c>
      <c r="M573" s="74">
        <f t="shared" si="163"/>
        <v>132</v>
      </c>
      <c r="N573" s="105">
        <f t="shared" si="163"/>
        <v>104</v>
      </c>
      <c r="O573" s="76">
        <f t="shared" si="163"/>
        <v>773</v>
      </c>
    </row>
    <row r="574" spans="1:16" x14ac:dyDescent="0.15">
      <c r="A574" s="16" t="s">
        <v>635</v>
      </c>
      <c r="B574" s="8">
        <v>1</v>
      </c>
      <c r="C574" s="10"/>
      <c r="D574" s="10"/>
      <c r="E574" s="10"/>
      <c r="F574" s="30"/>
      <c r="G574" s="7">
        <f t="shared" ref="G574:G599" si="164">SUM(B574:F574)</f>
        <v>1</v>
      </c>
      <c r="H574" s="58">
        <v>43159</v>
      </c>
      <c r="I574" s="16" t="s">
        <v>641</v>
      </c>
      <c r="J574" s="8">
        <v>5</v>
      </c>
      <c r="K574" s="10">
        <v>5</v>
      </c>
      <c r="L574" s="10">
        <v>5</v>
      </c>
      <c r="M574" s="10">
        <v>5</v>
      </c>
      <c r="N574" s="28">
        <v>5</v>
      </c>
      <c r="O574" s="9">
        <f t="shared" ref="O574:O599" si="165">SUM(J574:N574)</f>
        <v>25</v>
      </c>
      <c r="P574" s="58">
        <v>43165</v>
      </c>
    </row>
    <row r="575" spans="1:16" x14ac:dyDescent="0.15">
      <c r="A575" s="39" t="s">
        <v>110</v>
      </c>
      <c r="B575" s="8"/>
      <c r="C575" s="10"/>
      <c r="D575" s="10"/>
      <c r="E575" s="10"/>
      <c r="F575" s="30">
        <v>2</v>
      </c>
      <c r="G575" s="7">
        <f t="shared" si="164"/>
        <v>2</v>
      </c>
      <c r="H575" s="58">
        <v>43165</v>
      </c>
      <c r="I575" s="16" t="s">
        <v>24</v>
      </c>
      <c r="J575" s="8"/>
      <c r="K575" s="10">
        <v>10</v>
      </c>
      <c r="L575" s="10">
        <v>5</v>
      </c>
      <c r="M575" s="10"/>
      <c r="N575" s="30"/>
      <c r="O575" s="7">
        <f t="shared" si="165"/>
        <v>15</v>
      </c>
      <c r="P575" s="58">
        <v>43179</v>
      </c>
    </row>
    <row r="576" spans="1:16" x14ac:dyDescent="0.15">
      <c r="A576" s="14" t="s">
        <v>593</v>
      </c>
      <c r="B576" s="8">
        <v>5</v>
      </c>
      <c r="C576" s="10">
        <v>5</v>
      </c>
      <c r="D576" s="10">
        <v>5</v>
      </c>
      <c r="E576" s="10">
        <v>5</v>
      </c>
      <c r="F576" s="30">
        <v>5</v>
      </c>
      <c r="G576" s="7">
        <f t="shared" si="164"/>
        <v>25</v>
      </c>
      <c r="H576" s="58">
        <v>43166</v>
      </c>
      <c r="I576" s="16" t="s">
        <v>24</v>
      </c>
      <c r="J576" s="8">
        <v>5</v>
      </c>
      <c r="K576" s="10"/>
      <c r="L576" s="10"/>
      <c r="M576" s="10">
        <v>5</v>
      </c>
      <c r="N576" s="30"/>
      <c r="O576" s="7">
        <f t="shared" si="165"/>
        <v>10</v>
      </c>
      <c r="P576" s="58">
        <v>43189</v>
      </c>
    </row>
    <row r="577" spans="1:16" x14ac:dyDescent="0.15">
      <c r="A577" s="50" t="s">
        <v>642</v>
      </c>
      <c r="B577" s="8"/>
      <c r="C577" s="10">
        <v>1</v>
      </c>
      <c r="D577" s="10"/>
      <c r="E577" s="10"/>
      <c r="F577" s="30"/>
      <c r="G577" s="7">
        <f t="shared" si="164"/>
        <v>1</v>
      </c>
      <c r="H577" s="58">
        <v>43165</v>
      </c>
      <c r="I577" s="16" t="s">
        <v>24</v>
      </c>
      <c r="J577" s="8"/>
      <c r="K577" s="10">
        <v>5</v>
      </c>
      <c r="L577" s="10"/>
      <c r="M577" s="10"/>
      <c r="N577" s="30"/>
      <c r="O577" s="7">
        <f t="shared" si="165"/>
        <v>5</v>
      </c>
      <c r="P577" s="58">
        <v>43202</v>
      </c>
    </row>
    <row r="578" spans="1:16" x14ac:dyDescent="0.15">
      <c r="A578" s="39" t="s">
        <v>110</v>
      </c>
      <c r="B578" s="8"/>
      <c r="C578" s="10"/>
      <c r="D578" s="10">
        <v>3</v>
      </c>
      <c r="E578" s="10">
        <v>2</v>
      </c>
      <c r="F578" s="30"/>
      <c r="G578" s="7">
        <f t="shared" si="164"/>
        <v>5</v>
      </c>
      <c r="H578" s="58">
        <v>43174</v>
      </c>
      <c r="I578" s="16" t="s">
        <v>24</v>
      </c>
      <c r="J578" s="8"/>
      <c r="K578" s="10"/>
      <c r="L578" s="10">
        <v>5</v>
      </c>
      <c r="M578" s="10"/>
      <c r="N578" s="30"/>
      <c r="O578" s="7">
        <f t="shared" si="165"/>
        <v>5</v>
      </c>
      <c r="P578" s="58">
        <v>43210</v>
      </c>
    </row>
    <row r="579" spans="1:16" x14ac:dyDescent="0.15">
      <c r="A579" s="39" t="s">
        <v>110</v>
      </c>
      <c r="B579" s="8"/>
      <c r="C579" s="10"/>
      <c r="D579" s="10"/>
      <c r="E579" s="10">
        <v>4</v>
      </c>
      <c r="F579" s="30"/>
      <c r="G579" s="7">
        <f t="shared" si="164"/>
        <v>4</v>
      </c>
      <c r="H579" s="58">
        <v>43175</v>
      </c>
      <c r="I579" s="16" t="s">
        <v>24</v>
      </c>
      <c r="J579" s="8"/>
      <c r="K579" s="10"/>
      <c r="L579" s="10"/>
      <c r="M579" s="10"/>
      <c r="N579" s="30">
        <v>5</v>
      </c>
      <c r="O579" s="7">
        <f t="shared" si="165"/>
        <v>5</v>
      </c>
      <c r="P579" s="58">
        <v>43213</v>
      </c>
    </row>
    <row r="580" spans="1:16" x14ac:dyDescent="0.15">
      <c r="A580" s="14" t="s">
        <v>650</v>
      </c>
      <c r="B580" s="8">
        <v>4</v>
      </c>
      <c r="C580" s="10"/>
      <c r="D580" s="10"/>
      <c r="E580" s="10"/>
      <c r="F580" s="30"/>
      <c r="G580" s="7">
        <f t="shared" si="164"/>
        <v>4</v>
      </c>
      <c r="H580" s="58">
        <v>43178</v>
      </c>
      <c r="I580" s="16" t="s">
        <v>24</v>
      </c>
      <c r="J580" s="8"/>
      <c r="K580" s="10">
        <v>5</v>
      </c>
      <c r="L580" s="10">
        <v>5</v>
      </c>
      <c r="M580" s="10"/>
      <c r="N580" s="30"/>
      <c r="O580" s="7">
        <f t="shared" si="165"/>
        <v>10</v>
      </c>
      <c r="P580" s="58">
        <v>43241</v>
      </c>
    </row>
    <row r="581" spans="1:16" x14ac:dyDescent="0.15">
      <c r="A581" s="14" t="s">
        <v>652</v>
      </c>
      <c r="B581" s="8">
        <v>1</v>
      </c>
      <c r="C581" s="10">
        <v>4</v>
      </c>
      <c r="D581" s="10">
        <v>6</v>
      </c>
      <c r="E581" s="10"/>
      <c r="F581" s="30"/>
      <c r="G581" s="7">
        <f t="shared" si="164"/>
        <v>11</v>
      </c>
      <c r="H581" s="58">
        <v>43180</v>
      </c>
      <c r="I581" s="16"/>
      <c r="J581" s="8"/>
      <c r="K581" s="10"/>
      <c r="L581" s="10"/>
      <c r="M581" s="10"/>
      <c r="N581" s="30"/>
      <c r="O581" s="7">
        <f t="shared" si="165"/>
        <v>0</v>
      </c>
      <c r="P581" s="56"/>
    </row>
    <row r="582" spans="1:16" x14ac:dyDescent="0.15">
      <c r="A582" s="39" t="s">
        <v>110</v>
      </c>
      <c r="B582" s="8"/>
      <c r="C582" s="10"/>
      <c r="D582" s="10"/>
      <c r="E582" s="10"/>
      <c r="F582" s="30">
        <v>2</v>
      </c>
      <c r="G582" s="7">
        <f t="shared" si="164"/>
        <v>2</v>
      </c>
      <c r="H582" s="58">
        <v>43188</v>
      </c>
      <c r="I582" s="39"/>
      <c r="J582" s="8"/>
      <c r="K582" s="10"/>
      <c r="L582" s="10"/>
      <c r="M582" s="10"/>
      <c r="N582" s="30"/>
      <c r="O582" s="7">
        <f t="shared" si="165"/>
        <v>0</v>
      </c>
    </row>
    <row r="583" spans="1:16" x14ac:dyDescent="0.15">
      <c r="A583" s="50" t="s">
        <v>29</v>
      </c>
      <c r="B583" s="11"/>
      <c r="C583" s="12"/>
      <c r="D583" s="12">
        <v>1</v>
      </c>
      <c r="E583" s="12"/>
      <c r="F583" s="31"/>
      <c r="G583" s="7">
        <f t="shared" si="164"/>
        <v>1</v>
      </c>
      <c r="H583" s="58">
        <v>43182</v>
      </c>
      <c r="I583" s="16"/>
      <c r="J583" s="11"/>
      <c r="K583" s="12"/>
      <c r="L583" s="12"/>
      <c r="M583" s="12"/>
      <c r="N583" s="31"/>
      <c r="O583" s="7">
        <f t="shared" si="165"/>
        <v>0</v>
      </c>
    </row>
    <row r="584" spans="1:16" x14ac:dyDescent="0.15">
      <c r="A584" s="39" t="s">
        <v>110</v>
      </c>
      <c r="B584" s="8"/>
      <c r="C584" s="10">
        <v>2</v>
      </c>
      <c r="D584" s="10"/>
      <c r="E584" s="10"/>
      <c r="F584" s="30"/>
      <c r="G584" s="7">
        <f t="shared" si="164"/>
        <v>2</v>
      </c>
      <c r="H584" s="58">
        <v>43195</v>
      </c>
      <c r="I584" s="16"/>
      <c r="J584" s="8"/>
      <c r="K584" s="10"/>
      <c r="L584" s="10"/>
      <c r="M584" s="10"/>
      <c r="N584" s="30"/>
      <c r="O584" s="7">
        <f t="shared" si="165"/>
        <v>0</v>
      </c>
    </row>
    <row r="585" spans="1:16" x14ac:dyDescent="0.15">
      <c r="A585" s="50" t="s">
        <v>29</v>
      </c>
      <c r="B585" s="8"/>
      <c r="C585" s="10">
        <v>1</v>
      </c>
      <c r="D585" s="10"/>
      <c r="E585" s="10"/>
      <c r="F585" s="30"/>
      <c r="G585" s="7">
        <f t="shared" si="164"/>
        <v>1</v>
      </c>
      <c r="H585" s="58">
        <v>43199</v>
      </c>
      <c r="I585" s="39"/>
      <c r="J585" s="8"/>
      <c r="K585" s="10"/>
      <c r="L585" s="10"/>
      <c r="M585" s="10"/>
      <c r="N585" s="30"/>
      <c r="O585" s="7">
        <f t="shared" si="165"/>
        <v>0</v>
      </c>
    </row>
    <row r="586" spans="1:16" x14ac:dyDescent="0.15">
      <c r="A586" s="39" t="s">
        <v>110</v>
      </c>
      <c r="B586" s="8"/>
      <c r="C586" s="10">
        <v>3</v>
      </c>
      <c r="D586" s="10"/>
      <c r="E586" s="10"/>
      <c r="F586" s="30"/>
      <c r="G586" s="7">
        <f t="shared" si="164"/>
        <v>3</v>
      </c>
      <c r="H586" s="58">
        <v>43206</v>
      </c>
      <c r="I586" s="16"/>
      <c r="J586" s="8"/>
      <c r="K586" s="10"/>
      <c r="L586" s="10"/>
      <c r="M586" s="10"/>
      <c r="N586" s="30"/>
      <c r="O586" s="7">
        <f t="shared" si="165"/>
        <v>0</v>
      </c>
    </row>
    <row r="587" spans="1:16" x14ac:dyDescent="0.15">
      <c r="A587" s="50" t="s">
        <v>29</v>
      </c>
      <c r="B587" s="8"/>
      <c r="C587" s="10"/>
      <c r="D587" s="10">
        <v>1</v>
      </c>
      <c r="E587" s="10"/>
      <c r="F587" s="30"/>
      <c r="G587" s="7">
        <f t="shared" si="164"/>
        <v>1</v>
      </c>
      <c r="H587" s="58">
        <v>43202</v>
      </c>
      <c r="I587" s="16"/>
      <c r="J587" s="8"/>
      <c r="K587" s="10"/>
      <c r="L587" s="10"/>
      <c r="M587" s="10"/>
      <c r="N587" s="30"/>
      <c r="O587" s="7">
        <f t="shared" si="165"/>
        <v>0</v>
      </c>
    </row>
    <row r="588" spans="1:16" x14ac:dyDescent="0.15">
      <c r="A588" s="39" t="s">
        <v>110</v>
      </c>
      <c r="B588" s="8"/>
      <c r="C588" s="10"/>
      <c r="D588" s="10">
        <v>3</v>
      </c>
      <c r="E588" s="10"/>
      <c r="F588" s="30"/>
      <c r="G588" s="7">
        <f t="shared" si="164"/>
        <v>3</v>
      </c>
      <c r="H588" s="58">
        <v>43213</v>
      </c>
      <c r="I588" s="16"/>
      <c r="J588" s="8"/>
      <c r="K588" s="10"/>
      <c r="L588" s="10"/>
      <c r="M588" s="10"/>
      <c r="N588" s="30"/>
      <c r="O588" s="7">
        <f t="shared" si="165"/>
        <v>0</v>
      </c>
    </row>
    <row r="589" spans="1:16" x14ac:dyDescent="0.15">
      <c r="A589" s="39" t="s">
        <v>110</v>
      </c>
      <c r="B589" s="8"/>
      <c r="C589" s="10"/>
      <c r="D589" s="10"/>
      <c r="E589" s="10"/>
      <c r="F589" s="30">
        <v>5</v>
      </c>
      <c r="G589" s="7">
        <f t="shared" si="164"/>
        <v>5</v>
      </c>
      <c r="H589" s="58">
        <v>43216</v>
      </c>
      <c r="I589" s="16"/>
      <c r="J589" s="8"/>
      <c r="K589" s="10"/>
      <c r="L589" s="10"/>
      <c r="M589" s="10"/>
      <c r="N589" s="30"/>
      <c r="O589" s="7">
        <f t="shared" si="165"/>
        <v>0</v>
      </c>
    </row>
    <row r="590" spans="1:16" x14ac:dyDescent="0.15">
      <c r="A590" s="50" t="s">
        <v>29</v>
      </c>
      <c r="B590" s="8"/>
      <c r="C590" s="10"/>
      <c r="D590" s="10"/>
      <c r="E590" s="10">
        <v>1</v>
      </c>
      <c r="F590" s="30"/>
      <c r="G590" s="7">
        <f t="shared" si="164"/>
        <v>1</v>
      </c>
      <c r="H590" s="58">
        <v>43213</v>
      </c>
      <c r="I590" s="14"/>
      <c r="J590" s="8"/>
      <c r="K590" s="10"/>
      <c r="L590" s="10"/>
      <c r="M590" s="10"/>
      <c r="N590" s="30"/>
      <c r="O590" s="7">
        <f t="shared" si="165"/>
        <v>0</v>
      </c>
      <c r="P590" s="56"/>
    </row>
    <row r="591" spans="1:16" x14ac:dyDescent="0.15">
      <c r="A591" s="50" t="s">
        <v>29</v>
      </c>
      <c r="B591" s="8"/>
      <c r="C591" s="10"/>
      <c r="D591" s="10"/>
      <c r="E591" s="10">
        <v>1</v>
      </c>
      <c r="F591" s="30"/>
      <c r="G591" s="7">
        <f t="shared" si="164"/>
        <v>1</v>
      </c>
      <c r="H591" s="58">
        <v>43215</v>
      </c>
      <c r="I591" s="16"/>
      <c r="J591" s="8"/>
      <c r="K591" s="10"/>
      <c r="L591" s="10"/>
      <c r="M591" s="10"/>
      <c r="N591" s="30"/>
      <c r="O591" s="7">
        <f t="shared" si="165"/>
        <v>0</v>
      </c>
      <c r="P591" s="56"/>
    </row>
    <row r="592" spans="1:16" x14ac:dyDescent="0.15">
      <c r="A592" s="39" t="s">
        <v>110</v>
      </c>
      <c r="B592" s="8"/>
      <c r="C592" s="10">
        <v>2</v>
      </c>
      <c r="D592" s="10"/>
      <c r="E592" s="10"/>
      <c r="F592" s="30"/>
      <c r="G592" s="7">
        <f t="shared" si="164"/>
        <v>2</v>
      </c>
      <c r="H592" s="58">
        <v>43231</v>
      </c>
      <c r="I592" s="16"/>
      <c r="J592" s="8"/>
      <c r="K592" s="10"/>
      <c r="L592" s="10"/>
      <c r="M592" s="10"/>
      <c r="N592" s="30"/>
      <c r="O592" s="7">
        <f t="shared" si="165"/>
        <v>0</v>
      </c>
      <c r="P592" s="56"/>
    </row>
    <row r="593" spans="1:16" x14ac:dyDescent="0.15">
      <c r="A593" s="50" t="s">
        <v>29</v>
      </c>
      <c r="B593" s="8"/>
      <c r="C593" s="10"/>
      <c r="D593" s="10"/>
      <c r="E593" s="10"/>
      <c r="F593" s="30">
        <v>1</v>
      </c>
      <c r="G593" s="7">
        <f t="shared" si="164"/>
        <v>1</v>
      </c>
      <c r="H593" s="58">
        <v>43227</v>
      </c>
      <c r="I593" s="16"/>
      <c r="J593" s="8"/>
      <c r="K593" s="10"/>
      <c r="L593" s="10"/>
      <c r="M593" s="10"/>
      <c r="N593" s="30"/>
      <c r="O593" s="7">
        <f t="shared" si="165"/>
        <v>0</v>
      </c>
      <c r="P593" s="56"/>
    </row>
    <row r="594" spans="1:16" x14ac:dyDescent="0.15">
      <c r="A594" s="50" t="s">
        <v>29</v>
      </c>
      <c r="B594" s="8"/>
      <c r="C594" s="10"/>
      <c r="D594" s="10"/>
      <c r="E594" s="10">
        <v>1</v>
      </c>
      <c r="F594" s="30"/>
      <c r="G594" s="7">
        <f t="shared" si="164"/>
        <v>1</v>
      </c>
      <c r="H594" s="58">
        <v>43235</v>
      </c>
      <c r="I594" s="16"/>
      <c r="J594" s="8"/>
      <c r="K594" s="10"/>
      <c r="L594" s="10"/>
      <c r="M594" s="10"/>
      <c r="N594" s="30"/>
      <c r="O594" s="7">
        <f t="shared" si="165"/>
        <v>0</v>
      </c>
      <c r="P594" s="58"/>
    </row>
    <row r="595" spans="1:16" x14ac:dyDescent="0.15">
      <c r="A595" s="39" t="s">
        <v>110</v>
      </c>
      <c r="B595" s="11"/>
      <c r="C595" s="12"/>
      <c r="D595" s="12"/>
      <c r="E595" s="12">
        <v>2</v>
      </c>
      <c r="F595" s="31"/>
      <c r="G595" s="7">
        <f t="shared" si="164"/>
        <v>2</v>
      </c>
      <c r="H595" s="58">
        <v>43248</v>
      </c>
      <c r="I595" s="50"/>
      <c r="J595" s="8"/>
      <c r="K595" s="10"/>
      <c r="L595" s="10"/>
      <c r="M595" s="10"/>
      <c r="N595" s="30"/>
      <c r="O595" s="7">
        <f t="shared" si="165"/>
        <v>0</v>
      </c>
      <c r="P595" s="58"/>
    </row>
    <row r="596" spans="1:16" x14ac:dyDescent="0.15">
      <c r="A596" s="16" t="s">
        <v>710</v>
      </c>
      <c r="B596" s="8">
        <v>5</v>
      </c>
      <c r="C596" s="10">
        <v>5</v>
      </c>
      <c r="D596" s="10">
        <v>5</v>
      </c>
      <c r="E596" s="10">
        <v>5</v>
      </c>
      <c r="F596" s="30">
        <v>5</v>
      </c>
      <c r="G596" s="7">
        <f t="shared" si="164"/>
        <v>25</v>
      </c>
      <c r="H596" s="58">
        <v>43248</v>
      </c>
      <c r="I596" s="16"/>
      <c r="J596" s="8"/>
      <c r="K596" s="10"/>
      <c r="L596" s="10"/>
      <c r="M596" s="10"/>
      <c r="N596" s="30"/>
      <c r="O596" s="7">
        <f t="shared" si="165"/>
        <v>0</v>
      </c>
      <c r="P596" s="58"/>
    </row>
    <row r="597" spans="1:16" x14ac:dyDescent="0.15">
      <c r="A597" s="16" t="s">
        <v>714</v>
      </c>
      <c r="B597" s="8"/>
      <c r="C597" s="10">
        <v>-5</v>
      </c>
      <c r="D597" s="10">
        <v>-5</v>
      </c>
      <c r="E597" s="10"/>
      <c r="F597" s="30"/>
      <c r="G597" s="7">
        <f t="shared" si="164"/>
        <v>-10</v>
      </c>
      <c r="H597" s="58">
        <v>43241</v>
      </c>
      <c r="I597" s="16"/>
      <c r="J597" s="8"/>
      <c r="K597" s="10"/>
      <c r="L597" s="10"/>
      <c r="M597" s="10"/>
      <c r="N597" s="30"/>
      <c r="O597" s="7">
        <f t="shared" si="165"/>
        <v>0</v>
      </c>
      <c r="P597" s="58"/>
    </row>
    <row r="598" spans="1:16" x14ac:dyDescent="0.15">
      <c r="A598" s="50" t="s">
        <v>29</v>
      </c>
      <c r="B598" s="8"/>
      <c r="C598" s="10">
        <v>1</v>
      </c>
      <c r="D598" s="10"/>
      <c r="E598" s="10"/>
      <c r="F598" s="30"/>
      <c r="G598" s="7">
        <f t="shared" si="164"/>
        <v>1</v>
      </c>
      <c r="H598" s="58">
        <v>43249</v>
      </c>
      <c r="I598" s="39"/>
      <c r="J598" s="8"/>
      <c r="K598" s="10"/>
      <c r="L598" s="10"/>
      <c r="M598" s="10"/>
      <c r="N598" s="30"/>
      <c r="O598" s="7">
        <f t="shared" si="165"/>
        <v>0</v>
      </c>
      <c r="P598" s="58"/>
    </row>
    <row r="599" spans="1:16" ht="14.25" thickBot="1" x14ac:dyDescent="0.2">
      <c r="A599" s="39"/>
      <c r="B599" s="11"/>
      <c r="C599" s="12"/>
      <c r="D599" s="12"/>
      <c r="E599" s="12"/>
      <c r="F599" s="31"/>
      <c r="G599" s="7">
        <f t="shared" si="164"/>
        <v>0</v>
      </c>
      <c r="H599" s="58"/>
      <c r="I599" s="149"/>
      <c r="J599" s="60"/>
      <c r="K599" s="127"/>
      <c r="L599" s="127"/>
      <c r="M599" s="127"/>
      <c r="N599" s="128"/>
      <c r="O599" s="115">
        <f t="shared" si="165"/>
        <v>0</v>
      </c>
      <c r="P599" s="58"/>
    </row>
    <row r="600" spans="1:16" ht="14.25" thickBot="1" x14ac:dyDescent="0.2">
      <c r="A600" s="3" t="s">
        <v>11</v>
      </c>
      <c r="B600" s="23">
        <f>SUM(B574:B599)</f>
        <v>16</v>
      </c>
      <c r="C600" s="4">
        <f>SUM(C574:C599)</f>
        <v>19</v>
      </c>
      <c r="D600" s="4">
        <f>SUM(D574:D599)</f>
        <v>19</v>
      </c>
      <c r="E600" s="6">
        <f>SUM(E574:E599)</f>
        <v>21</v>
      </c>
      <c r="F600" s="32">
        <f>SUM(F574:F599)</f>
        <v>20</v>
      </c>
      <c r="G600" s="5">
        <f>SUM(B600:F600)</f>
        <v>95</v>
      </c>
      <c r="H600" s="58"/>
      <c r="I600" s="3" t="s">
        <v>11</v>
      </c>
      <c r="J600" s="23">
        <f>SUM(J574:J599)</f>
        <v>10</v>
      </c>
      <c r="K600" s="4">
        <f>SUM(K574:K599)</f>
        <v>25</v>
      </c>
      <c r="L600" s="4">
        <f>SUM(L574:L599)</f>
        <v>20</v>
      </c>
      <c r="M600" s="6">
        <f>SUM(M574:M599)</f>
        <v>10</v>
      </c>
      <c r="N600" s="32">
        <f>SUM(N574:N599)</f>
        <v>10</v>
      </c>
      <c r="O600" s="5">
        <f>SUM(J600:N600)</f>
        <v>75</v>
      </c>
    </row>
    <row r="601" spans="1:16" ht="14.25" thickBot="1" x14ac:dyDescent="0.2">
      <c r="A601" s="25" t="s">
        <v>12</v>
      </c>
      <c r="B601" s="63">
        <f>B573-B600</f>
        <v>4</v>
      </c>
      <c r="C601" s="26">
        <f t="shared" ref="C601:G601" si="166">C573-C600</f>
        <v>6</v>
      </c>
      <c r="D601" s="71">
        <f t="shared" si="166"/>
        <v>9</v>
      </c>
      <c r="E601" s="26">
        <f t="shared" si="166"/>
        <v>4</v>
      </c>
      <c r="F601" s="70">
        <f t="shared" si="166"/>
        <v>4</v>
      </c>
      <c r="G601" s="27">
        <f t="shared" si="166"/>
        <v>27</v>
      </c>
      <c r="H601" s="58"/>
      <c r="I601" s="25" t="s">
        <v>12</v>
      </c>
      <c r="J601" s="63">
        <f>J573-J600</f>
        <v>194</v>
      </c>
      <c r="K601" s="26">
        <f t="shared" ref="K601:O601" si="167">K573-K600</f>
        <v>153</v>
      </c>
      <c r="L601" s="71">
        <f t="shared" si="167"/>
        <v>135</v>
      </c>
      <c r="M601" s="26">
        <f t="shared" si="167"/>
        <v>122</v>
      </c>
      <c r="N601" s="70">
        <f t="shared" si="167"/>
        <v>94</v>
      </c>
      <c r="O601" s="27">
        <f t="shared" si="167"/>
        <v>698</v>
      </c>
    </row>
    <row r="602" spans="1:16" ht="21" x14ac:dyDescent="0.2">
      <c r="A602" s="86" t="s">
        <v>50</v>
      </c>
      <c r="B602" s="87"/>
      <c r="C602" s="87"/>
      <c r="D602" s="87"/>
      <c r="E602" s="87"/>
      <c r="F602" s="87"/>
      <c r="G602" s="87"/>
      <c r="H602" s="58"/>
      <c r="I602" s="86" t="s">
        <v>50</v>
      </c>
      <c r="J602" s="87"/>
      <c r="K602" s="87"/>
      <c r="L602" s="87"/>
      <c r="M602" s="87"/>
      <c r="N602" s="87"/>
      <c r="O602" s="87"/>
    </row>
    <row r="603" spans="1:16" ht="21.75" thickBot="1" x14ac:dyDescent="0.25">
      <c r="A603" s="86" t="s">
        <v>51</v>
      </c>
      <c r="B603" s="87"/>
      <c r="C603" s="87"/>
      <c r="D603" s="87"/>
      <c r="E603" s="85"/>
      <c r="F603" s="88" t="s">
        <v>53</v>
      </c>
      <c r="G603" s="87"/>
      <c r="H603" s="58"/>
      <c r="I603" s="86" t="s">
        <v>51</v>
      </c>
      <c r="J603" s="87"/>
      <c r="K603" s="87"/>
      <c r="L603" s="87"/>
      <c r="M603" s="89"/>
      <c r="N603" s="88" t="s">
        <v>54</v>
      </c>
      <c r="O603" s="87"/>
    </row>
    <row r="604" spans="1:16" ht="14.25" thickBot="1" x14ac:dyDescent="0.2">
      <c r="A604" s="13" t="s">
        <v>0</v>
      </c>
      <c r="B604" s="228" t="s">
        <v>52</v>
      </c>
      <c r="C604" s="229"/>
      <c r="D604" s="229"/>
      <c r="E604" s="229"/>
      <c r="F604" s="230"/>
      <c r="G604" s="231"/>
      <c r="H604" s="58"/>
      <c r="I604" s="13" t="s">
        <v>0</v>
      </c>
      <c r="J604" s="228" t="s">
        <v>49</v>
      </c>
      <c r="K604" s="229"/>
      <c r="L604" s="229"/>
      <c r="M604" s="229"/>
      <c r="N604" s="230"/>
      <c r="O604" s="231"/>
    </row>
    <row r="605" spans="1:16" ht="14.25" thickBot="1" x14ac:dyDescent="0.2">
      <c r="A605" s="3" t="s">
        <v>1</v>
      </c>
      <c r="B605" s="2" t="s">
        <v>42</v>
      </c>
      <c r="C605" s="21" t="s">
        <v>43</v>
      </c>
      <c r="D605" s="21" t="s">
        <v>44</v>
      </c>
      <c r="E605" s="24" t="s">
        <v>45</v>
      </c>
      <c r="F605" s="33" t="s">
        <v>46</v>
      </c>
      <c r="G605" s="3" t="s">
        <v>2</v>
      </c>
      <c r="H605" s="58"/>
      <c r="I605" s="3" t="s">
        <v>1</v>
      </c>
      <c r="J605" s="2" t="s">
        <v>42</v>
      </c>
      <c r="K605" s="21" t="s">
        <v>43</v>
      </c>
      <c r="L605" s="21" t="s">
        <v>44</v>
      </c>
      <c r="M605" s="24" t="s">
        <v>45</v>
      </c>
      <c r="N605" s="33" t="s">
        <v>46</v>
      </c>
      <c r="O605" s="3" t="s">
        <v>2</v>
      </c>
    </row>
    <row r="606" spans="1:16" ht="14.25" thickBot="1" x14ac:dyDescent="0.2">
      <c r="A606" s="72" t="s">
        <v>79</v>
      </c>
      <c r="B606" s="73">
        <f>B601</f>
        <v>4</v>
      </c>
      <c r="C606" s="74">
        <f t="shared" ref="C606:F606" si="168">C601</f>
        <v>6</v>
      </c>
      <c r="D606" s="107">
        <f t="shared" si="168"/>
        <v>9</v>
      </c>
      <c r="E606" s="75">
        <f t="shared" si="168"/>
        <v>4</v>
      </c>
      <c r="F606" s="75">
        <f t="shared" si="168"/>
        <v>4</v>
      </c>
      <c r="G606" s="76">
        <f t="shared" ref="G606:G615" si="169">SUM(B606:F606)</f>
        <v>27</v>
      </c>
      <c r="H606" s="58"/>
      <c r="I606" s="72" t="s">
        <v>79</v>
      </c>
      <c r="J606" s="73">
        <f>J601</f>
        <v>194</v>
      </c>
      <c r="K606" s="74">
        <f t="shared" ref="K606:N606" si="170">K601</f>
        <v>153</v>
      </c>
      <c r="L606" s="107">
        <f t="shared" si="170"/>
        <v>135</v>
      </c>
      <c r="M606" s="75">
        <f t="shared" si="170"/>
        <v>122</v>
      </c>
      <c r="N606" s="75">
        <f t="shared" si="170"/>
        <v>94</v>
      </c>
      <c r="O606" s="76">
        <f t="shared" ref="O606:O615" si="171">SUM(J606:N606)</f>
        <v>698</v>
      </c>
    </row>
    <row r="607" spans="1:16" x14ac:dyDescent="0.15">
      <c r="A607" s="15" t="s">
        <v>15</v>
      </c>
      <c r="B607" s="37"/>
      <c r="C607" s="35"/>
      <c r="D607" s="35"/>
      <c r="E607" s="35"/>
      <c r="F607" s="28">
        <v>10</v>
      </c>
      <c r="G607" s="7">
        <f t="shared" si="169"/>
        <v>10</v>
      </c>
      <c r="H607" s="58">
        <v>43250</v>
      </c>
      <c r="I607" s="38" t="s">
        <v>15</v>
      </c>
      <c r="J607" s="37"/>
      <c r="K607" s="35"/>
      <c r="L607" s="35"/>
      <c r="M607" s="35"/>
      <c r="N607" s="28"/>
      <c r="O607" s="7">
        <f t="shared" si="171"/>
        <v>0</v>
      </c>
    </row>
    <row r="608" spans="1:16" x14ac:dyDescent="0.15">
      <c r="A608" s="15" t="s">
        <v>16</v>
      </c>
      <c r="B608" s="8">
        <v>2</v>
      </c>
      <c r="C608" s="10">
        <v>3</v>
      </c>
      <c r="D608" s="10">
        <v>5</v>
      </c>
      <c r="E608" s="10">
        <v>3</v>
      </c>
      <c r="F608" s="28">
        <v>3</v>
      </c>
      <c r="G608" s="9">
        <f t="shared" si="169"/>
        <v>16</v>
      </c>
      <c r="H608" s="58">
        <v>43255</v>
      </c>
      <c r="I608" s="15" t="s">
        <v>3</v>
      </c>
      <c r="J608" s="8"/>
      <c r="K608" s="10"/>
      <c r="L608" s="10"/>
      <c r="M608" s="10"/>
      <c r="N608" s="28"/>
      <c r="O608" s="9">
        <f t="shared" si="171"/>
        <v>0</v>
      </c>
    </row>
    <row r="609" spans="1:17" x14ac:dyDescent="0.15">
      <c r="A609" s="15" t="s">
        <v>18</v>
      </c>
      <c r="B609" s="8">
        <v>5</v>
      </c>
      <c r="C609" s="10"/>
      <c r="D609" s="10"/>
      <c r="E609" s="10">
        <v>5</v>
      </c>
      <c r="F609" s="28">
        <v>5</v>
      </c>
      <c r="G609" s="9">
        <f t="shared" si="169"/>
        <v>15</v>
      </c>
      <c r="H609" s="58">
        <v>43264</v>
      </c>
      <c r="I609" s="15" t="s">
        <v>4</v>
      </c>
      <c r="J609" s="8"/>
      <c r="K609" s="45"/>
      <c r="L609" s="45"/>
      <c r="M609" s="45"/>
      <c r="N609" s="46"/>
      <c r="O609" s="9">
        <f t="shared" si="171"/>
        <v>0</v>
      </c>
      <c r="P609" s="58"/>
    </row>
    <row r="610" spans="1:17" x14ac:dyDescent="0.15">
      <c r="A610" s="15" t="s">
        <v>20</v>
      </c>
      <c r="B610" s="8"/>
      <c r="C610" s="10">
        <v>5</v>
      </c>
      <c r="D610" s="10"/>
      <c r="E610" s="10">
        <v>5</v>
      </c>
      <c r="F610" s="28">
        <v>5</v>
      </c>
      <c r="G610" s="9">
        <f t="shared" si="169"/>
        <v>15</v>
      </c>
      <c r="H610" s="58">
        <v>43266</v>
      </c>
      <c r="I610" s="15" t="s">
        <v>5</v>
      </c>
      <c r="J610" s="8"/>
      <c r="K610" s="45"/>
      <c r="L610" s="45"/>
      <c r="M610" s="45"/>
      <c r="N610" s="46"/>
      <c r="O610" s="9">
        <f t="shared" si="171"/>
        <v>0</v>
      </c>
      <c r="P610" s="58"/>
    </row>
    <row r="611" spans="1:17" x14ac:dyDescent="0.15">
      <c r="A611" s="15" t="s">
        <v>80</v>
      </c>
      <c r="B611" s="8"/>
      <c r="C611" s="10">
        <v>5</v>
      </c>
      <c r="D611" s="10"/>
      <c r="E611" s="10"/>
      <c r="F611" s="28"/>
      <c r="G611" s="9">
        <f t="shared" si="169"/>
        <v>5</v>
      </c>
      <c r="H611" s="58">
        <v>43274</v>
      </c>
      <c r="I611" s="15" t="s">
        <v>6</v>
      </c>
      <c r="J611" s="8"/>
      <c r="K611" s="45"/>
      <c r="L611" s="45"/>
      <c r="M611" s="45"/>
      <c r="N611" s="46"/>
      <c r="O611" s="9">
        <f t="shared" si="171"/>
        <v>0</v>
      </c>
      <c r="P611" s="58"/>
    </row>
    <row r="612" spans="1:17" x14ac:dyDescent="0.15">
      <c r="A612" s="15" t="s">
        <v>19</v>
      </c>
      <c r="B612" s="8"/>
      <c r="C612" s="10"/>
      <c r="D612" s="10">
        <v>1</v>
      </c>
      <c r="E612" s="10"/>
      <c r="F612" s="28"/>
      <c r="G612" s="9">
        <f t="shared" si="169"/>
        <v>1</v>
      </c>
      <c r="H612" s="58">
        <v>43273</v>
      </c>
      <c r="I612" s="15" t="s">
        <v>84</v>
      </c>
      <c r="J612" s="8"/>
      <c r="K612" s="45"/>
      <c r="L612" s="45"/>
      <c r="M612" s="45"/>
      <c r="N612" s="46"/>
      <c r="O612" s="7">
        <f t="shared" si="171"/>
        <v>0</v>
      </c>
      <c r="P612" s="58"/>
    </row>
    <row r="613" spans="1:17" x14ac:dyDescent="0.15">
      <c r="A613" s="15" t="s">
        <v>82</v>
      </c>
      <c r="B613" s="8">
        <v>6</v>
      </c>
      <c r="C613" s="10">
        <v>15</v>
      </c>
      <c r="D613" s="10"/>
      <c r="E613" s="10"/>
      <c r="F613" s="28">
        <v>5</v>
      </c>
      <c r="G613" s="9">
        <f t="shared" si="169"/>
        <v>26</v>
      </c>
      <c r="H613" s="58">
        <v>43279</v>
      </c>
      <c r="I613" s="15" t="s">
        <v>85</v>
      </c>
      <c r="J613" s="8"/>
      <c r="K613" s="45"/>
      <c r="L613" s="45"/>
      <c r="M613" s="45"/>
      <c r="N613" s="46"/>
      <c r="O613" s="7">
        <f t="shared" si="171"/>
        <v>0</v>
      </c>
      <c r="P613" s="58"/>
    </row>
    <row r="614" spans="1:17" x14ac:dyDescent="0.15">
      <c r="A614" s="15" t="s">
        <v>83</v>
      </c>
      <c r="B614" s="11"/>
      <c r="C614" s="100"/>
      <c r="D614" s="100"/>
      <c r="E614" s="100">
        <v>5</v>
      </c>
      <c r="F614" s="109"/>
      <c r="G614" s="9">
        <f t="shared" si="169"/>
        <v>5</v>
      </c>
      <c r="H614" s="58">
        <v>43292</v>
      </c>
      <c r="I614" s="15" t="s">
        <v>86</v>
      </c>
      <c r="J614" s="8"/>
      <c r="K614" s="45"/>
      <c r="L614" s="45"/>
      <c r="M614" s="45"/>
      <c r="N614" s="46"/>
      <c r="O614" s="102">
        <f t="shared" si="171"/>
        <v>0</v>
      </c>
      <c r="P614" s="58"/>
    </row>
    <row r="615" spans="1:17" ht="14.25" thickBot="1" x14ac:dyDescent="0.2">
      <c r="A615" s="15" t="s">
        <v>159</v>
      </c>
      <c r="B615" s="11">
        <v>5</v>
      </c>
      <c r="C615" s="100">
        <v>5</v>
      </c>
      <c r="D615" s="100">
        <v>5</v>
      </c>
      <c r="E615" s="100">
        <v>5</v>
      </c>
      <c r="F615" s="109">
        <v>5</v>
      </c>
      <c r="G615" s="115">
        <f t="shared" si="169"/>
        <v>25</v>
      </c>
      <c r="H615" s="58">
        <v>43295</v>
      </c>
      <c r="I615" s="15" t="s">
        <v>87</v>
      </c>
      <c r="J615" s="47"/>
      <c r="K615" s="48"/>
      <c r="L615" s="48"/>
      <c r="M615" s="48"/>
      <c r="N615" s="49"/>
      <c r="O615" s="40">
        <f t="shared" si="171"/>
        <v>0</v>
      </c>
      <c r="P615" s="68"/>
    </row>
    <row r="616" spans="1:17" ht="14.25" thickBot="1" x14ac:dyDescent="0.2">
      <c r="A616" s="72" t="s">
        <v>7</v>
      </c>
      <c r="B616" s="73">
        <f>SUM(B606:B615)</f>
        <v>22</v>
      </c>
      <c r="C616" s="74">
        <f t="shared" ref="C616:G616" si="172">SUM(C606:C615)</f>
        <v>39</v>
      </c>
      <c r="D616" s="74">
        <f t="shared" si="172"/>
        <v>20</v>
      </c>
      <c r="E616" s="74">
        <f t="shared" si="172"/>
        <v>27</v>
      </c>
      <c r="F616" s="105">
        <f t="shared" si="172"/>
        <v>37</v>
      </c>
      <c r="G616" s="76">
        <f t="shared" si="172"/>
        <v>145</v>
      </c>
      <c r="H616" s="58"/>
      <c r="I616" s="72" t="s">
        <v>7</v>
      </c>
      <c r="J616" s="73">
        <f>SUM(J606:J615)</f>
        <v>194</v>
      </c>
      <c r="K616" s="74">
        <f t="shared" ref="K616:O616" si="173">SUM(K606:K615)</f>
        <v>153</v>
      </c>
      <c r="L616" s="74">
        <f t="shared" si="173"/>
        <v>135</v>
      </c>
      <c r="M616" s="74">
        <f t="shared" si="173"/>
        <v>122</v>
      </c>
      <c r="N616" s="105">
        <f t="shared" si="173"/>
        <v>94</v>
      </c>
      <c r="O616" s="76">
        <f t="shared" si="173"/>
        <v>698</v>
      </c>
    </row>
    <row r="617" spans="1:17" x14ac:dyDescent="0.15">
      <c r="A617" s="39" t="s">
        <v>110</v>
      </c>
      <c r="B617" s="8"/>
      <c r="C617" s="10"/>
      <c r="D617" s="10"/>
      <c r="E617" s="10"/>
      <c r="F617" s="30">
        <v>10</v>
      </c>
      <c r="G617" s="7">
        <f t="shared" ref="G617:G642" si="174">SUM(B617:F617)</f>
        <v>10</v>
      </c>
      <c r="H617" s="58">
        <v>43256</v>
      </c>
      <c r="I617" s="16" t="s">
        <v>717</v>
      </c>
      <c r="J617" s="8"/>
      <c r="K617" s="10"/>
      <c r="L617" s="10"/>
      <c r="M617" s="10"/>
      <c r="N617" s="28">
        <v>10</v>
      </c>
      <c r="O617" s="9">
        <f t="shared" ref="O617:O642" si="175">SUM(J617:N617)</f>
        <v>10</v>
      </c>
      <c r="P617" s="58">
        <v>43250</v>
      </c>
    </row>
    <row r="618" spans="1:17" x14ac:dyDescent="0.15">
      <c r="A618" s="39" t="s">
        <v>688</v>
      </c>
      <c r="B618" s="8">
        <v>2</v>
      </c>
      <c r="C618" s="10">
        <v>3</v>
      </c>
      <c r="D618" s="10">
        <v>5</v>
      </c>
      <c r="E618" s="10">
        <v>3</v>
      </c>
      <c r="F618" s="30">
        <v>3</v>
      </c>
      <c r="G618" s="7">
        <f t="shared" si="174"/>
        <v>16</v>
      </c>
      <c r="H618" s="58">
        <v>43258</v>
      </c>
      <c r="I618" s="16" t="s">
        <v>24</v>
      </c>
      <c r="J618" s="8">
        <v>2</v>
      </c>
      <c r="K618" s="10">
        <v>3</v>
      </c>
      <c r="L618" s="10">
        <v>5</v>
      </c>
      <c r="M618" s="10">
        <v>3</v>
      </c>
      <c r="N618" s="30">
        <v>3</v>
      </c>
      <c r="O618" s="7">
        <f t="shared" si="175"/>
        <v>16</v>
      </c>
      <c r="P618" s="58">
        <v>43255</v>
      </c>
    </row>
    <row r="619" spans="1:17" x14ac:dyDescent="0.15">
      <c r="A619" s="16" t="s">
        <v>110</v>
      </c>
      <c r="B619" s="8"/>
      <c r="C619" s="10"/>
      <c r="D619" s="10"/>
      <c r="E619" s="10">
        <v>3</v>
      </c>
      <c r="F619" s="30"/>
      <c r="G619" s="7">
        <f t="shared" si="174"/>
        <v>3</v>
      </c>
      <c r="H619" s="58">
        <v>43266</v>
      </c>
      <c r="I619" s="16" t="s">
        <v>24</v>
      </c>
      <c r="J619" s="8">
        <v>5</v>
      </c>
      <c r="K619" s="10"/>
      <c r="L619" s="10"/>
      <c r="M619" s="10">
        <v>5</v>
      </c>
      <c r="N619" s="30">
        <v>5</v>
      </c>
      <c r="O619" s="7">
        <f t="shared" si="175"/>
        <v>15</v>
      </c>
      <c r="P619" s="58">
        <v>43264</v>
      </c>
    </row>
    <row r="620" spans="1:17" x14ac:dyDescent="0.15">
      <c r="A620" s="50" t="s">
        <v>729</v>
      </c>
      <c r="B620" s="8">
        <v>1</v>
      </c>
      <c r="C620" s="10">
        <v>1</v>
      </c>
      <c r="D620" s="10">
        <v>1</v>
      </c>
      <c r="E620" s="10">
        <v>1</v>
      </c>
      <c r="F620" s="30">
        <v>1</v>
      </c>
      <c r="G620" s="7">
        <f t="shared" si="174"/>
        <v>5</v>
      </c>
      <c r="H620" s="58">
        <v>43266</v>
      </c>
      <c r="I620" s="16" t="s">
        <v>24</v>
      </c>
      <c r="J620" s="8"/>
      <c r="K620" s="10">
        <v>5</v>
      </c>
      <c r="L620" s="10"/>
      <c r="M620" s="10">
        <v>5</v>
      </c>
      <c r="N620" s="30">
        <v>5</v>
      </c>
      <c r="O620" s="7">
        <f t="shared" si="175"/>
        <v>15</v>
      </c>
      <c r="P620" s="58">
        <v>43266</v>
      </c>
    </row>
    <row r="621" spans="1:17" x14ac:dyDescent="0.15">
      <c r="A621" s="39" t="s">
        <v>117</v>
      </c>
      <c r="B621" s="8"/>
      <c r="C621" s="10">
        <v>1</v>
      </c>
      <c r="D621" s="10"/>
      <c r="E621" s="10"/>
      <c r="F621" s="30"/>
      <c r="G621" s="7">
        <f t="shared" si="174"/>
        <v>1</v>
      </c>
      <c r="H621" s="58">
        <v>43265</v>
      </c>
      <c r="I621" s="16" t="s">
        <v>743</v>
      </c>
      <c r="J621" s="8"/>
      <c r="K621" s="10">
        <v>5</v>
      </c>
      <c r="L621" s="10"/>
      <c r="M621" s="10"/>
      <c r="N621" s="30"/>
      <c r="O621" s="7">
        <f t="shared" si="175"/>
        <v>5</v>
      </c>
      <c r="P621" s="58">
        <v>43274</v>
      </c>
    </row>
    <row r="622" spans="1:17" x14ac:dyDescent="0.15">
      <c r="A622" s="50" t="s">
        <v>30</v>
      </c>
      <c r="B622" s="8"/>
      <c r="C622" s="10">
        <v>1</v>
      </c>
      <c r="D622" s="10"/>
      <c r="E622" s="10"/>
      <c r="F622" s="30"/>
      <c r="G622" s="7">
        <f t="shared" si="174"/>
        <v>1</v>
      </c>
      <c r="H622" s="58">
        <v>43269</v>
      </c>
      <c r="I622" s="16" t="s">
        <v>24</v>
      </c>
      <c r="J622" s="8">
        <v>6</v>
      </c>
      <c r="K622" s="10">
        <v>15</v>
      </c>
      <c r="L622" s="10"/>
      <c r="M622" s="10"/>
      <c r="N622" s="30">
        <v>5</v>
      </c>
      <c r="O622" s="7">
        <f t="shared" si="175"/>
        <v>26</v>
      </c>
      <c r="P622" s="58">
        <v>43279</v>
      </c>
    </row>
    <row r="623" spans="1:17" x14ac:dyDescent="0.15">
      <c r="A623" s="156"/>
      <c r="B623" s="8"/>
      <c r="C623" s="10"/>
      <c r="D623" s="10"/>
      <c r="E623" s="10"/>
      <c r="F623" s="30"/>
      <c r="G623" s="7">
        <f t="shared" si="174"/>
        <v>0</v>
      </c>
      <c r="H623" s="58"/>
      <c r="I623" s="16" t="s">
        <v>24</v>
      </c>
      <c r="J623" s="8"/>
      <c r="K623" s="10"/>
      <c r="L623" s="10"/>
      <c r="M623" s="10">
        <v>5</v>
      </c>
      <c r="N623" s="30"/>
      <c r="O623" s="7">
        <f t="shared" si="175"/>
        <v>5</v>
      </c>
      <c r="P623" s="58">
        <v>43292</v>
      </c>
    </row>
    <row r="624" spans="1:17" x14ac:dyDescent="0.15">
      <c r="A624" s="16" t="s">
        <v>710</v>
      </c>
      <c r="B624" s="8"/>
      <c r="C624" s="10"/>
      <c r="D624" s="10"/>
      <c r="E624" s="10"/>
      <c r="F624" s="30">
        <v>5</v>
      </c>
      <c r="G624" s="7">
        <f t="shared" si="174"/>
        <v>5</v>
      </c>
      <c r="H624" s="58">
        <v>43269</v>
      </c>
      <c r="I624" s="16" t="s">
        <v>743</v>
      </c>
      <c r="J624" s="8">
        <v>5</v>
      </c>
      <c r="K624" s="10">
        <v>5</v>
      </c>
      <c r="L624" s="10">
        <v>5</v>
      </c>
      <c r="M624" s="10">
        <v>5</v>
      </c>
      <c r="N624" s="30">
        <v>5</v>
      </c>
      <c r="O624" s="7">
        <f t="shared" si="175"/>
        <v>25</v>
      </c>
      <c r="P624" s="58">
        <v>43295</v>
      </c>
      <c r="Q624" s="56"/>
    </row>
    <row r="625" spans="1:16" x14ac:dyDescent="0.15">
      <c r="A625" s="39" t="s">
        <v>734</v>
      </c>
      <c r="B625" s="8">
        <v>1</v>
      </c>
      <c r="C625" s="10"/>
      <c r="D625" s="10"/>
      <c r="E625" s="10"/>
      <c r="F625" s="30"/>
      <c r="G625" s="7">
        <f t="shared" si="174"/>
        <v>1</v>
      </c>
      <c r="H625" s="58">
        <v>43266</v>
      </c>
      <c r="I625" s="16" t="s">
        <v>743</v>
      </c>
      <c r="J625" s="8"/>
      <c r="K625" s="10"/>
      <c r="L625" s="10"/>
      <c r="M625" s="10"/>
      <c r="N625" s="30">
        <v>5</v>
      </c>
      <c r="O625" s="7">
        <f t="shared" si="175"/>
        <v>5</v>
      </c>
      <c r="P625" s="58">
        <v>43302</v>
      </c>
    </row>
    <row r="626" spans="1:16" x14ac:dyDescent="0.15">
      <c r="A626" s="16" t="s">
        <v>110</v>
      </c>
      <c r="B626" s="11"/>
      <c r="C626" s="12">
        <v>2</v>
      </c>
      <c r="D626" s="12"/>
      <c r="E626" s="12"/>
      <c r="F626" s="31"/>
      <c r="G626" s="7">
        <f t="shared" si="174"/>
        <v>2</v>
      </c>
      <c r="H626" s="58">
        <v>43278</v>
      </c>
      <c r="I626" s="16" t="s">
        <v>781</v>
      </c>
      <c r="J626" s="11"/>
      <c r="K626" s="12">
        <v>5</v>
      </c>
      <c r="L626" s="12"/>
      <c r="M626" s="12"/>
      <c r="N626" s="31"/>
      <c r="O626" s="7">
        <f t="shared" si="175"/>
        <v>5</v>
      </c>
      <c r="P626" s="58">
        <v>43308</v>
      </c>
    </row>
    <row r="627" spans="1:16" x14ac:dyDescent="0.15">
      <c r="A627" s="39" t="s">
        <v>742</v>
      </c>
      <c r="B627" s="8"/>
      <c r="C627" s="10"/>
      <c r="D627" s="10"/>
      <c r="E627" s="10"/>
      <c r="F627" s="30">
        <v>1</v>
      </c>
      <c r="G627" s="7">
        <f t="shared" si="174"/>
        <v>1</v>
      </c>
      <c r="H627" s="58">
        <v>43272</v>
      </c>
      <c r="I627" s="16"/>
      <c r="J627" s="8"/>
      <c r="K627" s="10"/>
      <c r="L627" s="10"/>
      <c r="M627" s="10"/>
      <c r="N627" s="30"/>
      <c r="O627" s="7">
        <f t="shared" si="175"/>
        <v>0</v>
      </c>
      <c r="P627" s="56"/>
    </row>
    <row r="628" spans="1:16" x14ac:dyDescent="0.15">
      <c r="A628" s="16" t="s">
        <v>710</v>
      </c>
      <c r="B628" s="8"/>
      <c r="C628" s="10">
        <v>5</v>
      </c>
      <c r="D628" s="10"/>
      <c r="E628" s="10"/>
      <c r="F628" s="30"/>
      <c r="G628" s="7">
        <f t="shared" si="174"/>
        <v>5</v>
      </c>
      <c r="H628" s="58">
        <v>43280</v>
      </c>
      <c r="I628" s="39"/>
      <c r="J628" s="8"/>
      <c r="K628" s="10"/>
      <c r="L628" s="10"/>
      <c r="M628" s="10"/>
      <c r="N628" s="30"/>
      <c r="O628" s="7">
        <f t="shared" si="175"/>
        <v>0</v>
      </c>
    </row>
    <row r="629" spans="1:16" x14ac:dyDescent="0.15">
      <c r="A629" s="39" t="s">
        <v>117</v>
      </c>
      <c r="B629" s="8">
        <v>1</v>
      </c>
      <c r="C629" s="10"/>
      <c r="D629" s="10"/>
      <c r="E629" s="10"/>
      <c r="F629" s="30"/>
      <c r="G629" s="7">
        <f t="shared" si="174"/>
        <v>1</v>
      </c>
      <c r="H629" s="58">
        <v>43277</v>
      </c>
      <c r="I629" s="16"/>
      <c r="J629" s="8"/>
      <c r="K629" s="10"/>
      <c r="L629" s="10"/>
      <c r="M629" s="10"/>
      <c r="N629" s="30"/>
      <c r="O629" s="7">
        <f t="shared" si="175"/>
        <v>0</v>
      </c>
    </row>
    <row r="630" spans="1:16" x14ac:dyDescent="0.15">
      <c r="A630" s="50" t="s">
        <v>30</v>
      </c>
      <c r="B630" s="8"/>
      <c r="C630" s="10"/>
      <c r="D630" s="10">
        <v>1</v>
      </c>
      <c r="E630" s="10"/>
      <c r="F630" s="30">
        <v>1</v>
      </c>
      <c r="G630" s="7">
        <f t="shared" ref="G630" si="176">SUM(B630:F630)</f>
        <v>2</v>
      </c>
      <c r="H630" s="58">
        <v>43280</v>
      </c>
      <c r="I630" s="16"/>
      <c r="J630" s="8"/>
      <c r="K630" s="10"/>
      <c r="L630" s="10"/>
      <c r="M630" s="10"/>
      <c r="N630" s="30"/>
      <c r="O630" s="7">
        <f t="shared" si="175"/>
        <v>0</v>
      </c>
    </row>
    <row r="631" spans="1:16" x14ac:dyDescent="0.15">
      <c r="A631" s="39" t="s">
        <v>688</v>
      </c>
      <c r="B631" s="8">
        <v>2</v>
      </c>
      <c r="C631" s="10"/>
      <c r="D631" s="10"/>
      <c r="E631" s="10"/>
      <c r="F631" s="30"/>
      <c r="G631" s="7">
        <f t="shared" si="174"/>
        <v>2</v>
      </c>
      <c r="H631" s="58">
        <v>43284</v>
      </c>
      <c r="I631" s="16"/>
      <c r="J631" s="8"/>
      <c r="K631" s="10"/>
      <c r="L631" s="10"/>
      <c r="M631" s="10"/>
      <c r="N631" s="30"/>
      <c r="O631" s="7">
        <f t="shared" si="175"/>
        <v>0</v>
      </c>
    </row>
    <row r="632" spans="1:16" x14ac:dyDescent="0.15">
      <c r="A632" s="39" t="s">
        <v>688</v>
      </c>
      <c r="B632" s="8">
        <v>2</v>
      </c>
      <c r="C632" s="10">
        <v>4</v>
      </c>
      <c r="D632" s="10"/>
      <c r="E632" s="10">
        <v>2</v>
      </c>
      <c r="F632" s="30"/>
      <c r="G632" s="7">
        <f t="shared" si="174"/>
        <v>8</v>
      </c>
      <c r="H632" s="58">
        <v>43286</v>
      </c>
      <c r="I632" s="16"/>
      <c r="J632" s="8"/>
      <c r="K632" s="10"/>
      <c r="L632" s="10"/>
      <c r="M632" s="10"/>
      <c r="N632" s="30"/>
      <c r="O632" s="7">
        <f t="shared" si="175"/>
        <v>0</v>
      </c>
    </row>
    <row r="633" spans="1:16" x14ac:dyDescent="0.15">
      <c r="A633" s="50" t="s">
        <v>759</v>
      </c>
      <c r="B633" s="8"/>
      <c r="C633" s="10">
        <v>5</v>
      </c>
      <c r="D633" s="10"/>
      <c r="E633" s="10"/>
      <c r="F633" s="30">
        <v>5</v>
      </c>
      <c r="G633" s="7">
        <f t="shared" si="174"/>
        <v>10</v>
      </c>
      <c r="H633" s="58">
        <v>43294</v>
      </c>
      <c r="I633" s="14"/>
      <c r="J633" s="8"/>
      <c r="K633" s="10"/>
      <c r="L633" s="10"/>
      <c r="M633" s="10"/>
      <c r="N633" s="30"/>
      <c r="O633" s="7">
        <f t="shared" si="175"/>
        <v>0</v>
      </c>
      <c r="P633" s="56"/>
    </row>
    <row r="634" spans="1:16" x14ac:dyDescent="0.15">
      <c r="A634" s="50" t="s">
        <v>760</v>
      </c>
      <c r="B634" s="8"/>
      <c r="C634" s="10">
        <v>1</v>
      </c>
      <c r="D634" s="10"/>
      <c r="E634" s="10"/>
      <c r="F634" s="30"/>
      <c r="G634" s="7">
        <f t="shared" si="174"/>
        <v>1</v>
      </c>
      <c r="H634" s="58">
        <v>43287</v>
      </c>
      <c r="I634" s="16"/>
      <c r="J634" s="8"/>
      <c r="K634" s="10"/>
      <c r="L634" s="10"/>
      <c r="M634" s="10"/>
      <c r="N634" s="30"/>
      <c r="O634" s="7">
        <f t="shared" si="175"/>
        <v>0</v>
      </c>
      <c r="P634" s="56"/>
    </row>
    <row r="635" spans="1:16" x14ac:dyDescent="0.15">
      <c r="A635" s="39" t="s">
        <v>762</v>
      </c>
      <c r="B635" s="8">
        <v>2</v>
      </c>
      <c r="C635" s="10">
        <v>2</v>
      </c>
      <c r="D635" s="10">
        <v>2</v>
      </c>
      <c r="E635" s="10">
        <v>2</v>
      </c>
      <c r="F635" s="30"/>
      <c r="G635" s="7">
        <f t="shared" si="174"/>
        <v>8</v>
      </c>
      <c r="H635" s="58">
        <v>43291</v>
      </c>
      <c r="I635" s="94"/>
      <c r="J635" s="8"/>
      <c r="K635" s="10"/>
      <c r="L635" s="10"/>
      <c r="M635" s="10"/>
      <c r="N635" s="30"/>
      <c r="O635" s="7">
        <f t="shared" si="175"/>
        <v>0</v>
      </c>
      <c r="P635" s="56"/>
    </row>
    <row r="636" spans="1:16" x14ac:dyDescent="0.15">
      <c r="A636" s="39" t="s">
        <v>688</v>
      </c>
      <c r="B636" s="8"/>
      <c r="C636" s="10"/>
      <c r="D636" s="10"/>
      <c r="E636" s="10">
        <v>4</v>
      </c>
      <c r="F636" s="30">
        <v>1</v>
      </c>
      <c r="G636" s="7">
        <f t="shared" si="174"/>
        <v>5</v>
      </c>
      <c r="H636" s="58">
        <v>43293</v>
      </c>
      <c r="I636" s="16"/>
      <c r="J636" s="8"/>
      <c r="K636" s="10"/>
      <c r="L636" s="10"/>
      <c r="M636" s="10"/>
      <c r="N636" s="30"/>
      <c r="O636" s="7">
        <f t="shared" si="175"/>
        <v>0</v>
      </c>
      <c r="P636" s="56"/>
    </row>
    <row r="637" spans="1:16" x14ac:dyDescent="0.15">
      <c r="A637" s="50" t="s">
        <v>30</v>
      </c>
      <c r="B637" s="8"/>
      <c r="C637" s="10"/>
      <c r="D637" s="10"/>
      <c r="E637" s="10"/>
      <c r="F637" s="30">
        <v>2</v>
      </c>
      <c r="G637" s="7">
        <f t="shared" si="174"/>
        <v>2</v>
      </c>
      <c r="H637" s="58">
        <v>43294</v>
      </c>
      <c r="I637" s="94"/>
      <c r="J637" s="8"/>
      <c r="K637" s="10"/>
      <c r="L637" s="10"/>
      <c r="M637" s="10"/>
      <c r="N637" s="30"/>
      <c r="O637" s="7">
        <f t="shared" si="175"/>
        <v>0</v>
      </c>
      <c r="P637" s="58"/>
    </row>
    <row r="638" spans="1:16" x14ac:dyDescent="0.15">
      <c r="A638" s="50" t="s">
        <v>30</v>
      </c>
      <c r="B638" s="11">
        <v>1</v>
      </c>
      <c r="C638" s="12"/>
      <c r="D638" s="12">
        <v>1</v>
      </c>
      <c r="E638" s="12"/>
      <c r="F638" s="31"/>
      <c r="G638" s="7">
        <f t="shared" si="174"/>
        <v>2</v>
      </c>
      <c r="H638" s="58">
        <v>43298</v>
      </c>
      <c r="I638" s="50"/>
      <c r="J638" s="8"/>
      <c r="K638" s="10"/>
      <c r="L638" s="10"/>
      <c r="M638" s="10"/>
      <c r="N638" s="30"/>
      <c r="O638" s="7">
        <f t="shared" si="175"/>
        <v>0</v>
      </c>
      <c r="P638" s="58"/>
    </row>
    <row r="639" spans="1:16" x14ac:dyDescent="0.15">
      <c r="A639" s="39" t="s">
        <v>25</v>
      </c>
      <c r="B639" s="8"/>
      <c r="C639" s="10"/>
      <c r="D639" s="10"/>
      <c r="E639" s="10"/>
      <c r="F639" s="30">
        <v>1</v>
      </c>
      <c r="G639" s="7">
        <f t="shared" si="174"/>
        <v>1</v>
      </c>
      <c r="H639" s="58">
        <v>43295</v>
      </c>
      <c r="I639" s="16"/>
      <c r="J639" s="8"/>
      <c r="K639" s="10"/>
      <c r="L639" s="10"/>
      <c r="M639" s="10"/>
      <c r="N639" s="30"/>
      <c r="O639" s="7">
        <v>8</v>
      </c>
      <c r="P639" s="58"/>
    </row>
    <row r="640" spans="1:16" x14ac:dyDescent="0.15">
      <c r="A640" s="39" t="s">
        <v>25</v>
      </c>
      <c r="B640" s="8"/>
      <c r="C640" s="10"/>
      <c r="D640" s="10"/>
      <c r="E640" s="10"/>
      <c r="F640" s="30">
        <v>1</v>
      </c>
      <c r="G640" s="7">
        <f t="shared" si="174"/>
        <v>1</v>
      </c>
      <c r="H640" s="58">
        <v>43299</v>
      </c>
      <c r="I640" s="16"/>
      <c r="J640" s="8"/>
      <c r="K640" s="10"/>
      <c r="L640" s="10"/>
      <c r="M640" s="10"/>
      <c r="N640" s="30"/>
      <c r="O640" s="7">
        <f t="shared" si="175"/>
        <v>0</v>
      </c>
      <c r="P640" s="58"/>
    </row>
    <row r="641" spans="1:16" x14ac:dyDescent="0.15">
      <c r="A641" s="50" t="s">
        <v>29</v>
      </c>
      <c r="B641" s="8"/>
      <c r="C641" s="10"/>
      <c r="D641" s="10"/>
      <c r="E641" s="10">
        <v>1</v>
      </c>
      <c r="F641" s="30"/>
      <c r="G641" s="7">
        <f t="shared" si="174"/>
        <v>1</v>
      </c>
      <c r="H641" s="58">
        <v>43298</v>
      </c>
      <c r="I641" s="39"/>
      <c r="J641" s="8"/>
      <c r="K641" s="10"/>
      <c r="L641" s="10"/>
      <c r="M641" s="10"/>
      <c r="N641" s="30"/>
      <c r="O641" s="7">
        <f t="shared" si="175"/>
        <v>0</v>
      </c>
      <c r="P641" s="58"/>
    </row>
    <row r="642" spans="1:16" ht="14.25" thickBot="1" x14ac:dyDescent="0.2">
      <c r="A642" s="39" t="s">
        <v>772</v>
      </c>
      <c r="B642" s="11"/>
      <c r="C642" s="12"/>
      <c r="D642" s="12"/>
      <c r="E642" s="12"/>
      <c r="F642" s="31">
        <v>-5</v>
      </c>
      <c r="G642" s="7">
        <f t="shared" si="174"/>
        <v>-5</v>
      </c>
      <c r="H642" s="58">
        <v>43302</v>
      </c>
      <c r="I642" s="149"/>
      <c r="J642" s="60"/>
      <c r="K642" s="127"/>
      <c r="L642" s="127"/>
      <c r="M642" s="127"/>
      <c r="N642" s="128"/>
      <c r="O642" s="115">
        <f t="shared" si="175"/>
        <v>0</v>
      </c>
      <c r="P642" s="58"/>
    </row>
    <row r="643" spans="1:16" ht="14.25" thickBot="1" x14ac:dyDescent="0.2">
      <c r="A643" s="3" t="s">
        <v>11</v>
      </c>
      <c r="B643" s="23">
        <f>SUM(B617:B642)</f>
        <v>12</v>
      </c>
      <c r="C643" s="4">
        <f>SUM(C617:C642)</f>
        <v>25</v>
      </c>
      <c r="D643" s="4">
        <f>SUM(D617:D642)</f>
        <v>10</v>
      </c>
      <c r="E643" s="6">
        <f>SUM(E617:E642)</f>
        <v>16</v>
      </c>
      <c r="F643" s="32">
        <f>SUM(F617:F642)</f>
        <v>26</v>
      </c>
      <c r="G643" s="5">
        <f>SUM(B643:F643)</f>
        <v>89</v>
      </c>
      <c r="H643" s="58"/>
      <c r="I643" s="3" t="s">
        <v>11</v>
      </c>
      <c r="J643" s="23">
        <f>SUM(J617:J642)</f>
        <v>18</v>
      </c>
      <c r="K643" s="4">
        <f>SUM(K617:K642)</f>
        <v>38</v>
      </c>
      <c r="L643" s="4">
        <f>SUM(L617:L642)</f>
        <v>10</v>
      </c>
      <c r="M643" s="6">
        <f>SUM(M617:M642)</f>
        <v>23</v>
      </c>
      <c r="N643" s="32">
        <f>SUM(N617:N642)</f>
        <v>38</v>
      </c>
      <c r="O643" s="5">
        <f>SUM(J643:N643)</f>
        <v>127</v>
      </c>
    </row>
    <row r="644" spans="1:16" ht="14.25" thickBot="1" x14ac:dyDescent="0.2">
      <c r="A644" s="25" t="s">
        <v>12</v>
      </c>
      <c r="B644" s="63">
        <f>B616-B643</f>
        <v>10</v>
      </c>
      <c r="C644" s="26">
        <f t="shared" ref="C644:G644" si="177">C616-C643</f>
        <v>14</v>
      </c>
      <c r="D644" s="71">
        <f t="shared" si="177"/>
        <v>10</v>
      </c>
      <c r="E644" s="26">
        <f t="shared" si="177"/>
        <v>11</v>
      </c>
      <c r="F644" s="70">
        <f t="shared" si="177"/>
        <v>11</v>
      </c>
      <c r="G644" s="27">
        <f t="shared" si="177"/>
        <v>56</v>
      </c>
      <c r="H644" s="58"/>
      <c r="I644" s="25" t="s">
        <v>12</v>
      </c>
      <c r="J644" s="63">
        <f>J616-J643</f>
        <v>176</v>
      </c>
      <c r="K644" s="26">
        <f t="shared" ref="K644:O644" si="178">K616-K643</f>
        <v>115</v>
      </c>
      <c r="L644" s="71">
        <f t="shared" si="178"/>
        <v>125</v>
      </c>
      <c r="M644" s="26">
        <f t="shared" si="178"/>
        <v>99</v>
      </c>
      <c r="N644" s="70">
        <f t="shared" si="178"/>
        <v>56</v>
      </c>
      <c r="O644" s="27">
        <f t="shared" si="178"/>
        <v>571</v>
      </c>
    </row>
    <row r="645" spans="1:16" ht="21" x14ac:dyDescent="0.2">
      <c r="A645" s="86" t="s">
        <v>50</v>
      </c>
      <c r="B645" s="87"/>
      <c r="C645" s="87"/>
      <c r="D645" s="87"/>
      <c r="E645" s="87"/>
      <c r="F645" s="87"/>
      <c r="G645" s="87"/>
      <c r="H645" s="58"/>
      <c r="I645" s="86" t="s">
        <v>50</v>
      </c>
      <c r="J645" s="87"/>
      <c r="K645" s="87"/>
      <c r="L645" s="87"/>
      <c r="M645" s="87"/>
      <c r="N645" s="87"/>
      <c r="O645" s="87"/>
    </row>
    <row r="646" spans="1:16" ht="21.75" thickBot="1" x14ac:dyDescent="0.25">
      <c r="A646" s="86" t="s">
        <v>51</v>
      </c>
      <c r="B646" s="87"/>
      <c r="C646" s="87"/>
      <c r="D646" s="87"/>
      <c r="E646" s="85"/>
      <c r="F646" s="88" t="s">
        <v>53</v>
      </c>
      <c r="G646" s="87"/>
      <c r="H646" s="58"/>
      <c r="I646" s="86" t="s">
        <v>51</v>
      </c>
      <c r="J646" s="87"/>
      <c r="K646" s="87"/>
      <c r="L646" s="87"/>
      <c r="M646" s="89"/>
      <c r="N646" s="88" t="s">
        <v>54</v>
      </c>
      <c r="O646" s="87"/>
    </row>
    <row r="647" spans="1:16" ht="14.25" thickBot="1" x14ac:dyDescent="0.2">
      <c r="A647" s="13" t="s">
        <v>0</v>
      </c>
      <c r="B647" s="228" t="s">
        <v>52</v>
      </c>
      <c r="C647" s="229"/>
      <c r="D647" s="229"/>
      <c r="E647" s="229"/>
      <c r="F647" s="230"/>
      <c r="G647" s="231"/>
      <c r="H647" s="58"/>
      <c r="I647" s="13" t="s">
        <v>0</v>
      </c>
      <c r="J647" s="228" t="s">
        <v>49</v>
      </c>
      <c r="K647" s="229"/>
      <c r="L647" s="229"/>
      <c r="M647" s="229"/>
      <c r="N647" s="230"/>
      <c r="O647" s="231"/>
    </row>
    <row r="648" spans="1:16" ht="14.25" thickBot="1" x14ac:dyDescent="0.2">
      <c r="A648" s="3" t="s">
        <v>1</v>
      </c>
      <c r="B648" s="2" t="s">
        <v>42</v>
      </c>
      <c r="C648" s="21" t="s">
        <v>43</v>
      </c>
      <c r="D648" s="21" t="s">
        <v>44</v>
      </c>
      <c r="E648" s="24" t="s">
        <v>45</v>
      </c>
      <c r="F648" s="33" t="s">
        <v>46</v>
      </c>
      <c r="G648" s="3" t="s">
        <v>2</v>
      </c>
      <c r="H648" s="58"/>
      <c r="I648" s="3" t="s">
        <v>1</v>
      </c>
      <c r="J648" s="2" t="s">
        <v>42</v>
      </c>
      <c r="K648" s="21" t="s">
        <v>43</v>
      </c>
      <c r="L648" s="21" t="s">
        <v>44</v>
      </c>
      <c r="M648" s="24" t="s">
        <v>45</v>
      </c>
      <c r="N648" s="33" t="s">
        <v>46</v>
      </c>
      <c r="O648" s="3" t="s">
        <v>2</v>
      </c>
    </row>
    <row r="649" spans="1:16" ht="14.25" thickBot="1" x14ac:dyDescent="0.2">
      <c r="A649" s="72" t="s">
        <v>79</v>
      </c>
      <c r="B649" s="73">
        <f>B644</f>
        <v>10</v>
      </c>
      <c r="C649" s="74">
        <f t="shared" ref="C649:F649" si="179">C644</f>
        <v>14</v>
      </c>
      <c r="D649" s="107">
        <f t="shared" si="179"/>
        <v>10</v>
      </c>
      <c r="E649" s="75">
        <f t="shared" si="179"/>
        <v>11</v>
      </c>
      <c r="F649" s="75">
        <f t="shared" si="179"/>
        <v>11</v>
      </c>
      <c r="G649" s="76">
        <f t="shared" ref="G649:G658" si="180">SUM(B649:F649)</f>
        <v>56</v>
      </c>
      <c r="H649" s="58"/>
      <c r="I649" s="72" t="s">
        <v>79</v>
      </c>
      <c r="J649" s="73">
        <f>J644</f>
        <v>176</v>
      </c>
      <c r="K649" s="74">
        <f t="shared" ref="K649:N649" si="181">K644</f>
        <v>115</v>
      </c>
      <c r="L649" s="107">
        <f t="shared" si="181"/>
        <v>125</v>
      </c>
      <c r="M649" s="75">
        <f t="shared" si="181"/>
        <v>99</v>
      </c>
      <c r="N649" s="75">
        <f t="shared" si="181"/>
        <v>56</v>
      </c>
      <c r="O649" s="76">
        <f t="shared" ref="O649:O658" si="182">SUM(J649:N649)</f>
        <v>571</v>
      </c>
    </row>
    <row r="650" spans="1:16" x14ac:dyDescent="0.15">
      <c r="A650" s="15" t="s">
        <v>383</v>
      </c>
      <c r="B650" s="37"/>
      <c r="C650" s="35"/>
      <c r="D650" s="35"/>
      <c r="E650" s="35"/>
      <c r="F650" s="28">
        <v>1</v>
      </c>
      <c r="G650" s="7">
        <f t="shared" si="180"/>
        <v>1</v>
      </c>
      <c r="H650" s="58">
        <v>43319</v>
      </c>
      <c r="I650" s="38" t="s">
        <v>15</v>
      </c>
      <c r="J650" s="37"/>
      <c r="K650" s="35"/>
      <c r="L650" s="35"/>
      <c r="M650" s="35"/>
      <c r="N650" s="28"/>
      <c r="O650" s="7">
        <f t="shared" si="182"/>
        <v>0</v>
      </c>
      <c r="P650" s="57"/>
    </row>
    <row r="651" spans="1:16" x14ac:dyDescent="0.15">
      <c r="A651" s="15" t="s">
        <v>16</v>
      </c>
      <c r="B651" s="8"/>
      <c r="C651" s="10">
        <v>10</v>
      </c>
      <c r="D651" s="10"/>
      <c r="E651" s="10"/>
      <c r="F651" s="28"/>
      <c r="G651" s="9">
        <f t="shared" si="180"/>
        <v>10</v>
      </c>
      <c r="H651" s="58">
        <v>43332</v>
      </c>
      <c r="I651" s="15" t="s">
        <v>3</v>
      </c>
      <c r="J651" s="8"/>
      <c r="K651" s="10"/>
      <c r="L651" s="10"/>
      <c r="M651" s="10"/>
      <c r="N651" s="28"/>
      <c r="O651" s="9">
        <f t="shared" si="182"/>
        <v>0</v>
      </c>
    </row>
    <row r="652" spans="1:16" x14ac:dyDescent="0.15">
      <c r="A652" s="15" t="s">
        <v>19</v>
      </c>
      <c r="B652" s="8"/>
      <c r="C652" s="10"/>
      <c r="D652" s="10">
        <v>1</v>
      </c>
      <c r="E652" s="10"/>
      <c r="F652" s="28"/>
      <c r="G652" s="9">
        <f t="shared" si="180"/>
        <v>1</v>
      </c>
      <c r="H652" s="58">
        <v>43333</v>
      </c>
      <c r="I652" s="15" t="s">
        <v>4</v>
      </c>
      <c r="J652" s="8"/>
      <c r="K652" s="45"/>
      <c r="L652" s="45"/>
      <c r="M652" s="45"/>
      <c r="N652" s="46"/>
      <c r="O652" s="9">
        <f t="shared" si="182"/>
        <v>0</v>
      </c>
      <c r="P652" s="58"/>
    </row>
    <row r="653" spans="1:16" x14ac:dyDescent="0.15">
      <c r="A653" s="15" t="s">
        <v>20</v>
      </c>
      <c r="B653" s="8"/>
      <c r="C653" s="10"/>
      <c r="D653" s="10"/>
      <c r="E653" s="10">
        <v>-1</v>
      </c>
      <c r="F653" s="28">
        <v>1</v>
      </c>
      <c r="G653" s="9">
        <f t="shared" si="180"/>
        <v>0</v>
      </c>
      <c r="H653" s="58">
        <v>43336</v>
      </c>
      <c r="I653" s="15" t="s">
        <v>5</v>
      </c>
      <c r="J653" s="8"/>
      <c r="K653" s="45"/>
      <c r="L653" s="45"/>
      <c r="M653" s="45"/>
      <c r="N653" s="46"/>
      <c r="O653" s="9">
        <f t="shared" si="182"/>
        <v>0</v>
      </c>
      <c r="P653" s="58"/>
    </row>
    <row r="654" spans="1:16" x14ac:dyDescent="0.15">
      <c r="A654" s="15" t="s">
        <v>383</v>
      </c>
      <c r="B654" s="8"/>
      <c r="C654" s="10">
        <v>1</v>
      </c>
      <c r="D654" s="10">
        <v>1</v>
      </c>
      <c r="E654" s="10"/>
      <c r="F654" s="28"/>
      <c r="G654" s="9">
        <f t="shared" si="180"/>
        <v>2</v>
      </c>
      <c r="H654" s="58">
        <v>43341</v>
      </c>
      <c r="I654" s="15" t="s">
        <v>6</v>
      </c>
      <c r="J654" s="8"/>
      <c r="K654" s="45"/>
      <c r="L654" s="45"/>
      <c r="M654" s="45"/>
      <c r="N654" s="46"/>
      <c r="O654" s="9">
        <f t="shared" si="182"/>
        <v>0</v>
      </c>
      <c r="P654" s="58"/>
    </row>
    <row r="655" spans="1:16" x14ac:dyDescent="0.15">
      <c r="A655" s="15" t="s">
        <v>81</v>
      </c>
      <c r="B655" s="8"/>
      <c r="C655" s="10"/>
      <c r="D655" s="10">
        <v>10</v>
      </c>
      <c r="E655" s="10"/>
      <c r="F655" s="28"/>
      <c r="G655" s="9">
        <f t="shared" si="180"/>
        <v>10</v>
      </c>
      <c r="H655" s="58">
        <v>43344</v>
      </c>
      <c r="I655" s="15" t="s">
        <v>84</v>
      </c>
      <c r="J655" s="8"/>
      <c r="K655" s="45"/>
      <c r="L655" s="45"/>
      <c r="M655" s="45"/>
      <c r="N655" s="46"/>
      <c r="O655" s="7">
        <f t="shared" si="182"/>
        <v>0</v>
      </c>
      <c r="P655" s="58"/>
    </row>
    <row r="656" spans="1:16" x14ac:dyDescent="0.15">
      <c r="A656" s="15" t="s">
        <v>17</v>
      </c>
      <c r="B656" s="8"/>
      <c r="C656" s="10">
        <v>2</v>
      </c>
      <c r="D656" s="10"/>
      <c r="E656" s="10">
        <v>1</v>
      </c>
      <c r="F656" s="28"/>
      <c r="G656" s="9">
        <f t="shared" si="180"/>
        <v>3</v>
      </c>
      <c r="H656" s="58">
        <v>43347</v>
      </c>
      <c r="I656" s="15" t="s">
        <v>85</v>
      </c>
      <c r="J656" s="8"/>
      <c r="K656" s="45"/>
      <c r="L656" s="45"/>
      <c r="M656" s="45"/>
      <c r="N656" s="46"/>
      <c r="O656" s="7">
        <f t="shared" si="182"/>
        <v>0</v>
      </c>
      <c r="P656" s="58"/>
    </row>
    <row r="657" spans="1:17" x14ac:dyDescent="0.15">
      <c r="A657" s="15" t="s">
        <v>83</v>
      </c>
      <c r="B657" s="11"/>
      <c r="C657" s="100"/>
      <c r="D657" s="100"/>
      <c r="E657" s="100"/>
      <c r="F657" s="109">
        <v>10</v>
      </c>
      <c r="G657" s="9">
        <f t="shared" si="180"/>
        <v>10</v>
      </c>
      <c r="H657" s="58">
        <v>43362</v>
      </c>
      <c r="I657" s="15" t="s">
        <v>86</v>
      </c>
      <c r="J657" s="8"/>
      <c r="K657" s="45"/>
      <c r="L657" s="45"/>
      <c r="M657" s="45"/>
      <c r="N657" s="46"/>
      <c r="O657" s="102">
        <f t="shared" si="182"/>
        <v>0</v>
      </c>
      <c r="P657" s="58"/>
    </row>
    <row r="658" spans="1:17" ht="14.25" thickBot="1" x14ac:dyDescent="0.2">
      <c r="A658" s="15" t="s">
        <v>159</v>
      </c>
      <c r="B658" s="11"/>
      <c r="C658" s="100"/>
      <c r="D658" s="100"/>
      <c r="E658" s="100">
        <v>10</v>
      </c>
      <c r="F658" s="109"/>
      <c r="G658" s="115">
        <f t="shared" si="180"/>
        <v>10</v>
      </c>
      <c r="H658" s="58">
        <v>43377</v>
      </c>
      <c r="I658" s="15" t="s">
        <v>87</v>
      </c>
      <c r="J658" s="47"/>
      <c r="K658" s="48"/>
      <c r="L658" s="48"/>
      <c r="M658" s="48"/>
      <c r="N658" s="49"/>
      <c r="O658" s="40">
        <f t="shared" si="182"/>
        <v>0</v>
      </c>
      <c r="P658" s="58"/>
      <c r="Q658" s="56"/>
    </row>
    <row r="659" spans="1:17" ht="14.25" thickBot="1" x14ac:dyDescent="0.2">
      <c r="A659" s="72" t="s">
        <v>7</v>
      </c>
      <c r="B659" s="73">
        <f>SUM(B649:B658)</f>
        <v>10</v>
      </c>
      <c r="C659" s="74">
        <f t="shared" ref="C659:G659" si="183">SUM(C649:C658)</f>
        <v>27</v>
      </c>
      <c r="D659" s="74">
        <f t="shared" si="183"/>
        <v>22</v>
      </c>
      <c r="E659" s="74">
        <f t="shared" si="183"/>
        <v>21</v>
      </c>
      <c r="F659" s="105">
        <f t="shared" si="183"/>
        <v>23</v>
      </c>
      <c r="G659" s="76">
        <f t="shared" si="183"/>
        <v>103</v>
      </c>
      <c r="H659" s="58"/>
      <c r="I659" s="72" t="s">
        <v>7</v>
      </c>
      <c r="J659" s="73">
        <f>SUM(J649:J658)</f>
        <v>176</v>
      </c>
      <c r="K659" s="74">
        <f t="shared" ref="K659:O659" si="184">SUM(K649:K658)</f>
        <v>115</v>
      </c>
      <c r="L659" s="74">
        <f t="shared" si="184"/>
        <v>125</v>
      </c>
      <c r="M659" s="74">
        <f t="shared" si="184"/>
        <v>99</v>
      </c>
      <c r="N659" s="105">
        <f t="shared" si="184"/>
        <v>56</v>
      </c>
      <c r="O659" s="76">
        <f t="shared" si="184"/>
        <v>571</v>
      </c>
    </row>
    <row r="660" spans="1:17" x14ac:dyDescent="0.15">
      <c r="A660" s="50" t="s">
        <v>30</v>
      </c>
      <c r="B660" s="8"/>
      <c r="C660" s="10">
        <v>1</v>
      </c>
      <c r="D660" s="10"/>
      <c r="E660" s="10"/>
      <c r="F660" s="30"/>
      <c r="G660" s="7">
        <f t="shared" ref="G660:G685" si="185">SUM(B660:F660)</f>
        <v>1</v>
      </c>
      <c r="H660" s="58">
        <v>43307</v>
      </c>
      <c r="I660" s="16" t="s">
        <v>776</v>
      </c>
      <c r="J660" s="8"/>
      <c r="K660" s="10"/>
      <c r="L660" s="10">
        <v>2</v>
      </c>
      <c r="M660" s="10"/>
      <c r="N660" s="28"/>
      <c r="O660" s="9">
        <f t="shared" ref="O660:O682" si="186">SUM(J660:N660)</f>
        <v>2</v>
      </c>
      <c r="P660" s="58">
        <v>43311</v>
      </c>
    </row>
    <row r="661" spans="1:17" x14ac:dyDescent="0.15">
      <c r="A661" s="39" t="s">
        <v>688</v>
      </c>
      <c r="B661" s="8"/>
      <c r="C661" s="10">
        <v>2</v>
      </c>
      <c r="D661" s="10"/>
      <c r="E661" s="10"/>
      <c r="F661" s="30">
        <v>2</v>
      </c>
      <c r="G661" s="7">
        <f t="shared" si="185"/>
        <v>4</v>
      </c>
      <c r="H661" s="58">
        <v>43308</v>
      </c>
      <c r="I661" s="16" t="s">
        <v>110</v>
      </c>
      <c r="J661" s="8"/>
      <c r="K661" s="10"/>
      <c r="L661" s="10">
        <v>3</v>
      </c>
      <c r="M661" s="10"/>
      <c r="N661" s="30"/>
      <c r="O661" s="7">
        <f t="shared" si="186"/>
        <v>3</v>
      </c>
      <c r="P661" s="58">
        <v>43315</v>
      </c>
    </row>
    <row r="662" spans="1:17" x14ac:dyDescent="0.15">
      <c r="A662" s="50" t="s">
        <v>30</v>
      </c>
      <c r="B662" s="8"/>
      <c r="C662" s="10">
        <v>2</v>
      </c>
      <c r="D662" s="10"/>
      <c r="E662" s="10"/>
      <c r="F662" s="30"/>
      <c r="G662" s="7">
        <f t="shared" si="185"/>
        <v>2</v>
      </c>
      <c r="H662" s="58">
        <v>43314</v>
      </c>
      <c r="I662" s="16" t="s">
        <v>110</v>
      </c>
      <c r="J662" s="8"/>
      <c r="K662" s="10"/>
      <c r="L662" s="10"/>
      <c r="M662" s="10">
        <v>2</v>
      </c>
      <c r="N662" s="30"/>
      <c r="O662" s="7">
        <f t="shared" si="186"/>
        <v>2</v>
      </c>
      <c r="P662" s="58">
        <v>43322</v>
      </c>
    </row>
    <row r="663" spans="1:17" x14ac:dyDescent="0.15">
      <c r="A663" s="39" t="s">
        <v>688</v>
      </c>
      <c r="B663" s="8">
        <v>1</v>
      </c>
      <c r="C663" s="10"/>
      <c r="D663" s="10"/>
      <c r="E663" s="10"/>
      <c r="F663" s="30"/>
      <c r="G663" s="7">
        <f t="shared" si="185"/>
        <v>1</v>
      </c>
      <c r="H663" s="58">
        <v>43315</v>
      </c>
      <c r="I663" s="16" t="s">
        <v>806</v>
      </c>
      <c r="J663" s="8"/>
      <c r="K663" s="10">
        <v>10</v>
      </c>
      <c r="L663" s="10"/>
      <c r="M663" s="10"/>
      <c r="N663" s="30"/>
      <c r="O663" s="7">
        <f t="shared" si="186"/>
        <v>10</v>
      </c>
      <c r="P663" s="58">
        <v>43332</v>
      </c>
    </row>
    <row r="664" spans="1:17" x14ac:dyDescent="0.15">
      <c r="A664" s="39" t="s">
        <v>25</v>
      </c>
      <c r="B664" s="8">
        <v>1</v>
      </c>
      <c r="C664" s="10"/>
      <c r="D664" s="10">
        <v>1</v>
      </c>
      <c r="E664" s="10"/>
      <c r="F664" s="30"/>
      <c r="G664" s="7">
        <f t="shared" si="185"/>
        <v>2</v>
      </c>
      <c r="H664" s="58">
        <v>43321</v>
      </c>
      <c r="I664" s="16" t="s">
        <v>819</v>
      </c>
      <c r="J664" s="8"/>
      <c r="K664" s="10"/>
      <c r="L664" s="10">
        <v>10</v>
      </c>
      <c r="M664" s="10"/>
      <c r="N664" s="30"/>
      <c r="O664" s="7">
        <f t="shared" si="186"/>
        <v>10</v>
      </c>
      <c r="P664" s="58">
        <v>43344</v>
      </c>
    </row>
    <row r="665" spans="1:17" x14ac:dyDescent="0.15">
      <c r="A665" s="50" t="s">
        <v>801</v>
      </c>
      <c r="B665" s="8"/>
      <c r="C665" s="10"/>
      <c r="D665" s="10"/>
      <c r="E665" s="10">
        <v>1</v>
      </c>
      <c r="F665" s="30"/>
      <c r="G665" s="7">
        <f t="shared" si="185"/>
        <v>1</v>
      </c>
      <c r="H665" s="58">
        <v>43322</v>
      </c>
      <c r="I665" s="16" t="s">
        <v>110</v>
      </c>
      <c r="J665" s="8"/>
      <c r="K665" s="10"/>
      <c r="L665" s="10">
        <v>2</v>
      </c>
      <c r="M665" s="10"/>
      <c r="N665" s="30"/>
      <c r="O665" s="7">
        <f t="shared" si="186"/>
        <v>2</v>
      </c>
      <c r="P665" s="58">
        <v>43350</v>
      </c>
    </row>
    <row r="666" spans="1:17" x14ac:dyDescent="0.15">
      <c r="A666" s="50" t="s">
        <v>805</v>
      </c>
      <c r="B666" s="8"/>
      <c r="C666" s="10">
        <v>10</v>
      </c>
      <c r="D666" s="10"/>
      <c r="E666" s="10"/>
      <c r="F666" s="30"/>
      <c r="G666" s="7">
        <f t="shared" si="185"/>
        <v>10</v>
      </c>
      <c r="H666" s="58">
        <v>43334</v>
      </c>
      <c r="I666" s="16" t="s">
        <v>24</v>
      </c>
      <c r="J666" s="8"/>
      <c r="K666" s="10"/>
      <c r="L666" s="10"/>
      <c r="M666" s="10"/>
      <c r="N666" s="30">
        <v>10</v>
      </c>
      <c r="O666" s="7">
        <f t="shared" si="186"/>
        <v>10</v>
      </c>
      <c r="P666" s="58">
        <v>43362</v>
      </c>
    </row>
    <row r="667" spans="1:17" x14ac:dyDescent="0.15">
      <c r="A667" s="16" t="s">
        <v>808</v>
      </c>
      <c r="B667" s="8"/>
      <c r="C667" s="10"/>
      <c r="D667" s="10">
        <v>5</v>
      </c>
      <c r="E667" s="10"/>
      <c r="F667" s="30"/>
      <c r="G667" s="7">
        <f t="shared" si="185"/>
        <v>5</v>
      </c>
      <c r="H667" s="58">
        <v>43339</v>
      </c>
      <c r="I667" s="16" t="s">
        <v>24</v>
      </c>
      <c r="J667" s="8"/>
      <c r="K667" s="10"/>
      <c r="L667" s="10"/>
      <c r="M667" s="10">
        <v>10</v>
      </c>
      <c r="N667" s="30"/>
      <c r="O667" s="7">
        <f t="shared" si="186"/>
        <v>10</v>
      </c>
      <c r="P667" s="58">
        <v>43377</v>
      </c>
    </row>
    <row r="668" spans="1:17" x14ac:dyDescent="0.15">
      <c r="A668" s="39" t="s">
        <v>117</v>
      </c>
      <c r="B668" s="8"/>
      <c r="C668" s="10"/>
      <c r="D668" s="10"/>
      <c r="E668" s="10"/>
      <c r="F668" s="30">
        <v>1</v>
      </c>
      <c r="G668" s="7">
        <f t="shared" si="185"/>
        <v>1</v>
      </c>
      <c r="H668" s="58">
        <v>43334</v>
      </c>
      <c r="I668" s="16" t="s">
        <v>110</v>
      </c>
      <c r="J668" s="8">
        <v>3</v>
      </c>
      <c r="K668" s="10"/>
      <c r="L668" s="10"/>
      <c r="M668" s="10"/>
      <c r="N668" s="30"/>
      <c r="O668" s="7">
        <f t="shared" si="186"/>
        <v>3</v>
      </c>
      <c r="P668" s="58">
        <v>43383</v>
      </c>
      <c r="Q668" s="56"/>
    </row>
    <row r="669" spans="1:17" x14ac:dyDescent="0.15">
      <c r="A669" s="39" t="s">
        <v>117</v>
      </c>
      <c r="B669" s="11"/>
      <c r="C669" s="12"/>
      <c r="D669" s="12"/>
      <c r="E669" s="12">
        <v>1</v>
      </c>
      <c r="F669" s="31"/>
      <c r="G669" s="7">
        <f t="shared" si="185"/>
        <v>1</v>
      </c>
      <c r="H669" s="58">
        <v>43335</v>
      </c>
      <c r="I669" s="16" t="s">
        <v>110</v>
      </c>
      <c r="J669" s="11"/>
      <c r="K669" s="12"/>
      <c r="L669" s="12"/>
      <c r="M669" s="12"/>
      <c r="N669" s="31">
        <v>2</v>
      </c>
      <c r="O669" s="7">
        <f t="shared" si="186"/>
        <v>2</v>
      </c>
      <c r="P669" s="58">
        <v>43391</v>
      </c>
      <c r="Q669" s="56"/>
    </row>
    <row r="670" spans="1:17" x14ac:dyDescent="0.15">
      <c r="A670" s="50" t="s">
        <v>30</v>
      </c>
      <c r="B670" s="8"/>
      <c r="C670" s="10">
        <v>2</v>
      </c>
      <c r="D670" s="10"/>
      <c r="E670" s="10">
        <v>1</v>
      </c>
      <c r="F670" s="30"/>
      <c r="G670" s="7">
        <f t="shared" si="185"/>
        <v>3</v>
      </c>
      <c r="H670" s="58">
        <v>43340</v>
      </c>
      <c r="I670" s="16" t="s">
        <v>110</v>
      </c>
      <c r="J670" s="8"/>
      <c r="K670" s="10"/>
      <c r="L670" s="10"/>
      <c r="M670" s="10"/>
      <c r="N670" s="30">
        <v>2</v>
      </c>
      <c r="O670" s="7">
        <f t="shared" si="186"/>
        <v>2</v>
      </c>
      <c r="P670" s="58">
        <v>43395</v>
      </c>
    </row>
    <row r="671" spans="1:17" x14ac:dyDescent="0.15">
      <c r="A671" s="50" t="s">
        <v>22</v>
      </c>
      <c r="B671" s="8"/>
      <c r="C671" s="10"/>
      <c r="D671" s="10">
        <v>10</v>
      </c>
      <c r="E671" s="10"/>
      <c r="F671" s="30"/>
      <c r="G671" s="7">
        <f t="shared" si="185"/>
        <v>10</v>
      </c>
      <c r="H671" s="58">
        <v>43347</v>
      </c>
      <c r="I671" s="16" t="s">
        <v>110</v>
      </c>
      <c r="J671" s="8"/>
      <c r="K671" s="10"/>
      <c r="L671" s="10"/>
      <c r="M671" s="10">
        <v>2</v>
      </c>
      <c r="N671" s="30">
        <v>2</v>
      </c>
      <c r="O671" s="7">
        <f t="shared" si="186"/>
        <v>4</v>
      </c>
      <c r="P671" s="58">
        <v>43406</v>
      </c>
    </row>
    <row r="672" spans="1:17" x14ac:dyDescent="0.15">
      <c r="A672" s="39" t="s">
        <v>835</v>
      </c>
      <c r="B672" s="8"/>
      <c r="C672" s="10"/>
      <c r="D672" s="10"/>
      <c r="E672" s="10">
        <v>1</v>
      </c>
      <c r="F672" s="30"/>
      <c r="G672" s="7">
        <f t="shared" si="185"/>
        <v>1</v>
      </c>
      <c r="H672" s="58">
        <v>43358</v>
      </c>
      <c r="I672" s="16" t="s">
        <v>110</v>
      </c>
      <c r="J672" s="8">
        <v>2</v>
      </c>
      <c r="K672" s="10"/>
      <c r="L672" s="10"/>
      <c r="M672" s="10"/>
      <c r="N672" s="30"/>
      <c r="O672" s="7">
        <f t="shared" si="186"/>
        <v>2</v>
      </c>
      <c r="P672" s="58">
        <v>43406</v>
      </c>
    </row>
    <row r="673" spans="1:17" x14ac:dyDescent="0.15">
      <c r="A673" s="50" t="s">
        <v>22</v>
      </c>
      <c r="B673" s="8"/>
      <c r="C673" s="10"/>
      <c r="D673" s="10"/>
      <c r="E673" s="10"/>
      <c r="F673" s="30">
        <v>10</v>
      </c>
      <c r="G673" s="7">
        <f t="shared" si="185"/>
        <v>10</v>
      </c>
      <c r="H673" s="58">
        <v>43364</v>
      </c>
      <c r="I673" s="16" t="s">
        <v>110</v>
      </c>
      <c r="J673" s="8"/>
      <c r="K673" s="10"/>
      <c r="L673" s="10"/>
      <c r="M673" s="10">
        <v>2</v>
      </c>
      <c r="N673" s="30"/>
      <c r="O673" s="7">
        <f t="shared" si="186"/>
        <v>2</v>
      </c>
      <c r="P673" s="58">
        <v>43426</v>
      </c>
    </row>
    <row r="674" spans="1:17" x14ac:dyDescent="0.15">
      <c r="A674" s="39" t="s">
        <v>831</v>
      </c>
      <c r="B674" s="8"/>
      <c r="C674" s="10"/>
      <c r="D674" s="10"/>
      <c r="E674" s="10">
        <v>-1</v>
      </c>
      <c r="F674" s="30"/>
      <c r="G674" s="7">
        <f t="shared" si="185"/>
        <v>-1</v>
      </c>
      <c r="H674" s="58">
        <v>43361</v>
      </c>
      <c r="I674" s="16" t="s">
        <v>110</v>
      </c>
      <c r="J674" s="8"/>
      <c r="K674" s="10">
        <v>2</v>
      </c>
      <c r="L674" s="10">
        <v>2</v>
      </c>
      <c r="M674" s="10"/>
      <c r="N674" s="30"/>
      <c r="O674" s="7">
        <f t="shared" si="186"/>
        <v>4</v>
      </c>
      <c r="P674" s="58">
        <v>43495</v>
      </c>
    </row>
    <row r="675" spans="1:17" x14ac:dyDescent="0.15">
      <c r="A675" s="39" t="s">
        <v>841</v>
      </c>
      <c r="B675" s="8"/>
      <c r="C675" s="10">
        <v>1</v>
      </c>
      <c r="D675" s="10"/>
      <c r="E675" s="10"/>
      <c r="F675" s="30"/>
      <c r="G675" s="7">
        <f t="shared" si="185"/>
        <v>1</v>
      </c>
      <c r="H675" s="58">
        <v>43369</v>
      </c>
      <c r="I675" s="16" t="s">
        <v>110</v>
      </c>
      <c r="J675" s="8"/>
      <c r="K675" s="10"/>
      <c r="L675" s="10">
        <v>1</v>
      </c>
      <c r="M675" s="10"/>
      <c r="N675" s="30"/>
      <c r="O675" s="7">
        <f t="shared" si="186"/>
        <v>1</v>
      </c>
      <c r="P675" s="58">
        <v>43539</v>
      </c>
    </row>
    <row r="676" spans="1:17" x14ac:dyDescent="0.15">
      <c r="A676" s="50" t="s">
        <v>22</v>
      </c>
      <c r="B676" s="8"/>
      <c r="C676" s="10"/>
      <c r="D676" s="10"/>
      <c r="E676" s="10">
        <v>10</v>
      </c>
      <c r="F676" s="30"/>
      <c r="G676" s="7">
        <f t="shared" si="185"/>
        <v>10</v>
      </c>
      <c r="H676" s="58">
        <v>43382</v>
      </c>
      <c r="I676" s="16" t="s">
        <v>110</v>
      </c>
      <c r="J676" s="8"/>
      <c r="K676" s="10"/>
      <c r="L676" s="10"/>
      <c r="M676" s="10">
        <v>1</v>
      </c>
      <c r="N676" s="30">
        <v>1</v>
      </c>
      <c r="O676" s="7">
        <f t="shared" si="186"/>
        <v>2</v>
      </c>
      <c r="P676" s="58">
        <v>43546</v>
      </c>
    </row>
    <row r="677" spans="1:17" x14ac:dyDescent="0.15">
      <c r="A677" s="50" t="s">
        <v>851</v>
      </c>
      <c r="B677" s="8"/>
      <c r="C677" s="10">
        <v>-1</v>
      </c>
      <c r="D677" s="10"/>
      <c r="E677" s="10"/>
      <c r="F677" s="30"/>
      <c r="G677" s="7">
        <f t="shared" si="185"/>
        <v>-1</v>
      </c>
      <c r="H677" s="58">
        <v>43384</v>
      </c>
      <c r="I677" s="16" t="s">
        <v>110</v>
      </c>
      <c r="J677" s="8"/>
      <c r="K677" s="10"/>
      <c r="L677" s="10"/>
      <c r="M677" s="10">
        <v>1</v>
      </c>
      <c r="N677" s="30">
        <v>3</v>
      </c>
      <c r="O677" s="7">
        <f t="shared" si="186"/>
        <v>4</v>
      </c>
      <c r="P677" s="58">
        <v>43556</v>
      </c>
    </row>
    <row r="678" spans="1:17" x14ac:dyDescent="0.15">
      <c r="A678" s="50" t="s">
        <v>29</v>
      </c>
      <c r="B678" s="8">
        <v>1</v>
      </c>
      <c r="C678" s="10"/>
      <c r="D678" s="10"/>
      <c r="E678" s="10"/>
      <c r="F678" s="30"/>
      <c r="G678" s="7">
        <f t="shared" si="185"/>
        <v>1</v>
      </c>
      <c r="H678" s="58">
        <v>43384</v>
      </c>
      <c r="I678" s="94"/>
      <c r="J678" s="8"/>
      <c r="K678" s="10"/>
      <c r="L678" s="10"/>
      <c r="M678" s="10"/>
      <c r="N678" s="30"/>
      <c r="O678" s="7">
        <f t="shared" si="186"/>
        <v>0</v>
      </c>
      <c r="P678" s="56"/>
    </row>
    <row r="679" spans="1:17" x14ac:dyDescent="0.15">
      <c r="A679" s="39" t="s">
        <v>859</v>
      </c>
      <c r="B679" s="8"/>
      <c r="C679" s="10"/>
      <c r="D679" s="10">
        <v>-2</v>
      </c>
      <c r="E679" s="10"/>
      <c r="F679" s="30"/>
      <c r="G679" s="7">
        <f t="shared" si="185"/>
        <v>-2</v>
      </c>
      <c r="H679" s="58">
        <v>43395</v>
      </c>
      <c r="I679" s="16"/>
      <c r="J679" s="8"/>
      <c r="K679" s="10"/>
      <c r="L679" s="10"/>
      <c r="M679" s="10"/>
      <c r="N679" s="30"/>
      <c r="O679" s="7">
        <f t="shared" si="186"/>
        <v>0</v>
      </c>
      <c r="P679" s="56"/>
    </row>
    <row r="680" spans="1:17" x14ac:dyDescent="0.15">
      <c r="A680" s="15" t="s">
        <v>383</v>
      </c>
      <c r="B680" s="8">
        <v>-2</v>
      </c>
      <c r="C680" s="10">
        <v>-1</v>
      </c>
      <c r="D680" s="10">
        <v>-1</v>
      </c>
      <c r="E680" s="10">
        <v>-3</v>
      </c>
      <c r="F680" s="30">
        <v>-1</v>
      </c>
      <c r="G680" s="7">
        <f t="shared" si="185"/>
        <v>-8</v>
      </c>
      <c r="H680" s="58">
        <v>43404</v>
      </c>
      <c r="I680" s="94"/>
      <c r="J680" s="8"/>
      <c r="K680" s="10"/>
      <c r="L680" s="10"/>
      <c r="M680" s="10"/>
      <c r="N680" s="30"/>
      <c r="O680" s="7">
        <f t="shared" si="186"/>
        <v>0</v>
      </c>
      <c r="P680" s="58"/>
    </row>
    <row r="681" spans="1:17" x14ac:dyDescent="0.15">
      <c r="A681" s="15" t="s">
        <v>383</v>
      </c>
      <c r="B681" s="11"/>
      <c r="C681" s="12">
        <v>-2</v>
      </c>
      <c r="D681" s="12"/>
      <c r="E681" s="12">
        <v>-1</v>
      </c>
      <c r="F681" s="31">
        <v>-1</v>
      </c>
      <c r="G681" s="7">
        <f t="shared" si="185"/>
        <v>-4</v>
      </c>
      <c r="H681" s="58">
        <v>43413</v>
      </c>
      <c r="I681" s="50"/>
      <c r="J681" s="8"/>
      <c r="K681" s="10"/>
      <c r="L681" s="10"/>
      <c r="M681" s="10"/>
      <c r="N681" s="30"/>
      <c r="O681" s="7">
        <f t="shared" si="186"/>
        <v>0</v>
      </c>
      <c r="P681" s="58"/>
    </row>
    <row r="682" spans="1:17" x14ac:dyDescent="0.15">
      <c r="A682" s="50" t="s">
        <v>29</v>
      </c>
      <c r="B682" s="8"/>
      <c r="C682" s="10"/>
      <c r="D682" s="10"/>
      <c r="E682" s="10">
        <v>1</v>
      </c>
      <c r="F682" s="30"/>
      <c r="G682" s="7">
        <f t="shared" si="185"/>
        <v>1</v>
      </c>
      <c r="H682" s="58">
        <v>43470</v>
      </c>
      <c r="I682" s="16"/>
      <c r="J682" s="8"/>
      <c r="K682" s="10"/>
      <c r="L682" s="10"/>
      <c r="M682" s="10"/>
      <c r="N682" s="30"/>
      <c r="O682" s="7">
        <f t="shared" si="186"/>
        <v>0</v>
      </c>
      <c r="P682" s="58"/>
      <c r="Q682" s="56"/>
    </row>
    <row r="683" spans="1:17" x14ac:dyDescent="0.15">
      <c r="A683" s="50" t="s">
        <v>29</v>
      </c>
      <c r="B683" s="8"/>
      <c r="C683" s="10"/>
      <c r="D683" s="10"/>
      <c r="E683" s="10">
        <v>1</v>
      </c>
      <c r="F683" s="30"/>
      <c r="G683" s="7">
        <f t="shared" si="185"/>
        <v>1</v>
      </c>
      <c r="H683" s="58">
        <v>43472</v>
      </c>
      <c r="I683" s="16"/>
      <c r="J683" s="8"/>
      <c r="K683" s="10"/>
      <c r="L683" s="10"/>
      <c r="M683" s="10"/>
      <c r="N683" s="30"/>
      <c r="O683" s="7">
        <f t="shared" ref="O683:O685" si="187">SUM(J683:N683)</f>
        <v>0</v>
      </c>
      <c r="P683" s="58"/>
      <c r="Q683" s="56"/>
    </row>
    <row r="684" spans="1:17" x14ac:dyDescent="0.15">
      <c r="A684" s="50" t="s">
        <v>29</v>
      </c>
      <c r="B684" s="8"/>
      <c r="C684" s="10">
        <v>1</v>
      </c>
      <c r="D684" s="10"/>
      <c r="E684" s="10"/>
      <c r="F684" s="30"/>
      <c r="G684" s="7">
        <f t="shared" si="185"/>
        <v>1</v>
      </c>
      <c r="H684" s="58">
        <v>43549</v>
      </c>
      <c r="I684" s="39"/>
      <c r="J684" s="8"/>
      <c r="K684" s="10"/>
      <c r="L684" s="10"/>
      <c r="M684" s="10"/>
      <c r="N684" s="30"/>
      <c r="O684" s="7">
        <f t="shared" si="187"/>
        <v>0</v>
      </c>
      <c r="P684" s="58"/>
      <c r="Q684" s="56"/>
    </row>
    <row r="685" spans="1:17" ht="14.25" thickBot="1" x14ac:dyDescent="0.2">
      <c r="A685" s="50"/>
      <c r="B685" s="11"/>
      <c r="C685" s="12"/>
      <c r="D685" s="12"/>
      <c r="E685" s="12"/>
      <c r="F685" s="31"/>
      <c r="G685" s="7">
        <f t="shared" si="185"/>
        <v>0</v>
      </c>
      <c r="H685" s="58"/>
      <c r="I685" s="16"/>
      <c r="J685" s="8"/>
      <c r="K685" s="10"/>
      <c r="L685" s="10"/>
      <c r="M685" s="10"/>
      <c r="N685" s="30"/>
      <c r="O685" s="7">
        <f t="shared" si="187"/>
        <v>0</v>
      </c>
      <c r="P685" s="58"/>
    </row>
    <row r="686" spans="1:17" ht="14.25" thickBot="1" x14ac:dyDescent="0.2">
      <c r="A686" s="3" t="s">
        <v>11</v>
      </c>
      <c r="B686" s="23">
        <f>SUM(B660:B685)</f>
        <v>1</v>
      </c>
      <c r="C686" s="4">
        <f>SUM(C660:C685)</f>
        <v>15</v>
      </c>
      <c r="D686" s="4">
        <f>SUM(D660:D685)</f>
        <v>13</v>
      </c>
      <c r="E686" s="6">
        <f>SUM(E660:E685)</f>
        <v>11</v>
      </c>
      <c r="F686" s="32">
        <f>SUM(F660:F685)</f>
        <v>11</v>
      </c>
      <c r="G686" s="5">
        <f>SUM(B686:F686)</f>
        <v>51</v>
      </c>
      <c r="H686" s="58"/>
      <c r="I686" s="3" t="s">
        <v>11</v>
      </c>
      <c r="J686" s="23">
        <f>SUM(J660:J685)</f>
        <v>5</v>
      </c>
      <c r="K686" s="4">
        <f>SUM(K660:K685)</f>
        <v>12</v>
      </c>
      <c r="L686" s="4">
        <f>SUM(L660:L685)</f>
        <v>20</v>
      </c>
      <c r="M686" s="6">
        <f>SUM(M660:M685)</f>
        <v>18</v>
      </c>
      <c r="N686" s="32">
        <f>SUM(N660:N685)</f>
        <v>20</v>
      </c>
      <c r="O686" s="5">
        <f>SUM(J686:N686)</f>
        <v>75</v>
      </c>
    </row>
    <row r="687" spans="1:17" ht="14.25" thickBot="1" x14ac:dyDescent="0.2">
      <c r="A687" s="25" t="s">
        <v>12</v>
      </c>
      <c r="B687" s="63">
        <f>B659-B686</f>
        <v>9</v>
      </c>
      <c r="C687" s="26">
        <f t="shared" ref="C687:G687" si="188">C659-C686</f>
        <v>12</v>
      </c>
      <c r="D687" s="71">
        <f t="shared" si="188"/>
        <v>9</v>
      </c>
      <c r="E687" s="26">
        <f t="shared" si="188"/>
        <v>10</v>
      </c>
      <c r="F687" s="70">
        <f t="shared" si="188"/>
        <v>12</v>
      </c>
      <c r="G687" s="27">
        <f t="shared" si="188"/>
        <v>52</v>
      </c>
      <c r="H687" s="58"/>
      <c r="I687" s="25" t="s">
        <v>12</v>
      </c>
      <c r="J687" s="63">
        <f>J659-J686</f>
        <v>171</v>
      </c>
      <c r="K687" s="26">
        <f t="shared" ref="K687:O687" si="189">K659-K686</f>
        <v>103</v>
      </c>
      <c r="L687" s="71">
        <f t="shared" si="189"/>
        <v>105</v>
      </c>
      <c r="M687" s="26">
        <f t="shared" si="189"/>
        <v>81</v>
      </c>
      <c r="N687" s="70">
        <f t="shared" si="189"/>
        <v>36</v>
      </c>
      <c r="O687" s="27">
        <f t="shared" si="189"/>
        <v>496</v>
      </c>
    </row>
    <row r="688" spans="1:17" ht="21" x14ac:dyDescent="0.2">
      <c r="A688" s="86" t="s">
        <v>50</v>
      </c>
      <c r="B688" s="87"/>
      <c r="C688" s="87"/>
      <c r="D688" s="87"/>
      <c r="E688" s="87"/>
      <c r="F688" s="87"/>
      <c r="G688" s="87"/>
      <c r="H688" s="58"/>
      <c r="I688" s="86" t="s">
        <v>50</v>
      </c>
      <c r="J688" s="87"/>
      <c r="K688" s="87"/>
      <c r="L688" s="87"/>
      <c r="M688" s="87"/>
      <c r="N688" s="87"/>
      <c r="O688" s="87"/>
    </row>
    <row r="689" spans="1:17" ht="21.75" thickBot="1" x14ac:dyDescent="0.25">
      <c r="A689" s="86" t="s">
        <v>51</v>
      </c>
      <c r="B689" s="87"/>
      <c r="C689" s="87"/>
      <c r="D689" s="87"/>
      <c r="E689" s="85"/>
      <c r="F689" s="88" t="s">
        <v>53</v>
      </c>
      <c r="G689" s="87"/>
      <c r="H689" s="58"/>
      <c r="I689" s="86" t="s">
        <v>51</v>
      </c>
      <c r="J689" s="87"/>
      <c r="K689" s="87"/>
      <c r="L689" s="87"/>
      <c r="M689" s="89"/>
      <c r="N689" s="88" t="s">
        <v>54</v>
      </c>
      <c r="O689" s="87"/>
    </row>
    <row r="690" spans="1:17" ht="14.25" thickBot="1" x14ac:dyDescent="0.2">
      <c r="A690" s="13" t="s">
        <v>0</v>
      </c>
      <c r="B690" s="228" t="s">
        <v>52</v>
      </c>
      <c r="C690" s="229"/>
      <c r="D690" s="229"/>
      <c r="E690" s="229"/>
      <c r="F690" s="230"/>
      <c r="G690" s="231"/>
      <c r="H690" s="58"/>
      <c r="I690" s="13" t="s">
        <v>0</v>
      </c>
      <c r="J690" s="228" t="s">
        <v>49</v>
      </c>
      <c r="K690" s="229"/>
      <c r="L690" s="229"/>
      <c r="M690" s="229"/>
      <c r="N690" s="230"/>
      <c r="O690" s="231"/>
    </row>
    <row r="691" spans="1:17" ht="14.25" thickBot="1" x14ac:dyDescent="0.2">
      <c r="A691" s="3" t="s">
        <v>1</v>
      </c>
      <c r="B691" s="2" t="s">
        <v>42</v>
      </c>
      <c r="C691" s="21" t="s">
        <v>43</v>
      </c>
      <c r="D691" s="21" t="s">
        <v>44</v>
      </c>
      <c r="E691" s="24" t="s">
        <v>45</v>
      </c>
      <c r="F691" s="33" t="s">
        <v>46</v>
      </c>
      <c r="G691" s="3" t="s">
        <v>2</v>
      </c>
      <c r="H691" s="58"/>
      <c r="I691" s="3" t="s">
        <v>1</v>
      </c>
      <c r="J691" s="2" t="s">
        <v>42</v>
      </c>
      <c r="K691" s="21" t="s">
        <v>43</v>
      </c>
      <c r="L691" s="21" t="s">
        <v>44</v>
      </c>
      <c r="M691" s="24" t="s">
        <v>45</v>
      </c>
      <c r="N691" s="33" t="s">
        <v>46</v>
      </c>
      <c r="O691" s="3" t="s">
        <v>2</v>
      </c>
    </row>
    <row r="692" spans="1:17" ht="14.25" thickBot="1" x14ac:dyDescent="0.2">
      <c r="A692" s="72" t="s">
        <v>79</v>
      </c>
      <c r="B692" s="73">
        <f>B687</f>
        <v>9</v>
      </c>
      <c r="C692" s="74">
        <f t="shared" ref="C692:F692" si="190">C687</f>
        <v>12</v>
      </c>
      <c r="D692" s="107">
        <f t="shared" si="190"/>
        <v>9</v>
      </c>
      <c r="E692" s="75">
        <f t="shared" si="190"/>
        <v>10</v>
      </c>
      <c r="F692" s="75">
        <f t="shared" si="190"/>
        <v>12</v>
      </c>
      <c r="G692" s="76">
        <f t="shared" ref="G692:G701" si="191">SUM(B692:F692)</f>
        <v>52</v>
      </c>
      <c r="H692" s="58"/>
      <c r="I692" s="72" t="s">
        <v>79</v>
      </c>
      <c r="J692" s="73">
        <f>J687</f>
        <v>171</v>
      </c>
      <c r="K692" s="74">
        <f t="shared" ref="K692:N692" si="192">K687</f>
        <v>103</v>
      </c>
      <c r="L692" s="107">
        <f t="shared" si="192"/>
        <v>105</v>
      </c>
      <c r="M692" s="75">
        <f t="shared" si="192"/>
        <v>81</v>
      </c>
      <c r="N692" s="75">
        <f t="shared" si="192"/>
        <v>36</v>
      </c>
      <c r="O692" s="76">
        <f t="shared" ref="O692:O701" si="193">SUM(J692:N692)</f>
        <v>496</v>
      </c>
    </row>
    <row r="693" spans="1:17" x14ac:dyDescent="0.15">
      <c r="A693" s="15" t="s">
        <v>19</v>
      </c>
      <c r="B693" s="37">
        <v>1</v>
      </c>
      <c r="C693" s="35">
        <v>1</v>
      </c>
      <c r="D693" s="35">
        <v>1</v>
      </c>
      <c r="E693" s="35">
        <v>1</v>
      </c>
      <c r="F693" s="28">
        <v>1</v>
      </c>
      <c r="G693" s="7">
        <f t="shared" si="191"/>
        <v>5</v>
      </c>
      <c r="H693" s="58">
        <v>43550</v>
      </c>
      <c r="I693" s="38" t="s">
        <v>1002</v>
      </c>
      <c r="J693" s="37">
        <v>8</v>
      </c>
      <c r="K693" s="35">
        <v>8</v>
      </c>
      <c r="L693" s="35">
        <v>5</v>
      </c>
      <c r="M693" s="35">
        <v>7</v>
      </c>
      <c r="N693" s="28">
        <v>9</v>
      </c>
      <c r="O693" s="7">
        <f t="shared" si="193"/>
        <v>37</v>
      </c>
      <c r="P693" s="57">
        <v>43636</v>
      </c>
    </row>
    <row r="694" spans="1:17" x14ac:dyDescent="0.15">
      <c r="A694" s="16" t="s">
        <v>983</v>
      </c>
      <c r="B694" s="8">
        <v>1</v>
      </c>
      <c r="C694" s="10"/>
      <c r="D694" s="10"/>
      <c r="E694" s="10"/>
      <c r="F694" s="28"/>
      <c r="G694" s="9">
        <f t="shared" si="191"/>
        <v>1</v>
      </c>
      <c r="H694" s="58">
        <v>43581</v>
      </c>
      <c r="I694" s="175" t="s">
        <v>1121</v>
      </c>
      <c r="J694" s="182">
        <v>-3</v>
      </c>
      <c r="K694" s="183">
        <v>4</v>
      </c>
      <c r="L694" s="183">
        <v>-1</v>
      </c>
      <c r="M694" s="183">
        <v>2</v>
      </c>
      <c r="N694" s="178">
        <v>2</v>
      </c>
      <c r="O694" s="184">
        <f t="shared" si="193"/>
        <v>4</v>
      </c>
      <c r="P694" s="180">
        <v>43705</v>
      </c>
    </row>
    <row r="695" spans="1:17" x14ac:dyDescent="0.15">
      <c r="A695" s="15" t="s">
        <v>19</v>
      </c>
      <c r="B695" s="8"/>
      <c r="C695" s="10"/>
      <c r="D695" s="10"/>
      <c r="E695" s="10">
        <v>1</v>
      </c>
      <c r="F695" s="28"/>
      <c r="G695" s="9">
        <f t="shared" si="191"/>
        <v>1</v>
      </c>
      <c r="H695" s="58">
        <v>43626</v>
      </c>
      <c r="I695" s="15" t="s">
        <v>4</v>
      </c>
      <c r="J695" s="8"/>
      <c r="K695" s="45"/>
      <c r="L695" s="45"/>
      <c r="M695" s="45"/>
      <c r="N695" s="46"/>
      <c r="O695" s="9">
        <f t="shared" si="193"/>
        <v>0</v>
      </c>
      <c r="P695" s="58"/>
    </row>
    <row r="696" spans="1:17" x14ac:dyDescent="0.15">
      <c r="A696" s="15" t="s">
        <v>111</v>
      </c>
      <c r="B696" s="8"/>
      <c r="C696" s="10"/>
      <c r="D696" s="10">
        <v>1</v>
      </c>
      <c r="E696" s="10"/>
      <c r="F696" s="28"/>
      <c r="G696" s="9">
        <f t="shared" si="191"/>
        <v>1</v>
      </c>
      <c r="H696" s="58">
        <v>43637</v>
      </c>
      <c r="I696" s="15" t="s">
        <v>5</v>
      </c>
      <c r="J696" s="8"/>
      <c r="K696" s="45"/>
      <c r="L696" s="45"/>
      <c r="M696" s="45"/>
      <c r="N696" s="46"/>
      <c r="O696" s="9">
        <f t="shared" si="193"/>
        <v>0</v>
      </c>
      <c r="P696" s="58"/>
    </row>
    <row r="697" spans="1:17" x14ac:dyDescent="0.15">
      <c r="A697" s="15" t="s">
        <v>80</v>
      </c>
      <c r="B697" s="8"/>
      <c r="C697" s="10"/>
      <c r="D697" s="10">
        <v>2</v>
      </c>
      <c r="E697" s="10"/>
      <c r="F697" s="28"/>
      <c r="G697" s="9">
        <f t="shared" si="191"/>
        <v>2</v>
      </c>
      <c r="H697" s="58">
        <v>43693</v>
      </c>
      <c r="I697" s="15" t="s">
        <v>6</v>
      </c>
      <c r="J697" s="8"/>
      <c r="K697" s="45"/>
      <c r="L697" s="45"/>
      <c r="M697" s="45"/>
      <c r="N697" s="46"/>
      <c r="O697" s="9">
        <f t="shared" si="193"/>
        <v>0</v>
      </c>
      <c r="P697" s="58"/>
    </row>
    <row r="698" spans="1:17" x14ac:dyDescent="0.15">
      <c r="A698" s="15" t="s">
        <v>81</v>
      </c>
      <c r="B698" s="8">
        <v>2</v>
      </c>
      <c r="C698" s="10">
        <v>2</v>
      </c>
      <c r="D698" s="10"/>
      <c r="E698" s="10">
        <v>2</v>
      </c>
      <c r="F698" s="28"/>
      <c r="G698" s="9">
        <f t="shared" si="191"/>
        <v>6</v>
      </c>
      <c r="H698" s="58">
        <v>43710</v>
      </c>
      <c r="I698" s="15" t="s">
        <v>84</v>
      </c>
      <c r="J698" s="8"/>
      <c r="K698" s="45"/>
      <c r="L698" s="45"/>
      <c r="M698" s="45"/>
      <c r="N698" s="46"/>
      <c r="O698" s="7">
        <f t="shared" si="193"/>
        <v>0</v>
      </c>
      <c r="P698" s="58"/>
    </row>
    <row r="699" spans="1:17" x14ac:dyDescent="0.15">
      <c r="A699" s="15" t="s">
        <v>82</v>
      </c>
      <c r="B699" s="8"/>
      <c r="C699" s="10"/>
      <c r="D699" s="10"/>
      <c r="E699" s="10"/>
      <c r="F699" s="28">
        <v>2</v>
      </c>
      <c r="G699" s="9">
        <f t="shared" si="191"/>
        <v>2</v>
      </c>
      <c r="H699" s="58">
        <v>43718</v>
      </c>
      <c r="I699" s="15" t="s">
        <v>85</v>
      </c>
      <c r="J699" s="8"/>
      <c r="K699" s="45"/>
      <c r="L699" s="45"/>
      <c r="M699" s="45"/>
      <c r="N699" s="46"/>
      <c r="O699" s="7">
        <f t="shared" si="193"/>
        <v>0</v>
      </c>
      <c r="P699" s="58"/>
    </row>
    <row r="700" spans="1:17" x14ac:dyDescent="0.15">
      <c r="A700" s="15" t="s">
        <v>83</v>
      </c>
      <c r="B700" s="11"/>
      <c r="C700" s="100">
        <v>2</v>
      </c>
      <c r="D700" s="100">
        <v>3</v>
      </c>
      <c r="E700" s="100">
        <v>3</v>
      </c>
      <c r="F700" s="109">
        <v>2</v>
      </c>
      <c r="G700" s="9">
        <f t="shared" si="191"/>
        <v>10</v>
      </c>
      <c r="H700" s="58">
        <v>43741</v>
      </c>
      <c r="I700" s="15" t="s">
        <v>86</v>
      </c>
      <c r="J700" s="8"/>
      <c r="K700" s="45"/>
      <c r="L700" s="45"/>
      <c r="M700" s="45"/>
      <c r="N700" s="46"/>
      <c r="O700" s="102">
        <f t="shared" si="193"/>
        <v>0</v>
      </c>
      <c r="P700" s="58"/>
    </row>
    <row r="701" spans="1:17" ht="14.25" thickBot="1" x14ac:dyDescent="0.2">
      <c r="A701" s="15" t="s">
        <v>159</v>
      </c>
      <c r="B701" s="11">
        <v>-1</v>
      </c>
      <c r="C701" s="100">
        <v>-1</v>
      </c>
      <c r="D701" s="100">
        <v>-2</v>
      </c>
      <c r="E701" s="100">
        <v>-1</v>
      </c>
      <c r="F701" s="109">
        <v>-1</v>
      </c>
      <c r="G701" s="115">
        <f t="shared" si="191"/>
        <v>-6</v>
      </c>
      <c r="H701" s="58">
        <v>43742</v>
      </c>
      <c r="I701" s="15" t="s">
        <v>87</v>
      </c>
      <c r="J701" s="47"/>
      <c r="K701" s="48"/>
      <c r="L701" s="48"/>
      <c r="M701" s="48"/>
      <c r="N701" s="49"/>
      <c r="O701" s="40">
        <f t="shared" si="193"/>
        <v>0</v>
      </c>
      <c r="P701" s="58"/>
    </row>
    <row r="702" spans="1:17" ht="14.25" thickBot="1" x14ac:dyDescent="0.2">
      <c r="A702" s="72" t="s">
        <v>7</v>
      </c>
      <c r="B702" s="73">
        <f>SUM(B692:B701)</f>
        <v>12</v>
      </c>
      <c r="C702" s="74">
        <f t="shared" ref="C702:G702" si="194">SUM(C692:C701)</f>
        <v>16</v>
      </c>
      <c r="D702" s="74">
        <f t="shared" si="194"/>
        <v>14</v>
      </c>
      <c r="E702" s="74">
        <f t="shared" si="194"/>
        <v>16</v>
      </c>
      <c r="F702" s="105">
        <f t="shared" si="194"/>
        <v>16</v>
      </c>
      <c r="G702" s="76">
        <f t="shared" si="194"/>
        <v>74</v>
      </c>
      <c r="H702" s="58"/>
      <c r="I702" s="72" t="s">
        <v>7</v>
      </c>
      <c r="J702" s="73">
        <f>SUM(J692:J701)</f>
        <v>176</v>
      </c>
      <c r="K702" s="74">
        <f t="shared" ref="K702:O702" si="195">SUM(K692:K701)</f>
        <v>115</v>
      </c>
      <c r="L702" s="74">
        <f t="shared" si="195"/>
        <v>109</v>
      </c>
      <c r="M702" s="74">
        <f t="shared" si="195"/>
        <v>90</v>
      </c>
      <c r="N702" s="105">
        <f t="shared" si="195"/>
        <v>47</v>
      </c>
      <c r="O702" s="76">
        <f t="shared" si="195"/>
        <v>537</v>
      </c>
    </row>
    <row r="703" spans="1:17" x14ac:dyDescent="0.15">
      <c r="A703" s="50" t="s">
        <v>29</v>
      </c>
      <c r="B703" s="11"/>
      <c r="C703" s="12">
        <v>1</v>
      </c>
      <c r="D703" s="12"/>
      <c r="E703" s="12"/>
      <c r="F703" s="31"/>
      <c r="G703" s="7">
        <f t="shared" ref="G703" si="196">SUM(B703:F703)</f>
        <v>1</v>
      </c>
      <c r="H703" s="58">
        <v>43558</v>
      </c>
      <c r="I703" s="16" t="s">
        <v>110</v>
      </c>
      <c r="J703" s="8"/>
      <c r="K703" s="10"/>
      <c r="L703" s="10">
        <v>1</v>
      </c>
      <c r="M703" s="10">
        <v>4</v>
      </c>
      <c r="N703" s="28">
        <v>4</v>
      </c>
      <c r="O703" s="9">
        <f t="shared" ref="O703:O728" si="197">SUM(J703:N703)</f>
        <v>9</v>
      </c>
      <c r="P703" s="58">
        <v>43571</v>
      </c>
      <c r="Q703" s="56"/>
    </row>
    <row r="704" spans="1:17" x14ac:dyDescent="0.15">
      <c r="A704" s="39" t="s">
        <v>961</v>
      </c>
      <c r="B704" s="8"/>
      <c r="C704" s="10"/>
      <c r="D704" s="10">
        <v>1</v>
      </c>
      <c r="E704" s="10"/>
      <c r="F704" s="30"/>
      <c r="G704" s="7">
        <f t="shared" ref="G704:G728" si="198">SUM(B704:F704)</f>
        <v>1</v>
      </c>
      <c r="H704" s="58">
        <v>43561</v>
      </c>
      <c r="I704" s="16" t="s">
        <v>110</v>
      </c>
      <c r="J704" s="8">
        <v>2</v>
      </c>
      <c r="K704" s="10"/>
      <c r="L704" s="10"/>
      <c r="M704" s="10"/>
      <c r="N704" s="30"/>
      <c r="O704" s="7">
        <f t="shared" si="197"/>
        <v>2</v>
      </c>
      <c r="P704" s="58">
        <v>43577</v>
      </c>
      <c r="Q704" s="68"/>
    </row>
    <row r="705" spans="1:17" x14ac:dyDescent="0.15">
      <c r="A705" s="39" t="s">
        <v>117</v>
      </c>
      <c r="B705" s="8"/>
      <c r="C705" s="10"/>
      <c r="D705" s="10">
        <v>1</v>
      </c>
      <c r="E705" s="10"/>
      <c r="F705" s="30"/>
      <c r="G705" s="7">
        <f t="shared" si="198"/>
        <v>1</v>
      </c>
      <c r="H705" s="58">
        <v>43565</v>
      </c>
      <c r="I705" s="16" t="s">
        <v>110</v>
      </c>
      <c r="J705" s="8"/>
      <c r="K705" s="10"/>
      <c r="L705" s="10"/>
      <c r="M705" s="10">
        <v>2</v>
      </c>
      <c r="N705" s="30"/>
      <c r="O705" s="7">
        <f t="shared" si="197"/>
        <v>2</v>
      </c>
      <c r="P705" s="58">
        <v>43579</v>
      </c>
    </row>
    <row r="706" spans="1:17" x14ac:dyDescent="0.15">
      <c r="A706" s="50" t="s">
        <v>29</v>
      </c>
      <c r="B706" s="8"/>
      <c r="C706" s="10"/>
      <c r="D706" s="10"/>
      <c r="E706" s="10"/>
      <c r="F706" s="30">
        <v>1</v>
      </c>
      <c r="G706" s="7">
        <f t="shared" si="198"/>
        <v>1</v>
      </c>
      <c r="H706" s="58">
        <v>43567</v>
      </c>
      <c r="I706" s="16" t="s">
        <v>110</v>
      </c>
      <c r="J706" s="8"/>
      <c r="K706" s="10"/>
      <c r="L706" s="10">
        <v>2</v>
      </c>
      <c r="M706" s="10"/>
      <c r="N706" s="30"/>
      <c r="O706" s="7">
        <f t="shared" si="197"/>
        <v>2</v>
      </c>
      <c r="P706" s="58">
        <v>43580</v>
      </c>
    </row>
    <row r="707" spans="1:17" x14ac:dyDescent="0.15">
      <c r="A707" s="39" t="s">
        <v>117</v>
      </c>
      <c r="B707" s="8"/>
      <c r="C707" s="10">
        <v>1</v>
      </c>
      <c r="D707" s="10"/>
      <c r="E707" s="10"/>
      <c r="F707" s="30"/>
      <c r="G707" s="7">
        <f t="shared" si="198"/>
        <v>1</v>
      </c>
      <c r="H707" s="58">
        <v>43572</v>
      </c>
      <c r="I707" s="16" t="s">
        <v>110</v>
      </c>
      <c r="J707" s="8"/>
      <c r="K707" s="10">
        <v>2</v>
      </c>
      <c r="L707" s="10"/>
      <c r="M707" s="10"/>
      <c r="N707" s="30"/>
      <c r="O707" s="7">
        <f t="shared" si="197"/>
        <v>2</v>
      </c>
      <c r="P707" s="58">
        <v>43593</v>
      </c>
      <c r="Q707" s="56"/>
    </row>
    <row r="708" spans="1:17" x14ac:dyDescent="0.15">
      <c r="A708" s="50" t="s">
        <v>29</v>
      </c>
      <c r="B708" s="8"/>
      <c r="C708" s="10"/>
      <c r="D708" s="10"/>
      <c r="E708" s="10">
        <v>1</v>
      </c>
      <c r="F708" s="30"/>
      <c r="G708" s="7">
        <f t="shared" si="198"/>
        <v>1</v>
      </c>
      <c r="H708" s="58">
        <v>43579</v>
      </c>
      <c r="I708" s="16" t="s">
        <v>110</v>
      </c>
      <c r="J708" s="8"/>
      <c r="K708" s="10">
        <v>4</v>
      </c>
      <c r="L708" s="10"/>
      <c r="M708" s="10">
        <v>2</v>
      </c>
      <c r="N708" s="30"/>
      <c r="O708" s="7">
        <f t="shared" si="197"/>
        <v>6</v>
      </c>
      <c r="P708" s="58">
        <v>43599</v>
      </c>
      <c r="Q708" s="56"/>
    </row>
    <row r="709" spans="1:17" x14ac:dyDescent="0.15">
      <c r="A709" s="50" t="s">
        <v>29</v>
      </c>
      <c r="B709" s="8"/>
      <c r="C709" s="10"/>
      <c r="D709" s="10"/>
      <c r="E709" s="10">
        <v>1</v>
      </c>
      <c r="F709" s="30"/>
      <c r="G709" s="7">
        <f t="shared" si="198"/>
        <v>1</v>
      </c>
      <c r="H709" s="58">
        <v>43592</v>
      </c>
      <c r="I709" s="51" t="s">
        <v>1030</v>
      </c>
      <c r="J709" s="11">
        <v>20</v>
      </c>
      <c r="K709" s="12">
        <v>10</v>
      </c>
      <c r="L709" s="12">
        <v>10</v>
      </c>
      <c r="M709" s="12">
        <v>5</v>
      </c>
      <c r="N709" s="31">
        <v>3</v>
      </c>
      <c r="O709" s="7">
        <f t="shared" si="197"/>
        <v>48</v>
      </c>
      <c r="P709" s="58">
        <v>43609</v>
      </c>
    </row>
    <row r="710" spans="1:17" x14ac:dyDescent="0.15">
      <c r="A710" s="51" t="s">
        <v>1035</v>
      </c>
      <c r="B710" s="11">
        <v>8</v>
      </c>
      <c r="C710" s="12">
        <v>8</v>
      </c>
      <c r="D710" s="12">
        <v>5</v>
      </c>
      <c r="E710" s="12">
        <v>7</v>
      </c>
      <c r="F710" s="31">
        <v>9</v>
      </c>
      <c r="G710" s="7">
        <f t="shared" ref="G710" si="199">SUM(B710:F710)</f>
        <v>37</v>
      </c>
      <c r="H710" s="58">
        <v>43636</v>
      </c>
      <c r="I710" s="16" t="s">
        <v>110</v>
      </c>
      <c r="J710" s="8"/>
      <c r="K710" s="10"/>
      <c r="L710" s="10">
        <v>2</v>
      </c>
      <c r="M710" s="10"/>
      <c r="N710" s="30"/>
      <c r="O710" s="7">
        <f t="shared" si="197"/>
        <v>2</v>
      </c>
      <c r="P710" s="58">
        <v>43609</v>
      </c>
    </row>
    <row r="711" spans="1:17" x14ac:dyDescent="0.15">
      <c r="A711" s="50" t="s">
        <v>29</v>
      </c>
      <c r="B711" s="8"/>
      <c r="C711" s="10"/>
      <c r="D711" s="10">
        <v>1</v>
      </c>
      <c r="E711" s="10"/>
      <c r="F711" s="30"/>
      <c r="G711" s="7">
        <f t="shared" si="198"/>
        <v>1</v>
      </c>
      <c r="H711" s="58">
        <v>43640</v>
      </c>
      <c r="I711" s="16" t="s">
        <v>110</v>
      </c>
      <c r="J711" s="8"/>
      <c r="K711" s="10"/>
      <c r="L711" s="10">
        <v>1</v>
      </c>
      <c r="M711" s="10">
        <v>1</v>
      </c>
      <c r="N711" s="30"/>
      <c r="O711" s="7">
        <f t="shared" si="197"/>
        <v>2</v>
      </c>
      <c r="P711" s="58">
        <v>43622</v>
      </c>
    </row>
    <row r="712" spans="1:17" x14ac:dyDescent="0.15">
      <c r="A712" s="39" t="s">
        <v>117</v>
      </c>
      <c r="B712" s="11"/>
      <c r="C712" s="12"/>
      <c r="D712" s="12">
        <v>1</v>
      </c>
      <c r="E712" s="12"/>
      <c r="F712" s="31"/>
      <c r="G712" s="7">
        <f t="shared" si="198"/>
        <v>1</v>
      </c>
      <c r="H712" s="58">
        <v>43649</v>
      </c>
      <c r="I712" s="16" t="s">
        <v>110</v>
      </c>
      <c r="J712" s="11"/>
      <c r="K712" s="12"/>
      <c r="L712" s="12"/>
      <c r="M712" s="12">
        <v>2</v>
      </c>
      <c r="N712" s="31"/>
      <c r="O712" s="7">
        <f t="shared" si="197"/>
        <v>2</v>
      </c>
      <c r="P712" s="58">
        <v>43626</v>
      </c>
    </row>
    <row r="713" spans="1:17" x14ac:dyDescent="0.15">
      <c r="A713" s="50" t="s">
        <v>29</v>
      </c>
      <c r="B713" s="8"/>
      <c r="C713" s="10"/>
      <c r="D713" s="10"/>
      <c r="E713" s="10">
        <v>1</v>
      </c>
      <c r="F713" s="30"/>
      <c r="G713" s="7">
        <f t="shared" si="198"/>
        <v>1</v>
      </c>
      <c r="H713" s="58">
        <v>43655</v>
      </c>
      <c r="I713" s="16" t="s">
        <v>110</v>
      </c>
      <c r="J713" s="8"/>
      <c r="K713" s="10">
        <v>1</v>
      </c>
      <c r="L713" s="10"/>
      <c r="M713" s="10">
        <v>2</v>
      </c>
      <c r="N713" s="30"/>
      <c r="O713" s="7">
        <f t="shared" si="197"/>
        <v>3</v>
      </c>
      <c r="P713" s="58">
        <v>43633</v>
      </c>
      <c r="Q713" s="56"/>
    </row>
    <row r="714" spans="1:17" x14ac:dyDescent="0.15">
      <c r="A714" s="50" t="s">
        <v>29</v>
      </c>
      <c r="B714" s="8">
        <v>1</v>
      </c>
      <c r="C714" s="10"/>
      <c r="D714" s="10"/>
      <c r="E714" s="10"/>
      <c r="F714" s="30"/>
      <c r="G714" s="7">
        <f t="shared" si="198"/>
        <v>1</v>
      </c>
      <c r="H714" s="58">
        <v>43662</v>
      </c>
      <c r="I714" s="16" t="s">
        <v>110</v>
      </c>
      <c r="J714" s="8"/>
      <c r="K714" s="10"/>
      <c r="L714" s="10"/>
      <c r="M714" s="10"/>
      <c r="N714" s="30">
        <v>2</v>
      </c>
      <c r="O714" s="7">
        <f t="shared" si="197"/>
        <v>2</v>
      </c>
      <c r="P714" s="58">
        <v>43635</v>
      </c>
    </row>
    <row r="715" spans="1:17" x14ac:dyDescent="0.15">
      <c r="A715" s="50" t="s">
        <v>29</v>
      </c>
      <c r="B715" s="8"/>
      <c r="C715" s="10"/>
      <c r="D715" s="10">
        <v>1</v>
      </c>
      <c r="E715" s="10"/>
      <c r="F715" s="30"/>
      <c r="G715" s="7">
        <f t="shared" si="198"/>
        <v>1</v>
      </c>
      <c r="H715" s="58">
        <v>43685</v>
      </c>
      <c r="I715" s="16" t="s">
        <v>110</v>
      </c>
      <c r="J715" s="8"/>
      <c r="K715" s="10"/>
      <c r="L715" s="10"/>
      <c r="M715" s="10"/>
      <c r="N715" s="30">
        <v>2</v>
      </c>
      <c r="O715" s="7">
        <f t="shared" si="197"/>
        <v>2</v>
      </c>
      <c r="P715" s="58">
        <v>43637</v>
      </c>
    </row>
    <row r="716" spans="1:17" x14ac:dyDescent="0.15">
      <c r="A716" s="50" t="s">
        <v>29</v>
      </c>
      <c r="B716" s="8"/>
      <c r="C716" s="10"/>
      <c r="D716" s="10"/>
      <c r="E716" s="10">
        <v>1</v>
      </c>
      <c r="F716" s="30"/>
      <c r="G716" s="7">
        <f t="shared" si="198"/>
        <v>1</v>
      </c>
      <c r="H716" s="58">
        <v>43692</v>
      </c>
      <c r="I716" s="16" t="s">
        <v>110</v>
      </c>
      <c r="J716" s="8"/>
      <c r="K716" s="10">
        <v>2</v>
      </c>
      <c r="L716" s="10">
        <v>2</v>
      </c>
      <c r="M716" s="10"/>
      <c r="N716" s="30"/>
      <c r="O716" s="7">
        <f t="shared" si="197"/>
        <v>4</v>
      </c>
      <c r="P716" s="58">
        <v>43649</v>
      </c>
    </row>
    <row r="717" spans="1:17" x14ac:dyDescent="0.15">
      <c r="A717" s="39" t="s">
        <v>1105</v>
      </c>
      <c r="B717" s="8"/>
      <c r="C717" s="10">
        <v>1</v>
      </c>
      <c r="D717" s="10"/>
      <c r="E717" s="10"/>
      <c r="F717" s="30"/>
      <c r="G717" s="7">
        <f t="shared" si="198"/>
        <v>1</v>
      </c>
      <c r="H717" s="58">
        <v>43694</v>
      </c>
      <c r="I717" s="51" t="s">
        <v>1028</v>
      </c>
      <c r="J717" s="8"/>
      <c r="K717" s="10"/>
      <c r="L717" s="10"/>
      <c r="M717" s="10">
        <v>3</v>
      </c>
      <c r="N717" s="30"/>
      <c r="O717" s="7">
        <f t="shared" si="197"/>
        <v>3</v>
      </c>
      <c r="P717" s="58">
        <v>43662</v>
      </c>
    </row>
    <row r="718" spans="1:17" x14ac:dyDescent="0.15">
      <c r="A718" s="50" t="s">
        <v>29</v>
      </c>
      <c r="B718" s="8"/>
      <c r="C718" s="10"/>
      <c r="D718" s="10"/>
      <c r="E718" s="10"/>
      <c r="F718" s="30">
        <v>1</v>
      </c>
      <c r="G718" s="7">
        <f t="shared" si="198"/>
        <v>1</v>
      </c>
      <c r="H718" s="58">
        <v>43696</v>
      </c>
      <c r="I718" s="16" t="s">
        <v>110</v>
      </c>
      <c r="J718" s="8"/>
      <c r="K718" s="10"/>
      <c r="L718" s="10"/>
      <c r="M718" s="10">
        <v>2</v>
      </c>
      <c r="N718" s="30"/>
      <c r="O718" s="7">
        <f t="shared" si="197"/>
        <v>2</v>
      </c>
      <c r="P718" s="58">
        <v>43662</v>
      </c>
    </row>
    <row r="719" spans="1:17" x14ac:dyDescent="0.15">
      <c r="A719" s="50" t="s">
        <v>29</v>
      </c>
      <c r="B719" s="8">
        <v>1</v>
      </c>
      <c r="C719" s="10"/>
      <c r="D719" s="10"/>
      <c r="E719" s="10"/>
      <c r="F719" s="30"/>
      <c r="G719" s="7">
        <f t="shared" si="198"/>
        <v>1</v>
      </c>
      <c r="H719" s="58">
        <v>43703</v>
      </c>
      <c r="I719" s="16" t="s">
        <v>110</v>
      </c>
      <c r="J719" s="8"/>
      <c r="K719" s="10"/>
      <c r="L719" s="10"/>
      <c r="M719" s="10">
        <v>4</v>
      </c>
      <c r="N719" s="30"/>
      <c r="O719" s="7">
        <f t="shared" si="197"/>
        <v>4</v>
      </c>
      <c r="P719" s="58">
        <v>43668</v>
      </c>
    </row>
    <row r="720" spans="1:17" x14ac:dyDescent="0.15">
      <c r="A720" s="50" t="s">
        <v>29</v>
      </c>
      <c r="B720" s="8"/>
      <c r="C720" s="10">
        <v>1</v>
      </c>
      <c r="D720" s="10"/>
      <c r="E720" s="10"/>
      <c r="F720" s="30"/>
      <c r="G720" s="7">
        <f t="shared" si="198"/>
        <v>1</v>
      </c>
      <c r="H720" s="58">
        <v>43707</v>
      </c>
      <c r="I720" s="16" t="s">
        <v>110</v>
      </c>
      <c r="J720" s="8"/>
      <c r="K720" s="10"/>
      <c r="L720" s="10"/>
      <c r="M720" s="10">
        <v>1</v>
      </c>
      <c r="N720" s="30"/>
      <c r="O720" s="7">
        <f t="shared" si="197"/>
        <v>1</v>
      </c>
      <c r="P720" s="58">
        <v>43671</v>
      </c>
    </row>
    <row r="721" spans="1:17" x14ac:dyDescent="0.15">
      <c r="A721" s="39" t="s">
        <v>117</v>
      </c>
      <c r="B721" s="8"/>
      <c r="C721" s="10"/>
      <c r="D721" s="10"/>
      <c r="E721" s="10"/>
      <c r="F721" s="30">
        <v>1</v>
      </c>
      <c r="G721" s="7">
        <f t="shared" si="198"/>
        <v>1</v>
      </c>
      <c r="H721" s="58">
        <v>43711</v>
      </c>
      <c r="I721" s="16" t="s">
        <v>110</v>
      </c>
      <c r="J721" s="8">
        <v>2</v>
      </c>
      <c r="K721" s="10"/>
      <c r="L721" s="10"/>
      <c r="M721" s="10"/>
      <c r="N721" s="30"/>
      <c r="O721" s="7">
        <f t="shared" si="197"/>
        <v>2</v>
      </c>
      <c r="P721" s="58">
        <v>43683</v>
      </c>
    </row>
    <row r="722" spans="1:17" x14ac:dyDescent="0.15">
      <c r="A722" s="50" t="s">
        <v>29</v>
      </c>
      <c r="B722" s="8"/>
      <c r="C722" s="10"/>
      <c r="D722" s="10"/>
      <c r="E722" s="10">
        <v>1</v>
      </c>
      <c r="F722" s="30"/>
      <c r="G722" s="7">
        <f t="shared" si="198"/>
        <v>1</v>
      </c>
      <c r="H722" s="58">
        <v>43710</v>
      </c>
      <c r="I722" s="16" t="s">
        <v>1099</v>
      </c>
      <c r="J722" s="8"/>
      <c r="K722" s="10"/>
      <c r="L722" s="10">
        <v>2</v>
      </c>
      <c r="M722" s="10"/>
      <c r="N722" s="30"/>
      <c r="O722" s="7">
        <f t="shared" si="197"/>
        <v>2</v>
      </c>
      <c r="P722" s="58">
        <v>43693</v>
      </c>
    </row>
    <row r="723" spans="1:17" x14ac:dyDescent="0.15">
      <c r="A723" s="50" t="s">
        <v>29</v>
      </c>
      <c r="B723" s="8"/>
      <c r="C723" s="10"/>
      <c r="D723" s="10">
        <v>1</v>
      </c>
      <c r="E723" s="10"/>
      <c r="F723" s="30"/>
      <c r="G723" s="7">
        <f t="shared" si="198"/>
        <v>1</v>
      </c>
      <c r="H723" s="58">
        <v>43717</v>
      </c>
      <c r="I723" s="16" t="s">
        <v>110</v>
      </c>
      <c r="J723" s="8"/>
      <c r="K723" s="10"/>
      <c r="L723" s="10"/>
      <c r="M723" s="10"/>
      <c r="N723" s="30"/>
      <c r="O723" s="7">
        <f t="shared" si="197"/>
        <v>0</v>
      </c>
      <c r="P723" s="58">
        <v>43703</v>
      </c>
    </row>
    <row r="724" spans="1:17" x14ac:dyDescent="0.15">
      <c r="A724" s="50" t="s">
        <v>29</v>
      </c>
      <c r="B724" s="11"/>
      <c r="C724" s="12"/>
      <c r="D724" s="12">
        <v>1</v>
      </c>
      <c r="E724" s="12">
        <v>1</v>
      </c>
      <c r="F724" s="31"/>
      <c r="G724" s="7">
        <f t="shared" si="198"/>
        <v>2</v>
      </c>
      <c r="H724" s="58">
        <v>43721</v>
      </c>
      <c r="I724" s="50" t="s">
        <v>1124</v>
      </c>
      <c r="J724" s="8">
        <v>2</v>
      </c>
      <c r="K724" s="10">
        <v>2</v>
      </c>
      <c r="L724" s="10"/>
      <c r="M724" s="10">
        <v>2</v>
      </c>
      <c r="N724" s="30"/>
      <c r="O724" s="7">
        <f t="shared" si="197"/>
        <v>6</v>
      </c>
      <c r="P724" s="58">
        <v>43710</v>
      </c>
    </row>
    <row r="725" spans="1:17" x14ac:dyDescent="0.15">
      <c r="A725" s="50" t="s">
        <v>29</v>
      </c>
      <c r="B725" s="8"/>
      <c r="C725" s="10">
        <v>1</v>
      </c>
      <c r="D725" s="10"/>
      <c r="E725" s="10"/>
      <c r="F725" s="30"/>
      <c r="G725" s="7">
        <f t="shared" si="198"/>
        <v>1</v>
      </c>
      <c r="H725" s="58">
        <v>43727</v>
      </c>
      <c r="I725" s="50" t="s">
        <v>24</v>
      </c>
      <c r="J725" s="8"/>
      <c r="K725" s="10"/>
      <c r="L725" s="10"/>
      <c r="M725" s="10"/>
      <c r="N725" s="30">
        <v>2</v>
      </c>
      <c r="O725" s="7">
        <f t="shared" si="197"/>
        <v>2</v>
      </c>
      <c r="P725" s="58">
        <v>43718</v>
      </c>
      <c r="Q725" s="56"/>
    </row>
    <row r="726" spans="1:17" x14ac:dyDescent="0.15">
      <c r="A726" s="50" t="s">
        <v>29</v>
      </c>
      <c r="B726" s="8"/>
      <c r="C726" s="10"/>
      <c r="D726" s="10"/>
      <c r="E726" s="10"/>
      <c r="F726" s="30">
        <v>1</v>
      </c>
      <c r="G726" s="7">
        <f t="shared" si="198"/>
        <v>1</v>
      </c>
      <c r="H726" s="58">
        <v>43735</v>
      </c>
      <c r="I726" s="50" t="s">
        <v>24</v>
      </c>
      <c r="J726" s="8"/>
      <c r="K726" s="10">
        <v>2</v>
      </c>
      <c r="L726" s="10">
        <v>3</v>
      </c>
      <c r="M726" s="10">
        <v>3</v>
      </c>
      <c r="N726" s="30">
        <v>2</v>
      </c>
      <c r="O726" s="7">
        <f t="shared" si="197"/>
        <v>10</v>
      </c>
      <c r="P726" s="58">
        <v>43741</v>
      </c>
      <c r="Q726" s="56"/>
    </row>
    <row r="727" spans="1:17" x14ac:dyDescent="0.15">
      <c r="A727" s="50" t="s">
        <v>29</v>
      </c>
      <c r="B727" s="8"/>
      <c r="C727" s="10">
        <v>1</v>
      </c>
      <c r="D727" s="10"/>
      <c r="E727" s="10"/>
      <c r="F727" s="30"/>
      <c r="G727" s="7">
        <f t="shared" si="198"/>
        <v>1</v>
      </c>
      <c r="H727" s="58">
        <v>43740</v>
      </c>
      <c r="I727" s="39"/>
      <c r="J727" s="8"/>
      <c r="K727" s="10"/>
      <c r="L727" s="10"/>
      <c r="M727" s="10"/>
      <c r="N727" s="30"/>
      <c r="O727" s="7">
        <f t="shared" si="197"/>
        <v>0</v>
      </c>
      <c r="P727" s="58"/>
    </row>
    <row r="728" spans="1:17" ht="14.25" thickBot="1" x14ac:dyDescent="0.2">
      <c r="A728" s="50" t="s">
        <v>29</v>
      </c>
      <c r="B728" s="11"/>
      <c r="C728" s="12"/>
      <c r="D728" s="12"/>
      <c r="E728" s="12"/>
      <c r="F728" s="31">
        <v>1</v>
      </c>
      <c r="G728" s="7">
        <f t="shared" si="198"/>
        <v>1</v>
      </c>
      <c r="H728" s="58">
        <v>43762</v>
      </c>
      <c r="I728" s="14" t="s">
        <v>958</v>
      </c>
      <c r="J728" s="8"/>
      <c r="K728" s="10"/>
      <c r="L728" s="10"/>
      <c r="M728" s="10"/>
      <c r="N728" s="30"/>
      <c r="O728" s="7">
        <f t="shared" si="197"/>
        <v>0</v>
      </c>
      <c r="P728" s="56" t="s">
        <v>975</v>
      </c>
    </row>
    <row r="729" spans="1:17" ht="14.25" thickBot="1" x14ac:dyDescent="0.2">
      <c r="A729" s="3" t="s">
        <v>11</v>
      </c>
      <c r="B729" s="23">
        <f>SUM(B703:B728)</f>
        <v>10</v>
      </c>
      <c r="C729" s="4">
        <f>SUM(C703:C728)</f>
        <v>14</v>
      </c>
      <c r="D729" s="4">
        <f>SUM(D703:D728)</f>
        <v>12</v>
      </c>
      <c r="E729" s="6">
        <f>SUM(E703:E728)</f>
        <v>13</v>
      </c>
      <c r="F729" s="32">
        <f>SUM(F703:F728)</f>
        <v>14</v>
      </c>
      <c r="G729" s="5">
        <f>SUM(B729:F729)</f>
        <v>63</v>
      </c>
      <c r="H729" s="58"/>
      <c r="I729" s="3" t="s">
        <v>11</v>
      </c>
      <c r="J729" s="23">
        <f>SUM(J703:J728)</f>
        <v>26</v>
      </c>
      <c r="K729" s="4">
        <f>SUM(K703:K728)</f>
        <v>23</v>
      </c>
      <c r="L729" s="4">
        <f>SUM(L703:L728)</f>
        <v>23</v>
      </c>
      <c r="M729" s="6">
        <f>SUM(M703:M728)</f>
        <v>33</v>
      </c>
      <c r="N729" s="32">
        <f>SUM(N703:N728)</f>
        <v>15</v>
      </c>
      <c r="O729" s="5">
        <f>SUM(J729:N729)</f>
        <v>120</v>
      </c>
    </row>
    <row r="730" spans="1:17" ht="14.25" thickBot="1" x14ac:dyDescent="0.2">
      <c r="A730" s="25" t="s">
        <v>12</v>
      </c>
      <c r="B730" s="63">
        <f>B702-B729</f>
        <v>2</v>
      </c>
      <c r="C730" s="26">
        <f t="shared" ref="C730:G730" si="200">C702-C729</f>
        <v>2</v>
      </c>
      <c r="D730" s="71">
        <f t="shared" si="200"/>
        <v>2</v>
      </c>
      <c r="E730" s="26">
        <f t="shared" si="200"/>
        <v>3</v>
      </c>
      <c r="F730" s="70">
        <f t="shared" si="200"/>
        <v>2</v>
      </c>
      <c r="G730" s="27">
        <f t="shared" si="200"/>
        <v>11</v>
      </c>
      <c r="H730" s="58"/>
      <c r="I730" s="25" t="s">
        <v>12</v>
      </c>
      <c r="J730" s="63">
        <f>J702-J729</f>
        <v>150</v>
      </c>
      <c r="K730" s="26">
        <f t="shared" ref="K730:O730" si="201">K702-K729</f>
        <v>92</v>
      </c>
      <c r="L730" s="71">
        <f t="shared" si="201"/>
        <v>86</v>
      </c>
      <c r="M730" s="26">
        <f t="shared" si="201"/>
        <v>57</v>
      </c>
      <c r="N730" s="70">
        <f t="shared" si="201"/>
        <v>32</v>
      </c>
      <c r="O730" s="27">
        <f t="shared" si="201"/>
        <v>417</v>
      </c>
    </row>
    <row r="731" spans="1:17" ht="21" x14ac:dyDescent="0.2">
      <c r="A731" s="86" t="s">
        <v>50</v>
      </c>
      <c r="B731" s="87"/>
      <c r="C731" s="87"/>
      <c r="D731" s="87"/>
      <c r="E731" s="87"/>
      <c r="F731" s="87"/>
      <c r="G731" s="87"/>
      <c r="H731" s="58"/>
      <c r="I731" s="86" t="s">
        <v>50</v>
      </c>
      <c r="J731" s="87"/>
      <c r="K731" s="87"/>
      <c r="L731" s="87"/>
      <c r="M731" s="87"/>
      <c r="N731" s="87"/>
      <c r="O731" s="87"/>
    </row>
    <row r="732" spans="1:17" ht="21.75" thickBot="1" x14ac:dyDescent="0.25">
      <c r="A732" s="86" t="s">
        <v>51</v>
      </c>
      <c r="B732" s="87"/>
      <c r="C732" s="87"/>
      <c r="D732" s="87"/>
      <c r="E732" s="85"/>
      <c r="F732" s="88" t="s">
        <v>53</v>
      </c>
      <c r="G732" s="87"/>
      <c r="H732" s="58"/>
      <c r="I732" s="86" t="s">
        <v>51</v>
      </c>
      <c r="J732" s="87"/>
      <c r="K732" s="87"/>
      <c r="L732" s="87"/>
      <c r="M732" s="89"/>
      <c r="N732" s="88" t="s">
        <v>54</v>
      </c>
      <c r="O732" s="87"/>
    </row>
    <row r="733" spans="1:17" ht="14.25" thickBot="1" x14ac:dyDescent="0.2">
      <c r="A733" s="13" t="s">
        <v>0</v>
      </c>
      <c r="B733" s="228" t="s">
        <v>52</v>
      </c>
      <c r="C733" s="229"/>
      <c r="D733" s="229"/>
      <c r="E733" s="229"/>
      <c r="F733" s="230"/>
      <c r="G733" s="231"/>
      <c r="H733" s="58"/>
      <c r="I733" s="13" t="s">
        <v>0</v>
      </c>
      <c r="J733" s="228" t="s">
        <v>52</v>
      </c>
      <c r="K733" s="229"/>
      <c r="L733" s="229"/>
      <c r="M733" s="229"/>
      <c r="N733" s="230"/>
      <c r="O733" s="231"/>
    </row>
    <row r="734" spans="1:17" ht="14.25" thickBot="1" x14ac:dyDescent="0.2">
      <c r="A734" s="3" t="s">
        <v>1</v>
      </c>
      <c r="B734" s="2" t="s">
        <v>42</v>
      </c>
      <c r="C734" s="21" t="s">
        <v>43</v>
      </c>
      <c r="D734" s="21" t="s">
        <v>44</v>
      </c>
      <c r="E734" s="24" t="s">
        <v>45</v>
      </c>
      <c r="F734" s="33" t="s">
        <v>46</v>
      </c>
      <c r="G734" s="3" t="s">
        <v>2</v>
      </c>
      <c r="H734" s="58"/>
      <c r="I734" s="3" t="s">
        <v>1</v>
      </c>
      <c r="J734" s="2" t="s">
        <v>42</v>
      </c>
      <c r="K734" s="21" t="s">
        <v>43</v>
      </c>
      <c r="L734" s="21" t="s">
        <v>44</v>
      </c>
      <c r="M734" s="24" t="s">
        <v>45</v>
      </c>
      <c r="N734" s="33" t="s">
        <v>46</v>
      </c>
      <c r="O734" s="3" t="s">
        <v>2</v>
      </c>
    </row>
    <row r="735" spans="1:17" ht="14.25" thickBot="1" x14ac:dyDescent="0.2">
      <c r="A735" s="72" t="s">
        <v>79</v>
      </c>
      <c r="B735" s="73">
        <f>B730</f>
        <v>2</v>
      </c>
      <c r="C735" s="74">
        <f t="shared" ref="C735:F735" si="202">C730</f>
        <v>2</v>
      </c>
      <c r="D735" s="107">
        <f t="shared" si="202"/>
        <v>2</v>
      </c>
      <c r="E735" s="75">
        <f t="shared" si="202"/>
        <v>3</v>
      </c>
      <c r="F735" s="75">
        <f t="shared" si="202"/>
        <v>2</v>
      </c>
      <c r="G735" s="76">
        <f t="shared" ref="G735:G744" si="203">SUM(B735:F735)</f>
        <v>11</v>
      </c>
      <c r="H735" s="58"/>
      <c r="I735" s="72" t="s">
        <v>79</v>
      </c>
      <c r="J735" s="73">
        <f>J730</f>
        <v>150</v>
      </c>
      <c r="K735" s="74">
        <f t="shared" ref="K735:N735" si="204">K730</f>
        <v>92</v>
      </c>
      <c r="L735" s="107">
        <f t="shared" si="204"/>
        <v>86</v>
      </c>
      <c r="M735" s="75">
        <f t="shared" si="204"/>
        <v>57</v>
      </c>
      <c r="N735" s="75">
        <f t="shared" si="204"/>
        <v>32</v>
      </c>
      <c r="O735" s="76">
        <f t="shared" ref="O735:O744" si="205">SUM(J735:N735)</f>
        <v>417</v>
      </c>
    </row>
    <row r="736" spans="1:17" x14ac:dyDescent="0.15">
      <c r="A736" s="15" t="s">
        <v>111</v>
      </c>
      <c r="B736" s="37">
        <v>16</v>
      </c>
      <c r="C736" s="35">
        <v>8</v>
      </c>
      <c r="D736" s="35">
        <v>7</v>
      </c>
      <c r="E736" s="35">
        <v>5</v>
      </c>
      <c r="F736" s="28">
        <v>2</v>
      </c>
      <c r="G736" s="7">
        <f t="shared" si="203"/>
        <v>38</v>
      </c>
      <c r="H736" s="58">
        <v>43767</v>
      </c>
      <c r="I736" s="15" t="s">
        <v>9</v>
      </c>
      <c r="J736" s="37">
        <v>16</v>
      </c>
      <c r="K736" s="35">
        <v>8</v>
      </c>
      <c r="L736" s="35">
        <v>7</v>
      </c>
      <c r="M736" s="35">
        <v>5</v>
      </c>
      <c r="N736" s="28">
        <v>2</v>
      </c>
      <c r="O736" s="7">
        <f t="shared" si="205"/>
        <v>38</v>
      </c>
      <c r="P736" s="57">
        <v>43771</v>
      </c>
    </row>
    <row r="737" spans="1:17" x14ac:dyDescent="0.15">
      <c r="A737" s="15" t="s">
        <v>16</v>
      </c>
      <c r="B737" s="8"/>
      <c r="C737" s="10">
        <v>2</v>
      </c>
      <c r="D737" s="10">
        <v>2</v>
      </c>
      <c r="E737" s="10"/>
      <c r="F737" s="28"/>
      <c r="G737" s="9">
        <f t="shared" si="203"/>
        <v>4</v>
      </c>
      <c r="H737" s="58">
        <v>43802</v>
      </c>
      <c r="I737" s="15" t="s">
        <v>3</v>
      </c>
      <c r="J737" s="8"/>
      <c r="K737" s="10"/>
      <c r="L737" s="10"/>
      <c r="M737" s="10"/>
      <c r="N737" s="28"/>
      <c r="O737" s="9">
        <f t="shared" si="205"/>
        <v>0</v>
      </c>
    </row>
    <row r="738" spans="1:17" x14ac:dyDescent="0.15">
      <c r="A738" s="15" t="s">
        <v>18</v>
      </c>
      <c r="B738" s="8"/>
      <c r="C738" s="10"/>
      <c r="D738" s="10"/>
      <c r="E738" s="10">
        <v>3</v>
      </c>
      <c r="F738" s="28"/>
      <c r="G738" s="9">
        <f t="shared" si="203"/>
        <v>3</v>
      </c>
      <c r="H738" s="58">
        <v>43845</v>
      </c>
      <c r="I738" s="15" t="s">
        <v>4</v>
      </c>
      <c r="J738" s="8"/>
      <c r="K738" s="45"/>
      <c r="L738" s="45"/>
      <c r="M738" s="45"/>
      <c r="N738" s="46"/>
      <c r="O738" s="9">
        <f t="shared" si="205"/>
        <v>0</v>
      </c>
    </row>
    <row r="739" spans="1:17" x14ac:dyDescent="0.15">
      <c r="A739" s="15" t="s">
        <v>20</v>
      </c>
      <c r="B739" s="8">
        <v>2</v>
      </c>
      <c r="C739" s="10"/>
      <c r="D739" s="10"/>
      <c r="E739" s="10"/>
      <c r="F739" s="28"/>
      <c r="G739" s="9">
        <f t="shared" si="203"/>
        <v>2</v>
      </c>
      <c r="H739" s="58">
        <v>43859</v>
      </c>
      <c r="I739" s="15" t="s">
        <v>5</v>
      </c>
      <c r="J739" s="8"/>
      <c r="K739" s="45"/>
      <c r="L739" s="45"/>
      <c r="M739" s="45"/>
      <c r="N739" s="46"/>
      <c r="O739" s="9">
        <f t="shared" si="205"/>
        <v>0</v>
      </c>
    </row>
    <row r="740" spans="1:17" x14ac:dyDescent="0.15">
      <c r="A740" s="15" t="s">
        <v>80</v>
      </c>
      <c r="B740" s="8"/>
      <c r="C740" s="10">
        <v>2</v>
      </c>
      <c r="D740" s="10"/>
      <c r="E740" s="10"/>
      <c r="F740" s="28">
        <v>2</v>
      </c>
      <c r="G740" s="9">
        <f t="shared" si="203"/>
        <v>4</v>
      </c>
      <c r="H740" s="58">
        <v>43865</v>
      </c>
      <c r="I740" s="15" t="s">
        <v>6</v>
      </c>
      <c r="J740" s="8"/>
      <c r="K740" s="45"/>
      <c r="L740" s="45"/>
      <c r="M740" s="45"/>
      <c r="N740" s="46"/>
      <c r="O740" s="9">
        <f t="shared" si="205"/>
        <v>0</v>
      </c>
    </row>
    <row r="741" spans="1:17" x14ac:dyDescent="0.15">
      <c r="A741" s="15" t="s">
        <v>81</v>
      </c>
      <c r="B741" s="8"/>
      <c r="C741" s="10"/>
      <c r="D741" s="10"/>
      <c r="E741" s="10"/>
      <c r="F741" s="28">
        <v>2</v>
      </c>
      <c r="G741" s="9">
        <f t="shared" si="203"/>
        <v>2</v>
      </c>
      <c r="H741" s="58">
        <v>43886</v>
      </c>
      <c r="I741" s="15" t="s">
        <v>84</v>
      </c>
      <c r="J741" s="8"/>
      <c r="K741" s="45"/>
      <c r="L741" s="45"/>
      <c r="M741" s="45"/>
      <c r="N741" s="46"/>
      <c r="O741" s="7">
        <f t="shared" si="205"/>
        <v>0</v>
      </c>
    </row>
    <row r="742" spans="1:17" x14ac:dyDescent="0.15">
      <c r="A742" s="15" t="s">
        <v>82</v>
      </c>
      <c r="B742" s="8">
        <v>2</v>
      </c>
      <c r="C742" s="10">
        <v>2</v>
      </c>
      <c r="D742" s="10">
        <v>3</v>
      </c>
      <c r="E742" s="10"/>
      <c r="F742" s="28">
        <v>2</v>
      </c>
      <c r="G742" s="9">
        <f t="shared" si="203"/>
        <v>9</v>
      </c>
      <c r="H742" s="58">
        <v>43915</v>
      </c>
      <c r="I742" s="15" t="s">
        <v>85</v>
      </c>
      <c r="J742" s="8"/>
      <c r="K742" s="45"/>
      <c r="L742" s="45"/>
      <c r="M742" s="45"/>
      <c r="N742" s="46"/>
      <c r="O742" s="7">
        <f t="shared" si="205"/>
        <v>0</v>
      </c>
    </row>
    <row r="743" spans="1:17" x14ac:dyDescent="0.15">
      <c r="A743" s="15" t="s">
        <v>83</v>
      </c>
      <c r="B743" s="11"/>
      <c r="C743" s="100">
        <v>3</v>
      </c>
      <c r="D743" s="100"/>
      <c r="E743" s="100"/>
      <c r="F743" s="109"/>
      <c r="G743" s="9">
        <f t="shared" si="203"/>
        <v>3</v>
      </c>
      <c r="H743" s="58">
        <v>43936</v>
      </c>
      <c r="I743" s="15" t="s">
        <v>86</v>
      </c>
      <c r="J743" s="8"/>
      <c r="K743" s="45"/>
      <c r="L743" s="45"/>
      <c r="M743" s="45"/>
      <c r="N743" s="46"/>
      <c r="O743" s="102">
        <f t="shared" si="205"/>
        <v>0</v>
      </c>
    </row>
    <row r="744" spans="1:17" ht="14.25" thickBot="1" x14ac:dyDescent="0.2">
      <c r="A744" s="15" t="s">
        <v>159</v>
      </c>
      <c r="B744" s="11"/>
      <c r="C744" s="100"/>
      <c r="D744" s="100">
        <v>3</v>
      </c>
      <c r="E744" s="100"/>
      <c r="F744" s="109"/>
      <c r="G744" s="115">
        <f t="shared" si="203"/>
        <v>3</v>
      </c>
      <c r="H744" s="58">
        <v>43962</v>
      </c>
      <c r="I744" s="15" t="s">
        <v>87</v>
      </c>
      <c r="J744" s="47"/>
      <c r="K744" s="48"/>
      <c r="L744" s="48"/>
      <c r="M744" s="48"/>
      <c r="N744" s="49"/>
      <c r="O744" s="40">
        <f t="shared" si="205"/>
        <v>0</v>
      </c>
    </row>
    <row r="745" spans="1:17" ht="14.25" thickBot="1" x14ac:dyDescent="0.2">
      <c r="A745" s="72" t="s">
        <v>7</v>
      </c>
      <c r="B745" s="73">
        <f>SUM(B735:B744)</f>
        <v>22</v>
      </c>
      <c r="C745" s="74">
        <f t="shared" ref="C745:G745" si="206">SUM(C735:C744)</f>
        <v>19</v>
      </c>
      <c r="D745" s="74">
        <f t="shared" si="206"/>
        <v>17</v>
      </c>
      <c r="E745" s="74">
        <f t="shared" si="206"/>
        <v>11</v>
      </c>
      <c r="F745" s="105">
        <f t="shared" si="206"/>
        <v>10</v>
      </c>
      <c r="G745" s="76">
        <f t="shared" si="206"/>
        <v>79</v>
      </c>
      <c r="H745" s="58"/>
      <c r="I745" s="72" t="s">
        <v>7</v>
      </c>
      <c r="J745" s="73">
        <f>SUM(J735:J744)</f>
        <v>166</v>
      </c>
      <c r="K745" s="74">
        <f t="shared" ref="K745:O745" si="207">SUM(K735:K744)</f>
        <v>100</v>
      </c>
      <c r="L745" s="74">
        <f t="shared" si="207"/>
        <v>93</v>
      </c>
      <c r="M745" s="74">
        <f t="shared" si="207"/>
        <v>62</v>
      </c>
      <c r="N745" s="105">
        <f t="shared" si="207"/>
        <v>34</v>
      </c>
      <c r="O745" s="76">
        <f t="shared" si="207"/>
        <v>455</v>
      </c>
    </row>
    <row r="746" spans="1:17" x14ac:dyDescent="0.15">
      <c r="A746" s="50" t="s">
        <v>1200</v>
      </c>
      <c r="B746" s="11"/>
      <c r="C746" s="12"/>
      <c r="D746" s="12">
        <v>1</v>
      </c>
      <c r="E746" s="12"/>
      <c r="F746" s="31"/>
      <c r="G746" s="7">
        <f t="shared" ref="G746:G771" si="208">SUM(B746:F746)</f>
        <v>1</v>
      </c>
      <c r="H746" s="58">
        <v>43767</v>
      </c>
      <c r="I746" s="16" t="s">
        <v>1223</v>
      </c>
      <c r="J746" s="8"/>
      <c r="K746" s="10">
        <v>2</v>
      </c>
      <c r="L746" s="10">
        <v>2</v>
      </c>
      <c r="M746" s="10"/>
      <c r="N746" s="28"/>
      <c r="O746" s="9">
        <f t="shared" ref="O746:O771" si="209">SUM(J746:N746)</f>
        <v>4</v>
      </c>
      <c r="P746" s="58">
        <v>43802</v>
      </c>
    </row>
    <row r="747" spans="1:17" x14ac:dyDescent="0.15">
      <c r="A747" s="39" t="s">
        <v>1215</v>
      </c>
      <c r="B747" s="8">
        <v>16</v>
      </c>
      <c r="C747" s="10">
        <v>8</v>
      </c>
      <c r="D747" s="10">
        <v>7</v>
      </c>
      <c r="E747" s="10">
        <v>5</v>
      </c>
      <c r="F747" s="30">
        <v>2</v>
      </c>
      <c r="G747" s="7">
        <f t="shared" si="208"/>
        <v>38</v>
      </c>
      <c r="H747" s="58">
        <v>43771</v>
      </c>
      <c r="I747" s="16" t="s">
        <v>24</v>
      </c>
      <c r="J747" s="8"/>
      <c r="K747" s="10"/>
      <c r="L747" s="10"/>
      <c r="M747" s="10">
        <v>3</v>
      </c>
      <c r="N747" s="30"/>
      <c r="O747" s="7">
        <f t="shared" si="209"/>
        <v>3</v>
      </c>
      <c r="P747" s="58">
        <v>43845</v>
      </c>
    </row>
    <row r="748" spans="1:17" x14ac:dyDescent="0.15">
      <c r="A748" s="50" t="s">
        <v>29</v>
      </c>
      <c r="B748" s="8"/>
      <c r="C748" s="10"/>
      <c r="D748" s="10"/>
      <c r="E748" s="10">
        <v>1</v>
      </c>
      <c r="F748" s="30"/>
      <c r="G748" s="7">
        <f t="shared" si="208"/>
        <v>1</v>
      </c>
      <c r="H748" s="58">
        <v>43784</v>
      </c>
      <c r="I748" s="16" t="s">
        <v>24</v>
      </c>
      <c r="J748" s="8">
        <v>2</v>
      </c>
      <c r="K748" s="10"/>
      <c r="L748" s="10"/>
      <c r="M748" s="10"/>
      <c r="N748" s="30"/>
      <c r="O748" s="7">
        <f t="shared" si="209"/>
        <v>2</v>
      </c>
      <c r="P748" s="58">
        <v>43859</v>
      </c>
    </row>
    <row r="749" spans="1:17" x14ac:dyDescent="0.15">
      <c r="A749" s="50" t="s">
        <v>29</v>
      </c>
      <c r="B749" s="8"/>
      <c r="C749" s="10"/>
      <c r="D749" s="10">
        <v>1</v>
      </c>
      <c r="E749" s="10"/>
      <c r="F749" s="30"/>
      <c r="G749" s="7">
        <f t="shared" si="208"/>
        <v>1</v>
      </c>
      <c r="H749" s="58">
        <v>43798</v>
      </c>
      <c r="I749" s="16" t="s">
        <v>24</v>
      </c>
      <c r="J749" s="8"/>
      <c r="K749" s="10">
        <v>2</v>
      </c>
      <c r="L749" s="10"/>
      <c r="M749" s="10"/>
      <c r="N749" s="30">
        <v>2</v>
      </c>
      <c r="O749" s="7">
        <f t="shared" si="209"/>
        <v>4</v>
      </c>
      <c r="P749" s="58">
        <v>43865</v>
      </c>
    </row>
    <row r="750" spans="1:17" x14ac:dyDescent="0.15">
      <c r="A750" s="39" t="s">
        <v>1221</v>
      </c>
      <c r="B750" s="8"/>
      <c r="C750" s="10">
        <v>1</v>
      </c>
      <c r="D750" s="10"/>
      <c r="E750" s="10"/>
      <c r="F750" s="30"/>
      <c r="G750" s="7">
        <f t="shared" si="208"/>
        <v>1</v>
      </c>
      <c r="H750" s="58">
        <v>43802</v>
      </c>
      <c r="I750" s="16" t="s">
        <v>24</v>
      </c>
      <c r="J750" s="8"/>
      <c r="K750" s="10"/>
      <c r="L750" s="10"/>
      <c r="M750" s="10"/>
      <c r="N750" s="30">
        <v>2</v>
      </c>
      <c r="O750" s="7">
        <f t="shared" si="209"/>
        <v>2</v>
      </c>
      <c r="P750" s="58">
        <v>43886</v>
      </c>
    </row>
    <row r="751" spans="1:17" x14ac:dyDescent="0.15">
      <c r="A751" s="50" t="s">
        <v>29</v>
      </c>
      <c r="B751" s="8"/>
      <c r="C751" s="10"/>
      <c r="D751" s="10"/>
      <c r="E751" s="10">
        <v>1</v>
      </c>
      <c r="F751" s="30"/>
      <c r="G751" s="7">
        <f t="shared" si="208"/>
        <v>1</v>
      </c>
      <c r="H751" s="58">
        <v>43811</v>
      </c>
      <c r="I751" s="16" t="s">
        <v>24</v>
      </c>
      <c r="J751" s="8">
        <v>2</v>
      </c>
      <c r="K751" s="10">
        <v>2</v>
      </c>
      <c r="L751" s="10">
        <v>3</v>
      </c>
      <c r="M751" s="10"/>
      <c r="N751" s="30">
        <v>2</v>
      </c>
      <c r="O751" s="7">
        <f t="shared" si="209"/>
        <v>9</v>
      </c>
      <c r="P751" s="58">
        <v>43915</v>
      </c>
      <c r="Q751" s="56"/>
    </row>
    <row r="752" spans="1:17" x14ac:dyDescent="0.15">
      <c r="A752" s="39" t="s">
        <v>117</v>
      </c>
      <c r="B752" s="8"/>
      <c r="C752" s="10">
        <v>1</v>
      </c>
      <c r="D752" s="10"/>
      <c r="E752" s="10"/>
      <c r="F752" s="30"/>
      <c r="G752" s="7">
        <f t="shared" si="208"/>
        <v>1</v>
      </c>
      <c r="H752" s="58">
        <v>43837</v>
      </c>
      <c r="I752" s="16" t="s">
        <v>110</v>
      </c>
      <c r="J752" s="11"/>
      <c r="K752" s="12"/>
      <c r="L752" s="12"/>
      <c r="M752" s="12"/>
      <c r="N752" s="31">
        <v>4</v>
      </c>
      <c r="O752" s="7">
        <f t="shared" si="209"/>
        <v>4</v>
      </c>
      <c r="P752" s="58">
        <v>43930</v>
      </c>
    </row>
    <row r="753" spans="1:17" x14ac:dyDescent="0.15">
      <c r="A753" s="50" t="s">
        <v>29</v>
      </c>
      <c r="B753" s="11"/>
      <c r="C753" s="12"/>
      <c r="D753" s="12">
        <v>1</v>
      </c>
      <c r="E753" s="12"/>
      <c r="F753" s="31">
        <v>1</v>
      </c>
      <c r="G753" s="7">
        <f t="shared" si="208"/>
        <v>2</v>
      </c>
      <c r="H753" s="58">
        <v>43844</v>
      </c>
      <c r="I753" s="16" t="s">
        <v>24</v>
      </c>
      <c r="J753" s="8"/>
      <c r="K753" s="10">
        <v>3</v>
      </c>
      <c r="L753" s="10"/>
      <c r="M753" s="10"/>
      <c r="N753" s="30"/>
      <c r="O753" s="7">
        <f t="shared" si="209"/>
        <v>3</v>
      </c>
      <c r="P753" s="58">
        <v>43936</v>
      </c>
    </row>
    <row r="754" spans="1:17" x14ac:dyDescent="0.15">
      <c r="A754" s="50" t="s">
        <v>29</v>
      </c>
      <c r="B754" s="8"/>
      <c r="C754" s="10"/>
      <c r="D754" s="10">
        <v>1</v>
      </c>
      <c r="E754" s="10">
        <v>2</v>
      </c>
      <c r="F754" s="30"/>
      <c r="G754" s="7">
        <f t="shared" si="208"/>
        <v>3</v>
      </c>
      <c r="H754" s="58">
        <v>43845</v>
      </c>
      <c r="I754" s="16" t="s">
        <v>24</v>
      </c>
      <c r="J754" s="8"/>
      <c r="K754" s="10"/>
      <c r="L754" s="10">
        <v>3</v>
      </c>
      <c r="M754" s="10"/>
      <c r="N754" s="30"/>
      <c r="O754" s="7">
        <f t="shared" si="209"/>
        <v>3</v>
      </c>
      <c r="P754" s="58">
        <v>43962</v>
      </c>
      <c r="Q754" s="56"/>
    </row>
    <row r="755" spans="1:17" x14ac:dyDescent="0.15">
      <c r="A755" s="50" t="s">
        <v>29</v>
      </c>
      <c r="B755" s="11">
        <v>2</v>
      </c>
      <c r="C755" s="12"/>
      <c r="D755" s="12"/>
      <c r="E755" s="12"/>
      <c r="F755" s="31"/>
      <c r="G755" s="7">
        <f t="shared" si="208"/>
        <v>2</v>
      </c>
      <c r="H755" s="58">
        <v>43857</v>
      </c>
      <c r="I755" s="16" t="s">
        <v>110</v>
      </c>
      <c r="J755" s="11"/>
      <c r="K755" s="12"/>
      <c r="L755" s="12">
        <v>5</v>
      </c>
      <c r="M755" s="12"/>
      <c r="N755" s="31"/>
      <c r="O755" s="7">
        <f t="shared" si="209"/>
        <v>5</v>
      </c>
      <c r="P755" s="58">
        <v>44005</v>
      </c>
      <c r="Q755" s="56"/>
    </row>
    <row r="756" spans="1:17" x14ac:dyDescent="0.15">
      <c r="A756" s="50" t="s">
        <v>29</v>
      </c>
      <c r="B756" s="8"/>
      <c r="C756" s="10">
        <v>1</v>
      </c>
      <c r="D756" s="10"/>
      <c r="E756" s="10"/>
      <c r="F756" s="30">
        <v>1</v>
      </c>
      <c r="G756" s="7">
        <f t="shared" si="208"/>
        <v>2</v>
      </c>
      <c r="H756" s="58">
        <v>43864</v>
      </c>
      <c r="I756" s="16" t="s">
        <v>24</v>
      </c>
      <c r="J756" s="8"/>
      <c r="K756" s="10"/>
      <c r="L756" s="10">
        <v>3</v>
      </c>
      <c r="M756" s="10">
        <v>3</v>
      </c>
      <c r="N756" s="30"/>
      <c r="O756" s="7">
        <f t="shared" si="209"/>
        <v>6</v>
      </c>
      <c r="P756" s="58">
        <v>44005</v>
      </c>
    </row>
    <row r="757" spans="1:17" x14ac:dyDescent="0.15">
      <c r="A757" s="39" t="s">
        <v>117</v>
      </c>
      <c r="B757" s="8"/>
      <c r="C757" s="10"/>
      <c r="D757" s="10"/>
      <c r="E757" s="10"/>
      <c r="F757" s="30">
        <v>1</v>
      </c>
      <c r="G757" s="7">
        <f t="shared" si="208"/>
        <v>1</v>
      </c>
      <c r="H757" s="58">
        <v>43879</v>
      </c>
      <c r="I757" s="16" t="s">
        <v>24</v>
      </c>
      <c r="J757" s="8"/>
      <c r="K757" s="10"/>
      <c r="L757" s="10">
        <v>3</v>
      </c>
      <c r="M757" s="10"/>
      <c r="N757" s="30"/>
      <c r="O757" s="7">
        <f t="shared" si="209"/>
        <v>3</v>
      </c>
      <c r="P757" s="58">
        <v>44008</v>
      </c>
    </row>
    <row r="758" spans="1:17" x14ac:dyDescent="0.15">
      <c r="A758" s="50" t="s">
        <v>29</v>
      </c>
      <c r="B758" s="8"/>
      <c r="C758" s="10"/>
      <c r="D758" s="10">
        <v>1</v>
      </c>
      <c r="E758" s="10"/>
      <c r="F758" s="30">
        <v>1</v>
      </c>
      <c r="G758" s="7">
        <f t="shared" si="208"/>
        <v>2</v>
      </c>
      <c r="H758" s="58">
        <v>43878</v>
      </c>
      <c r="I758" s="16"/>
      <c r="J758" s="8"/>
      <c r="K758" s="10"/>
      <c r="L758" s="10"/>
      <c r="M758" s="10"/>
      <c r="N758" s="30"/>
      <c r="O758" s="7">
        <f t="shared" si="209"/>
        <v>0</v>
      </c>
      <c r="P758" s="56"/>
    </row>
    <row r="759" spans="1:17" x14ac:dyDescent="0.15">
      <c r="A759" s="50" t="s">
        <v>1273</v>
      </c>
      <c r="B759" s="8"/>
      <c r="C759" s="10">
        <v>1</v>
      </c>
      <c r="D759" s="10"/>
      <c r="E759" s="10"/>
      <c r="F759" s="30"/>
      <c r="G759" s="7">
        <f t="shared" si="208"/>
        <v>1</v>
      </c>
      <c r="H759" s="58">
        <v>43886</v>
      </c>
      <c r="I759" s="16"/>
      <c r="J759" s="8"/>
      <c r="K759" s="10"/>
      <c r="L759" s="10"/>
      <c r="M759" s="10"/>
      <c r="N759" s="30"/>
      <c r="O759" s="7">
        <f t="shared" si="209"/>
        <v>0</v>
      </c>
    </row>
    <row r="760" spans="1:17" x14ac:dyDescent="0.15">
      <c r="A760" s="50" t="s">
        <v>29</v>
      </c>
      <c r="B760" s="8"/>
      <c r="C760" s="10"/>
      <c r="D760" s="10"/>
      <c r="E760" s="10">
        <v>1</v>
      </c>
      <c r="F760" s="30">
        <v>1</v>
      </c>
      <c r="G760" s="7">
        <f t="shared" si="208"/>
        <v>2</v>
      </c>
      <c r="H760" s="58">
        <v>43896</v>
      </c>
      <c r="I760" s="51"/>
      <c r="J760" s="8"/>
      <c r="K760" s="10"/>
      <c r="L760" s="10"/>
      <c r="M760" s="10"/>
      <c r="N760" s="30"/>
      <c r="O760" s="7">
        <f t="shared" si="209"/>
        <v>0</v>
      </c>
    </row>
    <row r="761" spans="1:17" x14ac:dyDescent="0.15">
      <c r="A761" s="50" t="s">
        <v>29</v>
      </c>
      <c r="B761" s="8"/>
      <c r="C761" s="10"/>
      <c r="D761" s="10">
        <v>1</v>
      </c>
      <c r="E761" s="10"/>
      <c r="F761" s="30"/>
      <c r="G761" s="7">
        <f t="shared" si="208"/>
        <v>1</v>
      </c>
      <c r="H761" s="58">
        <v>43899</v>
      </c>
      <c r="I761" s="16"/>
      <c r="J761" s="8"/>
      <c r="K761" s="10"/>
      <c r="L761" s="10"/>
      <c r="M761" s="10"/>
      <c r="N761" s="30"/>
      <c r="O761" s="7">
        <f t="shared" si="209"/>
        <v>0</v>
      </c>
    </row>
    <row r="762" spans="1:17" x14ac:dyDescent="0.15">
      <c r="A762" s="16" t="s">
        <v>110</v>
      </c>
      <c r="B762" s="8">
        <v>1</v>
      </c>
      <c r="C762" s="10">
        <v>1</v>
      </c>
      <c r="D762" s="10">
        <v>1</v>
      </c>
      <c r="E762" s="10"/>
      <c r="F762" s="30">
        <v>1</v>
      </c>
      <c r="G762" s="7">
        <f t="shared" si="208"/>
        <v>4</v>
      </c>
      <c r="H762" s="58">
        <v>43916</v>
      </c>
      <c r="I762" s="16"/>
      <c r="J762" s="8"/>
      <c r="K762" s="10"/>
      <c r="L762" s="10"/>
      <c r="M762" s="10"/>
      <c r="N762" s="30"/>
      <c r="O762" s="7">
        <f t="shared" si="209"/>
        <v>0</v>
      </c>
    </row>
    <row r="763" spans="1:17" x14ac:dyDescent="0.15">
      <c r="A763" s="16" t="s">
        <v>110</v>
      </c>
      <c r="B763" s="8"/>
      <c r="C763" s="10">
        <v>2</v>
      </c>
      <c r="D763" s="10"/>
      <c r="E763" s="10"/>
      <c r="F763" s="30"/>
      <c r="G763" s="7">
        <f t="shared" si="208"/>
        <v>2</v>
      </c>
      <c r="H763" s="58">
        <v>43924</v>
      </c>
      <c r="I763" s="16"/>
      <c r="J763" s="8"/>
      <c r="K763" s="10"/>
      <c r="L763" s="10"/>
      <c r="M763" s="10"/>
      <c r="N763" s="30"/>
      <c r="O763" s="7">
        <f t="shared" si="209"/>
        <v>0</v>
      </c>
    </row>
    <row r="764" spans="1:17" x14ac:dyDescent="0.15">
      <c r="A764" s="50" t="s">
        <v>29</v>
      </c>
      <c r="B764" s="8"/>
      <c r="C764" s="10">
        <v>1</v>
      </c>
      <c r="D764" s="10"/>
      <c r="E764" s="10"/>
      <c r="F764" s="30"/>
      <c r="G764" s="7">
        <f t="shared" si="208"/>
        <v>1</v>
      </c>
      <c r="H764" s="58">
        <v>43932</v>
      </c>
      <c r="I764" s="16"/>
      <c r="J764" s="8"/>
      <c r="K764" s="10"/>
      <c r="L764" s="10"/>
      <c r="M764" s="10"/>
      <c r="N764" s="30"/>
      <c r="O764" s="7">
        <f t="shared" si="209"/>
        <v>0</v>
      </c>
    </row>
    <row r="765" spans="1:17" x14ac:dyDescent="0.15">
      <c r="A765" s="16" t="s">
        <v>110</v>
      </c>
      <c r="B765" s="8"/>
      <c r="C765" s="10"/>
      <c r="D765" s="10">
        <v>2</v>
      </c>
      <c r="E765" s="10"/>
      <c r="F765" s="30"/>
      <c r="G765" s="7">
        <f t="shared" si="208"/>
        <v>2</v>
      </c>
      <c r="H765" s="58">
        <v>43963</v>
      </c>
      <c r="I765" s="16"/>
      <c r="J765" s="8"/>
      <c r="K765" s="10"/>
      <c r="L765" s="10"/>
      <c r="M765" s="10"/>
      <c r="N765" s="30"/>
      <c r="O765" s="7">
        <f t="shared" si="209"/>
        <v>0</v>
      </c>
    </row>
    <row r="766" spans="1:17" x14ac:dyDescent="0.15">
      <c r="A766" s="50" t="s">
        <v>29</v>
      </c>
      <c r="B766" s="8"/>
      <c r="C766" s="10"/>
      <c r="D766" s="10"/>
      <c r="E766" s="10">
        <v>1</v>
      </c>
      <c r="F766" s="30"/>
      <c r="G766" s="7">
        <f t="shared" si="208"/>
        <v>1</v>
      </c>
      <c r="H766" s="58">
        <v>43984</v>
      </c>
      <c r="I766" s="16"/>
      <c r="J766" s="8"/>
      <c r="K766" s="10"/>
      <c r="L766" s="10"/>
      <c r="M766" s="10"/>
      <c r="N766" s="30"/>
      <c r="O766" s="7">
        <f t="shared" si="209"/>
        <v>0</v>
      </c>
    </row>
    <row r="767" spans="1:17" x14ac:dyDescent="0.15">
      <c r="A767" s="15" t="s">
        <v>110</v>
      </c>
      <c r="B767" s="11"/>
      <c r="C767" s="12"/>
      <c r="D767" s="12">
        <v>4</v>
      </c>
      <c r="E767" s="12"/>
      <c r="F767" s="31"/>
      <c r="G767" s="7">
        <f t="shared" si="208"/>
        <v>4</v>
      </c>
      <c r="H767" s="58">
        <v>44007</v>
      </c>
      <c r="I767" s="50"/>
      <c r="J767" s="8"/>
      <c r="K767" s="10"/>
      <c r="L767" s="10"/>
      <c r="M767" s="10"/>
      <c r="N767" s="30"/>
      <c r="O767" s="7">
        <f t="shared" si="209"/>
        <v>0</v>
      </c>
    </row>
    <row r="768" spans="1:17" x14ac:dyDescent="0.15">
      <c r="A768" s="50" t="s">
        <v>1321</v>
      </c>
      <c r="B768" s="8"/>
      <c r="C768" s="10"/>
      <c r="D768" s="10">
        <v>-3</v>
      </c>
      <c r="E768" s="10">
        <v>-3</v>
      </c>
      <c r="F768" s="30"/>
      <c r="G768" s="7">
        <f t="shared" si="208"/>
        <v>-6</v>
      </c>
      <c r="H768" s="58">
        <v>44005</v>
      </c>
      <c r="I768" s="50"/>
      <c r="J768" s="8"/>
      <c r="K768" s="10"/>
      <c r="L768" s="10"/>
      <c r="M768" s="10"/>
      <c r="N768" s="30"/>
      <c r="O768" s="7">
        <f t="shared" si="209"/>
        <v>0</v>
      </c>
    </row>
    <row r="769" spans="1:15" x14ac:dyDescent="0.15">
      <c r="A769" s="50" t="s">
        <v>28</v>
      </c>
      <c r="B769" s="8"/>
      <c r="C769" s="10"/>
      <c r="D769" s="10">
        <v>-3</v>
      </c>
      <c r="E769" s="10"/>
      <c r="F769" s="30"/>
      <c r="G769" s="7">
        <f t="shared" si="208"/>
        <v>-3</v>
      </c>
      <c r="H769" s="58">
        <v>44008</v>
      </c>
      <c r="I769" s="16"/>
      <c r="J769" s="8"/>
      <c r="K769" s="10"/>
      <c r="L769" s="10"/>
      <c r="M769" s="10"/>
      <c r="N769" s="30"/>
      <c r="O769" s="7">
        <f t="shared" si="209"/>
        <v>0</v>
      </c>
    </row>
    <row r="770" spans="1:15" x14ac:dyDescent="0.15">
      <c r="A770" s="50"/>
      <c r="B770" s="8"/>
      <c r="C770" s="10"/>
      <c r="D770" s="10"/>
      <c r="E770" s="10"/>
      <c r="F770" s="30"/>
      <c r="G770" s="7">
        <f t="shared" si="208"/>
        <v>0</v>
      </c>
      <c r="H770" s="58"/>
      <c r="I770" s="39"/>
      <c r="J770" s="8"/>
      <c r="K770" s="10"/>
      <c r="L770" s="10"/>
      <c r="M770" s="10"/>
      <c r="N770" s="30"/>
      <c r="O770" s="7">
        <f t="shared" si="209"/>
        <v>0</v>
      </c>
    </row>
    <row r="771" spans="1:15" ht="14.25" thickBot="1" x14ac:dyDescent="0.2">
      <c r="A771" s="51"/>
      <c r="B771" s="11"/>
      <c r="C771" s="12"/>
      <c r="D771" s="12"/>
      <c r="E771" s="12"/>
      <c r="F771" s="31"/>
      <c r="G771" s="7">
        <f t="shared" si="208"/>
        <v>0</v>
      </c>
      <c r="H771" s="58"/>
      <c r="I771" s="14"/>
      <c r="J771" s="8"/>
      <c r="K771" s="10"/>
      <c r="L771" s="10"/>
      <c r="M771" s="10"/>
      <c r="N771" s="30"/>
      <c r="O771" s="7">
        <f t="shared" si="209"/>
        <v>0</v>
      </c>
    </row>
    <row r="772" spans="1:15" ht="14.25" thickBot="1" x14ac:dyDescent="0.2">
      <c r="A772" s="3" t="s">
        <v>11</v>
      </c>
      <c r="B772" s="23">
        <f>SUM(B746:B771)</f>
        <v>19</v>
      </c>
      <c r="C772" s="4">
        <f>SUM(C746:C771)</f>
        <v>16</v>
      </c>
      <c r="D772" s="4">
        <f>SUM(D746:D771)</f>
        <v>14</v>
      </c>
      <c r="E772" s="6">
        <f>SUM(E746:E771)</f>
        <v>8</v>
      </c>
      <c r="F772" s="32">
        <f>SUM(F746:F771)</f>
        <v>8</v>
      </c>
      <c r="G772" s="5">
        <f>SUM(B772:F772)</f>
        <v>65</v>
      </c>
      <c r="H772" s="58"/>
      <c r="I772" s="3" t="s">
        <v>11</v>
      </c>
      <c r="J772" s="23">
        <f>SUM(J746:J771)</f>
        <v>4</v>
      </c>
      <c r="K772" s="4">
        <f>SUM(K746:K771)</f>
        <v>9</v>
      </c>
      <c r="L772" s="4">
        <f>SUM(L746:L771)</f>
        <v>19</v>
      </c>
      <c r="M772" s="6">
        <f>SUM(M746:M771)</f>
        <v>6</v>
      </c>
      <c r="N772" s="32">
        <f>SUM(N746:N771)</f>
        <v>10</v>
      </c>
      <c r="O772" s="5">
        <f>SUM(J772:N772)</f>
        <v>48</v>
      </c>
    </row>
    <row r="773" spans="1:15" ht="14.25" thickBot="1" x14ac:dyDescent="0.2">
      <c r="A773" s="25" t="s">
        <v>12</v>
      </c>
      <c r="B773" s="63">
        <f>B745-B772</f>
        <v>3</v>
      </c>
      <c r="C773" s="26">
        <f t="shared" ref="C773:G773" si="210">C745-C772</f>
        <v>3</v>
      </c>
      <c r="D773" s="71">
        <f t="shared" si="210"/>
        <v>3</v>
      </c>
      <c r="E773" s="26">
        <f t="shared" si="210"/>
        <v>3</v>
      </c>
      <c r="F773" s="70">
        <f t="shared" si="210"/>
        <v>2</v>
      </c>
      <c r="G773" s="27">
        <f t="shared" si="210"/>
        <v>14</v>
      </c>
      <c r="H773" s="58"/>
      <c r="I773" s="25" t="s">
        <v>12</v>
      </c>
      <c r="J773" s="63">
        <f>J745-J772</f>
        <v>162</v>
      </c>
      <c r="K773" s="26">
        <f t="shared" ref="K773:O773" si="211">K745-K772</f>
        <v>91</v>
      </c>
      <c r="L773" s="71">
        <f t="shared" si="211"/>
        <v>74</v>
      </c>
      <c r="M773" s="26">
        <f t="shared" si="211"/>
        <v>56</v>
      </c>
      <c r="N773" s="70">
        <f t="shared" si="211"/>
        <v>24</v>
      </c>
      <c r="O773" s="27">
        <f t="shared" si="211"/>
        <v>407</v>
      </c>
    </row>
    <row r="774" spans="1:15" ht="21" x14ac:dyDescent="0.2">
      <c r="A774" s="86" t="s">
        <v>50</v>
      </c>
      <c r="B774" s="87"/>
      <c r="C774" s="87"/>
      <c r="D774" s="87"/>
      <c r="E774" s="87"/>
      <c r="F774" s="87"/>
      <c r="G774" s="87"/>
      <c r="H774" s="58"/>
      <c r="I774" s="86" t="s">
        <v>50</v>
      </c>
      <c r="J774" s="87"/>
      <c r="K774" s="87"/>
      <c r="L774" s="87"/>
      <c r="M774" s="87"/>
      <c r="N774" s="87"/>
      <c r="O774" s="87"/>
    </row>
    <row r="775" spans="1:15" ht="21.75" thickBot="1" x14ac:dyDescent="0.25">
      <c r="A775" s="86" t="s">
        <v>51</v>
      </c>
      <c r="B775" s="87"/>
      <c r="C775" s="87"/>
      <c r="D775" s="87"/>
      <c r="E775" s="85"/>
      <c r="F775" s="88" t="s">
        <v>53</v>
      </c>
      <c r="G775" s="87"/>
      <c r="H775" s="58"/>
      <c r="I775" s="86" t="s">
        <v>51</v>
      </c>
      <c r="J775" s="87"/>
      <c r="K775" s="87"/>
      <c r="L775" s="87"/>
      <c r="M775" s="89"/>
      <c r="N775" s="88" t="s">
        <v>54</v>
      </c>
      <c r="O775" s="87"/>
    </row>
    <row r="776" spans="1:15" ht="14.25" thickBot="1" x14ac:dyDescent="0.2">
      <c r="A776" s="13" t="s">
        <v>0</v>
      </c>
      <c r="B776" s="228" t="s">
        <v>52</v>
      </c>
      <c r="C776" s="229"/>
      <c r="D776" s="229"/>
      <c r="E776" s="229"/>
      <c r="F776" s="230"/>
      <c r="G776" s="231"/>
      <c r="H776" s="58"/>
      <c r="I776" s="13" t="s">
        <v>0</v>
      </c>
      <c r="J776" s="228" t="s">
        <v>52</v>
      </c>
      <c r="K776" s="229"/>
      <c r="L776" s="229"/>
      <c r="M776" s="229"/>
      <c r="N776" s="230"/>
      <c r="O776" s="231"/>
    </row>
    <row r="777" spans="1:15" ht="14.25" thickBot="1" x14ac:dyDescent="0.2">
      <c r="A777" s="3" t="s">
        <v>1</v>
      </c>
      <c r="B777" s="2" t="s">
        <v>42</v>
      </c>
      <c r="C777" s="21" t="s">
        <v>43</v>
      </c>
      <c r="D777" s="21" t="s">
        <v>44</v>
      </c>
      <c r="E777" s="24" t="s">
        <v>45</v>
      </c>
      <c r="F777" s="33" t="s">
        <v>46</v>
      </c>
      <c r="G777" s="3" t="s">
        <v>2</v>
      </c>
      <c r="H777" s="58"/>
      <c r="I777" s="3" t="s">
        <v>1</v>
      </c>
      <c r="J777" s="2" t="s">
        <v>42</v>
      </c>
      <c r="K777" s="21" t="s">
        <v>43</v>
      </c>
      <c r="L777" s="21" t="s">
        <v>44</v>
      </c>
      <c r="M777" s="24" t="s">
        <v>45</v>
      </c>
      <c r="N777" s="33" t="s">
        <v>46</v>
      </c>
      <c r="O777" s="3" t="s">
        <v>2</v>
      </c>
    </row>
    <row r="778" spans="1:15" ht="14.25" thickBot="1" x14ac:dyDescent="0.2">
      <c r="A778" s="72" t="s">
        <v>79</v>
      </c>
      <c r="B778" s="73">
        <f>B773</f>
        <v>3</v>
      </c>
      <c r="C778" s="74">
        <f t="shared" ref="C778:F778" si="212">C773</f>
        <v>3</v>
      </c>
      <c r="D778" s="107">
        <f t="shared" si="212"/>
        <v>3</v>
      </c>
      <c r="E778" s="75">
        <f t="shared" si="212"/>
        <v>3</v>
      </c>
      <c r="F778" s="75">
        <f t="shared" si="212"/>
        <v>2</v>
      </c>
      <c r="G778" s="76">
        <f t="shared" ref="G778:G787" si="213">SUM(B778:F778)</f>
        <v>14</v>
      </c>
      <c r="H778" s="58"/>
      <c r="I778" s="72" t="s">
        <v>79</v>
      </c>
      <c r="J778" s="73">
        <f>J773</f>
        <v>162</v>
      </c>
      <c r="K778" s="74">
        <f t="shared" ref="K778:N778" si="214">K773</f>
        <v>91</v>
      </c>
      <c r="L778" s="107">
        <f t="shared" si="214"/>
        <v>74</v>
      </c>
      <c r="M778" s="75">
        <f t="shared" si="214"/>
        <v>56</v>
      </c>
      <c r="N778" s="75">
        <f t="shared" si="214"/>
        <v>24</v>
      </c>
      <c r="O778" s="76">
        <f t="shared" ref="O778:O787" si="215">SUM(J778:N778)</f>
        <v>407</v>
      </c>
    </row>
    <row r="779" spans="1:15" x14ac:dyDescent="0.15">
      <c r="A779" s="15" t="s">
        <v>15</v>
      </c>
      <c r="B779" s="37"/>
      <c r="C779" s="35"/>
      <c r="D779" s="35"/>
      <c r="E779" s="35"/>
      <c r="F779" s="28">
        <v>3</v>
      </c>
      <c r="G779" s="7">
        <f t="shared" si="213"/>
        <v>3</v>
      </c>
      <c r="H779" s="58">
        <v>44016</v>
      </c>
      <c r="I779" s="15" t="s">
        <v>14</v>
      </c>
      <c r="J779" s="37"/>
      <c r="K779" s="35"/>
      <c r="L779" s="35"/>
      <c r="M779" s="35"/>
      <c r="N779" s="28"/>
      <c r="O779" s="7">
        <f t="shared" si="215"/>
        <v>0</v>
      </c>
    </row>
    <row r="780" spans="1:15" x14ac:dyDescent="0.15">
      <c r="A780" s="15" t="s">
        <v>16</v>
      </c>
      <c r="B780" s="8"/>
      <c r="C780" s="10">
        <v>2</v>
      </c>
      <c r="D780" s="10">
        <v>2</v>
      </c>
      <c r="E780" s="10"/>
      <c r="F780" s="28"/>
      <c r="G780" s="9">
        <f t="shared" si="213"/>
        <v>4</v>
      </c>
      <c r="H780" s="58">
        <v>44041</v>
      </c>
      <c r="I780" s="15" t="s">
        <v>3</v>
      </c>
      <c r="J780" s="8"/>
      <c r="K780" s="10"/>
      <c r="L780" s="10"/>
      <c r="M780" s="10"/>
      <c r="N780" s="28"/>
      <c r="O780" s="9">
        <f t="shared" si="215"/>
        <v>0</v>
      </c>
    </row>
    <row r="781" spans="1:15" x14ac:dyDescent="0.15">
      <c r="A781" s="15" t="s">
        <v>18</v>
      </c>
      <c r="B781" s="8"/>
      <c r="C781" s="10"/>
      <c r="D781" s="10"/>
      <c r="E781" s="10">
        <v>2</v>
      </c>
      <c r="F781" s="28"/>
      <c r="G781" s="9">
        <f t="shared" si="213"/>
        <v>2</v>
      </c>
      <c r="H781" s="58">
        <v>44063</v>
      </c>
      <c r="I781" s="15" t="s">
        <v>4</v>
      </c>
      <c r="J781" s="8"/>
      <c r="K781" s="45"/>
      <c r="L781" s="45"/>
      <c r="M781" s="45"/>
      <c r="N781" s="46"/>
      <c r="O781" s="9">
        <f t="shared" si="215"/>
        <v>0</v>
      </c>
    </row>
    <row r="782" spans="1:15" x14ac:dyDescent="0.15">
      <c r="A782" s="15" t="s">
        <v>20</v>
      </c>
      <c r="B782" s="8"/>
      <c r="C782" s="10"/>
      <c r="D782" s="10">
        <v>3</v>
      </c>
      <c r="E782" s="10"/>
      <c r="F782" s="28"/>
      <c r="G782" s="9">
        <f t="shared" si="213"/>
        <v>3</v>
      </c>
      <c r="H782" s="58">
        <v>44125</v>
      </c>
      <c r="I782" s="15" t="s">
        <v>5</v>
      </c>
      <c r="J782" s="8"/>
      <c r="K782" s="45"/>
      <c r="L782" s="45"/>
      <c r="M782" s="45"/>
      <c r="N782" s="46"/>
      <c r="O782" s="9">
        <f t="shared" si="215"/>
        <v>0</v>
      </c>
    </row>
    <row r="783" spans="1:15" x14ac:dyDescent="0.15">
      <c r="A783" s="15" t="s">
        <v>80</v>
      </c>
      <c r="B783" s="8"/>
      <c r="C783" s="10">
        <v>3</v>
      </c>
      <c r="D783" s="10"/>
      <c r="E783" s="10">
        <v>3</v>
      </c>
      <c r="F783" s="28"/>
      <c r="G783" s="9">
        <f t="shared" si="213"/>
        <v>6</v>
      </c>
      <c r="H783" s="58">
        <v>44146</v>
      </c>
      <c r="I783" s="15" t="s">
        <v>6</v>
      </c>
      <c r="J783" s="8"/>
      <c r="K783" s="45"/>
      <c r="L783" s="45"/>
      <c r="M783" s="45"/>
      <c r="N783" s="46"/>
      <c r="O783" s="9">
        <f t="shared" si="215"/>
        <v>0</v>
      </c>
    </row>
    <row r="784" spans="1:15" x14ac:dyDescent="0.15">
      <c r="A784" s="15" t="s">
        <v>81</v>
      </c>
      <c r="B784" s="8">
        <v>3</v>
      </c>
      <c r="C784" s="10"/>
      <c r="D784" s="10">
        <v>3</v>
      </c>
      <c r="E784" s="10">
        <v>3</v>
      </c>
      <c r="F784" s="28"/>
      <c r="G784" s="9">
        <f t="shared" si="213"/>
        <v>9</v>
      </c>
      <c r="H784" s="58">
        <v>44156</v>
      </c>
      <c r="I784" s="15" t="s">
        <v>84</v>
      </c>
      <c r="J784" s="8"/>
      <c r="K784" s="45"/>
      <c r="L784" s="45"/>
      <c r="M784" s="45"/>
      <c r="N784" s="46"/>
      <c r="O784" s="7">
        <f t="shared" si="215"/>
        <v>0</v>
      </c>
    </row>
    <row r="785" spans="1:16" x14ac:dyDescent="0.15">
      <c r="A785" s="15" t="s">
        <v>82</v>
      </c>
      <c r="B785" s="8">
        <v>5</v>
      </c>
      <c r="C785" s="10"/>
      <c r="D785" s="10"/>
      <c r="E785" s="10"/>
      <c r="F785" s="28"/>
      <c r="G785" s="9">
        <f t="shared" si="213"/>
        <v>5</v>
      </c>
      <c r="H785" s="58">
        <v>44188</v>
      </c>
      <c r="I785" s="15" t="s">
        <v>85</v>
      </c>
      <c r="J785" s="8"/>
      <c r="K785" s="45"/>
      <c r="L785" s="45"/>
      <c r="M785" s="45"/>
      <c r="N785" s="46"/>
      <c r="O785" s="7">
        <f t="shared" si="215"/>
        <v>0</v>
      </c>
    </row>
    <row r="786" spans="1:16" x14ac:dyDescent="0.15">
      <c r="A786" s="15" t="s">
        <v>83</v>
      </c>
      <c r="B786" s="11"/>
      <c r="C786" s="100">
        <v>4</v>
      </c>
      <c r="D786" s="100"/>
      <c r="E786" s="100">
        <v>2</v>
      </c>
      <c r="F786" s="109"/>
      <c r="G786" s="9">
        <f t="shared" si="213"/>
        <v>6</v>
      </c>
      <c r="H786" s="58">
        <v>44243</v>
      </c>
      <c r="I786" s="15" t="s">
        <v>86</v>
      </c>
      <c r="J786" s="8"/>
      <c r="K786" s="45"/>
      <c r="L786" s="45"/>
      <c r="M786" s="45"/>
      <c r="N786" s="46"/>
      <c r="O786" s="102">
        <f t="shared" si="215"/>
        <v>0</v>
      </c>
    </row>
    <row r="787" spans="1:16" ht="14.25" thickBot="1" x14ac:dyDescent="0.2">
      <c r="A787" s="15" t="s">
        <v>159</v>
      </c>
      <c r="B787" s="11"/>
      <c r="C787" s="100"/>
      <c r="D787" s="100"/>
      <c r="E787" s="100">
        <v>5</v>
      </c>
      <c r="F787" s="109">
        <v>7</v>
      </c>
      <c r="G787" s="115">
        <f t="shared" si="213"/>
        <v>12</v>
      </c>
      <c r="H787" s="58">
        <v>44253</v>
      </c>
      <c r="I787" s="15" t="s">
        <v>87</v>
      </c>
      <c r="J787" s="47"/>
      <c r="K787" s="48"/>
      <c r="L787" s="48"/>
      <c r="M787" s="48"/>
      <c r="N787" s="49"/>
      <c r="O787" s="40">
        <f t="shared" si="215"/>
        <v>0</v>
      </c>
    </row>
    <row r="788" spans="1:16" ht="14.25" thickBot="1" x14ac:dyDescent="0.2">
      <c r="A788" s="72" t="s">
        <v>7</v>
      </c>
      <c r="B788" s="73">
        <f>SUM(B778:B787)</f>
        <v>11</v>
      </c>
      <c r="C788" s="74">
        <f t="shared" ref="C788:G788" si="216">SUM(C778:C787)</f>
        <v>12</v>
      </c>
      <c r="D788" s="74">
        <f t="shared" si="216"/>
        <v>11</v>
      </c>
      <c r="E788" s="74">
        <f t="shared" si="216"/>
        <v>18</v>
      </c>
      <c r="F788" s="105">
        <f t="shared" si="216"/>
        <v>12</v>
      </c>
      <c r="G788" s="76">
        <f t="shared" si="216"/>
        <v>64</v>
      </c>
      <c r="H788" s="58"/>
      <c r="I788" s="72" t="s">
        <v>7</v>
      </c>
      <c r="J788" s="73">
        <f>SUM(J778:J787)</f>
        <v>162</v>
      </c>
      <c r="K788" s="74">
        <f t="shared" ref="K788:O788" si="217">SUM(K778:K787)</f>
        <v>91</v>
      </c>
      <c r="L788" s="74">
        <f t="shared" si="217"/>
        <v>74</v>
      </c>
      <c r="M788" s="74">
        <f t="shared" si="217"/>
        <v>56</v>
      </c>
      <c r="N788" s="105">
        <f t="shared" si="217"/>
        <v>24</v>
      </c>
      <c r="O788" s="76">
        <f t="shared" si="217"/>
        <v>407</v>
      </c>
    </row>
    <row r="789" spans="1:16" x14ac:dyDescent="0.15">
      <c r="A789" s="15" t="s">
        <v>110</v>
      </c>
      <c r="B789" s="11"/>
      <c r="C789" s="12"/>
      <c r="D789" s="12"/>
      <c r="E789" s="12"/>
      <c r="F789" s="31">
        <v>2</v>
      </c>
      <c r="G789" s="7">
        <f t="shared" ref="G789:G813" si="218">SUM(B789:F789)</f>
        <v>2</v>
      </c>
      <c r="H789" s="58">
        <v>44019</v>
      </c>
      <c r="I789" s="16" t="s">
        <v>1325</v>
      </c>
      <c r="J789" s="8"/>
      <c r="K789" s="10"/>
      <c r="L789" s="10"/>
      <c r="M789" s="10"/>
      <c r="N789" s="28">
        <v>3</v>
      </c>
      <c r="O789" s="9">
        <f t="shared" ref="O789:O814" si="219">SUM(J789:N789)</f>
        <v>3</v>
      </c>
      <c r="P789" s="58">
        <v>44016</v>
      </c>
    </row>
    <row r="790" spans="1:16" x14ac:dyDescent="0.15">
      <c r="A790" s="50" t="s">
        <v>29</v>
      </c>
      <c r="B790" s="8"/>
      <c r="C790" s="10"/>
      <c r="D790" s="10">
        <v>2</v>
      </c>
      <c r="E790" s="10"/>
      <c r="F790" s="30"/>
      <c r="G790" s="7">
        <f t="shared" si="218"/>
        <v>2</v>
      </c>
      <c r="H790" s="58">
        <v>44018</v>
      </c>
      <c r="I790" s="16" t="s">
        <v>24</v>
      </c>
      <c r="J790" s="8"/>
      <c r="K790" s="10">
        <v>2</v>
      </c>
      <c r="L790" s="10">
        <v>2</v>
      </c>
      <c r="M790" s="10"/>
      <c r="N790" s="30"/>
      <c r="O790" s="7">
        <f t="shared" si="219"/>
        <v>4</v>
      </c>
      <c r="P790" s="58">
        <v>44041</v>
      </c>
    </row>
    <row r="791" spans="1:16" x14ac:dyDescent="0.15">
      <c r="A791" s="50" t="s">
        <v>29</v>
      </c>
      <c r="B791" s="8"/>
      <c r="C791" s="10">
        <v>2</v>
      </c>
      <c r="D791" s="10"/>
      <c r="E791" s="10"/>
      <c r="F791" s="30"/>
      <c r="G791" s="7">
        <f t="shared" si="218"/>
        <v>2</v>
      </c>
      <c r="H791" s="58">
        <v>44032</v>
      </c>
      <c r="I791" s="16" t="s">
        <v>24</v>
      </c>
      <c r="J791" s="8"/>
      <c r="K791" s="10"/>
      <c r="L791" s="10"/>
      <c r="M791" s="10">
        <v>2</v>
      </c>
      <c r="N791" s="30"/>
      <c r="O791" s="7">
        <f t="shared" si="219"/>
        <v>2</v>
      </c>
      <c r="P791" s="58">
        <v>44063</v>
      </c>
    </row>
    <row r="792" spans="1:16" x14ac:dyDescent="0.15">
      <c r="A792" s="50" t="s">
        <v>110</v>
      </c>
      <c r="B792" s="8"/>
      <c r="C792" s="10"/>
      <c r="D792" s="10"/>
      <c r="E792" s="10">
        <v>2</v>
      </c>
      <c r="F792" s="30"/>
      <c r="G792" s="7">
        <f t="shared" si="218"/>
        <v>2</v>
      </c>
      <c r="H792" s="58">
        <v>44064</v>
      </c>
      <c r="I792" s="16" t="s">
        <v>24</v>
      </c>
      <c r="J792" s="8"/>
      <c r="K792" s="10"/>
      <c r="L792" s="10">
        <v>3</v>
      </c>
      <c r="M792" s="10"/>
      <c r="N792" s="30"/>
      <c r="O792" s="7">
        <f t="shared" si="219"/>
        <v>3</v>
      </c>
      <c r="P792" s="58">
        <v>44125</v>
      </c>
    </row>
    <row r="793" spans="1:16" x14ac:dyDescent="0.15">
      <c r="A793" s="39" t="s">
        <v>1354</v>
      </c>
      <c r="B793" s="8"/>
      <c r="C793" s="10">
        <v>1</v>
      </c>
      <c r="D793" s="10"/>
      <c r="E793" s="10"/>
      <c r="F793" s="30"/>
      <c r="G793" s="7">
        <f t="shared" si="218"/>
        <v>1</v>
      </c>
      <c r="H793" s="58">
        <v>44100</v>
      </c>
      <c r="I793" s="16" t="s">
        <v>24</v>
      </c>
      <c r="J793" s="8"/>
      <c r="K793" s="10">
        <v>3</v>
      </c>
      <c r="L793" s="10"/>
      <c r="M793" s="10">
        <v>3</v>
      </c>
      <c r="N793" s="30"/>
      <c r="O793" s="7">
        <f t="shared" si="219"/>
        <v>6</v>
      </c>
      <c r="P793" s="58">
        <v>44146</v>
      </c>
    </row>
    <row r="794" spans="1:16" x14ac:dyDescent="0.15">
      <c r="A794" s="39" t="s">
        <v>117</v>
      </c>
      <c r="B794" s="8"/>
      <c r="C794" s="10"/>
      <c r="D794" s="10">
        <v>1</v>
      </c>
      <c r="E794" s="10"/>
      <c r="F794" s="30"/>
      <c r="G794" s="7">
        <f t="shared" si="218"/>
        <v>1</v>
      </c>
      <c r="H794" s="58">
        <v>44104</v>
      </c>
      <c r="I794" s="16" t="s">
        <v>24</v>
      </c>
      <c r="J794" s="8">
        <v>3</v>
      </c>
      <c r="K794" s="10"/>
      <c r="L794" s="10">
        <v>3</v>
      </c>
      <c r="M794" s="10">
        <v>3</v>
      </c>
      <c r="N794" s="30"/>
      <c r="O794" s="7">
        <f t="shared" si="219"/>
        <v>9</v>
      </c>
      <c r="P794" s="57">
        <v>44156</v>
      </c>
    </row>
    <row r="795" spans="1:16" x14ac:dyDescent="0.15">
      <c r="A795" s="50" t="s">
        <v>29</v>
      </c>
      <c r="B795" s="8"/>
      <c r="C795" s="10"/>
      <c r="D795" s="10">
        <v>1</v>
      </c>
      <c r="E795" s="10"/>
      <c r="F795" s="30"/>
      <c r="G795" s="7">
        <f t="shared" si="218"/>
        <v>1</v>
      </c>
      <c r="H795" s="58">
        <v>44123</v>
      </c>
      <c r="I795" s="16" t="s">
        <v>24</v>
      </c>
      <c r="J795" s="11">
        <v>5</v>
      </c>
      <c r="K795" s="12"/>
      <c r="L795" s="12"/>
      <c r="M795" s="12"/>
      <c r="N795" s="31"/>
      <c r="O795" s="7">
        <f t="shared" si="219"/>
        <v>5</v>
      </c>
      <c r="P795" s="57">
        <v>44188</v>
      </c>
    </row>
    <row r="796" spans="1:16" x14ac:dyDescent="0.15">
      <c r="A796" s="50" t="s">
        <v>29</v>
      </c>
      <c r="B796" s="11"/>
      <c r="C796" s="12">
        <v>1</v>
      </c>
      <c r="D796" s="12"/>
      <c r="E796" s="12">
        <v>1</v>
      </c>
      <c r="F796" s="31"/>
      <c r="G796" s="7">
        <f t="shared" si="218"/>
        <v>2</v>
      </c>
      <c r="H796" s="58">
        <v>44140</v>
      </c>
      <c r="I796" s="16" t="s">
        <v>24</v>
      </c>
      <c r="J796" s="8"/>
      <c r="K796" s="10">
        <v>4</v>
      </c>
      <c r="L796" s="10"/>
      <c r="M796" s="10">
        <v>2</v>
      </c>
      <c r="N796" s="30"/>
      <c r="O796" s="7">
        <f t="shared" si="219"/>
        <v>6</v>
      </c>
      <c r="P796" s="58">
        <v>44243</v>
      </c>
    </row>
    <row r="797" spans="1:16" x14ac:dyDescent="0.15">
      <c r="A797" s="50" t="s">
        <v>110</v>
      </c>
      <c r="B797" s="8">
        <v>1</v>
      </c>
      <c r="C797" s="10"/>
      <c r="D797" s="10"/>
      <c r="E797" s="10"/>
      <c r="F797" s="30"/>
      <c r="G797" s="7">
        <f t="shared" si="218"/>
        <v>1</v>
      </c>
      <c r="H797" s="58">
        <v>44151</v>
      </c>
      <c r="I797" s="50" t="s">
        <v>24</v>
      </c>
      <c r="J797" s="8"/>
      <c r="K797" s="10"/>
      <c r="L797" s="10"/>
      <c r="M797" s="10">
        <v>5</v>
      </c>
      <c r="N797" s="30">
        <v>7</v>
      </c>
      <c r="O797" s="7">
        <f t="shared" si="219"/>
        <v>12</v>
      </c>
      <c r="P797" s="58">
        <v>44253</v>
      </c>
    </row>
    <row r="798" spans="1:16" x14ac:dyDescent="0.15">
      <c r="A798" s="50" t="s">
        <v>29</v>
      </c>
      <c r="B798" s="11"/>
      <c r="C798" s="12"/>
      <c r="D798" s="12">
        <v>1</v>
      </c>
      <c r="E798" s="12"/>
      <c r="F798" s="31"/>
      <c r="G798" s="7">
        <f t="shared" si="218"/>
        <v>1</v>
      </c>
      <c r="H798" s="58">
        <v>44141</v>
      </c>
      <c r="I798" s="50" t="s">
        <v>110</v>
      </c>
      <c r="J798" s="11"/>
      <c r="K798" s="12"/>
      <c r="L798" s="12"/>
      <c r="M798" s="12">
        <v>4</v>
      </c>
      <c r="N798" s="31"/>
      <c r="O798" s="7">
        <f t="shared" si="219"/>
        <v>4</v>
      </c>
      <c r="P798" s="58">
        <v>44271</v>
      </c>
    </row>
    <row r="799" spans="1:16" x14ac:dyDescent="0.15">
      <c r="A799" s="39" t="s">
        <v>117</v>
      </c>
      <c r="B799" s="8"/>
      <c r="C799" s="10"/>
      <c r="D799" s="10">
        <v>1</v>
      </c>
      <c r="E799" s="10"/>
      <c r="F799" s="30"/>
      <c r="G799" s="7">
        <f t="shared" si="218"/>
        <v>1</v>
      </c>
      <c r="H799" s="58">
        <v>44145</v>
      </c>
      <c r="I799" s="39" t="s">
        <v>117</v>
      </c>
      <c r="J799" s="11"/>
      <c r="K799" s="12"/>
      <c r="L799" s="12">
        <v>1</v>
      </c>
      <c r="M799" s="12"/>
      <c r="N799" s="31"/>
      <c r="O799" s="7">
        <f t="shared" si="219"/>
        <v>1</v>
      </c>
      <c r="P799" s="58">
        <v>44369</v>
      </c>
    </row>
    <row r="800" spans="1:16" x14ac:dyDescent="0.15">
      <c r="A800" s="50" t="s">
        <v>110</v>
      </c>
      <c r="B800" s="8"/>
      <c r="C800" s="10"/>
      <c r="D800" s="10"/>
      <c r="E800" s="10">
        <v>3</v>
      </c>
      <c r="F800" s="30"/>
      <c r="G800" s="7">
        <f t="shared" si="218"/>
        <v>3</v>
      </c>
      <c r="H800" s="58">
        <v>44153</v>
      </c>
      <c r="I800" s="16"/>
      <c r="J800" s="8"/>
      <c r="K800" s="10"/>
      <c r="L800" s="10"/>
      <c r="M800" s="10"/>
      <c r="N800" s="30"/>
      <c r="O800" s="7">
        <f t="shared" si="219"/>
        <v>0</v>
      </c>
    </row>
    <row r="801" spans="1:15" x14ac:dyDescent="0.15">
      <c r="A801" s="50" t="s">
        <v>110</v>
      </c>
      <c r="B801" s="8"/>
      <c r="C801" s="10"/>
      <c r="D801" s="10"/>
      <c r="E801" s="10">
        <v>1</v>
      </c>
      <c r="F801" s="30"/>
      <c r="G801" s="7">
        <f t="shared" si="218"/>
        <v>1</v>
      </c>
      <c r="H801" s="58">
        <v>44168</v>
      </c>
      <c r="I801" s="16"/>
      <c r="J801" s="8"/>
      <c r="K801" s="10"/>
      <c r="L801" s="10"/>
      <c r="M801" s="10"/>
      <c r="N801" s="30"/>
      <c r="O801" s="7">
        <f t="shared" si="219"/>
        <v>0</v>
      </c>
    </row>
    <row r="802" spans="1:15" x14ac:dyDescent="0.15">
      <c r="A802" s="50" t="s">
        <v>29</v>
      </c>
      <c r="B802" s="8"/>
      <c r="C802" s="10"/>
      <c r="D802" s="10"/>
      <c r="E802" s="10"/>
      <c r="F802" s="30">
        <v>1</v>
      </c>
      <c r="G802" s="7">
        <f t="shared" si="218"/>
        <v>1</v>
      </c>
      <c r="H802" s="58">
        <v>44162</v>
      </c>
      <c r="I802" s="16"/>
      <c r="J802" s="8"/>
      <c r="K802" s="10"/>
      <c r="L802" s="10"/>
      <c r="M802" s="10"/>
      <c r="N802" s="30"/>
      <c r="O802" s="7">
        <f t="shared" si="219"/>
        <v>0</v>
      </c>
    </row>
    <row r="803" spans="1:15" x14ac:dyDescent="0.15">
      <c r="A803" s="50" t="s">
        <v>29</v>
      </c>
      <c r="B803" s="8"/>
      <c r="C803" s="10"/>
      <c r="D803" s="10"/>
      <c r="E803" s="10">
        <v>1</v>
      </c>
      <c r="F803" s="30"/>
      <c r="G803" s="7">
        <f t="shared" si="218"/>
        <v>1</v>
      </c>
      <c r="H803" s="58">
        <v>44176</v>
      </c>
      <c r="I803" s="51"/>
      <c r="J803" s="8"/>
      <c r="K803" s="10"/>
      <c r="L803" s="10"/>
      <c r="M803" s="10"/>
      <c r="N803" s="30"/>
      <c r="O803" s="7">
        <f t="shared" si="219"/>
        <v>0</v>
      </c>
    </row>
    <row r="804" spans="1:15" x14ac:dyDescent="0.15">
      <c r="A804" s="50" t="s">
        <v>110</v>
      </c>
      <c r="B804" s="8">
        <v>5</v>
      </c>
      <c r="C804" s="10"/>
      <c r="D804" s="10"/>
      <c r="E804" s="10"/>
      <c r="F804" s="30"/>
      <c r="G804" s="7">
        <f t="shared" si="218"/>
        <v>5</v>
      </c>
      <c r="H804" s="58">
        <v>43837</v>
      </c>
      <c r="I804" s="16"/>
      <c r="J804" s="8"/>
      <c r="K804" s="10"/>
      <c r="L804" s="10"/>
      <c r="M804" s="10"/>
      <c r="N804" s="30"/>
      <c r="O804" s="7">
        <f t="shared" si="219"/>
        <v>0</v>
      </c>
    </row>
    <row r="805" spans="1:15" x14ac:dyDescent="0.15">
      <c r="A805" s="50" t="s">
        <v>29</v>
      </c>
      <c r="B805" s="8"/>
      <c r="C805" s="10"/>
      <c r="D805" s="10"/>
      <c r="E805" s="10">
        <v>1</v>
      </c>
      <c r="F805" s="30"/>
      <c r="G805" s="7">
        <f t="shared" si="218"/>
        <v>1</v>
      </c>
      <c r="H805" s="58">
        <v>44214</v>
      </c>
      <c r="I805" s="16"/>
      <c r="J805" s="8"/>
      <c r="K805" s="10"/>
      <c r="L805" s="10"/>
      <c r="M805" s="10"/>
      <c r="N805" s="30"/>
      <c r="O805" s="7">
        <f t="shared" si="219"/>
        <v>0</v>
      </c>
    </row>
    <row r="806" spans="1:15" x14ac:dyDescent="0.15">
      <c r="A806" s="50" t="s">
        <v>110</v>
      </c>
      <c r="B806" s="8"/>
      <c r="C806" s="10">
        <v>4</v>
      </c>
      <c r="D806" s="10"/>
      <c r="E806" s="10">
        <v>2</v>
      </c>
      <c r="F806" s="30"/>
      <c r="G806" s="7">
        <f t="shared" si="218"/>
        <v>6</v>
      </c>
      <c r="H806" s="58">
        <v>44249</v>
      </c>
      <c r="I806" s="16"/>
      <c r="J806" s="8"/>
      <c r="K806" s="10"/>
      <c r="L806" s="10"/>
      <c r="M806" s="10"/>
      <c r="N806" s="30"/>
      <c r="O806" s="7">
        <f t="shared" si="219"/>
        <v>0</v>
      </c>
    </row>
    <row r="807" spans="1:15" x14ac:dyDescent="0.15">
      <c r="A807" s="50" t="s">
        <v>110</v>
      </c>
      <c r="B807" s="8"/>
      <c r="C807" s="10"/>
      <c r="D807" s="10"/>
      <c r="E807" s="10">
        <v>4</v>
      </c>
      <c r="F807" s="30">
        <v>6</v>
      </c>
      <c r="G807" s="7">
        <f t="shared" si="218"/>
        <v>10</v>
      </c>
      <c r="H807" s="58">
        <v>44257</v>
      </c>
      <c r="I807" s="16"/>
      <c r="J807" s="8"/>
      <c r="K807" s="10"/>
      <c r="L807" s="10"/>
      <c r="M807" s="10"/>
      <c r="N807" s="30"/>
      <c r="O807" s="7">
        <f t="shared" si="219"/>
        <v>0</v>
      </c>
    </row>
    <row r="808" spans="1:15" x14ac:dyDescent="0.15">
      <c r="A808" s="39" t="s">
        <v>117</v>
      </c>
      <c r="B808" s="8"/>
      <c r="C808" s="10"/>
      <c r="D808" s="10">
        <v>1</v>
      </c>
      <c r="E808" s="10"/>
      <c r="F808" s="30"/>
      <c r="G808" s="7">
        <f t="shared" si="218"/>
        <v>1</v>
      </c>
      <c r="H808" s="58">
        <v>44272</v>
      </c>
      <c r="I808" s="16"/>
      <c r="J808" s="8"/>
      <c r="K808" s="10"/>
      <c r="L808" s="10"/>
      <c r="M808" s="10"/>
      <c r="N808" s="30"/>
      <c r="O808" s="7">
        <f t="shared" si="219"/>
        <v>0</v>
      </c>
    </row>
    <row r="809" spans="1:15" x14ac:dyDescent="0.15">
      <c r="A809" s="50" t="s">
        <v>29</v>
      </c>
      <c r="B809" s="8"/>
      <c r="C809" s="10"/>
      <c r="D809" s="10"/>
      <c r="E809" s="10"/>
      <c r="F809" s="30">
        <v>1</v>
      </c>
      <c r="G809" s="7">
        <f t="shared" si="218"/>
        <v>1</v>
      </c>
      <c r="H809" s="58">
        <v>44281</v>
      </c>
      <c r="I809" s="16"/>
      <c r="J809" s="8"/>
      <c r="K809" s="10"/>
      <c r="L809" s="10"/>
      <c r="M809" s="10"/>
      <c r="N809" s="30"/>
      <c r="O809" s="7">
        <f t="shared" si="219"/>
        <v>0</v>
      </c>
    </row>
    <row r="810" spans="1:15" x14ac:dyDescent="0.15">
      <c r="A810" s="50" t="s">
        <v>696</v>
      </c>
      <c r="B810" s="11"/>
      <c r="C810" s="12"/>
      <c r="D810" s="12"/>
      <c r="E810" s="12">
        <v>-1</v>
      </c>
      <c r="F810" s="31"/>
      <c r="G810" s="7">
        <f t="shared" si="218"/>
        <v>-1</v>
      </c>
      <c r="H810" s="58">
        <v>44302</v>
      </c>
      <c r="I810" s="50"/>
      <c r="J810" s="8"/>
      <c r="K810" s="10"/>
      <c r="L810" s="10"/>
      <c r="M810" s="10"/>
      <c r="N810" s="30"/>
      <c r="O810" s="7">
        <f t="shared" si="219"/>
        <v>0</v>
      </c>
    </row>
    <row r="811" spans="1:15" x14ac:dyDescent="0.15">
      <c r="A811" s="50" t="s">
        <v>29</v>
      </c>
      <c r="B811" s="8"/>
      <c r="C811" s="10">
        <v>1</v>
      </c>
      <c r="D811" s="10">
        <v>1</v>
      </c>
      <c r="E811" s="10"/>
      <c r="F811" s="30"/>
      <c r="G811" s="7">
        <f t="shared" si="218"/>
        <v>2</v>
      </c>
      <c r="H811" s="58">
        <v>44314</v>
      </c>
      <c r="I811" s="50"/>
      <c r="J811" s="8"/>
      <c r="K811" s="10"/>
      <c r="L811" s="10"/>
      <c r="M811" s="10"/>
      <c r="N811" s="30"/>
      <c r="O811" s="7">
        <f t="shared" si="219"/>
        <v>0</v>
      </c>
    </row>
    <row r="812" spans="1:15" x14ac:dyDescent="0.15">
      <c r="A812" s="50" t="s">
        <v>29</v>
      </c>
      <c r="B812" s="8">
        <v>1</v>
      </c>
      <c r="C812" s="10"/>
      <c r="D812" s="10"/>
      <c r="E812" s="10"/>
      <c r="F812" s="30"/>
      <c r="G812" s="7">
        <f t="shared" si="218"/>
        <v>1</v>
      </c>
      <c r="H812" s="58">
        <v>44340</v>
      </c>
      <c r="I812" s="16"/>
      <c r="J812" s="8"/>
      <c r="K812" s="10"/>
      <c r="L812" s="10"/>
      <c r="M812" s="10"/>
      <c r="N812" s="30"/>
      <c r="O812" s="7">
        <f t="shared" si="219"/>
        <v>0</v>
      </c>
    </row>
    <row r="813" spans="1:15" x14ac:dyDescent="0.15">
      <c r="A813" s="50" t="s">
        <v>29</v>
      </c>
      <c r="B813" s="8"/>
      <c r="C813" s="10">
        <v>1</v>
      </c>
      <c r="D813" s="10"/>
      <c r="E813" s="10"/>
      <c r="F813" s="30"/>
      <c r="G813" s="7">
        <f t="shared" si="218"/>
        <v>1</v>
      </c>
      <c r="H813" s="58">
        <v>44352</v>
      </c>
      <c r="I813" s="39"/>
      <c r="J813" s="8"/>
      <c r="K813" s="10"/>
      <c r="L813" s="10"/>
      <c r="M813" s="10"/>
      <c r="N813" s="30"/>
      <c r="O813" s="7">
        <f t="shared" si="219"/>
        <v>0</v>
      </c>
    </row>
    <row r="814" spans="1:15" ht="14.25" thickBot="1" x14ac:dyDescent="0.2">
      <c r="A814" s="50" t="s">
        <v>29</v>
      </c>
      <c r="B814" s="11"/>
      <c r="C814" s="12"/>
      <c r="D814" s="12"/>
      <c r="E814" s="12">
        <v>1</v>
      </c>
      <c r="F814" s="31"/>
      <c r="G814" s="7">
        <f t="shared" ref="G814" si="220">SUM(B814:F814)</f>
        <v>1</v>
      </c>
      <c r="H814" s="58">
        <v>44354</v>
      </c>
      <c r="I814" s="14"/>
      <c r="J814" s="8"/>
      <c r="K814" s="10"/>
      <c r="L814" s="10"/>
      <c r="M814" s="10"/>
      <c r="N814" s="30"/>
      <c r="O814" s="7">
        <f t="shared" si="219"/>
        <v>0</v>
      </c>
    </row>
    <row r="815" spans="1:15" ht="14.25" thickBot="1" x14ac:dyDescent="0.2">
      <c r="A815" s="3" t="s">
        <v>11</v>
      </c>
      <c r="B815" s="23">
        <f>SUM(B789:B814)</f>
        <v>7</v>
      </c>
      <c r="C815" s="4">
        <f>SUM(C789:C814)</f>
        <v>10</v>
      </c>
      <c r="D815" s="4">
        <f>SUM(D789:D814)</f>
        <v>8</v>
      </c>
      <c r="E815" s="6">
        <f>SUM(E789:E814)</f>
        <v>15</v>
      </c>
      <c r="F815" s="32">
        <f>SUM(F789:F814)</f>
        <v>10</v>
      </c>
      <c r="G815" s="5">
        <f>SUM(B815:F815)</f>
        <v>50</v>
      </c>
      <c r="H815" s="58"/>
      <c r="I815" s="3" t="s">
        <v>11</v>
      </c>
      <c r="J815" s="23">
        <f>SUM(J789:J814)</f>
        <v>8</v>
      </c>
      <c r="K815" s="4">
        <f>SUM(K789:K814)</f>
        <v>9</v>
      </c>
      <c r="L815" s="4">
        <f>SUM(L789:L814)</f>
        <v>9</v>
      </c>
      <c r="M815" s="6">
        <f>SUM(M789:M814)</f>
        <v>19</v>
      </c>
      <c r="N815" s="32">
        <f>SUM(N789:N814)</f>
        <v>10</v>
      </c>
      <c r="O815" s="5">
        <f>SUM(J815:N815)</f>
        <v>55</v>
      </c>
    </row>
    <row r="816" spans="1:15" ht="14.25" thickBot="1" x14ac:dyDescent="0.2">
      <c r="A816" s="25" t="s">
        <v>12</v>
      </c>
      <c r="B816" s="63">
        <f>B788-B815</f>
        <v>4</v>
      </c>
      <c r="C816" s="26">
        <f t="shared" ref="C816:G816" si="221">C788-C815</f>
        <v>2</v>
      </c>
      <c r="D816" s="71">
        <f t="shared" si="221"/>
        <v>3</v>
      </c>
      <c r="E816" s="26">
        <f t="shared" si="221"/>
        <v>3</v>
      </c>
      <c r="F816" s="70">
        <f t="shared" si="221"/>
        <v>2</v>
      </c>
      <c r="G816" s="27">
        <f t="shared" si="221"/>
        <v>14</v>
      </c>
      <c r="H816" s="58"/>
      <c r="I816" s="25" t="s">
        <v>12</v>
      </c>
      <c r="J816" s="63">
        <f>J788-J815</f>
        <v>154</v>
      </c>
      <c r="K816" s="26">
        <f t="shared" ref="K816:O816" si="222">K788-K815</f>
        <v>82</v>
      </c>
      <c r="L816" s="71">
        <f t="shared" si="222"/>
        <v>65</v>
      </c>
      <c r="M816" s="26">
        <f t="shared" si="222"/>
        <v>37</v>
      </c>
      <c r="N816" s="70">
        <f t="shared" si="222"/>
        <v>14</v>
      </c>
      <c r="O816" s="27">
        <f t="shared" si="222"/>
        <v>352</v>
      </c>
    </row>
    <row r="817" spans="1:16" ht="21" x14ac:dyDescent="0.2">
      <c r="A817" s="86" t="s">
        <v>50</v>
      </c>
      <c r="B817" s="87"/>
      <c r="C817" s="87"/>
      <c r="D817" s="87"/>
      <c r="E817" s="87"/>
      <c r="F817" s="87"/>
      <c r="G817" s="87"/>
      <c r="H817" s="58"/>
      <c r="I817" s="86" t="s">
        <v>50</v>
      </c>
      <c r="J817" s="87"/>
      <c r="K817" s="87"/>
      <c r="L817" s="87"/>
      <c r="M817" s="87"/>
      <c r="N817" s="87"/>
      <c r="O817" s="87"/>
    </row>
    <row r="818" spans="1:16" ht="21.75" thickBot="1" x14ac:dyDescent="0.25">
      <c r="A818" s="86" t="s">
        <v>51</v>
      </c>
      <c r="B818" s="87"/>
      <c r="C818" s="87"/>
      <c r="D818" s="87"/>
      <c r="E818" s="85"/>
      <c r="F818" s="88" t="s">
        <v>53</v>
      </c>
      <c r="G818" s="87"/>
      <c r="H818" s="58"/>
      <c r="I818" s="86" t="s">
        <v>51</v>
      </c>
      <c r="J818" s="87"/>
      <c r="K818" s="87"/>
      <c r="L818" s="87"/>
      <c r="M818" s="89"/>
      <c r="N818" s="88" t="s">
        <v>54</v>
      </c>
      <c r="O818" s="87"/>
    </row>
    <row r="819" spans="1:16" ht="14.25" thickBot="1" x14ac:dyDescent="0.2">
      <c r="A819" s="13" t="s">
        <v>0</v>
      </c>
      <c r="B819" s="228" t="s">
        <v>52</v>
      </c>
      <c r="C819" s="229"/>
      <c r="D819" s="229"/>
      <c r="E819" s="229"/>
      <c r="F819" s="230"/>
      <c r="G819" s="231"/>
      <c r="H819" s="58"/>
      <c r="I819" s="13" t="s">
        <v>0</v>
      </c>
      <c r="J819" s="228" t="s">
        <v>52</v>
      </c>
      <c r="K819" s="229"/>
      <c r="L819" s="229"/>
      <c r="M819" s="229"/>
      <c r="N819" s="230"/>
      <c r="O819" s="231"/>
    </row>
    <row r="820" spans="1:16" ht="14.25" thickBot="1" x14ac:dyDescent="0.2">
      <c r="A820" s="3" t="s">
        <v>1</v>
      </c>
      <c r="B820" s="2" t="s">
        <v>42</v>
      </c>
      <c r="C820" s="21" t="s">
        <v>43</v>
      </c>
      <c r="D820" s="21" t="s">
        <v>44</v>
      </c>
      <c r="E820" s="24" t="s">
        <v>45</v>
      </c>
      <c r="F820" s="33" t="s">
        <v>46</v>
      </c>
      <c r="G820" s="3" t="s">
        <v>2</v>
      </c>
      <c r="H820" s="58"/>
      <c r="I820" s="3" t="s">
        <v>1</v>
      </c>
      <c r="J820" s="2" t="s">
        <v>42</v>
      </c>
      <c r="K820" s="21" t="s">
        <v>43</v>
      </c>
      <c r="L820" s="21" t="s">
        <v>44</v>
      </c>
      <c r="M820" s="24" t="s">
        <v>45</v>
      </c>
      <c r="N820" s="33" t="s">
        <v>46</v>
      </c>
      <c r="O820" s="3" t="s">
        <v>2</v>
      </c>
    </row>
    <row r="821" spans="1:16" ht="14.25" thickBot="1" x14ac:dyDescent="0.2">
      <c r="A821" s="72" t="s">
        <v>79</v>
      </c>
      <c r="B821" s="73">
        <f>B816</f>
        <v>4</v>
      </c>
      <c r="C821" s="74">
        <f t="shared" ref="C821:F821" si="223">C816</f>
        <v>2</v>
      </c>
      <c r="D821" s="107">
        <f t="shared" si="223"/>
        <v>3</v>
      </c>
      <c r="E821" s="75">
        <f t="shared" si="223"/>
        <v>3</v>
      </c>
      <c r="F821" s="75">
        <f t="shared" si="223"/>
        <v>2</v>
      </c>
      <c r="G821" s="76">
        <f t="shared" ref="G821:G830" si="224">SUM(B821:F821)</f>
        <v>14</v>
      </c>
      <c r="H821" s="58"/>
      <c r="I821" s="72" t="s">
        <v>79</v>
      </c>
      <c r="J821" s="73">
        <f>J816</f>
        <v>154</v>
      </c>
      <c r="K821" s="74">
        <f t="shared" ref="K821:N821" si="225">K816</f>
        <v>82</v>
      </c>
      <c r="L821" s="107">
        <f t="shared" si="225"/>
        <v>65</v>
      </c>
      <c r="M821" s="75">
        <f t="shared" si="225"/>
        <v>37</v>
      </c>
      <c r="N821" s="75">
        <f t="shared" si="225"/>
        <v>14</v>
      </c>
      <c r="O821" s="76">
        <f t="shared" ref="O821:O830" si="226">SUM(J821:N821)</f>
        <v>352</v>
      </c>
    </row>
    <row r="822" spans="1:16" x14ac:dyDescent="0.15">
      <c r="A822" s="15" t="s">
        <v>15</v>
      </c>
      <c r="B822" s="37"/>
      <c r="C822" s="35">
        <v>3</v>
      </c>
      <c r="D822" s="35"/>
      <c r="E822" s="35"/>
      <c r="F822" s="28"/>
      <c r="G822" s="7">
        <f t="shared" si="224"/>
        <v>3</v>
      </c>
      <c r="H822" s="58">
        <v>44380</v>
      </c>
      <c r="I822" s="15" t="s">
        <v>14</v>
      </c>
      <c r="J822" s="37"/>
      <c r="K822" s="35"/>
      <c r="L822" s="35"/>
      <c r="M822" s="35"/>
      <c r="N822" s="28"/>
      <c r="O822" s="7">
        <f t="shared" si="226"/>
        <v>0</v>
      </c>
    </row>
    <row r="823" spans="1:16" x14ac:dyDescent="0.15">
      <c r="A823" s="15" t="s">
        <v>16</v>
      </c>
      <c r="B823" s="8"/>
      <c r="C823" s="10"/>
      <c r="D823" s="10"/>
      <c r="E823" s="10">
        <v>3</v>
      </c>
      <c r="F823" s="28">
        <v>3</v>
      </c>
      <c r="G823" s="9">
        <f t="shared" si="224"/>
        <v>6</v>
      </c>
      <c r="H823" s="58">
        <v>44405</v>
      </c>
      <c r="I823" s="15" t="s">
        <v>3</v>
      </c>
      <c r="J823" s="8"/>
      <c r="K823" s="10"/>
      <c r="L823" s="10"/>
      <c r="M823" s="10"/>
      <c r="N823" s="28"/>
      <c r="O823" s="9">
        <f t="shared" si="226"/>
        <v>0</v>
      </c>
    </row>
    <row r="824" spans="1:16" x14ac:dyDescent="0.15">
      <c r="A824" s="15" t="s">
        <v>18</v>
      </c>
      <c r="B824" s="8"/>
      <c r="C824" s="10"/>
      <c r="D824" s="10">
        <v>3</v>
      </c>
      <c r="E824" s="10">
        <v>3</v>
      </c>
      <c r="F824" s="28"/>
      <c r="G824" s="9">
        <f t="shared" si="224"/>
        <v>6</v>
      </c>
      <c r="H824" s="58">
        <v>44408</v>
      </c>
      <c r="I824" s="15" t="s">
        <v>4</v>
      </c>
      <c r="J824" s="8"/>
      <c r="K824" s="45"/>
      <c r="L824" s="45"/>
      <c r="M824" s="45"/>
      <c r="N824" s="46"/>
      <c r="O824" s="9">
        <f t="shared" si="226"/>
        <v>0</v>
      </c>
    </row>
    <row r="825" spans="1:16" x14ac:dyDescent="0.15">
      <c r="A825" s="15" t="s">
        <v>1348</v>
      </c>
      <c r="B825" s="8"/>
      <c r="C825" s="10"/>
      <c r="D825" s="10">
        <v>-1</v>
      </c>
      <c r="E825" s="10">
        <v>-1</v>
      </c>
      <c r="F825" s="28"/>
      <c r="G825" s="9">
        <f t="shared" si="224"/>
        <v>-2</v>
      </c>
      <c r="H825" s="58">
        <v>44434</v>
      </c>
      <c r="I825" s="15" t="s">
        <v>5</v>
      </c>
      <c r="J825" s="8"/>
      <c r="K825" s="45"/>
      <c r="L825" s="45"/>
      <c r="M825" s="45"/>
      <c r="N825" s="46"/>
      <c r="O825" s="9">
        <f t="shared" si="226"/>
        <v>0</v>
      </c>
    </row>
    <row r="826" spans="1:16" x14ac:dyDescent="0.15">
      <c r="A826" s="15" t="s">
        <v>80</v>
      </c>
      <c r="B826" s="8"/>
      <c r="C826" s="10">
        <v>3</v>
      </c>
      <c r="D826" s="10"/>
      <c r="E826" s="10">
        <v>3</v>
      </c>
      <c r="F826" s="28"/>
      <c r="G826" s="9">
        <f t="shared" ref="G826" si="227">SUM(B826:F826)</f>
        <v>6</v>
      </c>
      <c r="H826" s="58">
        <v>44438</v>
      </c>
      <c r="I826" s="15" t="s">
        <v>6</v>
      </c>
      <c r="J826" s="8"/>
      <c r="K826" s="45"/>
      <c r="L826" s="45"/>
      <c r="M826" s="45"/>
      <c r="N826" s="46"/>
      <c r="O826" s="9">
        <f t="shared" si="226"/>
        <v>0</v>
      </c>
    </row>
    <row r="827" spans="1:16" x14ac:dyDescent="0.15">
      <c r="A827" s="15" t="s">
        <v>81</v>
      </c>
      <c r="B827" s="8"/>
      <c r="C827" s="10"/>
      <c r="D827" s="10"/>
      <c r="E827" s="10">
        <v>3</v>
      </c>
      <c r="F827" s="28"/>
      <c r="G827" s="9">
        <f t="shared" si="224"/>
        <v>3</v>
      </c>
      <c r="H827" s="58">
        <v>44474</v>
      </c>
      <c r="I827" s="15" t="s">
        <v>84</v>
      </c>
      <c r="J827" s="8"/>
      <c r="K827" s="45"/>
      <c r="L827" s="45"/>
      <c r="M827" s="45"/>
      <c r="N827" s="46"/>
      <c r="O827" s="7">
        <f t="shared" si="226"/>
        <v>0</v>
      </c>
    </row>
    <row r="828" spans="1:16" x14ac:dyDescent="0.15">
      <c r="A828" s="15" t="s">
        <v>82</v>
      </c>
      <c r="B828" s="8"/>
      <c r="C828" s="10"/>
      <c r="D828" s="10"/>
      <c r="E828" s="10"/>
      <c r="F828" s="28">
        <v>3</v>
      </c>
      <c r="G828" s="9">
        <f t="shared" si="224"/>
        <v>3</v>
      </c>
      <c r="H828" s="58">
        <v>44490</v>
      </c>
      <c r="I828" s="15" t="s">
        <v>85</v>
      </c>
      <c r="J828" s="8"/>
      <c r="K828" s="45"/>
      <c r="L828" s="45"/>
      <c r="M828" s="45"/>
      <c r="N828" s="46"/>
      <c r="O828" s="7">
        <f t="shared" si="226"/>
        <v>0</v>
      </c>
    </row>
    <row r="829" spans="1:16" x14ac:dyDescent="0.15">
      <c r="A829" s="15" t="s">
        <v>83</v>
      </c>
      <c r="B829" s="11"/>
      <c r="C829" s="100">
        <v>3</v>
      </c>
      <c r="D829" s="100">
        <v>3</v>
      </c>
      <c r="E829" s="100">
        <v>3</v>
      </c>
      <c r="F829" s="109"/>
      <c r="G829" s="9">
        <f t="shared" si="224"/>
        <v>9</v>
      </c>
      <c r="H829" s="58">
        <v>44497</v>
      </c>
      <c r="I829" s="15" t="s">
        <v>86</v>
      </c>
      <c r="J829" s="8"/>
      <c r="K829" s="45"/>
      <c r="L829" s="45"/>
      <c r="M829" s="45"/>
      <c r="N829" s="46"/>
      <c r="O829" s="102">
        <f t="shared" si="226"/>
        <v>0</v>
      </c>
    </row>
    <row r="830" spans="1:16" ht="14.25" thickBot="1" x14ac:dyDescent="0.2">
      <c r="A830" s="15" t="s">
        <v>159</v>
      </c>
      <c r="B830" s="11">
        <v>3</v>
      </c>
      <c r="C830" s="100"/>
      <c r="D830" s="100"/>
      <c r="E830" s="100"/>
      <c r="F830" s="109"/>
      <c r="G830" s="115">
        <f t="shared" si="224"/>
        <v>3</v>
      </c>
      <c r="H830" s="58">
        <v>44576</v>
      </c>
      <c r="I830" s="15" t="s">
        <v>87</v>
      </c>
      <c r="J830" s="47"/>
      <c r="K830" s="48"/>
      <c r="L830" s="48"/>
      <c r="M830" s="48"/>
      <c r="N830" s="49"/>
      <c r="O830" s="40">
        <f t="shared" si="226"/>
        <v>0</v>
      </c>
    </row>
    <row r="831" spans="1:16" ht="14.25" thickBot="1" x14ac:dyDescent="0.2">
      <c r="A831" s="72" t="s">
        <v>7</v>
      </c>
      <c r="B831" s="73">
        <f>SUM(B821:B830)</f>
        <v>7</v>
      </c>
      <c r="C831" s="74">
        <f t="shared" ref="C831:G831" si="228">SUM(C821:C830)</f>
        <v>11</v>
      </c>
      <c r="D831" s="74">
        <f t="shared" si="228"/>
        <v>8</v>
      </c>
      <c r="E831" s="74">
        <f t="shared" si="228"/>
        <v>17</v>
      </c>
      <c r="F831" s="105">
        <f t="shared" si="228"/>
        <v>8</v>
      </c>
      <c r="G831" s="76">
        <f t="shared" si="228"/>
        <v>51</v>
      </c>
      <c r="H831" s="58"/>
      <c r="I831" s="72" t="s">
        <v>7</v>
      </c>
      <c r="J831" s="73">
        <f>SUM(J821:J830)</f>
        <v>154</v>
      </c>
      <c r="K831" s="74">
        <f t="shared" ref="K831:O831" si="229">SUM(K821:K830)</f>
        <v>82</v>
      </c>
      <c r="L831" s="74">
        <f t="shared" si="229"/>
        <v>65</v>
      </c>
      <c r="M831" s="74">
        <f t="shared" si="229"/>
        <v>37</v>
      </c>
      <c r="N831" s="105">
        <f t="shared" si="229"/>
        <v>14</v>
      </c>
      <c r="O831" s="76">
        <f t="shared" si="229"/>
        <v>352</v>
      </c>
    </row>
    <row r="832" spans="1:16" x14ac:dyDescent="0.15">
      <c r="A832" s="50" t="s">
        <v>29</v>
      </c>
      <c r="B832" s="11"/>
      <c r="C832" s="12">
        <v>1</v>
      </c>
      <c r="D832" s="12"/>
      <c r="E832" s="12">
        <v>1</v>
      </c>
      <c r="F832" s="31"/>
      <c r="G832" s="7">
        <f t="shared" ref="G832:G857" si="230">SUM(B832:F832)</f>
        <v>2</v>
      </c>
      <c r="H832" s="58">
        <v>44368</v>
      </c>
      <c r="I832" s="16" t="s">
        <v>1426</v>
      </c>
      <c r="J832" s="8"/>
      <c r="K832" s="10">
        <v>3</v>
      </c>
      <c r="L832" s="10"/>
      <c r="M832" s="10"/>
      <c r="N832" s="28"/>
      <c r="O832" s="9">
        <f t="shared" ref="O832:O857" si="231">SUM(J832:N832)</f>
        <v>3</v>
      </c>
      <c r="P832" s="58">
        <v>44380</v>
      </c>
    </row>
    <row r="833" spans="1:18" x14ac:dyDescent="0.15">
      <c r="A833" s="50" t="s">
        <v>29</v>
      </c>
      <c r="B833" s="8"/>
      <c r="C833" s="10"/>
      <c r="D833" s="10"/>
      <c r="E833" s="10">
        <v>1</v>
      </c>
      <c r="F833" s="30"/>
      <c r="G833" s="7">
        <f t="shared" si="230"/>
        <v>1</v>
      </c>
      <c r="H833" s="58">
        <v>44401</v>
      </c>
      <c r="I833" s="16" t="s">
        <v>1437</v>
      </c>
      <c r="J833" s="8"/>
      <c r="K833" s="10"/>
      <c r="L833" s="10">
        <v>1</v>
      </c>
      <c r="M833" s="10"/>
      <c r="N833" s="30"/>
      <c r="O833" s="7">
        <f t="shared" si="231"/>
        <v>1</v>
      </c>
      <c r="P833" s="58">
        <v>44404</v>
      </c>
    </row>
    <row r="834" spans="1:18" x14ac:dyDescent="0.15">
      <c r="A834" s="50" t="s">
        <v>29</v>
      </c>
      <c r="B834" s="8"/>
      <c r="C834" s="10"/>
      <c r="D834" s="10"/>
      <c r="E834" s="10">
        <v>1</v>
      </c>
      <c r="F834" s="30"/>
      <c r="G834" s="7">
        <f t="shared" si="230"/>
        <v>1</v>
      </c>
      <c r="H834" s="58">
        <v>44405</v>
      </c>
      <c r="I834" s="15" t="s">
        <v>9</v>
      </c>
      <c r="J834" s="8"/>
      <c r="K834" s="10"/>
      <c r="L834" s="10"/>
      <c r="M834" s="10">
        <v>3</v>
      </c>
      <c r="N834" s="28">
        <v>3</v>
      </c>
      <c r="O834" s="9">
        <f t="shared" ref="O834:O843" si="232">SUM(J834:N834)</f>
        <v>6</v>
      </c>
      <c r="P834" s="58">
        <v>44405</v>
      </c>
    </row>
    <row r="835" spans="1:18" x14ac:dyDescent="0.15">
      <c r="A835" s="16" t="s">
        <v>110</v>
      </c>
      <c r="B835" s="8"/>
      <c r="C835" s="10"/>
      <c r="D835" s="10"/>
      <c r="E835" s="10">
        <v>2</v>
      </c>
      <c r="F835" s="30">
        <v>1</v>
      </c>
      <c r="G835" s="7">
        <f t="shared" si="230"/>
        <v>3</v>
      </c>
      <c r="H835" s="58">
        <v>44411</v>
      </c>
      <c r="I835" s="15" t="s">
        <v>9</v>
      </c>
      <c r="J835" s="8"/>
      <c r="K835" s="10"/>
      <c r="L835" s="10">
        <v>3</v>
      </c>
      <c r="M835" s="10">
        <v>3</v>
      </c>
      <c r="N835" s="30"/>
      <c r="O835" s="7">
        <f t="shared" si="232"/>
        <v>6</v>
      </c>
      <c r="P835" s="58">
        <v>44408</v>
      </c>
      <c r="Q835" s="56"/>
    </row>
    <row r="836" spans="1:18" x14ac:dyDescent="0.15">
      <c r="A836" s="50" t="s">
        <v>29</v>
      </c>
      <c r="B836" s="8"/>
      <c r="C836" s="10"/>
      <c r="D836" s="10"/>
      <c r="E836" s="10">
        <v>1</v>
      </c>
      <c r="F836" s="30"/>
      <c r="G836" s="7">
        <f t="shared" si="230"/>
        <v>1</v>
      </c>
      <c r="H836" s="58">
        <v>44419</v>
      </c>
      <c r="I836" s="15" t="s">
        <v>9</v>
      </c>
      <c r="J836" s="8"/>
      <c r="K836" s="10">
        <v>3</v>
      </c>
      <c r="L836" s="10"/>
      <c r="M836" s="10">
        <v>3</v>
      </c>
      <c r="N836" s="28"/>
      <c r="O836" s="9">
        <f t="shared" si="232"/>
        <v>6</v>
      </c>
      <c r="P836" s="58">
        <v>44438</v>
      </c>
    </row>
    <row r="837" spans="1:18" x14ac:dyDescent="0.15">
      <c r="A837" s="50" t="s">
        <v>29</v>
      </c>
      <c r="B837" s="8"/>
      <c r="C837" s="10">
        <v>1</v>
      </c>
      <c r="D837" s="10"/>
      <c r="E837" s="10"/>
      <c r="F837" s="30"/>
      <c r="G837" s="7">
        <f t="shared" si="230"/>
        <v>1</v>
      </c>
      <c r="H837" s="58">
        <v>44424</v>
      </c>
      <c r="I837" s="15" t="s">
        <v>9</v>
      </c>
      <c r="J837" s="8"/>
      <c r="K837" s="10"/>
      <c r="L837" s="10"/>
      <c r="M837" s="10">
        <v>3</v>
      </c>
      <c r="N837" s="28"/>
      <c r="O837" s="9">
        <f t="shared" si="232"/>
        <v>3</v>
      </c>
      <c r="P837" s="58">
        <v>44474</v>
      </c>
    </row>
    <row r="838" spans="1:18" x14ac:dyDescent="0.15">
      <c r="A838" s="16" t="s">
        <v>110</v>
      </c>
      <c r="B838" s="11"/>
      <c r="C838" s="12">
        <v>1</v>
      </c>
      <c r="D838" s="12"/>
      <c r="E838" s="12">
        <v>2</v>
      </c>
      <c r="F838" s="31"/>
      <c r="G838" s="7">
        <f t="shared" ref="G838" si="233">SUM(B838:F838)</f>
        <v>3</v>
      </c>
      <c r="H838" s="58">
        <v>44438</v>
      </c>
      <c r="I838" s="15" t="s">
        <v>9</v>
      </c>
      <c r="J838" s="8"/>
      <c r="K838" s="10"/>
      <c r="L838" s="10"/>
      <c r="M838" s="10"/>
      <c r="N838" s="28">
        <v>3</v>
      </c>
      <c r="O838" s="9">
        <f t="shared" si="232"/>
        <v>3</v>
      </c>
      <c r="P838" s="58">
        <v>44490</v>
      </c>
    </row>
    <row r="839" spans="1:18" x14ac:dyDescent="0.15">
      <c r="A839" s="50" t="s">
        <v>29</v>
      </c>
      <c r="B839" s="11"/>
      <c r="C839" s="12"/>
      <c r="D839" s="12"/>
      <c r="E839" s="12"/>
      <c r="F839" s="31">
        <v>1</v>
      </c>
      <c r="G839" s="7">
        <f t="shared" si="230"/>
        <v>1</v>
      </c>
      <c r="H839" s="58">
        <v>44439</v>
      </c>
      <c r="I839" s="15" t="s">
        <v>9</v>
      </c>
      <c r="J839" s="11"/>
      <c r="K839" s="100">
        <v>3</v>
      </c>
      <c r="L839" s="100">
        <v>3</v>
      </c>
      <c r="M839" s="100">
        <v>3</v>
      </c>
      <c r="N839" s="109"/>
      <c r="O839" s="9">
        <f t="shared" si="232"/>
        <v>9</v>
      </c>
      <c r="P839" s="58">
        <v>44497</v>
      </c>
      <c r="Q839" s="56"/>
      <c r="R839" s="56"/>
    </row>
    <row r="840" spans="1:18" x14ac:dyDescent="0.15">
      <c r="A840" s="50" t="s">
        <v>1444</v>
      </c>
      <c r="B840" s="8"/>
      <c r="C840" s="10"/>
      <c r="D840" s="10">
        <v>1</v>
      </c>
      <c r="E840" s="10"/>
      <c r="F840" s="30"/>
      <c r="G840" s="7">
        <f t="shared" si="230"/>
        <v>1</v>
      </c>
      <c r="H840" s="58">
        <v>44453</v>
      </c>
      <c r="I840" s="15" t="s">
        <v>9</v>
      </c>
      <c r="J840" s="11">
        <v>3</v>
      </c>
      <c r="K840" s="12"/>
      <c r="L840" s="12"/>
      <c r="M840" s="12"/>
      <c r="N840" s="31"/>
      <c r="O840" s="7">
        <f t="shared" si="232"/>
        <v>3</v>
      </c>
      <c r="P840" s="58">
        <v>44576</v>
      </c>
    </row>
    <row r="841" spans="1:18" x14ac:dyDescent="0.15">
      <c r="A841" s="50" t="s">
        <v>29</v>
      </c>
      <c r="B841" s="11">
        <v>1</v>
      </c>
      <c r="C841" s="12"/>
      <c r="D841" s="12"/>
      <c r="E841" s="12"/>
      <c r="F841" s="31"/>
      <c r="G841" s="7">
        <f t="shared" si="230"/>
        <v>1</v>
      </c>
      <c r="H841" s="58">
        <v>44455</v>
      </c>
      <c r="I841" s="16"/>
      <c r="J841" s="8"/>
      <c r="K841" s="10"/>
      <c r="L841" s="10"/>
      <c r="M841" s="10"/>
      <c r="N841" s="30"/>
      <c r="O841" s="7">
        <f t="shared" si="232"/>
        <v>0</v>
      </c>
    </row>
    <row r="842" spans="1:18" x14ac:dyDescent="0.15">
      <c r="A842" s="50" t="s">
        <v>29</v>
      </c>
      <c r="B842" s="8"/>
      <c r="C842" s="10"/>
      <c r="D842" s="10">
        <v>1</v>
      </c>
      <c r="E842" s="10">
        <v>1</v>
      </c>
      <c r="F842" s="30"/>
      <c r="G842" s="7">
        <f t="shared" si="230"/>
        <v>2</v>
      </c>
      <c r="H842" s="58">
        <v>44460</v>
      </c>
      <c r="I842" s="16"/>
      <c r="J842" s="8"/>
      <c r="K842" s="10"/>
      <c r="L842" s="10"/>
      <c r="M842" s="10"/>
      <c r="N842" s="30"/>
      <c r="O842" s="7">
        <f t="shared" si="232"/>
        <v>0</v>
      </c>
    </row>
    <row r="843" spans="1:18" x14ac:dyDescent="0.15">
      <c r="A843" s="50" t="s">
        <v>29</v>
      </c>
      <c r="B843" s="8"/>
      <c r="C843" s="10"/>
      <c r="D843" s="10"/>
      <c r="E843" s="10">
        <v>1</v>
      </c>
      <c r="F843" s="30"/>
      <c r="G843" s="7">
        <f t="shared" si="230"/>
        <v>1</v>
      </c>
      <c r="H843" s="58">
        <v>44473</v>
      </c>
      <c r="I843" s="16"/>
      <c r="J843" s="8"/>
      <c r="K843" s="10"/>
      <c r="L843" s="10"/>
      <c r="M843" s="10"/>
      <c r="N843" s="30"/>
      <c r="O843" s="7">
        <f t="shared" si="232"/>
        <v>0</v>
      </c>
    </row>
    <row r="844" spans="1:18" x14ac:dyDescent="0.15">
      <c r="A844" s="50" t="s">
        <v>29</v>
      </c>
      <c r="B844" s="8"/>
      <c r="C844" s="10"/>
      <c r="D844" s="10"/>
      <c r="E844" s="10"/>
      <c r="F844" s="30">
        <v>1</v>
      </c>
      <c r="G844" s="7">
        <f t="shared" si="230"/>
        <v>1</v>
      </c>
      <c r="H844" s="58">
        <v>44476</v>
      </c>
      <c r="I844" s="16"/>
      <c r="J844" s="8"/>
      <c r="K844" s="10"/>
      <c r="L844" s="10"/>
      <c r="M844" s="10"/>
      <c r="N844" s="30"/>
      <c r="O844" s="7">
        <f t="shared" si="231"/>
        <v>0</v>
      </c>
    </row>
    <row r="845" spans="1:18" x14ac:dyDescent="0.15">
      <c r="A845" s="50" t="s">
        <v>117</v>
      </c>
      <c r="B845" s="8"/>
      <c r="C845" s="10">
        <v>1</v>
      </c>
      <c r="D845" s="10"/>
      <c r="E845" s="10"/>
      <c r="F845" s="30"/>
      <c r="G845" s="7">
        <f t="shared" si="230"/>
        <v>1</v>
      </c>
      <c r="H845" s="58">
        <v>44480</v>
      </c>
      <c r="I845" s="16"/>
      <c r="J845" s="8"/>
      <c r="K845" s="10"/>
      <c r="L845" s="10"/>
      <c r="M845" s="10"/>
      <c r="N845" s="30"/>
      <c r="O845" s="7">
        <f t="shared" si="231"/>
        <v>0</v>
      </c>
    </row>
    <row r="846" spans="1:18" x14ac:dyDescent="0.15">
      <c r="A846" s="50" t="s">
        <v>29</v>
      </c>
      <c r="B846" s="8"/>
      <c r="C846" s="10">
        <v>1</v>
      </c>
      <c r="D846" s="10"/>
      <c r="E846" s="10"/>
      <c r="F846" s="30"/>
      <c r="G846" s="7">
        <f t="shared" si="230"/>
        <v>1</v>
      </c>
      <c r="H846" s="58">
        <v>44480</v>
      </c>
      <c r="I846" s="51"/>
      <c r="J846" s="8"/>
      <c r="K846" s="10"/>
      <c r="L846" s="10"/>
      <c r="M846" s="10"/>
      <c r="N846" s="30"/>
      <c r="O846" s="7">
        <f t="shared" si="231"/>
        <v>0</v>
      </c>
    </row>
    <row r="847" spans="1:18" x14ac:dyDescent="0.15">
      <c r="A847" s="50" t="s">
        <v>29</v>
      </c>
      <c r="B847" s="8"/>
      <c r="C847" s="10">
        <v>1</v>
      </c>
      <c r="D847" s="10"/>
      <c r="E847" s="10"/>
      <c r="F847" s="30">
        <v>1</v>
      </c>
      <c r="G847" s="7">
        <f t="shared" si="230"/>
        <v>2</v>
      </c>
      <c r="H847" s="58">
        <v>44489</v>
      </c>
      <c r="I847" s="16"/>
      <c r="J847" s="8"/>
      <c r="K847" s="10"/>
      <c r="L847" s="10"/>
      <c r="M847" s="10"/>
      <c r="N847" s="30"/>
      <c r="O847" s="7">
        <f t="shared" si="231"/>
        <v>0</v>
      </c>
    </row>
    <row r="848" spans="1:18" x14ac:dyDescent="0.15">
      <c r="A848" s="50" t="s">
        <v>29</v>
      </c>
      <c r="B848" s="8"/>
      <c r="C848" s="10"/>
      <c r="D848" s="10"/>
      <c r="E848" s="10">
        <v>1</v>
      </c>
      <c r="F848" s="30"/>
      <c r="G848" s="7">
        <f t="shared" si="230"/>
        <v>1</v>
      </c>
      <c r="H848" s="58">
        <v>44491</v>
      </c>
      <c r="I848" s="16"/>
      <c r="J848" s="8"/>
      <c r="K848" s="10"/>
      <c r="L848" s="10"/>
      <c r="M848" s="10"/>
      <c r="N848" s="30"/>
      <c r="O848" s="7">
        <f t="shared" si="231"/>
        <v>0</v>
      </c>
    </row>
    <row r="849" spans="1:15" x14ac:dyDescent="0.15">
      <c r="A849" s="50" t="s">
        <v>29</v>
      </c>
      <c r="B849" s="8"/>
      <c r="C849" s="10"/>
      <c r="D849" s="10"/>
      <c r="E849" s="10">
        <v>1</v>
      </c>
      <c r="F849" s="30"/>
      <c r="G849" s="7">
        <f t="shared" si="230"/>
        <v>1</v>
      </c>
      <c r="H849" s="58">
        <v>44495</v>
      </c>
      <c r="I849" s="16"/>
      <c r="J849" s="8"/>
      <c r="K849" s="10"/>
      <c r="L849" s="10"/>
      <c r="M849" s="10"/>
      <c r="N849" s="30"/>
      <c r="O849" s="7">
        <f t="shared" si="231"/>
        <v>0</v>
      </c>
    </row>
    <row r="850" spans="1:15" x14ac:dyDescent="0.15">
      <c r="A850" s="50" t="s">
        <v>29</v>
      </c>
      <c r="B850" s="8"/>
      <c r="C850" s="10">
        <v>1</v>
      </c>
      <c r="D850" s="10">
        <v>1</v>
      </c>
      <c r="E850" s="10"/>
      <c r="F850" s="30"/>
      <c r="G850" s="7">
        <f t="shared" si="230"/>
        <v>2</v>
      </c>
      <c r="H850" s="58">
        <v>44496</v>
      </c>
      <c r="I850" s="16"/>
      <c r="J850" s="8"/>
      <c r="K850" s="10"/>
      <c r="L850" s="10"/>
      <c r="M850" s="10"/>
      <c r="N850" s="30"/>
      <c r="O850" s="7">
        <f t="shared" si="231"/>
        <v>0</v>
      </c>
    </row>
    <row r="851" spans="1:15" x14ac:dyDescent="0.15">
      <c r="A851" s="50" t="s">
        <v>29</v>
      </c>
      <c r="B851" s="8"/>
      <c r="C851" s="10"/>
      <c r="D851" s="10">
        <v>1</v>
      </c>
      <c r="E851" s="10"/>
      <c r="F851" s="30"/>
      <c r="G851" s="7">
        <f t="shared" si="230"/>
        <v>1</v>
      </c>
      <c r="H851" s="58">
        <v>44536</v>
      </c>
      <c r="I851" s="16"/>
      <c r="J851" s="8"/>
      <c r="K851" s="10"/>
      <c r="L851" s="10"/>
      <c r="M851" s="10"/>
      <c r="N851" s="30"/>
      <c r="O851" s="7">
        <f t="shared" si="231"/>
        <v>0</v>
      </c>
    </row>
    <row r="852" spans="1:15" x14ac:dyDescent="0.15">
      <c r="A852" s="50" t="s">
        <v>29</v>
      </c>
      <c r="B852" s="8"/>
      <c r="C852" s="10"/>
      <c r="D852" s="10">
        <v>1</v>
      </c>
      <c r="E852" s="10"/>
      <c r="F852" s="30"/>
      <c r="G852" s="7">
        <f t="shared" si="230"/>
        <v>1</v>
      </c>
      <c r="H852" s="58">
        <v>44547</v>
      </c>
      <c r="I852" s="16"/>
      <c r="J852" s="8"/>
      <c r="K852" s="10"/>
      <c r="L852" s="10"/>
      <c r="M852" s="10"/>
      <c r="N852" s="30"/>
      <c r="O852" s="7">
        <f t="shared" si="231"/>
        <v>0</v>
      </c>
    </row>
    <row r="853" spans="1:15" x14ac:dyDescent="0.15">
      <c r="A853" s="50" t="s">
        <v>29</v>
      </c>
      <c r="B853" s="11"/>
      <c r="C853" s="12"/>
      <c r="D853" s="12"/>
      <c r="E853" s="12">
        <v>1</v>
      </c>
      <c r="F853" s="31"/>
      <c r="G853" s="7">
        <f t="shared" si="230"/>
        <v>1</v>
      </c>
      <c r="H853" s="58">
        <v>44551</v>
      </c>
      <c r="I853" s="50"/>
      <c r="J853" s="8"/>
      <c r="K853" s="10"/>
      <c r="L853" s="10"/>
      <c r="M853" s="10"/>
      <c r="N853" s="30"/>
      <c r="O853" s="7">
        <f t="shared" si="231"/>
        <v>0</v>
      </c>
    </row>
    <row r="854" spans="1:15" x14ac:dyDescent="0.15">
      <c r="A854" s="50" t="s">
        <v>29</v>
      </c>
      <c r="B854" s="8"/>
      <c r="C854" s="10"/>
      <c r="D854" s="10"/>
      <c r="E854" s="10">
        <v>1</v>
      </c>
      <c r="F854" s="30"/>
      <c r="G854" s="7">
        <f t="shared" si="230"/>
        <v>1</v>
      </c>
      <c r="H854" s="58">
        <v>44557</v>
      </c>
      <c r="I854" s="50"/>
      <c r="J854" s="8"/>
      <c r="K854" s="10"/>
      <c r="L854" s="10"/>
      <c r="M854" s="10"/>
      <c r="N854" s="30"/>
      <c r="O854" s="7">
        <f t="shared" si="231"/>
        <v>0</v>
      </c>
    </row>
    <row r="855" spans="1:15" x14ac:dyDescent="0.15">
      <c r="A855" s="50" t="s">
        <v>29</v>
      </c>
      <c r="B855" s="8">
        <v>1</v>
      </c>
      <c r="C855" s="10"/>
      <c r="D855" s="10"/>
      <c r="E855" s="10"/>
      <c r="F855" s="30"/>
      <c r="G855" s="7">
        <f t="shared" si="230"/>
        <v>1</v>
      </c>
      <c r="H855" s="58">
        <v>44566</v>
      </c>
      <c r="I855" s="16"/>
      <c r="J855" s="8"/>
      <c r="K855" s="10"/>
      <c r="L855" s="10"/>
      <c r="M855" s="10"/>
      <c r="N855" s="30"/>
      <c r="O855" s="7">
        <f t="shared" si="231"/>
        <v>0</v>
      </c>
    </row>
    <row r="856" spans="1:15" x14ac:dyDescent="0.15">
      <c r="A856" s="50" t="s">
        <v>29</v>
      </c>
      <c r="B856" s="8">
        <v>1</v>
      </c>
      <c r="C856" s="10"/>
      <c r="D856" s="10"/>
      <c r="E856" s="10"/>
      <c r="F856" s="30"/>
      <c r="G856" s="7">
        <f t="shared" si="230"/>
        <v>1</v>
      </c>
      <c r="H856" s="58">
        <v>44568</v>
      </c>
      <c r="I856" s="39"/>
      <c r="J856" s="8"/>
      <c r="K856" s="10"/>
      <c r="L856" s="10"/>
      <c r="M856" s="10"/>
      <c r="N856" s="30"/>
      <c r="O856" s="7">
        <f t="shared" si="231"/>
        <v>0</v>
      </c>
    </row>
    <row r="857" spans="1:15" ht="14.25" thickBot="1" x14ac:dyDescent="0.2">
      <c r="A857" s="50" t="s">
        <v>29</v>
      </c>
      <c r="B857" s="11">
        <v>1</v>
      </c>
      <c r="C857" s="12"/>
      <c r="D857" s="12"/>
      <c r="E857" s="12"/>
      <c r="F857" s="31"/>
      <c r="G857" s="7">
        <f t="shared" si="230"/>
        <v>1</v>
      </c>
      <c r="H857" s="58">
        <v>44596</v>
      </c>
      <c r="I857" s="14"/>
      <c r="J857" s="8"/>
      <c r="K857" s="10"/>
      <c r="L857" s="10"/>
      <c r="M857" s="10"/>
      <c r="N857" s="30"/>
      <c r="O857" s="7">
        <f t="shared" si="231"/>
        <v>0</v>
      </c>
    </row>
    <row r="858" spans="1:15" ht="14.25" thickBot="1" x14ac:dyDescent="0.2">
      <c r="A858" s="3" t="s">
        <v>11</v>
      </c>
      <c r="B858" s="23">
        <f>SUM(B832:B857)</f>
        <v>4</v>
      </c>
      <c r="C858" s="4">
        <f>SUM(C832:C857)</f>
        <v>7</v>
      </c>
      <c r="D858" s="4">
        <f>SUM(D832:D857)</f>
        <v>5</v>
      </c>
      <c r="E858" s="6">
        <f>SUM(E832:E857)</f>
        <v>14</v>
      </c>
      <c r="F858" s="32">
        <f>SUM(F832:F857)</f>
        <v>4</v>
      </c>
      <c r="G858" s="5">
        <f>SUM(B858:F858)</f>
        <v>34</v>
      </c>
      <c r="H858" s="58"/>
      <c r="I858" s="3" t="s">
        <v>11</v>
      </c>
      <c r="J858" s="23">
        <f>SUM(J832:J857)</f>
        <v>3</v>
      </c>
      <c r="K858" s="4">
        <f>SUM(K832:K857)</f>
        <v>9</v>
      </c>
      <c r="L858" s="4">
        <f>SUM(L832:L857)</f>
        <v>7</v>
      </c>
      <c r="M858" s="6">
        <f>SUM(M832:M857)</f>
        <v>15</v>
      </c>
      <c r="N858" s="32">
        <f>SUM(N832:N857)</f>
        <v>6</v>
      </c>
      <c r="O858" s="5">
        <f>SUM(J858:N858)</f>
        <v>40</v>
      </c>
    </row>
    <row r="859" spans="1:15" ht="14.25" thickBot="1" x14ac:dyDescent="0.2">
      <c r="A859" s="25" t="s">
        <v>12</v>
      </c>
      <c r="B859" s="63">
        <f>B831-B858</f>
        <v>3</v>
      </c>
      <c r="C859" s="26">
        <f t="shared" ref="C859:G859" si="234">C831-C858</f>
        <v>4</v>
      </c>
      <c r="D859" s="71">
        <f t="shared" si="234"/>
        <v>3</v>
      </c>
      <c r="E859" s="26">
        <f t="shared" si="234"/>
        <v>3</v>
      </c>
      <c r="F859" s="70">
        <f t="shared" si="234"/>
        <v>4</v>
      </c>
      <c r="G859" s="27">
        <f t="shared" si="234"/>
        <v>17</v>
      </c>
      <c r="H859" s="58"/>
      <c r="I859" s="25" t="s">
        <v>12</v>
      </c>
      <c r="J859" s="63">
        <f>J831-J858</f>
        <v>151</v>
      </c>
      <c r="K859" s="26">
        <f t="shared" ref="K859:O859" si="235">K831-K858</f>
        <v>73</v>
      </c>
      <c r="L859" s="71">
        <f t="shared" si="235"/>
        <v>58</v>
      </c>
      <c r="M859" s="26">
        <f t="shared" si="235"/>
        <v>22</v>
      </c>
      <c r="N859" s="70">
        <f t="shared" si="235"/>
        <v>8</v>
      </c>
      <c r="O859" s="27">
        <f t="shared" si="235"/>
        <v>312</v>
      </c>
    </row>
    <row r="860" spans="1:15" ht="21" x14ac:dyDescent="0.2">
      <c r="A860" s="86" t="s">
        <v>50</v>
      </c>
      <c r="B860" s="87"/>
      <c r="C860" s="87"/>
      <c r="D860" s="87"/>
      <c r="E860" s="87"/>
      <c r="F860" s="87"/>
      <c r="G860" s="87"/>
      <c r="H860" s="58"/>
      <c r="I860" s="86" t="s">
        <v>50</v>
      </c>
      <c r="J860" s="87"/>
      <c r="K860" s="87"/>
      <c r="L860" s="87"/>
      <c r="M860" s="87"/>
      <c r="N860" s="87"/>
      <c r="O860" s="87"/>
    </row>
    <row r="861" spans="1:15" ht="21.75" thickBot="1" x14ac:dyDescent="0.25">
      <c r="A861" s="86" t="s">
        <v>51</v>
      </c>
      <c r="B861" s="87"/>
      <c r="C861" s="87"/>
      <c r="D861" s="87"/>
      <c r="E861" s="85"/>
      <c r="F861" s="88" t="s">
        <v>53</v>
      </c>
      <c r="G861" s="87"/>
      <c r="H861" s="58"/>
      <c r="I861" s="86" t="s">
        <v>51</v>
      </c>
      <c r="J861" s="87"/>
      <c r="K861" s="87"/>
      <c r="L861" s="87"/>
      <c r="M861" s="89"/>
      <c r="N861" s="88" t="s">
        <v>54</v>
      </c>
      <c r="O861" s="87"/>
    </row>
    <row r="862" spans="1:15" ht="14.25" thickBot="1" x14ac:dyDescent="0.2">
      <c r="A862" s="13" t="s">
        <v>0</v>
      </c>
      <c r="B862" s="228" t="s">
        <v>52</v>
      </c>
      <c r="C862" s="229"/>
      <c r="D862" s="229"/>
      <c r="E862" s="229"/>
      <c r="F862" s="230"/>
      <c r="G862" s="231"/>
      <c r="H862" s="58"/>
      <c r="I862" s="13" t="s">
        <v>0</v>
      </c>
      <c r="J862" s="228" t="s">
        <v>52</v>
      </c>
      <c r="K862" s="229"/>
      <c r="L862" s="229"/>
      <c r="M862" s="229"/>
      <c r="N862" s="230"/>
      <c r="O862" s="231"/>
    </row>
    <row r="863" spans="1:15" ht="14.25" thickBot="1" x14ac:dyDescent="0.2">
      <c r="A863" s="3" t="s">
        <v>1</v>
      </c>
      <c r="B863" s="2" t="s">
        <v>42</v>
      </c>
      <c r="C863" s="21" t="s">
        <v>43</v>
      </c>
      <c r="D863" s="21" t="s">
        <v>44</v>
      </c>
      <c r="E863" s="24" t="s">
        <v>45</v>
      </c>
      <c r="F863" s="33" t="s">
        <v>46</v>
      </c>
      <c r="G863" s="3" t="s">
        <v>2</v>
      </c>
      <c r="H863" s="58"/>
      <c r="I863" s="3" t="s">
        <v>1</v>
      </c>
      <c r="J863" s="2" t="s">
        <v>42</v>
      </c>
      <c r="K863" s="21" t="s">
        <v>43</v>
      </c>
      <c r="L863" s="21" t="s">
        <v>44</v>
      </c>
      <c r="M863" s="24" t="s">
        <v>45</v>
      </c>
      <c r="N863" s="33" t="s">
        <v>46</v>
      </c>
      <c r="O863" s="3" t="s">
        <v>2</v>
      </c>
    </row>
    <row r="864" spans="1:15" ht="14.25" thickBot="1" x14ac:dyDescent="0.2">
      <c r="A864" s="72" t="s">
        <v>79</v>
      </c>
      <c r="B864" s="73">
        <f>B859</f>
        <v>3</v>
      </c>
      <c r="C864" s="74">
        <f t="shared" ref="C864:F864" si="236">C859</f>
        <v>4</v>
      </c>
      <c r="D864" s="107">
        <f t="shared" si="236"/>
        <v>3</v>
      </c>
      <c r="E864" s="75">
        <f t="shared" si="236"/>
        <v>3</v>
      </c>
      <c r="F864" s="75">
        <f t="shared" si="236"/>
        <v>4</v>
      </c>
      <c r="G864" s="76">
        <f t="shared" ref="G864:G873" si="237">SUM(B864:F864)</f>
        <v>17</v>
      </c>
      <c r="H864" s="58"/>
      <c r="I864" s="72" t="s">
        <v>79</v>
      </c>
      <c r="J864" s="73">
        <f>J859</f>
        <v>151</v>
      </c>
      <c r="K864" s="74">
        <f t="shared" ref="K864:N864" si="238">K859</f>
        <v>73</v>
      </c>
      <c r="L864" s="107">
        <f t="shared" si="238"/>
        <v>58</v>
      </c>
      <c r="M864" s="75">
        <f t="shared" si="238"/>
        <v>22</v>
      </c>
      <c r="N864" s="75">
        <f t="shared" si="238"/>
        <v>8</v>
      </c>
      <c r="O864" s="76">
        <f t="shared" ref="O864:O873" si="239">SUM(J864:N864)</f>
        <v>312</v>
      </c>
    </row>
    <row r="865" spans="1:17" x14ac:dyDescent="0.15">
      <c r="A865" s="15" t="s">
        <v>1458</v>
      </c>
      <c r="B865" s="37"/>
      <c r="C865" s="35"/>
      <c r="D865" s="35"/>
      <c r="E865" s="35">
        <v>3</v>
      </c>
      <c r="F865" s="28"/>
      <c r="G865" s="7">
        <f t="shared" si="237"/>
        <v>3</v>
      </c>
      <c r="H865" s="58">
        <v>44600</v>
      </c>
      <c r="I865" s="15" t="s">
        <v>14</v>
      </c>
      <c r="J865" s="37"/>
      <c r="K865" s="35"/>
      <c r="L865" s="35"/>
      <c r="M865" s="35"/>
      <c r="N865" s="28"/>
      <c r="O865" s="7">
        <f t="shared" si="239"/>
        <v>0</v>
      </c>
    </row>
    <row r="866" spans="1:17" x14ac:dyDescent="0.15">
      <c r="A866" s="15" t="s">
        <v>28</v>
      </c>
      <c r="B866" s="8"/>
      <c r="C866" s="10"/>
      <c r="D866" s="10">
        <v>3</v>
      </c>
      <c r="E866" s="10"/>
      <c r="F866" s="28"/>
      <c r="G866" s="9">
        <f t="shared" si="237"/>
        <v>3</v>
      </c>
      <c r="H866" s="58">
        <v>44642</v>
      </c>
      <c r="I866" s="15" t="s">
        <v>3</v>
      </c>
      <c r="J866" s="8"/>
      <c r="K866" s="10"/>
      <c r="L866" s="10"/>
      <c r="M866" s="10"/>
      <c r="N866" s="28"/>
      <c r="O866" s="9">
        <f t="shared" si="239"/>
        <v>0</v>
      </c>
    </row>
    <row r="867" spans="1:17" x14ac:dyDescent="0.15">
      <c r="A867" s="15" t="s">
        <v>28</v>
      </c>
      <c r="B867" s="8"/>
      <c r="C867" s="10">
        <v>3</v>
      </c>
      <c r="D867" s="10"/>
      <c r="E867" s="10"/>
      <c r="F867" s="28"/>
      <c r="G867" s="9">
        <f t="shared" si="237"/>
        <v>3</v>
      </c>
      <c r="H867" s="58">
        <v>44667</v>
      </c>
      <c r="I867" s="15" t="s">
        <v>4</v>
      </c>
      <c r="J867" s="8"/>
      <c r="K867" s="45"/>
      <c r="L867" s="45"/>
      <c r="M867" s="45"/>
      <c r="N867" s="46"/>
      <c r="O867" s="9">
        <f t="shared" si="239"/>
        <v>0</v>
      </c>
    </row>
    <row r="868" spans="1:17" x14ac:dyDescent="0.15">
      <c r="A868" s="15" t="s">
        <v>28</v>
      </c>
      <c r="B868" s="8">
        <v>2</v>
      </c>
      <c r="C868" s="10">
        <v>2</v>
      </c>
      <c r="D868" s="10">
        <v>2</v>
      </c>
      <c r="E868" s="10">
        <v>2</v>
      </c>
      <c r="F868" s="28">
        <v>2</v>
      </c>
      <c r="G868" s="9">
        <f t="shared" si="237"/>
        <v>10</v>
      </c>
      <c r="H868" s="58">
        <v>44688</v>
      </c>
      <c r="I868" s="15" t="s">
        <v>5</v>
      </c>
      <c r="J868" s="8"/>
      <c r="K868" s="45"/>
      <c r="L868" s="45"/>
      <c r="M868" s="45"/>
      <c r="N868" s="46"/>
      <c r="O868" s="9">
        <f t="shared" si="239"/>
        <v>0</v>
      </c>
    </row>
    <row r="869" spans="1:17" x14ac:dyDescent="0.15">
      <c r="A869" s="15" t="s">
        <v>28</v>
      </c>
      <c r="B869" s="8"/>
      <c r="C869" s="10"/>
      <c r="D869" s="10"/>
      <c r="E869" s="10">
        <v>3</v>
      </c>
      <c r="F869" s="28">
        <v>3</v>
      </c>
      <c r="G869" s="9">
        <f t="shared" si="237"/>
        <v>6</v>
      </c>
      <c r="H869" s="58">
        <v>44699</v>
      </c>
      <c r="I869" s="15" t="s">
        <v>6</v>
      </c>
      <c r="J869" s="8"/>
      <c r="K869" s="45"/>
      <c r="L869" s="45"/>
      <c r="M869" s="45"/>
      <c r="N869" s="46"/>
      <c r="O869" s="9">
        <f t="shared" si="239"/>
        <v>0</v>
      </c>
    </row>
    <row r="870" spans="1:17" x14ac:dyDescent="0.15">
      <c r="A870" s="15" t="s">
        <v>28</v>
      </c>
      <c r="B870" s="8">
        <v>3</v>
      </c>
      <c r="C870" s="10">
        <v>3</v>
      </c>
      <c r="D870" s="10"/>
      <c r="E870" s="10"/>
      <c r="F870" s="28"/>
      <c r="G870" s="9">
        <f t="shared" si="237"/>
        <v>6</v>
      </c>
      <c r="H870" s="58">
        <v>44702</v>
      </c>
      <c r="I870" s="15" t="s">
        <v>84</v>
      </c>
      <c r="J870" s="8"/>
      <c r="K870" s="45"/>
      <c r="L870" s="45"/>
      <c r="M870" s="45"/>
      <c r="N870" s="46"/>
      <c r="O870" s="7">
        <f t="shared" si="239"/>
        <v>0</v>
      </c>
    </row>
    <row r="871" spans="1:17" x14ac:dyDescent="0.15">
      <c r="A871" s="15" t="s">
        <v>28</v>
      </c>
      <c r="B871" s="8"/>
      <c r="C871" s="10"/>
      <c r="D871" s="10">
        <v>3</v>
      </c>
      <c r="E871" s="10">
        <v>5</v>
      </c>
      <c r="F871" s="28"/>
      <c r="G871" s="9">
        <f t="shared" si="237"/>
        <v>8</v>
      </c>
      <c r="H871" s="58">
        <v>44705</v>
      </c>
      <c r="I871" s="15" t="s">
        <v>85</v>
      </c>
      <c r="J871" s="8"/>
      <c r="K871" s="45"/>
      <c r="L871" s="45"/>
      <c r="M871" s="45"/>
      <c r="N871" s="46"/>
      <c r="O871" s="7">
        <f t="shared" si="239"/>
        <v>0</v>
      </c>
    </row>
    <row r="872" spans="1:17" x14ac:dyDescent="0.15">
      <c r="A872" s="15" t="s">
        <v>28</v>
      </c>
      <c r="B872" s="11">
        <v>3</v>
      </c>
      <c r="C872" s="100">
        <v>3</v>
      </c>
      <c r="D872" s="100"/>
      <c r="E872" s="100"/>
      <c r="F872" s="109"/>
      <c r="G872" s="9">
        <f t="shared" si="237"/>
        <v>6</v>
      </c>
      <c r="H872" s="58">
        <v>44718</v>
      </c>
      <c r="I872" s="15" t="s">
        <v>86</v>
      </c>
      <c r="J872" s="8"/>
      <c r="K872" s="45"/>
      <c r="L872" s="45"/>
      <c r="M872" s="45"/>
      <c r="N872" s="46"/>
      <c r="O872" s="102">
        <f t="shared" si="239"/>
        <v>0</v>
      </c>
    </row>
    <row r="873" spans="1:17" ht="14.25" thickBot="1" x14ac:dyDescent="0.2">
      <c r="A873" s="15" t="s">
        <v>28</v>
      </c>
      <c r="B873" s="11"/>
      <c r="C873" s="100"/>
      <c r="D873" s="100">
        <v>5</v>
      </c>
      <c r="E873" s="100"/>
      <c r="F873" s="109"/>
      <c r="G873" s="115">
        <f t="shared" si="237"/>
        <v>5</v>
      </c>
      <c r="H873" s="58">
        <v>44729</v>
      </c>
      <c r="I873" s="15" t="s">
        <v>1348</v>
      </c>
      <c r="J873" s="47"/>
      <c r="K873" s="48"/>
      <c r="L873" s="48"/>
      <c r="M873" s="48">
        <v>-1</v>
      </c>
      <c r="N873" s="49">
        <v>-2</v>
      </c>
      <c r="O873" s="40">
        <f t="shared" si="239"/>
        <v>-3</v>
      </c>
      <c r="P873" s="57">
        <v>44702</v>
      </c>
    </row>
    <row r="874" spans="1:17" ht="14.25" thickBot="1" x14ac:dyDescent="0.2">
      <c r="A874" s="72" t="s">
        <v>7</v>
      </c>
      <c r="B874" s="73">
        <f>SUM(B864:B873)</f>
        <v>11</v>
      </c>
      <c r="C874" s="74">
        <f t="shared" ref="C874:G874" si="240">SUM(C864:C873)</f>
        <v>15</v>
      </c>
      <c r="D874" s="74">
        <f t="shared" si="240"/>
        <v>16</v>
      </c>
      <c r="E874" s="74">
        <f t="shared" si="240"/>
        <v>16</v>
      </c>
      <c r="F874" s="105">
        <f t="shared" si="240"/>
        <v>9</v>
      </c>
      <c r="G874" s="76">
        <f t="shared" si="240"/>
        <v>67</v>
      </c>
      <c r="H874" s="58"/>
      <c r="I874" s="72" t="s">
        <v>7</v>
      </c>
      <c r="J874" s="73">
        <f>SUM(J864:J873)</f>
        <v>151</v>
      </c>
      <c r="K874" s="74">
        <f t="shared" ref="K874:O874" si="241">SUM(K864:K873)</f>
        <v>73</v>
      </c>
      <c r="L874" s="74">
        <f t="shared" si="241"/>
        <v>58</v>
      </c>
      <c r="M874" s="74">
        <f t="shared" si="241"/>
        <v>21</v>
      </c>
      <c r="N874" s="105">
        <f t="shared" si="241"/>
        <v>6</v>
      </c>
      <c r="O874" s="76">
        <f t="shared" si="241"/>
        <v>309</v>
      </c>
    </row>
    <row r="875" spans="1:17" x14ac:dyDescent="0.15">
      <c r="A875" s="50" t="s">
        <v>29</v>
      </c>
      <c r="B875" s="11"/>
      <c r="C875" s="12"/>
      <c r="D875" s="12"/>
      <c r="E875" s="12">
        <v>2</v>
      </c>
      <c r="F875" s="31"/>
      <c r="G875" s="7">
        <f t="shared" ref="G875:G900" si="242">SUM(B875:F875)</f>
        <v>2</v>
      </c>
      <c r="H875" s="58">
        <v>44599</v>
      </c>
      <c r="I875" s="16" t="s">
        <v>1459</v>
      </c>
      <c r="J875" s="8"/>
      <c r="K875" s="10"/>
      <c r="L875" s="10"/>
      <c r="M875" s="10">
        <v>3</v>
      </c>
      <c r="N875" s="28"/>
      <c r="O875" s="9">
        <f t="shared" ref="O875:O900" si="243">SUM(J875:N875)</f>
        <v>3</v>
      </c>
      <c r="P875" s="58">
        <v>44600</v>
      </c>
    </row>
    <row r="876" spans="1:17" x14ac:dyDescent="0.15">
      <c r="A876" s="50" t="s">
        <v>29</v>
      </c>
      <c r="B876" s="8"/>
      <c r="C876" s="10">
        <v>1</v>
      </c>
      <c r="D876" s="10"/>
      <c r="E876" s="10">
        <v>1</v>
      </c>
      <c r="F876" s="30">
        <v>1</v>
      </c>
      <c r="G876" s="7">
        <f t="shared" si="242"/>
        <v>3</v>
      </c>
      <c r="H876" s="58">
        <v>44613</v>
      </c>
      <c r="I876" s="16" t="s">
        <v>24</v>
      </c>
      <c r="J876" s="8"/>
      <c r="K876" s="10"/>
      <c r="L876" s="10">
        <v>3</v>
      </c>
      <c r="M876" s="10"/>
      <c r="N876" s="30"/>
      <c r="O876" s="7">
        <f t="shared" si="243"/>
        <v>3</v>
      </c>
      <c r="P876" s="58">
        <v>44642</v>
      </c>
    </row>
    <row r="877" spans="1:17" x14ac:dyDescent="0.15">
      <c r="A877" s="50" t="s">
        <v>29</v>
      </c>
      <c r="B877" s="8"/>
      <c r="C877" s="10"/>
      <c r="D877" s="10">
        <v>1</v>
      </c>
      <c r="E877" s="10"/>
      <c r="F877" s="30"/>
      <c r="G877" s="7">
        <f t="shared" si="242"/>
        <v>1</v>
      </c>
      <c r="H877" s="58">
        <v>44614</v>
      </c>
      <c r="I877" s="16" t="s">
        <v>24</v>
      </c>
      <c r="J877" s="8"/>
      <c r="K877" s="10">
        <v>3</v>
      </c>
      <c r="L877" s="10"/>
      <c r="M877" s="10"/>
      <c r="N877" s="28"/>
      <c r="O877" s="9">
        <f t="shared" si="243"/>
        <v>3</v>
      </c>
      <c r="P877" s="58">
        <v>44667</v>
      </c>
      <c r="Q877" s="56"/>
    </row>
    <row r="878" spans="1:17" x14ac:dyDescent="0.15">
      <c r="A878" s="50" t="s">
        <v>29</v>
      </c>
      <c r="B878" s="8"/>
      <c r="C878" s="10"/>
      <c r="D878" s="10">
        <v>2</v>
      </c>
      <c r="E878" s="10"/>
      <c r="F878" s="30"/>
      <c r="G878" s="7">
        <f t="shared" si="242"/>
        <v>2</v>
      </c>
      <c r="H878" s="58">
        <v>44642</v>
      </c>
      <c r="I878" s="16" t="s">
        <v>24</v>
      </c>
      <c r="J878" s="8">
        <v>2</v>
      </c>
      <c r="K878" s="10">
        <v>2</v>
      </c>
      <c r="L878" s="10">
        <v>2</v>
      </c>
      <c r="M878" s="10">
        <v>2</v>
      </c>
      <c r="N878" s="30">
        <v>2</v>
      </c>
      <c r="O878" s="7">
        <f t="shared" si="243"/>
        <v>10</v>
      </c>
      <c r="P878" s="58">
        <v>44688</v>
      </c>
      <c r="Q878" s="56"/>
    </row>
    <row r="879" spans="1:17" x14ac:dyDescent="0.15">
      <c r="A879" s="50" t="s">
        <v>29</v>
      </c>
      <c r="B879" s="8"/>
      <c r="C879" s="10">
        <v>1</v>
      </c>
      <c r="D879" s="10"/>
      <c r="E879" s="10">
        <v>1</v>
      </c>
      <c r="F879" s="30"/>
      <c r="G879" s="7">
        <f t="shared" si="242"/>
        <v>2</v>
      </c>
      <c r="H879" s="58">
        <v>44643</v>
      </c>
      <c r="I879" s="16" t="s">
        <v>24</v>
      </c>
      <c r="J879" s="8"/>
      <c r="K879" s="10"/>
      <c r="L879" s="10"/>
      <c r="M879" s="10">
        <v>3</v>
      </c>
      <c r="N879" s="28">
        <v>3</v>
      </c>
      <c r="O879" s="9">
        <f t="shared" si="243"/>
        <v>6</v>
      </c>
      <c r="P879" s="58">
        <v>44699</v>
      </c>
    </row>
    <row r="880" spans="1:17" x14ac:dyDescent="0.15">
      <c r="A880" s="50" t="s">
        <v>29</v>
      </c>
      <c r="B880" s="8">
        <v>1</v>
      </c>
      <c r="C880" s="10"/>
      <c r="D880" s="10"/>
      <c r="E880" s="10">
        <v>1</v>
      </c>
      <c r="F880" s="30"/>
      <c r="G880" s="7">
        <f t="shared" si="242"/>
        <v>2</v>
      </c>
      <c r="H880" s="58">
        <v>44645</v>
      </c>
      <c r="I880" s="16" t="s">
        <v>24</v>
      </c>
      <c r="J880" s="8">
        <v>3</v>
      </c>
      <c r="K880" s="10">
        <v>3</v>
      </c>
      <c r="L880" s="10"/>
      <c r="M880" s="10"/>
      <c r="N880" s="28"/>
      <c r="O880" s="9">
        <f t="shared" si="243"/>
        <v>6</v>
      </c>
      <c r="P880" s="58">
        <v>44702</v>
      </c>
    </row>
    <row r="881" spans="1:18" x14ac:dyDescent="0.15">
      <c r="A881" s="50" t="s">
        <v>29</v>
      </c>
      <c r="B881" s="11"/>
      <c r="C881" s="12"/>
      <c r="D881" s="12"/>
      <c r="E881" s="12">
        <v>1</v>
      </c>
      <c r="F881" s="31"/>
      <c r="G881" s="7">
        <f t="shared" si="242"/>
        <v>1</v>
      </c>
      <c r="H881" s="58">
        <v>44663</v>
      </c>
      <c r="I881" s="16" t="s">
        <v>24</v>
      </c>
      <c r="J881" s="8"/>
      <c r="K881" s="10"/>
      <c r="L881" s="10">
        <v>3</v>
      </c>
      <c r="M881" s="10">
        <v>5</v>
      </c>
      <c r="N881" s="28"/>
      <c r="O881" s="9">
        <f t="shared" si="243"/>
        <v>8</v>
      </c>
      <c r="P881" s="58">
        <v>44705</v>
      </c>
    </row>
    <row r="882" spans="1:18" x14ac:dyDescent="0.15">
      <c r="A882" s="50" t="s">
        <v>29</v>
      </c>
      <c r="B882" s="11"/>
      <c r="C882" s="12">
        <v>1</v>
      </c>
      <c r="D882" s="12"/>
      <c r="E882" s="12"/>
      <c r="F882" s="31"/>
      <c r="G882" s="7">
        <f t="shared" si="242"/>
        <v>1</v>
      </c>
      <c r="H882" s="58">
        <v>44664</v>
      </c>
      <c r="I882" s="16" t="s">
        <v>24</v>
      </c>
      <c r="J882" s="11">
        <v>3</v>
      </c>
      <c r="K882" s="100">
        <v>3</v>
      </c>
      <c r="L882" s="100"/>
      <c r="M882" s="100"/>
      <c r="N882" s="109"/>
      <c r="O882" s="9">
        <f t="shared" si="243"/>
        <v>6</v>
      </c>
      <c r="P882" s="58">
        <v>44718</v>
      </c>
      <c r="Q882" s="56"/>
      <c r="R882" s="56"/>
    </row>
    <row r="883" spans="1:18" x14ac:dyDescent="0.15">
      <c r="A883" s="50" t="s">
        <v>29</v>
      </c>
      <c r="B883" s="8"/>
      <c r="C883" s="10">
        <v>1</v>
      </c>
      <c r="D883" s="10"/>
      <c r="E883" s="10"/>
      <c r="F883" s="30"/>
      <c r="G883" s="7">
        <f t="shared" si="242"/>
        <v>1</v>
      </c>
      <c r="H883" s="58">
        <v>44670</v>
      </c>
      <c r="I883" s="16" t="s">
        <v>24</v>
      </c>
      <c r="J883" s="11"/>
      <c r="K883" s="12"/>
      <c r="L883" s="12">
        <v>5</v>
      </c>
      <c r="M883" s="12"/>
      <c r="N883" s="31"/>
      <c r="O883" s="7">
        <f t="shared" si="243"/>
        <v>5</v>
      </c>
      <c r="P883" s="58">
        <v>44729</v>
      </c>
      <c r="Q883" s="56"/>
    </row>
    <row r="884" spans="1:18" x14ac:dyDescent="0.15">
      <c r="A884" s="50" t="s">
        <v>29</v>
      </c>
      <c r="B884" s="11"/>
      <c r="C884" s="12"/>
      <c r="D884" s="12"/>
      <c r="E884" s="12"/>
      <c r="F884" s="31">
        <v>1</v>
      </c>
      <c r="G884" s="7">
        <f t="shared" si="242"/>
        <v>1</v>
      </c>
      <c r="H884" s="58">
        <v>44677</v>
      </c>
      <c r="I884" s="16"/>
      <c r="J884" s="8"/>
      <c r="K884" s="10"/>
      <c r="L884" s="10"/>
      <c r="M884" s="10"/>
      <c r="N884" s="30"/>
      <c r="O884" s="7">
        <f t="shared" si="243"/>
        <v>0</v>
      </c>
    </row>
    <row r="885" spans="1:18" x14ac:dyDescent="0.15">
      <c r="A885" s="50" t="s">
        <v>29</v>
      </c>
      <c r="B885" s="8"/>
      <c r="C885" s="10"/>
      <c r="D885" s="10"/>
      <c r="E885" s="10">
        <v>1</v>
      </c>
      <c r="F885" s="30"/>
      <c r="G885" s="7">
        <f t="shared" si="242"/>
        <v>1</v>
      </c>
      <c r="H885" s="58">
        <v>44678</v>
      </c>
      <c r="I885" s="16"/>
      <c r="J885" s="8"/>
      <c r="K885" s="10"/>
      <c r="L885" s="10"/>
      <c r="M885" s="10"/>
      <c r="N885" s="30"/>
      <c r="O885" s="7">
        <f t="shared" si="243"/>
        <v>0</v>
      </c>
    </row>
    <row r="886" spans="1:18" x14ac:dyDescent="0.15">
      <c r="A886" s="50" t="s">
        <v>29</v>
      </c>
      <c r="B886" s="8"/>
      <c r="C886" s="10"/>
      <c r="D886" s="10"/>
      <c r="E886" s="10"/>
      <c r="F886" s="30">
        <v>1</v>
      </c>
      <c r="G886" s="7">
        <f t="shared" si="242"/>
        <v>1</v>
      </c>
      <c r="H886" s="58">
        <v>44679</v>
      </c>
      <c r="I886" s="16"/>
      <c r="J886" s="8"/>
      <c r="K886" s="10"/>
      <c r="L886" s="10"/>
      <c r="M886" s="10"/>
      <c r="N886" s="30"/>
      <c r="O886" s="7">
        <f t="shared" si="243"/>
        <v>0</v>
      </c>
    </row>
    <row r="887" spans="1:18" x14ac:dyDescent="0.15">
      <c r="A887" s="50" t="s">
        <v>29</v>
      </c>
      <c r="B887" s="8">
        <v>1</v>
      </c>
      <c r="C887" s="10"/>
      <c r="D887" s="10">
        <v>1</v>
      </c>
      <c r="E887" s="10"/>
      <c r="F887" s="30"/>
      <c r="G887" s="7">
        <f t="shared" si="242"/>
        <v>2</v>
      </c>
      <c r="H887" s="58">
        <v>44687</v>
      </c>
      <c r="I887" s="16"/>
      <c r="J887" s="8"/>
      <c r="K887" s="10"/>
      <c r="L887" s="10"/>
      <c r="M887" s="10"/>
      <c r="N887" s="30"/>
      <c r="O887" s="7">
        <f t="shared" si="243"/>
        <v>0</v>
      </c>
    </row>
    <row r="888" spans="1:18" x14ac:dyDescent="0.15">
      <c r="A888" s="50" t="s">
        <v>29</v>
      </c>
      <c r="B888" s="8"/>
      <c r="C888" s="10"/>
      <c r="D888" s="10"/>
      <c r="E888" s="10">
        <v>1</v>
      </c>
      <c r="F888" s="30"/>
      <c r="G888" s="7">
        <f t="shared" si="242"/>
        <v>1</v>
      </c>
      <c r="H888" s="58">
        <v>44692</v>
      </c>
      <c r="I888" s="16"/>
      <c r="J888" s="8"/>
      <c r="K888" s="10"/>
      <c r="L888" s="10"/>
      <c r="M888" s="10"/>
      <c r="N888" s="30"/>
      <c r="O888" s="7">
        <f t="shared" si="243"/>
        <v>0</v>
      </c>
    </row>
    <row r="889" spans="1:18" x14ac:dyDescent="0.15">
      <c r="A889" s="50" t="s">
        <v>29</v>
      </c>
      <c r="B889" s="8"/>
      <c r="C889" s="10">
        <v>1</v>
      </c>
      <c r="D889" s="10"/>
      <c r="E889" s="10"/>
      <c r="F889" s="30"/>
      <c r="G889" s="7">
        <f t="shared" si="242"/>
        <v>1</v>
      </c>
      <c r="H889" s="58">
        <v>44693</v>
      </c>
      <c r="I889" s="51"/>
      <c r="J889" s="8"/>
      <c r="K889" s="10"/>
      <c r="L889" s="10"/>
      <c r="M889" s="10"/>
      <c r="N889" s="30"/>
      <c r="O889" s="7">
        <f t="shared" si="243"/>
        <v>0</v>
      </c>
    </row>
    <row r="890" spans="1:18" x14ac:dyDescent="0.15">
      <c r="A890" s="50" t="s">
        <v>29</v>
      </c>
      <c r="B890" s="8"/>
      <c r="C890" s="10">
        <v>1</v>
      </c>
      <c r="D890" s="10">
        <v>1</v>
      </c>
      <c r="E890" s="10">
        <v>1</v>
      </c>
      <c r="F890" s="30">
        <v>1</v>
      </c>
      <c r="G890" s="7">
        <f t="shared" si="242"/>
        <v>4</v>
      </c>
      <c r="H890" s="58">
        <v>44697</v>
      </c>
      <c r="I890" s="16"/>
      <c r="J890" s="8"/>
      <c r="K890" s="10"/>
      <c r="L890" s="10"/>
      <c r="M890" s="10"/>
      <c r="N890" s="30"/>
      <c r="O890" s="7">
        <f t="shared" si="243"/>
        <v>0</v>
      </c>
    </row>
    <row r="891" spans="1:18" x14ac:dyDescent="0.15">
      <c r="A891" s="50" t="s">
        <v>29</v>
      </c>
      <c r="B891" s="8">
        <v>1</v>
      </c>
      <c r="C891" s="10"/>
      <c r="D891" s="10"/>
      <c r="E891" s="10">
        <v>1</v>
      </c>
      <c r="F891" s="30"/>
      <c r="G891" s="7">
        <f t="shared" si="242"/>
        <v>2</v>
      </c>
      <c r="H891" s="58">
        <v>44698</v>
      </c>
      <c r="I891" s="16"/>
      <c r="J891" s="8"/>
      <c r="K891" s="10"/>
      <c r="L891" s="10"/>
      <c r="M891" s="10"/>
      <c r="N891" s="30"/>
      <c r="O891" s="7">
        <f t="shared" si="243"/>
        <v>0</v>
      </c>
    </row>
    <row r="892" spans="1:18" x14ac:dyDescent="0.15">
      <c r="A892" s="50" t="s">
        <v>29</v>
      </c>
      <c r="B892" s="8">
        <v>1</v>
      </c>
      <c r="C892" s="10"/>
      <c r="D892" s="10"/>
      <c r="E892" s="10">
        <v>2</v>
      </c>
      <c r="F892" s="30"/>
      <c r="G892" s="7">
        <f t="shared" si="242"/>
        <v>3</v>
      </c>
      <c r="H892" s="58">
        <v>44704</v>
      </c>
      <c r="I892" s="16"/>
      <c r="J892" s="8"/>
      <c r="K892" s="10"/>
      <c r="L892" s="10"/>
      <c r="M892" s="10"/>
      <c r="N892" s="30"/>
      <c r="O892" s="7">
        <f t="shared" si="243"/>
        <v>0</v>
      </c>
    </row>
    <row r="893" spans="1:18" x14ac:dyDescent="0.15">
      <c r="A893" s="50" t="s">
        <v>29</v>
      </c>
      <c r="B893" s="8">
        <v>1</v>
      </c>
      <c r="C893" s="10"/>
      <c r="D893" s="10"/>
      <c r="E893" s="10"/>
      <c r="F893" s="30"/>
      <c r="G893" s="7">
        <f t="shared" si="242"/>
        <v>1</v>
      </c>
      <c r="H893" s="58">
        <v>44706</v>
      </c>
      <c r="I893" s="16"/>
      <c r="J893" s="8"/>
      <c r="K893" s="10"/>
      <c r="L893" s="10"/>
      <c r="M893" s="10"/>
      <c r="N893" s="30"/>
      <c r="O893" s="7">
        <f t="shared" si="243"/>
        <v>0</v>
      </c>
    </row>
    <row r="894" spans="1:18" x14ac:dyDescent="0.15">
      <c r="A894" s="50" t="s">
        <v>29</v>
      </c>
      <c r="B894" s="8"/>
      <c r="C894" s="10">
        <v>1</v>
      </c>
      <c r="D894" s="10"/>
      <c r="E894" s="10"/>
      <c r="F894" s="30"/>
      <c r="G894" s="7">
        <f t="shared" si="242"/>
        <v>1</v>
      </c>
      <c r="H894" s="58">
        <v>44707</v>
      </c>
      <c r="I894" s="16"/>
      <c r="J894" s="8"/>
      <c r="K894" s="10"/>
      <c r="L894" s="10"/>
      <c r="M894" s="10"/>
      <c r="N894" s="30"/>
      <c r="O894" s="7">
        <f t="shared" si="243"/>
        <v>0</v>
      </c>
    </row>
    <row r="895" spans="1:18" x14ac:dyDescent="0.15">
      <c r="A895" s="50" t="s">
        <v>29</v>
      </c>
      <c r="B895" s="8"/>
      <c r="C895" s="10">
        <v>1</v>
      </c>
      <c r="D895" s="10"/>
      <c r="E895" s="10"/>
      <c r="F895" s="30">
        <v>1</v>
      </c>
      <c r="G895" s="7">
        <f t="shared" si="242"/>
        <v>2</v>
      </c>
      <c r="H895" s="58">
        <v>44708</v>
      </c>
      <c r="I895" s="16"/>
      <c r="J895" s="8"/>
      <c r="K895" s="10"/>
      <c r="L895" s="10"/>
      <c r="M895" s="10"/>
      <c r="N895" s="30"/>
      <c r="O895" s="7">
        <f t="shared" si="243"/>
        <v>0</v>
      </c>
    </row>
    <row r="896" spans="1:18" x14ac:dyDescent="0.15">
      <c r="A896" s="50" t="s">
        <v>29</v>
      </c>
      <c r="B896" s="11"/>
      <c r="C896" s="12"/>
      <c r="D896" s="12">
        <v>1</v>
      </c>
      <c r="E896" s="12"/>
      <c r="F896" s="31"/>
      <c r="G896" s="7">
        <f t="shared" si="242"/>
        <v>1</v>
      </c>
      <c r="H896" s="58">
        <v>44722</v>
      </c>
      <c r="I896" s="50"/>
      <c r="J896" s="8"/>
      <c r="K896" s="10"/>
      <c r="L896" s="10"/>
      <c r="M896" s="10"/>
      <c r="N896" s="30"/>
      <c r="O896" s="7">
        <f t="shared" si="243"/>
        <v>0</v>
      </c>
    </row>
    <row r="897" spans="1:15" x14ac:dyDescent="0.15">
      <c r="A897" s="50" t="s">
        <v>29</v>
      </c>
      <c r="B897" s="8"/>
      <c r="C897" s="10"/>
      <c r="D897" s="10">
        <v>2</v>
      </c>
      <c r="E897" s="10"/>
      <c r="F897" s="30"/>
      <c r="G897" s="7">
        <f t="shared" si="242"/>
        <v>2</v>
      </c>
      <c r="H897" s="58">
        <v>44726</v>
      </c>
      <c r="I897" s="50"/>
      <c r="J897" s="8"/>
      <c r="K897" s="10"/>
      <c r="L897" s="10"/>
      <c r="M897" s="10"/>
      <c r="N897" s="30"/>
      <c r="O897" s="7">
        <f t="shared" si="243"/>
        <v>0</v>
      </c>
    </row>
    <row r="898" spans="1:15" x14ac:dyDescent="0.15">
      <c r="A898" s="50" t="s">
        <v>29</v>
      </c>
      <c r="B898" s="8"/>
      <c r="C898" s="10"/>
      <c r="D898" s="10">
        <v>1</v>
      </c>
      <c r="E898" s="10"/>
      <c r="F898" s="30"/>
      <c r="G898" s="7">
        <f t="shared" si="242"/>
        <v>1</v>
      </c>
      <c r="H898" s="58">
        <v>44728</v>
      </c>
      <c r="I898" s="16"/>
      <c r="J898" s="8"/>
      <c r="K898" s="10"/>
      <c r="L898" s="10"/>
      <c r="M898" s="10"/>
      <c r="N898" s="30"/>
      <c r="O898" s="7">
        <f t="shared" si="243"/>
        <v>0</v>
      </c>
    </row>
    <row r="899" spans="1:15" x14ac:dyDescent="0.15">
      <c r="A899" s="50" t="s">
        <v>29</v>
      </c>
      <c r="B899" s="8"/>
      <c r="C899" s="10"/>
      <c r="D899" s="10">
        <v>1</v>
      </c>
      <c r="E899" s="10"/>
      <c r="F899" s="30"/>
      <c r="G899" s="7">
        <f t="shared" si="242"/>
        <v>1</v>
      </c>
      <c r="H899" s="58">
        <v>44730</v>
      </c>
      <c r="I899" s="39"/>
      <c r="J899" s="8"/>
      <c r="K899" s="10"/>
      <c r="L899" s="10"/>
      <c r="M899" s="10"/>
      <c r="N899" s="30"/>
      <c r="O899" s="7">
        <f t="shared" si="243"/>
        <v>0</v>
      </c>
    </row>
    <row r="900" spans="1:15" ht="14.25" thickBot="1" x14ac:dyDescent="0.2">
      <c r="A900" s="50" t="s">
        <v>29</v>
      </c>
      <c r="B900" s="11"/>
      <c r="C900" s="12"/>
      <c r="D900" s="12"/>
      <c r="E900" s="12"/>
      <c r="F900" s="31">
        <v>1</v>
      </c>
      <c r="G900" s="7">
        <f t="shared" si="242"/>
        <v>1</v>
      </c>
      <c r="H900" s="58">
        <v>44734</v>
      </c>
      <c r="I900" s="14"/>
      <c r="J900" s="8"/>
      <c r="K900" s="10"/>
      <c r="L900" s="10"/>
      <c r="M900" s="10"/>
      <c r="N900" s="30"/>
      <c r="O900" s="7">
        <f t="shared" si="243"/>
        <v>0</v>
      </c>
    </row>
    <row r="901" spans="1:15" ht="14.25" thickBot="1" x14ac:dyDescent="0.2">
      <c r="A901" s="3" t="s">
        <v>11</v>
      </c>
      <c r="B901" s="23">
        <f>SUM(B875:B900)</f>
        <v>5</v>
      </c>
      <c r="C901" s="4">
        <f>SUM(C875:C900)</f>
        <v>8</v>
      </c>
      <c r="D901" s="4">
        <f>SUM(D875:D900)</f>
        <v>10</v>
      </c>
      <c r="E901" s="6">
        <f>SUM(E875:E900)</f>
        <v>12</v>
      </c>
      <c r="F901" s="32">
        <f>SUM(F875:F900)</f>
        <v>6</v>
      </c>
      <c r="G901" s="5">
        <f>SUM(B901:F901)</f>
        <v>41</v>
      </c>
      <c r="H901" s="58"/>
      <c r="I901" s="3" t="s">
        <v>11</v>
      </c>
      <c r="J901" s="23">
        <f>SUM(J875:J900)</f>
        <v>8</v>
      </c>
      <c r="K901" s="4">
        <f>SUM(K875:K900)</f>
        <v>11</v>
      </c>
      <c r="L901" s="4">
        <f>SUM(L875:L900)</f>
        <v>13</v>
      </c>
      <c r="M901" s="6">
        <f>SUM(M875:M900)</f>
        <v>13</v>
      </c>
      <c r="N901" s="32">
        <f>SUM(N875:N900)</f>
        <v>5</v>
      </c>
      <c r="O901" s="5">
        <f>SUM(J901:N901)</f>
        <v>50</v>
      </c>
    </row>
    <row r="902" spans="1:15" ht="14.25" thickBot="1" x14ac:dyDescent="0.2">
      <c r="A902" s="25" t="s">
        <v>12</v>
      </c>
      <c r="B902" s="63">
        <f>B874-B901</f>
        <v>6</v>
      </c>
      <c r="C902" s="26">
        <f t="shared" ref="C902:G902" si="244">C874-C901</f>
        <v>7</v>
      </c>
      <c r="D902" s="71">
        <f t="shared" si="244"/>
        <v>6</v>
      </c>
      <c r="E902" s="26">
        <f t="shared" si="244"/>
        <v>4</v>
      </c>
      <c r="F902" s="70">
        <f t="shared" si="244"/>
        <v>3</v>
      </c>
      <c r="G902" s="27">
        <f t="shared" si="244"/>
        <v>26</v>
      </c>
      <c r="H902" s="58"/>
      <c r="I902" s="25" t="s">
        <v>12</v>
      </c>
      <c r="J902" s="63">
        <f>J874-J901</f>
        <v>143</v>
      </c>
      <c r="K902" s="26">
        <f t="shared" ref="K902:O902" si="245">K874-K901</f>
        <v>62</v>
      </c>
      <c r="L902" s="71">
        <f t="shared" si="245"/>
        <v>45</v>
      </c>
      <c r="M902" s="26">
        <f t="shared" si="245"/>
        <v>8</v>
      </c>
      <c r="N902" s="70">
        <f t="shared" si="245"/>
        <v>1</v>
      </c>
      <c r="O902" s="27">
        <f t="shared" si="245"/>
        <v>259</v>
      </c>
    </row>
    <row r="903" spans="1:15" ht="21" x14ac:dyDescent="0.2">
      <c r="A903" s="86" t="s">
        <v>50</v>
      </c>
      <c r="B903" s="87"/>
      <c r="C903" s="87"/>
      <c r="D903" s="87"/>
      <c r="E903" s="87"/>
      <c r="F903" s="87"/>
      <c r="G903" s="87"/>
      <c r="H903" s="58"/>
      <c r="I903" s="86" t="s">
        <v>50</v>
      </c>
      <c r="J903" s="87"/>
      <c r="K903" s="87"/>
      <c r="L903" s="87"/>
      <c r="M903" s="87"/>
      <c r="N903" s="87"/>
      <c r="O903" s="87"/>
    </row>
    <row r="904" spans="1:15" ht="21.75" thickBot="1" x14ac:dyDescent="0.25">
      <c r="A904" s="86" t="s">
        <v>51</v>
      </c>
      <c r="B904" s="87"/>
      <c r="C904" s="87"/>
      <c r="D904" s="87"/>
      <c r="E904" s="85"/>
      <c r="F904" s="88" t="s">
        <v>53</v>
      </c>
      <c r="G904" s="87"/>
      <c r="H904" s="58"/>
      <c r="I904" s="86" t="s">
        <v>51</v>
      </c>
      <c r="J904" s="87"/>
      <c r="K904" s="87"/>
      <c r="L904" s="87"/>
      <c r="M904" s="89"/>
      <c r="N904" s="88" t="s">
        <v>54</v>
      </c>
      <c r="O904" s="87"/>
    </row>
    <row r="905" spans="1:15" ht="14.25" thickBot="1" x14ac:dyDescent="0.2">
      <c r="A905" s="13" t="s">
        <v>0</v>
      </c>
      <c r="B905" s="228" t="s">
        <v>52</v>
      </c>
      <c r="C905" s="229"/>
      <c r="D905" s="229"/>
      <c r="E905" s="229"/>
      <c r="F905" s="230"/>
      <c r="G905" s="231"/>
      <c r="H905" s="58"/>
      <c r="I905" s="13" t="s">
        <v>0</v>
      </c>
      <c r="J905" s="228" t="s">
        <v>52</v>
      </c>
      <c r="K905" s="229"/>
      <c r="L905" s="229"/>
      <c r="M905" s="229"/>
      <c r="N905" s="230"/>
      <c r="O905" s="231"/>
    </row>
    <row r="906" spans="1:15" ht="14.25" thickBot="1" x14ac:dyDescent="0.2">
      <c r="A906" s="3" t="s">
        <v>1</v>
      </c>
      <c r="B906" s="2" t="s">
        <v>42</v>
      </c>
      <c r="C906" s="21" t="s">
        <v>43</v>
      </c>
      <c r="D906" s="21" t="s">
        <v>44</v>
      </c>
      <c r="E906" s="24" t="s">
        <v>45</v>
      </c>
      <c r="F906" s="33" t="s">
        <v>46</v>
      </c>
      <c r="G906" s="3" t="s">
        <v>2</v>
      </c>
      <c r="H906" s="58"/>
      <c r="I906" s="3" t="s">
        <v>1</v>
      </c>
      <c r="J906" s="2" t="s">
        <v>42</v>
      </c>
      <c r="K906" s="21" t="s">
        <v>43</v>
      </c>
      <c r="L906" s="21" t="s">
        <v>44</v>
      </c>
      <c r="M906" s="24" t="s">
        <v>45</v>
      </c>
      <c r="N906" s="33" t="s">
        <v>46</v>
      </c>
      <c r="O906" s="3" t="s">
        <v>2</v>
      </c>
    </row>
    <row r="907" spans="1:15" ht="14.25" thickBot="1" x14ac:dyDescent="0.2">
      <c r="A907" s="72" t="s">
        <v>79</v>
      </c>
      <c r="B907" s="73">
        <f>B902</f>
        <v>6</v>
      </c>
      <c r="C907" s="74">
        <f t="shared" ref="C907:F907" si="246">C902</f>
        <v>7</v>
      </c>
      <c r="D907" s="107">
        <f t="shared" si="246"/>
        <v>6</v>
      </c>
      <c r="E907" s="75">
        <f t="shared" si="246"/>
        <v>4</v>
      </c>
      <c r="F907" s="75">
        <f t="shared" si="246"/>
        <v>3</v>
      </c>
      <c r="G907" s="76">
        <f t="shared" ref="G907:G916" si="247">SUM(B907:F907)</f>
        <v>26</v>
      </c>
      <c r="H907" s="58"/>
      <c r="I907" s="72" t="s">
        <v>79</v>
      </c>
      <c r="J907" s="73">
        <f>J902</f>
        <v>143</v>
      </c>
      <c r="K907" s="74">
        <f t="shared" ref="K907:N907" si="248">K902</f>
        <v>62</v>
      </c>
      <c r="L907" s="107">
        <f t="shared" si="248"/>
        <v>45</v>
      </c>
      <c r="M907" s="75">
        <f t="shared" si="248"/>
        <v>8</v>
      </c>
      <c r="N907" s="75">
        <f t="shared" si="248"/>
        <v>1</v>
      </c>
      <c r="O907" s="76">
        <f t="shared" ref="O907:O916" si="249">SUM(J907:N907)</f>
        <v>259</v>
      </c>
    </row>
    <row r="908" spans="1:15" x14ac:dyDescent="0.15">
      <c r="A908" s="15" t="s">
        <v>28</v>
      </c>
      <c r="B908" s="37"/>
      <c r="C908" s="35"/>
      <c r="D908" s="35"/>
      <c r="E908" s="35"/>
      <c r="F908" s="28">
        <v>1</v>
      </c>
      <c r="G908" s="7">
        <f t="shared" si="247"/>
        <v>1</v>
      </c>
      <c r="H908" s="58">
        <v>44741</v>
      </c>
      <c r="I908" s="15" t="s">
        <v>14</v>
      </c>
      <c r="J908" s="37"/>
      <c r="K908" s="35"/>
      <c r="L908" s="35"/>
      <c r="M908" s="35"/>
      <c r="N908" s="28"/>
      <c r="O908" s="7">
        <f t="shared" si="249"/>
        <v>0</v>
      </c>
    </row>
    <row r="909" spans="1:15" x14ac:dyDescent="0.15">
      <c r="A909" s="15" t="s">
        <v>28</v>
      </c>
      <c r="B909" s="8"/>
      <c r="C909" s="10"/>
      <c r="D909" s="10">
        <v>5</v>
      </c>
      <c r="E909" s="10"/>
      <c r="F909" s="28"/>
      <c r="G909" s="9">
        <f t="shared" si="247"/>
        <v>5</v>
      </c>
      <c r="H909" s="58">
        <v>44744</v>
      </c>
      <c r="I909" s="15" t="s">
        <v>3</v>
      </c>
      <c r="J909" s="8"/>
      <c r="K909" s="10"/>
      <c r="L909" s="10"/>
      <c r="M909" s="10"/>
      <c r="N909" s="28"/>
      <c r="O909" s="9">
        <f t="shared" si="249"/>
        <v>0</v>
      </c>
    </row>
    <row r="910" spans="1:15" x14ac:dyDescent="0.15">
      <c r="A910" s="15" t="s">
        <v>28</v>
      </c>
      <c r="B910" s="8">
        <v>3</v>
      </c>
      <c r="C910" s="10"/>
      <c r="D910" s="10">
        <v>3</v>
      </c>
      <c r="E910" s="10"/>
      <c r="F910" s="28"/>
      <c r="G910" s="9">
        <f t="shared" si="247"/>
        <v>6</v>
      </c>
      <c r="H910" s="58">
        <v>44779</v>
      </c>
      <c r="I910" s="15" t="s">
        <v>4</v>
      </c>
      <c r="J910" s="8"/>
      <c r="K910" s="45"/>
      <c r="L910" s="45"/>
      <c r="M910" s="45"/>
      <c r="N910" s="46"/>
      <c r="O910" s="9">
        <f t="shared" si="249"/>
        <v>0</v>
      </c>
    </row>
    <row r="911" spans="1:15" x14ac:dyDescent="0.15">
      <c r="A911" s="175" t="s">
        <v>1471</v>
      </c>
      <c r="B911" s="182">
        <v>0</v>
      </c>
      <c r="C911" s="183">
        <v>0</v>
      </c>
      <c r="D911" s="183">
        <v>0</v>
      </c>
      <c r="E911" s="183">
        <v>0</v>
      </c>
      <c r="F911" s="178"/>
      <c r="G911" s="184">
        <f t="shared" si="247"/>
        <v>0</v>
      </c>
      <c r="H911" s="180">
        <v>44797</v>
      </c>
      <c r="I911" s="15" t="s">
        <v>5</v>
      </c>
      <c r="J911" s="8"/>
      <c r="K911" s="45"/>
      <c r="L911" s="45"/>
      <c r="M911" s="45"/>
      <c r="N911" s="46"/>
      <c r="O911" s="9">
        <f t="shared" si="249"/>
        <v>0</v>
      </c>
    </row>
    <row r="912" spans="1:15" x14ac:dyDescent="0.15">
      <c r="A912" s="15" t="s">
        <v>28</v>
      </c>
      <c r="B912" s="8"/>
      <c r="C912" s="10">
        <v>3</v>
      </c>
      <c r="D912" s="10"/>
      <c r="E912" s="10">
        <v>5</v>
      </c>
      <c r="F912" s="28"/>
      <c r="G912" s="9">
        <f t="shared" si="247"/>
        <v>8</v>
      </c>
      <c r="H912" s="58">
        <v>44799</v>
      </c>
      <c r="I912" s="15" t="s">
        <v>6</v>
      </c>
      <c r="J912" s="8"/>
      <c r="K912" s="45"/>
      <c r="L912" s="45"/>
      <c r="M912" s="45"/>
      <c r="N912" s="46"/>
      <c r="O912" s="9">
        <f t="shared" si="249"/>
        <v>0</v>
      </c>
    </row>
    <row r="913" spans="1:17" x14ac:dyDescent="0.15">
      <c r="A913" s="15" t="s">
        <v>28</v>
      </c>
      <c r="B913" s="8">
        <v>-1</v>
      </c>
      <c r="C913" s="10"/>
      <c r="D913" s="10"/>
      <c r="E913" s="10">
        <v>2</v>
      </c>
      <c r="F913" s="28"/>
      <c r="G913" s="9">
        <f t="shared" si="247"/>
        <v>1</v>
      </c>
      <c r="H913" s="58"/>
      <c r="I913" s="15" t="s">
        <v>84</v>
      </c>
      <c r="J913" s="8"/>
      <c r="K913" s="45"/>
      <c r="L913" s="45"/>
      <c r="M913" s="45"/>
      <c r="N913" s="46"/>
      <c r="O913" s="7">
        <f t="shared" si="249"/>
        <v>0</v>
      </c>
    </row>
    <row r="914" spans="1:17" x14ac:dyDescent="0.15">
      <c r="A914" s="15" t="s">
        <v>28</v>
      </c>
      <c r="B914" s="8"/>
      <c r="C914" s="10"/>
      <c r="D914" s="10"/>
      <c r="E914" s="10"/>
      <c r="F914" s="28"/>
      <c r="G914" s="9">
        <f t="shared" si="247"/>
        <v>0</v>
      </c>
      <c r="H914" s="58"/>
      <c r="I914" s="15" t="s">
        <v>85</v>
      </c>
      <c r="J914" s="8"/>
      <c r="K914" s="45"/>
      <c r="L914" s="45"/>
      <c r="M914" s="45"/>
      <c r="N914" s="46"/>
      <c r="O914" s="7">
        <f t="shared" si="249"/>
        <v>0</v>
      </c>
    </row>
    <row r="915" spans="1:17" x14ac:dyDescent="0.15">
      <c r="A915" s="15" t="s">
        <v>28</v>
      </c>
      <c r="B915" s="11"/>
      <c r="C915" s="100"/>
      <c r="D915" s="100"/>
      <c r="E915" s="100"/>
      <c r="F915" s="109"/>
      <c r="G915" s="9">
        <f t="shared" si="247"/>
        <v>0</v>
      </c>
      <c r="H915" s="58"/>
      <c r="I915" s="15" t="s">
        <v>86</v>
      </c>
      <c r="J915" s="8"/>
      <c r="K915" s="45"/>
      <c r="L915" s="45"/>
      <c r="M915" s="45"/>
      <c r="N915" s="46"/>
      <c r="O915" s="102">
        <f t="shared" si="249"/>
        <v>0</v>
      </c>
    </row>
    <row r="916" spans="1:17" ht="14.25" thickBot="1" x14ac:dyDescent="0.2">
      <c r="A916" s="15"/>
      <c r="B916" s="11"/>
      <c r="C916" s="100"/>
      <c r="D916" s="100"/>
      <c r="E916" s="100"/>
      <c r="F916" s="109"/>
      <c r="G916" s="115">
        <f t="shared" si="247"/>
        <v>0</v>
      </c>
      <c r="H916" s="58"/>
      <c r="I916" s="15" t="s">
        <v>87</v>
      </c>
      <c r="J916" s="47"/>
      <c r="K916" s="48"/>
      <c r="L916" s="48"/>
      <c r="M916" s="48"/>
      <c r="N916" s="49"/>
      <c r="O916" s="40">
        <f t="shared" si="249"/>
        <v>0</v>
      </c>
    </row>
    <row r="917" spans="1:17" ht="14.25" thickBot="1" x14ac:dyDescent="0.2">
      <c r="A917" s="72" t="s">
        <v>7</v>
      </c>
      <c r="B917" s="73">
        <f>SUM(B907:B916)</f>
        <v>8</v>
      </c>
      <c r="C917" s="74">
        <f t="shared" ref="C917:G917" si="250">SUM(C907:C916)</f>
        <v>10</v>
      </c>
      <c r="D917" s="74">
        <f t="shared" si="250"/>
        <v>14</v>
      </c>
      <c r="E917" s="74">
        <f t="shared" si="250"/>
        <v>11</v>
      </c>
      <c r="F917" s="105">
        <f t="shared" si="250"/>
        <v>4</v>
      </c>
      <c r="G917" s="76">
        <f t="shared" si="250"/>
        <v>47</v>
      </c>
      <c r="H917" s="58"/>
      <c r="I917" s="72" t="s">
        <v>7</v>
      </c>
      <c r="J917" s="73">
        <f>SUM(J907:J916)</f>
        <v>143</v>
      </c>
      <c r="K917" s="74">
        <f t="shared" ref="K917:O917" si="251">SUM(K907:K916)</f>
        <v>62</v>
      </c>
      <c r="L917" s="74">
        <f t="shared" si="251"/>
        <v>45</v>
      </c>
      <c r="M917" s="74">
        <f t="shared" si="251"/>
        <v>8</v>
      </c>
      <c r="N917" s="105">
        <f t="shared" si="251"/>
        <v>1</v>
      </c>
      <c r="O917" s="76">
        <f t="shared" si="251"/>
        <v>259</v>
      </c>
    </row>
    <row r="918" spans="1:17" x14ac:dyDescent="0.15">
      <c r="A918" s="50" t="s">
        <v>29</v>
      </c>
      <c r="B918" s="11"/>
      <c r="C918" s="12"/>
      <c r="D918" s="12"/>
      <c r="E918" s="12">
        <v>1</v>
      </c>
      <c r="F918" s="31"/>
      <c r="G918" s="7">
        <f t="shared" ref="G918:G943" si="252">SUM(B918:F918)</f>
        <v>1</v>
      </c>
      <c r="H918" s="58">
        <v>44736</v>
      </c>
      <c r="I918" s="16" t="s">
        <v>1464</v>
      </c>
      <c r="J918" s="8"/>
      <c r="K918" s="10"/>
      <c r="L918" s="10"/>
      <c r="M918" s="10"/>
      <c r="N918" s="28">
        <v>1</v>
      </c>
      <c r="O918" s="9">
        <f t="shared" ref="O918:O943" si="253">SUM(J918:N918)</f>
        <v>1</v>
      </c>
      <c r="P918" s="58">
        <v>44741</v>
      </c>
    </row>
    <row r="919" spans="1:17" x14ac:dyDescent="0.15">
      <c r="A919" s="50" t="s">
        <v>29</v>
      </c>
      <c r="B919" s="8"/>
      <c r="C919" s="10"/>
      <c r="D919" s="10">
        <v>3</v>
      </c>
      <c r="E919" s="10"/>
      <c r="F919" s="30">
        <v>1</v>
      </c>
      <c r="G919" s="7">
        <f t="shared" si="252"/>
        <v>4</v>
      </c>
      <c r="H919" s="58">
        <v>44739</v>
      </c>
      <c r="I919" s="16" t="s">
        <v>24</v>
      </c>
      <c r="J919" s="8"/>
      <c r="K919" s="10"/>
      <c r="L919" s="10">
        <v>5</v>
      </c>
      <c r="M919" s="10"/>
      <c r="N919" s="30"/>
      <c r="O919" s="7">
        <f t="shared" si="253"/>
        <v>5</v>
      </c>
      <c r="P919" s="58">
        <v>44744</v>
      </c>
    </row>
    <row r="920" spans="1:17" x14ac:dyDescent="0.15">
      <c r="A920" s="50" t="s">
        <v>29</v>
      </c>
      <c r="B920" s="8">
        <v>1</v>
      </c>
      <c r="C920" s="10"/>
      <c r="D920" s="10"/>
      <c r="E920" s="10"/>
      <c r="F920" s="30">
        <v>1</v>
      </c>
      <c r="G920" s="7">
        <f t="shared" si="252"/>
        <v>2</v>
      </c>
      <c r="H920" s="58">
        <v>44740</v>
      </c>
      <c r="I920" s="16" t="s">
        <v>24</v>
      </c>
      <c r="J920" s="8">
        <v>3</v>
      </c>
      <c r="K920" s="10"/>
      <c r="L920" s="10">
        <v>3</v>
      </c>
      <c r="M920" s="10"/>
      <c r="N920" s="28"/>
      <c r="O920" s="9">
        <f t="shared" si="253"/>
        <v>6</v>
      </c>
      <c r="P920" s="58">
        <v>44779</v>
      </c>
      <c r="Q920" s="56"/>
    </row>
    <row r="921" spans="1:17" x14ac:dyDescent="0.15">
      <c r="A921" s="50" t="s">
        <v>29</v>
      </c>
      <c r="B921" s="8"/>
      <c r="C921" s="10"/>
      <c r="D921" s="10"/>
      <c r="E921" s="10"/>
      <c r="F921" s="30"/>
      <c r="G921" s="7">
        <f t="shared" si="252"/>
        <v>0</v>
      </c>
      <c r="H921" s="58">
        <v>44741</v>
      </c>
      <c r="I921" s="16" t="s">
        <v>24</v>
      </c>
      <c r="J921" s="8"/>
      <c r="K921" s="10">
        <v>3</v>
      </c>
      <c r="L921" s="10"/>
      <c r="M921" s="10">
        <v>5</v>
      </c>
      <c r="N921" s="30"/>
      <c r="O921" s="7">
        <f t="shared" si="253"/>
        <v>8</v>
      </c>
      <c r="P921" s="58">
        <v>44799</v>
      </c>
      <c r="Q921" s="68"/>
    </row>
    <row r="922" spans="1:17" x14ac:dyDescent="0.15">
      <c r="A922" s="50" t="s">
        <v>29</v>
      </c>
      <c r="B922" s="8"/>
      <c r="C922" s="10"/>
      <c r="D922" s="10">
        <v>1</v>
      </c>
      <c r="E922" s="10"/>
      <c r="F922" s="30"/>
      <c r="G922" s="7">
        <f t="shared" si="252"/>
        <v>1</v>
      </c>
      <c r="H922" s="58">
        <v>44743</v>
      </c>
      <c r="I922" s="16"/>
      <c r="J922" s="8"/>
      <c r="K922" s="10"/>
      <c r="L922" s="10"/>
      <c r="M922" s="10"/>
      <c r="N922" s="28"/>
      <c r="O922" s="9">
        <f t="shared" si="253"/>
        <v>0</v>
      </c>
      <c r="P922" s="56"/>
      <c r="Q922" s="56"/>
    </row>
    <row r="923" spans="1:17" x14ac:dyDescent="0.15">
      <c r="A923" s="50" t="s">
        <v>29</v>
      </c>
      <c r="B923" s="8"/>
      <c r="C923" s="10"/>
      <c r="D923" s="10"/>
      <c r="E923" s="10">
        <v>1</v>
      </c>
      <c r="F923" s="30"/>
      <c r="G923" s="7">
        <f t="shared" si="252"/>
        <v>1</v>
      </c>
      <c r="H923" s="58">
        <v>44746</v>
      </c>
      <c r="I923" s="16"/>
      <c r="J923" s="8"/>
      <c r="K923" s="10"/>
      <c r="L923" s="10"/>
      <c r="M923" s="10"/>
      <c r="N923" s="28"/>
      <c r="O923" s="9">
        <f t="shared" si="253"/>
        <v>0</v>
      </c>
    </row>
    <row r="924" spans="1:17" x14ac:dyDescent="0.15">
      <c r="A924" s="50" t="s">
        <v>29</v>
      </c>
      <c r="B924" s="11"/>
      <c r="C924" s="12"/>
      <c r="D924" s="12">
        <v>1</v>
      </c>
      <c r="E924" s="12">
        <v>1</v>
      </c>
      <c r="F924" s="31">
        <v>1</v>
      </c>
      <c r="G924" s="7">
        <f t="shared" si="252"/>
        <v>3</v>
      </c>
      <c r="H924" s="58">
        <v>44748</v>
      </c>
      <c r="I924" s="16"/>
      <c r="J924" s="8"/>
      <c r="K924" s="10"/>
      <c r="L924" s="10"/>
      <c r="M924" s="10"/>
      <c r="N924" s="28"/>
      <c r="O924" s="9">
        <f t="shared" si="253"/>
        <v>0</v>
      </c>
    </row>
    <row r="925" spans="1:17" x14ac:dyDescent="0.15">
      <c r="A925" s="50" t="s">
        <v>29</v>
      </c>
      <c r="B925" s="11">
        <v>1</v>
      </c>
      <c r="C925" s="12"/>
      <c r="D925" s="12"/>
      <c r="E925" s="12"/>
      <c r="F925" s="31"/>
      <c r="G925" s="7">
        <f t="shared" si="252"/>
        <v>1</v>
      </c>
      <c r="H925" s="58">
        <v>44749</v>
      </c>
      <c r="I925" s="16"/>
      <c r="J925" s="11"/>
      <c r="K925" s="100"/>
      <c r="L925" s="100"/>
      <c r="M925" s="100"/>
      <c r="N925" s="109"/>
      <c r="O925" s="9">
        <f t="shared" si="253"/>
        <v>0</v>
      </c>
    </row>
    <row r="926" spans="1:17" x14ac:dyDescent="0.15">
      <c r="A926" s="50" t="s">
        <v>29</v>
      </c>
      <c r="B926" s="8"/>
      <c r="C926" s="10"/>
      <c r="D926" s="10"/>
      <c r="E926" s="10"/>
      <c r="F926" s="30"/>
      <c r="G926" s="7">
        <f t="shared" si="252"/>
        <v>0</v>
      </c>
      <c r="H926" s="58">
        <v>44750</v>
      </c>
      <c r="I926" s="15"/>
      <c r="J926" s="11"/>
      <c r="K926" s="12"/>
      <c r="L926" s="12"/>
      <c r="M926" s="12"/>
      <c r="N926" s="31"/>
      <c r="O926" s="7">
        <f t="shared" si="253"/>
        <v>0</v>
      </c>
    </row>
    <row r="927" spans="1:17" x14ac:dyDescent="0.15">
      <c r="A927" s="50" t="s">
        <v>29</v>
      </c>
      <c r="B927" s="11"/>
      <c r="C927" s="12">
        <v>1</v>
      </c>
      <c r="D927" s="12">
        <v>1</v>
      </c>
      <c r="E927" s="12"/>
      <c r="F927" s="31"/>
      <c r="G927" s="7">
        <f t="shared" si="252"/>
        <v>2</v>
      </c>
      <c r="H927" s="58">
        <v>44753</v>
      </c>
      <c r="I927" s="16"/>
      <c r="J927" s="8"/>
      <c r="K927" s="10"/>
      <c r="L927" s="10"/>
      <c r="M927" s="10"/>
      <c r="N927" s="30"/>
      <c r="O927" s="7">
        <f t="shared" si="253"/>
        <v>0</v>
      </c>
    </row>
    <row r="928" spans="1:17" x14ac:dyDescent="0.15">
      <c r="A928" s="50" t="s">
        <v>29</v>
      </c>
      <c r="B928" s="8"/>
      <c r="C928" s="10"/>
      <c r="D928" s="10"/>
      <c r="E928" s="10"/>
      <c r="F928" s="30">
        <v>1</v>
      </c>
      <c r="G928" s="7">
        <f t="shared" si="252"/>
        <v>1</v>
      </c>
      <c r="H928" s="58">
        <v>44761</v>
      </c>
      <c r="I928" s="16"/>
      <c r="J928" s="8"/>
      <c r="K928" s="10"/>
      <c r="L928" s="10"/>
      <c r="M928" s="10"/>
      <c r="N928" s="30"/>
      <c r="O928" s="7">
        <f t="shared" si="253"/>
        <v>0</v>
      </c>
    </row>
    <row r="929" spans="1:15" x14ac:dyDescent="0.15">
      <c r="A929" s="50" t="s">
        <v>29</v>
      </c>
      <c r="B929" s="8"/>
      <c r="C929" s="10"/>
      <c r="D929" s="10">
        <v>1</v>
      </c>
      <c r="E929" s="10"/>
      <c r="F929" s="30"/>
      <c r="G929" s="7">
        <f t="shared" si="252"/>
        <v>1</v>
      </c>
      <c r="H929" s="58">
        <v>44763</v>
      </c>
      <c r="I929" s="16"/>
      <c r="J929" s="8"/>
      <c r="K929" s="10"/>
      <c r="L929" s="10"/>
      <c r="M929" s="10"/>
      <c r="N929" s="30"/>
      <c r="O929" s="7">
        <f t="shared" si="253"/>
        <v>0</v>
      </c>
    </row>
    <row r="930" spans="1:15" x14ac:dyDescent="0.15">
      <c r="A930" s="50" t="s">
        <v>29</v>
      </c>
      <c r="B930" s="8"/>
      <c r="C930" s="10">
        <v>1</v>
      </c>
      <c r="D930" s="10">
        <v>1</v>
      </c>
      <c r="E930" s="10"/>
      <c r="F930" s="30"/>
      <c r="G930" s="7">
        <f t="shared" si="252"/>
        <v>2</v>
      </c>
      <c r="H930" s="58">
        <v>44768</v>
      </c>
      <c r="I930" s="16"/>
      <c r="J930" s="8"/>
      <c r="K930" s="10"/>
      <c r="L930" s="10"/>
      <c r="M930" s="10"/>
      <c r="N930" s="30"/>
      <c r="O930" s="7">
        <f t="shared" si="253"/>
        <v>0</v>
      </c>
    </row>
    <row r="931" spans="1:15" x14ac:dyDescent="0.15">
      <c r="A931" s="50" t="s">
        <v>29</v>
      </c>
      <c r="B931" s="8"/>
      <c r="C931" s="10">
        <v>1</v>
      </c>
      <c r="D931" s="10">
        <v>1</v>
      </c>
      <c r="E931" s="10"/>
      <c r="F931" s="30"/>
      <c r="G931" s="7">
        <f t="shared" si="252"/>
        <v>2</v>
      </c>
      <c r="H931" s="58">
        <v>44774</v>
      </c>
      <c r="I931" s="16"/>
      <c r="J931" s="8"/>
      <c r="K931" s="10"/>
      <c r="L931" s="10"/>
      <c r="M931" s="10"/>
      <c r="N931" s="30"/>
      <c r="O931" s="7">
        <f t="shared" si="253"/>
        <v>0</v>
      </c>
    </row>
    <row r="932" spans="1:15" x14ac:dyDescent="0.15">
      <c r="A932" s="50" t="s">
        <v>29</v>
      </c>
      <c r="B932" s="8">
        <v>1</v>
      </c>
      <c r="C932" s="10"/>
      <c r="D932" s="10"/>
      <c r="E932" s="10"/>
      <c r="F932" s="30"/>
      <c r="G932" s="7">
        <f t="shared" si="252"/>
        <v>1</v>
      </c>
      <c r="H932" s="58">
        <v>44778</v>
      </c>
      <c r="I932" s="51"/>
      <c r="J932" s="8"/>
      <c r="K932" s="10"/>
      <c r="L932" s="10"/>
      <c r="M932" s="10"/>
      <c r="N932" s="30"/>
      <c r="O932" s="7">
        <f t="shared" si="253"/>
        <v>0</v>
      </c>
    </row>
    <row r="933" spans="1:15" x14ac:dyDescent="0.15">
      <c r="A933" s="50" t="s">
        <v>29</v>
      </c>
      <c r="B933" s="8"/>
      <c r="C933" s="10"/>
      <c r="D933" s="10">
        <v>1</v>
      </c>
      <c r="E933" s="10"/>
      <c r="F933" s="30"/>
      <c r="G933" s="7">
        <f t="shared" si="252"/>
        <v>1</v>
      </c>
      <c r="H933" s="58">
        <v>44781</v>
      </c>
      <c r="I933" s="16"/>
      <c r="J933" s="8"/>
      <c r="K933" s="10"/>
      <c r="L933" s="10"/>
      <c r="M933" s="10"/>
      <c r="N933" s="30"/>
      <c r="O933" s="7">
        <f t="shared" si="253"/>
        <v>0</v>
      </c>
    </row>
    <row r="934" spans="1:15" x14ac:dyDescent="0.15">
      <c r="A934" s="50" t="s">
        <v>29</v>
      </c>
      <c r="B934" s="8"/>
      <c r="C934" s="10">
        <v>1</v>
      </c>
      <c r="D934" s="10"/>
      <c r="E934" s="10"/>
      <c r="F934" s="30"/>
      <c r="G934" s="7">
        <f t="shared" si="252"/>
        <v>1</v>
      </c>
      <c r="H934" s="58">
        <v>44784</v>
      </c>
      <c r="I934" s="16"/>
      <c r="J934" s="8"/>
      <c r="K934" s="10"/>
      <c r="L934" s="10"/>
      <c r="M934" s="10"/>
      <c r="N934" s="30"/>
      <c r="O934" s="7">
        <f t="shared" si="253"/>
        <v>0</v>
      </c>
    </row>
    <row r="935" spans="1:15" x14ac:dyDescent="0.15">
      <c r="A935" s="50" t="s">
        <v>29</v>
      </c>
      <c r="B935" s="8">
        <v>1</v>
      </c>
      <c r="C935" s="10"/>
      <c r="D935" s="10"/>
      <c r="E935" s="10"/>
      <c r="F935" s="30"/>
      <c r="G935" s="7">
        <f t="shared" si="252"/>
        <v>1</v>
      </c>
      <c r="H935" s="58">
        <v>44790</v>
      </c>
      <c r="I935" s="16"/>
      <c r="J935" s="8"/>
      <c r="K935" s="10"/>
      <c r="L935" s="10"/>
      <c r="M935" s="10"/>
      <c r="N935" s="30"/>
      <c r="O935" s="7">
        <f t="shared" si="253"/>
        <v>0</v>
      </c>
    </row>
    <row r="936" spans="1:15" x14ac:dyDescent="0.15">
      <c r="A936" s="50" t="s">
        <v>29</v>
      </c>
      <c r="B936" s="8">
        <v>1</v>
      </c>
      <c r="C936" s="10">
        <v>1</v>
      </c>
      <c r="D936" s="10"/>
      <c r="E936" s="10"/>
      <c r="F936" s="30"/>
      <c r="G936" s="7">
        <f t="shared" si="252"/>
        <v>2</v>
      </c>
      <c r="H936" s="58">
        <v>44795</v>
      </c>
      <c r="I936" s="16"/>
      <c r="J936" s="8"/>
      <c r="K936" s="10"/>
      <c r="L936" s="10"/>
      <c r="M936" s="10"/>
      <c r="N936" s="30"/>
      <c r="O936" s="7">
        <f t="shared" si="253"/>
        <v>0</v>
      </c>
    </row>
    <row r="937" spans="1:15" x14ac:dyDescent="0.15">
      <c r="A937" s="50" t="s">
        <v>485</v>
      </c>
      <c r="B937" s="8">
        <v>-1</v>
      </c>
      <c r="C937" s="10"/>
      <c r="D937" s="10"/>
      <c r="E937" s="10">
        <v>1</v>
      </c>
      <c r="F937" s="30"/>
      <c r="G937" s="7">
        <f t="shared" si="252"/>
        <v>0</v>
      </c>
      <c r="H937" s="58">
        <v>44802</v>
      </c>
      <c r="I937" s="16"/>
      <c r="J937" s="8"/>
      <c r="K937" s="10"/>
      <c r="L937" s="10"/>
      <c r="M937" s="10"/>
      <c r="N937" s="30"/>
      <c r="O937" s="7">
        <f t="shared" si="253"/>
        <v>0</v>
      </c>
    </row>
    <row r="938" spans="1:15" x14ac:dyDescent="0.15">
      <c r="A938" s="50"/>
      <c r="B938" s="8"/>
      <c r="C938" s="10"/>
      <c r="D938" s="10"/>
      <c r="E938" s="10"/>
      <c r="F938" s="30"/>
      <c r="G938" s="7">
        <f t="shared" si="252"/>
        <v>0</v>
      </c>
      <c r="H938" s="58"/>
      <c r="I938" s="16"/>
      <c r="J938" s="8"/>
      <c r="K938" s="10"/>
      <c r="L938" s="10"/>
      <c r="M938" s="10"/>
      <c r="N938" s="30"/>
      <c r="O938" s="7">
        <f t="shared" si="253"/>
        <v>0</v>
      </c>
    </row>
    <row r="939" spans="1:15" x14ac:dyDescent="0.15">
      <c r="A939" s="50"/>
      <c r="B939" s="11"/>
      <c r="C939" s="12"/>
      <c r="D939" s="12"/>
      <c r="E939" s="12"/>
      <c r="F939" s="31"/>
      <c r="G939" s="7">
        <f t="shared" si="252"/>
        <v>0</v>
      </c>
      <c r="H939" s="58"/>
      <c r="I939" s="50"/>
      <c r="J939" s="8"/>
      <c r="K939" s="10"/>
      <c r="L939" s="10"/>
      <c r="M939" s="10"/>
      <c r="N939" s="30"/>
      <c r="O939" s="7">
        <f t="shared" si="253"/>
        <v>0</v>
      </c>
    </row>
    <row r="940" spans="1:15" x14ac:dyDescent="0.15">
      <c r="A940" s="50"/>
      <c r="B940" s="8"/>
      <c r="C940" s="10"/>
      <c r="D940" s="10"/>
      <c r="E940" s="10"/>
      <c r="F940" s="30"/>
      <c r="G940" s="7">
        <f t="shared" si="252"/>
        <v>0</v>
      </c>
      <c r="H940" s="58"/>
      <c r="I940" s="50"/>
      <c r="J940" s="8"/>
      <c r="K940" s="10"/>
      <c r="L940" s="10"/>
      <c r="M940" s="10"/>
      <c r="N940" s="30"/>
      <c r="O940" s="7">
        <f t="shared" si="253"/>
        <v>0</v>
      </c>
    </row>
    <row r="941" spans="1:15" x14ac:dyDescent="0.15">
      <c r="A941" s="50"/>
      <c r="B941" s="8"/>
      <c r="C941" s="10"/>
      <c r="D941" s="10"/>
      <c r="E941" s="10"/>
      <c r="F941" s="30"/>
      <c r="G941" s="7">
        <f t="shared" si="252"/>
        <v>0</v>
      </c>
      <c r="H941" s="58"/>
      <c r="I941" s="16"/>
      <c r="J941" s="8"/>
      <c r="K941" s="10"/>
      <c r="L941" s="10"/>
      <c r="M941" s="10"/>
      <c r="N941" s="30"/>
      <c r="O941" s="7">
        <f t="shared" si="253"/>
        <v>0</v>
      </c>
    </row>
    <row r="942" spans="1:15" x14ac:dyDescent="0.15">
      <c r="A942" s="50"/>
      <c r="B942" s="8"/>
      <c r="C942" s="10"/>
      <c r="D942" s="10"/>
      <c r="E942" s="10"/>
      <c r="F942" s="30"/>
      <c r="G942" s="7">
        <f t="shared" si="252"/>
        <v>0</v>
      </c>
      <c r="H942" s="58"/>
      <c r="I942" s="39"/>
      <c r="J942" s="8"/>
      <c r="K942" s="10"/>
      <c r="L942" s="10"/>
      <c r="M942" s="10"/>
      <c r="N942" s="30"/>
      <c r="O942" s="7">
        <f t="shared" si="253"/>
        <v>0</v>
      </c>
    </row>
    <row r="943" spans="1:15" ht="14.25" thickBot="1" x14ac:dyDescent="0.2">
      <c r="A943" s="50"/>
      <c r="B943" s="11"/>
      <c r="C943" s="12"/>
      <c r="D943" s="12"/>
      <c r="E943" s="12"/>
      <c r="F943" s="31"/>
      <c r="G943" s="7">
        <f t="shared" si="252"/>
        <v>0</v>
      </c>
      <c r="H943" s="58"/>
      <c r="I943" s="14"/>
      <c r="J943" s="8"/>
      <c r="K943" s="10"/>
      <c r="L943" s="10"/>
      <c r="M943" s="10"/>
      <c r="N943" s="30"/>
      <c r="O943" s="7">
        <f t="shared" si="253"/>
        <v>0</v>
      </c>
    </row>
    <row r="944" spans="1:15" ht="14.25" thickBot="1" x14ac:dyDescent="0.2">
      <c r="A944" s="3" t="s">
        <v>11</v>
      </c>
      <c r="B944" s="23">
        <f>SUM(B918:B943)</f>
        <v>4</v>
      </c>
      <c r="C944" s="4">
        <f>SUM(C918:C943)</f>
        <v>5</v>
      </c>
      <c r="D944" s="4">
        <f>SUM(D918:D943)</f>
        <v>10</v>
      </c>
      <c r="E944" s="6">
        <f>SUM(E918:E943)</f>
        <v>4</v>
      </c>
      <c r="F944" s="209">
        <f>SUM(F918:F943)</f>
        <v>4</v>
      </c>
      <c r="G944" s="5">
        <f>SUM(B944:F944)</f>
        <v>27</v>
      </c>
      <c r="H944" s="58"/>
      <c r="I944" s="3" t="s">
        <v>11</v>
      </c>
      <c r="J944" s="23">
        <f>SUM(J918:J943)</f>
        <v>3</v>
      </c>
      <c r="K944" s="4">
        <f>SUM(K918:K943)</f>
        <v>3</v>
      </c>
      <c r="L944" s="4">
        <f>SUM(L918:L943)</f>
        <v>8</v>
      </c>
      <c r="M944" s="6">
        <f>SUM(M918:M943)</f>
        <v>5</v>
      </c>
      <c r="N944" s="209">
        <f>SUM(N918:N943)</f>
        <v>1</v>
      </c>
      <c r="O944" s="5">
        <f>SUM(J944:N944)</f>
        <v>20</v>
      </c>
    </row>
    <row r="945" spans="1:15" ht="14.25" thickBot="1" x14ac:dyDescent="0.2">
      <c r="A945" s="25" t="s">
        <v>12</v>
      </c>
      <c r="B945" s="63">
        <f>B917-B944</f>
        <v>4</v>
      </c>
      <c r="C945" s="26">
        <f t="shared" ref="C945:G945" si="254">C917-C944</f>
        <v>5</v>
      </c>
      <c r="D945" s="71">
        <f t="shared" si="254"/>
        <v>4</v>
      </c>
      <c r="E945" s="26">
        <f t="shared" si="254"/>
        <v>7</v>
      </c>
      <c r="F945" s="210">
        <f t="shared" si="254"/>
        <v>0</v>
      </c>
      <c r="G945" s="27">
        <f t="shared" si="254"/>
        <v>20</v>
      </c>
      <c r="H945" s="58"/>
      <c r="I945" s="25" t="s">
        <v>12</v>
      </c>
      <c r="J945" s="63">
        <f>J917-J944</f>
        <v>140</v>
      </c>
      <c r="K945" s="26">
        <f t="shared" ref="K945:O945" si="255">K917-K944</f>
        <v>59</v>
      </c>
      <c r="L945" s="71">
        <f t="shared" si="255"/>
        <v>37</v>
      </c>
      <c r="M945" s="26">
        <f t="shared" si="255"/>
        <v>3</v>
      </c>
      <c r="N945" s="210">
        <f t="shared" si="255"/>
        <v>0</v>
      </c>
      <c r="O945" s="27">
        <f t="shared" si="255"/>
        <v>239</v>
      </c>
    </row>
    <row r="946" spans="1:15" ht="21" x14ac:dyDescent="0.2">
      <c r="A946" s="86" t="s">
        <v>50</v>
      </c>
      <c r="B946" s="87"/>
      <c r="C946" s="87"/>
      <c r="D946" s="87"/>
      <c r="E946" s="87"/>
      <c r="F946" s="87"/>
      <c r="G946" s="87"/>
      <c r="H946" s="58"/>
      <c r="I946" s="86" t="s">
        <v>50</v>
      </c>
      <c r="J946" s="87"/>
      <c r="K946" s="87"/>
      <c r="L946" s="87"/>
      <c r="M946" s="87"/>
      <c r="N946" s="87"/>
      <c r="O946" s="87"/>
    </row>
    <row r="947" spans="1:15" ht="21.75" thickBot="1" x14ac:dyDescent="0.25">
      <c r="A947" s="86" t="s">
        <v>51</v>
      </c>
      <c r="B947" s="87"/>
      <c r="C947" s="87"/>
      <c r="D947" s="87"/>
      <c r="E947" s="85"/>
      <c r="F947" s="88" t="s">
        <v>53</v>
      </c>
      <c r="G947" s="87"/>
      <c r="H947" s="58"/>
      <c r="I947" s="86" t="s">
        <v>51</v>
      </c>
      <c r="J947" s="87"/>
      <c r="K947" s="87"/>
      <c r="L947" s="87"/>
      <c r="M947" s="89"/>
      <c r="N947" s="88" t="s">
        <v>54</v>
      </c>
      <c r="O947" s="87"/>
    </row>
    <row r="948" spans="1:15" ht="14.25" thickBot="1" x14ac:dyDescent="0.2">
      <c r="A948" s="13" t="s">
        <v>0</v>
      </c>
      <c r="B948" s="228" t="s">
        <v>52</v>
      </c>
      <c r="C948" s="229"/>
      <c r="D948" s="229"/>
      <c r="E948" s="229"/>
      <c r="F948" s="230"/>
      <c r="G948" s="231"/>
      <c r="H948" s="58"/>
      <c r="I948" s="13" t="s">
        <v>0</v>
      </c>
      <c r="J948" s="228" t="s">
        <v>52</v>
      </c>
      <c r="K948" s="229"/>
      <c r="L948" s="229"/>
      <c r="M948" s="229"/>
      <c r="N948" s="230"/>
      <c r="O948" s="231"/>
    </row>
    <row r="949" spans="1:15" ht="14.25" thickBot="1" x14ac:dyDescent="0.2">
      <c r="A949" s="3" t="s">
        <v>1</v>
      </c>
      <c r="B949" s="2" t="s">
        <v>42</v>
      </c>
      <c r="C949" s="21" t="s">
        <v>43</v>
      </c>
      <c r="D949" s="21" t="s">
        <v>44</v>
      </c>
      <c r="E949" s="24" t="s">
        <v>45</v>
      </c>
      <c r="F949" s="33" t="s">
        <v>46</v>
      </c>
      <c r="G949" s="3" t="s">
        <v>2</v>
      </c>
      <c r="H949" s="58"/>
      <c r="I949" s="3" t="s">
        <v>1</v>
      </c>
      <c r="J949" s="2" t="s">
        <v>42</v>
      </c>
      <c r="K949" s="21" t="s">
        <v>43</v>
      </c>
      <c r="L949" s="21" t="s">
        <v>44</v>
      </c>
      <c r="M949" s="24" t="s">
        <v>45</v>
      </c>
      <c r="N949" s="33" t="s">
        <v>46</v>
      </c>
      <c r="O949" s="3" t="s">
        <v>2</v>
      </c>
    </row>
    <row r="950" spans="1:15" ht="14.25" thickBot="1" x14ac:dyDescent="0.2">
      <c r="A950" s="72" t="s">
        <v>79</v>
      </c>
      <c r="B950" s="73">
        <f>B945</f>
        <v>4</v>
      </c>
      <c r="C950" s="74">
        <f t="shared" ref="C950:F950" si="256">C945</f>
        <v>5</v>
      </c>
      <c r="D950" s="107">
        <f t="shared" si="256"/>
        <v>4</v>
      </c>
      <c r="E950" s="75">
        <f t="shared" si="256"/>
        <v>7</v>
      </c>
      <c r="F950" s="75">
        <f t="shared" si="256"/>
        <v>0</v>
      </c>
      <c r="G950" s="76">
        <f t="shared" ref="G950:G959" si="257">SUM(B950:F950)</f>
        <v>20</v>
      </c>
      <c r="H950" s="58"/>
      <c r="I950" s="72" t="s">
        <v>79</v>
      </c>
      <c r="J950" s="73">
        <f>J945</f>
        <v>140</v>
      </c>
      <c r="K950" s="74">
        <f t="shared" ref="K950:N950" si="258">K945</f>
        <v>59</v>
      </c>
      <c r="L950" s="107">
        <f t="shared" si="258"/>
        <v>37</v>
      </c>
      <c r="M950" s="75">
        <f t="shared" si="258"/>
        <v>3</v>
      </c>
      <c r="N950" s="75">
        <f t="shared" si="258"/>
        <v>0</v>
      </c>
      <c r="O950" s="76">
        <f t="shared" ref="O950:O959" si="259">SUM(J950:N950)</f>
        <v>239</v>
      </c>
    </row>
    <row r="951" spans="1:15" x14ac:dyDescent="0.15">
      <c r="A951" s="15" t="s">
        <v>28</v>
      </c>
      <c r="B951" s="37"/>
      <c r="C951" s="35"/>
      <c r="D951" s="35"/>
      <c r="E951" s="35">
        <v>3</v>
      </c>
      <c r="F951" s="28"/>
      <c r="G951" s="7">
        <f t="shared" si="257"/>
        <v>3</v>
      </c>
      <c r="H951" s="58">
        <v>44861</v>
      </c>
      <c r="I951" s="15" t="s">
        <v>14</v>
      </c>
      <c r="J951" s="37"/>
      <c r="K951" s="35"/>
      <c r="L951" s="35"/>
      <c r="M951" s="35"/>
      <c r="N951" s="28"/>
      <c r="O951" s="7">
        <f t="shared" si="259"/>
        <v>0</v>
      </c>
    </row>
    <row r="952" spans="1:15" x14ac:dyDescent="0.15">
      <c r="A952" s="15" t="s">
        <v>28</v>
      </c>
      <c r="B952" s="8">
        <v>3</v>
      </c>
      <c r="C952" s="10">
        <v>3</v>
      </c>
      <c r="D952" s="10">
        <v>3</v>
      </c>
      <c r="E952" s="10"/>
      <c r="F952" s="28"/>
      <c r="G952" s="9">
        <f t="shared" si="257"/>
        <v>9</v>
      </c>
      <c r="H952" s="58">
        <v>44912</v>
      </c>
      <c r="I952" s="15" t="s">
        <v>3</v>
      </c>
      <c r="J952" s="8"/>
      <c r="K952" s="10"/>
      <c r="L952" s="10"/>
      <c r="M952" s="10"/>
      <c r="N952" s="28"/>
      <c r="O952" s="9">
        <f t="shared" si="259"/>
        <v>0</v>
      </c>
    </row>
    <row r="953" spans="1:15" x14ac:dyDescent="0.15">
      <c r="A953" s="15" t="s">
        <v>28</v>
      </c>
      <c r="B953" s="8"/>
      <c r="C953" s="10">
        <v>3</v>
      </c>
      <c r="D953" s="10">
        <v>3</v>
      </c>
      <c r="E953" s="10"/>
      <c r="F953" s="28"/>
      <c r="G953" s="9">
        <f t="shared" si="257"/>
        <v>6</v>
      </c>
      <c r="H953" s="58">
        <v>44958</v>
      </c>
      <c r="I953" s="15" t="s">
        <v>4</v>
      </c>
      <c r="J953" s="8"/>
      <c r="K953" s="45"/>
      <c r="L953" s="45"/>
      <c r="M953" s="45"/>
      <c r="N953" s="46"/>
      <c r="O953" s="9">
        <f t="shared" si="259"/>
        <v>0</v>
      </c>
    </row>
    <row r="954" spans="1:15" x14ac:dyDescent="0.15">
      <c r="A954" s="15" t="s">
        <v>28</v>
      </c>
      <c r="B954" s="8">
        <v>3</v>
      </c>
      <c r="C954" s="10">
        <v>3</v>
      </c>
      <c r="D954" s="10"/>
      <c r="E954" s="10"/>
      <c r="F954" s="28"/>
      <c r="G954" s="9">
        <f t="shared" ref="G954:G955" si="260">SUM(B954:F954)</f>
        <v>6</v>
      </c>
      <c r="H954" s="58">
        <v>45031</v>
      </c>
      <c r="I954" s="15" t="s">
        <v>5</v>
      </c>
      <c r="J954" s="8"/>
      <c r="K954" s="45"/>
      <c r="L954" s="45"/>
      <c r="M954" s="45"/>
      <c r="N954" s="46"/>
      <c r="O954" s="9">
        <f t="shared" si="259"/>
        <v>0</v>
      </c>
    </row>
    <row r="955" spans="1:15" x14ac:dyDescent="0.15">
      <c r="A955" s="15" t="s">
        <v>28</v>
      </c>
      <c r="B955" s="8"/>
      <c r="C955" s="10"/>
      <c r="D955" s="10"/>
      <c r="E955" s="10"/>
      <c r="F955" s="28"/>
      <c r="G955" s="9">
        <f t="shared" si="260"/>
        <v>0</v>
      </c>
      <c r="H955" s="58"/>
      <c r="I955" s="15" t="s">
        <v>6</v>
      </c>
      <c r="J955" s="8"/>
      <c r="K955" s="45"/>
      <c r="L955" s="45"/>
      <c r="M955" s="45"/>
      <c r="N955" s="46"/>
      <c r="O955" s="9">
        <f t="shared" si="259"/>
        <v>0</v>
      </c>
    </row>
    <row r="956" spans="1:15" x14ac:dyDescent="0.15">
      <c r="A956" s="15" t="s">
        <v>28</v>
      </c>
      <c r="B956" s="8"/>
      <c r="C956" s="10"/>
      <c r="D956" s="10"/>
      <c r="E956" s="10"/>
      <c r="F956" s="28"/>
      <c r="G956" s="9">
        <f t="shared" si="257"/>
        <v>0</v>
      </c>
      <c r="H956" s="58"/>
      <c r="I956" s="15" t="s">
        <v>84</v>
      </c>
      <c r="J956" s="8"/>
      <c r="K956" s="45"/>
      <c r="L956" s="45"/>
      <c r="M956" s="45"/>
      <c r="N956" s="46"/>
      <c r="O956" s="7">
        <f t="shared" si="259"/>
        <v>0</v>
      </c>
    </row>
    <row r="957" spans="1:15" x14ac:dyDescent="0.15">
      <c r="A957" s="15" t="s">
        <v>28</v>
      </c>
      <c r="B957" s="8"/>
      <c r="C957" s="10"/>
      <c r="D957" s="10"/>
      <c r="E957" s="10"/>
      <c r="F957" s="28"/>
      <c r="G957" s="9">
        <f t="shared" si="257"/>
        <v>0</v>
      </c>
      <c r="H957" s="58"/>
      <c r="I957" s="15" t="s">
        <v>85</v>
      </c>
      <c r="J957" s="8"/>
      <c r="K957" s="45"/>
      <c r="L957" s="45"/>
      <c r="M957" s="45"/>
      <c r="N957" s="46"/>
      <c r="O957" s="7">
        <f t="shared" si="259"/>
        <v>0</v>
      </c>
    </row>
    <row r="958" spans="1:15" x14ac:dyDescent="0.15">
      <c r="A958" s="15" t="s">
        <v>28</v>
      </c>
      <c r="B958" s="11"/>
      <c r="C958" s="100"/>
      <c r="D958" s="100"/>
      <c r="E958" s="100"/>
      <c r="F958" s="109"/>
      <c r="G958" s="9">
        <f t="shared" si="257"/>
        <v>0</v>
      </c>
      <c r="H958" s="58"/>
      <c r="I958" s="15" t="s">
        <v>86</v>
      </c>
      <c r="J958" s="8"/>
      <c r="K958" s="45"/>
      <c r="L958" s="45"/>
      <c r="M958" s="45"/>
      <c r="N958" s="46"/>
      <c r="O958" s="102">
        <f t="shared" si="259"/>
        <v>0</v>
      </c>
    </row>
    <row r="959" spans="1:15" ht="14.25" thickBot="1" x14ac:dyDescent="0.2">
      <c r="A959" s="15"/>
      <c r="B959" s="11">
        <v>1</v>
      </c>
      <c r="C959" s="100"/>
      <c r="D959" s="100"/>
      <c r="E959" s="100"/>
      <c r="F959" s="109"/>
      <c r="G959" s="115">
        <f t="shared" si="257"/>
        <v>1</v>
      </c>
      <c r="H959" s="58">
        <v>44938</v>
      </c>
      <c r="I959" s="15" t="s">
        <v>87</v>
      </c>
      <c r="J959" s="47"/>
      <c r="K959" s="48"/>
      <c r="L959" s="48"/>
      <c r="M959" s="48"/>
      <c r="N959" s="49"/>
      <c r="O959" s="40">
        <f t="shared" si="259"/>
        <v>0</v>
      </c>
    </row>
    <row r="960" spans="1:15" ht="14.25" thickBot="1" x14ac:dyDescent="0.2">
      <c r="A960" s="72" t="s">
        <v>7</v>
      </c>
      <c r="B960" s="73">
        <f>SUM(B950:B959)</f>
        <v>11</v>
      </c>
      <c r="C960" s="74">
        <f t="shared" ref="C960:G960" si="261">SUM(C950:C959)</f>
        <v>14</v>
      </c>
      <c r="D960" s="74">
        <f t="shared" si="261"/>
        <v>10</v>
      </c>
      <c r="E960" s="74">
        <f t="shared" si="261"/>
        <v>10</v>
      </c>
      <c r="F960" s="105">
        <f t="shared" si="261"/>
        <v>0</v>
      </c>
      <c r="G960" s="76">
        <f t="shared" si="261"/>
        <v>45</v>
      </c>
      <c r="H960" s="58"/>
      <c r="I960" s="72" t="s">
        <v>7</v>
      </c>
      <c r="J960" s="73">
        <f>SUM(J950:J959)</f>
        <v>140</v>
      </c>
      <c r="K960" s="74">
        <f t="shared" ref="K960:O960" si="262">SUM(K950:K959)</f>
        <v>59</v>
      </c>
      <c r="L960" s="74">
        <f t="shared" si="262"/>
        <v>37</v>
      </c>
      <c r="M960" s="74">
        <f t="shared" si="262"/>
        <v>3</v>
      </c>
      <c r="N960" s="105">
        <f t="shared" si="262"/>
        <v>0</v>
      </c>
      <c r="O960" s="76">
        <f t="shared" si="262"/>
        <v>239</v>
      </c>
    </row>
    <row r="961" spans="1:16" x14ac:dyDescent="0.15">
      <c r="A961" s="50" t="s">
        <v>29</v>
      </c>
      <c r="B961" s="8"/>
      <c r="C961" s="10"/>
      <c r="D961" s="10"/>
      <c r="E961" s="10">
        <v>1</v>
      </c>
      <c r="F961" s="30"/>
      <c r="G961" s="7">
        <f t="shared" ref="G961:G963" si="263">SUM(B961:F961)</f>
        <v>1</v>
      </c>
      <c r="H961" s="58">
        <v>44810</v>
      </c>
      <c r="I961" s="16" t="s">
        <v>1482</v>
      </c>
      <c r="J961" s="8"/>
      <c r="K961" s="10"/>
      <c r="L961" s="10"/>
      <c r="M961" s="10">
        <v>3</v>
      </c>
      <c r="N961" s="28"/>
      <c r="O961" s="9">
        <f t="shared" ref="O961" si="264">SUM(J961:N961)</f>
        <v>3</v>
      </c>
      <c r="P961" s="58">
        <v>44861</v>
      </c>
    </row>
    <row r="962" spans="1:16" x14ac:dyDescent="0.15">
      <c r="A962" s="50" t="s">
        <v>29</v>
      </c>
      <c r="B962" s="11"/>
      <c r="C962" s="12"/>
      <c r="D962" s="12">
        <v>1</v>
      </c>
      <c r="E962" s="12"/>
      <c r="F962" s="31"/>
      <c r="G962" s="7">
        <f t="shared" si="263"/>
        <v>1</v>
      </c>
      <c r="H962" s="58">
        <v>44816</v>
      </c>
      <c r="I962" s="16" t="s">
        <v>24</v>
      </c>
      <c r="J962" s="8">
        <v>3</v>
      </c>
      <c r="K962" s="10">
        <v>3</v>
      </c>
      <c r="L962" s="10">
        <v>3</v>
      </c>
      <c r="M962" s="10"/>
      <c r="N962" s="30"/>
      <c r="O962" s="7">
        <f t="shared" ref="O962:O986" si="265">SUM(J962:N962)</f>
        <v>9</v>
      </c>
      <c r="P962" s="58">
        <v>44912</v>
      </c>
    </row>
    <row r="963" spans="1:16" x14ac:dyDescent="0.15">
      <c r="A963" s="50" t="s">
        <v>29</v>
      </c>
      <c r="B963" s="8">
        <v>1</v>
      </c>
      <c r="C963" s="10"/>
      <c r="D963" s="10"/>
      <c r="E963" s="10"/>
      <c r="F963" s="30"/>
      <c r="G963" s="7">
        <f t="shared" si="263"/>
        <v>1</v>
      </c>
      <c r="H963" s="58">
        <v>44830</v>
      </c>
      <c r="I963" s="16" t="s">
        <v>24</v>
      </c>
      <c r="J963" s="8"/>
      <c r="K963" s="10">
        <v>3</v>
      </c>
      <c r="L963" s="10">
        <v>3</v>
      </c>
      <c r="M963" s="10"/>
      <c r="N963" s="28"/>
      <c r="O963" s="9">
        <f t="shared" si="265"/>
        <v>6</v>
      </c>
      <c r="P963" s="58">
        <v>44958</v>
      </c>
    </row>
    <row r="964" spans="1:16" x14ac:dyDescent="0.15">
      <c r="A964" s="50" t="s">
        <v>29</v>
      </c>
      <c r="B964" s="8"/>
      <c r="C964" s="10">
        <v>1</v>
      </c>
      <c r="D964" s="10"/>
      <c r="E964" s="10"/>
      <c r="F964" s="30"/>
      <c r="G964" s="7">
        <f t="shared" ref="G964:G986" si="266">SUM(B964:F964)</f>
        <v>1</v>
      </c>
      <c r="H964" s="58">
        <v>44837</v>
      </c>
      <c r="I964" s="16" t="s">
        <v>24</v>
      </c>
      <c r="J964" s="8">
        <v>3</v>
      </c>
      <c r="K964" s="10">
        <v>3</v>
      </c>
      <c r="L964" s="10"/>
      <c r="M964" s="10"/>
      <c r="N964" s="30"/>
      <c r="O964" s="7">
        <f t="shared" si="265"/>
        <v>6</v>
      </c>
      <c r="P964" s="58">
        <v>45031</v>
      </c>
    </row>
    <row r="965" spans="1:16" x14ac:dyDescent="0.15">
      <c r="A965" s="50" t="s">
        <v>29</v>
      </c>
      <c r="B965" s="8"/>
      <c r="C965" s="10"/>
      <c r="D965" s="10"/>
      <c r="E965" s="10">
        <v>1</v>
      </c>
      <c r="F965" s="30"/>
      <c r="G965" s="7">
        <f t="shared" si="266"/>
        <v>1</v>
      </c>
      <c r="H965" s="58">
        <v>44860</v>
      </c>
      <c r="I965" s="16"/>
      <c r="J965" s="8"/>
      <c r="K965" s="10"/>
      <c r="L965" s="10"/>
      <c r="M965" s="10"/>
      <c r="N965" s="28"/>
      <c r="O965" s="9">
        <f t="shared" si="265"/>
        <v>0</v>
      </c>
      <c r="P965" s="56"/>
    </row>
    <row r="966" spans="1:16" x14ac:dyDescent="0.15">
      <c r="A966" s="50" t="s">
        <v>29</v>
      </c>
      <c r="B966" s="8"/>
      <c r="C966" s="10">
        <v>1</v>
      </c>
      <c r="D966" s="10"/>
      <c r="E966" s="10"/>
      <c r="F966" s="30"/>
      <c r="G966" s="7">
        <f t="shared" si="266"/>
        <v>1</v>
      </c>
      <c r="H966" s="58">
        <v>44869</v>
      </c>
      <c r="I966" s="16"/>
      <c r="J966" s="8"/>
      <c r="K966" s="10"/>
      <c r="L966" s="10"/>
      <c r="M966" s="10"/>
      <c r="N966" s="28"/>
      <c r="O966" s="9">
        <f t="shared" si="265"/>
        <v>0</v>
      </c>
    </row>
    <row r="967" spans="1:16" x14ac:dyDescent="0.15">
      <c r="A967" s="50" t="s">
        <v>29</v>
      </c>
      <c r="B967" s="11"/>
      <c r="C967" s="12">
        <v>1</v>
      </c>
      <c r="D967" s="12"/>
      <c r="E967" s="12"/>
      <c r="F967" s="31"/>
      <c r="G967" s="7">
        <f t="shared" si="266"/>
        <v>1</v>
      </c>
      <c r="H967" s="58">
        <v>44879</v>
      </c>
      <c r="I967" s="16"/>
      <c r="J967" s="8"/>
      <c r="K967" s="10"/>
      <c r="L967" s="10"/>
      <c r="M967" s="10"/>
      <c r="N967" s="28"/>
      <c r="O967" s="9">
        <f t="shared" si="265"/>
        <v>0</v>
      </c>
    </row>
    <row r="968" spans="1:16" x14ac:dyDescent="0.15">
      <c r="A968" s="50" t="s">
        <v>29</v>
      </c>
      <c r="B968" s="11"/>
      <c r="C968" s="12"/>
      <c r="D968" s="12"/>
      <c r="E968" s="12">
        <v>1</v>
      </c>
      <c r="F968" s="31"/>
      <c r="G968" s="7">
        <f t="shared" si="266"/>
        <v>1</v>
      </c>
      <c r="H968" s="58">
        <v>44897</v>
      </c>
      <c r="I968" s="16"/>
      <c r="J968" s="11"/>
      <c r="K968" s="100"/>
      <c r="L968" s="100"/>
      <c r="M968" s="100"/>
      <c r="N968" s="109"/>
      <c r="O968" s="9">
        <f t="shared" si="265"/>
        <v>0</v>
      </c>
    </row>
    <row r="969" spans="1:16" x14ac:dyDescent="0.15">
      <c r="A969" s="50" t="s">
        <v>29</v>
      </c>
      <c r="B969" s="8">
        <v>1</v>
      </c>
      <c r="C969" s="10"/>
      <c r="D969" s="10"/>
      <c r="E969" s="10"/>
      <c r="F969" s="30"/>
      <c r="G969" s="7">
        <f t="shared" si="266"/>
        <v>1</v>
      </c>
      <c r="H969" s="58">
        <v>44911</v>
      </c>
      <c r="I969" s="15"/>
      <c r="J969" s="11"/>
      <c r="K969" s="12"/>
      <c r="L969" s="12"/>
      <c r="M969" s="12"/>
      <c r="N969" s="31"/>
      <c r="O969" s="7">
        <f t="shared" si="265"/>
        <v>0</v>
      </c>
    </row>
    <row r="970" spans="1:16" x14ac:dyDescent="0.15">
      <c r="A970" s="50" t="s">
        <v>29</v>
      </c>
      <c r="B970" s="11">
        <v>1</v>
      </c>
      <c r="C970" s="12"/>
      <c r="D970" s="12">
        <v>2</v>
      </c>
      <c r="E970" s="12"/>
      <c r="F970" s="31"/>
      <c r="G970" s="7">
        <f t="shared" si="266"/>
        <v>3</v>
      </c>
      <c r="H970" s="58">
        <v>44936</v>
      </c>
      <c r="I970" s="16"/>
      <c r="J970" s="8"/>
      <c r="K970" s="10"/>
      <c r="L970" s="10"/>
      <c r="M970" s="10"/>
      <c r="N970" s="30"/>
      <c r="O970" s="7">
        <f t="shared" si="265"/>
        <v>0</v>
      </c>
    </row>
    <row r="971" spans="1:16" x14ac:dyDescent="0.15">
      <c r="A971" s="50" t="s">
        <v>29</v>
      </c>
      <c r="B971" s="8"/>
      <c r="C971" s="10"/>
      <c r="D971" s="10">
        <v>1</v>
      </c>
      <c r="E971" s="10"/>
      <c r="F971" s="30"/>
      <c r="G971" s="7">
        <f t="shared" si="266"/>
        <v>1</v>
      </c>
      <c r="H971" s="58">
        <v>44937</v>
      </c>
      <c r="I971" s="16"/>
      <c r="J971" s="8"/>
      <c r="K971" s="10"/>
      <c r="L971" s="10"/>
      <c r="M971" s="10"/>
      <c r="N971" s="30"/>
      <c r="O971" s="7">
        <f t="shared" si="265"/>
        <v>0</v>
      </c>
    </row>
    <row r="972" spans="1:16" x14ac:dyDescent="0.15">
      <c r="A972" s="50" t="s">
        <v>29</v>
      </c>
      <c r="B972" s="8"/>
      <c r="C972" s="10">
        <v>1</v>
      </c>
      <c r="D972" s="10"/>
      <c r="E972" s="10">
        <v>1</v>
      </c>
      <c r="F972" s="30"/>
      <c r="G972" s="7">
        <f t="shared" si="266"/>
        <v>2</v>
      </c>
      <c r="H972" s="58">
        <v>44946</v>
      </c>
      <c r="I972" s="16"/>
      <c r="J972" s="8"/>
      <c r="K972" s="10"/>
      <c r="L972" s="10"/>
      <c r="M972" s="10"/>
      <c r="N972" s="30"/>
      <c r="O972" s="7">
        <f t="shared" si="265"/>
        <v>0</v>
      </c>
    </row>
    <row r="973" spans="1:16" x14ac:dyDescent="0.15">
      <c r="A973" s="50" t="s">
        <v>29</v>
      </c>
      <c r="B973" s="8"/>
      <c r="C973" s="10">
        <v>1</v>
      </c>
      <c r="D973" s="10"/>
      <c r="E973" s="10"/>
      <c r="F973" s="30"/>
      <c r="G973" s="7">
        <f t="shared" si="266"/>
        <v>1</v>
      </c>
      <c r="H973" s="58">
        <v>44951</v>
      </c>
      <c r="I973" s="16"/>
      <c r="J973" s="8"/>
      <c r="K973" s="10"/>
      <c r="L973" s="10"/>
      <c r="M973" s="10"/>
      <c r="N973" s="30"/>
      <c r="O973" s="7">
        <f t="shared" si="265"/>
        <v>0</v>
      </c>
    </row>
    <row r="974" spans="1:16" x14ac:dyDescent="0.15">
      <c r="A974" s="50" t="s">
        <v>29</v>
      </c>
      <c r="B974" s="8"/>
      <c r="C974" s="10">
        <v>1</v>
      </c>
      <c r="D974" s="10"/>
      <c r="E974" s="10"/>
      <c r="F974" s="30"/>
      <c r="G974" s="7">
        <f t="shared" si="266"/>
        <v>1</v>
      </c>
      <c r="H974" s="58">
        <v>44956</v>
      </c>
      <c r="I974" s="16"/>
      <c r="J974" s="8"/>
      <c r="K974" s="10"/>
      <c r="L974" s="10"/>
      <c r="M974" s="10"/>
      <c r="N974" s="30"/>
      <c r="O974" s="7">
        <f t="shared" si="265"/>
        <v>0</v>
      </c>
    </row>
    <row r="975" spans="1:16" x14ac:dyDescent="0.15">
      <c r="A975" s="50" t="s">
        <v>29</v>
      </c>
      <c r="B975" s="8"/>
      <c r="C975" s="10">
        <v>1</v>
      </c>
      <c r="D975" s="10"/>
      <c r="E975" s="10"/>
      <c r="F975" s="30"/>
      <c r="G975" s="7">
        <f t="shared" si="266"/>
        <v>1</v>
      </c>
      <c r="H975" s="58">
        <v>44964</v>
      </c>
      <c r="I975" s="51"/>
      <c r="J975" s="8"/>
      <c r="K975" s="10"/>
      <c r="L975" s="10"/>
      <c r="M975" s="10"/>
      <c r="N975" s="30"/>
      <c r="O975" s="7">
        <f t="shared" si="265"/>
        <v>0</v>
      </c>
    </row>
    <row r="976" spans="1:16" x14ac:dyDescent="0.15">
      <c r="A976" s="50" t="s">
        <v>29</v>
      </c>
      <c r="B976" s="8"/>
      <c r="C976" s="10">
        <v>1</v>
      </c>
      <c r="D976" s="10"/>
      <c r="E976" s="10"/>
      <c r="F976" s="30"/>
      <c r="G976" s="7">
        <f t="shared" si="266"/>
        <v>1</v>
      </c>
      <c r="H976" s="58">
        <v>44966</v>
      </c>
      <c r="I976" s="16"/>
      <c r="J976" s="8"/>
      <c r="K976" s="10"/>
      <c r="L976" s="10"/>
      <c r="M976" s="10"/>
      <c r="N976" s="30"/>
      <c r="O976" s="7">
        <f t="shared" si="265"/>
        <v>0</v>
      </c>
    </row>
    <row r="977" spans="1:15" x14ac:dyDescent="0.15">
      <c r="A977" s="50" t="s">
        <v>29</v>
      </c>
      <c r="B977" s="8">
        <v>1</v>
      </c>
      <c r="C977" s="10"/>
      <c r="D977" s="10"/>
      <c r="E977" s="10">
        <v>1</v>
      </c>
      <c r="F977" s="30"/>
      <c r="G977" s="7">
        <f t="shared" si="266"/>
        <v>2</v>
      </c>
      <c r="H977" s="58">
        <v>44971</v>
      </c>
      <c r="I977" s="16"/>
      <c r="J977" s="8"/>
      <c r="K977" s="10"/>
      <c r="L977" s="10"/>
      <c r="M977" s="10"/>
      <c r="N977" s="30"/>
      <c r="O977" s="7">
        <f t="shared" si="265"/>
        <v>0</v>
      </c>
    </row>
    <row r="978" spans="1:15" x14ac:dyDescent="0.15">
      <c r="A978" s="50" t="s">
        <v>29</v>
      </c>
      <c r="B978" s="8"/>
      <c r="C978" s="10"/>
      <c r="D978" s="10">
        <v>1</v>
      </c>
      <c r="E978" s="10">
        <v>1</v>
      </c>
      <c r="F978" s="30"/>
      <c r="G978" s="7">
        <f t="shared" si="266"/>
        <v>2</v>
      </c>
      <c r="H978" s="58">
        <v>44978</v>
      </c>
      <c r="I978" s="16"/>
      <c r="J978" s="8"/>
      <c r="K978" s="10"/>
      <c r="L978" s="10"/>
      <c r="M978" s="10"/>
      <c r="N978" s="30"/>
      <c r="O978" s="7">
        <f t="shared" si="265"/>
        <v>0</v>
      </c>
    </row>
    <row r="979" spans="1:15" x14ac:dyDescent="0.15">
      <c r="A979" s="50" t="s">
        <v>29</v>
      </c>
      <c r="B979" s="8"/>
      <c r="C979" s="10"/>
      <c r="D979" s="10"/>
      <c r="E979" s="10">
        <v>1</v>
      </c>
      <c r="F979" s="30"/>
      <c r="G979" s="7">
        <f t="shared" si="266"/>
        <v>1</v>
      </c>
      <c r="H979" s="58">
        <v>44995</v>
      </c>
      <c r="I979" s="16"/>
      <c r="J979" s="8"/>
      <c r="K979" s="10"/>
      <c r="L979" s="10"/>
      <c r="M979" s="10"/>
      <c r="N979" s="30"/>
      <c r="O979" s="7">
        <f t="shared" si="265"/>
        <v>0</v>
      </c>
    </row>
    <row r="980" spans="1:15" x14ac:dyDescent="0.15">
      <c r="A980" s="50" t="s">
        <v>29</v>
      </c>
      <c r="B980" s="8"/>
      <c r="C980" s="10">
        <v>1</v>
      </c>
      <c r="D980" s="10"/>
      <c r="E980" s="10"/>
      <c r="F980" s="30"/>
      <c r="G980" s="7">
        <f t="shared" si="266"/>
        <v>1</v>
      </c>
      <c r="H980" s="58">
        <v>45000</v>
      </c>
      <c r="I980" s="16"/>
      <c r="J980" s="8"/>
      <c r="K980" s="10"/>
      <c r="L980" s="10"/>
      <c r="M980" s="10"/>
      <c r="N980" s="30"/>
      <c r="O980" s="7">
        <f t="shared" si="265"/>
        <v>0</v>
      </c>
    </row>
    <row r="981" spans="1:15" x14ac:dyDescent="0.15">
      <c r="A981" s="50" t="s">
        <v>29</v>
      </c>
      <c r="B981" s="8"/>
      <c r="C981" s="10"/>
      <c r="D981" s="10">
        <v>2</v>
      </c>
      <c r="E981" s="10"/>
      <c r="F981" s="30"/>
      <c r="G981" s="7">
        <f t="shared" si="266"/>
        <v>2</v>
      </c>
      <c r="H981" s="58">
        <v>45012</v>
      </c>
      <c r="I981" s="16"/>
      <c r="J981" s="8"/>
      <c r="K981" s="10"/>
      <c r="L981" s="10"/>
      <c r="M981" s="10"/>
      <c r="N981" s="30"/>
      <c r="O981" s="7">
        <f t="shared" si="265"/>
        <v>0</v>
      </c>
    </row>
    <row r="982" spans="1:15" x14ac:dyDescent="0.15">
      <c r="A982" s="50" t="s">
        <v>29</v>
      </c>
      <c r="B982" s="11"/>
      <c r="C982" s="12">
        <v>1</v>
      </c>
      <c r="D982" s="12"/>
      <c r="E982" s="12"/>
      <c r="F982" s="31"/>
      <c r="G982" s="7">
        <f t="shared" si="266"/>
        <v>1</v>
      </c>
      <c r="H982" s="58">
        <v>45023</v>
      </c>
      <c r="I982" s="50"/>
      <c r="J982" s="8"/>
      <c r="K982" s="10"/>
      <c r="L982" s="10"/>
      <c r="M982" s="10"/>
      <c r="N982" s="30"/>
      <c r="O982" s="7">
        <f t="shared" si="265"/>
        <v>0</v>
      </c>
    </row>
    <row r="983" spans="1:15" x14ac:dyDescent="0.15">
      <c r="A983" s="50" t="s">
        <v>29</v>
      </c>
      <c r="B983" s="8">
        <v>1</v>
      </c>
      <c r="C983" s="10"/>
      <c r="D983" s="10"/>
      <c r="E983" s="10"/>
      <c r="F983" s="30"/>
      <c r="G983" s="7">
        <f t="shared" si="266"/>
        <v>1</v>
      </c>
      <c r="H983" s="58">
        <v>45026</v>
      </c>
      <c r="I983" s="50"/>
      <c r="J983" s="8"/>
      <c r="K983" s="10"/>
      <c r="L983" s="10"/>
      <c r="M983" s="10"/>
      <c r="N983" s="30"/>
      <c r="O983" s="7">
        <f t="shared" si="265"/>
        <v>0</v>
      </c>
    </row>
    <row r="984" spans="1:15" x14ac:dyDescent="0.15">
      <c r="A984" s="50" t="s">
        <v>29</v>
      </c>
      <c r="B984" s="8">
        <v>1</v>
      </c>
      <c r="C984" s="10"/>
      <c r="D984" s="10"/>
      <c r="E984" s="10"/>
      <c r="F984" s="30"/>
      <c r="G984" s="7">
        <f t="shared" si="266"/>
        <v>1</v>
      </c>
      <c r="H984" s="58">
        <v>45030</v>
      </c>
      <c r="I984" s="16"/>
      <c r="J984" s="8"/>
      <c r="K984" s="10"/>
      <c r="L984" s="10"/>
      <c r="M984" s="10"/>
      <c r="N984" s="30"/>
      <c r="O984" s="7">
        <f t="shared" si="265"/>
        <v>0</v>
      </c>
    </row>
    <row r="985" spans="1:15" x14ac:dyDescent="0.15">
      <c r="A985" s="50" t="s">
        <v>29</v>
      </c>
      <c r="B985" s="8"/>
      <c r="C985" s="10"/>
      <c r="D985" s="10">
        <v>1</v>
      </c>
      <c r="E985" s="10"/>
      <c r="F985" s="30"/>
      <c r="G985" s="7">
        <f t="shared" si="266"/>
        <v>1</v>
      </c>
      <c r="H985" s="58">
        <v>45035</v>
      </c>
      <c r="I985" s="39"/>
      <c r="J985" s="8"/>
      <c r="K985" s="10"/>
      <c r="L985" s="10"/>
      <c r="M985" s="10"/>
      <c r="N985" s="30"/>
      <c r="O985" s="7">
        <f t="shared" si="265"/>
        <v>0</v>
      </c>
    </row>
    <row r="986" spans="1:15" ht="14.25" thickBot="1" x14ac:dyDescent="0.2">
      <c r="A986" s="50" t="s">
        <v>29</v>
      </c>
      <c r="B986" s="11"/>
      <c r="C986" s="12">
        <v>1</v>
      </c>
      <c r="D986" s="12"/>
      <c r="E986" s="12"/>
      <c r="F986" s="31"/>
      <c r="G986" s="7">
        <f t="shared" si="266"/>
        <v>1</v>
      </c>
      <c r="H986" s="58">
        <v>45042</v>
      </c>
      <c r="I986" s="14"/>
      <c r="J986" s="8"/>
      <c r="K986" s="10"/>
      <c r="L986" s="10"/>
      <c r="M986" s="10"/>
      <c r="N986" s="30"/>
      <c r="O986" s="7">
        <f t="shared" si="265"/>
        <v>0</v>
      </c>
    </row>
    <row r="987" spans="1:15" ht="14.25" thickBot="1" x14ac:dyDescent="0.2">
      <c r="A987" s="3" t="s">
        <v>11</v>
      </c>
      <c r="B987" s="23">
        <f>SUM(B961:B986)</f>
        <v>6</v>
      </c>
      <c r="C987" s="4">
        <f>SUM(C961:C986)</f>
        <v>11</v>
      </c>
      <c r="D987" s="4">
        <f>SUM(D961:D986)</f>
        <v>8</v>
      </c>
      <c r="E987" s="6">
        <f>SUM(E961:E986)</f>
        <v>7</v>
      </c>
      <c r="F987" s="205">
        <f>SUM(F961:F986)</f>
        <v>0</v>
      </c>
      <c r="G987" s="5">
        <f>SUM(B987:F987)</f>
        <v>32</v>
      </c>
      <c r="H987" s="58"/>
      <c r="I987" s="3" t="s">
        <v>11</v>
      </c>
      <c r="J987" s="23">
        <f>SUM(J961:J986)</f>
        <v>6</v>
      </c>
      <c r="K987" s="4">
        <f>SUM(K961:K986)</f>
        <v>9</v>
      </c>
      <c r="L987" s="4">
        <f>SUM(L961:L986)</f>
        <v>6</v>
      </c>
      <c r="M987" s="204">
        <f>SUM(M961:M986)</f>
        <v>3</v>
      </c>
      <c r="N987" s="205">
        <f>SUM(N961:N986)</f>
        <v>0</v>
      </c>
      <c r="O987" s="5">
        <f>SUM(J987:N987)</f>
        <v>24</v>
      </c>
    </row>
    <row r="988" spans="1:15" ht="14.25" thickBot="1" x14ac:dyDescent="0.2">
      <c r="A988" s="25" t="s">
        <v>12</v>
      </c>
      <c r="B988" s="63">
        <f>B960-B987</f>
        <v>5</v>
      </c>
      <c r="C988" s="26">
        <f t="shared" ref="C988:G988" si="267">C960-C987</f>
        <v>3</v>
      </c>
      <c r="D988" s="71">
        <f t="shared" si="267"/>
        <v>2</v>
      </c>
      <c r="E988" s="26">
        <f t="shared" si="267"/>
        <v>3</v>
      </c>
      <c r="F988" s="208">
        <f t="shared" si="267"/>
        <v>0</v>
      </c>
      <c r="G988" s="27">
        <f t="shared" si="267"/>
        <v>13</v>
      </c>
      <c r="H988" s="58"/>
      <c r="I988" s="25" t="s">
        <v>12</v>
      </c>
      <c r="J988" s="63">
        <f>J960-J987</f>
        <v>134</v>
      </c>
      <c r="K988" s="26">
        <f t="shared" ref="K988:O988" si="268">K960-K987</f>
        <v>50</v>
      </c>
      <c r="L988" s="71">
        <f t="shared" si="268"/>
        <v>31</v>
      </c>
      <c r="M988" s="206">
        <f t="shared" si="268"/>
        <v>0</v>
      </c>
      <c r="N988" s="208">
        <f t="shared" si="268"/>
        <v>0</v>
      </c>
      <c r="O988" s="27">
        <f t="shared" si="268"/>
        <v>215</v>
      </c>
    </row>
    <row r="989" spans="1:15" ht="21" x14ac:dyDescent="0.2">
      <c r="A989" s="86" t="s">
        <v>50</v>
      </c>
      <c r="B989" s="87"/>
      <c r="C989" s="87"/>
      <c r="D989" s="87"/>
      <c r="E989" s="87"/>
      <c r="F989" s="87"/>
      <c r="G989" s="87"/>
      <c r="H989" s="58"/>
      <c r="I989" s="86" t="s">
        <v>50</v>
      </c>
      <c r="J989" s="87"/>
      <c r="K989" s="87"/>
      <c r="L989" s="87"/>
      <c r="M989" s="87"/>
      <c r="N989" s="87"/>
      <c r="O989" s="87"/>
    </row>
    <row r="990" spans="1:15" ht="21.75" thickBot="1" x14ac:dyDescent="0.25">
      <c r="A990" s="86" t="s">
        <v>51</v>
      </c>
      <c r="B990" s="87"/>
      <c r="C990" s="87"/>
      <c r="D990" s="87"/>
      <c r="E990" s="85"/>
      <c r="F990" s="88" t="s">
        <v>53</v>
      </c>
      <c r="G990" s="87"/>
      <c r="H990" s="58"/>
      <c r="I990" s="86" t="s">
        <v>51</v>
      </c>
      <c r="J990" s="87"/>
      <c r="K990" s="87"/>
      <c r="L990" s="87"/>
      <c r="M990" s="89"/>
      <c r="N990" s="88" t="s">
        <v>54</v>
      </c>
      <c r="O990" s="87"/>
    </row>
    <row r="991" spans="1:15" ht="14.25" thickBot="1" x14ac:dyDescent="0.2">
      <c r="A991" s="13" t="s">
        <v>0</v>
      </c>
      <c r="B991" s="228" t="s">
        <v>52</v>
      </c>
      <c r="C991" s="229"/>
      <c r="D991" s="229"/>
      <c r="E991" s="229"/>
      <c r="F991" s="230"/>
      <c r="G991" s="231"/>
      <c r="H991" s="58"/>
      <c r="I991" s="13" t="s">
        <v>0</v>
      </c>
      <c r="J991" s="228" t="s">
        <v>52</v>
      </c>
      <c r="K991" s="229"/>
      <c r="L991" s="229"/>
      <c r="M991" s="229"/>
      <c r="N991" s="230"/>
      <c r="O991" s="231"/>
    </row>
    <row r="992" spans="1:15" ht="14.25" thickBot="1" x14ac:dyDescent="0.2">
      <c r="A992" s="3" t="s">
        <v>1</v>
      </c>
      <c r="B992" s="2" t="s">
        <v>42</v>
      </c>
      <c r="C992" s="21" t="s">
        <v>43</v>
      </c>
      <c r="D992" s="21" t="s">
        <v>44</v>
      </c>
      <c r="E992" s="24" t="s">
        <v>45</v>
      </c>
      <c r="F992" s="33" t="s">
        <v>46</v>
      </c>
      <c r="G992" s="3" t="s">
        <v>2</v>
      </c>
      <c r="H992" s="58"/>
      <c r="I992" s="3" t="s">
        <v>1</v>
      </c>
      <c r="J992" s="2" t="s">
        <v>42</v>
      </c>
      <c r="K992" s="21" t="s">
        <v>43</v>
      </c>
      <c r="L992" s="21" t="s">
        <v>44</v>
      </c>
      <c r="M992" s="24" t="s">
        <v>45</v>
      </c>
      <c r="N992" s="33" t="s">
        <v>46</v>
      </c>
      <c r="O992" s="3" t="s">
        <v>2</v>
      </c>
    </row>
    <row r="993" spans="1:18" ht="14.25" thickBot="1" x14ac:dyDescent="0.2">
      <c r="A993" s="72" t="s">
        <v>79</v>
      </c>
      <c r="B993" s="73">
        <f>B988</f>
        <v>5</v>
      </c>
      <c r="C993" s="74">
        <f t="shared" ref="C993:F993" si="269">C988</f>
        <v>3</v>
      </c>
      <c r="D993" s="107">
        <f t="shared" si="269"/>
        <v>2</v>
      </c>
      <c r="E993" s="75">
        <f t="shared" si="269"/>
        <v>3</v>
      </c>
      <c r="F993" s="75">
        <f t="shared" si="269"/>
        <v>0</v>
      </c>
      <c r="G993" s="76">
        <f t="shared" ref="G993:G1002" si="270">SUM(B993:F993)</f>
        <v>13</v>
      </c>
      <c r="H993" s="58"/>
      <c r="I993" s="72" t="s">
        <v>79</v>
      </c>
      <c r="J993" s="73">
        <f>J988</f>
        <v>134</v>
      </c>
      <c r="K993" s="74">
        <f t="shared" ref="K993:N993" si="271">K988</f>
        <v>50</v>
      </c>
      <c r="L993" s="107">
        <f t="shared" si="271"/>
        <v>31</v>
      </c>
      <c r="M993" s="75">
        <f t="shared" si="271"/>
        <v>0</v>
      </c>
      <c r="N993" s="75">
        <f t="shared" si="271"/>
        <v>0</v>
      </c>
      <c r="O993" s="76">
        <f t="shared" ref="O993:O1002" si="272">SUM(J993:N993)</f>
        <v>215</v>
      </c>
    </row>
    <row r="994" spans="1:18" x14ac:dyDescent="0.15">
      <c r="A994" s="15" t="s">
        <v>28</v>
      </c>
      <c r="B994" s="11"/>
      <c r="C994" s="100">
        <v>3</v>
      </c>
      <c r="D994" s="100">
        <v>5</v>
      </c>
      <c r="E994" s="100"/>
      <c r="F994" s="109"/>
      <c r="G994" s="9">
        <f t="shared" ref="G994:G1000" si="273">SUM(B994:F994)</f>
        <v>8</v>
      </c>
      <c r="H994" s="58">
        <v>45059</v>
      </c>
      <c r="I994" s="15" t="s">
        <v>14</v>
      </c>
      <c r="J994" s="37"/>
      <c r="K994" s="35"/>
      <c r="L994" s="35"/>
      <c r="M994" s="35"/>
      <c r="N994" s="28"/>
      <c r="O994" s="7">
        <f t="shared" si="272"/>
        <v>0</v>
      </c>
    </row>
    <row r="995" spans="1:18" x14ac:dyDescent="0.15">
      <c r="A995" s="15" t="s">
        <v>28</v>
      </c>
      <c r="B995" s="11">
        <v>2</v>
      </c>
      <c r="C995" s="100">
        <v>2</v>
      </c>
      <c r="D995" s="100">
        <v>2</v>
      </c>
      <c r="E995" s="100"/>
      <c r="F995" s="109"/>
      <c r="G995" s="9">
        <f t="shared" si="273"/>
        <v>6</v>
      </c>
      <c r="H995" s="58">
        <v>45128</v>
      </c>
      <c r="I995" s="15" t="s">
        <v>3</v>
      </c>
      <c r="J995" s="8"/>
      <c r="K995" s="10"/>
      <c r="L995" s="10"/>
      <c r="M995" s="10"/>
      <c r="N995" s="28"/>
      <c r="O995" s="9">
        <f t="shared" si="272"/>
        <v>0</v>
      </c>
    </row>
    <row r="996" spans="1:18" x14ac:dyDescent="0.15">
      <c r="A996" s="15" t="s">
        <v>28</v>
      </c>
      <c r="B996" s="11"/>
      <c r="C996" s="100">
        <v>2</v>
      </c>
      <c r="D996" s="100">
        <v>2</v>
      </c>
      <c r="E996" s="100"/>
      <c r="F996" s="109"/>
      <c r="G996" s="9">
        <f t="shared" si="273"/>
        <v>4</v>
      </c>
      <c r="H996" s="58">
        <v>45148</v>
      </c>
      <c r="I996" s="15" t="s">
        <v>4</v>
      </c>
      <c r="J996" s="8"/>
      <c r="K996" s="45"/>
      <c r="L996" s="45"/>
      <c r="M996" s="45"/>
      <c r="N996" s="46"/>
      <c r="O996" s="9">
        <f t="shared" si="272"/>
        <v>0</v>
      </c>
    </row>
    <row r="997" spans="1:18" x14ac:dyDescent="0.15">
      <c r="A997" s="15" t="s">
        <v>28</v>
      </c>
      <c r="B997" s="11">
        <v>3</v>
      </c>
      <c r="C997" s="100">
        <v>3</v>
      </c>
      <c r="D997" s="100"/>
      <c r="E997" s="100"/>
      <c r="F997" s="109"/>
      <c r="G997" s="9">
        <f t="shared" si="273"/>
        <v>6</v>
      </c>
      <c r="H997" s="58">
        <v>45210</v>
      </c>
      <c r="I997" s="15" t="s">
        <v>5</v>
      </c>
      <c r="J997" s="8"/>
      <c r="K997" s="45"/>
      <c r="L997" s="45"/>
      <c r="M997" s="45"/>
      <c r="N997" s="46"/>
      <c r="O997" s="9">
        <f t="shared" si="272"/>
        <v>0</v>
      </c>
    </row>
    <row r="998" spans="1:18" x14ac:dyDescent="0.15">
      <c r="A998" s="15" t="s">
        <v>28</v>
      </c>
      <c r="B998" s="11"/>
      <c r="C998" s="100">
        <v>3</v>
      </c>
      <c r="D998" s="100">
        <v>5</v>
      </c>
      <c r="E998" s="100"/>
      <c r="F998" s="109"/>
      <c r="G998" s="9">
        <f t="shared" si="273"/>
        <v>8</v>
      </c>
      <c r="H998" s="58">
        <v>45254</v>
      </c>
      <c r="I998" s="15" t="s">
        <v>6</v>
      </c>
      <c r="J998" s="8"/>
      <c r="K998" s="45"/>
      <c r="L998" s="45"/>
      <c r="M998" s="45"/>
      <c r="N998" s="46"/>
      <c r="O998" s="9">
        <f t="shared" si="272"/>
        <v>0</v>
      </c>
    </row>
    <row r="999" spans="1:18" x14ac:dyDescent="0.15">
      <c r="A999" s="15" t="s">
        <v>28</v>
      </c>
      <c r="B999" s="11"/>
      <c r="C999" s="100"/>
      <c r="D999" s="100"/>
      <c r="E999" s="100"/>
      <c r="F999" s="109"/>
      <c r="G999" s="9">
        <f t="shared" ref="G999" si="274">SUM(B999:F999)</f>
        <v>0</v>
      </c>
      <c r="H999" s="58"/>
      <c r="I999" s="15" t="s">
        <v>84</v>
      </c>
      <c r="J999" s="8"/>
      <c r="K999" s="45"/>
      <c r="L999" s="45"/>
      <c r="M999" s="45"/>
      <c r="N999" s="46"/>
      <c r="O999" s="7">
        <f t="shared" si="272"/>
        <v>0</v>
      </c>
    </row>
    <row r="1000" spans="1:18" x14ac:dyDescent="0.15">
      <c r="A1000" s="15" t="s">
        <v>28</v>
      </c>
      <c r="B1000" s="11"/>
      <c r="C1000" s="100"/>
      <c r="D1000" s="100"/>
      <c r="E1000" s="100"/>
      <c r="F1000" s="109"/>
      <c r="G1000" s="9">
        <f t="shared" si="273"/>
        <v>0</v>
      </c>
      <c r="H1000" s="58"/>
      <c r="I1000" s="15" t="s">
        <v>85</v>
      </c>
      <c r="J1000" s="8"/>
      <c r="K1000" s="45"/>
      <c r="L1000" s="45"/>
      <c r="M1000" s="45"/>
      <c r="N1000" s="46"/>
      <c r="O1000" s="7">
        <f t="shared" si="272"/>
        <v>0</v>
      </c>
    </row>
    <row r="1001" spans="1:18" x14ac:dyDescent="0.15">
      <c r="A1001" s="15" t="s">
        <v>28</v>
      </c>
      <c r="B1001" s="11"/>
      <c r="C1001" s="100"/>
      <c r="D1001" s="100"/>
      <c r="E1001" s="100"/>
      <c r="F1001" s="109"/>
      <c r="G1001" s="9">
        <f t="shared" si="270"/>
        <v>0</v>
      </c>
      <c r="H1001" s="58"/>
      <c r="I1001" s="15" t="s">
        <v>86</v>
      </c>
      <c r="J1001" s="8"/>
      <c r="K1001" s="45"/>
      <c r="L1001" s="45"/>
      <c r="M1001" s="45"/>
      <c r="N1001" s="46"/>
      <c r="O1001" s="102">
        <f t="shared" si="272"/>
        <v>0</v>
      </c>
    </row>
    <row r="1002" spans="1:18" ht="14.25" thickBot="1" x14ac:dyDescent="0.2">
      <c r="A1002" s="15" t="s">
        <v>1580</v>
      </c>
      <c r="B1002" s="11">
        <v>-1</v>
      </c>
      <c r="C1002" s="100"/>
      <c r="D1002" s="100"/>
      <c r="E1002" s="100"/>
      <c r="F1002" s="109"/>
      <c r="G1002" s="9">
        <f t="shared" si="270"/>
        <v>-1</v>
      </c>
      <c r="H1002" s="58">
        <v>45359</v>
      </c>
      <c r="I1002" s="15" t="s">
        <v>87</v>
      </c>
      <c r="J1002" s="47"/>
      <c r="K1002" s="48"/>
      <c r="L1002" s="48"/>
      <c r="M1002" s="48"/>
      <c r="N1002" s="49"/>
      <c r="O1002" s="40">
        <f t="shared" si="272"/>
        <v>0</v>
      </c>
    </row>
    <row r="1003" spans="1:18" ht="14.25" thickBot="1" x14ac:dyDescent="0.2">
      <c r="A1003" s="72" t="s">
        <v>7</v>
      </c>
      <c r="B1003" s="73">
        <f>SUM(B993:B1002)</f>
        <v>9</v>
      </c>
      <c r="C1003" s="74">
        <f>SUM(C993:C1002)</f>
        <v>16</v>
      </c>
      <c r="D1003" s="74">
        <f t="shared" ref="D1003:G1003" si="275">SUM(D993:D1002)</f>
        <v>16</v>
      </c>
      <c r="E1003" s="74">
        <f t="shared" si="275"/>
        <v>3</v>
      </c>
      <c r="F1003" s="105">
        <f t="shared" si="275"/>
        <v>0</v>
      </c>
      <c r="G1003" s="76">
        <f t="shared" si="275"/>
        <v>44</v>
      </c>
      <c r="H1003" s="58"/>
      <c r="I1003" s="72" t="s">
        <v>7</v>
      </c>
      <c r="J1003" s="73">
        <f>SUM(J993:J1002)</f>
        <v>134</v>
      </c>
      <c r="K1003" s="74">
        <f t="shared" ref="K1003:O1003" si="276">SUM(K993:K1002)</f>
        <v>50</v>
      </c>
      <c r="L1003" s="74">
        <f t="shared" si="276"/>
        <v>31</v>
      </c>
      <c r="M1003" s="74">
        <f t="shared" si="276"/>
        <v>0</v>
      </c>
      <c r="N1003" s="105">
        <f t="shared" si="276"/>
        <v>0</v>
      </c>
      <c r="O1003" s="76">
        <f t="shared" si="276"/>
        <v>215</v>
      </c>
    </row>
    <row r="1004" spans="1:18" x14ac:dyDescent="0.15">
      <c r="A1004" s="50" t="s">
        <v>29</v>
      </c>
      <c r="B1004" s="8"/>
      <c r="C1004" s="10">
        <v>1</v>
      </c>
      <c r="D1004" s="10"/>
      <c r="E1004" s="10"/>
      <c r="F1004" s="30"/>
      <c r="G1004" s="7">
        <f t="shared" ref="G1004:G1027" si="277">SUM(B1004:F1004)</f>
        <v>1</v>
      </c>
      <c r="H1004" s="58">
        <v>45054</v>
      </c>
      <c r="I1004" s="16" t="s">
        <v>24</v>
      </c>
      <c r="J1004" s="8"/>
      <c r="K1004" s="10">
        <v>3</v>
      </c>
      <c r="L1004" s="10">
        <v>5</v>
      </c>
      <c r="M1004" s="10"/>
      <c r="N1004" s="30"/>
      <c r="O1004" s="7">
        <f t="shared" ref="O1004:O1009" si="278">SUM(J1004:N1004)</f>
        <v>8</v>
      </c>
      <c r="P1004" s="58">
        <v>45059</v>
      </c>
      <c r="Q1004" s="56"/>
      <c r="R1004" s="56"/>
    </row>
    <row r="1005" spans="1:18" x14ac:dyDescent="0.15">
      <c r="A1005" s="50" t="s">
        <v>29</v>
      </c>
      <c r="B1005" s="8"/>
      <c r="C1005" s="10"/>
      <c r="D1005" s="10">
        <v>1</v>
      </c>
      <c r="E1005" s="10"/>
      <c r="F1005" s="30"/>
      <c r="G1005" s="7">
        <f t="shared" si="277"/>
        <v>1</v>
      </c>
      <c r="H1005" s="58">
        <v>45057</v>
      </c>
      <c r="I1005" s="16" t="s">
        <v>24</v>
      </c>
      <c r="J1005" s="8">
        <v>2</v>
      </c>
      <c r="K1005" s="10">
        <v>2</v>
      </c>
      <c r="L1005" s="10">
        <v>2</v>
      </c>
      <c r="M1005" s="10"/>
      <c r="N1005" s="30"/>
      <c r="O1005" s="7">
        <f t="shared" si="278"/>
        <v>6</v>
      </c>
      <c r="P1005" s="58">
        <v>45128</v>
      </c>
      <c r="Q1005" s="56"/>
      <c r="R1005" s="56"/>
    </row>
    <row r="1006" spans="1:18" x14ac:dyDescent="0.15">
      <c r="A1006" s="50" t="s">
        <v>29</v>
      </c>
      <c r="B1006" s="8"/>
      <c r="C1006" s="10"/>
      <c r="D1006" s="10">
        <v>1</v>
      </c>
      <c r="E1006" s="10"/>
      <c r="F1006" s="30"/>
      <c r="G1006" s="7">
        <f t="shared" si="277"/>
        <v>1</v>
      </c>
      <c r="H1006" s="58">
        <v>45064</v>
      </c>
      <c r="I1006" s="16" t="s">
        <v>24</v>
      </c>
      <c r="J1006" s="8"/>
      <c r="K1006" s="10">
        <v>2</v>
      </c>
      <c r="L1006" s="10">
        <v>2</v>
      </c>
      <c r="M1006" s="10"/>
      <c r="N1006" s="30"/>
      <c r="O1006" s="7">
        <f t="shared" si="278"/>
        <v>4</v>
      </c>
      <c r="P1006" s="58">
        <v>45148</v>
      </c>
    </row>
    <row r="1007" spans="1:18" x14ac:dyDescent="0.15">
      <c r="A1007" s="50" t="s">
        <v>29</v>
      </c>
      <c r="B1007" s="8"/>
      <c r="C1007" s="10">
        <v>1</v>
      </c>
      <c r="D1007" s="10"/>
      <c r="E1007" s="10"/>
      <c r="F1007" s="30"/>
      <c r="G1007" s="7">
        <f t="shared" si="277"/>
        <v>1</v>
      </c>
      <c r="H1007" s="58">
        <v>45068</v>
      </c>
      <c r="I1007" s="16" t="s">
        <v>24</v>
      </c>
      <c r="J1007" s="8">
        <v>3</v>
      </c>
      <c r="K1007" s="10">
        <v>3</v>
      </c>
      <c r="L1007" s="10"/>
      <c r="M1007" s="10"/>
      <c r="N1007" s="30"/>
      <c r="O1007" s="7">
        <f t="shared" si="278"/>
        <v>6</v>
      </c>
      <c r="P1007" s="58">
        <v>45210</v>
      </c>
    </row>
    <row r="1008" spans="1:18" x14ac:dyDescent="0.15">
      <c r="A1008" s="50" t="s">
        <v>29</v>
      </c>
      <c r="B1008" s="8"/>
      <c r="C1008" s="10">
        <v>1</v>
      </c>
      <c r="D1008" s="10"/>
      <c r="E1008" s="10"/>
      <c r="F1008" s="30"/>
      <c r="G1008" s="7">
        <f t="shared" si="277"/>
        <v>1</v>
      </c>
      <c r="H1008" s="58">
        <v>45089</v>
      </c>
      <c r="I1008" s="16" t="s">
        <v>24</v>
      </c>
      <c r="J1008" s="8"/>
      <c r="K1008" s="10">
        <v>3</v>
      </c>
      <c r="L1008" s="10">
        <v>5</v>
      </c>
      <c r="M1008" s="10"/>
      <c r="N1008" s="30"/>
      <c r="O1008" s="7">
        <f t="shared" si="278"/>
        <v>8</v>
      </c>
      <c r="P1008" s="58">
        <v>45254</v>
      </c>
    </row>
    <row r="1009" spans="1:15" x14ac:dyDescent="0.15">
      <c r="A1009" s="50" t="s">
        <v>29</v>
      </c>
      <c r="B1009" s="8">
        <v>1</v>
      </c>
      <c r="C1009" s="10"/>
      <c r="D1009" s="10"/>
      <c r="E1009" s="10"/>
      <c r="F1009" s="30"/>
      <c r="G1009" s="7">
        <f t="shared" si="277"/>
        <v>1</v>
      </c>
      <c r="H1009" s="58">
        <v>45093</v>
      </c>
      <c r="I1009" s="39"/>
      <c r="J1009" s="8"/>
      <c r="K1009" s="10"/>
      <c r="L1009" s="10"/>
      <c r="M1009" s="10"/>
      <c r="N1009" s="30"/>
      <c r="O1009" s="7">
        <f t="shared" si="278"/>
        <v>0</v>
      </c>
    </row>
    <row r="1010" spans="1:15" x14ac:dyDescent="0.15">
      <c r="A1010" s="50" t="s">
        <v>29</v>
      </c>
      <c r="B1010" s="8"/>
      <c r="C1010" s="10">
        <v>1</v>
      </c>
      <c r="D1010" s="10"/>
      <c r="E1010" s="10"/>
      <c r="F1010" s="30"/>
      <c r="G1010" s="7">
        <f t="shared" si="277"/>
        <v>1</v>
      </c>
      <c r="H1010" s="58">
        <v>45103</v>
      </c>
      <c r="I1010" s="39"/>
      <c r="J1010" s="8"/>
      <c r="K1010" s="10"/>
      <c r="L1010" s="10"/>
      <c r="M1010" s="10"/>
      <c r="N1010" s="30"/>
      <c r="O1010" s="7">
        <f t="shared" ref="O1010:O1027" si="279">SUM(J1010:N1010)</f>
        <v>0</v>
      </c>
    </row>
    <row r="1011" spans="1:15" x14ac:dyDescent="0.15">
      <c r="A1011" s="50" t="s">
        <v>29</v>
      </c>
      <c r="B1011" s="8"/>
      <c r="C1011" s="10"/>
      <c r="D1011" s="10">
        <v>1</v>
      </c>
      <c r="E1011" s="10"/>
      <c r="F1011" s="30"/>
      <c r="G1011" s="7">
        <f t="shared" si="277"/>
        <v>1</v>
      </c>
      <c r="H1011" s="58">
        <v>45104</v>
      </c>
      <c r="I1011" s="39"/>
      <c r="J1011" s="8"/>
      <c r="K1011" s="10"/>
      <c r="L1011" s="10"/>
      <c r="M1011" s="10"/>
      <c r="N1011" s="30"/>
      <c r="O1011" s="7">
        <f t="shared" si="279"/>
        <v>0</v>
      </c>
    </row>
    <row r="1012" spans="1:15" x14ac:dyDescent="0.15">
      <c r="A1012" s="50" t="s">
        <v>29</v>
      </c>
      <c r="B1012" s="8">
        <v>1</v>
      </c>
      <c r="C1012" s="10"/>
      <c r="D1012" s="10"/>
      <c r="E1012" s="10"/>
      <c r="F1012" s="30"/>
      <c r="G1012" s="7">
        <f t="shared" si="277"/>
        <v>1</v>
      </c>
      <c r="H1012" s="58">
        <v>45113</v>
      </c>
      <c r="I1012" s="39"/>
      <c r="J1012" s="8"/>
      <c r="K1012" s="10"/>
      <c r="L1012" s="10"/>
      <c r="M1012" s="10"/>
      <c r="N1012" s="30"/>
      <c r="O1012" s="7">
        <f t="shared" si="279"/>
        <v>0</v>
      </c>
    </row>
    <row r="1013" spans="1:15" x14ac:dyDescent="0.15">
      <c r="A1013" s="50" t="s">
        <v>29</v>
      </c>
      <c r="B1013" s="8"/>
      <c r="C1013" s="10"/>
      <c r="D1013" s="10">
        <v>1</v>
      </c>
      <c r="E1013" s="10"/>
      <c r="F1013" s="30"/>
      <c r="G1013" s="7">
        <f t="shared" si="277"/>
        <v>1</v>
      </c>
      <c r="H1013" s="58">
        <v>45117</v>
      </c>
      <c r="I1013" s="39"/>
      <c r="J1013" s="8"/>
      <c r="K1013" s="10"/>
      <c r="L1013" s="10"/>
      <c r="M1013" s="10"/>
      <c r="N1013" s="30"/>
      <c r="O1013" s="7">
        <f t="shared" si="279"/>
        <v>0</v>
      </c>
    </row>
    <row r="1014" spans="1:15" x14ac:dyDescent="0.15">
      <c r="A1014" s="50" t="s">
        <v>29</v>
      </c>
      <c r="B1014" s="8"/>
      <c r="C1014" s="10"/>
      <c r="D1014" s="10">
        <v>1</v>
      </c>
      <c r="E1014" s="10"/>
      <c r="F1014" s="30"/>
      <c r="G1014" s="7">
        <f t="shared" si="277"/>
        <v>1</v>
      </c>
      <c r="H1014" s="58">
        <v>45127</v>
      </c>
      <c r="I1014" s="39"/>
      <c r="J1014" s="8"/>
      <c r="K1014" s="10"/>
      <c r="L1014" s="10"/>
      <c r="M1014" s="10"/>
      <c r="N1014" s="30"/>
      <c r="O1014" s="7">
        <f t="shared" si="279"/>
        <v>0</v>
      </c>
    </row>
    <row r="1015" spans="1:15" x14ac:dyDescent="0.15">
      <c r="A1015" s="50" t="s">
        <v>29</v>
      </c>
      <c r="B1015" s="8">
        <v>1</v>
      </c>
      <c r="C1015" s="10"/>
      <c r="D1015" s="10"/>
      <c r="E1015" s="10"/>
      <c r="F1015" s="30"/>
      <c r="G1015" s="7">
        <f t="shared" si="277"/>
        <v>1</v>
      </c>
      <c r="H1015" s="58">
        <v>45131</v>
      </c>
      <c r="I1015" s="39"/>
      <c r="J1015" s="8"/>
      <c r="K1015" s="10"/>
      <c r="L1015" s="10"/>
      <c r="M1015" s="10"/>
      <c r="N1015" s="30"/>
      <c r="O1015" s="7">
        <f t="shared" si="279"/>
        <v>0</v>
      </c>
    </row>
    <row r="1016" spans="1:15" x14ac:dyDescent="0.15">
      <c r="A1016" s="50" t="s">
        <v>29</v>
      </c>
      <c r="B1016" s="8"/>
      <c r="C1016" s="10">
        <v>1</v>
      </c>
      <c r="D1016" s="10"/>
      <c r="E1016" s="10"/>
      <c r="F1016" s="30"/>
      <c r="G1016" s="7">
        <f t="shared" si="277"/>
        <v>1</v>
      </c>
      <c r="H1016" s="58">
        <v>45134</v>
      </c>
      <c r="I1016" s="39"/>
      <c r="J1016" s="8"/>
      <c r="K1016" s="10"/>
      <c r="L1016" s="10"/>
      <c r="M1016" s="10"/>
      <c r="N1016" s="30"/>
      <c r="O1016" s="7">
        <f t="shared" si="279"/>
        <v>0</v>
      </c>
    </row>
    <row r="1017" spans="1:15" x14ac:dyDescent="0.15">
      <c r="A1017" s="50" t="s">
        <v>29</v>
      </c>
      <c r="B1017" s="8"/>
      <c r="C1017" s="10"/>
      <c r="D1017" s="10">
        <v>1</v>
      </c>
      <c r="E1017" s="10"/>
      <c r="F1017" s="30"/>
      <c r="G1017" s="7">
        <f t="shared" si="277"/>
        <v>1</v>
      </c>
      <c r="H1017" s="58">
        <v>45139</v>
      </c>
      <c r="I1017" s="39"/>
      <c r="J1017" s="8"/>
      <c r="K1017" s="10"/>
      <c r="L1017" s="10"/>
      <c r="M1017" s="10"/>
      <c r="N1017" s="30"/>
      <c r="O1017" s="7">
        <f t="shared" si="279"/>
        <v>0</v>
      </c>
    </row>
    <row r="1018" spans="1:15" x14ac:dyDescent="0.15">
      <c r="A1018" s="50" t="s">
        <v>29</v>
      </c>
      <c r="B1018" s="8"/>
      <c r="C1018" s="10"/>
      <c r="D1018" s="10">
        <v>1</v>
      </c>
      <c r="E1018" s="10"/>
      <c r="F1018" s="30"/>
      <c r="G1018" s="7">
        <f t="shared" si="277"/>
        <v>1</v>
      </c>
      <c r="H1018" s="58">
        <v>45169</v>
      </c>
      <c r="I1018" s="39"/>
      <c r="J1018" s="8"/>
      <c r="K1018" s="10"/>
      <c r="L1018" s="10"/>
      <c r="M1018" s="10"/>
      <c r="N1018" s="30"/>
      <c r="O1018" s="7">
        <f t="shared" si="279"/>
        <v>0</v>
      </c>
    </row>
    <row r="1019" spans="1:15" x14ac:dyDescent="0.15">
      <c r="A1019" s="50" t="s">
        <v>29</v>
      </c>
      <c r="B1019" s="8"/>
      <c r="C1019" s="10">
        <v>1</v>
      </c>
      <c r="D1019" s="10"/>
      <c r="E1019" s="10"/>
      <c r="F1019" s="30"/>
      <c r="G1019" s="7">
        <f t="shared" si="277"/>
        <v>1</v>
      </c>
      <c r="H1019" s="58">
        <v>45182</v>
      </c>
      <c r="I1019" s="39"/>
      <c r="J1019" s="8"/>
      <c r="K1019" s="10"/>
      <c r="L1019" s="10"/>
      <c r="M1019" s="10"/>
      <c r="N1019" s="30"/>
      <c r="O1019" s="7">
        <f t="shared" si="279"/>
        <v>0</v>
      </c>
    </row>
    <row r="1020" spans="1:15" x14ac:dyDescent="0.15">
      <c r="A1020" s="50" t="s">
        <v>29</v>
      </c>
      <c r="B1020" s="8"/>
      <c r="C1020" s="10">
        <v>1</v>
      </c>
      <c r="D1020" s="10"/>
      <c r="E1020" s="10"/>
      <c r="F1020" s="30"/>
      <c r="G1020" s="7">
        <f t="shared" si="277"/>
        <v>1</v>
      </c>
      <c r="H1020" s="58">
        <v>45188</v>
      </c>
      <c r="I1020" s="39"/>
      <c r="J1020" s="8"/>
      <c r="K1020" s="10"/>
      <c r="L1020" s="10"/>
      <c r="M1020" s="10"/>
      <c r="N1020" s="30"/>
      <c r="O1020" s="7">
        <f t="shared" si="279"/>
        <v>0</v>
      </c>
    </row>
    <row r="1021" spans="1:15" x14ac:dyDescent="0.15">
      <c r="A1021" s="50" t="s">
        <v>485</v>
      </c>
      <c r="B1021" s="8">
        <v>1</v>
      </c>
      <c r="C1021" s="10">
        <v>-1</v>
      </c>
      <c r="D1021" s="10"/>
      <c r="E1021" s="10"/>
      <c r="F1021" s="30"/>
      <c r="G1021" s="7">
        <f t="shared" si="277"/>
        <v>0</v>
      </c>
      <c r="H1021" s="58">
        <v>45188</v>
      </c>
      <c r="I1021" s="39"/>
      <c r="J1021" s="8"/>
      <c r="K1021" s="10"/>
      <c r="L1021" s="10"/>
      <c r="M1021" s="10"/>
      <c r="N1021" s="30"/>
      <c r="O1021" s="7">
        <f t="shared" si="279"/>
        <v>0</v>
      </c>
    </row>
    <row r="1022" spans="1:15" x14ac:dyDescent="0.15">
      <c r="A1022" s="50" t="s">
        <v>29</v>
      </c>
      <c r="B1022" s="8"/>
      <c r="C1022" s="10">
        <v>1</v>
      </c>
      <c r="D1022" s="10"/>
      <c r="E1022" s="10"/>
      <c r="F1022" s="30"/>
      <c r="G1022" s="7">
        <f t="shared" si="277"/>
        <v>1</v>
      </c>
      <c r="H1022" s="58">
        <v>45189</v>
      </c>
      <c r="I1022" s="39"/>
      <c r="J1022" s="8"/>
      <c r="K1022" s="10"/>
      <c r="L1022" s="10"/>
      <c r="M1022" s="10"/>
      <c r="N1022" s="30"/>
      <c r="O1022" s="7">
        <f t="shared" si="279"/>
        <v>0</v>
      </c>
    </row>
    <row r="1023" spans="1:15" x14ac:dyDescent="0.15">
      <c r="A1023" s="50" t="s">
        <v>29</v>
      </c>
      <c r="B1023" s="8"/>
      <c r="C1023" s="10"/>
      <c r="D1023" s="10"/>
      <c r="E1023" s="10">
        <v>1</v>
      </c>
      <c r="F1023" s="30"/>
      <c r="G1023" s="7">
        <f t="shared" si="277"/>
        <v>1</v>
      </c>
      <c r="H1023" s="58">
        <v>45204</v>
      </c>
      <c r="I1023" s="39"/>
      <c r="J1023" s="8"/>
      <c r="K1023" s="10"/>
      <c r="L1023" s="10"/>
      <c r="M1023" s="10"/>
      <c r="N1023" s="30"/>
      <c r="O1023" s="7">
        <f t="shared" si="279"/>
        <v>0</v>
      </c>
    </row>
    <row r="1024" spans="1:15" x14ac:dyDescent="0.15">
      <c r="A1024" s="50" t="s">
        <v>29</v>
      </c>
      <c r="B1024" s="8"/>
      <c r="C1024" s="10">
        <v>1</v>
      </c>
      <c r="D1024" s="10"/>
      <c r="E1024" s="10"/>
      <c r="F1024" s="30"/>
      <c r="G1024" s="7">
        <f t="shared" si="277"/>
        <v>1</v>
      </c>
      <c r="H1024" s="58">
        <v>45205</v>
      </c>
      <c r="I1024" s="39"/>
      <c r="J1024" s="8"/>
      <c r="K1024" s="10"/>
      <c r="L1024" s="10"/>
      <c r="M1024" s="10"/>
      <c r="N1024" s="30"/>
      <c r="O1024" s="7">
        <f t="shared" si="279"/>
        <v>0</v>
      </c>
    </row>
    <row r="1025" spans="1:15" x14ac:dyDescent="0.15">
      <c r="A1025" s="50" t="s">
        <v>29</v>
      </c>
      <c r="B1025" s="8"/>
      <c r="C1025" s="10"/>
      <c r="D1025" s="10">
        <v>1</v>
      </c>
      <c r="E1025" s="10"/>
      <c r="F1025" s="30"/>
      <c r="G1025" s="7">
        <f t="shared" si="277"/>
        <v>1</v>
      </c>
      <c r="H1025" s="58">
        <v>45226</v>
      </c>
      <c r="I1025" s="39"/>
      <c r="J1025" s="8"/>
      <c r="K1025" s="10"/>
      <c r="L1025" s="10"/>
      <c r="M1025" s="10"/>
      <c r="N1025" s="30"/>
      <c r="O1025" s="7">
        <f t="shared" si="279"/>
        <v>0</v>
      </c>
    </row>
    <row r="1026" spans="1:15" x14ac:dyDescent="0.15">
      <c r="A1026" s="50" t="s">
        <v>29</v>
      </c>
      <c r="B1026" s="8"/>
      <c r="C1026" s="10">
        <v>1</v>
      </c>
      <c r="D1026" s="10">
        <v>1</v>
      </c>
      <c r="E1026" s="10"/>
      <c r="F1026" s="30"/>
      <c r="G1026" s="7">
        <f t="shared" si="277"/>
        <v>2</v>
      </c>
      <c r="H1026" s="58">
        <v>45252</v>
      </c>
      <c r="I1026" s="39"/>
      <c r="J1026" s="8"/>
      <c r="K1026" s="10"/>
      <c r="L1026" s="10"/>
      <c r="M1026" s="10"/>
      <c r="N1026" s="30"/>
      <c r="O1026" s="7">
        <f t="shared" si="279"/>
        <v>0</v>
      </c>
    </row>
    <row r="1027" spans="1:15" x14ac:dyDescent="0.15">
      <c r="A1027" s="50" t="s">
        <v>29</v>
      </c>
      <c r="B1027" s="8">
        <v>1</v>
      </c>
      <c r="C1027" s="10"/>
      <c r="D1027" s="10"/>
      <c r="E1027" s="10"/>
      <c r="F1027" s="30"/>
      <c r="G1027" s="7">
        <f t="shared" si="277"/>
        <v>1</v>
      </c>
      <c r="H1027" s="58">
        <v>45265</v>
      </c>
      <c r="I1027" s="39"/>
      <c r="J1027" s="8"/>
      <c r="K1027" s="10"/>
      <c r="L1027" s="10"/>
      <c r="M1027" s="10"/>
      <c r="N1027" s="30"/>
      <c r="O1027" s="7">
        <f t="shared" si="279"/>
        <v>0</v>
      </c>
    </row>
    <row r="1028" spans="1:15" x14ac:dyDescent="0.15">
      <c r="A1028" s="50" t="s">
        <v>29</v>
      </c>
      <c r="B1028" s="8"/>
      <c r="C1028" s="10">
        <v>1</v>
      </c>
      <c r="D1028" s="10"/>
      <c r="E1028" s="10"/>
      <c r="F1028" s="30"/>
      <c r="G1028" s="7">
        <f t="shared" ref="G1028:G1029" si="280">SUM(B1028:F1028)</f>
        <v>1</v>
      </c>
      <c r="H1028" s="58">
        <v>45266</v>
      </c>
      <c r="I1028" s="39"/>
      <c r="J1028" s="8"/>
      <c r="K1028" s="10"/>
      <c r="L1028" s="10"/>
      <c r="M1028" s="10"/>
      <c r="N1028" s="30"/>
      <c r="O1028" s="7">
        <f t="shared" ref="O1028:O1029" si="281">SUM(J1028:N1028)</f>
        <v>0</v>
      </c>
    </row>
    <row r="1029" spans="1:15" ht="14.25" thickBot="1" x14ac:dyDescent="0.2">
      <c r="A1029" s="50" t="s">
        <v>29</v>
      </c>
      <c r="B1029" s="11"/>
      <c r="C1029" s="12"/>
      <c r="D1029" s="12">
        <v>1</v>
      </c>
      <c r="E1029" s="12"/>
      <c r="F1029" s="31"/>
      <c r="G1029" s="7">
        <f t="shared" si="280"/>
        <v>1</v>
      </c>
      <c r="H1029" s="58">
        <v>45302</v>
      </c>
      <c r="I1029" s="14"/>
      <c r="J1029" s="8"/>
      <c r="K1029" s="10"/>
      <c r="L1029" s="10"/>
      <c r="M1029" s="10"/>
      <c r="N1029" s="30"/>
      <c r="O1029" s="7">
        <f t="shared" si="281"/>
        <v>0</v>
      </c>
    </row>
    <row r="1030" spans="1:15" ht="14.25" thickBot="1" x14ac:dyDescent="0.2">
      <c r="A1030" s="3" t="s">
        <v>11</v>
      </c>
      <c r="B1030" s="23">
        <f>SUM(B1004:B1029)</f>
        <v>5</v>
      </c>
      <c r="C1030" s="4">
        <f>SUM(C1004:C1029)</f>
        <v>10</v>
      </c>
      <c r="D1030" s="4">
        <f>SUM(D1004:D1029)</f>
        <v>10</v>
      </c>
      <c r="E1030" s="6">
        <f>SUM(E1004:E1029)</f>
        <v>1</v>
      </c>
      <c r="F1030" s="205">
        <f>SUM(F1004:F1029)</f>
        <v>0</v>
      </c>
      <c r="G1030" s="5">
        <f>SUM(B1030:F1030)</f>
        <v>26</v>
      </c>
      <c r="H1030" s="58"/>
      <c r="I1030" s="3" t="s">
        <v>11</v>
      </c>
      <c r="J1030" s="23">
        <f>SUM(J1004:J1029)</f>
        <v>5</v>
      </c>
      <c r="K1030" s="4">
        <f>SUM(K1004:K1029)</f>
        <v>13</v>
      </c>
      <c r="L1030" s="4">
        <f>SUM(L1004:L1029)</f>
        <v>14</v>
      </c>
      <c r="M1030" s="204">
        <f>SUM(M1004:M1029)</f>
        <v>0</v>
      </c>
      <c r="N1030" s="205">
        <f>SUM(N1004:N1029)</f>
        <v>0</v>
      </c>
      <c r="O1030" s="5">
        <f>SUM(J1030:N1030)</f>
        <v>32</v>
      </c>
    </row>
    <row r="1031" spans="1:15" ht="14.25" thickBot="1" x14ac:dyDescent="0.2">
      <c r="A1031" s="25" t="s">
        <v>12</v>
      </c>
      <c r="B1031" s="63">
        <f>B1003-B1030</f>
        <v>4</v>
      </c>
      <c r="C1031" s="26">
        <f>C1003-C1030</f>
        <v>6</v>
      </c>
      <c r="D1031" s="71">
        <f t="shared" ref="D1031:G1031" si="282">D1003-D1030</f>
        <v>6</v>
      </c>
      <c r="E1031" s="26">
        <f t="shared" si="282"/>
        <v>2</v>
      </c>
      <c r="F1031" s="208">
        <f t="shared" si="282"/>
        <v>0</v>
      </c>
      <c r="G1031" s="27">
        <f t="shared" si="282"/>
        <v>18</v>
      </c>
      <c r="H1031" s="58"/>
      <c r="I1031" s="25" t="s">
        <v>12</v>
      </c>
      <c r="J1031" s="63">
        <f>J1003-J1030</f>
        <v>129</v>
      </c>
      <c r="K1031" s="26">
        <f t="shared" ref="K1031:O1031" si="283">K1003-K1030</f>
        <v>37</v>
      </c>
      <c r="L1031" s="71">
        <f t="shared" si="283"/>
        <v>17</v>
      </c>
      <c r="M1031" s="206">
        <f t="shared" si="283"/>
        <v>0</v>
      </c>
      <c r="N1031" s="208">
        <f t="shared" si="283"/>
        <v>0</v>
      </c>
      <c r="O1031" s="27">
        <f t="shared" si="283"/>
        <v>183</v>
      </c>
    </row>
    <row r="1032" spans="1:15" ht="21" x14ac:dyDescent="0.2">
      <c r="A1032" s="86" t="s">
        <v>50</v>
      </c>
      <c r="B1032" s="87"/>
      <c r="C1032" s="87"/>
      <c r="D1032" s="87"/>
      <c r="E1032" s="87"/>
      <c r="F1032" s="87"/>
      <c r="G1032" s="87"/>
      <c r="H1032" s="58"/>
      <c r="I1032" s="86" t="s">
        <v>50</v>
      </c>
      <c r="J1032" s="87"/>
      <c r="K1032" s="87"/>
      <c r="L1032" s="87"/>
      <c r="M1032" s="87"/>
      <c r="N1032" s="87"/>
      <c r="O1032" s="87"/>
    </row>
    <row r="1033" spans="1:15" ht="21.75" thickBot="1" x14ac:dyDescent="0.25">
      <c r="A1033" s="86" t="s">
        <v>51</v>
      </c>
      <c r="B1033" s="87"/>
      <c r="C1033" s="87"/>
      <c r="D1033" s="87"/>
      <c r="E1033" s="85"/>
      <c r="F1033" s="88" t="s">
        <v>53</v>
      </c>
      <c r="G1033" s="87"/>
      <c r="H1033" s="58"/>
      <c r="I1033" s="86" t="s">
        <v>51</v>
      </c>
      <c r="J1033" s="87"/>
      <c r="K1033" s="87"/>
      <c r="L1033" s="87"/>
      <c r="M1033" s="89"/>
      <c r="N1033" s="88" t="s">
        <v>54</v>
      </c>
      <c r="O1033" s="87"/>
    </row>
    <row r="1034" spans="1:15" ht="14.25" thickBot="1" x14ac:dyDescent="0.2">
      <c r="A1034" s="13" t="s">
        <v>0</v>
      </c>
      <c r="B1034" s="228" t="s">
        <v>52</v>
      </c>
      <c r="C1034" s="229"/>
      <c r="D1034" s="229"/>
      <c r="E1034" s="229"/>
      <c r="F1034" s="230"/>
      <c r="G1034" s="231"/>
      <c r="H1034" s="58"/>
      <c r="I1034" s="13" t="s">
        <v>0</v>
      </c>
      <c r="J1034" s="228" t="s">
        <v>52</v>
      </c>
      <c r="K1034" s="229"/>
      <c r="L1034" s="229"/>
      <c r="M1034" s="229"/>
      <c r="N1034" s="230"/>
      <c r="O1034" s="231"/>
    </row>
    <row r="1035" spans="1:15" ht="14.25" thickBot="1" x14ac:dyDescent="0.2">
      <c r="A1035" s="3" t="s">
        <v>1</v>
      </c>
      <c r="B1035" s="2" t="s">
        <v>42</v>
      </c>
      <c r="C1035" s="21" t="s">
        <v>43</v>
      </c>
      <c r="D1035" s="21" t="s">
        <v>44</v>
      </c>
      <c r="E1035" s="24" t="s">
        <v>45</v>
      </c>
      <c r="F1035" s="33" t="s">
        <v>46</v>
      </c>
      <c r="G1035" s="3" t="s">
        <v>2</v>
      </c>
      <c r="H1035" s="58"/>
      <c r="I1035" s="3" t="s">
        <v>1</v>
      </c>
      <c r="J1035" s="2" t="s">
        <v>42</v>
      </c>
      <c r="K1035" s="21" t="s">
        <v>43</v>
      </c>
      <c r="L1035" s="21" t="s">
        <v>44</v>
      </c>
      <c r="M1035" s="24" t="s">
        <v>45</v>
      </c>
      <c r="N1035" s="33" t="s">
        <v>46</v>
      </c>
      <c r="O1035" s="3" t="s">
        <v>2</v>
      </c>
    </row>
    <row r="1036" spans="1:15" ht="14.25" thickBot="1" x14ac:dyDescent="0.2">
      <c r="A1036" s="72" t="s">
        <v>79</v>
      </c>
      <c r="B1036" s="73">
        <f>B1031</f>
        <v>4</v>
      </c>
      <c r="C1036" s="74">
        <f t="shared" ref="C1036:F1036" si="284">C1031</f>
        <v>6</v>
      </c>
      <c r="D1036" s="107">
        <f t="shared" si="284"/>
        <v>6</v>
      </c>
      <c r="E1036" s="75">
        <f t="shared" si="284"/>
        <v>2</v>
      </c>
      <c r="F1036" s="75">
        <f t="shared" si="284"/>
        <v>0</v>
      </c>
      <c r="G1036" s="76">
        <f t="shared" ref="G1036:G1045" si="285">SUM(B1036:F1036)</f>
        <v>18</v>
      </c>
      <c r="H1036" s="58"/>
      <c r="I1036" s="72" t="s">
        <v>79</v>
      </c>
      <c r="J1036" s="73">
        <f>J1031</f>
        <v>129</v>
      </c>
      <c r="K1036" s="74">
        <f t="shared" ref="K1036:N1036" si="286">K1031</f>
        <v>37</v>
      </c>
      <c r="L1036" s="107">
        <f t="shared" si="286"/>
        <v>17</v>
      </c>
      <c r="M1036" s="75">
        <f t="shared" si="286"/>
        <v>0</v>
      </c>
      <c r="N1036" s="75">
        <f t="shared" si="286"/>
        <v>0</v>
      </c>
      <c r="O1036" s="76">
        <f t="shared" ref="O1036:O1045" si="287">SUM(J1036:N1036)</f>
        <v>183</v>
      </c>
    </row>
    <row r="1037" spans="1:15" x14ac:dyDescent="0.15">
      <c r="A1037" s="15" t="s">
        <v>28</v>
      </c>
      <c r="B1037" s="11"/>
      <c r="C1037" s="100">
        <v>5</v>
      </c>
      <c r="D1037" s="100"/>
      <c r="E1037" s="100"/>
      <c r="F1037" s="109"/>
      <c r="G1037" s="9">
        <f t="shared" ref="G1037:G1040" si="288">SUM(B1037:F1037)</f>
        <v>5</v>
      </c>
      <c r="H1037" s="58">
        <v>45357</v>
      </c>
      <c r="I1037" s="15" t="s">
        <v>14</v>
      </c>
      <c r="J1037" s="37"/>
      <c r="K1037" s="35"/>
      <c r="L1037" s="35"/>
      <c r="M1037" s="35"/>
      <c r="N1037" s="28"/>
      <c r="O1037" s="7">
        <f t="shared" si="287"/>
        <v>0</v>
      </c>
    </row>
    <row r="1038" spans="1:15" x14ac:dyDescent="0.15">
      <c r="A1038" s="15" t="s">
        <v>28</v>
      </c>
      <c r="B1038" s="11"/>
      <c r="C1038" s="100"/>
      <c r="D1038" s="100">
        <v>5</v>
      </c>
      <c r="E1038" s="100"/>
      <c r="F1038" s="109"/>
      <c r="G1038" s="9">
        <f t="shared" si="288"/>
        <v>5</v>
      </c>
      <c r="H1038" s="58">
        <v>45362</v>
      </c>
      <c r="I1038" s="15" t="s">
        <v>3</v>
      </c>
      <c r="J1038" s="8"/>
      <c r="K1038" s="10"/>
      <c r="L1038" s="10"/>
      <c r="M1038" s="10"/>
      <c r="N1038" s="28"/>
      <c r="O1038" s="9">
        <f t="shared" si="287"/>
        <v>0</v>
      </c>
    </row>
    <row r="1039" spans="1:15" x14ac:dyDescent="0.15">
      <c r="A1039" s="15" t="s">
        <v>28</v>
      </c>
      <c r="B1039" s="11"/>
      <c r="C1039" s="100"/>
      <c r="D1039" s="100">
        <v>5</v>
      </c>
      <c r="E1039" s="100"/>
      <c r="F1039" s="109"/>
      <c r="G1039" s="9">
        <f t="shared" si="288"/>
        <v>5</v>
      </c>
      <c r="H1039" s="58">
        <v>45373</v>
      </c>
      <c r="I1039" s="15" t="s">
        <v>4</v>
      </c>
      <c r="J1039" s="8"/>
      <c r="K1039" s="45"/>
      <c r="L1039" s="45"/>
      <c r="M1039" s="45"/>
      <c r="N1039" s="46"/>
      <c r="O1039" s="9">
        <f t="shared" si="287"/>
        <v>0</v>
      </c>
    </row>
    <row r="1040" spans="1:15" x14ac:dyDescent="0.15">
      <c r="A1040" s="15" t="s">
        <v>28</v>
      </c>
      <c r="B1040" s="11"/>
      <c r="C1040" s="100">
        <v>3</v>
      </c>
      <c r="D1040" s="100"/>
      <c r="E1040" s="100"/>
      <c r="F1040" s="109"/>
      <c r="G1040" s="9">
        <f t="shared" si="288"/>
        <v>3</v>
      </c>
      <c r="H1040" s="58">
        <v>45421</v>
      </c>
      <c r="I1040" s="15" t="s">
        <v>5</v>
      </c>
      <c r="J1040" s="8"/>
      <c r="K1040" s="45"/>
      <c r="L1040" s="45"/>
      <c r="M1040" s="45"/>
      <c r="N1040" s="46"/>
      <c r="O1040" s="9">
        <f t="shared" si="287"/>
        <v>0</v>
      </c>
    </row>
    <row r="1041" spans="1:18" x14ac:dyDescent="0.15">
      <c r="A1041" s="15" t="s">
        <v>28</v>
      </c>
      <c r="B1041" s="11"/>
      <c r="C1041" s="100">
        <v>3</v>
      </c>
      <c r="D1041" s="100">
        <v>3</v>
      </c>
      <c r="E1041" s="100"/>
      <c r="F1041" s="109"/>
      <c r="G1041" s="9">
        <f t="shared" si="285"/>
        <v>6</v>
      </c>
      <c r="H1041" s="58">
        <v>45462</v>
      </c>
      <c r="I1041" s="15" t="s">
        <v>6</v>
      </c>
      <c r="J1041" s="8"/>
      <c r="K1041" s="45"/>
      <c r="L1041" s="45"/>
      <c r="M1041" s="45"/>
      <c r="N1041" s="46"/>
      <c r="O1041" s="9">
        <f t="shared" si="287"/>
        <v>0</v>
      </c>
    </row>
    <row r="1042" spans="1:18" x14ac:dyDescent="0.15">
      <c r="A1042" s="96" t="s">
        <v>28</v>
      </c>
      <c r="B1042" s="91"/>
      <c r="C1042" s="114"/>
      <c r="D1042" s="114">
        <v>8</v>
      </c>
      <c r="E1042" s="114"/>
      <c r="F1042" s="216"/>
      <c r="G1042" s="165">
        <f t="shared" si="285"/>
        <v>8</v>
      </c>
      <c r="H1042" s="113">
        <v>45477</v>
      </c>
      <c r="I1042" s="15" t="s">
        <v>84</v>
      </c>
      <c r="J1042" s="8"/>
      <c r="K1042" s="45"/>
      <c r="L1042" s="45"/>
      <c r="M1042" s="45"/>
      <c r="N1042" s="46"/>
      <c r="O1042" s="7">
        <f t="shared" si="287"/>
        <v>0</v>
      </c>
    </row>
    <row r="1043" spans="1:18" x14ac:dyDescent="0.15">
      <c r="A1043" s="15" t="s">
        <v>28</v>
      </c>
      <c r="B1043" s="11"/>
      <c r="C1043" s="100"/>
      <c r="D1043" s="100"/>
      <c r="E1043" s="100"/>
      <c r="F1043" s="109"/>
      <c r="G1043" s="9">
        <f t="shared" si="285"/>
        <v>0</v>
      </c>
      <c r="H1043" s="58"/>
      <c r="I1043" s="15" t="s">
        <v>85</v>
      </c>
      <c r="J1043" s="8"/>
      <c r="K1043" s="45"/>
      <c r="L1043" s="45"/>
      <c r="M1043" s="45"/>
      <c r="N1043" s="46"/>
      <c r="O1043" s="7">
        <f t="shared" si="287"/>
        <v>0</v>
      </c>
    </row>
    <row r="1044" spans="1:18" x14ac:dyDescent="0.15">
      <c r="A1044" s="15" t="s">
        <v>28</v>
      </c>
      <c r="B1044" s="11"/>
      <c r="C1044" s="100"/>
      <c r="D1044" s="100"/>
      <c r="E1044" s="100"/>
      <c r="F1044" s="109"/>
      <c r="G1044" s="9">
        <f t="shared" si="285"/>
        <v>0</v>
      </c>
      <c r="H1044" s="58"/>
      <c r="I1044" s="15" t="s">
        <v>86</v>
      </c>
      <c r="J1044" s="8"/>
      <c r="K1044" s="45"/>
      <c r="L1044" s="45"/>
      <c r="M1044" s="45"/>
      <c r="N1044" s="46"/>
      <c r="O1044" s="102">
        <f t="shared" si="287"/>
        <v>0</v>
      </c>
    </row>
    <row r="1045" spans="1:18" ht="14.25" thickBot="1" x14ac:dyDescent="0.2">
      <c r="A1045" s="15" t="s">
        <v>28</v>
      </c>
      <c r="B1045" s="11">
        <v>1</v>
      </c>
      <c r="C1045" s="100"/>
      <c r="D1045" s="100">
        <v>-2</v>
      </c>
      <c r="E1045" s="100">
        <v>-1</v>
      </c>
      <c r="F1045" s="109"/>
      <c r="G1045" s="9">
        <f t="shared" si="285"/>
        <v>-2</v>
      </c>
      <c r="H1045" s="58">
        <v>45390</v>
      </c>
      <c r="I1045" s="15" t="s">
        <v>87</v>
      </c>
      <c r="J1045" s="47"/>
      <c r="K1045" s="48"/>
      <c r="L1045" s="48"/>
      <c r="M1045" s="48"/>
      <c r="N1045" s="49"/>
      <c r="O1045" s="40">
        <f t="shared" si="287"/>
        <v>0</v>
      </c>
    </row>
    <row r="1046" spans="1:18" ht="14.25" thickBot="1" x14ac:dyDescent="0.2">
      <c r="A1046" s="72" t="s">
        <v>7</v>
      </c>
      <c r="B1046" s="73">
        <f>SUM(B1036:B1045)</f>
        <v>5</v>
      </c>
      <c r="C1046" s="74">
        <f>SUM(C1036:C1045)</f>
        <v>17</v>
      </c>
      <c r="D1046" s="74">
        <f>SUM(D1036:D1045)</f>
        <v>25</v>
      </c>
      <c r="E1046" s="74">
        <f t="shared" ref="E1046:G1046" si="289">SUM(E1036:E1045)</f>
        <v>1</v>
      </c>
      <c r="F1046" s="105">
        <f t="shared" si="289"/>
        <v>0</v>
      </c>
      <c r="G1046" s="76">
        <f t="shared" si="289"/>
        <v>48</v>
      </c>
      <c r="H1046" s="58"/>
      <c r="I1046" s="72" t="s">
        <v>7</v>
      </c>
      <c r="J1046" s="73">
        <f>SUM(J1036:J1045)</f>
        <v>129</v>
      </c>
      <c r="K1046" s="74">
        <f t="shared" ref="K1046:O1046" si="290">SUM(K1036:K1045)</f>
        <v>37</v>
      </c>
      <c r="L1046" s="74">
        <f t="shared" si="290"/>
        <v>17</v>
      </c>
      <c r="M1046" s="74">
        <f t="shared" si="290"/>
        <v>0</v>
      </c>
      <c r="N1046" s="105">
        <f t="shared" si="290"/>
        <v>0</v>
      </c>
      <c r="O1046" s="76">
        <f t="shared" si="290"/>
        <v>183</v>
      </c>
    </row>
    <row r="1047" spans="1:18" x14ac:dyDescent="0.15">
      <c r="A1047" s="50" t="s">
        <v>29</v>
      </c>
      <c r="B1047" s="8"/>
      <c r="C1047" s="10"/>
      <c r="D1047" s="10">
        <v>1</v>
      </c>
      <c r="E1047" s="10"/>
      <c r="F1047" s="30"/>
      <c r="G1047" s="7">
        <f t="shared" ref="G1047" si="291">SUM(B1047:F1047)</f>
        <v>1</v>
      </c>
      <c r="H1047" s="58">
        <v>45303</v>
      </c>
      <c r="I1047" s="16" t="s">
        <v>24</v>
      </c>
      <c r="J1047" s="8"/>
      <c r="K1047" s="10">
        <v>5</v>
      </c>
      <c r="L1047" s="10"/>
      <c r="M1047" s="10"/>
      <c r="N1047" s="30"/>
      <c r="O1047" s="7">
        <f t="shared" ref="O1047:O1052" si="292">SUM(J1047:N1047)</f>
        <v>5</v>
      </c>
      <c r="P1047" s="58">
        <v>45357</v>
      </c>
    </row>
    <row r="1048" spans="1:18" x14ac:dyDescent="0.15">
      <c r="A1048" s="50" t="s">
        <v>29</v>
      </c>
      <c r="B1048" s="8"/>
      <c r="C1048" s="10">
        <v>1</v>
      </c>
      <c r="D1048" s="10"/>
      <c r="E1048" s="10"/>
      <c r="F1048" s="30"/>
      <c r="G1048" s="7">
        <f t="shared" ref="G1048:G1068" si="293">SUM(B1048:F1048)</f>
        <v>1</v>
      </c>
      <c r="H1048" s="58">
        <v>45313</v>
      </c>
      <c r="I1048" s="16" t="s">
        <v>24</v>
      </c>
      <c r="J1048" s="8"/>
      <c r="K1048" s="10"/>
      <c r="L1048" s="10">
        <v>5</v>
      </c>
      <c r="M1048" s="10"/>
      <c r="N1048" s="30"/>
      <c r="O1048" s="7">
        <f t="shared" si="292"/>
        <v>5</v>
      </c>
      <c r="P1048" s="58">
        <v>45362</v>
      </c>
      <c r="Q1048" s="56"/>
      <c r="R1048" s="56"/>
    </row>
    <row r="1049" spans="1:18" x14ac:dyDescent="0.15">
      <c r="A1049" s="50" t="s">
        <v>29</v>
      </c>
      <c r="B1049" s="8"/>
      <c r="C1049" s="10">
        <v>1</v>
      </c>
      <c r="D1049" s="10"/>
      <c r="E1049" s="10"/>
      <c r="F1049" s="30"/>
      <c r="G1049" s="7">
        <f t="shared" si="293"/>
        <v>1</v>
      </c>
      <c r="H1049" s="58">
        <v>45316</v>
      </c>
      <c r="I1049" s="16" t="s">
        <v>24</v>
      </c>
      <c r="J1049" s="8"/>
      <c r="K1049" s="10"/>
      <c r="L1049" s="10">
        <v>5</v>
      </c>
      <c r="M1049" s="10"/>
      <c r="N1049" s="30"/>
      <c r="O1049" s="7">
        <f t="shared" si="292"/>
        <v>5</v>
      </c>
      <c r="P1049" s="58">
        <v>45373</v>
      </c>
      <c r="Q1049" s="56"/>
      <c r="R1049" s="56"/>
    </row>
    <row r="1050" spans="1:18" x14ac:dyDescent="0.15">
      <c r="A1050" s="50" t="s">
        <v>29</v>
      </c>
      <c r="B1050" s="8"/>
      <c r="C1050" s="10">
        <v>1</v>
      </c>
      <c r="D1050" s="10"/>
      <c r="E1050" s="10"/>
      <c r="F1050" s="30"/>
      <c r="G1050" s="7">
        <f t="shared" si="293"/>
        <v>1</v>
      </c>
      <c r="H1050" s="58">
        <v>45324</v>
      </c>
      <c r="I1050" s="16" t="s">
        <v>24</v>
      </c>
      <c r="J1050" s="11"/>
      <c r="K1050" s="100">
        <v>3</v>
      </c>
      <c r="L1050" s="100"/>
      <c r="M1050" s="100"/>
      <c r="N1050" s="109"/>
      <c r="O1050" s="9">
        <f t="shared" si="292"/>
        <v>3</v>
      </c>
      <c r="P1050" s="58">
        <v>45421</v>
      </c>
      <c r="Q1050" s="56"/>
      <c r="R1050" s="56"/>
    </row>
    <row r="1051" spans="1:18" x14ac:dyDescent="0.15">
      <c r="A1051" s="50" t="s">
        <v>29</v>
      </c>
      <c r="B1051" s="8"/>
      <c r="C1051" s="10">
        <v>1</v>
      </c>
      <c r="D1051" s="10">
        <v>1</v>
      </c>
      <c r="E1051" s="10"/>
      <c r="F1051" s="30"/>
      <c r="G1051" s="7">
        <f t="shared" si="293"/>
        <v>2</v>
      </c>
      <c r="H1051" s="58">
        <v>45353</v>
      </c>
      <c r="I1051" s="16" t="s">
        <v>24</v>
      </c>
      <c r="J1051" s="8"/>
      <c r="K1051" s="10">
        <v>3</v>
      </c>
      <c r="L1051" s="10">
        <v>3</v>
      </c>
      <c r="M1051" s="10"/>
      <c r="N1051" s="30"/>
      <c r="O1051" s="7">
        <f t="shared" si="292"/>
        <v>6</v>
      </c>
      <c r="P1051" s="58">
        <v>45462</v>
      </c>
    </row>
    <row r="1052" spans="1:18" x14ac:dyDescent="0.15">
      <c r="A1052" s="50" t="s">
        <v>29</v>
      </c>
      <c r="B1052" s="8"/>
      <c r="C1052" s="10">
        <v>1</v>
      </c>
      <c r="D1052" s="10"/>
      <c r="E1052" s="10"/>
      <c r="F1052" s="30"/>
      <c r="G1052" s="7">
        <f t="shared" si="293"/>
        <v>1</v>
      </c>
      <c r="H1052" s="58">
        <v>45356</v>
      </c>
      <c r="I1052" s="16" t="s">
        <v>24</v>
      </c>
      <c r="J1052" s="8"/>
      <c r="K1052" s="10"/>
      <c r="L1052" s="10">
        <v>4</v>
      </c>
      <c r="M1052" s="10"/>
      <c r="N1052" s="30"/>
      <c r="O1052" s="7">
        <f t="shared" si="292"/>
        <v>4</v>
      </c>
      <c r="P1052" s="58">
        <v>45477</v>
      </c>
    </row>
    <row r="1053" spans="1:18" x14ac:dyDescent="0.15">
      <c r="A1053" s="50" t="s">
        <v>29</v>
      </c>
      <c r="B1053" s="8"/>
      <c r="C1053" s="10"/>
      <c r="D1053" s="10">
        <v>1</v>
      </c>
      <c r="E1053" s="10"/>
      <c r="F1053" s="30"/>
      <c r="G1053" s="7">
        <f t="shared" si="293"/>
        <v>1</v>
      </c>
      <c r="H1053" s="58">
        <v>45357</v>
      </c>
      <c r="I1053" s="39"/>
      <c r="J1053" s="8"/>
      <c r="K1053" s="10"/>
      <c r="L1053" s="10"/>
      <c r="M1053" s="10"/>
      <c r="N1053" s="30"/>
      <c r="O1053" s="7">
        <f t="shared" ref="O1053:O1072" si="294">SUM(J1053:N1053)</f>
        <v>0</v>
      </c>
      <c r="P1053" s="56"/>
    </row>
    <row r="1054" spans="1:18" x14ac:dyDescent="0.15">
      <c r="A1054" s="50" t="s">
        <v>29</v>
      </c>
      <c r="B1054" s="8"/>
      <c r="C1054" s="10"/>
      <c r="D1054" s="10">
        <v>1</v>
      </c>
      <c r="E1054" s="10"/>
      <c r="F1054" s="30"/>
      <c r="G1054" s="7">
        <f t="shared" si="293"/>
        <v>1</v>
      </c>
      <c r="H1054" s="58">
        <v>45358</v>
      </c>
      <c r="I1054" s="39"/>
      <c r="J1054" s="8"/>
      <c r="K1054" s="10"/>
      <c r="L1054" s="10"/>
      <c r="M1054" s="10"/>
      <c r="N1054" s="30"/>
      <c r="O1054" s="7">
        <f t="shared" si="294"/>
        <v>0</v>
      </c>
    </row>
    <row r="1055" spans="1:18" x14ac:dyDescent="0.15">
      <c r="A1055" s="50" t="s">
        <v>29</v>
      </c>
      <c r="B1055" s="8"/>
      <c r="C1055" s="10">
        <v>1</v>
      </c>
      <c r="D1055" s="10"/>
      <c r="E1055" s="10"/>
      <c r="F1055" s="30"/>
      <c r="G1055" s="7">
        <f t="shared" si="293"/>
        <v>1</v>
      </c>
      <c r="H1055" s="58">
        <v>45359</v>
      </c>
      <c r="I1055" s="39"/>
      <c r="J1055" s="8"/>
      <c r="K1055" s="10"/>
      <c r="L1055" s="10"/>
      <c r="M1055" s="10"/>
      <c r="N1055" s="30"/>
      <c r="O1055" s="7">
        <f t="shared" si="294"/>
        <v>0</v>
      </c>
    </row>
    <row r="1056" spans="1:18" x14ac:dyDescent="0.15">
      <c r="A1056" s="50" t="s">
        <v>29</v>
      </c>
      <c r="B1056" s="8"/>
      <c r="C1056" s="10"/>
      <c r="D1056" s="10">
        <f>1+1</f>
        <v>2</v>
      </c>
      <c r="E1056" s="10"/>
      <c r="F1056" s="30"/>
      <c r="G1056" s="7">
        <f t="shared" si="293"/>
        <v>2</v>
      </c>
      <c r="H1056" s="58">
        <v>45362</v>
      </c>
      <c r="I1056" s="39"/>
      <c r="J1056" s="8"/>
      <c r="K1056" s="10"/>
      <c r="L1056" s="10"/>
      <c r="M1056" s="10"/>
      <c r="N1056" s="30"/>
      <c r="O1056" s="7">
        <f t="shared" si="294"/>
        <v>0</v>
      </c>
    </row>
    <row r="1057" spans="1:15" x14ac:dyDescent="0.15">
      <c r="A1057" s="50" t="s">
        <v>29</v>
      </c>
      <c r="B1057" s="8"/>
      <c r="C1057" s="10"/>
      <c r="D1057" s="10"/>
      <c r="E1057" s="10">
        <v>1</v>
      </c>
      <c r="F1057" s="30"/>
      <c r="G1057" s="7">
        <f t="shared" si="293"/>
        <v>1</v>
      </c>
      <c r="H1057" s="58">
        <v>45366</v>
      </c>
      <c r="I1057" s="39"/>
      <c r="J1057" s="8"/>
      <c r="K1057" s="10"/>
      <c r="L1057" s="10"/>
      <c r="M1057" s="10"/>
      <c r="N1057" s="30"/>
      <c r="O1057" s="7">
        <f t="shared" si="294"/>
        <v>0</v>
      </c>
    </row>
    <row r="1058" spans="1:15" x14ac:dyDescent="0.15">
      <c r="A1058" s="50" t="s">
        <v>29</v>
      </c>
      <c r="B1058" s="8"/>
      <c r="C1058" s="10"/>
      <c r="D1058" s="10">
        <v>1</v>
      </c>
      <c r="E1058" s="10"/>
      <c r="F1058" s="30"/>
      <c r="G1058" s="7">
        <f t="shared" si="293"/>
        <v>1</v>
      </c>
      <c r="H1058" s="58">
        <v>45370</v>
      </c>
      <c r="I1058" s="39"/>
      <c r="J1058" s="8"/>
      <c r="K1058" s="10"/>
      <c r="L1058" s="10"/>
      <c r="M1058" s="10"/>
      <c r="N1058" s="30"/>
      <c r="O1058" s="7">
        <f t="shared" si="294"/>
        <v>0</v>
      </c>
    </row>
    <row r="1059" spans="1:15" x14ac:dyDescent="0.15">
      <c r="A1059" s="50" t="s">
        <v>29</v>
      </c>
      <c r="B1059" s="8"/>
      <c r="C1059" s="10"/>
      <c r="D1059" s="10">
        <v>1</v>
      </c>
      <c r="E1059" s="10"/>
      <c r="F1059" s="30"/>
      <c r="G1059" s="7">
        <f t="shared" si="293"/>
        <v>1</v>
      </c>
      <c r="H1059" s="58">
        <v>45373</v>
      </c>
      <c r="I1059" s="39"/>
      <c r="J1059" s="8"/>
      <c r="K1059" s="10"/>
      <c r="L1059" s="10"/>
      <c r="M1059" s="10"/>
      <c r="N1059" s="30"/>
      <c r="O1059" s="7">
        <f t="shared" si="294"/>
        <v>0</v>
      </c>
    </row>
    <row r="1060" spans="1:15" x14ac:dyDescent="0.15">
      <c r="A1060" s="50" t="s">
        <v>29</v>
      </c>
      <c r="B1060" s="8"/>
      <c r="C1060" s="10">
        <v>2</v>
      </c>
      <c r="D1060" s="10"/>
      <c r="E1060" s="10"/>
      <c r="F1060" s="30"/>
      <c r="G1060" s="7">
        <f t="shared" si="293"/>
        <v>2</v>
      </c>
      <c r="H1060" s="58">
        <v>45376</v>
      </c>
      <c r="I1060" s="39"/>
      <c r="J1060" s="8"/>
      <c r="K1060" s="10"/>
      <c r="L1060" s="10"/>
      <c r="M1060" s="10"/>
      <c r="N1060" s="30"/>
      <c r="O1060" s="7">
        <f t="shared" si="294"/>
        <v>0</v>
      </c>
    </row>
    <row r="1061" spans="1:15" x14ac:dyDescent="0.15">
      <c r="A1061" s="50" t="s">
        <v>29</v>
      </c>
      <c r="B1061" s="8"/>
      <c r="C1061" s="10">
        <v>1</v>
      </c>
      <c r="D1061" s="10"/>
      <c r="E1061" s="10"/>
      <c r="F1061" s="30"/>
      <c r="G1061" s="7">
        <f t="shared" si="293"/>
        <v>1</v>
      </c>
      <c r="H1061" s="58">
        <v>45397</v>
      </c>
      <c r="I1061" s="39"/>
      <c r="J1061" s="8"/>
      <c r="K1061" s="10"/>
      <c r="L1061" s="10"/>
      <c r="M1061" s="10"/>
      <c r="N1061" s="30"/>
      <c r="O1061" s="7">
        <f t="shared" si="294"/>
        <v>0</v>
      </c>
    </row>
    <row r="1062" spans="1:15" x14ac:dyDescent="0.15">
      <c r="A1062" s="50" t="s">
        <v>29</v>
      </c>
      <c r="B1062" s="8"/>
      <c r="C1062" s="10"/>
      <c r="D1062" s="10">
        <v>1</v>
      </c>
      <c r="E1062" s="10"/>
      <c r="F1062" s="30"/>
      <c r="G1062" s="7">
        <f t="shared" si="293"/>
        <v>1</v>
      </c>
      <c r="H1062" s="58">
        <v>45414</v>
      </c>
      <c r="I1062" s="39"/>
      <c r="J1062" s="8"/>
      <c r="K1062" s="10"/>
      <c r="L1062" s="10"/>
      <c r="M1062" s="10"/>
      <c r="N1062" s="30"/>
      <c r="O1062" s="7">
        <f t="shared" si="294"/>
        <v>0</v>
      </c>
    </row>
    <row r="1063" spans="1:15" x14ac:dyDescent="0.15">
      <c r="A1063" s="50" t="s">
        <v>29</v>
      </c>
      <c r="B1063" s="8">
        <v>1</v>
      </c>
      <c r="C1063" s="10"/>
      <c r="D1063" s="10"/>
      <c r="E1063" s="10"/>
      <c r="F1063" s="30"/>
      <c r="G1063" s="7">
        <f t="shared" si="293"/>
        <v>1</v>
      </c>
      <c r="H1063" s="58">
        <v>45441</v>
      </c>
      <c r="I1063" s="39"/>
      <c r="J1063" s="8"/>
      <c r="K1063" s="10"/>
      <c r="L1063" s="10"/>
      <c r="M1063" s="10"/>
      <c r="N1063" s="30"/>
      <c r="O1063" s="7">
        <f t="shared" si="294"/>
        <v>0</v>
      </c>
    </row>
    <row r="1064" spans="1:15" x14ac:dyDescent="0.15">
      <c r="A1064" s="50" t="s">
        <v>29</v>
      </c>
      <c r="B1064" s="8"/>
      <c r="C1064" s="10"/>
      <c r="D1064" s="10">
        <v>1</v>
      </c>
      <c r="E1064" s="10"/>
      <c r="F1064" s="30"/>
      <c r="G1064" s="7">
        <f t="shared" si="293"/>
        <v>1</v>
      </c>
      <c r="H1064" s="58">
        <v>45449</v>
      </c>
      <c r="I1064" s="39"/>
      <c r="J1064" s="8"/>
      <c r="K1064" s="10"/>
      <c r="L1064" s="10"/>
      <c r="M1064" s="10"/>
      <c r="N1064" s="30"/>
      <c r="O1064" s="7">
        <f t="shared" si="294"/>
        <v>0</v>
      </c>
    </row>
    <row r="1065" spans="1:15" x14ac:dyDescent="0.15">
      <c r="A1065" s="50" t="s">
        <v>29</v>
      </c>
      <c r="B1065" s="8"/>
      <c r="C1065" s="10">
        <v>2</v>
      </c>
      <c r="D1065" s="10">
        <v>1</v>
      </c>
      <c r="E1065" s="10"/>
      <c r="F1065" s="30"/>
      <c r="G1065" s="7">
        <f t="shared" si="293"/>
        <v>3</v>
      </c>
      <c r="H1065" s="58">
        <v>45453</v>
      </c>
      <c r="I1065" s="39"/>
      <c r="J1065" s="8"/>
      <c r="K1065" s="10"/>
      <c r="L1065" s="10"/>
      <c r="M1065" s="10"/>
      <c r="N1065" s="30"/>
      <c r="O1065" s="7">
        <f t="shared" si="294"/>
        <v>0</v>
      </c>
    </row>
    <row r="1066" spans="1:15" x14ac:dyDescent="0.15">
      <c r="A1066" s="50" t="s">
        <v>29</v>
      </c>
      <c r="B1066" s="8"/>
      <c r="C1066" s="10">
        <v>1</v>
      </c>
      <c r="D1066" s="10"/>
      <c r="E1066" s="10"/>
      <c r="F1066" s="30"/>
      <c r="G1066" s="7">
        <f t="shared" si="293"/>
        <v>1</v>
      </c>
      <c r="H1066" s="58">
        <v>45461</v>
      </c>
      <c r="I1066" s="39"/>
      <c r="J1066" s="8"/>
      <c r="K1066" s="10"/>
      <c r="L1066" s="10"/>
      <c r="M1066" s="10"/>
      <c r="N1066" s="30"/>
      <c r="O1066" s="7">
        <f t="shared" si="294"/>
        <v>0</v>
      </c>
    </row>
    <row r="1067" spans="1:15" x14ac:dyDescent="0.15">
      <c r="A1067" s="50" t="s">
        <v>29</v>
      </c>
      <c r="B1067" s="8"/>
      <c r="C1067" s="10"/>
      <c r="D1067" s="10">
        <v>1</v>
      </c>
      <c r="E1067" s="10"/>
      <c r="F1067" s="30"/>
      <c r="G1067" s="7">
        <f t="shared" si="293"/>
        <v>1</v>
      </c>
      <c r="H1067" s="58">
        <v>45464</v>
      </c>
      <c r="I1067" s="39"/>
      <c r="J1067" s="8"/>
      <c r="K1067" s="10"/>
      <c r="L1067" s="10"/>
      <c r="M1067" s="10"/>
      <c r="N1067" s="30"/>
      <c r="O1067" s="7">
        <f t="shared" si="294"/>
        <v>0</v>
      </c>
    </row>
    <row r="1068" spans="1:15" x14ac:dyDescent="0.15">
      <c r="A1068" s="50" t="s">
        <v>29</v>
      </c>
      <c r="B1068" s="8"/>
      <c r="C1068" s="10"/>
      <c r="D1068" s="10">
        <v>1</v>
      </c>
      <c r="E1068" s="10"/>
      <c r="F1068" s="30"/>
      <c r="G1068" s="7">
        <f t="shared" si="293"/>
        <v>1</v>
      </c>
      <c r="H1068" s="58">
        <v>45467</v>
      </c>
      <c r="I1068" s="39"/>
      <c r="J1068" s="8"/>
      <c r="K1068" s="10"/>
      <c r="L1068" s="10"/>
      <c r="M1068" s="10"/>
      <c r="N1068" s="30"/>
      <c r="O1068" s="7">
        <f t="shared" si="294"/>
        <v>0</v>
      </c>
    </row>
    <row r="1069" spans="1:15" x14ac:dyDescent="0.15">
      <c r="A1069" s="50" t="s">
        <v>29</v>
      </c>
      <c r="B1069" s="8"/>
      <c r="C1069" s="10"/>
      <c r="D1069" s="10">
        <v>1</v>
      </c>
      <c r="E1069" s="10"/>
      <c r="F1069" s="30"/>
      <c r="G1069" s="7">
        <f t="shared" ref="G1069:G1072" si="295">SUM(B1069:F1069)</f>
        <v>1</v>
      </c>
      <c r="H1069" s="58">
        <v>45469</v>
      </c>
      <c r="I1069" s="39"/>
      <c r="J1069" s="8"/>
      <c r="K1069" s="10"/>
      <c r="L1069" s="10"/>
      <c r="M1069" s="10"/>
      <c r="N1069" s="30"/>
      <c r="O1069" s="7">
        <f t="shared" si="294"/>
        <v>0</v>
      </c>
    </row>
    <row r="1070" spans="1:15" x14ac:dyDescent="0.15">
      <c r="A1070" s="50" t="s">
        <v>29</v>
      </c>
      <c r="B1070" s="8"/>
      <c r="C1070" s="10"/>
      <c r="D1070" s="10">
        <v>1</v>
      </c>
      <c r="E1070" s="10"/>
      <c r="F1070" s="30"/>
      <c r="G1070" s="7">
        <f t="shared" si="295"/>
        <v>1</v>
      </c>
      <c r="H1070" s="58">
        <v>45472</v>
      </c>
      <c r="I1070" s="39"/>
      <c r="J1070" s="8"/>
      <c r="K1070" s="10"/>
      <c r="L1070" s="10"/>
      <c r="M1070" s="10"/>
      <c r="N1070" s="30"/>
      <c r="O1070" s="7">
        <f t="shared" si="294"/>
        <v>0</v>
      </c>
    </row>
    <row r="1071" spans="1:15" x14ac:dyDescent="0.15">
      <c r="A1071" s="50" t="s">
        <v>29</v>
      </c>
      <c r="B1071" s="8"/>
      <c r="C1071" s="10">
        <v>1</v>
      </c>
      <c r="D1071" s="10"/>
      <c r="E1071" s="10"/>
      <c r="F1071" s="30"/>
      <c r="G1071" s="7">
        <f t="shared" si="295"/>
        <v>1</v>
      </c>
      <c r="H1071" s="58">
        <v>45475</v>
      </c>
      <c r="I1071" s="39"/>
      <c r="J1071" s="8"/>
      <c r="K1071" s="10"/>
      <c r="L1071" s="10"/>
      <c r="M1071" s="10"/>
      <c r="N1071" s="30"/>
      <c r="O1071" s="7">
        <f t="shared" si="294"/>
        <v>0</v>
      </c>
    </row>
    <row r="1072" spans="1:15" ht="14.25" thickBot="1" x14ac:dyDescent="0.2">
      <c r="A1072" s="50" t="s">
        <v>29</v>
      </c>
      <c r="B1072" s="11"/>
      <c r="C1072" s="12"/>
      <c r="D1072" s="12">
        <v>1</v>
      </c>
      <c r="E1072" s="12"/>
      <c r="F1072" s="31"/>
      <c r="G1072" s="7">
        <f t="shared" si="295"/>
        <v>1</v>
      </c>
      <c r="H1072" s="58">
        <v>45477</v>
      </c>
      <c r="I1072" s="14"/>
      <c r="J1072" s="8"/>
      <c r="K1072" s="10"/>
      <c r="L1072" s="10"/>
      <c r="M1072" s="10"/>
      <c r="N1072" s="30"/>
      <c r="O1072" s="7">
        <f t="shared" si="294"/>
        <v>0</v>
      </c>
    </row>
    <row r="1073" spans="1:15" ht="14.25" thickBot="1" x14ac:dyDescent="0.2">
      <c r="A1073" s="3" t="s">
        <v>11</v>
      </c>
      <c r="B1073" s="23">
        <f>SUM(B1047:B1072)</f>
        <v>1</v>
      </c>
      <c r="C1073" s="4">
        <f t="shared" ref="C1073:F1073" si="296">SUM(C1047:C1072)</f>
        <v>13</v>
      </c>
      <c r="D1073" s="4">
        <f t="shared" si="296"/>
        <v>16</v>
      </c>
      <c r="E1073" s="204">
        <f>SUM(E1047:E1072)</f>
        <v>1</v>
      </c>
      <c r="F1073" s="205">
        <f t="shared" si="296"/>
        <v>0</v>
      </c>
      <c r="G1073" s="5">
        <f>SUM(B1073:F1073)</f>
        <v>31</v>
      </c>
      <c r="H1073" s="58"/>
      <c r="I1073" s="3" t="s">
        <v>11</v>
      </c>
      <c r="J1073" s="23">
        <f>SUM(J1047:J1072)</f>
        <v>0</v>
      </c>
      <c r="K1073" s="4">
        <f>SUM(K1047:K1072)</f>
        <v>11</v>
      </c>
      <c r="L1073" s="204">
        <f>SUM(L1047:L1072)</f>
        <v>17</v>
      </c>
      <c r="M1073" s="204">
        <f>SUM(M1047:M1072)</f>
        <v>0</v>
      </c>
      <c r="N1073" s="205">
        <f>SUM(N1047:N1072)</f>
        <v>0</v>
      </c>
      <c r="O1073" s="5">
        <f>SUM(J1073:N1073)</f>
        <v>28</v>
      </c>
    </row>
    <row r="1074" spans="1:15" ht="14.25" thickBot="1" x14ac:dyDescent="0.2">
      <c r="A1074" s="25" t="s">
        <v>12</v>
      </c>
      <c r="B1074" s="63">
        <f>B1046-B1073</f>
        <v>4</v>
      </c>
      <c r="C1074" s="26">
        <f>C1046-C1073</f>
        <v>4</v>
      </c>
      <c r="D1074" s="71">
        <f t="shared" ref="D1074:G1074" si="297">D1046-D1073</f>
        <v>9</v>
      </c>
      <c r="E1074" s="206">
        <f t="shared" si="297"/>
        <v>0</v>
      </c>
      <c r="F1074" s="208">
        <f t="shared" si="297"/>
        <v>0</v>
      </c>
      <c r="G1074" s="27">
        <f t="shared" si="297"/>
        <v>17</v>
      </c>
      <c r="H1074" s="58"/>
      <c r="I1074" s="25" t="s">
        <v>12</v>
      </c>
      <c r="J1074" s="63">
        <f>J1046-J1073</f>
        <v>129</v>
      </c>
      <c r="K1074" s="26">
        <f t="shared" ref="K1074:O1074" si="298">K1046-K1073</f>
        <v>26</v>
      </c>
      <c r="L1074" s="206">
        <f t="shared" ref="L1074" si="299">L1046-L1073</f>
        <v>0</v>
      </c>
      <c r="M1074" s="206">
        <f t="shared" si="298"/>
        <v>0</v>
      </c>
      <c r="N1074" s="208">
        <f t="shared" si="298"/>
        <v>0</v>
      </c>
      <c r="O1074" s="27">
        <f t="shared" si="298"/>
        <v>155</v>
      </c>
    </row>
    <row r="1075" spans="1:15" ht="21" x14ac:dyDescent="0.2">
      <c r="A1075" s="86" t="s">
        <v>50</v>
      </c>
      <c r="B1075" s="87"/>
      <c r="C1075" s="87"/>
      <c r="D1075" s="87"/>
      <c r="E1075" s="87"/>
      <c r="F1075" s="87"/>
      <c r="G1075" s="87"/>
      <c r="H1075" s="58"/>
      <c r="I1075" s="86" t="s">
        <v>50</v>
      </c>
      <c r="J1075" s="87"/>
      <c r="K1075" s="87"/>
      <c r="L1075" s="87"/>
      <c r="M1075" s="87"/>
      <c r="N1075" s="87"/>
      <c r="O1075" s="87"/>
    </row>
    <row r="1076" spans="1:15" ht="21.75" thickBot="1" x14ac:dyDescent="0.25">
      <c r="A1076" s="86" t="s">
        <v>51</v>
      </c>
      <c r="B1076" s="87"/>
      <c r="C1076" s="87"/>
      <c r="D1076" s="87"/>
      <c r="E1076" s="85"/>
      <c r="F1076" s="88" t="s">
        <v>53</v>
      </c>
      <c r="G1076" s="87"/>
      <c r="H1076" s="58"/>
      <c r="I1076" s="86" t="s">
        <v>51</v>
      </c>
      <c r="J1076" s="87"/>
      <c r="K1076" s="87"/>
      <c r="L1076" s="87"/>
      <c r="M1076" s="89"/>
      <c r="N1076" s="88" t="s">
        <v>54</v>
      </c>
      <c r="O1076" s="87"/>
    </row>
    <row r="1077" spans="1:15" ht="14.25" thickBot="1" x14ac:dyDescent="0.2">
      <c r="A1077" s="13" t="s">
        <v>0</v>
      </c>
      <c r="B1077" s="228" t="s">
        <v>52</v>
      </c>
      <c r="C1077" s="229"/>
      <c r="D1077" s="229"/>
      <c r="E1077" s="229"/>
      <c r="F1077" s="230"/>
      <c r="G1077" s="231"/>
      <c r="H1077" s="58"/>
      <c r="I1077" s="13" t="s">
        <v>0</v>
      </c>
      <c r="J1077" s="228" t="s">
        <v>52</v>
      </c>
      <c r="K1077" s="229"/>
      <c r="L1077" s="229"/>
      <c r="M1077" s="229"/>
      <c r="N1077" s="230"/>
      <c r="O1077" s="231"/>
    </row>
    <row r="1078" spans="1:15" ht="14.25" thickBot="1" x14ac:dyDescent="0.2">
      <c r="A1078" s="3" t="s">
        <v>1</v>
      </c>
      <c r="B1078" s="2" t="s">
        <v>42</v>
      </c>
      <c r="C1078" s="21" t="s">
        <v>43</v>
      </c>
      <c r="D1078" s="21" t="s">
        <v>44</v>
      </c>
      <c r="E1078" s="24" t="s">
        <v>45</v>
      </c>
      <c r="F1078" s="33" t="s">
        <v>46</v>
      </c>
      <c r="G1078" s="3" t="s">
        <v>2</v>
      </c>
      <c r="H1078" s="58"/>
      <c r="I1078" s="3" t="s">
        <v>1</v>
      </c>
      <c r="J1078" s="2" t="s">
        <v>42</v>
      </c>
      <c r="K1078" s="21" t="s">
        <v>43</v>
      </c>
      <c r="L1078" s="21" t="s">
        <v>44</v>
      </c>
      <c r="M1078" s="24" t="s">
        <v>45</v>
      </c>
      <c r="N1078" s="33" t="s">
        <v>46</v>
      </c>
      <c r="O1078" s="3" t="s">
        <v>2</v>
      </c>
    </row>
    <row r="1079" spans="1:15" ht="14.25" thickBot="1" x14ac:dyDescent="0.2">
      <c r="A1079" s="72" t="s">
        <v>79</v>
      </c>
      <c r="B1079" s="73">
        <f>B1074</f>
        <v>4</v>
      </c>
      <c r="C1079" s="74">
        <f t="shared" ref="C1079:F1079" si="300">C1074</f>
        <v>4</v>
      </c>
      <c r="D1079" s="107">
        <f t="shared" si="300"/>
        <v>9</v>
      </c>
      <c r="E1079" s="75">
        <f t="shared" si="300"/>
        <v>0</v>
      </c>
      <c r="F1079" s="75">
        <f t="shared" si="300"/>
        <v>0</v>
      </c>
      <c r="G1079" s="76">
        <f t="shared" ref="G1079:G1088" si="301">SUM(B1079:F1079)</f>
        <v>17</v>
      </c>
      <c r="H1079" s="58"/>
      <c r="I1079" s="72" t="s">
        <v>79</v>
      </c>
      <c r="J1079" s="73">
        <f>J1074</f>
        <v>129</v>
      </c>
      <c r="K1079" s="74">
        <f t="shared" ref="K1079:N1079" si="302">K1074</f>
        <v>26</v>
      </c>
      <c r="L1079" s="107">
        <f t="shared" si="302"/>
        <v>0</v>
      </c>
      <c r="M1079" s="75">
        <f t="shared" si="302"/>
        <v>0</v>
      </c>
      <c r="N1079" s="75">
        <f t="shared" si="302"/>
        <v>0</v>
      </c>
      <c r="O1079" s="76">
        <f t="shared" ref="O1079:O1088" si="303">SUM(J1079:N1079)</f>
        <v>155</v>
      </c>
    </row>
    <row r="1080" spans="1:15" x14ac:dyDescent="0.15">
      <c r="A1080" s="15" t="s">
        <v>1348</v>
      </c>
      <c r="B1080" s="37">
        <v>1</v>
      </c>
      <c r="C1080" s="35">
        <v>0</v>
      </c>
      <c r="D1080" s="35">
        <v>0</v>
      </c>
      <c r="E1080" s="35"/>
      <c r="F1080" s="28"/>
      <c r="G1080" s="7">
        <f t="shared" si="301"/>
        <v>1</v>
      </c>
      <c r="H1080" s="57">
        <v>45530</v>
      </c>
      <c r="I1080" s="15" t="s">
        <v>14</v>
      </c>
      <c r="J1080" s="37"/>
      <c r="K1080" s="35"/>
      <c r="L1080" s="35"/>
      <c r="M1080" s="35"/>
      <c r="N1080" s="28"/>
      <c r="O1080" s="7">
        <f t="shared" si="303"/>
        <v>0</v>
      </c>
    </row>
    <row r="1081" spans="1:15" x14ac:dyDescent="0.15">
      <c r="A1081" s="15" t="s">
        <v>3</v>
      </c>
      <c r="B1081" s="8">
        <v>3</v>
      </c>
      <c r="C1081" s="10">
        <v>3</v>
      </c>
      <c r="D1081" s="10"/>
      <c r="E1081" s="10"/>
      <c r="F1081" s="28"/>
      <c r="G1081" s="9">
        <f t="shared" si="301"/>
        <v>6</v>
      </c>
      <c r="H1081" s="58">
        <v>45541</v>
      </c>
      <c r="I1081" s="15" t="s">
        <v>3</v>
      </c>
      <c r="J1081" s="8"/>
      <c r="K1081" s="10"/>
      <c r="L1081" s="10"/>
      <c r="M1081" s="10"/>
      <c r="N1081" s="28"/>
      <c r="O1081" s="9">
        <f t="shared" si="303"/>
        <v>0</v>
      </c>
    </row>
    <row r="1082" spans="1:15" x14ac:dyDescent="0.15">
      <c r="A1082" s="15" t="s">
        <v>4</v>
      </c>
      <c r="B1082" s="8">
        <v>3</v>
      </c>
      <c r="C1082" s="45">
        <v>3</v>
      </c>
      <c r="D1082" s="45"/>
      <c r="E1082" s="45"/>
      <c r="F1082" s="46"/>
      <c r="G1082" s="9">
        <f t="shared" si="301"/>
        <v>6</v>
      </c>
      <c r="H1082" s="58">
        <v>45622</v>
      </c>
      <c r="I1082" s="15" t="s">
        <v>4</v>
      </c>
      <c r="J1082" s="8"/>
      <c r="K1082" s="45"/>
      <c r="L1082" s="45"/>
      <c r="M1082" s="45"/>
      <c r="N1082" s="46"/>
      <c r="O1082" s="9">
        <f t="shared" si="303"/>
        <v>0</v>
      </c>
    </row>
    <row r="1083" spans="1:15" x14ac:dyDescent="0.15">
      <c r="A1083" s="15" t="s">
        <v>5</v>
      </c>
      <c r="B1083" s="8">
        <v>3</v>
      </c>
      <c r="C1083" s="45">
        <v>3</v>
      </c>
      <c r="D1083" s="45"/>
      <c r="E1083" s="45"/>
      <c r="F1083" s="46"/>
      <c r="G1083" s="9">
        <f t="shared" si="301"/>
        <v>6</v>
      </c>
      <c r="H1083" s="58">
        <v>45700</v>
      </c>
      <c r="I1083" s="15" t="s">
        <v>5</v>
      </c>
      <c r="J1083" s="8"/>
      <c r="K1083" s="45"/>
      <c r="L1083" s="45"/>
      <c r="M1083" s="45"/>
      <c r="N1083" s="46"/>
      <c r="O1083" s="9">
        <f t="shared" si="303"/>
        <v>0</v>
      </c>
    </row>
    <row r="1084" spans="1:15" x14ac:dyDescent="0.15">
      <c r="A1084" s="15" t="s">
        <v>6</v>
      </c>
      <c r="B1084" s="8">
        <v>-1</v>
      </c>
      <c r="C1084" s="45"/>
      <c r="D1084" s="45"/>
      <c r="E1084" s="45"/>
      <c r="F1084" s="46"/>
      <c r="G1084" s="9">
        <f t="shared" si="301"/>
        <v>-1</v>
      </c>
      <c r="H1084" s="58">
        <v>45705</v>
      </c>
      <c r="I1084" s="15" t="s">
        <v>6</v>
      </c>
      <c r="J1084" s="8"/>
      <c r="K1084" s="45"/>
      <c r="L1084" s="45"/>
      <c r="M1084" s="45"/>
      <c r="N1084" s="46"/>
      <c r="O1084" s="9">
        <f t="shared" si="303"/>
        <v>0</v>
      </c>
    </row>
    <row r="1085" spans="1:15" x14ac:dyDescent="0.15">
      <c r="A1085" s="15" t="s">
        <v>84</v>
      </c>
      <c r="B1085" s="8">
        <v>3</v>
      </c>
      <c r="C1085" s="45"/>
      <c r="D1085" s="45"/>
      <c r="E1085" s="45"/>
      <c r="F1085" s="46"/>
      <c r="G1085" s="7">
        <f t="shared" si="301"/>
        <v>3</v>
      </c>
      <c r="H1085" s="58">
        <v>45723</v>
      </c>
      <c r="I1085" s="15" t="s">
        <v>84</v>
      </c>
      <c r="J1085" s="8"/>
      <c r="K1085" s="45"/>
      <c r="L1085" s="45"/>
      <c r="M1085" s="45"/>
      <c r="N1085" s="46"/>
      <c r="O1085" s="7">
        <f t="shared" si="303"/>
        <v>0</v>
      </c>
    </row>
    <row r="1086" spans="1:15" x14ac:dyDescent="0.15">
      <c r="A1086" s="15" t="s">
        <v>85</v>
      </c>
      <c r="B1086" s="8"/>
      <c r="C1086" s="45"/>
      <c r="D1086" s="45"/>
      <c r="E1086" s="45"/>
      <c r="F1086" s="46"/>
      <c r="G1086" s="7">
        <f t="shared" si="301"/>
        <v>0</v>
      </c>
      <c r="H1086" s="56"/>
      <c r="I1086" s="15" t="s">
        <v>85</v>
      </c>
      <c r="J1086" s="8"/>
      <c r="K1086" s="45"/>
      <c r="L1086" s="45"/>
      <c r="M1086" s="45"/>
      <c r="N1086" s="46"/>
      <c r="O1086" s="7">
        <f t="shared" si="303"/>
        <v>0</v>
      </c>
    </row>
    <row r="1087" spans="1:15" x14ac:dyDescent="0.15">
      <c r="A1087" s="15" t="s">
        <v>86</v>
      </c>
      <c r="B1087" s="8"/>
      <c r="C1087" s="45"/>
      <c r="D1087" s="45"/>
      <c r="E1087" s="45"/>
      <c r="F1087" s="46"/>
      <c r="G1087" s="102">
        <f t="shared" si="301"/>
        <v>0</v>
      </c>
      <c r="I1087" s="15" t="s">
        <v>86</v>
      </c>
      <c r="J1087" s="8"/>
      <c r="K1087" s="45"/>
      <c r="L1087" s="45"/>
      <c r="M1087" s="45"/>
      <c r="N1087" s="46"/>
      <c r="O1087" s="102">
        <f t="shared" si="303"/>
        <v>0</v>
      </c>
    </row>
    <row r="1088" spans="1:15" ht="14.25" thickBot="1" x14ac:dyDescent="0.2">
      <c r="A1088" s="15" t="s">
        <v>87</v>
      </c>
      <c r="B1088" s="47"/>
      <c r="C1088" s="48"/>
      <c r="D1088" s="48"/>
      <c r="E1088" s="48"/>
      <c r="F1088" s="49"/>
      <c r="G1088" s="40">
        <f t="shared" si="301"/>
        <v>0</v>
      </c>
      <c r="I1088" s="15" t="s">
        <v>87</v>
      </c>
      <c r="J1088" s="47"/>
      <c r="K1088" s="48"/>
      <c r="L1088" s="48"/>
      <c r="M1088" s="48"/>
      <c r="N1088" s="49"/>
      <c r="O1088" s="40">
        <f t="shared" si="303"/>
        <v>0</v>
      </c>
    </row>
    <row r="1089" spans="1:17" ht="14.25" thickBot="1" x14ac:dyDescent="0.2">
      <c r="A1089" s="72" t="s">
        <v>7</v>
      </c>
      <c r="B1089" s="73">
        <f>SUM(B1079:B1088)</f>
        <v>16</v>
      </c>
      <c r="C1089" s="74">
        <f>SUM(C1079:C1088)</f>
        <v>13</v>
      </c>
      <c r="D1089" s="74">
        <f>SUM(D1079:D1088)</f>
        <v>9</v>
      </c>
      <c r="E1089" s="74">
        <f t="shared" ref="E1089:G1089" si="304">SUM(E1079:E1088)</f>
        <v>0</v>
      </c>
      <c r="F1089" s="105">
        <f t="shared" si="304"/>
        <v>0</v>
      </c>
      <c r="G1089" s="76">
        <f t="shared" si="304"/>
        <v>38</v>
      </c>
      <c r="H1089" s="58"/>
      <c r="I1089" s="72" t="s">
        <v>7</v>
      </c>
      <c r="J1089" s="73">
        <f>SUM(J1079:J1088)</f>
        <v>129</v>
      </c>
      <c r="K1089" s="74">
        <f t="shared" ref="K1089:O1089" si="305">SUM(K1079:K1088)</f>
        <v>26</v>
      </c>
      <c r="L1089" s="74">
        <f t="shared" si="305"/>
        <v>0</v>
      </c>
      <c r="M1089" s="74">
        <f t="shared" si="305"/>
        <v>0</v>
      </c>
      <c r="N1089" s="105">
        <f t="shared" si="305"/>
        <v>0</v>
      </c>
      <c r="O1089" s="76">
        <f t="shared" si="305"/>
        <v>155</v>
      </c>
    </row>
    <row r="1090" spans="1:17" x14ac:dyDescent="0.15">
      <c r="A1090" s="50" t="s">
        <v>29</v>
      </c>
      <c r="B1090" s="8"/>
      <c r="C1090" s="10"/>
      <c r="D1090" s="10">
        <v>1</v>
      </c>
      <c r="E1090" s="10"/>
      <c r="F1090" s="30"/>
      <c r="G1090" s="7">
        <f t="shared" ref="G1090:G1104" si="306">SUM(B1090:F1090)</f>
        <v>1</v>
      </c>
      <c r="H1090" s="58">
        <v>45481</v>
      </c>
      <c r="I1090" s="16" t="s">
        <v>24</v>
      </c>
      <c r="J1090" s="8">
        <v>3</v>
      </c>
      <c r="K1090" s="10">
        <v>3</v>
      </c>
      <c r="L1090" s="10"/>
      <c r="M1090" s="10"/>
      <c r="N1090" s="30"/>
      <c r="O1090" s="7">
        <f t="shared" ref="O1090:O1093" si="307">SUM(J1090:N1090)</f>
        <v>6</v>
      </c>
      <c r="P1090" s="58">
        <v>45541</v>
      </c>
    </row>
    <row r="1091" spans="1:17" x14ac:dyDescent="0.15">
      <c r="A1091" s="50" t="s">
        <v>29</v>
      </c>
      <c r="B1091" s="8">
        <v>1</v>
      </c>
      <c r="C1091" s="10"/>
      <c r="D1091" s="10"/>
      <c r="E1091" s="10"/>
      <c r="F1091" s="30"/>
      <c r="G1091" s="7">
        <f t="shared" si="306"/>
        <v>1</v>
      </c>
      <c r="H1091" s="58">
        <v>45483</v>
      </c>
      <c r="I1091" s="16" t="s">
        <v>24</v>
      </c>
      <c r="J1091" s="8">
        <v>3</v>
      </c>
      <c r="K1091" s="10">
        <v>3</v>
      </c>
      <c r="L1091" s="10"/>
      <c r="M1091" s="10"/>
      <c r="N1091" s="30"/>
      <c r="O1091" s="7">
        <f t="shared" si="307"/>
        <v>6</v>
      </c>
      <c r="P1091" s="58">
        <v>45622</v>
      </c>
      <c r="Q1091" s="56"/>
    </row>
    <row r="1092" spans="1:17" x14ac:dyDescent="0.15">
      <c r="A1092" s="50" t="s">
        <v>29</v>
      </c>
      <c r="B1092" s="8"/>
      <c r="C1092" s="10"/>
      <c r="D1092" s="10">
        <v>1</v>
      </c>
      <c r="E1092" s="10"/>
      <c r="F1092" s="30"/>
      <c r="G1092" s="7">
        <f t="shared" si="306"/>
        <v>1</v>
      </c>
      <c r="H1092" s="58">
        <v>45491</v>
      </c>
      <c r="I1092" s="16" t="s">
        <v>24</v>
      </c>
      <c r="J1092" s="8">
        <v>3</v>
      </c>
      <c r="K1092" s="10">
        <v>3</v>
      </c>
      <c r="L1092" s="10"/>
      <c r="M1092" s="10"/>
      <c r="N1092" s="30"/>
      <c r="O1092" s="7">
        <f t="shared" si="307"/>
        <v>6</v>
      </c>
      <c r="P1092" s="58">
        <v>45700</v>
      </c>
      <c r="Q1092" s="56"/>
    </row>
    <row r="1093" spans="1:17" x14ac:dyDescent="0.15">
      <c r="A1093" s="50" t="s">
        <v>29</v>
      </c>
      <c r="B1093" s="8">
        <v>1</v>
      </c>
      <c r="C1093" s="10"/>
      <c r="D1093" s="10"/>
      <c r="E1093" s="10"/>
      <c r="F1093" s="30"/>
      <c r="G1093" s="7">
        <f t="shared" si="306"/>
        <v>1</v>
      </c>
      <c r="H1093" s="58">
        <v>45502</v>
      </c>
      <c r="I1093" s="16" t="s">
        <v>24</v>
      </c>
      <c r="J1093" s="8">
        <v>3</v>
      </c>
      <c r="K1093" s="10"/>
      <c r="L1093" s="10"/>
      <c r="M1093" s="10"/>
      <c r="N1093" s="30"/>
      <c r="O1093" s="7">
        <f t="shared" si="307"/>
        <v>3</v>
      </c>
      <c r="P1093" s="58">
        <v>45723</v>
      </c>
      <c r="Q1093" s="56"/>
    </row>
    <row r="1094" spans="1:17" x14ac:dyDescent="0.15">
      <c r="A1094" s="50" t="s">
        <v>29</v>
      </c>
      <c r="B1094" s="8"/>
      <c r="C1094" s="10">
        <v>1</v>
      </c>
      <c r="D1094" s="10"/>
      <c r="E1094" s="10"/>
      <c r="F1094" s="30"/>
      <c r="G1094" s="7">
        <f t="shared" si="306"/>
        <v>1</v>
      </c>
      <c r="H1094" s="58">
        <v>45505</v>
      </c>
      <c r="I1094" s="39"/>
      <c r="J1094" s="8"/>
      <c r="K1094" s="10"/>
      <c r="L1094" s="10"/>
      <c r="M1094" s="10"/>
      <c r="N1094" s="30"/>
      <c r="O1094" s="7">
        <f t="shared" ref="O1094:O1104" si="308">SUM(J1094:N1094)</f>
        <v>0</v>
      </c>
      <c r="P1094" s="56"/>
    </row>
    <row r="1095" spans="1:17" x14ac:dyDescent="0.15">
      <c r="A1095" s="50" t="s">
        <v>29</v>
      </c>
      <c r="B1095" s="8"/>
      <c r="C1095" s="10">
        <v>1</v>
      </c>
      <c r="D1095" s="10"/>
      <c r="E1095" s="10"/>
      <c r="F1095" s="30"/>
      <c r="G1095" s="7">
        <f t="shared" si="306"/>
        <v>1</v>
      </c>
      <c r="H1095" s="58">
        <v>45510</v>
      </c>
      <c r="I1095" s="39"/>
      <c r="J1095" s="8"/>
      <c r="K1095" s="10"/>
      <c r="L1095" s="10"/>
      <c r="M1095" s="10"/>
      <c r="N1095" s="30"/>
      <c r="O1095" s="7">
        <f t="shared" si="308"/>
        <v>0</v>
      </c>
      <c r="P1095" s="56"/>
    </row>
    <row r="1096" spans="1:17" x14ac:dyDescent="0.15">
      <c r="A1096" s="50" t="s">
        <v>29</v>
      </c>
      <c r="B1096" s="8"/>
      <c r="C1096" s="10"/>
      <c r="D1096" s="10">
        <v>1</v>
      </c>
      <c r="E1096" s="10"/>
      <c r="F1096" s="30"/>
      <c r="G1096" s="7">
        <f t="shared" si="306"/>
        <v>1</v>
      </c>
      <c r="H1096" s="58">
        <v>45512</v>
      </c>
      <c r="I1096" s="39"/>
      <c r="J1096" s="8"/>
      <c r="K1096" s="10"/>
      <c r="L1096" s="10"/>
      <c r="M1096" s="10"/>
      <c r="N1096" s="30"/>
      <c r="O1096" s="7">
        <f t="shared" si="308"/>
        <v>0</v>
      </c>
      <c r="P1096" s="56"/>
    </row>
    <row r="1097" spans="1:17" x14ac:dyDescent="0.15">
      <c r="A1097" s="50" t="s">
        <v>29</v>
      </c>
      <c r="B1097" s="8"/>
      <c r="C1097" s="10"/>
      <c r="D1097" s="10">
        <v>1</v>
      </c>
      <c r="E1097" s="10"/>
      <c r="F1097" s="30"/>
      <c r="G1097" s="7">
        <f t="shared" si="306"/>
        <v>1</v>
      </c>
      <c r="H1097" s="58">
        <v>45523</v>
      </c>
      <c r="I1097" s="39"/>
      <c r="J1097" s="8"/>
      <c r="K1097" s="10"/>
      <c r="L1097" s="10"/>
      <c r="M1097" s="10"/>
      <c r="N1097" s="30"/>
      <c r="O1097" s="7">
        <f t="shared" si="308"/>
        <v>0</v>
      </c>
      <c r="P1097" s="56"/>
    </row>
    <row r="1098" spans="1:17" x14ac:dyDescent="0.15">
      <c r="A1098" s="50" t="s">
        <v>29</v>
      </c>
      <c r="B1098" s="8">
        <v>1</v>
      </c>
      <c r="C1098" s="10"/>
      <c r="D1098" s="10"/>
      <c r="E1098" s="10"/>
      <c r="F1098" s="30"/>
      <c r="G1098" s="7">
        <f t="shared" si="306"/>
        <v>1</v>
      </c>
      <c r="H1098" s="58">
        <v>45545</v>
      </c>
      <c r="I1098" s="39"/>
      <c r="J1098" s="8"/>
      <c r="K1098" s="10"/>
      <c r="L1098" s="10"/>
      <c r="M1098" s="10"/>
      <c r="N1098" s="30"/>
      <c r="O1098" s="7">
        <f t="shared" si="308"/>
        <v>0</v>
      </c>
    </row>
    <row r="1099" spans="1:17" x14ac:dyDescent="0.15">
      <c r="A1099" s="50" t="s">
        <v>29</v>
      </c>
      <c r="B1099" s="8"/>
      <c r="C1099" s="10">
        <v>1</v>
      </c>
      <c r="D1099" s="10"/>
      <c r="E1099" s="10"/>
      <c r="F1099" s="30"/>
      <c r="G1099" s="7">
        <f t="shared" si="306"/>
        <v>1</v>
      </c>
      <c r="H1099" s="58">
        <v>45573</v>
      </c>
      <c r="I1099" s="39"/>
      <c r="J1099" s="8"/>
      <c r="K1099" s="10"/>
      <c r="L1099" s="10"/>
      <c r="M1099" s="10"/>
      <c r="N1099" s="30"/>
      <c r="O1099" s="7">
        <f t="shared" si="308"/>
        <v>0</v>
      </c>
    </row>
    <row r="1100" spans="1:17" x14ac:dyDescent="0.15">
      <c r="A1100" s="50" t="s">
        <v>29</v>
      </c>
      <c r="B1100" s="8">
        <v>1</v>
      </c>
      <c r="C1100" s="10"/>
      <c r="D1100" s="10"/>
      <c r="E1100" s="10"/>
      <c r="F1100" s="30"/>
      <c r="G1100" s="7">
        <f t="shared" si="306"/>
        <v>1</v>
      </c>
      <c r="H1100" s="58">
        <v>45602</v>
      </c>
      <c r="I1100" s="39"/>
      <c r="J1100" s="8"/>
      <c r="K1100" s="10"/>
      <c r="L1100" s="10"/>
      <c r="M1100" s="10"/>
      <c r="N1100" s="30"/>
      <c r="O1100" s="7">
        <f t="shared" si="308"/>
        <v>0</v>
      </c>
    </row>
    <row r="1101" spans="1:17" x14ac:dyDescent="0.15">
      <c r="A1101" s="50" t="s">
        <v>29</v>
      </c>
      <c r="B1101" s="8">
        <v>1</v>
      </c>
      <c r="C1101" s="10"/>
      <c r="D1101" s="10"/>
      <c r="E1101" s="10"/>
      <c r="F1101" s="30"/>
      <c r="G1101" s="7">
        <f t="shared" si="306"/>
        <v>1</v>
      </c>
      <c r="H1101" s="58">
        <v>45607</v>
      </c>
      <c r="I1101" s="39"/>
      <c r="J1101" s="8"/>
      <c r="K1101" s="10"/>
      <c r="L1101" s="10"/>
      <c r="M1101" s="10"/>
      <c r="N1101" s="30"/>
      <c r="O1101" s="7">
        <f t="shared" si="308"/>
        <v>0</v>
      </c>
    </row>
    <row r="1102" spans="1:17" x14ac:dyDescent="0.15">
      <c r="A1102" s="50" t="s">
        <v>29</v>
      </c>
      <c r="B1102" s="8"/>
      <c r="C1102" s="10">
        <v>1</v>
      </c>
      <c r="D1102" s="10"/>
      <c r="E1102" s="10"/>
      <c r="F1102" s="30"/>
      <c r="G1102" s="7">
        <f t="shared" si="306"/>
        <v>1</v>
      </c>
      <c r="H1102" s="58">
        <v>45612</v>
      </c>
      <c r="I1102" s="39"/>
      <c r="J1102" s="8"/>
      <c r="K1102" s="10"/>
      <c r="L1102" s="10"/>
      <c r="M1102" s="10"/>
      <c r="N1102" s="30"/>
      <c r="O1102" s="7">
        <f t="shared" si="308"/>
        <v>0</v>
      </c>
    </row>
    <row r="1103" spans="1:17" x14ac:dyDescent="0.15">
      <c r="A1103" s="50" t="s">
        <v>29</v>
      </c>
      <c r="B1103" s="8"/>
      <c r="C1103" s="10">
        <v>1</v>
      </c>
      <c r="D1103" s="10">
        <v>1</v>
      </c>
      <c r="E1103" s="10"/>
      <c r="F1103" s="30"/>
      <c r="G1103" s="7">
        <f t="shared" si="306"/>
        <v>2</v>
      </c>
      <c r="H1103" s="58">
        <v>45621</v>
      </c>
      <c r="I1103" s="39"/>
      <c r="J1103" s="8"/>
      <c r="K1103" s="10"/>
      <c r="L1103" s="10"/>
      <c r="M1103" s="10"/>
      <c r="N1103" s="30"/>
      <c r="O1103" s="7">
        <f t="shared" si="308"/>
        <v>0</v>
      </c>
    </row>
    <row r="1104" spans="1:17" x14ac:dyDescent="0.15">
      <c r="A1104" s="50" t="s">
        <v>29</v>
      </c>
      <c r="B1104" s="8"/>
      <c r="C1104" s="10"/>
      <c r="D1104" s="10">
        <v>1</v>
      </c>
      <c r="E1104" s="10"/>
      <c r="F1104" s="30"/>
      <c r="G1104" s="7">
        <f t="shared" si="306"/>
        <v>1</v>
      </c>
      <c r="H1104" s="58">
        <v>45624</v>
      </c>
      <c r="I1104" s="39"/>
      <c r="J1104" s="8"/>
      <c r="K1104" s="10"/>
      <c r="L1104" s="10"/>
      <c r="M1104" s="10"/>
      <c r="N1104" s="30"/>
      <c r="O1104" s="7">
        <f t="shared" si="308"/>
        <v>0</v>
      </c>
    </row>
    <row r="1105" spans="1:15" x14ac:dyDescent="0.15">
      <c r="A1105" s="50" t="s">
        <v>29</v>
      </c>
      <c r="B1105" s="8"/>
      <c r="C1105" s="10"/>
      <c r="D1105" s="10">
        <v>1</v>
      </c>
      <c r="E1105" s="10"/>
      <c r="F1105" s="30"/>
      <c r="G1105" s="7">
        <f t="shared" ref="G1105:G1114" si="309">SUM(B1105:F1105)</f>
        <v>1</v>
      </c>
      <c r="H1105" s="58">
        <v>45629</v>
      </c>
      <c r="I1105" s="39"/>
      <c r="J1105" s="8"/>
      <c r="K1105" s="10"/>
      <c r="L1105" s="10"/>
      <c r="M1105" s="10"/>
      <c r="N1105" s="30"/>
      <c r="O1105" s="7">
        <f t="shared" ref="O1105:O1115" si="310">SUM(J1105:N1105)</f>
        <v>0</v>
      </c>
    </row>
    <row r="1106" spans="1:15" x14ac:dyDescent="0.15">
      <c r="A1106" s="50" t="s">
        <v>29</v>
      </c>
      <c r="B1106" s="8">
        <v>1</v>
      </c>
      <c r="C1106" s="10"/>
      <c r="D1106" s="10"/>
      <c r="E1106" s="10"/>
      <c r="F1106" s="30"/>
      <c r="G1106" s="7">
        <f t="shared" si="309"/>
        <v>1</v>
      </c>
      <c r="H1106" s="58">
        <v>45638</v>
      </c>
      <c r="I1106" s="39"/>
      <c r="J1106" s="8"/>
      <c r="K1106" s="10"/>
      <c r="L1106" s="10"/>
      <c r="M1106" s="10"/>
      <c r="N1106" s="30"/>
      <c r="O1106" s="7">
        <f t="shared" si="310"/>
        <v>0</v>
      </c>
    </row>
    <row r="1107" spans="1:15" x14ac:dyDescent="0.15">
      <c r="A1107" s="50" t="s">
        <v>29</v>
      </c>
      <c r="B1107" s="8">
        <v>1</v>
      </c>
      <c r="C1107" s="10"/>
      <c r="D1107" s="10"/>
      <c r="E1107" s="10"/>
      <c r="F1107" s="30"/>
      <c r="G1107" s="7">
        <f t="shared" si="309"/>
        <v>1</v>
      </c>
      <c r="H1107" s="58">
        <v>45642</v>
      </c>
      <c r="I1107" s="39"/>
      <c r="J1107" s="8"/>
      <c r="K1107" s="10"/>
      <c r="L1107" s="10"/>
      <c r="M1107" s="10"/>
      <c r="N1107" s="30"/>
      <c r="O1107" s="7">
        <f t="shared" si="310"/>
        <v>0</v>
      </c>
    </row>
    <row r="1108" spans="1:15" x14ac:dyDescent="0.15">
      <c r="A1108" s="50" t="s">
        <v>29</v>
      </c>
      <c r="B1108" s="8"/>
      <c r="C1108" s="10">
        <v>1</v>
      </c>
      <c r="D1108" s="10"/>
      <c r="E1108" s="10"/>
      <c r="F1108" s="30"/>
      <c r="G1108" s="7">
        <f t="shared" si="309"/>
        <v>1</v>
      </c>
      <c r="H1108" s="58">
        <v>45664</v>
      </c>
      <c r="I1108" s="39"/>
      <c r="J1108" s="8"/>
      <c r="K1108" s="10"/>
      <c r="L1108" s="10"/>
      <c r="M1108" s="10"/>
      <c r="N1108" s="30"/>
      <c r="O1108" s="7">
        <f t="shared" si="310"/>
        <v>0</v>
      </c>
    </row>
    <row r="1109" spans="1:15" x14ac:dyDescent="0.15">
      <c r="A1109" s="50" t="s">
        <v>29</v>
      </c>
      <c r="B1109" s="8">
        <v>2</v>
      </c>
      <c r="C1109" s="10">
        <v>2</v>
      </c>
      <c r="D1109" s="10"/>
      <c r="E1109" s="10"/>
      <c r="F1109" s="30"/>
      <c r="G1109" s="7">
        <f t="shared" si="309"/>
        <v>4</v>
      </c>
      <c r="H1109" s="58">
        <v>45700</v>
      </c>
      <c r="I1109" s="39"/>
      <c r="J1109" s="8"/>
      <c r="K1109" s="10"/>
      <c r="L1109" s="10"/>
      <c r="M1109" s="10"/>
      <c r="N1109" s="30"/>
      <c r="O1109" s="7">
        <f t="shared" si="310"/>
        <v>0</v>
      </c>
    </row>
    <row r="1110" spans="1:15" x14ac:dyDescent="0.15">
      <c r="A1110" s="50" t="s">
        <v>29</v>
      </c>
      <c r="B1110" s="8"/>
      <c r="C1110" s="10"/>
      <c r="D1110" s="10">
        <v>1</v>
      </c>
      <c r="E1110" s="10"/>
      <c r="F1110" s="30"/>
      <c r="G1110" s="7">
        <f t="shared" si="309"/>
        <v>1</v>
      </c>
      <c r="H1110" s="58">
        <v>45716</v>
      </c>
      <c r="I1110" s="39"/>
      <c r="J1110" s="8"/>
      <c r="K1110" s="10"/>
      <c r="L1110" s="10"/>
      <c r="M1110" s="10"/>
      <c r="N1110" s="30"/>
      <c r="O1110" s="7">
        <f t="shared" si="310"/>
        <v>0</v>
      </c>
    </row>
    <row r="1111" spans="1:15" x14ac:dyDescent="0.15">
      <c r="A1111" s="50" t="s">
        <v>29</v>
      </c>
      <c r="B1111" s="8"/>
      <c r="C1111" s="10">
        <v>1</v>
      </c>
      <c r="D1111" s="10"/>
      <c r="E1111" s="10"/>
      <c r="F1111" s="30"/>
      <c r="G1111" s="7">
        <f t="shared" si="309"/>
        <v>1</v>
      </c>
      <c r="H1111" s="58">
        <v>45719</v>
      </c>
      <c r="I1111" s="39"/>
      <c r="J1111" s="8"/>
      <c r="K1111" s="10"/>
      <c r="L1111" s="10"/>
      <c r="M1111" s="10"/>
      <c r="N1111" s="30"/>
      <c r="O1111" s="7">
        <f t="shared" si="310"/>
        <v>0</v>
      </c>
    </row>
    <row r="1112" spans="1:15" x14ac:dyDescent="0.15">
      <c r="A1112" s="50" t="s">
        <v>29</v>
      </c>
      <c r="B1112" s="8">
        <v>1</v>
      </c>
      <c r="C1112" s="10"/>
      <c r="D1112" s="10"/>
      <c r="E1112" s="10"/>
      <c r="F1112" s="30"/>
      <c r="G1112" s="7">
        <f t="shared" si="309"/>
        <v>1</v>
      </c>
      <c r="H1112" s="58">
        <v>45720</v>
      </c>
      <c r="I1112" s="39"/>
      <c r="J1112" s="8"/>
      <c r="K1112" s="10"/>
      <c r="L1112" s="10"/>
      <c r="M1112" s="10"/>
      <c r="N1112" s="30"/>
      <c r="O1112" s="7">
        <f t="shared" si="310"/>
        <v>0</v>
      </c>
    </row>
    <row r="1113" spans="1:15" x14ac:dyDescent="0.15">
      <c r="A1113" s="50" t="s">
        <v>29</v>
      </c>
      <c r="B1113" s="8">
        <v>1</v>
      </c>
      <c r="C1113" s="10"/>
      <c r="D1113" s="10"/>
      <c r="E1113" s="10"/>
      <c r="F1113" s="30"/>
      <c r="G1113" s="7">
        <f t="shared" si="309"/>
        <v>1</v>
      </c>
      <c r="H1113" s="58">
        <v>45722</v>
      </c>
      <c r="I1113" s="39"/>
      <c r="J1113" s="8"/>
      <c r="K1113" s="10"/>
      <c r="L1113" s="10"/>
      <c r="M1113" s="10"/>
      <c r="N1113" s="30"/>
      <c r="O1113" s="7">
        <f t="shared" si="310"/>
        <v>0</v>
      </c>
    </row>
    <row r="1114" spans="1:15" x14ac:dyDescent="0.15">
      <c r="A1114" s="50" t="s">
        <v>29</v>
      </c>
      <c r="B1114" s="8"/>
      <c r="C1114" s="10">
        <v>2</v>
      </c>
      <c r="D1114" s="10"/>
      <c r="E1114" s="10"/>
      <c r="F1114" s="30"/>
      <c r="G1114" s="7">
        <f t="shared" si="309"/>
        <v>2</v>
      </c>
      <c r="H1114" s="58">
        <v>45748</v>
      </c>
      <c r="I1114" s="39"/>
      <c r="J1114" s="8"/>
      <c r="K1114" s="10"/>
      <c r="L1114" s="10"/>
      <c r="M1114" s="10"/>
      <c r="N1114" s="30"/>
      <c r="O1114" s="7">
        <f t="shared" si="310"/>
        <v>0</v>
      </c>
    </row>
    <row r="1115" spans="1:15" ht="14.25" thickBot="1" x14ac:dyDescent="0.2">
      <c r="A1115" s="50" t="s">
        <v>29</v>
      </c>
      <c r="B1115" s="11"/>
      <c r="C1115" s="12">
        <v>1</v>
      </c>
      <c r="D1115" s="12"/>
      <c r="E1115" s="12"/>
      <c r="F1115" s="31"/>
      <c r="G1115" s="7">
        <f t="shared" ref="G1115" si="311">SUM(B1115:F1115)</f>
        <v>1</v>
      </c>
      <c r="H1115" s="58">
        <v>45761</v>
      </c>
      <c r="I1115" s="14"/>
      <c r="J1115" s="8"/>
      <c r="K1115" s="10"/>
      <c r="L1115" s="10"/>
      <c r="M1115" s="10"/>
      <c r="N1115" s="30"/>
      <c r="O1115" s="7">
        <f t="shared" si="310"/>
        <v>0</v>
      </c>
    </row>
    <row r="1116" spans="1:15" ht="14.25" thickBot="1" x14ac:dyDescent="0.2">
      <c r="A1116" s="3" t="s">
        <v>11</v>
      </c>
      <c r="B1116" s="23">
        <f>SUM(B1090:B1115)</f>
        <v>11</v>
      </c>
      <c r="C1116" s="4">
        <f t="shared" ref="C1116:D1116" si="312">SUM(C1090:C1115)</f>
        <v>12</v>
      </c>
      <c r="D1116" s="4">
        <f t="shared" si="312"/>
        <v>8</v>
      </c>
      <c r="E1116" s="204">
        <f>SUM(E1090:E1115)</f>
        <v>0</v>
      </c>
      <c r="F1116" s="205">
        <f t="shared" ref="F1116" si="313">SUM(F1090:F1115)</f>
        <v>0</v>
      </c>
      <c r="G1116" s="5">
        <f>SUM(B1116:F1116)</f>
        <v>31</v>
      </c>
      <c r="H1116" s="58"/>
      <c r="I1116" s="3" t="s">
        <v>11</v>
      </c>
      <c r="J1116" s="23">
        <f>SUM(J1090:J1115)</f>
        <v>12</v>
      </c>
      <c r="K1116" s="4">
        <f>SUM(K1090:K1115)</f>
        <v>9</v>
      </c>
      <c r="L1116" s="204">
        <f>SUM(L1090:L1115)</f>
        <v>0</v>
      </c>
      <c r="M1116" s="204">
        <f>SUM(M1090:M1115)</f>
        <v>0</v>
      </c>
      <c r="N1116" s="205">
        <f>SUM(N1090:N1115)</f>
        <v>0</v>
      </c>
      <c r="O1116" s="5">
        <f>SUM(J1116:N1116)</f>
        <v>21</v>
      </c>
    </row>
    <row r="1117" spans="1:15" ht="14.25" thickBot="1" x14ac:dyDescent="0.2">
      <c r="A1117" s="25" t="s">
        <v>12</v>
      </c>
      <c r="B1117" s="63">
        <f>B1089-B1116</f>
        <v>5</v>
      </c>
      <c r="C1117" s="26">
        <f>C1089-C1116</f>
        <v>1</v>
      </c>
      <c r="D1117" s="71">
        <f t="shared" ref="D1117:G1117" si="314">D1089-D1116</f>
        <v>1</v>
      </c>
      <c r="E1117" s="206">
        <f t="shared" si="314"/>
        <v>0</v>
      </c>
      <c r="F1117" s="208">
        <f t="shared" si="314"/>
        <v>0</v>
      </c>
      <c r="G1117" s="27">
        <f t="shared" si="314"/>
        <v>7</v>
      </c>
      <c r="H1117" s="58"/>
      <c r="I1117" s="25" t="s">
        <v>12</v>
      </c>
      <c r="J1117" s="63">
        <f>J1089-J1116</f>
        <v>117</v>
      </c>
      <c r="K1117" s="26">
        <f t="shared" ref="K1117:O1117" si="315">K1089-K1116</f>
        <v>17</v>
      </c>
      <c r="L1117" s="206">
        <f t="shared" si="315"/>
        <v>0</v>
      </c>
      <c r="M1117" s="206">
        <f t="shared" si="315"/>
        <v>0</v>
      </c>
      <c r="N1117" s="208">
        <f t="shared" si="315"/>
        <v>0</v>
      </c>
      <c r="O1117" s="27">
        <f t="shared" si="315"/>
        <v>134</v>
      </c>
    </row>
    <row r="1118" spans="1:15" ht="21" x14ac:dyDescent="0.2">
      <c r="A1118" s="86" t="s">
        <v>50</v>
      </c>
      <c r="B1118" s="87"/>
      <c r="C1118" s="87"/>
      <c r="D1118" s="87"/>
      <c r="E1118" s="87"/>
      <c r="F1118" s="87"/>
      <c r="G1118" s="87"/>
      <c r="H1118" s="58"/>
      <c r="I1118" s="86" t="s">
        <v>50</v>
      </c>
      <c r="J1118" s="87"/>
      <c r="K1118" s="87"/>
      <c r="L1118" s="87"/>
      <c r="M1118" s="87"/>
      <c r="N1118" s="87"/>
      <c r="O1118" s="87"/>
    </row>
    <row r="1119" spans="1:15" ht="21.75" thickBot="1" x14ac:dyDescent="0.25">
      <c r="A1119" s="86" t="s">
        <v>51</v>
      </c>
      <c r="B1119" s="87"/>
      <c r="C1119" s="87"/>
      <c r="D1119" s="87"/>
      <c r="E1119" s="85"/>
      <c r="F1119" s="88" t="s">
        <v>53</v>
      </c>
      <c r="G1119" s="87"/>
      <c r="H1119" s="58"/>
      <c r="I1119" s="86" t="s">
        <v>51</v>
      </c>
      <c r="J1119" s="87"/>
      <c r="K1119" s="87"/>
      <c r="L1119" s="87"/>
      <c r="M1119" s="89"/>
      <c r="N1119" s="88" t="s">
        <v>54</v>
      </c>
      <c r="O1119" s="87"/>
    </row>
    <row r="1120" spans="1:15" ht="14.25" thickBot="1" x14ac:dyDescent="0.2">
      <c r="A1120" s="13" t="s">
        <v>0</v>
      </c>
      <c r="B1120" s="228" t="s">
        <v>52</v>
      </c>
      <c r="C1120" s="229"/>
      <c r="D1120" s="229"/>
      <c r="E1120" s="229"/>
      <c r="F1120" s="230"/>
      <c r="G1120" s="231"/>
      <c r="H1120" s="58"/>
      <c r="I1120" s="13" t="s">
        <v>0</v>
      </c>
      <c r="J1120" s="228" t="s">
        <v>52</v>
      </c>
      <c r="K1120" s="229"/>
      <c r="L1120" s="229"/>
      <c r="M1120" s="229"/>
      <c r="N1120" s="230"/>
      <c r="O1120" s="231"/>
    </row>
    <row r="1121" spans="1:18" ht="14.25" thickBot="1" x14ac:dyDescent="0.2">
      <c r="A1121" s="3" t="s">
        <v>1</v>
      </c>
      <c r="B1121" s="2" t="s">
        <v>42</v>
      </c>
      <c r="C1121" s="21" t="s">
        <v>43</v>
      </c>
      <c r="D1121" s="21" t="s">
        <v>44</v>
      </c>
      <c r="E1121" s="24" t="s">
        <v>45</v>
      </c>
      <c r="F1121" s="33" t="s">
        <v>46</v>
      </c>
      <c r="G1121" s="3" t="s">
        <v>2</v>
      </c>
      <c r="H1121" s="58"/>
      <c r="I1121" s="3" t="s">
        <v>1</v>
      </c>
      <c r="J1121" s="2" t="s">
        <v>42</v>
      </c>
      <c r="K1121" s="21" t="s">
        <v>43</v>
      </c>
      <c r="L1121" s="21" t="s">
        <v>44</v>
      </c>
      <c r="M1121" s="24" t="s">
        <v>45</v>
      </c>
      <c r="N1121" s="33" t="s">
        <v>46</v>
      </c>
      <c r="O1121" s="3" t="s">
        <v>2</v>
      </c>
    </row>
    <row r="1122" spans="1:18" ht="14.25" thickBot="1" x14ac:dyDescent="0.2">
      <c r="A1122" s="72" t="s">
        <v>79</v>
      </c>
      <c r="B1122" s="73">
        <f>B1117</f>
        <v>5</v>
      </c>
      <c r="C1122" s="74">
        <f t="shared" ref="C1122:F1122" si="316">C1117</f>
        <v>1</v>
      </c>
      <c r="D1122" s="107">
        <f t="shared" si="316"/>
        <v>1</v>
      </c>
      <c r="E1122" s="75">
        <f t="shared" si="316"/>
        <v>0</v>
      </c>
      <c r="F1122" s="75">
        <f t="shared" si="316"/>
        <v>0</v>
      </c>
      <c r="G1122" s="76">
        <f t="shared" ref="G1122:G1131" si="317">SUM(B1122:F1122)</f>
        <v>7</v>
      </c>
      <c r="H1122" s="58"/>
      <c r="I1122" s="72" t="s">
        <v>79</v>
      </c>
      <c r="J1122" s="73">
        <f>J1117</f>
        <v>117</v>
      </c>
      <c r="K1122" s="74">
        <f t="shared" ref="K1122:N1122" si="318">K1117</f>
        <v>17</v>
      </c>
      <c r="L1122" s="107">
        <f t="shared" si="318"/>
        <v>0</v>
      </c>
      <c r="M1122" s="75">
        <f t="shared" si="318"/>
        <v>0</v>
      </c>
      <c r="N1122" s="75">
        <f t="shared" si="318"/>
        <v>0</v>
      </c>
      <c r="O1122" s="76">
        <f t="shared" ref="O1122:O1131" si="319">SUM(J1122:N1122)</f>
        <v>134</v>
      </c>
    </row>
    <row r="1123" spans="1:18" x14ac:dyDescent="0.15">
      <c r="A1123" s="15" t="s">
        <v>14</v>
      </c>
      <c r="B1123" s="8"/>
      <c r="C1123" s="45">
        <v>4</v>
      </c>
      <c r="D1123" s="45"/>
      <c r="E1123" s="45"/>
      <c r="F1123" s="46"/>
      <c r="G1123" s="7">
        <f t="shared" ref="G1123:G1128" si="320">SUM(B1123:F1123)</f>
        <v>4</v>
      </c>
      <c r="H1123" s="58">
        <v>45752</v>
      </c>
      <c r="I1123" s="15" t="s">
        <v>14</v>
      </c>
      <c r="J1123" s="37"/>
      <c r="K1123" s="35"/>
      <c r="L1123" s="35"/>
      <c r="M1123" s="35"/>
      <c r="N1123" s="28"/>
      <c r="O1123" s="7">
        <f t="shared" si="319"/>
        <v>0</v>
      </c>
    </row>
    <row r="1124" spans="1:18" x14ac:dyDescent="0.15">
      <c r="A1124" s="15" t="s">
        <v>3</v>
      </c>
      <c r="B1124" s="8">
        <v>3</v>
      </c>
      <c r="C1124" s="45">
        <v>3</v>
      </c>
      <c r="D1124" s="45"/>
      <c r="E1124" s="45"/>
      <c r="F1124" s="46"/>
      <c r="G1124" s="7">
        <f t="shared" si="320"/>
        <v>6</v>
      </c>
      <c r="H1124" s="58">
        <v>45784</v>
      </c>
      <c r="I1124" s="15" t="s">
        <v>3</v>
      </c>
      <c r="J1124" s="8"/>
      <c r="K1124" s="10"/>
      <c r="L1124" s="10"/>
      <c r="M1124" s="10"/>
      <c r="N1124" s="28"/>
      <c r="O1124" s="9">
        <f t="shared" si="319"/>
        <v>0</v>
      </c>
    </row>
    <row r="1125" spans="1:18" x14ac:dyDescent="0.15">
      <c r="A1125" s="15" t="s">
        <v>4</v>
      </c>
      <c r="B1125" s="8"/>
      <c r="C1125" s="45">
        <v>9</v>
      </c>
      <c r="D1125" s="45"/>
      <c r="E1125" s="45"/>
      <c r="F1125" s="46"/>
      <c r="G1125" s="7">
        <f t="shared" si="320"/>
        <v>9</v>
      </c>
      <c r="H1125" s="58">
        <v>45857</v>
      </c>
      <c r="I1125" s="15" t="s">
        <v>4</v>
      </c>
      <c r="J1125" s="8"/>
      <c r="K1125" s="45"/>
      <c r="L1125" s="45"/>
      <c r="M1125" s="45"/>
      <c r="N1125" s="46"/>
      <c r="O1125" s="9">
        <f t="shared" si="319"/>
        <v>0</v>
      </c>
    </row>
    <row r="1126" spans="1:18" x14ac:dyDescent="0.15">
      <c r="A1126" s="15" t="s">
        <v>1348</v>
      </c>
      <c r="B1126" s="8">
        <v>0</v>
      </c>
      <c r="C1126" s="45">
        <v>-1</v>
      </c>
      <c r="D1126" s="45"/>
      <c r="E1126" s="45"/>
      <c r="F1126" s="46"/>
      <c r="G1126" s="7">
        <f t="shared" si="320"/>
        <v>-1</v>
      </c>
      <c r="H1126" s="58">
        <v>45894</v>
      </c>
      <c r="I1126" s="15" t="s">
        <v>5</v>
      </c>
      <c r="J1126" s="8"/>
      <c r="K1126" s="45"/>
      <c r="L1126" s="45"/>
      <c r="M1126" s="45"/>
      <c r="N1126" s="46"/>
      <c r="O1126" s="9">
        <f t="shared" si="319"/>
        <v>0</v>
      </c>
    </row>
    <row r="1127" spans="1:18" x14ac:dyDescent="0.15">
      <c r="A1127" s="15" t="s">
        <v>6</v>
      </c>
      <c r="B1127" s="8">
        <v>1</v>
      </c>
      <c r="C1127" s="45"/>
      <c r="D1127" s="45"/>
      <c r="E1127" s="45"/>
      <c r="F1127" s="46"/>
      <c r="G1127" s="7">
        <f t="shared" si="320"/>
        <v>1</v>
      </c>
      <c r="H1127" s="58">
        <v>46111</v>
      </c>
      <c r="I1127" s="15" t="s">
        <v>6</v>
      </c>
      <c r="J1127" s="8"/>
      <c r="K1127" s="45"/>
      <c r="L1127" s="45"/>
      <c r="M1127" s="45"/>
      <c r="N1127" s="46"/>
      <c r="O1127" s="9">
        <f t="shared" si="319"/>
        <v>0</v>
      </c>
    </row>
    <row r="1128" spans="1:18" x14ac:dyDescent="0.15">
      <c r="A1128" s="15" t="s">
        <v>84</v>
      </c>
      <c r="B1128" s="8"/>
      <c r="C1128" s="45"/>
      <c r="D1128" s="45"/>
      <c r="E1128" s="45"/>
      <c r="F1128" s="46"/>
      <c r="G1128" s="7">
        <f t="shared" si="320"/>
        <v>0</v>
      </c>
      <c r="H1128" s="56"/>
      <c r="I1128" s="15" t="s">
        <v>84</v>
      </c>
      <c r="J1128" s="8"/>
      <c r="K1128" s="45"/>
      <c r="L1128" s="45"/>
      <c r="M1128" s="45"/>
      <c r="N1128" s="46"/>
      <c r="O1128" s="7">
        <f t="shared" si="319"/>
        <v>0</v>
      </c>
    </row>
    <row r="1129" spans="1:18" x14ac:dyDescent="0.15">
      <c r="A1129" s="15" t="s">
        <v>85</v>
      </c>
      <c r="B1129" s="8"/>
      <c r="C1129" s="45"/>
      <c r="D1129" s="45"/>
      <c r="E1129" s="45"/>
      <c r="F1129" s="46"/>
      <c r="G1129" s="7">
        <f t="shared" si="317"/>
        <v>0</v>
      </c>
      <c r="H1129" s="56"/>
      <c r="I1129" s="15" t="s">
        <v>85</v>
      </c>
      <c r="J1129" s="8"/>
      <c r="K1129" s="45"/>
      <c r="L1129" s="45"/>
      <c r="M1129" s="45"/>
      <c r="N1129" s="46"/>
      <c r="O1129" s="7">
        <f t="shared" si="319"/>
        <v>0</v>
      </c>
    </row>
    <row r="1130" spans="1:18" x14ac:dyDescent="0.15">
      <c r="A1130" s="15" t="s">
        <v>86</v>
      </c>
      <c r="B1130" s="8"/>
      <c r="C1130" s="45"/>
      <c r="D1130" s="45"/>
      <c r="E1130" s="45"/>
      <c r="F1130" s="46"/>
      <c r="G1130" s="102">
        <f t="shared" si="317"/>
        <v>0</v>
      </c>
      <c r="I1130" s="15" t="s">
        <v>86</v>
      </c>
      <c r="J1130" s="8"/>
      <c r="K1130" s="45"/>
      <c r="L1130" s="45"/>
      <c r="M1130" s="45"/>
      <c r="N1130" s="46"/>
      <c r="O1130" s="102">
        <f t="shared" si="319"/>
        <v>0</v>
      </c>
    </row>
    <row r="1131" spans="1:18" ht="14.25" thickBot="1" x14ac:dyDescent="0.2">
      <c r="A1131" s="15" t="s">
        <v>87</v>
      </c>
      <c r="B1131" s="47">
        <v>1</v>
      </c>
      <c r="C1131" s="48"/>
      <c r="D1131" s="48"/>
      <c r="E1131" s="48"/>
      <c r="F1131" s="49"/>
      <c r="G1131" s="40">
        <f t="shared" si="317"/>
        <v>1</v>
      </c>
      <c r="I1131" s="15" t="s">
        <v>87</v>
      </c>
      <c r="J1131" s="47"/>
      <c r="K1131" s="48"/>
      <c r="L1131" s="48"/>
      <c r="M1131" s="48"/>
      <c r="N1131" s="49"/>
      <c r="O1131" s="40">
        <f t="shared" si="319"/>
        <v>0</v>
      </c>
    </row>
    <row r="1132" spans="1:18" ht="14.25" thickBot="1" x14ac:dyDescent="0.2">
      <c r="A1132" s="72" t="s">
        <v>7</v>
      </c>
      <c r="B1132" s="73">
        <f>SUM(B1122:B1131)</f>
        <v>10</v>
      </c>
      <c r="C1132" s="74">
        <f>SUM(C1122:C1131)</f>
        <v>16</v>
      </c>
      <c r="D1132" s="74">
        <f>SUM(D1122:D1131)</f>
        <v>1</v>
      </c>
      <c r="E1132" s="74">
        <f t="shared" ref="E1132:G1132" si="321">SUM(E1122:E1131)</f>
        <v>0</v>
      </c>
      <c r="F1132" s="105">
        <f t="shared" si="321"/>
        <v>0</v>
      </c>
      <c r="G1132" s="76">
        <f t="shared" si="321"/>
        <v>27</v>
      </c>
      <c r="H1132" s="58"/>
      <c r="I1132" s="72" t="s">
        <v>7</v>
      </c>
      <c r="J1132" s="73">
        <f>SUM(J1122:J1131)</f>
        <v>117</v>
      </c>
      <c r="K1132" s="74">
        <f t="shared" ref="K1132:O1132" si="322">SUM(K1122:K1131)</f>
        <v>17</v>
      </c>
      <c r="L1132" s="74">
        <f t="shared" si="322"/>
        <v>0</v>
      </c>
      <c r="M1132" s="74">
        <f t="shared" si="322"/>
        <v>0</v>
      </c>
      <c r="N1132" s="105">
        <f t="shared" si="322"/>
        <v>0</v>
      </c>
      <c r="O1132" s="76">
        <f t="shared" si="322"/>
        <v>134</v>
      </c>
    </row>
    <row r="1133" spans="1:18" x14ac:dyDescent="0.15">
      <c r="A1133" s="50" t="s">
        <v>29</v>
      </c>
      <c r="B1133" s="11"/>
      <c r="C1133" s="12">
        <v>1</v>
      </c>
      <c r="D1133" s="12"/>
      <c r="E1133" s="12"/>
      <c r="F1133" s="31"/>
      <c r="G1133" s="7">
        <f t="shared" ref="G1133:G1157" si="323">SUM(B1133:F1133)</f>
        <v>1</v>
      </c>
      <c r="H1133" s="58">
        <v>45775</v>
      </c>
      <c r="I1133" s="16" t="s">
        <v>24</v>
      </c>
      <c r="J1133" s="8"/>
      <c r="K1133" s="10">
        <v>4</v>
      </c>
      <c r="L1133" s="10"/>
      <c r="M1133" s="10"/>
      <c r="N1133" s="30"/>
      <c r="O1133" s="7">
        <f t="shared" ref="O1133:O1134" si="324">SUM(J1133:N1133)</f>
        <v>4</v>
      </c>
      <c r="P1133" s="58">
        <v>45752</v>
      </c>
      <c r="Q1133" s="56"/>
      <c r="R1133" s="56"/>
    </row>
    <row r="1134" spans="1:18" x14ac:dyDescent="0.15">
      <c r="A1134" s="50" t="s">
        <v>29</v>
      </c>
      <c r="B1134" s="11"/>
      <c r="C1134" s="12">
        <v>1</v>
      </c>
      <c r="D1134" s="12">
        <v>1</v>
      </c>
      <c r="E1134" s="12"/>
      <c r="F1134" s="31"/>
      <c r="G1134" s="7">
        <f t="shared" si="323"/>
        <v>2</v>
      </c>
      <c r="H1134" s="58">
        <v>45779</v>
      </c>
      <c r="I1134" s="16" t="s">
        <v>24</v>
      </c>
      <c r="J1134" s="8">
        <v>3</v>
      </c>
      <c r="K1134" s="10">
        <v>3</v>
      </c>
      <c r="L1134" s="10"/>
      <c r="M1134" s="10"/>
      <c r="N1134" s="30"/>
      <c r="O1134" s="7">
        <f t="shared" si="324"/>
        <v>6</v>
      </c>
      <c r="P1134" s="58">
        <v>45784</v>
      </c>
      <c r="Q1134" s="56"/>
      <c r="R1134" s="56"/>
    </row>
    <row r="1135" spans="1:18" x14ac:dyDescent="0.15">
      <c r="A1135" s="50" t="s">
        <v>29</v>
      </c>
      <c r="B1135" s="11">
        <v>1</v>
      </c>
      <c r="C1135" s="12"/>
      <c r="D1135" s="12"/>
      <c r="E1135" s="12"/>
      <c r="F1135" s="31"/>
      <c r="G1135" s="7">
        <f t="shared" si="323"/>
        <v>1</v>
      </c>
      <c r="H1135" s="58">
        <v>45793</v>
      </c>
      <c r="I1135" s="16" t="s">
        <v>24</v>
      </c>
      <c r="J1135" s="8"/>
      <c r="K1135" s="10">
        <v>10</v>
      </c>
      <c r="L1135" s="10"/>
      <c r="M1135" s="10"/>
      <c r="N1135" s="30"/>
      <c r="O1135" s="7">
        <f t="shared" ref="O1135:O1136" si="325">SUM(J1135:N1135)</f>
        <v>10</v>
      </c>
      <c r="P1135" s="58">
        <v>45857</v>
      </c>
      <c r="Q1135" s="56"/>
      <c r="R1135" s="56"/>
    </row>
    <row r="1136" spans="1:18" x14ac:dyDescent="0.15">
      <c r="A1136" s="50" t="s">
        <v>29</v>
      </c>
      <c r="B1136" s="11"/>
      <c r="C1136" s="12">
        <v>1</v>
      </c>
      <c r="D1136" s="12"/>
      <c r="E1136" s="12"/>
      <c r="F1136" s="31"/>
      <c r="G1136" s="7">
        <f t="shared" si="323"/>
        <v>1</v>
      </c>
      <c r="H1136" s="58">
        <v>45796</v>
      </c>
      <c r="I1136" s="16" t="s">
        <v>24</v>
      </c>
      <c r="J1136" s="8">
        <v>1</v>
      </c>
      <c r="K1136" s="10"/>
      <c r="L1136" s="10"/>
      <c r="M1136" s="10"/>
      <c r="N1136" s="30"/>
      <c r="O1136" s="7">
        <f t="shared" si="325"/>
        <v>1</v>
      </c>
      <c r="P1136" s="58">
        <v>46111</v>
      </c>
      <c r="Q1136" s="56"/>
      <c r="R1136" s="56"/>
    </row>
    <row r="1137" spans="1:18" x14ac:dyDescent="0.15">
      <c r="A1137" s="50" t="s">
        <v>29</v>
      </c>
      <c r="B1137" s="11">
        <f>-1+1</f>
        <v>0</v>
      </c>
      <c r="C1137" s="12"/>
      <c r="D1137" s="12"/>
      <c r="E1137" s="12"/>
      <c r="F1137" s="31"/>
      <c r="G1137" s="7">
        <f t="shared" si="323"/>
        <v>0</v>
      </c>
      <c r="H1137" s="58">
        <v>45797</v>
      </c>
      <c r="I1137" s="39"/>
      <c r="J1137" s="8"/>
      <c r="K1137" s="10"/>
      <c r="L1137" s="10"/>
      <c r="M1137" s="10"/>
      <c r="N1137" s="30"/>
      <c r="O1137" s="7">
        <f t="shared" ref="O1137:O1158" si="326">SUM(J1137:N1137)</f>
        <v>0</v>
      </c>
      <c r="P1137" s="56"/>
      <c r="Q1137" s="56"/>
      <c r="R1137" s="56"/>
    </row>
    <row r="1138" spans="1:18" x14ac:dyDescent="0.15">
      <c r="A1138" s="50" t="s">
        <v>29</v>
      </c>
      <c r="B1138" s="11"/>
      <c r="C1138" s="12">
        <v>1</v>
      </c>
      <c r="D1138" s="12"/>
      <c r="E1138" s="12"/>
      <c r="F1138" s="31"/>
      <c r="G1138" s="7">
        <f t="shared" si="323"/>
        <v>1</v>
      </c>
      <c r="H1138" s="58">
        <v>45803</v>
      </c>
      <c r="I1138" s="39"/>
      <c r="J1138" s="8"/>
      <c r="K1138" s="10"/>
      <c r="L1138" s="10"/>
      <c r="M1138" s="10"/>
      <c r="N1138" s="30"/>
      <c r="O1138" s="7">
        <f t="shared" si="326"/>
        <v>0</v>
      </c>
    </row>
    <row r="1139" spans="1:18" x14ac:dyDescent="0.15">
      <c r="A1139" s="50" t="s">
        <v>29</v>
      </c>
      <c r="B1139" s="11"/>
      <c r="C1139" s="12">
        <v>1</v>
      </c>
      <c r="D1139" s="12"/>
      <c r="E1139" s="12"/>
      <c r="F1139" s="31"/>
      <c r="G1139" s="7">
        <f t="shared" si="323"/>
        <v>1</v>
      </c>
      <c r="H1139" s="58">
        <v>45855</v>
      </c>
      <c r="I1139" s="39"/>
      <c r="J1139" s="8"/>
      <c r="K1139" s="10"/>
      <c r="L1139" s="10"/>
      <c r="M1139" s="10"/>
      <c r="N1139" s="30"/>
      <c r="O1139" s="7">
        <f t="shared" si="326"/>
        <v>0</v>
      </c>
    </row>
    <row r="1140" spans="1:18" x14ac:dyDescent="0.15">
      <c r="A1140" s="50" t="s">
        <v>29</v>
      </c>
      <c r="B1140" s="11"/>
      <c r="C1140" s="12">
        <v>1</v>
      </c>
      <c r="D1140" s="12"/>
      <c r="E1140" s="12"/>
      <c r="F1140" s="31"/>
      <c r="G1140" s="7">
        <f t="shared" si="323"/>
        <v>1</v>
      </c>
      <c r="H1140" s="58">
        <v>45863</v>
      </c>
      <c r="I1140" s="39"/>
      <c r="J1140" s="8"/>
      <c r="K1140" s="10"/>
      <c r="L1140" s="10"/>
      <c r="M1140" s="10"/>
      <c r="N1140" s="30"/>
      <c r="O1140" s="7">
        <f t="shared" si="326"/>
        <v>0</v>
      </c>
    </row>
    <row r="1141" spans="1:18" x14ac:dyDescent="0.15">
      <c r="A1141" s="50" t="s">
        <v>29</v>
      </c>
      <c r="B1141" s="11"/>
      <c r="C1141" s="12">
        <v>1</v>
      </c>
      <c r="D1141" s="12"/>
      <c r="E1141" s="12"/>
      <c r="F1141" s="31"/>
      <c r="G1141" s="7">
        <f t="shared" si="323"/>
        <v>1</v>
      </c>
      <c r="H1141" s="58">
        <v>45866</v>
      </c>
      <c r="I1141" s="39"/>
      <c r="J1141" s="8"/>
      <c r="K1141" s="10"/>
      <c r="L1141" s="10"/>
      <c r="M1141" s="10"/>
      <c r="N1141" s="30"/>
      <c r="O1141" s="7">
        <f t="shared" si="326"/>
        <v>0</v>
      </c>
    </row>
    <row r="1142" spans="1:18" x14ac:dyDescent="0.15">
      <c r="A1142" s="50" t="s">
        <v>29</v>
      </c>
      <c r="B1142" s="11"/>
      <c r="C1142" s="12">
        <v>1</v>
      </c>
      <c r="D1142" s="12"/>
      <c r="E1142" s="12"/>
      <c r="F1142" s="31"/>
      <c r="G1142" s="7">
        <f t="shared" si="323"/>
        <v>1</v>
      </c>
      <c r="H1142" s="58">
        <v>45896</v>
      </c>
      <c r="I1142" s="39"/>
      <c r="J1142" s="8"/>
      <c r="K1142" s="10"/>
      <c r="L1142" s="10"/>
      <c r="M1142" s="10"/>
      <c r="N1142" s="30"/>
      <c r="O1142" s="7">
        <f t="shared" si="326"/>
        <v>0</v>
      </c>
    </row>
    <row r="1143" spans="1:18" x14ac:dyDescent="0.15">
      <c r="A1143" s="50" t="s">
        <v>29</v>
      </c>
      <c r="B1143" s="11"/>
      <c r="C1143" s="12">
        <v>1</v>
      </c>
      <c r="D1143" s="12"/>
      <c r="E1143" s="12"/>
      <c r="F1143" s="31"/>
      <c r="G1143" s="7">
        <f t="shared" si="323"/>
        <v>1</v>
      </c>
      <c r="H1143" s="58">
        <v>45908</v>
      </c>
      <c r="I1143" s="39"/>
      <c r="J1143" s="8"/>
      <c r="K1143" s="10"/>
      <c r="L1143" s="10"/>
      <c r="M1143" s="10"/>
      <c r="N1143" s="30"/>
      <c r="O1143" s="7">
        <f t="shared" si="326"/>
        <v>0</v>
      </c>
    </row>
    <row r="1144" spans="1:18" x14ac:dyDescent="0.15">
      <c r="A1144" s="50" t="s">
        <v>29</v>
      </c>
      <c r="B1144" s="11"/>
      <c r="C1144" s="12">
        <v>1</v>
      </c>
      <c r="D1144" s="12"/>
      <c r="E1144" s="12"/>
      <c r="F1144" s="31"/>
      <c r="G1144" s="7">
        <f t="shared" si="323"/>
        <v>1</v>
      </c>
      <c r="H1144" s="58">
        <v>45909</v>
      </c>
      <c r="I1144" s="39"/>
      <c r="J1144" s="8"/>
      <c r="K1144" s="10"/>
      <c r="L1144" s="10"/>
      <c r="M1144" s="10"/>
      <c r="N1144" s="30"/>
      <c r="O1144" s="7">
        <f t="shared" si="326"/>
        <v>0</v>
      </c>
    </row>
    <row r="1145" spans="1:18" x14ac:dyDescent="0.15">
      <c r="A1145" s="50" t="s">
        <v>29</v>
      </c>
      <c r="B1145" s="11"/>
      <c r="C1145" s="12">
        <f>-1+1</f>
        <v>0</v>
      </c>
      <c r="D1145" s="12"/>
      <c r="E1145" s="12"/>
      <c r="F1145" s="31"/>
      <c r="G1145" s="7">
        <f t="shared" si="323"/>
        <v>0</v>
      </c>
      <c r="H1145" s="58">
        <v>45916</v>
      </c>
      <c r="I1145" s="39"/>
      <c r="J1145" s="8"/>
      <c r="K1145" s="10"/>
      <c r="L1145" s="10"/>
      <c r="M1145" s="10"/>
      <c r="N1145" s="30"/>
      <c r="O1145" s="7">
        <f t="shared" si="326"/>
        <v>0</v>
      </c>
    </row>
    <row r="1146" spans="1:18" x14ac:dyDescent="0.15">
      <c r="A1146" s="50" t="s">
        <v>29</v>
      </c>
      <c r="B1146" s="11"/>
      <c r="C1146" s="12">
        <v>2</v>
      </c>
      <c r="D1146" s="12"/>
      <c r="E1146" s="12"/>
      <c r="F1146" s="31"/>
      <c r="G1146" s="7">
        <f t="shared" si="323"/>
        <v>2</v>
      </c>
      <c r="H1146" s="58">
        <v>45922</v>
      </c>
      <c r="I1146" s="39"/>
      <c r="J1146" s="8"/>
      <c r="K1146" s="10"/>
      <c r="L1146" s="10"/>
      <c r="M1146" s="10"/>
      <c r="N1146" s="30"/>
      <c r="O1146" s="7">
        <f t="shared" si="326"/>
        <v>0</v>
      </c>
    </row>
    <row r="1147" spans="1:18" x14ac:dyDescent="0.15">
      <c r="A1147" s="50" t="s">
        <v>29</v>
      </c>
      <c r="B1147" s="11">
        <v>1</v>
      </c>
      <c r="C1147" s="12"/>
      <c r="D1147" s="12"/>
      <c r="E1147" s="12"/>
      <c r="F1147" s="31"/>
      <c r="G1147" s="7">
        <f t="shared" si="323"/>
        <v>1</v>
      </c>
      <c r="H1147" s="58">
        <v>45929</v>
      </c>
      <c r="I1147" s="39"/>
      <c r="J1147" s="8"/>
      <c r="K1147" s="10"/>
      <c r="L1147" s="10"/>
      <c r="M1147" s="10"/>
      <c r="N1147" s="30"/>
      <c r="O1147" s="7">
        <f t="shared" si="326"/>
        <v>0</v>
      </c>
    </row>
    <row r="1148" spans="1:18" x14ac:dyDescent="0.15">
      <c r="A1148" s="50" t="s">
        <v>29</v>
      </c>
      <c r="B1148" s="11"/>
      <c r="C1148" s="12">
        <v>1</v>
      </c>
      <c r="D1148" s="12"/>
      <c r="E1148" s="12"/>
      <c r="F1148" s="31"/>
      <c r="G1148" s="7">
        <f t="shared" si="323"/>
        <v>1</v>
      </c>
      <c r="H1148" s="58">
        <v>45947</v>
      </c>
      <c r="I1148" s="39"/>
      <c r="J1148" s="8"/>
      <c r="K1148" s="10"/>
      <c r="L1148" s="10"/>
      <c r="M1148" s="10"/>
      <c r="N1148" s="30"/>
      <c r="O1148" s="7">
        <f t="shared" si="326"/>
        <v>0</v>
      </c>
    </row>
    <row r="1149" spans="1:18" x14ac:dyDescent="0.15">
      <c r="A1149" s="50" t="s">
        <v>29</v>
      </c>
      <c r="B1149" s="11">
        <v>1</v>
      </c>
      <c r="C1149" s="12"/>
      <c r="D1149" s="12"/>
      <c r="E1149" s="12"/>
      <c r="F1149" s="31"/>
      <c r="G1149" s="7">
        <f t="shared" si="323"/>
        <v>1</v>
      </c>
      <c r="H1149" s="58">
        <v>45980</v>
      </c>
      <c r="I1149" s="39"/>
      <c r="J1149" s="8"/>
      <c r="K1149" s="10"/>
      <c r="L1149" s="10"/>
      <c r="M1149" s="10"/>
      <c r="N1149" s="30"/>
      <c r="O1149" s="7">
        <f t="shared" si="326"/>
        <v>0</v>
      </c>
    </row>
    <row r="1150" spans="1:18" x14ac:dyDescent="0.15">
      <c r="A1150" s="50" t="s">
        <v>29</v>
      </c>
      <c r="B1150" s="11"/>
      <c r="C1150" s="12">
        <v>1</v>
      </c>
      <c r="D1150" s="12"/>
      <c r="E1150" s="12"/>
      <c r="F1150" s="31"/>
      <c r="G1150" s="7">
        <f t="shared" si="323"/>
        <v>1</v>
      </c>
      <c r="H1150" s="58">
        <v>45990</v>
      </c>
      <c r="I1150" s="39"/>
      <c r="J1150" s="8"/>
      <c r="K1150" s="10"/>
      <c r="L1150" s="10"/>
      <c r="M1150" s="10"/>
      <c r="N1150" s="30"/>
      <c r="O1150" s="7">
        <f t="shared" si="326"/>
        <v>0</v>
      </c>
    </row>
    <row r="1151" spans="1:18" x14ac:dyDescent="0.15">
      <c r="A1151" s="50" t="s">
        <v>29</v>
      </c>
      <c r="B1151" s="11"/>
      <c r="C1151" s="12">
        <v>1</v>
      </c>
      <c r="D1151" s="12"/>
      <c r="E1151" s="12"/>
      <c r="F1151" s="31"/>
      <c r="G1151" s="7">
        <f t="shared" si="323"/>
        <v>1</v>
      </c>
      <c r="H1151" s="58">
        <v>45992</v>
      </c>
      <c r="I1151" s="39"/>
      <c r="J1151" s="8"/>
      <c r="K1151" s="10"/>
      <c r="L1151" s="10"/>
      <c r="M1151" s="10"/>
      <c r="N1151" s="30"/>
      <c r="O1151" s="7">
        <f t="shared" si="326"/>
        <v>0</v>
      </c>
    </row>
    <row r="1152" spans="1:18" x14ac:dyDescent="0.15">
      <c r="A1152" s="50" t="s">
        <v>29</v>
      </c>
      <c r="B1152" s="11"/>
      <c r="C1152" s="12">
        <v>1</v>
      </c>
      <c r="D1152" s="12"/>
      <c r="E1152" s="12"/>
      <c r="F1152" s="31"/>
      <c r="G1152" s="7">
        <f t="shared" si="323"/>
        <v>1</v>
      </c>
      <c r="H1152" s="58">
        <v>45996</v>
      </c>
      <c r="I1152" s="39"/>
      <c r="J1152" s="8"/>
      <c r="K1152" s="10"/>
      <c r="L1152" s="10"/>
      <c r="M1152" s="10"/>
      <c r="N1152" s="30"/>
      <c r="O1152" s="7">
        <f t="shared" si="326"/>
        <v>0</v>
      </c>
    </row>
    <row r="1153" spans="1:15" x14ac:dyDescent="0.15">
      <c r="A1153" s="50" t="s">
        <v>29</v>
      </c>
      <c r="B1153" s="11">
        <v>1</v>
      </c>
      <c r="C1153" s="12"/>
      <c r="D1153" s="12"/>
      <c r="E1153" s="12"/>
      <c r="F1153" s="31"/>
      <c r="G1153" s="7">
        <f t="shared" si="323"/>
        <v>1</v>
      </c>
      <c r="H1153" s="58">
        <v>46055</v>
      </c>
      <c r="I1153" s="39"/>
      <c r="J1153" s="8"/>
      <c r="K1153" s="10"/>
      <c r="L1153" s="10"/>
      <c r="M1153" s="10"/>
      <c r="N1153" s="30"/>
      <c r="O1153" s="7">
        <f t="shared" si="326"/>
        <v>0</v>
      </c>
    </row>
    <row r="1154" spans="1:15" x14ac:dyDescent="0.15">
      <c r="A1154" s="50" t="s">
        <v>29</v>
      </c>
      <c r="B1154" s="11">
        <v>3</v>
      </c>
      <c r="C1154" s="12"/>
      <c r="D1154" s="12"/>
      <c r="E1154" s="12"/>
      <c r="F1154" s="31"/>
      <c r="G1154" s="7"/>
      <c r="H1154" s="58">
        <v>46104</v>
      </c>
      <c r="I1154" s="39"/>
      <c r="J1154" s="8"/>
      <c r="K1154" s="10"/>
      <c r="L1154" s="10"/>
      <c r="M1154" s="10"/>
      <c r="N1154" s="30"/>
      <c r="O1154" s="7">
        <f t="shared" si="326"/>
        <v>0</v>
      </c>
    </row>
    <row r="1155" spans="1:15" x14ac:dyDescent="0.15">
      <c r="A1155" s="50" t="s">
        <v>29</v>
      </c>
      <c r="B1155" s="11">
        <v>1</v>
      </c>
      <c r="C1155" s="12"/>
      <c r="D1155" s="12"/>
      <c r="E1155" s="12"/>
      <c r="F1155" s="31"/>
      <c r="G1155" s="7">
        <f t="shared" si="323"/>
        <v>1</v>
      </c>
      <c r="H1155" s="58">
        <v>46107</v>
      </c>
      <c r="I1155" s="39"/>
      <c r="J1155" s="8"/>
      <c r="K1155" s="10"/>
      <c r="L1155" s="10"/>
      <c r="M1155" s="10"/>
      <c r="N1155" s="30"/>
      <c r="O1155" s="7">
        <f t="shared" si="326"/>
        <v>0</v>
      </c>
    </row>
    <row r="1156" spans="1:15" x14ac:dyDescent="0.15">
      <c r="A1156" s="50" t="s">
        <v>29</v>
      </c>
      <c r="B1156" s="11">
        <v>1</v>
      </c>
      <c r="C1156" s="12"/>
      <c r="D1156" s="12"/>
      <c r="E1156" s="12"/>
      <c r="F1156" s="31"/>
      <c r="G1156" s="7">
        <f t="shared" si="323"/>
        <v>1</v>
      </c>
      <c r="H1156" s="58">
        <v>46108</v>
      </c>
      <c r="I1156" s="39"/>
      <c r="J1156" s="8"/>
      <c r="K1156" s="10"/>
      <c r="L1156" s="10"/>
      <c r="M1156" s="10"/>
      <c r="N1156" s="30"/>
      <c r="O1156" s="7">
        <f t="shared" si="326"/>
        <v>0</v>
      </c>
    </row>
    <row r="1157" spans="1:15" x14ac:dyDescent="0.15">
      <c r="A1157" s="50" t="s">
        <v>29</v>
      </c>
      <c r="B1157" s="11">
        <v>1</v>
      </c>
      <c r="C1157" s="12"/>
      <c r="D1157" s="12"/>
      <c r="E1157" s="12"/>
      <c r="F1157" s="31"/>
      <c r="G1157" s="7">
        <f t="shared" si="323"/>
        <v>1</v>
      </c>
      <c r="H1157" s="58">
        <v>46111</v>
      </c>
      <c r="I1157" s="39"/>
      <c r="J1157" s="8"/>
      <c r="K1157" s="10"/>
      <c r="L1157" s="10"/>
      <c r="M1157" s="10"/>
      <c r="N1157" s="30"/>
      <c r="O1157" s="7">
        <f t="shared" si="326"/>
        <v>0</v>
      </c>
    </row>
    <row r="1158" spans="1:15" ht="14.25" thickBot="1" x14ac:dyDescent="0.2">
      <c r="A1158" s="50"/>
      <c r="B1158" s="11"/>
      <c r="C1158" s="12"/>
      <c r="D1158" s="12"/>
      <c r="E1158" s="12"/>
      <c r="F1158" s="31"/>
      <c r="G1158" s="7">
        <f t="shared" ref="G1158" si="327">SUM(B1158:F1158)</f>
        <v>0</v>
      </c>
      <c r="H1158" s="58"/>
      <c r="I1158" s="14"/>
      <c r="J1158" s="8"/>
      <c r="K1158" s="10"/>
      <c r="L1158" s="10"/>
      <c r="M1158" s="10"/>
      <c r="N1158" s="30"/>
      <c r="O1158" s="7">
        <f t="shared" si="326"/>
        <v>0</v>
      </c>
    </row>
    <row r="1159" spans="1:15" ht="14.25" thickBot="1" x14ac:dyDescent="0.2">
      <c r="A1159" s="3" t="s">
        <v>11</v>
      </c>
      <c r="B1159" s="23">
        <f>SUM(B1133:B1158)</f>
        <v>10</v>
      </c>
      <c r="C1159" s="203">
        <f t="shared" ref="C1159" si="328">SUM(C1133:C1158)</f>
        <v>16</v>
      </c>
      <c r="D1159" s="204">
        <f>SUM(D1133:D1158)</f>
        <v>1</v>
      </c>
      <c r="E1159" s="204">
        <f>SUM(E1133:E1158)</f>
        <v>0</v>
      </c>
      <c r="F1159" s="205">
        <f t="shared" ref="F1159" si="329">SUM(F1133:F1158)</f>
        <v>0</v>
      </c>
      <c r="G1159" s="5">
        <f>SUM(B1159:F1159)</f>
        <v>27</v>
      </c>
      <c r="H1159" s="58"/>
      <c r="I1159" s="3" t="s">
        <v>11</v>
      </c>
      <c r="J1159" s="6">
        <f>SUM(J1133:J1158)</f>
        <v>4</v>
      </c>
      <c r="K1159" s="204">
        <f>SUM(K1133:K1158)</f>
        <v>17</v>
      </c>
      <c r="L1159" s="204">
        <f>SUM(L1133:L1158)</f>
        <v>0</v>
      </c>
      <c r="M1159" s="204">
        <f>SUM(M1133:M1158)</f>
        <v>0</v>
      </c>
      <c r="N1159" s="205">
        <f>SUM(N1133:N1158)</f>
        <v>0</v>
      </c>
      <c r="O1159" s="5">
        <f>SUM(J1159:N1159)</f>
        <v>21</v>
      </c>
    </row>
    <row r="1160" spans="1:15" ht="14.25" thickBot="1" x14ac:dyDescent="0.2">
      <c r="A1160" s="25" t="s">
        <v>12</v>
      </c>
      <c r="B1160" s="63">
        <f>B1132-B1159</f>
        <v>0</v>
      </c>
      <c r="C1160" s="206">
        <f>C1132-C1159</f>
        <v>0</v>
      </c>
      <c r="D1160" s="206">
        <f t="shared" ref="D1160" si="330">D1132-D1159</f>
        <v>0</v>
      </c>
      <c r="E1160" s="206">
        <f t="shared" ref="E1160:G1160" si="331">E1132-E1159</f>
        <v>0</v>
      </c>
      <c r="F1160" s="208">
        <f t="shared" si="331"/>
        <v>0</v>
      </c>
      <c r="G1160" s="27">
        <f t="shared" si="331"/>
        <v>0</v>
      </c>
      <c r="H1160" s="58"/>
      <c r="I1160" s="222" t="s">
        <v>12</v>
      </c>
      <c r="J1160" s="70">
        <f t="shared" ref="J1160" si="332">J1132-J1159</f>
        <v>113</v>
      </c>
      <c r="K1160" s="206">
        <f t="shared" ref="K1160" si="333">K1132-K1159</f>
        <v>0</v>
      </c>
      <c r="L1160" s="206">
        <f t="shared" ref="L1160:O1160" si="334">L1132-L1159</f>
        <v>0</v>
      </c>
      <c r="M1160" s="206">
        <f t="shared" si="334"/>
        <v>0</v>
      </c>
      <c r="N1160" s="208">
        <f t="shared" si="334"/>
        <v>0</v>
      </c>
      <c r="O1160" s="27">
        <f t="shared" si="334"/>
        <v>113</v>
      </c>
    </row>
    <row r="1161" spans="1:15" x14ac:dyDescent="0.15">
      <c r="B1161" t="s">
        <v>1658</v>
      </c>
      <c r="J1161" t="s">
        <v>1658</v>
      </c>
    </row>
  </sheetData>
  <mergeCells count="54">
    <mergeCell ref="B389:G389"/>
    <mergeCell ref="J389:O389"/>
    <mergeCell ref="B690:G690"/>
    <mergeCell ref="J690:O690"/>
    <mergeCell ref="B819:G819"/>
    <mergeCell ref="J819:O819"/>
    <mergeCell ref="B776:G776"/>
    <mergeCell ref="J776:O776"/>
    <mergeCell ref="J303:O303"/>
    <mergeCell ref="B303:G303"/>
    <mergeCell ref="B346:G346"/>
    <mergeCell ref="J346:O346"/>
    <mergeCell ref="J647:O647"/>
    <mergeCell ref="B604:G604"/>
    <mergeCell ref="J604:O604"/>
    <mergeCell ref="J561:O561"/>
    <mergeCell ref="B518:G518"/>
    <mergeCell ref="J518:O518"/>
    <mergeCell ref="B647:G647"/>
    <mergeCell ref="B475:G475"/>
    <mergeCell ref="J475:O475"/>
    <mergeCell ref="J432:O432"/>
    <mergeCell ref="B561:G561"/>
    <mergeCell ref="B432:G432"/>
    <mergeCell ref="J260:O260"/>
    <mergeCell ref="B260:G260"/>
    <mergeCell ref="B3:G3"/>
    <mergeCell ref="J3:O3"/>
    <mergeCell ref="B45:G45"/>
    <mergeCell ref="J45:O45"/>
    <mergeCell ref="B88:G88"/>
    <mergeCell ref="J88:O88"/>
    <mergeCell ref="B174:G174"/>
    <mergeCell ref="J174:O174"/>
    <mergeCell ref="J131:O131"/>
    <mergeCell ref="B131:G131"/>
    <mergeCell ref="B217:G217"/>
    <mergeCell ref="J217:O217"/>
    <mergeCell ref="B1120:G1120"/>
    <mergeCell ref="J1120:O1120"/>
    <mergeCell ref="B733:G733"/>
    <mergeCell ref="J733:O733"/>
    <mergeCell ref="B948:G948"/>
    <mergeCell ref="J948:O948"/>
    <mergeCell ref="B905:G905"/>
    <mergeCell ref="J905:O905"/>
    <mergeCell ref="B1077:G1077"/>
    <mergeCell ref="J1077:O1077"/>
    <mergeCell ref="B1034:G1034"/>
    <mergeCell ref="J1034:O1034"/>
    <mergeCell ref="B991:G991"/>
    <mergeCell ref="J991:O991"/>
    <mergeCell ref="B862:G862"/>
    <mergeCell ref="J862:O862"/>
  </mergeCells>
  <phoneticPr fontId="1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V2450"/>
  <sheetViews>
    <sheetView topLeftCell="A2393" zoomScale="90" zoomScaleNormal="90" workbookViewId="0">
      <selection activeCell="R2443" sqref="R2443"/>
    </sheetView>
  </sheetViews>
  <sheetFormatPr defaultRowHeight="13.5" x14ac:dyDescent="0.15"/>
  <cols>
    <col min="1" max="1" width="25.25" customWidth="1"/>
    <col min="8" max="8" width="9.25" bestFit="1" customWidth="1"/>
    <col min="9" max="9" width="31.75" customWidth="1"/>
    <col min="16" max="16" width="10.25" bestFit="1" customWidth="1"/>
  </cols>
  <sheetData>
    <row r="1" spans="1:17" ht="17.25" x14ac:dyDescent="0.2">
      <c r="A1" s="79" t="s">
        <v>56</v>
      </c>
      <c r="B1" s="80"/>
      <c r="C1" s="80"/>
      <c r="D1" s="80"/>
      <c r="E1" s="80"/>
      <c r="F1" s="80"/>
      <c r="G1" s="80"/>
      <c r="H1" s="1"/>
      <c r="I1" s="79" t="s">
        <v>56</v>
      </c>
      <c r="J1" s="80"/>
      <c r="K1" s="80"/>
      <c r="L1" s="80"/>
      <c r="M1" s="80"/>
      <c r="N1" s="80"/>
      <c r="O1" s="1"/>
      <c r="P1" s="1"/>
    </row>
    <row r="2" spans="1:17" ht="21.75" thickBot="1" x14ac:dyDescent="0.25">
      <c r="A2" s="82" t="s">
        <v>55</v>
      </c>
      <c r="B2" s="80"/>
      <c r="C2" s="80"/>
      <c r="D2" s="80"/>
      <c r="E2" s="81" t="s">
        <v>53</v>
      </c>
      <c r="F2" s="80"/>
      <c r="G2" s="80"/>
      <c r="H2" s="1"/>
      <c r="I2" s="82" t="s">
        <v>55</v>
      </c>
      <c r="J2" s="80"/>
      <c r="K2" s="80"/>
      <c r="L2" s="80"/>
      <c r="M2" s="81" t="s">
        <v>54</v>
      </c>
      <c r="N2" s="80"/>
      <c r="O2" s="1"/>
      <c r="P2" s="1"/>
    </row>
    <row r="3" spans="1:17" ht="14.25" thickBot="1" x14ac:dyDescent="0.2">
      <c r="A3" s="13" t="s">
        <v>0</v>
      </c>
      <c r="B3" s="228" t="s">
        <v>57</v>
      </c>
      <c r="C3" s="229"/>
      <c r="D3" s="229"/>
      <c r="E3" s="229"/>
      <c r="F3" s="230"/>
      <c r="G3" s="231"/>
      <c r="H3" s="1"/>
      <c r="I3" s="13" t="s">
        <v>0</v>
      </c>
      <c r="J3" s="228" t="s">
        <v>57</v>
      </c>
      <c r="K3" s="229"/>
      <c r="L3" s="229"/>
      <c r="M3" s="229"/>
      <c r="N3" s="230"/>
      <c r="O3" s="231"/>
      <c r="P3" s="1"/>
    </row>
    <row r="4" spans="1:17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4" t="s">
        <v>2</v>
      </c>
      <c r="H4" s="1"/>
      <c r="I4" s="3" t="s">
        <v>1</v>
      </c>
      <c r="J4" s="2" t="s">
        <v>42</v>
      </c>
      <c r="K4" s="21" t="s">
        <v>43</v>
      </c>
      <c r="L4" s="21" t="s">
        <v>44</v>
      </c>
      <c r="M4" s="24" t="s">
        <v>45</v>
      </c>
      <c r="N4" s="33" t="s">
        <v>46</v>
      </c>
      <c r="O4" s="3" t="s">
        <v>2</v>
      </c>
      <c r="P4" s="1"/>
    </row>
    <row r="5" spans="1:17" x14ac:dyDescent="0.15">
      <c r="A5" s="15" t="s">
        <v>14</v>
      </c>
      <c r="B5" s="17">
        <v>10</v>
      </c>
      <c r="C5" s="22">
        <v>10</v>
      </c>
      <c r="D5" s="22">
        <v>10</v>
      </c>
      <c r="E5" s="22">
        <v>10</v>
      </c>
      <c r="F5" s="29">
        <v>10</v>
      </c>
      <c r="G5" s="18">
        <f t="shared" ref="G5:G16" si="0">SUM(B5:F5)</f>
        <v>50</v>
      </c>
      <c r="H5" s="36">
        <v>42335</v>
      </c>
      <c r="I5" s="15" t="s">
        <v>14</v>
      </c>
      <c r="J5" s="37">
        <v>10</v>
      </c>
      <c r="K5" s="35">
        <v>10</v>
      </c>
      <c r="L5" s="35">
        <v>10</v>
      </c>
      <c r="M5" s="35">
        <v>10</v>
      </c>
      <c r="N5" s="28">
        <v>10</v>
      </c>
      <c r="O5" s="18">
        <f t="shared" ref="O5:O16" si="1">SUM(J5:N5)</f>
        <v>50</v>
      </c>
      <c r="P5" s="36">
        <v>42335</v>
      </c>
    </row>
    <row r="6" spans="1:17" x14ac:dyDescent="0.15">
      <c r="A6" s="15" t="s">
        <v>3</v>
      </c>
      <c r="B6" s="8"/>
      <c r="C6" s="10">
        <v>1</v>
      </c>
      <c r="D6" s="10"/>
      <c r="E6" s="10"/>
      <c r="F6" s="28"/>
      <c r="G6" s="9">
        <f t="shared" si="0"/>
        <v>1</v>
      </c>
      <c r="H6" s="36">
        <v>42360</v>
      </c>
      <c r="I6" s="15" t="s">
        <v>3</v>
      </c>
      <c r="J6" s="8">
        <v>231</v>
      </c>
      <c r="K6" s="10">
        <v>231</v>
      </c>
      <c r="L6" s="10">
        <v>251</v>
      </c>
      <c r="M6" s="10">
        <v>251</v>
      </c>
      <c r="N6" s="28">
        <v>191</v>
      </c>
      <c r="O6" s="9">
        <f t="shared" si="1"/>
        <v>1155</v>
      </c>
      <c r="P6" s="36">
        <v>42359</v>
      </c>
      <c r="Q6" s="56"/>
    </row>
    <row r="7" spans="1:17" x14ac:dyDescent="0.15">
      <c r="A7" s="15" t="s">
        <v>4</v>
      </c>
      <c r="B7" s="8">
        <v>5</v>
      </c>
      <c r="C7" s="10">
        <v>5</v>
      </c>
      <c r="D7" s="10">
        <v>5</v>
      </c>
      <c r="E7" s="10">
        <v>4</v>
      </c>
      <c r="F7" s="28">
        <v>4</v>
      </c>
      <c r="G7" s="9">
        <f t="shared" si="0"/>
        <v>23</v>
      </c>
      <c r="H7" s="36">
        <v>42360</v>
      </c>
      <c r="I7" s="15" t="s">
        <v>4</v>
      </c>
      <c r="J7" s="8"/>
      <c r="K7" s="10"/>
      <c r="L7" s="10"/>
      <c r="M7" s="10"/>
      <c r="N7" s="28"/>
      <c r="O7" s="9">
        <f t="shared" si="1"/>
        <v>0</v>
      </c>
      <c r="P7" s="36"/>
    </row>
    <row r="8" spans="1:17" x14ac:dyDescent="0.15">
      <c r="A8" s="15" t="s">
        <v>5</v>
      </c>
      <c r="B8" s="8">
        <v>10</v>
      </c>
      <c r="C8" s="10">
        <v>10</v>
      </c>
      <c r="D8" s="10">
        <v>20</v>
      </c>
      <c r="E8" s="10">
        <v>10</v>
      </c>
      <c r="F8" s="28">
        <v>10</v>
      </c>
      <c r="G8" s="9">
        <f t="shared" si="0"/>
        <v>60</v>
      </c>
      <c r="H8" s="36">
        <v>42377</v>
      </c>
      <c r="I8" s="15" t="s">
        <v>5</v>
      </c>
      <c r="J8" s="8"/>
      <c r="K8" s="10"/>
      <c r="L8" s="10"/>
      <c r="M8" s="10"/>
      <c r="N8" s="28"/>
      <c r="O8" s="9">
        <f t="shared" si="1"/>
        <v>0</v>
      </c>
      <c r="P8" s="1"/>
    </row>
    <row r="9" spans="1:17" x14ac:dyDescent="0.15">
      <c r="A9" s="15" t="s">
        <v>6</v>
      </c>
      <c r="B9" s="8"/>
      <c r="C9" s="10">
        <v>5</v>
      </c>
      <c r="D9" s="10"/>
      <c r="E9" s="10">
        <v>10</v>
      </c>
      <c r="F9" s="28">
        <v>10</v>
      </c>
      <c r="G9" s="9">
        <f t="shared" si="0"/>
        <v>25</v>
      </c>
      <c r="H9" s="36">
        <v>42384</v>
      </c>
      <c r="I9" s="15" t="s">
        <v>6</v>
      </c>
      <c r="J9" s="8"/>
      <c r="K9" s="10"/>
      <c r="L9" s="10"/>
      <c r="M9" s="10"/>
      <c r="N9" s="28"/>
      <c r="O9" s="9">
        <f t="shared" si="1"/>
        <v>0</v>
      </c>
      <c r="P9" s="1"/>
    </row>
    <row r="10" spans="1:17" x14ac:dyDescent="0.15">
      <c r="A10" s="16" t="s">
        <v>37</v>
      </c>
      <c r="B10" s="8">
        <v>10</v>
      </c>
      <c r="C10" s="10">
        <v>10</v>
      </c>
      <c r="D10" s="10">
        <v>10</v>
      </c>
      <c r="E10" s="10"/>
      <c r="F10" s="30"/>
      <c r="G10" s="7">
        <f t="shared" si="0"/>
        <v>30</v>
      </c>
      <c r="H10" s="36">
        <v>42390</v>
      </c>
      <c r="I10" s="16" t="s">
        <v>37</v>
      </c>
      <c r="J10" s="8"/>
      <c r="K10" s="10"/>
      <c r="L10" s="10"/>
      <c r="M10" s="10"/>
      <c r="N10" s="30"/>
      <c r="O10" s="7">
        <f t="shared" si="1"/>
        <v>0</v>
      </c>
      <c r="P10" s="1"/>
    </row>
    <row r="11" spans="1:17" x14ac:dyDescent="0.15">
      <c r="A11" s="16" t="s">
        <v>37</v>
      </c>
      <c r="B11" s="8"/>
      <c r="C11" s="10">
        <v>20</v>
      </c>
      <c r="D11" s="10"/>
      <c r="E11" s="10"/>
      <c r="F11" s="30"/>
      <c r="G11" s="7">
        <f t="shared" si="0"/>
        <v>20</v>
      </c>
      <c r="H11" s="36">
        <v>42397</v>
      </c>
      <c r="I11" s="16" t="s">
        <v>37</v>
      </c>
      <c r="J11" s="8"/>
      <c r="K11" s="10"/>
      <c r="L11" s="10"/>
      <c r="M11" s="10"/>
      <c r="N11" s="30"/>
      <c r="O11" s="7">
        <f t="shared" si="1"/>
        <v>0</v>
      </c>
      <c r="P11" s="1"/>
    </row>
    <row r="12" spans="1:17" x14ac:dyDescent="0.15">
      <c r="A12" s="16" t="s">
        <v>37</v>
      </c>
      <c r="B12" s="8">
        <v>20</v>
      </c>
      <c r="C12" s="10"/>
      <c r="D12" s="10">
        <v>10</v>
      </c>
      <c r="E12" s="10">
        <v>20</v>
      </c>
      <c r="F12" s="30"/>
      <c r="G12" s="7">
        <f t="shared" si="0"/>
        <v>50</v>
      </c>
      <c r="H12" s="36">
        <v>42404</v>
      </c>
      <c r="I12" s="16" t="s">
        <v>37</v>
      </c>
      <c r="J12" s="8"/>
      <c r="K12" s="10"/>
      <c r="L12" s="10"/>
      <c r="M12" s="10"/>
      <c r="N12" s="30"/>
      <c r="O12" s="7">
        <f t="shared" si="1"/>
        <v>0</v>
      </c>
      <c r="P12" s="1"/>
    </row>
    <row r="13" spans="1:17" ht="14.25" thickBot="1" x14ac:dyDescent="0.2">
      <c r="A13" s="15" t="s">
        <v>87</v>
      </c>
      <c r="B13" s="11"/>
      <c r="C13" s="100"/>
      <c r="D13" s="100"/>
      <c r="E13" s="100"/>
      <c r="F13" s="101"/>
      <c r="G13" s="102">
        <f t="shared" si="0"/>
        <v>0</v>
      </c>
      <c r="H13" s="36"/>
      <c r="I13" s="15" t="s">
        <v>87</v>
      </c>
      <c r="J13" s="11"/>
      <c r="K13" s="100"/>
      <c r="L13" s="100"/>
      <c r="M13" s="100"/>
      <c r="N13" s="101"/>
      <c r="O13" s="102">
        <f t="shared" si="1"/>
        <v>0</v>
      </c>
      <c r="P13" s="1"/>
    </row>
    <row r="14" spans="1:17" ht="14.25" thickBot="1" x14ac:dyDescent="0.2">
      <c r="A14" s="72" t="s">
        <v>7</v>
      </c>
      <c r="B14" s="73">
        <f>SUM(B5:B13)</f>
        <v>55</v>
      </c>
      <c r="C14" s="74">
        <f t="shared" ref="C14:G14" si="2">SUM(C5:C13)</f>
        <v>61</v>
      </c>
      <c r="D14" s="74">
        <f t="shared" si="2"/>
        <v>55</v>
      </c>
      <c r="E14" s="74">
        <f t="shared" si="2"/>
        <v>54</v>
      </c>
      <c r="F14" s="105">
        <f t="shared" si="2"/>
        <v>34</v>
      </c>
      <c r="G14" s="76">
        <f t="shared" si="2"/>
        <v>259</v>
      </c>
      <c r="H14" s="1"/>
      <c r="I14" s="72" t="s">
        <v>7</v>
      </c>
      <c r="J14" s="73">
        <f>SUM(J5:J13)</f>
        <v>241</v>
      </c>
      <c r="K14" s="74">
        <f t="shared" ref="K14" si="3">SUM(K5:K13)</f>
        <v>241</v>
      </c>
      <c r="L14" s="74">
        <f t="shared" ref="L14" si="4">SUM(L5:L13)</f>
        <v>261</v>
      </c>
      <c r="M14" s="74">
        <f t="shared" ref="M14" si="5">SUM(M5:M13)</f>
        <v>261</v>
      </c>
      <c r="N14" s="105">
        <f t="shared" ref="N14" si="6">SUM(N5:N13)</f>
        <v>201</v>
      </c>
      <c r="O14" s="76">
        <f t="shared" ref="O14" si="7">SUM(O5:O13)</f>
        <v>1205</v>
      </c>
      <c r="P14" s="69"/>
    </row>
    <row r="15" spans="1:17" x14ac:dyDescent="0.15">
      <c r="A15" s="16" t="s">
        <v>62</v>
      </c>
      <c r="B15" s="37">
        <v>10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50</v>
      </c>
      <c r="H15" s="36">
        <v>42338</v>
      </c>
      <c r="I15" s="16" t="s">
        <v>64</v>
      </c>
      <c r="J15" s="17">
        <v>10</v>
      </c>
      <c r="K15" s="22">
        <v>10</v>
      </c>
      <c r="L15" s="22">
        <v>10</v>
      </c>
      <c r="M15" s="22">
        <v>10</v>
      </c>
      <c r="N15" s="29">
        <v>10</v>
      </c>
      <c r="O15" s="18">
        <f t="shared" si="1"/>
        <v>50</v>
      </c>
      <c r="P15" s="36">
        <v>42335</v>
      </c>
    </row>
    <row r="16" spans="1:17" x14ac:dyDescent="0.15">
      <c r="A16" s="51" t="s">
        <v>68</v>
      </c>
      <c r="B16" s="8">
        <v>1</v>
      </c>
      <c r="C16" s="10">
        <v>1</v>
      </c>
      <c r="D16" s="10"/>
      <c r="E16" s="10"/>
      <c r="F16" s="30"/>
      <c r="G16" s="7">
        <f t="shared" si="0"/>
        <v>2</v>
      </c>
      <c r="H16" s="36">
        <v>42363</v>
      </c>
      <c r="I16" s="16" t="s">
        <v>37</v>
      </c>
      <c r="J16" s="8"/>
      <c r="K16" s="10">
        <v>1</v>
      </c>
      <c r="L16" s="10"/>
      <c r="M16" s="10"/>
      <c r="N16" s="30"/>
      <c r="O16" s="7">
        <f t="shared" si="1"/>
        <v>1</v>
      </c>
      <c r="P16" s="36">
        <v>42360</v>
      </c>
    </row>
    <row r="17" spans="1:16" x14ac:dyDescent="0.15">
      <c r="A17" s="14" t="s">
        <v>67</v>
      </c>
      <c r="B17" s="8">
        <v>3</v>
      </c>
      <c r="C17" s="10">
        <v>3</v>
      </c>
      <c r="D17" s="10">
        <v>3</v>
      </c>
      <c r="E17" s="10">
        <v>2</v>
      </c>
      <c r="F17" s="30">
        <v>2</v>
      </c>
      <c r="G17" s="7">
        <f t="shared" ref="G17:G40" si="8">SUM(B17:F17)</f>
        <v>13</v>
      </c>
      <c r="H17" s="36">
        <v>42363</v>
      </c>
      <c r="I17" s="16" t="s">
        <v>37</v>
      </c>
      <c r="J17" s="8">
        <v>5</v>
      </c>
      <c r="K17" s="10">
        <v>5</v>
      </c>
      <c r="L17" s="10">
        <v>5</v>
      </c>
      <c r="M17" s="10">
        <v>4</v>
      </c>
      <c r="N17" s="30">
        <v>4</v>
      </c>
      <c r="O17" s="7">
        <f t="shared" ref="O17:O40" si="9">SUM(J17:N17)</f>
        <v>23</v>
      </c>
      <c r="P17" s="36">
        <v>42360</v>
      </c>
    </row>
    <row r="18" spans="1:16" x14ac:dyDescent="0.15">
      <c r="A18" s="14" t="s">
        <v>69</v>
      </c>
      <c r="B18" s="8">
        <v>1</v>
      </c>
      <c r="C18" s="10">
        <v>1</v>
      </c>
      <c r="D18" s="10">
        <v>1</v>
      </c>
      <c r="E18" s="10">
        <v>1</v>
      </c>
      <c r="F18" s="30">
        <v>1</v>
      </c>
      <c r="G18" s="7">
        <f t="shared" si="8"/>
        <v>5</v>
      </c>
      <c r="H18" s="36">
        <v>42363</v>
      </c>
      <c r="I18" s="16" t="s">
        <v>37</v>
      </c>
      <c r="J18" s="8">
        <v>10</v>
      </c>
      <c r="K18" s="10">
        <v>10</v>
      </c>
      <c r="L18" s="10">
        <v>20</v>
      </c>
      <c r="M18" s="10">
        <v>10</v>
      </c>
      <c r="N18" s="30">
        <v>10</v>
      </c>
      <c r="O18" s="7">
        <f t="shared" si="9"/>
        <v>60</v>
      </c>
      <c r="P18" s="36">
        <v>42377</v>
      </c>
    </row>
    <row r="19" spans="1:16" x14ac:dyDescent="0.15">
      <c r="A19" s="16" t="s">
        <v>22</v>
      </c>
      <c r="B19" s="8"/>
      <c r="C19" s="10"/>
      <c r="D19" s="10">
        <v>10</v>
      </c>
      <c r="E19" s="10"/>
      <c r="F19" s="30"/>
      <c r="G19" s="7">
        <f t="shared" si="8"/>
        <v>10</v>
      </c>
      <c r="H19" s="36">
        <v>42381</v>
      </c>
      <c r="I19" s="16" t="s">
        <v>37</v>
      </c>
      <c r="J19" s="8"/>
      <c r="K19" s="10">
        <v>5</v>
      </c>
      <c r="L19" s="10"/>
      <c r="M19" s="10">
        <v>10</v>
      </c>
      <c r="N19" s="30">
        <v>10</v>
      </c>
      <c r="O19" s="7">
        <f t="shared" si="9"/>
        <v>25</v>
      </c>
      <c r="P19" s="36">
        <v>42384</v>
      </c>
    </row>
    <row r="20" spans="1:16" x14ac:dyDescent="0.15">
      <c r="A20" s="14" t="s">
        <v>32</v>
      </c>
      <c r="B20" s="8"/>
      <c r="C20" s="10">
        <v>5</v>
      </c>
      <c r="D20" s="10"/>
      <c r="E20" s="10">
        <v>3</v>
      </c>
      <c r="F20" s="30"/>
      <c r="G20" s="7">
        <f t="shared" si="8"/>
        <v>8</v>
      </c>
      <c r="H20" s="36">
        <v>42384</v>
      </c>
      <c r="I20" s="16" t="s">
        <v>37</v>
      </c>
      <c r="J20" s="8">
        <v>10</v>
      </c>
      <c r="K20" s="10">
        <v>10</v>
      </c>
      <c r="L20" s="10">
        <v>10</v>
      </c>
      <c r="M20" s="10"/>
      <c r="N20" s="30"/>
      <c r="O20" s="7">
        <f t="shared" si="9"/>
        <v>30</v>
      </c>
      <c r="P20" s="36">
        <v>42390</v>
      </c>
    </row>
    <row r="21" spans="1:16" x14ac:dyDescent="0.15">
      <c r="A21" s="16" t="s">
        <v>22</v>
      </c>
      <c r="B21" s="8"/>
      <c r="C21" s="10"/>
      <c r="D21" s="10"/>
      <c r="E21" s="10">
        <v>10</v>
      </c>
      <c r="F21" s="30">
        <v>10</v>
      </c>
      <c r="G21" s="7">
        <f t="shared" si="8"/>
        <v>20</v>
      </c>
      <c r="H21" s="36">
        <v>42387</v>
      </c>
      <c r="I21" s="16" t="s">
        <v>37</v>
      </c>
      <c r="J21" s="8"/>
      <c r="K21" s="10">
        <v>20</v>
      </c>
      <c r="L21" s="10"/>
      <c r="M21" s="10"/>
      <c r="N21" s="30"/>
      <c r="O21" s="7">
        <f t="shared" si="9"/>
        <v>20</v>
      </c>
      <c r="P21" s="36">
        <v>42397</v>
      </c>
    </row>
    <row r="22" spans="1:16" x14ac:dyDescent="0.15">
      <c r="A22" s="16" t="s">
        <v>73</v>
      </c>
      <c r="B22" s="8">
        <v>1</v>
      </c>
      <c r="C22" s="10"/>
      <c r="D22" s="10"/>
      <c r="E22" s="10"/>
      <c r="F22" s="30"/>
      <c r="G22" s="7">
        <f t="shared" si="8"/>
        <v>1</v>
      </c>
      <c r="H22" s="36">
        <v>42383</v>
      </c>
      <c r="I22" s="16" t="s">
        <v>37</v>
      </c>
      <c r="J22" s="8">
        <v>20</v>
      </c>
      <c r="K22" s="10"/>
      <c r="L22" s="10">
        <v>10</v>
      </c>
      <c r="M22" s="10">
        <v>20</v>
      </c>
      <c r="N22" s="30"/>
      <c r="O22" s="7">
        <f t="shared" si="9"/>
        <v>50</v>
      </c>
      <c r="P22" s="36">
        <v>42404</v>
      </c>
    </row>
    <row r="23" spans="1:16" x14ac:dyDescent="0.15">
      <c r="A23" s="39" t="s">
        <v>70</v>
      </c>
      <c r="B23" s="8"/>
      <c r="C23" s="10">
        <v>5</v>
      </c>
      <c r="D23" s="10">
        <v>5</v>
      </c>
      <c r="E23" s="10"/>
      <c r="F23" s="30"/>
      <c r="G23" s="7">
        <f t="shared" si="8"/>
        <v>10</v>
      </c>
      <c r="H23" s="36">
        <v>42384</v>
      </c>
      <c r="I23" s="39"/>
      <c r="J23" s="8"/>
      <c r="K23" s="10"/>
      <c r="L23" s="10"/>
      <c r="M23" s="10"/>
      <c r="N23" s="30"/>
      <c r="O23" s="7">
        <f t="shared" si="9"/>
        <v>0</v>
      </c>
      <c r="P23" s="1"/>
    </row>
    <row r="24" spans="1:16" x14ac:dyDescent="0.15">
      <c r="A24" s="39" t="s">
        <v>32</v>
      </c>
      <c r="B24" s="11"/>
      <c r="C24" s="12">
        <v>3</v>
      </c>
      <c r="D24" s="12"/>
      <c r="E24" s="12"/>
      <c r="F24" s="31"/>
      <c r="G24" s="7">
        <f t="shared" si="8"/>
        <v>3</v>
      </c>
      <c r="H24" s="36">
        <v>42388</v>
      </c>
      <c r="I24" s="16"/>
      <c r="J24" s="11"/>
      <c r="K24" s="12"/>
      <c r="L24" s="12"/>
      <c r="M24" s="12"/>
      <c r="N24" s="31"/>
      <c r="O24" s="7">
        <f t="shared" si="9"/>
        <v>0</v>
      </c>
      <c r="P24" s="1"/>
    </row>
    <row r="25" spans="1:16" x14ac:dyDescent="0.15">
      <c r="A25" s="39" t="s">
        <v>32</v>
      </c>
      <c r="B25" s="8"/>
      <c r="C25" s="10"/>
      <c r="D25" s="10"/>
      <c r="E25" s="10">
        <v>1</v>
      </c>
      <c r="F25" s="30"/>
      <c r="G25" s="7">
        <f t="shared" si="8"/>
        <v>1</v>
      </c>
      <c r="H25" s="36">
        <v>42390</v>
      </c>
      <c r="I25" s="16"/>
      <c r="J25" s="8"/>
      <c r="K25" s="10"/>
      <c r="L25" s="10"/>
      <c r="M25" s="10"/>
      <c r="N25" s="30"/>
      <c r="O25" s="7">
        <f t="shared" si="9"/>
        <v>0</v>
      </c>
      <c r="P25" s="1"/>
    </row>
    <row r="26" spans="1:16" x14ac:dyDescent="0.15">
      <c r="A26" s="14" t="s">
        <v>92</v>
      </c>
      <c r="B26" s="8"/>
      <c r="C26" s="10">
        <v>-1</v>
      </c>
      <c r="D26" s="10">
        <v>-1</v>
      </c>
      <c r="E26" s="10">
        <v>-1</v>
      </c>
      <c r="F26" s="30">
        <v>-1</v>
      </c>
      <c r="G26" s="7">
        <f t="shared" si="8"/>
        <v>-4</v>
      </c>
      <c r="H26" s="36">
        <v>42384</v>
      </c>
      <c r="I26" s="14"/>
      <c r="J26" s="8"/>
      <c r="K26" s="10"/>
      <c r="L26" s="10"/>
      <c r="M26" s="10"/>
      <c r="N26" s="30"/>
      <c r="O26" s="7">
        <f t="shared" si="9"/>
        <v>0</v>
      </c>
      <c r="P26" s="1"/>
    </row>
    <row r="27" spans="1:16" x14ac:dyDescent="0.15">
      <c r="A27" s="14" t="s">
        <v>22</v>
      </c>
      <c r="B27" s="8">
        <v>10</v>
      </c>
      <c r="C27" s="10"/>
      <c r="D27" s="10"/>
      <c r="E27" s="10"/>
      <c r="F27" s="30"/>
      <c r="G27" s="7">
        <f t="shared" ref="G27" si="10">SUM(B27:F27)</f>
        <v>10</v>
      </c>
      <c r="H27" s="36">
        <v>42394</v>
      </c>
      <c r="I27" s="16"/>
      <c r="J27" s="8"/>
      <c r="K27" s="10"/>
      <c r="L27" s="10"/>
      <c r="M27" s="10"/>
      <c r="N27" s="30"/>
      <c r="O27" s="7">
        <f t="shared" si="9"/>
        <v>0</v>
      </c>
      <c r="P27" s="1"/>
    </row>
    <row r="28" spans="1:16" x14ac:dyDescent="0.15">
      <c r="A28" s="16" t="s">
        <v>75</v>
      </c>
      <c r="B28" s="8">
        <v>-1</v>
      </c>
      <c r="C28" s="10"/>
      <c r="D28" s="10"/>
      <c r="E28" s="10"/>
      <c r="F28" s="30"/>
      <c r="G28" s="7">
        <f t="shared" si="8"/>
        <v>-1</v>
      </c>
      <c r="H28" s="36">
        <v>42390</v>
      </c>
      <c r="I28" s="16"/>
      <c r="J28" s="8"/>
      <c r="K28" s="10"/>
      <c r="L28" s="10"/>
      <c r="M28" s="10"/>
      <c r="N28" s="30"/>
      <c r="O28" s="7">
        <f t="shared" si="9"/>
        <v>0</v>
      </c>
      <c r="P28" s="1"/>
    </row>
    <row r="29" spans="1:16" x14ac:dyDescent="0.15">
      <c r="A29" s="39" t="s">
        <v>76</v>
      </c>
      <c r="B29" s="8">
        <v>2</v>
      </c>
      <c r="C29" s="10">
        <v>5</v>
      </c>
      <c r="D29" s="10"/>
      <c r="E29" s="10"/>
      <c r="F29" s="30"/>
      <c r="G29" s="7">
        <f t="shared" si="8"/>
        <v>7</v>
      </c>
      <c r="H29" s="36">
        <v>42396</v>
      </c>
      <c r="I29" s="16"/>
      <c r="J29" s="8"/>
      <c r="K29" s="10"/>
      <c r="L29" s="10"/>
      <c r="M29" s="10"/>
      <c r="N29" s="30"/>
      <c r="O29" s="7">
        <f t="shared" si="9"/>
        <v>0</v>
      </c>
      <c r="P29" s="1"/>
    </row>
    <row r="30" spans="1:16" x14ac:dyDescent="0.15">
      <c r="A30" s="39" t="s">
        <v>32</v>
      </c>
      <c r="B30" s="8"/>
      <c r="C30" s="10">
        <v>1</v>
      </c>
      <c r="D30" s="10"/>
      <c r="E30" s="10"/>
      <c r="F30" s="30">
        <v>3</v>
      </c>
      <c r="G30" s="7">
        <f t="shared" si="8"/>
        <v>4</v>
      </c>
      <c r="H30" s="36">
        <v>42397</v>
      </c>
      <c r="I30" s="16"/>
      <c r="J30" s="8"/>
      <c r="K30" s="10"/>
      <c r="L30" s="10"/>
      <c r="M30" s="10"/>
      <c r="N30" s="30"/>
      <c r="O30" s="7">
        <f t="shared" si="9"/>
        <v>0</v>
      </c>
      <c r="P30" s="1"/>
    </row>
    <row r="31" spans="1:16" x14ac:dyDescent="0.15">
      <c r="A31" s="14" t="s">
        <v>22</v>
      </c>
      <c r="B31" s="8"/>
      <c r="C31" s="10">
        <v>10</v>
      </c>
      <c r="D31" s="10"/>
      <c r="E31" s="10"/>
      <c r="F31" s="30"/>
      <c r="G31" s="7">
        <f t="shared" si="8"/>
        <v>10</v>
      </c>
      <c r="H31" s="36">
        <v>42401</v>
      </c>
      <c r="I31" s="14"/>
      <c r="J31" s="8"/>
      <c r="K31" s="10"/>
      <c r="L31" s="10"/>
      <c r="M31" s="10"/>
      <c r="N31" s="30"/>
      <c r="O31" s="7">
        <f t="shared" si="9"/>
        <v>0</v>
      </c>
      <c r="P31" s="1"/>
    </row>
    <row r="32" spans="1:16" x14ac:dyDescent="0.15">
      <c r="A32" s="16"/>
      <c r="B32" s="8"/>
      <c r="C32" s="10"/>
      <c r="D32" s="10"/>
      <c r="E32" s="10"/>
      <c r="F32" s="30"/>
      <c r="G32" s="7">
        <f t="shared" si="8"/>
        <v>0</v>
      </c>
      <c r="H32" s="36"/>
      <c r="I32" s="16"/>
      <c r="J32" s="8"/>
      <c r="K32" s="10"/>
      <c r="L32" s="10"/>
      <c r="M32" s="10"/>
      <c r="N32" s="30"/>
      <c r="O32" s="7">
        <f t="shared" si="9"/>
        <v>0</v>
      </c>
      <c r="P32" s="1"/>
    </row>
    <row r="33" spans="1:16" x14ac:dyDescent="0.15">
      <c r="A33" s="14" t="s">
        <v>22</v>
      </c>
      <c r="B33" s="8">
        <v>10</v>
      </c>
      <c r="C33" s="10"/>
      <c r="D33" s="10">
        <v>10</v>
      </c>
      <c r="E33" s="10">
        <v>10</v>
      </c>
      <c r="F33" s="30"/>
      <c r="G33" s="7">
        <f t="shared" si="8"/>
        <v>30</v>
      </c>
      <c r="H33" s="36">
        <v>42408</v>
      </c>
      <c r="I33" s="16"/>
      <c r="J33" s="8"/>
      <c r="K33" s="10"/>
      <c r="L33" s="10"/>
      <c r="M33" s="10"/>
      <c r="N33" s="30"/>
      <c r="O33" s="7">
        <f t="shared" si="9"/>
        <v>0</v>
      </c>
      <c r="P33" s="1"/>
    </row>
    <row r="34" spans="1:16" x14ac:dyDescent="0.15">
      <c r="A34" s="16"/>
      <c r="B34" s="8"/>
      <c r="C34" s="10"/>
      <c r="D34" s="10"/>
      <c r="E34" s="10"/>
      <c r="F34" s="30"/>
      <c r="G34" s="7">
        <f t="shared" si="8"/>
        <v>0</v>
      </c>
      <c r="H34" s="36"/>
      <c r="I34" s="16"/>
      <c r="J34" s="8"/>
      <c r="K34" s="10"/>
      <c r="L34" s="10"/>
      <c r="M34" s="10"/>
      <c r="N34" s="30"/>
      <c r="O34" s="7">
        <f t="shared" si="9"/>
        <v>0</v>
      </c>
      <c r="P34" s="1"/>
    </row>
    <row r="35" spans="1:16" x14ac:dyDescent="0.15">
      <c r="A35" s="14" t="s">
        <v>77</v>
      </c>
      <c r="B35" s="8"/>
      <c r="C35" s="10"/>
      <c r="D35" s="10">
        <v>5</v>
      </c>
      <c r="E35" s="10"/>
      <c r="F35" s="30"/>
      <c r="G35" s="7">
        <f t="shared" si="8"/>
        <v>5</v>
      </c>
      <c r="H35" s="36">
        <v>42409</v>
      </c>
      <c r="I35" s="14"/>
      <c r="J35" s="8"/>
      <c r="K35" s="10"/>
      <c r="L35" s="10"/>
      <c r="M35" s="10"/>
      <c r="N35" s="30"/>
      <c r="O35" s="7">
        <f t="shared" si="9"/>
        <v>0</v>
      </c>
      <c r="P35" s="1"/>
    </row>
    <row r="36" spans="1:16" x14ac:dyDescent="0.15">
      <c r="A36" s="14" t="s">
        <v>32</v>
      </c>
      <c r="B36" s="11"/>
      <c r="C36" s="12"/>
      <c r="D36" s="12"/>
      <c r="E36" s="12">
        <v>1</v>
      </c>
      <c r="F36" s="31"/>
      <c r="G36" s="7">
        <f t="shared" si="8"/>
        <v>1</v>
      </c>
      <c r="H36" s="36">
        <v>42409</v>
      </c>
      <c r="I36" s="16"/>
      <c r="J36" s="11"/>
      <c r="K36" s="12"/>
      <c r="L36" s="12"/>
      <c r="M36" s="12"/>
      <c r="N36" s="31"/>
      <c r="O36" s="7">
        <f t="shared" si="9"/>
        <v>0</v>
      </c>
      <c r="P36" s="1"/>
    </row>
    <row r="37" spans="1:16" x14ac:dyDescent="0.15">
      <c r="A37" s="14" t="s">
        <v>22</v>
      </c>
      <c r="B37" s="8"/>
      <c r="C37" s="10">
        <v>10</v>
      </c>
      <c r="D37" s="10"/>
      <c r="E37" s="10"/>
      <c r="F37" s="30"/>
      <c r="G37" s="7">
        <f t="shared" si="8"/>
        <v>10</v>
      </c>
      <c r="H37" s="36">
        <v>42422</v>
      </c>
      <c r="I37" s="14"/>
      <c r="J37" s="8"/>
      <c r="K37" s="10"/>
      <c r="L37" s="10"/>
      <c r="M37" s="10"/>
      <c r="N37" s="30"/>
      <c r="O37" s="7">
        <f t="shared" si="9"/>
        <v>0</v>
      </c>
      <c r="P37" s="1"/>
    </row>
    <row r="38" spans="1:16" x14ac:dyDescent="0.15">
      <c r="A38" s="14" t="s">
        <v>32</v>
      </c>
      <c r="B38" s="8">
        <v>2</v>
      </c>
      <c r="C38" s="10"/>
      <c r="D38" s="10"/>
      <c r="E38" s="10"/>
      <c r="F38" s="30"/>
      <c r="G38" s="7">
        <f t="shared" si="8"/>
        <v>2</v>
      </c>
      <c r="H38" s="36">
        <v>42418</v>
      </c>
      <c r="I38" s="14"/>
      <c r="J38" s="8"/>
      <c r="K38" s="10"/>
      <c r="L38" s="10"/>
      <c r="M38" s="10"/>
      <c r="N38" s="30"/>
      <c r="O38" s="7">
        <f t="shared" si="9"/>
        <v>0</v>
      </c>
      <c r="P38" s="1"/>
    </row>
    <row r="39" spans="1:16" x14ac:dyDescent="0.15">
      <c r="A39" s="14" t="s">
        <v>90</v>
      </c>
      <c r="B39" s="8">
        <v>1</v>
      </c>
      <c r="C39" s="10"/>
      <c r="D39" s="10"/>
      <c r="E39" s="10"/>
      <c r="F39" s="30"/>
      <c r="G39" s="7">
        <f t="shared" si="8"/>
        <v>1</v>
      </c>
      <c r="H39" s="36">
        <v>42418</v>
      </c>
      <c r="I39" s="14"/>
      <c r="J39" s="8"/>
      <c r="K39" s="10"/>
      <c r="L39" s="10"/>
      <c r="M39" s="10"/>
      <c r="N39" s="30"/>
      <c r="O39" s="7">
        <f t="shared" si="9"/>
        <v>0</v>
      </c>
      <c r="P39" s="1"/>
    </row>
    <row r="40" spans="1:16" ht="14.25" thickBot="1" x14ac:dyDescent="0.2">
      <c r="A40" s="20" t="s">
        <v>93</v>
      </c>
      <c r="B40" s="11">
        <v>1</v>
      </c>
      <c r="C40" s="12"/>
      <c r="D40" s="12"/>
      <c r="E40" s="12"/>
      <c r="F40" s="31"/>
      <c r="G40" s="7">
        <f t="shared" si="8"/>
        <v>1</v>
      </c>
      <c r="H40" s="36">
        <v>42422</v>
      </c>
      <c r="I40" s="20"/>
      <c r="J40" s="11"/>
      <c r="K40" s="12"/>
      <c r="L40" s="12"/>
      <c r="M40" s="12"/>
      <c r="N40" s="31"/>
      <c r="O40" s="7">
        <f t="shared" si="9"/>
        <v>0</v>
      </c>
      <c r="P40" s="36"/>
    </row>
    <row r="41" spans="1:16" ht="14.25" thickBot="1" x14ac:dyDescent="0.2">
      <c r="A41" s="3" t="s">
        <v>11</v>
      </c>
      <c r="B41" s="23">
        <f>SUM(B15:B40)</f>
        <v>41</v>
      </c>
      <c r="C41" s="4">
        <f>SUM(C15:C40)</f>
        <v>53</v>
      </c>
      <c r="D41" s="4">
        <f>SUM(D15:D40)</f>
        <v>43</v>
      </c>
      <c r="E41" s="6">
        <f>SUM(E15:E40)</f>
        <v>37</v>
      </c>
      <c r="F41" s="32">
        <f>SUM(F15:F40)</f>
        <v>25</v>
      </c>
      <c r="G41" s="5">
        <f>SUM(B41:F41)</f>
        <v>199</v>
      </c>
      <c r="H41" s="1"/>
      <c r="I41" s="3" t="s">
        <v>11</v>
      </c>
      <c r="J41" s="23">
        <f>SUM(J15:J40)</f>
        <v>55</v>
      </c>
      <c r="K41" s="4">
        <f>SUM(K15:K40)</f>
        <v>61</v>
      </c>
      <c r="L41" s="4">
        <f>SUM(L15:L40)</f>
        <v>55</v>
      </c>
      <c r="M41" s="6">
        <f>SUM(M15:M40)</f>
        <v>54</v>
      </c>
      <c r="N41" s="32">
        <f>SUM(N15:N40)</f>
        <v>34</v>
      </c>
      <c r="O41" s="5">
        <f>SUM(J41:N41)</f>
        <v>259</v>
      </c>
      <c r="P41" s="1"/>
    </row>
    <row r="42" spans="1:16" ht="14.25" thickBot="1" x14ac:dyDescent="0.2">
      <c r="A42" s="25" t="s">
        <v>12</v>
      </c>
      <c r="B42" s="63">
        <f>B14-B41</f>
        <v>14</v>
      </c>
      <c r="C42" s="26">
        <f t="shared" ref="C42:G42" si="11">C14-C41</f>
        <v>8</v>
      </c>
      <c r="D42" s="71">
        <f t="shared" si="11"/>
        <v>12</v>
      </c>
      <c r="E42" s="26">
        <f t="shared" si="11"/>
        <v>17</v>
      </c>
      <c r="F42" s="70">
        <f t="shared" si="11"/>
        <v>9</v>
      </c>
      <c r="G42" s="27">
        <f t="shared" si="11"/>
        <v>60</v>
      </c>
      <c r="H42" s="1"/>
      <c r="I42" s="25" t="s">
        <v>12</v>
      </c>
      <c r="J42" s="63">
        <f>J14-J41</f>
        <v>186</v>
      </c>
      <c r="K42" s="26">
        <f t="shared" ref="K42:O42" si="12">K14-K41</f>
        <v>180</v>
      </c>
      <c r="L42" s="71">
        <f t="shared" si="12"/>
        <v>206</v>
      </c>
      <c r="M42" s="26">
        <f t="shared" si="12"/>
        <v>207</v>
      </c>
      <c r="N42" s="70">
        <f t="shared" si="12"/>
        <v>167</v>
      </c>
      <c r="O42" s="27">
        <f t="shared" si="12"/>
        <v>946</v>
      </c>
      <c r="P42" s="1"/>
    </row>
    <row r="43" spans="1:16" ht="17.25" x14ac:dyDescent="0.2">
      <c r="A43" s="79" t="s">
        <v>56</v>
      </c>
      <c r="B43" s="80"/>
      <c r="C43" s="80"/>
      <c r="D43" s="80"/>
      <c r="E43" s="80"/>
      <c r="F43" s="80"/>
      <c r="G43" s="80"/>
      <c r="H43" s="1"/>
      <c r="I43" s="79" t="s">
        <v>56</v>
      </c>
      <c r="J43" s="80"/>
      <c r="K43" s="80"/>
      <c r="L43" s="80"/>
      <c r="M43" s="80"/>
      <c r="N43" s="80"/>
      <c r="O43" s="1"/>
      <c r="P43" s="1"/>
    </row>
    <row r="44" spans="1:16" ht="21.75" thickBot="1" x14ac:dyDescent="0.25">
      <c r="A44" s="82" t="s">
        <v>55</v>
      </c>
      <c r="B44" s="80"/>
      <c r="C44" s="80"/>
      <c r="D44" s="80"/>
      <c r="E44" s="81" t="s">
        <v>53</v>
      </c>
      <c r="F44" s="80"/>
      <c r="G44" s="80"/>
      <c r="H44" s="1"/>
      <c r="I44" s="82" t="s">
        <v>55</v>
      </c>
      <c r="J44" s="80"/>
      <c r="K44" s="80"/>
      <c r="L44" s="80"/>
      <c r="M44" s="81" t="s">
        <v>54</v>
      </c>
      <c r="N44" s="80"/>
      <c r="O44" s="1"/>
      <c r="P44" s="1"/>
    </row>
    <row r="45" spans="1:16" ht="14.25" thickBot="1" x14ac:dyDescent="0.2">
      <c r="A45" s="13" t="s">
        <v>0</v>
      </c>
      <c r="B45" s="228" t="s">
        <v>57</v>
      </c>
      <c r="C45" s="229"/>
      <c r="D45" s="229"/>
      <c r="E45" s="229"/>
      <c r="F45" s="230"/>
      <c r="G45" s="231"/>
      <c r="H45" s="1"/>
      <c r="I45" s="13" t="s">
        <v>0</v>
      </c>
      <c r="J45" s="232" t="s">
        <v>57</v>
      </c>
      <c r="K45" s="233"/>
      <c r="L45" s="233"/>
      <c r="M45" s="233"/>
      <c r="N45" s="233"/>
      <c r="O45" s="234"/>
      <c r="P45" s="1"/>
    </row>
    <row r="46" spans="1:16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" t="s">
        <v>2</v>
      </c>
      <c r="H46" s="1"/>
      <c r="I46" s="3" t="s">
        <v>1</v>
      </c>
      <c r="J46" s="2" t="s">
        <v>42</v>
      </c>
      <c r="K46" s="21" t="s">
        <v>43</v>
      </c>
      <c r="L46" s="21" t="s">
        <v>44</v>
      </c>
      <c r="M46" s="24" t="s">
        <v>45</v>
      </c>
      <c r="N46" s="33" t="s">
        <v>46</v>
      </c>
      <c r="O46" s="3" t="s">
        <v>2</v>
      </c>
      <c r="P46" s="1"/>
    </row>
    <row r="47" spans="1:16" ht="14.25" thickBot="1" x14ac:dyDescent="0.2">
      <c r="A47" s="72" t="s">
        <v>79</v>
      </c>
      <c r="B47" s="73">
        <f>B42</f>
        <v>14</v>
      </c>
      <c r="C47" s="74">
        <f t="shared" ref="C47:F47" si="13">C42</f>
        <v>8</v>
      </c>
      <c r="D47" s="107">
        <f t="shared" si="13"/>
        <v>12</v>
      </c>
      <c r="E47" s="75">
        <f t="shared" si="13"/>
        <v>17</v>
      </c>
      <c r="F47" s="75">
        <f t="shared" si="13"/>
        <v>9</v>
      </c>
      <c r="G47" s="76">
        <f t="shared" ref="G47:G56" si="14">SUM(B47:F47)</f>
        <v>60</v>
      </c>
      <c r="H47" s="36"/>
      <c r="I47" s="72" t="s">
        <v>79</v>
      </c>
      <c r="J47" s="73">
        <f>J42</f>
        <v>186</v>
      </c>
      <c r="K47" s="74">
        <f t="shared" ref="K47:N47" si="15">K42</f>
        <v>180</v>
      </c>
      <c r="L47" s="107">
        <f t="shared" si="15"/>
        <v>206</v>
      </c>
      <c r="M47" s="75">
        <f t="shared" si="15"/>
        <v>207</v>
      </c>
      <c r="N47" s="75">
        <f t="shared" si="15"/>
        <v>167</v>
      </c>
      <c r="O47" s="76">
        <f t="shared" ref="O47:O56" si="16">SUM(J47:N47)</f>
        <v>946</v>
      </c>
      <c r="P47" s="36"/>
    </row>
    <row r="48" spans="1:16" x14ac:dyDescent="0.15">
      <c r="A48" s="38" t="s">
        <v>15</v>
      </c>
      <c r="B48" s="37">
        <v>15</v>
      </c>
      <c r="C48" s="35">
        <v>30</v>
      </c>
      <c r="D48" s="35">
        <v>25</v>
      </c>
      <c r="E48" s="35">
        <v>10</v>
      </c>
      <c r="F48" s="28">
        <v>25</v>
      </c>
      <c r="G48" s="7">
        <f t="shared" si="14"/>
        <v>105</v>
      </c>
      <c r="H48" s="36">
        <v>42426</v>
      </c>
      <c r="I48" s="38" t="s">
        <v>15</v>
      </c>
      <c r="J48" s="37"/>
      <c r="K48" s="35"/>
      <c r="L48" s="35"/>
      <c r="M48" s="35"/>
      <c r="N48" s="28"/>
      <c r="O48" s="7">
        <f t="shared" si="16"/>
        <v>0</v>
      </c>
      <c r="P48" s="36"/>
    </row>
    <row r="49" spans="1:16" x14ac:dyDescent="0.15">
      <c r="A49" s="15" t="s">
        <v>16</v>
      </c>
      <c r="B49" s="8">
        <v>10</v>
      </c>
      <c r="C49" s="10">
        <v>10</v>
      </c>
      <c r="D49" s="10">
        <v>10</v>
      </c>
      <c r="E49" s="10"/>
      <c r="F49" s="28">
        <v>10</v>
      </c>
      <c r="G49" s="9">
        <f t="shared" si="14"/>
        <v>40</v>
      </c>
      <c r="H49" s="36">
        <v>42430</v>
      </c>
      <c r="I49" s="15" t="s">
        <v>16</v>
      </c>
      <c r="J49" s="8"/>
      <c r="K49" s="10"/>
      <c r="L49" s="10"/>
      <c r="M49" s="10"/>
      <c r="N49" s="28"/>
      <c r="O49" s="9">
        <f t="shared" si="16"/>
        <v>0</v>
      </c>
      <c r="P49" s="36"/>
    </row>
    <row r="50" spans="1:16" x14ac:dyDescent="0.15">
      <c r="A50" s="15" t="s">
        <v>100</v>
      </c>
      <c r="B50" s="8">
        <v>1</v>
      </c>
      <c r="C50" s="10">
        <v>1</v>
      </c>
      <c r="D50" s="10"/>
      <c r="E50" s="10"/>
      <c r="F50" s="28"/>
      <c r="G50" s="9">
        <f t="shared" si="14"/>
        <v>2</v>
      </c>
      <c r="H50" s="36">
        <v>42430</v>
      </c>
      <c r="I50" s="15" t="s">
        <v>18</v>
      </c>
      <c r="J50" s="8"/>
      <c r="K50" s="10"/>
      <c r="L50" s="10"/>
      <c r="M50" s="10"/>
      <c r="N50" s="28"/>
      <c r="O50" s="9">
        <f t="shared" si="16"/>
        <v>0</v>
      </c>
      <c r="P50" s="1"/>
    </row>
    <row r="51" spans="1:16" x14ac:dyDescent="0.15">
      <c r="A51" s="15" t="s">
        <v>20</v>
      </c>
      <c r="B51" s="8"/>
      <c r="C51" s="10">
        <v>10</v>
      </c>
      <c r="D51" s="10">
        <v>10</v>
      </c>
      <c r="E51" s="10">
        <v>10</v>
      </c>
      <c r="F51" s="28"/>
      <c r="G51" s="9">
        <f t="shared" si="14"/>
        <v>30</v>
      </c>
      <c r="H51" s="36">
        <v>42432</v>
      </c>
      <c r="I51" s="15" t="s">
        <v>20</v>
      </c>
      <c r="J51" s="8"/>
      <c r="K51" s="10"/>
      <c r="L51" s="10"/>
      <c r="M51" s="10"/>
      <c r="N51" s="28"/>
      <c r="O51" s="9">
        <f t="shared" si="16"/>
        <v>0</v>
      </c>
      <c r="P51" s="1"/>
    </row>
    <row r="52" spans="1:16" x14ac:dyDescent="0.15">
      <c r="A52" s="15" t="s">
        <v>19</v>
      </c>
      <c r="B52" s="8"/>
      <c r="C52" s="10">
        <v>1</v>
      </c>
      <c r="D52" s="10">
        <v>1</v>
      </c>
      <c r="E52" s="10">
        <v>1</v>
      </c>
      <c r="F52" s="28"/>
      <c r="G52" s="9">
        <f t="shared" si="14"/>
        <v>3</v>
      </c>
      <c r="H52" s="36">
        <v>42434</v>
      </c>
      <c r="I52" s="15" t="s">
        <v>80</v>
      </c>
      <c r="J52" s="8"/>
      <c r="K52" s="10"/>
      <c r="L52" s="10"/>
      <c r="M52" s="10"/>
      <c r="N52" s="28"/>
      <c r="O52" s="9">
        <f t="shared" si="16"/>
        <v>0</v>
      </c>
      <c r="P52" s="1"/>
    </row>
    <row r="53" spans="1:16" x14ac:dyDescent="0.15">
      <c r="A53" s="15" t="s">
        <v>81</v>
      </c>
      <c r="B53" s="8">
        <v>15</v>
      </c>
      <c r="C53" s="10">
        <v>10</v>
      </c>
      <c r="D53" s="10">
        <v>15</v>
      </c>
      <c r="E53" s="10">
        <v>10</v>
      </c>
      <c r="F53" s="28">
        <v>20</v>
      </c>
      <c r="G53" s="9">
        <f t="shared" si="14"/>
        <v>70</v>
      </c>
      <c r="H53" s="36">
        <v>42455</v>
      </c>
      <c r="I53" s="15" t="s">
        <v>81</v>
      </c>
      <c r="J53" s="8"/>
      <c r="K53" s="10"/>
      <c r="L53" s="10"/>
      <c r="M53" s="10"/>
      <c r="N53" s="28"/>
      <c r="O53" s="9">
        <f t="shared" si="16"/>
        <v>0</v>
      </c>
      <c r="P53" s="1"/>
    </row>
    <row r="54" spans="1:16" x14ac:dyDescent="0.15">
      <c r="A54" s="15" t="s">
        <v>19</v>
      </c>
      <c r="B54" s="8"/>
      <c r="C54" s="10"/>
      <c r="D54" s="10"/>
      <c r="E54" s="10"/>
      <c r="F54" s="28">
        <v>1</v>
      </c>
      <c r="G54" s="9">
        <f t="shared" si="14"/>
        <v>1</v>
      </c>
      <c r="H54" s="36">
        <v>42458</v>
      </c>
      <c r="I54" s="15" t="s">
        <v>82</v>
      </c>
      <c r="J54" s="8"/>
      <c r="K54" s="10"/>
      <c r="L54" s="10"/>
      <c r="M54" s="10"/>
      <c r="N54" s="28"/>
      <c r="O54" s="9">
        <f t="shared" si="16"/>
        <v>0</v>
      </c>
      <c r="P54" s="1"/>
    </row>
    <row r="55" spans="1:16" x14ac:dyDescent="0.15">
      <c r="A55" s="15" t="s">
        <v>83</v>
      </c>
      <c r="B55" s="8">
        <v>10</v>
      </c>
      <c r="C55" s="10"/>
      <c r="D55" s="10"/>
      <c r="E55" s="10">
        <v>10</v>
      </c>
      <c r="F55" s="30"/>
      <c r="G55" s="7">
        <f t="shared" si="14"/>
        <v>20</v>
      </c>
      <c r="H55" s="36">
        <v>42460</v>
      </c>
      <c r="I55" s="15" t="s">
        <v>83</v>
      </c>
      <c r="J55" s="8"/>
      <c r="K55" s="10"/>
      <c r="L55" s="10"/>
      <c r="M55" s="10"/>
      <c r="N55" s="30"/>
      <c r="O55" s="7">
        <f t="shared" si="16"/>
        <v>0</v>
      </c>
      <c r="P55" s="1"/>
    </row>
    <row r="56" spans="1:16" ht="14.25" thickBot="1" x14ac:dyDescent="0.2">
      <c r="A56" s="15" t="s">
        <v>111</v>
      </c>
      <c r="B56" s="11"/>
      <c r="C56" s="100">
        <v>1</v>
      </c>
      <c r="D56" s="100"/>
      <c r="E56" s="100"/>
      <c r="F56" s="101"/>
      <c r="G56" s="102">
        <f t="shared" si="14"/>
        <v>1</v>
      </c>
      <c r="H56" s="36">
        <v>42467</v>
      </c>
      <c r="I56" s="15" t="s">
        <v>87</v>
      </c>
      <c r="J56" s="11"/>
      <c r="K56" s="100"/>
      <c r="L56" s="100"/>
      <c r="M56" s="100"/>
      <c r="N56" s="101"/>
      <c r="O56" s="102">
        <f t="shared" si="16"/>
        <v>0</v>
      </c>
      <c r="P56" s="1"/>
    </row>
    <row r="57" spans="1:16" ht="14.25" thickBot="1" x14ac:dyDescent="0.2">
      <c r="A57" s="72" t="s">
        <v>7</v>
      </c>
      <c r="B57" s="73">
        <f>SUM(B47:B56)</f>
        <v>65</v>
      </c>
      <c r="C57" s="74">
        <f t="shared" ref="C57:G57" si="17">SUM(C47:C56)</f>
        <v>71</v>
      </c>
      <c r="D57" s="74">
        <f t="shared" si="17"/>
        <v>73</v>
      </c>
      <c r="E57" s="74">
        <f t="shared" si="17"/>
        <v>58</v>
      </c>
      <c r="F57" s="105">
        <f t="shared" si="17"/>
        <v>65</v>
      </c>
      <c r="G57" s="76">
        <f t="shared" si="17"/>
        <v>332</v>
      </c>
      <c r="H57" s="1"/>
      <c r="I57" s="72" t="s">
        <v>7</v>
      </c>
      <c r="J57" s="73">
        <f>SUM(J47:J56)</f>
        <v>186</v>
      </c>
      <c r="K57" s="74">
        <f t="shared" ref="K57" si="18">SUM(K47:K56)</f>
        <v>180</v>
      </c>
      <c r="L57" s="74">
        <f t="shared" ref="L57" si="19">SUM(L47:L56)</f>
        <v>206</v>
      </c>
      <c r="M57" s="74">
        <f t="shared" ref="M57" si="20">SUM(M47:M56)</f>
        <v>207</v>
      </c>
      <c r="N57" s="105">
        <f t="shared" ref="N57" si="21">SUM(N47:N56)</f>
        <v>167</v>
      </c>
      <c r="O57" s="76">
        <f t="shared" ref="O57" si="22">SUM(O47:O56)</f>
        <v>946</v>
      </c>
      <c r="P57" s="69"/>
    </row>
    <row r="58" spans="1:16" x14ac:dyDescent="0.15">
      <c r="A58" s="14" t="s">
        <v>22</v>
      </c>
      <c r="B58" s="37"/>
      <c r="C58" s="35">
        <v>10</v>
      </c>
      <c r="D58" s="35">
        <v>10</v>
      </c>
      <c r="E58" s="35"/>
      <c r="F58" s="28">
        <v>10</v>
      </c>
      <c r="G58" s="18">
        <f t="shared" ref="G58:G83" si="23">SUM(B58:F58)</f>
        <v>30</v>
      </c>
      <c r="H58" s="36">
        <v>42430</v>
      </c>
      <c r="I58" s="16" t="s">
        <v>94</v>
      </c>
      <c r="J58" s="17">
        <v>15</v>
      </c>
      <c r="K58" s="22">
        <v>30</v>
      </c>
      <c r="L58" s="22">
        <v>25</v>
      </c>
      <c r="M58" s="22">
        <v>10</v>
      </c>
      <c r="N58" s="29">
        <v>25</v>
      </c>
      <c r="O58" s="18">
        <f t="shared" ref="O58:O83" si="24">SUM(J58:N58)</f>
        <v>105</v>
      </c>
      <c r="P58" s="36">
        <v>42426</v>
      </c>
    </row>
    <row r="59" spans="1:16" x14ac:dyDescent="0.15">
      <c r="A59" s="51" t="s">
        <v>97</v>
      </c>
      <c r="B59" s="8"/>
      <c r="C59" s="10">
        <v>3</v>
      </c>
      <c r="D59" s="10"/>
      <c r="E59" s="10"/>
      <c r="F59" s="30">
        <v>2</v>
      </c>
      <c r="G59" s="7">
        <f t="shared" si="23"/>
        <v>5</v>
      </c>
      <c r="H59" s="36">
        <v>42426</v>
      </c>
      <c r="I59" s="16" t="s">
        <v>37</v>
      </c>
      <c r="J59" s="8">
        <v>10</v>
      </c>
      <c r="K59" s="10">
        <v>10</v>
      </c>
      <c r="L59" s="10">
        <v>10</v>
      </c>
      <c r="M59" s="10"/>
      <c r="N59" s="28">
        <v>10</v>
      </c>
      <c r="O59" s="9">
        <f t="shared" si="24"/>
        <v>40</v>
      </c>
      <c r="P59" s="36">
        <v>42430</v>
      </c>
    </row>
    <row r="60" spans="1:16" x14ac:dyDescent="0.15">
      <c r="A60" s="20" t="s">
        <v>78</v>
      </c>
      <c r="B60" s="11">
        <v>20</v>
      </c>
      <c r="C60" s="12">
        <v>20</v>
      </c>
      <c r="D60" s="12">
        <v>20</v>
      </c>
      <c r="E60" s="12">
        <v>15</v>
      </c>
      <c r="F60" s="31">
        <v>15</v>
      </c>
      <c r="G60" s="7">
        <f t="shared" ref="G60" si="25">SUM(B60:F60)</f>
        <v>90</v>
      </c>
      <c r="H60" s="36">
        <v>42431</v>
      </c>
      <c r="I60" s="15" t="s">
        <v>101</v>
      </c>
      <c r="J60" s="8"/>
      <c r="K60" s="10">
        <v>10</v>
      </c>
      <c r="L60" s="10">
        <v>10</v>
      </c>
      <c r="M60" s="10">
        <v>10</v>
      </c>
      <c r="N60" s="28"/>
      <c r="O60" s="9">
        <f t="shared" si="24"/>
        <v>30</v>
      </c>
      <c r="P60" s="36">
        <v>42432</v>
      </c>
    </row>
    <row r="61" spans="1:16" x14ac:dyDescent="0.15">
      <c r="A61" s="51" t="s">
        <v>31</v>
      </c>
      <c r="B61" s="8">
        <v>2</v>
      </c>
      <c r="C61" s="10"/>
      <c r="D61" s="10">
        <v>3</v>
      </c>
      <c r="E61" s="10"/>
      <c r="F61" s="30"/>
      <c r="G61" s="7">
        <f t="shared" si="23"/>
        <v>5</v>
      </c>
      <c r="H61" s="36">
        <v>42432</v>
      </c>
      <c r="I61" s="15" t="s">
        <v>101</v>
      </c>
      <c r="J61" s="8">
        <v>15</v>
      </c>
      <c r="K61" s="10">
        <v>10</v>
      </c>
      <c r="L61" s="10">
        <v>15</v>
      </c>
      <c r="M61" s="10">
        <v>10</v>
      </c>
      <c r="N61" s="30">
        <v>20</v>
      </c>
      <c r="O61" s="7">
        <f t="shared" si="24"/>
        <v>70</v>
      </c>
      <c r="P61" s="36">
        <v>42455</v>
      </c>
    </row>
    <row r="62" spans="1:16" x14ac:dyDescent="0.15">
      <c r="A62" s="16" t="s">
        <v>98</v>
      </c>
      <c r="B62" s="8"/>
      <c r="C62" s="10">
        <v>1</v>
      </c>
      <c r="D62" s="10"/>
      <c r="E62" s="10"/>
      <c r="F62" s="30"/>
      <c r="G62" s="7">
        <f t="shared" si="23"/>
        <v>1</v>
      </c>
      <c r="H62" s="36">
        <v>42426</v>
      </c>
      <c r="I62" s="15" t="s">
        <v>101</v>
      </c>
      <c r="J62" s="8">
        <v>10</v>
      </c>
      <c r="K62" s="10"/>
      <c r="L62" s="10"/>
      <c r="M62" s="10">
        <v>10</v>
      </c>
      <c r="N62" s="30"/>
      <c r="O62" s="7">
        <f t="shared" si="24"/>
        <v>20</v>
      </c>
      <c r="P62" s="36">
        <v>42460</v>
      </c>
    </row>
    <row r="63" spans="1:16" x14ac:dyDescent="0.15">
      <c r="A63" s="51" t="s">
        <v>31</v>
      </c>
      <c r="B63" s="8">
        <v>3</v>
      </c>
      <c r="C63" s="10">
        <v>2</v>
      </c>
      <c r="D63" s="10">
        <v>4</v>
      </c>
      <c r="E63" s="10">
        <v>3</v>
      </c>
      <c r="F63" s="30">
        <v>5</v>
      </c>
      <c r="G63" s="7">
        <f t="shared" si="23"/>
        <v>17</v>
      </c>
      <c r="H63" s="36">
        <v>42433</v>
      </c>
      <c r="I63" s="15" t="s">
        <v>101</v>
      </c>
      <c r="J63" s="8"/>
      <c r="K63" s="10"/>
      <c r="L63" s="10">
        <v>10</v>
      </c>
      <c r="M63" s="10"/>
      <c r="N63" s="30">
        <v>10</v>
      </c>
      <c r="O63" s="7">
        <f t="shared" si="24"/>
        <v>20</v>
      </c>
      <c r="P63" s="36">
        <v>42471</v>
      </c>
    </row>
    <row r="64" spans="1:16" x14ac:dyDescent="0.15">
      <c r="A64" s="51" t="s">
        <v>31</v>
      </c>
      <c r="B64" s="8">
        <v>2</v>
      </c>
      <c r="C64" s="10"/>
      <c r="D64" s="10">
        <v>2</v>
      </c>
      <c r="E64" s="10">
        <v>2</v>
      </c>
      <c r="F64" s="30"/>
      <c r="G64" s="7">
        <f t="shared" si="23"/>
        <v>6</v>
      </c>
      <c r="H64" s="36">
        <v>42436</v>
      </c>
      <c r="I64" s="16"/>
      <c r="J64" s="8"/>
      <c r="K64" s="10"/>
      <c r="L64" s="10"/>
      <c r="M64" s="10"/>
      <c r="N64" s="30"/>
      <c r="O64" s="7">
        <f t="shared" si="24"/>
        <v>0</v>
      </c>
      <c r="P64" s="36"/>
    </row>
    <row r="65" spans="1:17" x14ac:dyDescent="0.15">
      <c r="A65" s="51" t="s">
        <v>31</v>
      </c>
      <c r="B65" s="8">
        <v>1</v>
      </c>
      <c r="C65" s="10">
        <v>3</v>
      </c>
      <c r="D65" s="10">
        <v>3</v>
      </c>
      <c r="E65" s="10"/>
      <c r="F65" s="30"/>
      <c r="G65" s="7">
        <f t="shared" si="23"/>
        <v>7</v>
      </c>
      <c r="H65" s="36">
        <v>42445</v>
      </c>
      <c r="I65" s="16"/>
      <c r="J65" s="8"/>
      <c r="K65" s="10"/>
      <c r="L65" s="10"/>
      <c r="M65" s="10"/>
      <c r="N65" s="30"/>
      <c r="O65" s="7">
        <f t="shared" si="24"/>
        <v>0</v>
      </c>
      <c r="P65" s="36"/>
    </row>
    <row r="66" spans="1:17" x14ac:dyDescent="0.15">
      <c r="A66" s="51" t="s">
        <v>31</v>
      </c>
      <c r="B66" s="8"/>
      <c r="C66" s="10"/>
      <c r="D66" s="10">
        <v>2</v>
      </c>
      <c r="E66" s="10">
        <v>3</v>
      </c>
      <c r="F66" s="30"/>
      <c r="G66" s="7">
        <f t="shared" si="23"/>
        <v>5</v>
      </c>
      <c r="H66" s="36">
        <v>42446</v>
      </c>
      <c r="I66" s="39"/>
      <c r="J66" s="8"/>
      <c r="K66" s="10"/>
      <c r="L66" s="10"/>
      <c r="M66" s="10"/>
      <c r="N66" s="30"/>
      <c r="O66" s="7">
        <f t="shared" si="24"/>
        <v>0</v>
      </c>
      <c r="P66" s="1"/>
    </row>
    <row r="67" spans="1:17" x14ac:dyDescent="0.15">
      <c r="A67" s="51" t="s">
        <v>31</v>
      </c>
      <c r="B67" s="11">
        <v>1</v>
      </c>
      <c r="C67" s="12">
        <v>3</v>
      </c>
      <c r="D67" s="12">
        <v>2</v>
      </c>
      <c r="E67" s="12"/>
      <c r="F67" s="31"/>
      <c r="G67" s="7">
        <f t="shared" si="23"/>
        <v>6</v>
      </c>
      <c r="H67" s="36">
        <v>42448</v>
      </c>
      <c r="I67" s="16"/>
      <c r="J67" s="11"/>
      <c r="K67" s="12"/>
      <c r="L67" s="12"/>
      <c r="M67" s="12"/>
      <c r="N67" s="31"/>
      <c r="O67" s="7">
        <f t="shared" si="24"/>
        <v>0</v>
      </c>
      <c r="P67" s="1"/>
    </row>
    <row r="68" spans="1:17" x14ac:dyDescent="0.15">
      <c r="A68" s="14" t="s">
        <v>22</v>
      </c>
      <c r="B68" s="8"/>
      <c r="C68" s="10"/>
      <c r="D68" s="10"/>
      <c r="E68" s="10"/>
      <c r="F68" s="30">
        <v>10</v>
      </c>
      <c r="G68" s="7">
        <f t="shared" si="23"/>
        <v>10</v>
      </c>
      <c r="H68" s="36">
        <v>42457</v>
      </c>
      <c r="I68" s="16"/>
      <c r="J68" s="8"/>
      <c r="K68" s="10"/>
      <c r="L68" s="10"/>
      <c r="M68" s="10"/>
      <c r="N68" s="30"/>
      <c r="O68" s="7">
        <f t="shared" si="24"/>
        <v>0</v>
      </c>
      <c r="P68" s="1"/>
    </row>
    <row r="69" spans="1:17" x14ac:dyDescent="0.15">
      <c r="A69" s="51" t="s">
        <v>31</v>
      </c>
      <c r="B69" s="8">
        <v>2</v>
      </c>
      <c r="C69" s="10"/>
      <c r="D69" s="10"/>
      <c r="E69" s="10"/>
      <c r="F69" s="30">
        <v>1</v>
      </c>
      <c r="G69" s="7">
        <f t="shared" si="23"/>
        <v>3</v>
      </c>
      <c r="H69" s="36">
        <v>42455</v>
      </c>
      <c r="I69" s="14"/>
      <c r="J69" s="8"/>
      <c r="K69" s="10"/>
      <c r="L69" s="10"/>
      <c r="M69" s="10"/>
      <c r="N69" s="30"/>
      <c r="O69" s="7">
        <f t="shared" si="24"/>
        <v>0</v>
      </c>
      <c r="P69" s="1"/>
    </row>
    <row r="70" spans="1:17" x14ac:dyDescent="0.15">
      <c r="A70" s="16" t="s">
        <v>103</v>
      </c>
      <c r="B70" s="8">
        <v>2</v>
      </c>
      <c r="C70" s="10">
        <v>2</v>
      </c>
      <c r="D70" s="10">
        <v>2</v>
      </c>
      <c r="E70" s="10">
        <v>1</v>
      </c>
      <c r="F70" s="30">
        <v>1</v>
      </c>
      <c r="G70" s="7">
        <f t="shared" si="23"/>
        <v>8</v>
      </c>
      <c r="H70" s="36">
        <v>42454</v>
      </c>
      <c r="I70" s="16"/>
      <c r="J70" s="8"/>
      <c r="K70" s="10"/>
      <c r="L70" s="10"/>
      <c r="M70" s="10"/>
      <c r="N70" s="30"/>
      <c r="O70" s="7">
        <f t="shared" si="24"/>
        <v>0</v>
      </c>
      <c r="P70" s="1"/>
    </row>
    <row r="71" spans="1:17" x14ac:dyDescent="0.15">
      <c r="A71" s="16" t="s">
        <v>33</v>
      </c>
      <c r="B71" s="8"/>
      <c r="C71" s="10">
        <v>2</v>
      </c>
      <c r="D71" s="10">
        <v>2</v>
      </c>
      <c r="E71" s="10">
        <v>2</v>
      </c>
      <c r="F71" s="30"/>
      <c r="G71" s="7">
        <f t="shared" si="23"/>
        <v>6</v>
      </c>
      <c r="H71" s="36">
        <v>42458</v>
      </c>
      <c r="I71" s="16"/>
      <c r="J71" s="8"/>
      <c r="K71" s="10"/>
      <c r="L71" s="10"/>
      <c r="M71" s="10"/>
      <c r="N71" s="30"/>
      <c r="O71" s="7">
        <f t="shared" si="24"/>
        <v>0</v>
      </c>
      <c r="P71" s="1"/>
    </row>
    <row r="72" spans="1:17" x14ac:dyDescent="0.15">
      <c r="A72" s="39" t="s">
        <v>105</v>
      </c>
      <c r="B72" s="8">
        <v>1</v>
      </c>
      <c r="C72" s="10"/>
      <c r="D72" s="10"/>
      <c r="E72" s="10"/>
      <c r="F72" s="30"/>
      <c r="G72" s="7">
        <f t="shared" si="23"/>
        <v>1</v>
      </c>
      <c r="H72" s="36">
        <v>42454</v>
      </c>
      <c r="I72" s="16"/>
      <c r="J72" s="8"/>
      <c r="K72" s="10"/>
      <c r="L72" s="10"/>
      <c r="M72" s="10"/>
      <c r="N72" s="30"/>
      <c r="O72" s="7">
        <f t="shared" si="24"/>
        <v>0</v>
      </c>
      <c r="P72" s="1"/>
      <c r="Q72" s="1"/>
    </row>
    <row r="73" spans="1:17" x14ac:dyDescent="0.15">
      <c r="A73" s="39" t="s">
        <v>107</v>
      </c>
      <c r="B73" s="8">
        <v>10</v>
      </c>
      <c r="C73" s="10"/>
      <c r="D73" s="10"/>
      <c r="E73" s="10">
        <v>10</v>
      </c>
      <c r="F73" s="30"/>
      <c r="G73" s="7">
        <f t="shared" si="23"/>
        <v>20</v>
      </c>
      <c r="H73" s="36">
        <v>42464</v>
      </c>
      <c r="I73" s="16"/>
      <c r="J73" s="8"/>
      <c r="K73" s="10"/>
      <c r="L73" s="10"/>
      <c r="M73" s="10"/>
      <c r="N73" s="30"/>
      <c r="O73" s="7">
        <f t="shared" si="24"/>
        <v>0</v>
      </c>
      <c r="P73" s="1"/>
      <c r="Q73" s="1"/>
    </row>
    <row r="74" spans="1:17" x14ac:dyDescent="0.15">
      <c r="A74" s="14" t="s">
        <v>108</v>
      </c>
      <c r="B74" s="8">
        <v>-1</v>
      </c>
      <c r="C74" s="10"/>
      <c r="D74" s="10"/>
      <c r="E74" s="10"/>
      <c r="F74" s="30"/>
      <c r="G74" s="7">
        <f t="shared" si="23"/>
        <v>-1</v>
      </c>
      <c r="H74" s="36">
        <v>42459</v>
      </c>
      <c r="I74" s="14"/>
      <c r="J74" s="8"/>
      <c r="K74" s="10"/>
      <c r="L74" s="10"/>
      <c r="M74" s="10"/>
      <c r="N74" s="30"/>
      <c r="O74" s="7">
        <f t="shared" si="24"/>
        <v>0</v>
      </c>
      <c r="P74" s="1"/>
      <c r="Q74" s="1"/>
    </row>
    <row r="75" spans="1:17" x14ac:dyDescent="0.15">
      <c r="A75" s="16" t="s">
        <v>112</v>
      </c>
      <c r="B75" s="8"/>
      <c r="C75" s="10"/>
      <c r="D75" s="10"/>
      <c r="E75" s="10"/>
      <c r="F75" s="30">
        <v>1</v>
      </c>
      <c r="G75" s="7">
        <f t="shared" si="23"/>
        <v>1</v>
      </c>
      <c r="H75" s="36">
        <v>42459</v>
      </c>
      <c r="I75" s="16"/>
      <c r="J75" s="8"/>
      <c r="K75" s="10"/>
      <c r="L75" s="10"/>
      <c r="M75" s="10"/>
      <c r="N75" s="30"/>
      <c r="O75" s="7">
        <f t="shared" si="24"/>
        <v>0</v>
      </c>
      <c r="P75" s="1"/>
      <c r="Q75" s="1"/>
    </row>
    <row r="76" spans="1:17" x14ac:dyDescent="0.15">
      <c r="A76" s="51" t="s">
        <v>31</v>
      </c>
      <c r="B76" s="8"/>
      <c r="C76" s="10"/>
      <c r="D76" s="10"/>
      <c r="E76" s="10"/>
      <c r="F76" s="30">
        <v>1</v>
      </c>
      <c r="G76" s="7">
        <f t="shared" si="23"/>
        <v>1</v>
      </c>
      <c r="H76" s="36">
        <v>42466</v>
      </c>
      <c r="I76" s="16"/>
      <c r="J76" s="8"/>
      <c r="K76" s="10"/>
      <c r="L76" s="10"/>
      <c r="M76" s="10"/>
      <c r="N76" s="30"/>
      <c r="O76" s="7">
        <f t="shared" si="24"/>
        <v>0</v>
      </c>
      <c r="P76" s="1"/>
      <c r="Q76" s="1"/>
    </row>
    <row r="77" spans="1:17" x14ac:dyDescent="0.15">
      <c r="A77" s="16" t="s">
        <v>33</v>
      </c>
      <c r="B77" s="8"/>
      <c r="C77" s="10">
        <v>1</v>
      </c>
      <c r="D77" s="10"/>
      <c r="E77" s="10"/>
      <c r="F77" s="30"/>
      <c r="G77" s="7">
        <f t="shared" si="23"/>
        <v>1</v>
      </c>
      <c r="H77" s="36">
        <v>42467</v>
      </c>
      <c r="I77" s="16"/>
      <c r="J77" s="8"/>
      <c r="K77" s="10"/>
      <c r="L77" s="10"/>
      <c r="M77" s="10"/>
      <c r="N77" s="30"/>
      <c r="O77" s="7">
        <f t="shared" si="24"/>
        <v>0</v>
      </c>
      <c r="P77" s="1"/>
      <c r="Q77" s="1"/>
    </row>
    <row r="78" spans="1:17" x14ac:dyDescent="0.15">
      <c r="A78" s="14" t="s">
        <v>110</v>
      </c>
      <c r="B78" s="8">
        <v>5</v>
      </c>
      <c r="C78" s="10">
        <v>6</v>
      </c>
      <c r="D78" s="10">
        <v>5</v>
      </c>
      <c r="E78" s="10">
        <v>4</v>
      </c>
      <c r="F78" s="30">
        <v>4</v>
      </c>
      <c r="G78" s="7">
        <f t="shared" si="23"/>
        <v>24</v>
      </c>
      <c r="H78" s="36">
        <v>42471</v>
      </c>
      <c r="I78" s="14"/>
      <c r="J78" s="8"/>
      <c r="K78" s="10"/>
      <c r="L78" s="10"/>
      <c r="M78" s="10"/>
      <c r="N78" s="30"/>
      <c r="O78" s="7">
        <f t="shared" si="24"/>
        <v>0</v>
      </c>
      <c r="P78" s="1"/>
      <c r="Q78" s="1"/>
    </row>
    <row r="79" spans="1:17" x14ac:dyDescent="0.15">
      <c r="A79" s="39" t="s">
        <v>22</v>
      </c>
      <c r="B79" s="11"/>
      <c r="C79" s="12"/>
      <c r="D79" s="12">
        <v>10</v>
      </c>
      <c r="E79" s="12"/>
      <c r="F79" s="31">
        <v>10</v>
      </c>
      <c r="G79" s="7">
        <f t="shared" si="23"/>
        <v>20</v>
      </c>
      <c r="H79" s="36">
        <v>42471</v>
      </c>
      <c r="I79" s="16"/>
      <c r="J79" s="11"/>
      <c r="K79" s="12"/>
      <c r="L79" s="12"/>
      <c r="M79" s="12"/>
      <c r="N79" s="31"/>
      <c r="O79" s="7">
        <f t="shared" si="24"/>
        <v>0</v>
      </c>
      <c r="P79" s="1"/>
      <c r="Q79" s="1"/>
    </row>
    <row r="80" spans="1:17" x14ac:dyDescent="0.15">
      <c r="A80" s="16" t="s">
        <v>33</v>
      </c>
      <c r="B80" s="8"/>
      <c r="C80" s="10">
        <v>2</v>
      </c>
      <c r="D80" s="10"/>
      <c r="E80" s="10"/>
      <c r="F80" s="30"/>
      <c r="G80" s="7">
        <f t="shared" si="23"/>
        <v>2</v>
      </c>
      <c r="H80" s="36">
        <v>42468</v>
      </c>
      <c r="I80" s="14"/>
      <c r="J80" s="8"/>
      <c r="K80" s="10"/>
      <c r="L80" s="10"/>
      <c r="M80" s="10"/>
      <c r="N80" s="30"/>
      <c r="O80" s="7">
        <f t="shared" si="24"/>
        <v>0</v>
      </c>
      <c r="P80" s="1"/>
      <c r="Q80" s="1"/>
    </row>
    <row r="81" spans="1:17" x14ac:dyDescent="0.15">
      <c r="A81" s="51" t="s">
        <v>31</v>
      </c>
      <c r="B81" s="8">
        <v>1</v>
      </c>
      <c r="C81" s="10"/>
      <c r="D81" s="10"/>
      <c r="E81" s="10"/>
      <c r="F81" s="30"/>
      <c r="G81" s="7">
        <f t="shared" si="23"/>
        <v>1</v>
      </c>
      <c r="H81" s="36">
        <v>42471</v>
      </c>
      <c r="I81" s="14"/>
      <c r="J81" s="8"/>
      <c r="K81" s="10"/>
      <c r="L81" s="10"/>
      <c r="M81" s="10"/>
      <c r="N81" s="30"/>
      <c r="O81" s="7">
        <f t="shared" si="24"/>
        <v>0</v>
      </c>
      <c r="P81" s="1"/>
      <c r="Q81" s="1"/>
    </row>
    <row r="82" spans="1:17" x14ac:dyDescent="0.15">
      <c r="A82" s="14" t="s">
        <v>113</v>
      </c>
      <c r="B82" s="8"/>
      <c r="C82" s="10"/>
      <c r="D82" s="10"/>
      <c r="E82" s="10">
        <v>1</v>
      </c>
      <c r="F82" s="30"/>
      <c r="G82" s="7">
        <f t="shared" si="23"/>
        <v>1</v>
      </c>
      <c r="H82" s="36">
        <v>42467</v>
      </c>
      <c r="I82" s="14"/>
      <c r="J82" s="8"/>
      <c r="K82" s="10"/>
      <c r="L82" s="10"/>
      <c r="M82" s="10"/>
      <c r="N82" s="30"/>
      <c r="O82" s="7">
        <f t="shared" si="24"/>
        <v>0</v>
      </c>
      <c r="P82" s="1"/>
      <c r="Q82" s="1"/>
    </row>
    <row r="83" spans="1:17" ht="14.25" thickBot="1" x14ac:dyDescent="0.2">
      <c r="A83" s="20" t="s">
        <v>116</v>
      </c>
      <c r="B83" s="11">
        <v>2</v>
      </c>
      <c r="C83" s="12"/>
      <c r="D83" s="12">
        <v>2</v>
      </c>
      <c r="E83" s="12"/>
      <c r="F83" s="31"/>
      <c r="G83" s="7">
        <f t="shared" si="23"/>
        <v>4</v>
      </c>
      <c r="H83" s="36">
        <v>42481</v>
      </c>
      <c r="I83" s="20"/>
      <c r="J83" s="11"/>
      <c r="K83" s="12"/>
      <c r="L83" s="12"/>
      <c r="M83" s="12"/>
      <c r="N83" s="31"/>
      <c r="O83" s="7">
        <f t="shared" si="24"/>
        <v>0</v>
      </c>
      <c r="P83" s="36"/>
      <c r="Q83" s="1"/>
    </row>
    <row r="84" spans="1:17" ht="14.25" thickBot="1" x14ac:dyDescent="0.2">
      <c r="A84" s="3" t="s">
        <v>11</v>
      </c>
      <c r="B84" s="23">
        <f>SUM(B58:B83)</f>
        <v>51</v>
      </c>
      <c r="C84" s="4">
        <f>SUM(C58:C83)</f>
        <v>55</v>
      </c>
      <c r="D84" s="4">
        <f>SUM(D58:D83)</f>
        <v>67</v>
      </c>
      <c r="E84" s="6">
        <f>SUM(E58:E83)</f>
        <v>41</v>
      </c>
      <c r="F84" s="32">
        <f>SUM(F58:F83)</f>
        <v>60</v>
      </c>
      <c r="G84" s="5">
        <f>SUM(B84:F84)</f>
        <v>274</v>
      </c>
      <c r="H84" s="1"/>
      <c r="I84" s="3" t="s">
        <v>11</v>
      </c>
      <c r="J84" s="23">
        <f>SUM(J58:J83)</f>
        <v>50</v>
      </c>
      <c r="K84" s="4">
        <f>SUM(K58:K83)</f>
        <v>60</v>
      </c>
      <c r="L84" s="4">
        <f>SUM(L58:L83)</f>
        <v>70</v>
      </c>
      <c r="M84" s="6">
        <f>SUM(M58:M83)</f>
        <v>40</v>
      </c>
      <c r="N84" s="32">
        <f>SUM(N58:N83)</f>
        <v>65</v>
      </c>
      <c r="O84" s="5">
        <f>SUM(J84:N84)</f>
        <v>285</v>
      </c>
      <c r="P84" s="1"/>
      <c r="Q84" s="1"/>
    </row>
    <row r="85" spans="1:17" ht="14.25" thickBot="1" x14ac:dyDescent="0.2">
      <c r="A85" s="25" t="s">
        <v>12</v>
      </c>
      <c r="B85" s="63">
        <f>B57-B84</f>
        <v>14</v>
      </c>
      <c r="C85" s="26">
        <f t="shared" ref="C85:G85" si="26">C57-C84</f>
        <v>16</v>
      </c>
      <c r="D85" s="71">
        <f t="shared" si="26"/>
        <v>6</v>
      </c>
      <c r="E85" s="26">
        <f t="shared" si="26"/>
        <v>17</v>
      </c>
      <c r="F85" s="70">
        <f t="shared" si="26"/>
        <v>5</v>
      </c>
      <c r="G85" s="27">
        <f t="shared" si="26"/>
        <v>58</v>
      </c>
      <c r="H85" s="1"/>
      <c r="I85" s="25" t="s">
        <v>12</v>
      </c>
      <c r="J85" s="63">
        <f>J57-J84</f>
        <v>136</v>
      </c>
      <c r="K85" s="26">
        <f t="shared" ref="K85:O85" si="27">K57-K84</f>
        <v>120</v>
      </c>
      <c r="L85" s="71">
        <f t="shared" si="27"/>
        <v>136</v>
      </c>
      <c r="M85" s="26">
        <f t="shared" si="27"/>
        <v>167</v>
      </c>
      <c r="N85" s="70">
        <f t="shared" si="27"/>
        <v>102</v>
      </c>
      <c r="O85" s="27">
        <f t="shared" si="27"/>
        <v>661</v>
      </c>
      <c r="P85" s="1"/>
    </row>
    <row r="86" spans="1:17" ht="17.25" x14ac:dyDescent="0.2">
      <c r="A86" s="79" t="s">
        <v>56</v>
      </c>
      <c r="B86" s="80"/>
      <c r="C86" s="80"/>
      <c r="D86" s="80"/>
      <c r="E86" s="80"/>
      <c r="F86" s="80"/>
      <c r="G86" s="80"/>
      <c r="H86" s="1"/>
      <c r="I86" s="79" t="s">
        <v>56</v>
      </c>
      <c r="J86" s="80"/>
      <c r="K86" s="80"/>
      <c r="L86" s="80"/>
      <c r="M86" s="80"/>
      <c r="N86" s="80"/>
      <c r="O86" s="1"/>
      <c r="P86" s="1"/>
      <c r="Q86" s="1"/>
    </row>
    <row r="87" spans="1:17" ht="21.75" thickBot="1" x14ac:dyDescent="0.25">
      <c r="A87" s="82" t="s">
        <v>55</v>
      </c>
      <c r="B87" s="80"/>
      <c r="C87" s="80"/>
      <c r="D87" s="80"/>
      <c r="E87" s="81" t="s">
        <v>53</v>
      </c>
      <c r="F87" s="80"/>
      <c r="G87" s="80"/>
      <c r="H87" s="1"/>
      <c r="I87" s="82" t="s">
        <v>55</v>
      </c>
      <c r="J87" s="80"/>
      <c r="K87" s="80"/>
      <c r="L87" s="80"/>
      <c r="M87" s="81" t="s">
        <v>54</v>
      </c>
      <c r="N87" s="80"/>
      <c r="O87" s="1"/>
      <c r="P87" s="1"/>
      <c r="Q87" s="1"/>
    </row>
    <row r="88" spans="1:17" ht="14.25" thickBot="1" x14ac:dyDescent="0.2">
      <c r="A88" s="13" t="s">
        <v>0</v>
      </c>
      <c r="B88" s="228" t="s">
        <v>57</v>
      </c>
      <c r="C88" s="229"/>
      <c r="D88" s="229"/>
      <c r="E88" s="229"/>
      <c r="F88" s="230"/>
      <c r="G88" s="231"/>
      <c r="H88" s="1"/>
      <c r="I88" s="13" t="s">
        <v>0</v>
      </c>
      <c r="J88" s="232" t="s">
        <v>57</v>
      </c>
      <c r="K88" s="233"/>
      <c r="L88" s="233"/>
      <c r="M88" s="233"/>
      <c r="N88" s="233"/>
      <c r="O88" s="234"/>
      <c r="P88" s="1"/>
    </row>
    <row r="89" spans="1:17" ht="14.25" thickBot="1" x14ac:dyDescent="0.2">
      <c r="A89" s="3" t="s">
        <v>1</v>
      </c>
      <c r="B89" s="2" t="s">
        <v>42</v>
      </c>
      <c r="C89" s="21" t="s">
        <v>43</v>
      </c>
      <c r="D89" s="21" t="s">
        <v>44</v>
      </c>
      <c r="E89" s="24" t="s">
        <v>45</v>
      </c>
      <c r="F89" s="33" t="s">
        <v>46</v>
      </c>
      <c r="G89" s="3" t="s">
        <v>2</v>
      </c>
      <c r="H89" s="1"/>
      <c r="I89" s="3" t="s">
        <v>1</v>
      </c>
      <c r="J89" s="2" t="s">
        <v>42</v>
      </c>
      <c r="K89" s="21" t="s">
        <v>43</v>
      </c>
      <c r="L89" s="21" t="s">
        <v>44</v>
      </c>
      <c r="M89" s="24" t="s">
        <v>45</v>
      </c>
      <c r="N89" s="33" t="s">
        <v>46</v>
      </c>
      <c r="O89" s="3" t="s">
        <v>2</v>
      </c>
      <c r="P89" s="1"/>
    </row>
    <row r="90" spans="1:17" ht="14.25" thickBot="1" x14ac:dyDescent="0.2">
      <c r="A90" s="72" t="s">
        <v>79</v>
      </c>
      <c r="B90" s="73">
        <f>B85</f>
        <v>14</v>
      </c>
      <c r="C90" s="74">
        <f t="shared" ref="C90:F90" si="28">C85</f>
        <v>16</v>
      </c>
      <c r="D90" s="107">
        <f t="shared" si="28"/>
        <v>6</v>
      </c>
      <c r="E90" s="75">
        <f t="shared" si="28"/>
        <v>17</v>
      </c>
      <c r="F90" s="75">
        <f t="shared" si="28"/>
        <v>5</v>
      </c>
      <c r="G90" s="76">
        <f t="shared" ref="G90:G99" si="29">SUM(B90:F90)</f>
        <v>58</v>
      </c>
      <c r="H90" s="36"/>
      <c r="I90" s="72" t="s">
        <v>79</v>
      </c>
      <c r="J90" s="73">
        <f>J85</f>
        <v>136</v>
      </c>
      <c r="K90" s="74">
        <f t="shared" ref="K90:N90" si="30">K85</f>
        <v>120</v>
      </c>
      <c r="L90" s="107">
        <f t="shared" si="30"/>
        <v>136</v>
      </c>
      <c r="M90" s="75">
        <f t="shared" si="30"/>
        <v>167</v>
      </c>
      <c r="N90" s="75">
        <f t="shared" si="30"/>
        <v>102</v>
      </c>
      <c r="O90" s="76">
        <f t="shared" ref="O90:O99" si="31">SUM(J90:N90)</f>
        <v>661</v>
      </c>
      <c r="P90" s="1"/>
    </row>
    <row r="91" spans="1:17" x14ac:dyDescent="0.15">
      <c r="A91" s="38" t="s">
        <v>15</v>
      </c>
      <c r="B91" s="37"/>
      <c r="C91" s="35"/>
      <c r="D91" s="35">
        <v>10</v>
      </c>
      <c r="E91" s="35"/>
      <c r="F91" s="28">
        <v>10</v>
      </c>
      <c r="G91" s="7">
        <f t="shared" si="29"/>
        <v>20</v>
      </c>
      <c r="H91" s="36">
        <v>42471</v>
      </c>
      <c r="I91" s="38" t="s">
        <v>15</v>
      </c>
      <c r="J91" s="37"/>
      <c r="K91" s="35"/>
      <c r="L91" s="35"/>
      <c r="M91" s="35"/>
      <c r="N91" s="28"/>
      <c r="O91" s="7">
        <f t="shared" si="31"/>
        <v>0</v>
      </c>
      <c r="P91" s="1"/>
    </row>
    <row r="92" spans="1:17" x14ac:dyDescent="0.15">
      <c r="A92" s="15" t="s">
        <v>111</v>
      </c>
      <c r="B92" s="8">
        <v>1</v>
      </c>
      <c r="C92" s="10"/>
      <c r="D92" s="10"/>
      <c r="E92" s="10"/>
      <c r="F92" s="28"/>
      <c r="G92" s="9">
        <f t="shared" si="29"/>
        <v>1</v>
      </c>
      <c r="H92" s="36">
        <v>42483</v>
      </c>
      <c r="I92" s="15" t="s">
        <v>3</v>
      </c>
      <c r="J92" s="8"/>
      <c r="K92" s="10"/>
      <c r="L92" s="10"/>
      <c r="M92" s="10"/>
      <c r="N92" s="28"/>
      <c r="O92" s="9">
        <f t="shared" si="31"/>
        <v>0</v>
      </c>
      <c r="P92" s="36"/>
    </row>
    <row r="93" spans="1:17" x14ac:dyDescent="0.15">
      <c r="A93" s="15" t="s">
        <v>19</v>
      </c>
      <c r="B93" s="8"/>
      <c r="C93" s="10">
        <v>1</v>
      </c>
      <c r="D93" s="10"/>
      <c r="E93" s="10"/>
      <c r="F93" s="28">
        <v>1</v>
      </c>
      <c r="G93" s="9">
        <f t="shared" si="29"/>
        <v>2</v>
      </c>
      <c r="H93" s="36">
        <v>42485</v>
      </c>
      <c r="I93" s="15" t="s">
        <v>18</v>
      </c>
      <c r="J93" s="8"/>
      <c r="K93" s="10"/>
      <c r="L93" s="10"/>
      <c r="M93" s="10"/>
      <c r="N93" s="28"/>
      <c r="O93" s="9">
        <f t="shared" si="31"/>
        <v>0</v>
      </c>
      <c r="P93" s="1"/>
    </row>
    <row r="94" spans="1:17" x14ac:dyDescent="0.15">
      <c r="A94" s="15" t="s">
        <v>20</v>
      </c>
      <c r="B94" s="8"/>
      <c r="C94" s="10">
        <v>20</v>
      </c>
      <c r="D94" s="10"/>
      <c r="E94" s="10"/>
      <c r="F94" s="28">
        <v>10</v>
      </c>
      <c r="G94" s="9">
        <f t="shared" si="29"/>
        <v>30</v>
      </c>
      <c r="H94" s="36">
        <v>42490</v>
      </c>
      <c r="I94" s="15" t="s">
        <v>20</v>
      </c>
      <c r="J94" s="8"/>
      <c r="K94" s="10"/>
      <c r="L94" s="10"/>
      <c r="M94" s="10"/>
      <c r="N94" s="28"/>
      <c r="O94" s="9">
        <f t="shared" si="31"/>
        <v>0</v>
      </c>
      <c r="P94" s="1"/>
    </row>
    <row r="95" spans="1:17" x14ac:dyDescent="0.15">
      <c r="A95" s="15" t="s">
        <v>111</v>
      </c>
      <c r="B95" s="8"/>
      <c r="C95" s="10"/>
      <c r="D95" s="10">
        <v>1</v>
      </c>
      <c r="E95" s="10"/>
      <c r="F95" s="28"/>
      <c r="G95" s="9">
        <f t="shared" si="29"/>
        <v>1</v>
      </c>
      <c r="H95" s="36">
        <v>42487</v>
      </c>
      <c r="I95" s="15" t="s">
        <v>80</v>
      </c>
      <c r="J95" s="8"/>
      <c r="K95" s="10"/>
      <c r="L95" s="10"/>
      <c r="M95" s="10"/>
      <c r="N95" s="28"/>
      <c r="O95" s="9">
        <f t="shared" si="31"/>
        <v>0</v>
      </c>
      <c r="P95" s="1"/>
    </row>
    <row r="96" spans="1:17" x14ac:dyDescent="0.15">
      <c r="A96" s="15" t="s">
        <v>81</v>
      </c>
      <c r="B96" s="8">
        <v>5</v>
      </c>
      <c r="C96" s="10">
        <v>10</v>
      </c>
      <c r="D96" s="10">
        <v>5</v>
      </c>
      <c r="E96" s="10">
        <v>5</v>
      </c>
      <c r="F96" s="28">
        <v>5</v>
      </c>
      <c r="G96" s="9">
        <f t="shared" si="29"/>
        <v>30</v>
      </c>
      <c r="H96" s="36">
        <v>42492</v>
      </c>
      <c r="I96" s="15" t="s">
        <v>81</v>
      </c>
      <c r="J96" s="8"/>
      <c r="K96" s="10"/>
      <c r="L96" s="10"/>
      <c r="M96" s="10"/>
      <c r="N96" s="28"/>
      <c r="O96" s="9">
        <f t="shared" si="31"/>
        <v>0</v>
      </c>
      <c r="P96" s="36"/>
    </row>
    <row r="97" spans="1:17" x14ac:dyDescent="0.15">
      <c r="A97" s="15" t="s">
        <v>82</v>
      </c>
      <c r="B97" s="8">
        <v>10</v>
      </c>
      <c r="C97" s="10">
        <v>10</v>
      </c>
      <c r="D97" s="10">
        <v>20</v>
      </c>
      <c r="E97" s="10">
        <v>10</v>
      </c>
      <c r="F97" s="28">
        <v>10</v>
      </c>
      <c r="G97" s="9">
        <f t="shared" si="29"/>
        <v>60</v>
      </c>
      <c r="H97" s="36">
        <v>42501</v>
      </c>
      <c r="I97" s="15" t="s">
        <v>82</v>
      </c>
      <c r="J97" s="8"/>
      <c r="K97" s="10"/>
      <c r="L97" s="10"/>
      <c r="M97" s="10"/>
      <c r="N97" s="28"/>
      <c r="O97" s="9">
        <f t="shared" si="31"/>
        <v>0</v>
      </c>
      <c r="P97" s="1"/>
    </row>
    <row r="98" spans="1:17" x14ac:dyDescent="0.15">
      <c r="A98" s="15" t="s">
        <v>83</v>
      </c>
      <c r="B98" s="8"/>
      <c r="C98" s="10"/>
      <c r="D98" s="10"/>
      <c r="E98" s="10"/>
      <c r="F98" s="30"/>
      <c r="G98" s="7">
        <f t="shared" si="29"/>
        <v>0</v>
      </c>
      <c r="H98" s="1"/>
      <c r="I98" s="15" t="s">
        <v>83</v>
      </c>
      <c r="J98" s="8"/>
      <c r="K98" s="10"/>
      <c r="L98" s="10"/>
      <c r="M98" s="10"/>
      <c r="N98" s="30"/>
      <c r="O98" s="7">
        <f t="shared" si="31"/>
        <v>0</v>
      </c>
      <c r="P98" s="1"/>
    </row>
    <row r="99" spans="1:17" ht="14.25" thickBot="1" x14ac:dyDescent="0.2">
      <c r="A99" s="15" t="s">
        <v>87</v>
      </c>
      <c r="B99" s="11"/>
      <c r="C99" s="100"/>
      <c r="D99" s="100"/>
      <c r="E99" s="100"/>
      <c r="F99" s="101"/>
      <c r="G99" s="102">
        <f t="shared" si="29"/>
        <v>0</v>
      </c>
      <c r="H99" s="36"/>
      <c r="I99" s="15" t="s">
        <v>87</v>
      </c>
      <c r="J99" s="11"/>
      <c r="K99" s="100"/>
      <c r="L99" s="100"/>
      <c r="M99" s="100"/>
      <c r="N99" s="101"/>
      <c r="O99" s="102">
        <f t="shared" si="31"/>
        <v>0</v>
      </c>
      <c r="P99" s="1"/>
    </row>
    <row r="100" spans="1:17" ht="14.25" thickBot="1" x14ac:dyDescent="0.2">
      <c r="A100" s="72" t="s">
        <v>7</v>
      </c>
      <c r="B100" s="73">
        <f>SUM(B90:B99)</f>
        <v>30</v>
      </c>
      <c r="C100" s="74">
        <f t="shared" ref="C100" si="32">SUM(C90:C99)</f>
        <v>57</v>
      </c>
      <c r="D100" s="74">
        <f t="shared" ref="D100" si="33">SUM(D90:D99)</f>
        <v>42</v>
      </c>
      <c r="E100" s="74">
        <f t="shared" ref="E100" si="34">SUM(E90:E99)</f>
        <v>32</v>
      </c>
      <c r="F100" s="105">
        <f t="shared" ref="F100" si="35">SUM(F90:F99)</f>
        <v>41</v>
      </c>
      <c r="G100" s="76">
        <f t="shared" ref="G100" si="36">SUM(G90:G99)</f>
        <v>202</v>
      </c>
      <c r="H100" s="36"/>
      <c r="I100" s="72" t="s">
        <v>7</v>
      </c>
      <c r="J100" s="73">
        <f>SUM(J90:J99)</f>
        <v>136</v>
      </c>
      <c r="K100" s="74">
        <f t="shared" ref="K100" si="37">SUM(K90:K99)</f>
        <v>120</v>
      </c>
      <c r="L100" s="74">
        <f t="shared" ref="L100" si="38">SUM(L90:L99)</f>
        <v>136</v>
      </c>
      <c r="M100" s="74">
        <f t="shared" ref="M100" si="39">SUM(M90:M99)</f>
        <v>167</v>
      </c>
      <c r="N100" s="105">
        <f t="shared" ref="N100" si="40">SUM(N90:N99)</f>
        <v>102</v>
      </c>
      <c r="O100" s="76">
        <f t="shared" ref="O100" si="41">SUM(O90:O99)</f>
        <v>661</v>
      </c>
      <c r="P100" s="1"/>
    </row>
    <row r="101" spans="1:17" x14ac:dyDescent="0.15">
      <c r="A101" s="16" t="s">
        <v>90</v>
      </c>
      <c r="B101" s="37"/>
      <c r="C101" s="35">
        <v>1</v>
      </c>
      <c r="D101" s="35"/>
      <c r="E101" s="35"/>
      <c r="F101" s="28"/>
      <c r="G101" s="18">
        <f t="shared" ref="G101:G126" si="42">SUM(B101:F101)</f>
        <v>1</v>
      </c>
      <c r="H101" s="36">
        <v>42478</v>
      </c>
      <c r="I101" s="16" t="s">
        <v>125</v>
      </c>
      <c r="J101" s="17"/>
      <c r="K101" s="22">
        <v>20</v>
      </c>
      <c r="L101" s="22"/>
      <c r="M101" s="22"/>
      <c r="N101" s="29">
        <v>10</v>
      </c>
      <c r="O101" s="18">
        <f t="shared" ref="O101:O118" si="43">SUM(J101:N101)</f>
        <v>30</v>
      </c>
      <c r="P101" s="36">
        <v>42490</v>
      </c>
    </row>
    <row r="102" spans="1:17" x14ac:dyDescent="0.15">
      <c r="A102" s="20" t="s">
        <v>102</v>
      </c>
      <c r="B102" s="8"/>
      <c r="C102" s="10">
        <v>1</v>
      </c>
      <c r="D102" s="10"/>
      <c r="E102" s="10"/>
      <c r="F102" s="30"/>
      <c r="G102" s="7">
        <f t="shared" si="42"/>
        <v>1</v>
      </c>
      <c r="H102" s="36">
        <v>42485</v>
      </c>
      <c r="I102" s="16" t="s">
        <v>37</v>
      </c>
      <c r="J102" s="8">
        <v>5</v>
      </c>
      <c r="K102" s="10">
        <v>10</v>
      </c>
      <c r="L102" s="10">
        <v>5</v>
      </c>
      <c r="M102" s="10">
        <v>5</v>
      </c>
      <c r="N102" s="30">
        <v>5</v>
      </c>
      <c r="O102" s="7">
        <f t="shared" si="43"/>
        <v>30</v>
      </c>
      <c r="P102" s="36">
        <v>42492</v>
      </c>
    </row>
    <row r="103" spans="1:17" x14ac:dyDescent="0.15">
      <c r="A103" s="14" t="s">
        <v>118</v>
      </c>
      <c r="B103" s="8"/>
      <c r="C103" s="10"/>
      <c r="D103" s="10">
        <v>1</v>
      </c>
      <c r="E103" s="10"/>
      <c r="F103" s="30"/>
      <c r="G103" s="7">
        <f t="shared" si="42"/>
        <v>1</v>
      </c>
      <c r="H103" s="36">
        <v>42482</v>
      </c>
      <c r="I103" s="16" t="s">
        <v>37</v>
      </c>
      <c r="J103" s="8">
        <v>10</v>
      </c>
      <c r="K103" s="10">
        <v>10</v>
      </c>
      <c r="L103" s="10">
        <v>20</v>
      </c>
      <c r="M103" s="10">
        <v>10</v>
      </c>
      <c r="N103" s="30">
        <v>10</v>
      </c>
      <c r="O103" s="7">
        <f t="shared" si="43"/>
        <v>60</v>
      </c>
      <c r="P103" s="36">
        <v>42501</v>
      </c>
    </row>
    <row r="104" spans="1:17" x14ac:dyDescent="0.15">
      <c r="A104" s="16" t="s">
        <v>33</v>
      </c>
      <c r="B104" s="8">
        <v>1</v>
      </c>
      <c r="C104" s="10">
        <v>1</v>
      </c>
      <c r="D104" s="10">
        <v>2</v>
      </c>
      <c r="E104" s="10"/>
      <c r="F104" s="30"/>
      <c r="G104" s="7">
        <f t="shared" si="42"/>
        <v>4</v>
      </c>
      <c r="H104" s="36">
        <v>42486</v>
      </c>
      <c r="I104" s="16" t="s">
        <v>37</v>
      </c>
      <c r="J104" s="8"/>
      <c r="K104" s="10">
        <v>10</v>
      </c>
      <c r="L104" s="10"/>
      <c r="M104" s="10">
        <v>10</v>
      </c>
      <c r="N104" s="30"/>
      <c r="O104" s="7">
        <f t="shared" si="43"/>
        <v>20</v>
      </c>
      <c r="P104" s="36">
        <v>42510</v>
      </c>
      <c r="Q104" s="1"/>
    </row>
    <row r="105" spans="1:17" x14ac:dyDescent="0.15">
      <c r="A105" s="20" t="s">
        <v>102</v>
      </c>
      <c r="B105" s="8"/>
      <c r="C105" s="10"/>
      <c r="D105" s="10"/>
      <c r="E105" s="10">
        <v>1</v>
      </c>
      <c r="F105" s="30"/>
      <c r="G105" s="7">
        <f t="shared" si="42"/>
        <v>1</v>
      </c>
      <c r="H105" s="36">
        <v>42485</v>
      </c>
      <c r="I105" s="16"/>
      <c r="J105" s="8"/>
      <c r="K105" s="10"/>
      <c r="L105" s="10"/>
      <c r="M105" s="10"/>
      <c r="N105" s="30"/>
      <c r="O105" s="7">
        <f t="shared" si="43"/>
        <v>0</v>
      </c>
      <c r="P105" s="1"/>
      <c r="Q105" s="1"/>
    </row>
    <row r="106" spans="1:17" x14ac:dyDescent="0.15">
      <c r="A106" s="14" t="s">
        <v>121</v>
      </c>
      <c r="B106" s="8"/>
      <c r="C106" s="10"/>
      <c r="D106" s="10"/>
      <c r="E106" s="10">
        <v>1</v>
      </c>
      <c r="F106" s="30"/>
      <c r="G106" s="7">
        <f t="shared" si="42"/>
        <v>1</v>
      </c>
      <c r="H106" s="36">
        <v>42487</v>
      </c>
      <c r="I106" s="16"/>
      <c r="J106" s="8"/>
      <c r="K106" s="10"/>
      <c r="L106" s="10"/>
      <c r="M106" s="10"/>
      <c r="N106" s="30"/>
      <c r="O106" s="7">
        <f t="shared" si="43"/>
        <v>0</v>
      </c>
      <c r="P106" s="1"/>
      <c r="Q106" s="1"/>
    </row>
    <row r="107" spans="1:17" x14ac:dyDescent="0.15">
      <c r="A107" s="16" t="s">
        <v>123</v>
      </c>
      <c r="B107" s="8">
        <v>2</v>
      </c>
      <c r="C107" s="10">
        <v>2</v>
      </c>
      <c r="D107" s="10">
        <v>2</v>
      </c>
      <c r="E107" s="10">
        <v>2</v>
      </c>
      <c r="F107" s="30">
        <v>2</v>
      </c>
      <c r="G107" s="7">
        <f t="shared" si="42"/>
        <v>10</v>
      </c>
      <c r="H107" s="36">
        <v>42486</v>
      </c>
      <c r="I107" s="16"/>
      <c r="J107" s="8"/>
      <c r="K107" s="10"/>
      <c r="L107" s="10"/>
      <c r="M107" s="10"/>
      <c r="N107" s="30"/>
      <c r="O107" s="7">
        <f t="shared" si="43"/>
        <v>0</v>
      </c>
      <c r="P107" s="1"/>
      <c r="Q107" s="1"/>
    </row>
    <row r="108" spans="1:17" x14ac:dyDescent="0.15">
      <c r="A108" s="14" t="s">
        <v>110</v>
      </c>
      <c r="B108" s="8"/>
      <c r="C108" s="10"/>
      <c r="D108" s="10"/>
      <c r="E108" s="10"/>
      <c r="F108" s="30">
        <v>3</v>
      </c>
      <c r="G108" s="7">
        <f t="shared" si="42"/>
        <v>3</v>
      </c>
      <c r="H108" s="36">
        <v>42492</v>
      </c>
      <c r="I108" s="16"/>
      <c r="J108" s="8"/>
      <c r="K108" s="10"/>
      <c r="L108" s="10"/>
      <c r="M108" s="10"/>
      <c r="N108" s="30"/>
      <c r="O108" s="7">
        <f t="shared" si="43"/>
        <v>0</v>
      </c>
      <c r="P108" s="1"/>
      <c r="Q108" s="1"/>
    </row>
    <row r="109" spans="1:17" x14ac:dyDescent="0.15">
      <c r="A109" s="14" t="s">
        <v>32</v>
      </c>
      <c r="B109" s="8"/>
      <c r="C109" s="10">
        <v>1</v>
      </c>
      <c r="D109" s="10"/>
      <c r="E109" s="10"/>
      <c r="F109" s="30"/>
      <c r="G109" s="7">
        <f t="shared" si="42"/>
        <v>1</v>
      </c>
      <c r="H109" s="36">
        <v>42492</v>
      </c>
      <c r="I109" s="39"/>
      <c r="J109" s="8"/>
      <c r="K109" s="10"/>
      <c r="L109" s="10"/>
      <c r="M109" s="10"/>
      <c r="N109" s="30"/>
      <c r="O109" s="7">
        <f t="shared" si="43"/>
        <v>0</v>
      </c>
      <c r="P109" s="1"/>
      <c r="Q109" s="1"/>
    </row>
    <row r="110" spans="1:17" x14ac:dyDescent="0.15">
      <c r="A110" s="20" t="s">
        <v>102</v>
      </c>
      <c r="B110" s="11"/>
      <c r="C110" s="12">
        <v>1</v>
      </c>
      <c r="D110" s="12">
        <v>1</v>
      </c>
      <c r="E110" s="12"/>
      <c r="F110" s="31"/>
      <c r="G110" s="7">
        <f t="shared" si="42"/>
        <v>2</v>
      </c>
      <c r="H110" s="36">
        <v>42488</v>
      </c>
      <c r="I110" s="16"/>
      <c r="J110" s="11"/>
      <c r="K110" s="12"/>
      <c r="L110" s="12"/>
      <c r="M110" s="12"/>
      <c r="N110" s="31"/>
      <c r="O110" s="7">
        <f t="shared" si="43"/>
        <v>0</v>
      </c>
      <c r="P110" s="1"/>
      <c r="Q110" s="1"/>
    </row>
    <row r="111" spans="1:17" x14ac:dyDescent="0.15">
      <c r="A111" s="39" t="s">
        <v>22</v>
      </c>
      <c r="B111" s="8"/>
      <c r="C111" s="10"/>
      <c r="D111" s="10"/>
      <c r="E111" s="10"/>
      <c r="F111" s="30">
        <v>10</v>
      </c>
      <c r="G111" s="7">
        <f t="shared" si="42"/>
        <v>10</v>
      </c>
      <c r="H111" s="36">
        <v>42500</v>
      </c>
      <c r="I111" s="16"/>
      <c r="J111" s="8"/>
      <c r="K111" s="10"/>
      <c r="L111" s="10"/>
      <c r="M111" s="10"/>
      <c r="N111" s="30"/>
      <c r="O111" s="7">
        <f t="shared" si="43"/>
        <v>0</v>
      </c>
      <c r="P111" s="1"/>
      <c r="Q111" s="1"/>
    </row>
    <row r="112" spans="1:17" x14ac:dyDescent="0.15">
      <c r="A112" s="14" t="s">
        <v>102</v>
      </c>
      <c r="B112" s="8"/>
      <c r="C112" s="10">
        <v>1</v>
      </c>
      <c r="D112" s="10"/>
      <c r="E112" s="10"/>
      <c r="F112" s="30">
        <v>1</v>
      </c>
      <c r="G112" s="7">
        <f t="shared" si="42"/>
        <v>2</v>
      </c>
      <c r="H112" s="36">
        <v>42492</v>
      </c>
      <c r="I112" s="14"/>
      <c r="J112" s="8"/>
      <c r="K112" s="10"/>
      <c r="L112" s="10"/>
      <c r="M112" s="10"/>
      <c r="N112" s="30"/>
      <c r="O112" s="7">
        <f t="shared" si="43"/>
        <v>0</v>
      </c>
      <c r="P112" s="1"/>
      <c r="Q112" s="1"/>
    </row>
    <row r="113" spans="1:17" x14ac:dyDescent="0.15">
      <c r="A113" s="16" t="s">
        <v>126</v>
      </c>
      <c r="B113" s="8"/>
      <c r="C113" s="10">
        <v>20</v>
      </c>
      <c r="D113" s="10"/>
      <c r="E113" s="10"/>
      <c r="F113" s="30"/>
      <c r="G113" s="7">
        <f t="shared" si="42"/>
        <v>20</v>
      </c>
      <c r="H113" s="36">
        <v>42492</v>
      </c>
      <c r="I113" s="16"/>
      <c r="J113" s="8"/>
      <c r="K113" s="10"/>
      <c r="L113" s="10"/>
      <c r="M113" s="10"/>
      <c r="N113" s="30"/>
      <c r="O113" s="7">
        <f t="shared" si="43"/>
        <v>0</v>
      </c>
      <c r="P113" s="1"/>
      <c r="Q113" s="1"/>
    </row>
    <row r="114" spans="1:17" x14ac:dyDescent="0.15">
      <c r="A114" s="14" t="s">
        <v>102</v>
      </c>
      <c r="B114" s="8"/>
      <c r="C114" s="10">
        <v>1</v>
      </c>
      <c r="D114" s="10"/>
      <c r="E114" s="10">
        <v>1</v>
      </c>
      <c r="F114" s="30"/>
      <c r="G114" s="7">
        <f t="shared" si="42"/>
        <v>2</v>
      </c>
      <c r="H114" s="36">
        <v>42497</v>
      </c>
      <c r="I114" s="16"/>
      <c r="J114" s="8"/>
      <c r="K114" s="10"/>
      <c r="L114" s="10"/>
      <c r="M114" s="10"/>
      <c r="N114" s="30"/>
      <c r="O114" s="7">
        <f t="shared" si="43"/>
        <v>0</v>
      </c>
      <c r="P114" s="1"/>
      <c r="Q114" s="1"/>
    </row>
    <row r="115" spans="1:17" x14ac:dyDescent="0.15">
      <c r="A115" s="16" t="s">
        <v>123</v>
      </c>
      <c r="B115" s="8"/>
      <c r="C115" s="10">
        <v>1</v>
      </c>
      <c r="D115" s="10"/>
      <c r="E115" s="10"/>
      <c r="F115" s="30">
        <v>2</v>
      </c>
      <c r="G115" s="7">
        <f t="shared" si="42"/>
        <v>3</v>
      </c>
      <c r="H115" s="36">
        <v>42497</v>
      </c>
      <c r="I115" s="16"/>
      <c r="J115" s="8"/>
      <c r="K115" s="10"/>
      <c r="L115" s="10"/>
      <c r="M115" s="10"/>
      <c r="N115" s="30"/>
      <c r="O115" s="7">
        <f t="shared" si="43"/>
        <v>0</v>
      </c>
      <c r="P115" s="1"/>
      <c r="Q115" s="1"/>
    </row>
    <row r="116" spans="1:17" x14ac:dyDescent="0.15">
      <c r="A116" s="39" t="s">
        <v>128</v>
      </c>
      <c r="B116" s="8">
        <v>1</v>
      </c>
      <c r="C116" s="10"/>
      <c r="D116" s="10"/>
      <c r="E116" s="10"/>
      <c r="F116" s="30"/>
      <c r="G116" s="7">
        <f t="shared" si="42"/>
        <v>1</v>
      </c>
      <c r="H116" s="36">
        <v>42499</v>
      </c>
      <c r="I116" s="16"/>
      <c r="J116" s="8"/>
      <c r="K116" s="10"/>
      <c r="L116" s="10"/>
      <c r="M116" s="10"/>
      <c r="N116" s="30"/>
      <c r="O116" s="7">
        <f t="shared" si="43"/>
        <v>0</v>
      </c>
      <c r="P116" s="1"/>
      <c r="Q116" s="1"/>
    </row>
    <row r="117" spans="1:17" x14ac:dyDescent="0.15">
      <c r="A117" s="14" t="s">
        <v>102</v>
      </c>
      <c r="B117" s="8"/>
      <c r="C117" s="10"/>
      <c r="D117" s="10"/>
      <c r="E117" s="10">
        <v>1</v>
      </c>
      <c r="F117" s="30"/>
      <c r="G117" s="7">
        <f t="shared" si="42"/>
        <v>1</v>
      </c>
      <c r="H117" s="36">
        <v>42501</v>
      </c>
      <c r="I117" s="14"/>
      <c r="J117" s="8"/>
      <c r="K117" s="10"/>
      <c r="L117" s="10"/>
      <c r="M117" s="10"/>
      <c r="N117" s="30"/>
      <c r="O117" s="7">
        <f t="shared" si="43"/>
        <v>0</v>
      </c>
      <c r="P117" s="36"/>
      <c r="Q117" s="1"/>
    </row>
    <row r="118" spans="1:17" x14ac:dyDescent="0.15">
      <c r="A118" s="14" t="s">
        <v>110</v>
      </c>
      <c r="B118" s="8"/>
      <c r="C118" s="10"/>
      <c r="D118" s="10"/>
      <c r="E118" s="10">
        <v>3</v>
      </c>
      <c r="F118" s="30"/>
      <c r="G118" s="7">
        <f t="shared" si="42"/>
        <v>3</v>
      </c>
      <c r="H118" s="36">
        <v>42506</v>
      </c>
      <c r="I118" s="16"/>
      <c r="J118" s="8"/>
      <c r="K118" s="10"/>
      <c r="L118" s="10"/>
      <c r="M118" s="10"/>
      <c r="N118" s="30"/>
      <c r="O118" s="7">
        <f t="shared" si="43"/>
        <v>0</v>
      </c>
      <c r="P118" s="36"/>
      <c r="Q118" s="1"/>
    </row>
    <row r="119" spans="1:17" x14ac:dyDescent="0.15">
      <c r="A119" s="16" t="s">
        <v>25</v>
      </c>
      <c r="B119" s="8">
        <v>10</v>
      </c>
      <c r="C119" s="10">
        <v>8</v>
      </c>
      <c r="D119" s="10">
        <v>7</v>
      </c>
      <c r="E119" s="10">
        <v>10</v>
      </c>
      <c r="F119" s="30">
        <v>7</v>
      </c>
      <c r="G119" s="7">
        <f t="shared" si="42"/>
        <v>42</v>
      </c>
      <c r="H119" s="36">
        <v>42501</v>
      </c>
      <c r="I119" s="14"/>
      <c r="J119" s="8"/>
      <c r="K119" s="10"/>
      <c r="L119" s="10"/>
      <c r="M119" s="10"/>
      <c r="N119" s="30"/>
      <c r="O119" s="7">
        <f t="shared" ref="O119:O120" si="44">SUM(J119:N119)</f>
        <v>0</v>
      </c>
      <c r="P119" s="1"/>
      <c r="Q119" s="1"/>
    </row>
    <row r="120" spans="1:17" x14ac:dyDescent="0.15">
      <c r="A120" s="39" t="s">
        <v>22</v>
      </c>
      <c r="B120" s="8"/>
      <c r="C120" s="10"/>
      <c r="D120" s="10">
        <v>10</v>
      </c>
      <c r="E120" s="10"/>
      <c r="F120" s="30"/>
      <c r="G120" s="7">
        <f t="shared" si="42"/>
        <v>10</v>
      </c>
      <c r="H120" s="36">
        <v>42503</v>
      </c>
      <c r="I120" s="16"/>
      <c r="J120" s="11"/>
      <c r="K120" s="12"/>
      <c r="L120" s="12"/>
      <c r="M120" s="12"/>
      <c r="N120" s="31"/>
      <c r="O120" s="7">
        <f t="shared" si="44"/>
        <v>0</v>
      </c>
      <c r="P120" s="36"/>
    </row>
    <row r="121" spans="1:17" x14ac:dyDescent="0.15">
      <c r="A121" s="16" t="s">
        <v>25</v>
      </c>
      <c r="B121" s="8">
        <v>1</v>
      </c>
      <c r="C121" s="10"/>
      <c r="D121" s="10"/>
      <c r="E121" s="10"/>
      <c r="F121" s="30"/>
      <c r="G121" s="7">
        <f t="shared" si="42"/>
        <v>1</v>
      </c>
      <c r="H121" s="36">
        <v>42503</v>
      </c>
      <c r="I121" s="14"/>
      <c r="J121" s="8"/>
      <c r="K121" s="10"/>
      <c r="L121" s="10"/>
      <c r="M121" s="10"/>
      <c r="N121" s="30"/>
      <c r="O121" s="7">
        <f t="shared" ref="O121:O126" si="45">SUM(J121:N121)</f>
        <v>0</v>
      </c>
      <c r="P121" s="1"/>
    </row>
    <row r="122" spans="1:17" x14ac:dyDescent="0.15">
      <c r="A122" s="14" t="s">
        <v>131</v>
      </c>
      <c r="B122" s="11"/>
      <c r="C122" s="12">
        <v>1</v>
      </c>
      <c r="D122" s="12"/>
      <c r="E122" s="12"/>
      <c r="F122" s="31"/>
      <c r="G122" s="7">
        <f t="shared" si="42"/>
        <v>1</v>
      </c>
      <c r="H122" s="36">
        <v>42503</v>
      </c>
      <c r="I122" s="16"/>
      <c r="J122" s="11"/>
      <c r="K122" s="12"/>
      <c r="L122" s="12"/>
      <c r="M122" s="12"/>
      <c r="N122" s="31"/>
      <c r="O122" s="7">
        <f t="shared" ref="O122:O125" si="46">SUM(J122:N122)</f>
        <v>0</v>
      </c>
      <c r="P122" s="36"/>
    </row>
    <row r="123" spans="1:17" x14ac:dyDescent="0.15">
      <c r="A123" s="14" t="s">
        <v>132</v>
      </c>
      <c r="B123" s="8">
        <v>1</v>
      </c>
      <c r="C123" s="10"/>
      <c r="D123" s="10"/>
      <c r="E123" s="10"/>
      <c r="F123" s="30"/>
      <c r="G123" s="7">
        <f t="shared" si="42"/>
        <v>1</v>
      </c>
      <c r="H123" s="36">
        <v>42502</v>
      </c>
      <c r="I123" s="14"/>
      <c r="J123" s="8"/>
      <c r="K123" s="10"/>
      <c r="L123" s="10"/>
      <c r="M123" s="10"/>
      <c r="N123" s="30"/>
      <c r="O123" s="7">
        <f t="shared" si="46"/>
        <v>0</v>
      </c>
      <c r="P123" s="1"/>
    </row>
    <row r="124" spans="1:17" x14ac:dyDescent="0.15">
      <c r="A124" s="14" t="s">
        <v>133</v>
      </c>
      <c r="B124" s="8"/>
      <c r="C124" s="10">
        <v>1</v>
      </c>
      <c r="D124" s="10"/>
      <c r="E124" s="10"/>
      <c r="F124" s="30"/>
      <c r="G124" s="7">
        <f t="shared" si="42"/>
        <v>1</v>
      </c>
      <c r="H124" s="36">
        <v>42504</v>
      </c>
      <c r="I124" s="16"/>
      <c r="J124" s="11"/>
      <c r="K124" s="12"/>
      <c r="L124" s="12"/>
      <c r="M124" s="12"/>
      <c r="N124" s="31"/>
      <c r="O124" s="7">
        <f t="shared" si="46"/>
        <v>0</v>
      </c>
      <c r="P124" s="1"/>
    </row>
    <row r="125" spans="1:17" x14ac:dyDescent="0.15">
      <c r="A125" s="16" t="s">
        <v>25</v>
      </c>
      <c r="B125" s="8">
        <v>2</v>
      </c>
      <c r="C125" s="10">
        <v>2</v>
      </c>
      <c r="D125" s="10">
        <v>2</v>
      </c>
      <c r="E125" s="10"/>
      <c r="F125" s="30"/>
      <c r="G125" s="7">
        <f t="shared" si="42"/>
        <v>6</v>
      </c>
      <c r="H125" s="36">
        <v>42507</v>
      </c>
      <c r="I125" s="14"/>
      <c r="J125" s="8"/>
      <c r="K125" s="10"/>
      <c r="L125" s="10"/>
      <c r="M125" s="10"/>
      <c r="N125" s="30"/>
      <c r="O125" s="7">
        <f t="shared" si="46"/>
        <v>0</v>
      </c>
      <c r="P125" s="1"/>
    </row>
    <row r="126" spans="1:17" ht="14.25" thickBot="1" x14ac:dyDescent="0.2">
      <c r="A126" s="20" t="s">
        <v>135</v>
      </c>
      <c r="B126" s="11">
        <v>1</v>
      </c>
      <c r="C126" s="12"/>
      <c r="D126" s="12"/>
      <c r="E126" s="12"/>
      <c r="F126" s="31"/>
      <c r="G126" s="7">
        <f t="shared" si="42"/>
        <v>1</v>
      </c>
      <c r="H126" s="36">
        <v>42507</v>
      </c>
      <c r="I126" s="20"/>
      <c r="J126" s="11"/>
      <c r="K126" s="12"/>
      <c r="L126" s="12"/>
      <c r="M126" s="12"/>
      <c r="N126" s="31"/>
      <c r="O126" s="7">
        <f t="shared" si="45"/>
        <v>0</v>
      </c>
      <c r="P126" s="36"/>
    </row>
    <row r="127" spans="1:17" ht="14.25" thickBot="1" x14ac:dyDescent="0.2">
      <c r="A127" s="3" t="s">
        <v>11</v>
      </c>
      <c r="B127" s="23">
        <f>SUM(B101:B126)</f>
        <v>19</v>
      </c>
      <c r="C127" s="4">
        <f>SUM(C101:C126)</f>
        <v>42</v>
      </c>
      <c r="D127" s="4">
        <f>SUM(D101:D126)</f>
        <v>25</v>
      </c>
      <c r="E127" s="6">
        <f>SUM(E101:E126)</f>
        <v>19</v>
      </c>
      <c r="F127" s="32">
        <f>SUM(F101:F126)</f>
        <v>25</v>
      </c>
      <c r="G127" s="5">
        <f>SUM(B127:F127)</f>
        <v>130</v>
      </c>
      <c r="H127" s="56"/>
      <c r="I127" s="3" t="s">
        <v>11</v>
      </c>
      <c r="J127" s="23">
        <f>SUM(J101:J126)</f>
        <v>15</v>
      </c>
      <c r="K127" s="4">
        <f>SUM(K101:K126)</f>
        <v>50</v>
      </c>
      <c r="L127" s="4">
        <f>SUM(L101:L126)</f>
        <v>25</v>
      </c>
      <c r="M127" s="6">
        <f>SUM(M101:M126)</f>
        <v>25</v>
      </c>
      <c r="N127" s="32">
        <f>SUM(N101:N126)</f>
        <v>25</v>
      </c>
      <c r="O127" s="5">
        <f>SUM(J127:N127)</f>
        <v>140</v>
      </c>
    </row>
    <row r="128" spans="1:17" ht="14.25" thickBot="1" x14ac:dyDescent="0.2">
      <c r="A128" s="25" t="s">
        <v>12</v>
      </c>
      <c r="B128" s="63">
        <f>B100-B127</f>
        <v>11</v>
      </c>
      <c r="C128" s="26">
        <f t="shared" ref="C128:G128" si="47">C100-C127</f>
        <v>15</v>
      </c>
      <c r="D128" s="71">
        <f t="shared" si="47"/>
        <v>17</v>
      </c>
      <c r="E128" s="26">
        <f t="shared" si="47"/>
        <v>13</v>
      </c>
      <c r="F128" s="70">
        <f t="shared" si="47"/>
        <v>16</v>
      </c>
      <c r="G128" s="27">
        <f t="shared" si="47"/>
        <v>72</v>
      </c>
      <c r="H128" s="56"/>
      <c r="I128" s="25" t="s">
        <v>12</v>
      </c>
      <c r="J128" s="63">
        <f>J100-J127</f>
        <v>121</v>
      </c>
      <c r="K128" s="26">
        <f t="shared" ref="K128:O128" si="48">K100-K127</f>
        <v>70</v>
      </c>
      <c r="L128" s="71">
        <f t="shared" si="48"/>
        <v>111</v>
      </c>
      <c r="M128" s="26">
        <f t="shared" si="48"/>
        <v>142</v>
      </c>
      <c r="N128" s="70">
        <f t="shared" si="48"/>
        <v>77</v>
      </c>
      <c r="O128" s="27">
        <f t="shared" si="48"/>
        <v>521</v>
      </c>
    </row>
    <row r="129" spans="1:16" ht="17.25" x14ac:dyDescent="0.2">
      <c r="A129" s="79" t="s">
        <v>56</v>
      </c>
      <c r="B129" s="80"/>
      <c r="C129" s="80"/>
      <c r="D129" s="80"/>
      <c r="E129" s="80"/>
      <c r="F129" s="80"/>
      <c r="G129" s="80"/>
      <c r="H129" s="56"/>
      <c r="I129" s="79" t="s">
        <v>56</v>
      </c>
      <c r="J129" s="80"/>
      <c r="K129" s="80"/>
      <c r="L129" s="80"/>
      <c r="M129" s="80"/>
      <c r="N129" s="80"/>
      <c r="O129" s="1"/>
      <c r="P129" s="1"/>
    </row>
    <row r="130" spans="1:16" ht="21.75" thickBot="1" x14ac:dyDescent="0.25">
      <c r="A130" s="82" t="s">
        <v>55</v>
      </c>
      <c r="B130" s="80"/>
      <c r="C130" s="80"/>
      <c r="D130" s="80"/>
      <c r="E130" s="81" t="s">
        <v>53</v>
      </c>
      <c r="F130" s="80"/>
      <c r="G130" s="80"/>
      <c r="H130" s="58"/>
      <c r="I130" s="82" t="s">
        <v>55</v>
      </c>
      <c r="J130" s="80"/>
      <c r="K130" s="80"/>
      <c r="L130" s="80"/>
      <c r="M130" s="81" t="s">
        <v>54</v>
      </c>
      <c r="N130" s="80"/>
      <c r="O130" s="1"/>
      <c r="P130" s="1"/>
    </row>
    <row r="131" spans="1:16" ht="14.25" thickBot="1" x14ac:dyDescent="0.2">
      <c r="A131" s="13" t="s">
        <v>0</v>
      </c>
      <c r="B131" s="228" t="s">
        <v>57</v>
      </c>
      <c r="C131" s="229"/>
      <c r="D131" s="229"/>
      <c r="E131" s="229"/>
      <c r="F131" s="230"/>
      <c r="G131" s="231"/>
      <c r="H131" s="58"/>
      <c r="I131" s="13" t="s">
        <v>0</v>
      </c>
      <c r="J131" s="232" t="s">
        <v>57</v>
      </c>
      <c r="K131" s="233"/>
      <c r="L131" s="233"/>
      <c r="M131" s="233"/>
      <c r="N131" s="233"/>
      <c r="O131" s="234"/>
      <c r="P131" s="1"/>
    </row>
    <row r="132" spans="1:16" ht="14.25" thickBot="1" x14ac:dyDescent="0.2">
      <c r="A132" s="3" t="s">
        <v>1</v>
      </c>
      <c r="B132" s="2" t="s">
        <v>42</v>
      </c>
      <c r="C132" s="21" t="s">
        <v>43</v>
      </c>
      <c r="D132" s="21" t="s">
        <v>44</v>
      </c>
      <c r="E132" s="24" t="s">
        <v>45</v>
      </c>
      <c r="F132" s="33" t="s">
        <v>46</v>
      </c>
      <c r="G132" s="3" t="s">
        <v>2</v>
      </c>
      <c r="H132" s="58"/>
      <c r="I132" s="3" t="s">
        <v>1</v>
      </c>
      <c r="J132" s="2" t="s">
        <v>42</v>
      </c>
      <c r="K132" s="21" t="s">
        <v>43</v>
      </c>
      <c r="L132" s="21" t="s">
        <v>44</v>
      </c>
      <c r="M132" s="24" t="s">
        <v>45</v>
      </c>
      <c r="N132" s="33" t="s">
        <v>46</v>
      </c>
      <c r="O132" s="3" t="s">
        <v>2</v>
      </c>
      <c r="P132" s="1"/>
    </row>
    <row r="133" spans="1:16" ht="14.25" thickBot="1" x14ac:dyDescent="0.2">
      <c r="A133" s="72" t="s">
        <v>79</v>
      </c>
      <c r="B133" s="73">
        <f>B128</f>
        <v>11</v>
      </c>
      <c r="C133" s="74">
        <f t="shared" ref="C133:F133" si="49">C128</f>
        <v>15</v>
      </c>
      <c r="D133" s="107">
        <f t="shared" si="49"/>
        <v>17</v>
      </c>
      <c r="E133" s="75">
        <f t="shared" si="49"/>
        <v>13</v>
      </c>
      <c r="F133" s="75">
        <f t="shared" si="49"/>
        <v>16</v>
      </c>
      <c r="G133" s="76">
        <f t="shared" ref="G133:G142" si="50">SUM(B133:F133)</f>
        <v>72</v>
      </c>
      <c r="H133" s="58"/>
      <c r="I133" s="72" t="s">
        <v>79</v>
      </c>
      <c r="J133" s="73">
        <f>J128</f>
        <v>121</v>
      </c>
      <c r="K133" s="74">
        <f t="shared" ref="K133:N133" si="51">K128</f>
        <v>70</v>
      </c>
      <c r="L133" s="107">
        <f t="shared" si="51"/>
        <v>111</v>
      </c>
      <c r="M133" s="75">
        <f t="shared" si="51"/>
        <v>142</v>
      </c>
      <c r="N133" s="75">
        <f t="shared" si="51"/>
        <v>77</v>
      </c>
      <c r="O133" s="76">
        <f t="shared" ref="O133:O142" si="52">SUM(J133:N133)</f>
        <v>521</v>
      </c>
      <c r="P133" s="1"/>
    </row>
    <row r="134" spans="1:16" x14ac:dyDescent="0.15">
      <c r="A134" s="38" t="s">
        <v>15</v>
      </c>
      <c r="B134" s="37"/>
      <c r="C134" s="35">
        <v>10</v>
      </c>
      <c r="D134" s="35"/>
      <c r="E134" s="35">
        <v>10</v>
      </c>
      <c r="F134" s="28"/>
      <c r="G134" s="7">
        <f t="shared" si="50"/>
        <v>20</v>
      </c>
      <c r="H134" s="58">
        <v>42510</v>
      </c>
      <c r="I134" s="38" t="s">
        <v>15</v>
      </c>
      <c r="J134" s="37"/>
      <c r="K134" s="35"/>
      <c r="L134" s="35"/>
      <c r="M134" s="35"/>
      <c r="N134" s="28"/>
      <c r="O134" s="7">
        <f t="shared" si="52"/>
        <v>0</v>
      </c>
      <c r="P134" s="1"/>
    </row>
    <row r="135" spans="1:16" x14ac:dyDescent="0.15">
      <c r="A135" s="38" t="s">
        <v>19</v>
      </c>
      <c r="B135" s="8">
        <v>1</v>
      </c>
      <c r="C135" s="10"/>
      <c r="D135" s="10">
        <v>1</v>
      </c>
      <c r="E135" s="10"/>
      <c r="F135" s="28"/>
      <c r="G135" s="9">
        <f t="shared" si="50"/>
        <v>2</v>
      </c>
      <c r="H135" s="36">
        <v>42511</v>
      </c>
      <c r="I135" s="15" t="s">
        <v>3</v>
      </c>
      <c r="J135" s="8">
        <v>119</v>
      </c>
      <c r="K135" s="10">
        <v>136</v>
      </c>
      <c r="L135" s="10">
        <v>118</v>
      </c>
      <c r="M135" s="10">
        <v>99</v>
      </c>
      <c r="N135" s="28">
        <v>99</v>
      </c>
      <c r="O135" s="9">
        <f t="shared" si="52"/>
        <v>571</v>
      </c>
      <c r="P135" s="36">
        <v>42516</v>
      </c>
    </row>
    <row r="136" spans="1:16" x14ac:dyDescent="0.15">
      <c r="A136" s="38" t="s">
        <v>21</v>
      </c>
      <c r="B136" s="8">
        <v>1</v>
      </c>
      <c r="C136" s="10"/>
      <c r="D136" s="10">
        <v>4</v>
      </c>
      <c r="E136" s="10"/>
      <c r="F136" s="28">
        <v>2</v>
      </c>
      <c r="G136" s="9">
        <f t="shared" ref="G136:G141" si="53">SUM(B136:F136)</f>
        <v>7</v>
      </c>
      <c r="H136" s="58">
        <v>42516</v>
      </c>
      <c r="I136" s="15" t="s">
        <v>18</v>
      </c>
      <c r="J136" s="8"/>
      <c r="K136" s="10"/>
      <c r="L136" s="10"/>
      <c r="M136" s="10"/>
      <c r="N136" s="28"/>
      <c r="O136" s="9">
        <f t="shared" si="52"/>
        <v>0</v>
      </c>
      <c r="P136" s="36"/>
    </row>
    <row r="137" spans="1:16" x14ac:dyDescent="0.15">
      <c r="A137" s="38" t="s">
        <v>17</v>
      </c>
      <c r="B137" s="8">
        <v>1</v>
      </c>
      <c r="C137" s="10"/>
      <c r="D137" s="10">
        <v>1</v>
      </c>
      <c r="E137" s="10">
        <v>1</v>
      </c>
      <c r="F137" s="28"/>
      <c r="G137" s="9">
        <f t="shared" si="53"/>
        <v>3</v>
      </c>
      <c r="H137" s="58">
        <v>42517</v>
      </c>
      <c r="I137" s="15" t="s">
        <v>18</v>
      </c>
      <c r="J137" s="8">
        <v>2</v>
      </c>
      <c r="K137" s="10">
        <v>4</v>
      </c>
      <c r="L137" s="10">
        <v>3</v>
      </c>
      <c r="M137" s="10">
        <v>2</v>
      </c>
      <c r="N137" s="28">
        <v>1</v>
      </c>
      <c r="O137" s="9">
        <f t="shared" ref="O137" si="54">SUM(J137:N137)</f>
        <v>12</v>
      </c>
      <c r="P137" s="36">
        <v>42530</v>
      </c>
    </row>
    <row r="138" spans="1:16" x14ac:dyDescent="0.15">
      <c r="A138" s="38" t="s">
        <v>111</v>
      </c>
      <c r="B138" s="8"/>
      <c r="C138" s="10"/>
      <c r="D138" s="10"/>
      <c r="E138" s="10">
        <v>1</v>
      </c>
      <c r="F138" s="28"/>
      <c r="G138" s="9">
        <f t="shared" si="53"/>
        <v>1</v>
      </c>
      <c r="H138" s="58">
        <v>42517</v>
      </c>
      <c r="I138" s="15" t="s">
        <v>80</v>
      </c>
      <c r="J138" s="8"/>
      <c r="K138" s="10"/>
      <c r="L138" s="10"/>
      <c r="M138" s="10"/>
      <c r="N138" s="28"/>
      <c r="O138" s="9">
        <f t="shared" si="52"/>
        <v>0</v>
      </c>
      <c r="P138" s="1"/>
    </row>
    <row r="139" spans="1:16" x14ac:dyDescent="0.15">
      <c r="A139" s="38" t="s">
        <v>149</v>
      </c>
      <c r="B139" s="8">
        <v>1</v>
      </c>
      <c r="C139" s="10"/>
      <c r="D139" s="10"/>
      <c r="E139" s="10"/>
      <c r="F139" s="28"/>
      <c r="G139" s="9">
        <f t="shared" si="53"/>
        <v>1</v>
      </c>
      <c r="H139" s="58">
        <v>42518</v>
      </c>
      <c r="I139" s="15" t="s">
        <v>81</v>
      </c>
      <c r="J139" s="8"/>
      <c r="K139" s="10"/>
      <c r="L139" s="10"/>
      <c r="M139" s="10"/>
      <c r="N139" s="28"/>
      <c r="O139" s="9">
        <f t="shared" si="52"/>
        <v>0</v>
      </c>
      <c r="P139" s="36"/>
    </row>
    <row r="140" spans="1:16" x14ac:dyDescent="0.15">
      <c r="A140" s="38" t="s">
        <v>85</v>
      </c>
      <c r="B140" s="8"/>
      <c r="C140" s="10"/>
      <c r="D140" s="10"/>
      <c r="E140" s="10">
        <v>15</v>
      </c>
      <c r="F140" s="30"/>
      <c r="G140" s="7">
        <f t="shared" si="53"/>
        <v>15</v>
      </c>
      <c r="H140" s="58">
        <v>42522</v>
      </c>
      <c r="I140" s="15" t="s">
        <v>82</v>
      </c>
      <c r="J140" s="8"/>
      <c r="K140" s="10"/>
      <c r="L140" s="10"/>
      <c r="M140" s="10"/>
      <c r="N140" s="28"/>
      <c r="O140" s="9">
        <f t="shared" si="52"/>
        <v>0</v>
      </c>
      <c r="P140" s="1"/>
    </row>
    <row r="141" spans="1:16" x14ac:dyDescent="0.15">
      <c r="A141" s="15" t="s">
        <v>86</v>
      </c>
      <c r="B141" s="11">
        <v>10</v>
      </c>
      <c r="C141" s="100"/>
      <c r="D141" s="100"/>
      <c r="E141" s="100">
        <v>20</v>
      </c>
      <c r="F141" s="101"/>
      <c r="G141" s="102">
        <f t="shared" si="53"/>
        <v>30</v>
      </c>
      <c r="H141" s="58">
        <v>42524</v>
      </c>
      <c r="I141" s="15" t="s">
        <v>83</v>
      </c>
      <c r="J141" s="8"/>
      <c r="K141" s="10"/>
      <c r="L141" s="10"/>
      <c r="M141" s="10"/>
      <c r="N141" s="30"/>
      <c r="O141" s="7">
        <f t="shared" si="52"/>
        <v>0</v>
      </c>
      <c r="P141" s="1"/>
    </row>
    <row r="142" spans="1:16" ht="14.25" thickBot="1" x14ac:dyDescent="0.2">
      <c r="A142" s="15" t="s">
        <v>87</v>
      </c>
      <c r="B142" s="11"/>
      <c r="C142" s="100">
        <v>10</v>
      </c>
      <c r="D142" s="100"/>
      <c r="E142" s="100"/>
      <c r="F142" s="101">
        <v>10</v>
      </c>
      <c r="G142" s="102">
        <f t="shared" si="50"/>
        <v>20</v>
      </c>
      <c r="H142" s="58">
        <v>42537</v>
      </c>
      <c r="I142" s="15" t="s">
        <v>87</v>
      </c>
      <c r="J142" s="11"/>
      <c r="K142" s="100"/>
      <c r="L142" s="100"/>
      <c r="M142" s="100"/>
      <c r="N142" s="101"/>
      <c r="O142" s="102">
        <f t="shared" si="52"/>
        <v>0</v>
      </c>
      <c r="P142" s="1"/>
    </row>
    <row r="143" spans="1:16" ht="14.25" thickBot="1" x14ac:dyDescent="0.2">
      <c r="A143" s="72" t="s">
        <v>7</v>
      </c>
      <c r="B143" s="73">
        <f>SUM(B133:B142)</f>
        <v>25</v>
      </c>
      <c r="C143" s="74">
        <f t="shared" ref="C143:G143" si="55">SUM(C133:C142)</f>
        <v>35</v>
      </c>
      <c r="D143" s="74">
        <f t="shared" si="55"/>
        <v>23</v>
      </c>
      <c r="E143" s="74">
        <f t="shared" si="55"/>
        <v>60</v>
      </c>
      <c r="F143" s="105">
        <f t="shared" si="55"/>
        <v>28</v>
      </c>
      <c r="G143" s="76">
        <f t="shared" si="55"/>
        <v>171</v>
      </c>
      <c r="H143" s="58"/>
      <c r="I143" s="72" t="s">
        <v>7</v>
      </c>
      <c r="J143" s="73">
        <f>SUM(J133:J142)</f>
        <v>242</v>
      </c>
      <c r="K143" s="74">
        <f t="shared" ref="K143:O143" si="56">SUM(K133:K142)</f>
        <v>210</v>
      </c>
      <c r="L143" s="74">
        <f t="shared" si="56"/>
        <v>232</v>
      </c>
      <c r="M143" s="74">
        <f t="shared" si="56"/>
        <v>243</v>
      </c>
      <c r="N143" s="105">
        <f t="shared" si="56"/>
        <v>177</v>
      </c>
      <c r="O143" s="76">
        <f t="shared" si="56"/>
        <v>1104</v>
      </c>
      <c r="P143" s="1"/>
    </row>
    <row r="144" spans="1:16" x14ac:dyDescent="0.15">
      <c r="A144" s="16" t="s">
        <v>22</v>
      </c>
      <c r="B144" s="37"/>
      <c r="C144" s="35"/>
      <c r="D144" s="35"/>
      <c r="E144" s="35">
        <v>5</v>
      </c>
      <c r="F144" s="28"/>
      <c r="G144" s="18">
        <f t="shared" ref="G144:G169" si="57">SUM(B144:F144)</f>
        <v>5</v>
      </c>
      <c r="H144" s="58">
        <v>42513</v>
      </c>
      <c r="I144" s="16" t="s">
        <v>151</v>
      </c>
      <c r="J144" s="17"/>
      <c r="K144" s="22"/>
      <c r="L144" s="22"/>
      <c r="M144" s="22">
        <v>15</v>
      </c>
      <c r="N144" s="29"/>
      <c r="O144" s="18">
        <f t="shared" ref="O144:O169" si="58">SUM(J144:N144)</f>
        <v>15</v>
      </c>
      <c r="P144" s="36">
        <v>42522</v>
      </c>
    </row>
    <row r="145" spans="1:17" x14ac:dyDescent="0.15">
      <c r="A145" s="20" t="s">
        <v>136</v>
      </c>
      <c r="B145" s="8"/>
      <c r="C145" s="10"/>
      <c r="D145" s="10"/>
      <c r="E145" s="10">
        <v>4</v>
      </c>
      <c r="F145" s="30"/>
      <c r="G145" s="7">
        <f t="shared" si="57"/>
        <v>4</v>
      </c>
      <c r="H145" s="58">
        <v>42513</v>
      </c>
      <c r="I145" s="16" t="s">
        <v>37</v>
      </c>
      <c r="J145" s="8">
        <v>10</v>
      </c>
      <c r="K145" s="10"/>
      <c r="L145" s="10"/>
      <c r="M145" s="10">
        <v>20</v>
      </c>
      <c r="N145" s="30"/>
      <c r="O145" s="7">
        <f t="shared" si="58"/>
        <v>30</v>
      </c>
      <c r="P145" s="36">
        <v>42524</v>
      </c>
    </row>
    <row r="146" spans="1:17" x14ac:dyDescent="0.15">
      <c r="A146" s="14" t="s">
        <v>136</v>
      </c>
      <c r="B146" s="8"/>
      <c r="C146" s="10">
        <v>6</v>
      </c>
      <c r="D146" s="10"/>
      <c r="E146" s="10"/>
      <c r="F146" s="30"/>
      <c r="G146" s="7">
        <f t="shared" si="57"/>
        <v>6</v>
      </c>
      <c r="H146" s="58">
        <v>42517</v>
      </c>
      <c r="I146" s="16" t="s">
        <v>37</v>
      </c>
      <c r="J146" s="8"/>
      <c r="K146" s="10">
        <v>10</v>
      </c>
      <c r="L146" s="10"/>
      <c r="M146" s="10"/>
      <c r="N146" s="30">
        <v>10</v>
      </c>
      <c r="O146" s="7">
        <f t="shared" si="58"/>
        <v>20</v>
      </c>
      <c r="P146" s="36">
        <v>42537</v>
      </c>
    </row>
    <row r="147" spans="1:17" x14ac:dyDescent="0.15">
      <c r="A147" s="16" t="s">
        <v>142</v>
      </c>
      <c r="B147" s="8"/>
      <c r="C147" s="10"/>
      <c r="D147" s="10"/>
      <c r="E147" s="10"/>
      <c r="F147" s="30">
        <v>1</v>
      </c>
      <c r="G147" s="7">
        <f t="shared" si="57"/>
        <v>1</v>
      </c>
      <c r="H147" s="58">
        <v>42514</v>
      </c>
      <c r="I147" s="16"/>
      <c r="J147" s="8"/>
      <c r="K147" s="10"/>
      <c r="L147" s="10"/>
      <c r="M147" s="10"/>
      <c r="N147" s="30"/>
      <c r="O147" s="7">
        <f t="shared" si="58"/>
        <v>0</v>
      </c>
      <c r="P147" s="1"/>
    </row>
    <row r="148" spans="1:17" x14ac:dyDescent="0.15">
      <c r="A148" s="16" t="s">
        <v>25</v>
      </c>
      <c r="B148" s="8"/>
      <c r="C148" s="10">
        <v>1</v>
      </c>
      <c r="D148" s="10">
        <v>1</v>
      </c>
      <c r="E148" s="10">
        <v>1</v>
      </c>
      <c r="F148" s="30"/>
      <c r="G148" s="7">
        <f t="shared" si="57"/>
        <v>3</v>
      </c>
      <c r="H148" s="58">
        <v>42515</v>
      </c>
      <c r="I148" s="16"/>
      <c r="J148" s="8"/>
      <c r="K148" s="10"/>
      <c r="L148" s="10"/>
      <c r="M148" s="10"/>
      <c r="N148" s="30"/>
      <c r="O148" s="7">
        <f t="shared" si="58"/>
        <v>0</v>
      </c>
      <c r="P148" s="1"/>
    </row>
    <row r="149" spans="1:17" x14ac:dyDescent="0.15">
      <c r="A149" s="16" t="s">
        <v>25</v>
      </c>
      <c r="B149" s="8"/>
      <c r="C149" s="10">
        <v>1</v>
      </c>
      <c r="D149" s="10">
        <v>1</v>
      </c>
      <c r="E149" s="10">
        <v>3</v>
      </c>
      <c r="F149" s="30"/>
      <c r="G149" s="7">
        <f t="shared" si="57"/>
        <v>5</v>
      </c>
      <c r="H149" s="58">
        <v>42517</v>
      </c>
      <c r="I149" s="16"/>
      <c r="J149" s="8"/>
      <c r="K149" s="10"/>
      <c r="L149" s="10"/>
      <c r="M149" s="10"/>
      <c r="N149" s="30"/>
      <c r="O149" s="7">
        <f t="shared" si="58"/>
        <v>0</v>
      </c>
      <c r="P149" s="1"/>
    </row>
    <row r="150" spans="1:17" x14ac:dyDescent="0.15">
      <c r="A150" s="16" t="s">
        <v>146</v>
      </c>
      <c r="B150" s="8"/>
      <c r="C150" s="10">
        <v>1</v>
      </c>
      <c r="D150" s="10"/>
      <c r="E150" s="10"/>
      <c r="F150" s="30"/>
      <c r="G150" s="7">
        <f t="shared" si="57"/>
        <v>1</v>
      </c>
      <c r="H150" s="58">
        <v>42520</v>
      </c>
      <c r="I150" s="16"/>
      <c r="J150" s="8"/>
      <c r="K150" s="10"/>
      <c r="L150" s="10"/>
      <c r="M150" s="10"/>
      <c r="N150" s="30"/>
      <c r="O150" s="7">
        <f t="shared" si="58"/>
        <v>0</v>
      </c>
      <c r="P150" s="1"/>
    </row>
    <row r="151" spans="1:17" x14ac:dyDescent="0.15">
      <c r="A151" s="14" t="s">
        <v>148</v>
      </c>
      <c r="B151" s="8">
        <v>1</v>
      </c>
      <c r="C151" s="10">
        <v>2</v>
      </c>
      <c r="D151" s="10"/>
      <c r="E151" s="10">
        <v>8</v>
      </c>
      <c r="F151" s="30">
        <v>1</v>
      </c>
      <c r="G151" s="7">
        <f t="shared" si="57"/>
        <v>12</v>
      </c>
      <c r="H151" s="58">
        <v>42520</v>
      </c>
      <c r="I151" s="16"/>
      <c r="J151" s="8"/>
      <c r="K151" s="10"/>
      <c r="L151" s="10"/>
      <c r="M151" s="10"/>
      <c r="N151" s="30"/>
      <c r="O151" s="7">
        <f t="shared" si="58"/>
        <v>0</v>
      </c>
      <c r="P151" s="1"/>
    </row>
    <row r="152" spans="1:17" x14ac:dyDescent="0.15">
      <c r="A152" s="14" t="s">
        <v>150</v>
      </c>
      <c r="B152" s="8"/>
      <c r="C152" s="10"/>
      <c r="D152" s="10"/>
      <c r="E152" s="10"/>
      <c r="F152" s="30">
        <v>1</v>
      </c>
      <c r="G152" s="7">
        <f t="shared" si="57"/>
        <v>1</v>
      </c>
      <c r="H152" s="58">
        <v>42521</v>
      </c>
      <c r="I152" s="39"/>
      <c r="J152" s="8"/>
      <c r="K152" s="10"/>
      <c r="L152" s="10"/>
      <c r="M152" s="10"/>
      <c r="N152" s="30"/>
      <c r="O152" s="7">
        <f t="shared" si="58"/>
        <v>0</v>
      </c>
      <c r="P152" s="1"/>
    </row>
    <row r="153" spans="1:17" x14ac:dyDescent="0.15">
      <c r="A153" s="20" t="s">
        <v>135</v>
      </c>
      <c r="B153" s="11">
        <v>1</v>
      </c>
      <c r="C153" s="12"/>
      <c r="D153" s="12"/>
      <c r="E153" s="12"/>
      <c r="F153" s="31"/>
      <c r="G153" s="7">
        <f t="shared" si="57"/>
        <v>1</v>
      </c>
      <c r="H153" s="58">
        <v>42521</v>
      </c>
      <c r="I153" s="16"/>
      <c r="J153" s="11"/>
      <c r="K153" s="12"/>
      <c r="L153" s="12"/>
      <c r="M153" s="12"/>
      <c r="N153" s="31"/>
      <c r="O153" s="7">
        <f t="shared" si="58"/>
        <v>0</v>
      </c>
      <c r="P153" s="1"/>
    </row>
    <row r="154" spans="1:17" x14ac:dyDescent="0.15">
      <c r="A154" s="14" t="s">
        <v>136</v>
      </c>
      <c r="B154" s="11"/>
      <c r="C154" s="12"/>
      <c r="D154" s="12"/>
      <c r="E154" s="12">
        <v>4</v>
      </c>
      <c r="F154" s="31">
        <v>3</v>
      </c>
      <c r="G154" s="7">
        <f t="shared" ref="G154" si="59">SUM(B154:F154)</f>
        <v>7</v>
      </c>
      <c r="H154" s="58">
        <v>42527</v>
      </c>
      <c r="I154" s="16"/>
      <c r="J154" s="8"/>
      <c r="K154" s="10"/>
      <c r="L154" s="10"/>
      <c r="M154" s="10"/>
      <c r="N154" s="30"/>
      <c r="O154" s="7">
        <f t="shared" si="58"/>
        <v>0</v>
      </c>
      <c r="P154" s="1"/>
    </row>
    <row r="155" spans="1:17" x14ac:dyDescent="0.15">
      <c r="A155" s="14" t="s">
        <v>148</v>
      </c>
      <c r="B155" s="8">
        <v>1</v>
      </c>
      <c r="C155" s="10">
        <v>1</v>
      </c>
      <c r="D155" s="10">
        <v>2</v>
      </c>
      <c r="E155" s="10">
        <v>2</v>
      </c>
      <c r="F155" s="30">
        <v>3</v>
      </c>
      <c r="G155" s="7">
        <f t="shared" si="57"/>
        <v>9</v>
      </c>
      <c r="H155" s="58">
        <v>42522</v>
      </c>
      <c r="I155" s="39"/>
      <c r="J155" s="8"/>
      <c r="K155" s="10"/>
      <c r="L155" s="10"/>
      <c r="M155" s="10"/>
      <c r="N155" s="30"/>
      <c r="O155" s="7">
        <f t="shared" si="58"/>
        <v>0</v>
      </c>
      <c r="P155" s="1"/>
      <c r="Q155" s="56"/>
    </row>
    <row r="156" spans="1:17" x14ac:dyDescent="0.15">
      <c r="A156" s="16" t="s">
        <v>22</v>
      </c>
      <c r="B156" s="8">
        <v>10</v>
      </c>
      <c r="C156" s="10"/>
      <c r="D156" s="10"/>
      <c r="E156" s="10">
        <v>20</v>
      </c>
      <c r="F156" s="30"/>
      <c r="G156" s="7">
        <f t="shared" si="57"/>
        <v>30</v>
      </c>
      <c r="H156" s="58">
        <v>42527</v>
      </c>
      <c r="I156" s="16"/>
      <c r="J156" s="8"/>
      <c r="K156" s="10"/>
      <c r="L156" s="10"/>
      <c r="M156" s="10"/>
      <c r="N156" s="30"/>
      <c r="O156" s="7">
        <f t="shared" si="58"/>
        <v>0</v>
      </c>
      <c r="P156" s="1"/>
      <c r="Q156" s="56"/>
    </row>
    <row r="157" spans="1:17" x14ac:dyDescent="0.15">
      <c r="A157" s="16" t="s">
        <v>162</v>
      </c>
      <c r="B157" s="8">
        <v>1</v>
      </c>
      <c r="C157" s="10"/>
      <c r="D157" s="10"/>
      <c r="E157" s="10"/>
      <c r="F157" s="30"/>
      <c r="G157" s="7">
        <f t="shared" si="57"/>
        <v>1</v>
      </c>
      <c r="H157" s="58">
        <v>42522</v>
      </c>
      <c r="I157" s="16"/>
      <c r="J157" s="8"/>
      <c r="K157" s="10"/>
      <c r="L157" s="10"/>
      <c r="M157" s="10"/>
      <c r="N157" s="30"/>
      <c r="O157" s="7">
        <f t="shared" si="58"/>
        <v>0</v>
      </c>
      <c r="P157" s="36"/>
      <c r="Q157" s="56"/>
    </row>
    <row r="158" spans="1:17" x14ac:dyDescent="0.15">
      <c r="A158" s="14" t="s">
        <v>25</v>
      </c>
      <c r="B158" s="8">
        <v>1</v>
      </c>
      <c r="C158" s="10">
        <v>1</v>
      </c>
      <c r="D158" s="10"/>
      <c r="E158" s="10"/>
      <c r="F158" s="30"/>
      <c r="G158" s="7">
        <f t="shared" si="57"/>
        <v>2</v>
      </c>
      <c r="H158" s="58">
        <v>42524</v>
      </c>
      <c r="I158" s="16"/>
      <c r="J158" s="8"/>
      <c r="K158" s="10"/>
      <c r="L158" s="10"/>
      <c r="M158" s="10"/>
      <c r="N158" s="30"/>
      <c r="O158" s="7">
        <f t="shared" si="58"/>
        <v>0</v>
      </c>
      <c r="P158" s="36"/>
      <c r="Q158" s="56"/>
    </row>
    <row r="159" spans="1:17" x14ac:dyDescent="0.15">
      <c r="A159" s="39" t="s">
        <v>156</v>
      </c>
      <c r="B159" s="8"/>
      <c r="C159" s="10">
        <v>1</v>
      </c>
      <c r="D159" s="10"/>
      <c r="E159" s="10"/>
      <c r="F159" s="30"/>
      <c r="G159" s="7">
        <f t="shared" si="57"/>
        <v>1</v>
      </c>
      <c r="H159" s="58">
        <v>42526</v>
      </c>
      <c r="I159" s="16"/>
      <c r="J159" s="8"/>
      <c r="K159" s="10"/>
      <c r="L159" s="10"/>
      <c r="M159" s="10"/>
      <c r="N159" s="30"/>
      <c r="O159" s="7">
        <f t="shared" si="58"/>
        <v>0</v>
      </c>
      <c r="P159" s="1"/>
      <c r="Q159" s="56"/>
    </row>
    <row r="160" spans="1:17" x14ac:dyDescent="0.15">
      <c r="A160" s="14" t="s">
        <v>158</v>
      </c>
      <c r="B160" s="8">
        <v>-1</v>
      </c>
      <c r="C160" s="10"/>
      <c r="D160" s="10"/>
      <c r="E160" s="10"/>
      <c r="F160" s="30"/>
      <c r="G160" s="7">
        <f t="shared" si="57"/>
        <v>-1</v>
      </c>
      <c r="H160" s="58">
        <v>42525</v>
      </c>
      <c r="I160" s="14"/>
      <c r="J160" s="8"/>
      <c r="K160" s="10"/>
      <c r="L160" s="10"/>
      <c r="M160" s="10"/>
      <c r="N160" s="30"/>
      <c r="O160" s="7">
        <f t="shared" si="58"/>
        <v>0</v>
      </c>
      <c r="P160" s="36"/>
      <c r="Q160" s="56"/>
    </row>
    <row r="161" spans="1:17" x14ac:dyDescent="0.15">
      <c r="A161" s="14" t="s">
        <v>161</v>
      </c>
      <c r="B161" s="8"/>
      <c r="C161" s="10"/>
      <c r="D161" s="10">
        <v>3</v>
      </c>
      <c r="E161" s="10"/>
      <c r="F161" s="30">
        <v>3</v>
      </c>
      <c r="G161" s="7">
        <f t="shared" si="57"/>
        <v>6</v>
      </c>
      <c r="H161" s="58">
        <v>42534</v>
      </c>
      <c r="I161" s="16"/>
      <c r="J161" s="8"/>
      <c r="K161" s="10"/>
      <c r="L161" s="10"/>
      <c r="M161" s="10"/>
      <c r="N161" s="30"/>
      <c r="O161" s="7">
        <f t="shared" si="58"/>
        <v>0</v>
      </c>
      <c r="P161" s="36"/>
      <c r="Q161" s="56"/>
    </row>
    <row r="162" spans="1:17" x14ac:dyDescent="0.15">
      <c r="A162" s="14" t="s">
        <v>170</v>
      </c>
      <c r="B162" s="8"/>
      <c r="C162" s="10"/>
      <c r="D162" s="10">
        <v>1</v>
      </c>
      <c r="E162" s="10"/>
      <c r="F162" s="30"/>
      <c r="G162" s="7">
        <f t="shared" si="57"/>
        <v>1</v>
      </c>
      <c r="H162" s="58">
        <v>42528</v>
      </c>
      <c r="I162" s="14"/>
      <c r="J162" s="8"/>
      <c r="K162" s="10"/>
      <c r="L162" s="10"/>
      <c r="M162" s="10"/>
      <c r="N162" s="30"/>
      <c r="O162" s="7">
        <f t="shared" si="58"/>
        <v>0</v>
      </c>
      <c r="P162" s="1"/>
      <c r="Q162" s="56"/>
    </row>
    <row r="163" spans="1:17" x14ac:dyDescent="0.15">
      <c r="A163" s="16" t="s">
        <v>164</v>
      </c>
      <c r="B163" s="8">
        <v>1</v>
      </c>
      <c r="C163" s="10"/>
      <c r="D163" s="10"/>
      <c r="E163" s="10"/>
      <c r="F163" s="30"/>
      <c r="G163" s="7">
        <f t="shared" si="57"/>
        <v>1</v>
      </c>
      <c r="H163" s="58">
        <v>42534</v>
      </c>
      <c r="I163" s="16"/>
      <c r="J163" s="11"/>
      <c r="K163" s="12"/>
      <c r="L163" s="12"/>
      <c r="M163" s="12"/>
      <c r="N163" s="31"/>
      <c r="O163" s="7">
        <f t="shared" si="58"/>
        <v>0</v>
      </c>
      <c r="P163" s="36"/>
      <c r="Q163" s="56"/>
    </row>
    <row r="164" spans="1:17" x14ac:dyDescent="0.15">
      <c r="A164" s="14" t="s">
        <v>165</v>
      </c>
      <c r="B164" s="8"/>
      <c r="C164" s="10"/>
      <c r="D164" s="10"/>
      <c r="E164" s="10">
        <v>1</v>
      </c>
      <c r="F164" s="30"/>
      <c r="G164" s="7">
        <f t="shared" si="57"/>
        <v>1</v>
      </c>
      <c r="H164" s="58">
        <v>42535</v>
      </c>
      <c r="I164" s="14"/>
      <c r="J164" s="8"/>
      <c r="K164" s="10"/>
      <c r="L164" s="10"/>
      <c r="M164" s="10"/>
      <c r="N164" s="30"/>
      <c r="O164" s="7">
        <f t="shared" si="58"/>
        <v>0</v>
      </c>
      <c r="P164" s="1"/>
      <c r="Q164" s="56"/>
    </row>
    <row r="165" spans="1:17" x14ac:dyDescent="0.15">
      <c r="A165" s="14" t="s">
        <v>167</v>
      </c>
      <c r="B165" s="11"/>
      <c r="C165" s="12">
        <v>1</v>
      </c>
      <c r="D165" s="12"/>
      <c r="E165" s="12"/>
      <c r="F165" s="31"/>
      <c r="G165" s="7">
        <f t="shared" si="57"/>
        <v>1</v>
      </c>
      <c r="H165" s="58">
        <v>42535</v>
      </c>
      <c r="I165" s="16"/>
      <c r="J165" s="11"/>
      <c r="K165" s="12"/>
      <c r="L165" s="12"/>
      <c r="M165" s="12"/>
      <c r="N165" s="31"/>
      <c r="O165" s="7">
        <f t="shared" si="58"/>
        <v>0</v>
      </c>
      <c r="P165" s="36"/>
      <c r="Q165" s="56"/>
    </row>
    <row r="166" spans="1:17" x14ac:dyDescent="0.15">
      <c r="A166" s="14" t="s">
        <v>168</v>
      </c>
      <c r="B166" s="8"/>
      <c r="C166" s="10"/>
      <c r="D166" s="10">
        <v>-1</v>
      </c>
      <c r="E166" s="10">
        <v>-1</v>
      </c>
      <c r="F166" s="30"/>
      <c r="G166" s="7">
        <f t="shared" si="57"/>
        <v>-2</v>
      </c>
      <c r="H166" s="58">
        <v>42534</v>
      </c>
      <c r="I166" s="14"/>
      <c r="J166" s="8"/>
      <c r="K166" s="10"/>
      <c r="L166" s="10"/>
      <c r="M166" s="10"/>
      <c r="N166" s="30"/>
      <c r="O166" s="7">
        <f t="shared" si="58"/>
        <v>0</v>
      </c>
      <c r="P166" s="1"/>
      <c r="Q166" s="56"/>
    </row>
    <row r="167" spans="1:17" x14ac:dyDescent="0.15">
      <c r="A167" s="14" t="s">
        <v>25</v>
      </c>
      <c r="B167" s="8"/>
      <c r="C167" s="10">
        <v>2</v>
      </c>
      <c r="D167" s="10"/>
      <c r="E167" s="10"/>
      <c r="F167" s="30"/>
      <c r="G167" s="7">
        <f t="shared" si="57"/>
        <v>2</v>
      </c>
      <c r="H167" s="58">
        <v>42536</v>
      </c>
      <c r="I167" s="16"/>
      <c r="J167" s="11"/>
      <c r="K167" s="12"/>
      <c r="L167" s="12"/>
      <c r="M167" s="12"/>
      <c r="N167" s="31"/>
      <c r="O167" s="7">
        <f t="shared" si="58"/>
        <v>0</v>
      </c>
      <c r="P167" s="1"/>
      <c r="Q167" s="56"/>
    </row>
    <row r="168" spans="1:17" x14ac:dyDescent="0.15">
      <c r="A168" s="14" t="s">
        <v>136</v>
      </c>
      <c r="B168" s="8"/>
      <c r="C168" s="10"/>
      <c r="D168" s="10">
        <v>3</v>
      </c>
      <c r="E168" s="10"/>
      <c r="F168" s="30"/>
      <c r="G168" s="7">
        <f t="shared" si="57"/>
        <v>3</v>
      </c>
      <c r="H168" s="58">
        <v>42544</v>
      </c>
      <c r="I168" s="14"/>
      <c r="J168" s="8"/>
      <c r="K168" s="10"/>
      <c r="L168" s="10"/>
      <c r="M168" s="10"/>
      <c r="N168" s="30"/>
      <c r="O168" s="7">
        <f t="shared" si="58"/>
        <v>0</v>
      </c>
      <c r="P168" s="1"/>
      <c r="Q168" s="56"/>
    </row>
    <row r="169" spans="1:17" ht="14.25" thickBot="1" x14ac:dyDescent="0.2">
      <c r="A169" s="14" t="s">
        <v>25</v>
      </c>
      <c r="B169" s="11"/>
      <c r="C169" s="12">
        <v>1</v>
      </c>
      <c r="D169" s="12"/>
      <c r="E169" s="12"/>
      <c r="F169" s="31"/>
      <c r="G169" s="7">
        <f t="shared" si="57"/>
        <v>1</v>
      </c>
      <c r="H169" s="58">
        <v>42538</v>
      </c>
      <c r="I169" s="20"/>
      <c r="J169" s="11"/>
      <c r="K169" s="12"/>
      <c r="L169" s="12"/>
      <c r="M169" s="12"/>
      <c r="N169" s="31"/>
      <c r="O169" s="7">
        <f t="shared" si="58"/>
        <v>0</v>
      </c>
      <c r="P169" s="36"/>
      <c r="Q169" s="56"/>
    </row>
    <row r="170" spans="1:17" ht="14.25" thickBot="1" x14ac:dyDescent="0.2">
      <c r="A170" s="3" t="s">
        <v>11</v>
      </c>
      <c r="B170" s="23">
        <f>SUM(B144:B169)</f>
        <v>15</v>
      </c>
      <c r="C170" s="4">
        <f>SUM(C144:C169)</f>
        <v>18</v>
      </c>
      <c r="D170" s="4">
        <f>SUM(D144:D169)</f>
        <v>10</v>
      </c>
      <c r="E170" s="6">
        <f>SUM(E144:E169)</f>
        <v>47</v>
      </c>
      <c r="F170" s="32">
        <f>SUM(F144:F169)</f>
        <v>12</v>
      </c>
      <c r="G170" s="5">
        <f>SUM(B170:F170)</f>
        <v>102</v>
      </c>
      <c r="H170" s="58"/>
      <c r="I170" s="3" t="s">
        <v>11</v>
      </c>
      <c r="J170" s="23">
        <f>SUM(J144:J169)</f>
        <v>10</v>
      </c>
      <c r="K170" s="4">
        <f>SUM(K144:K169)</f>
        <v>10</v>
      </c>
      <c r="L170" s="4">
        <f>SUM(L144:L169)</f>
        <v>0</v>
      </c>
      <c r="M170" s="6">
        <f>SUM(M144:M169)</f>
        <v>35</v>
      </c>
      <c r="N170" s="32">
        <f>SUM(N144:N169)</f>
        <v>10</v>
      </c>
      <c r="O170" s="5">
        <f>SUM(J170:N170)</f>
        <v>65</v>
      </c>
    </row>
    <row r="171" spans="1:17" ht="14.25" thickBot="1" x14ac:dyDescent="0.2">
      <c r="A171" s="25" t="s">
        <v>12</v>
      </c>
      <c r="B171" s="63">
        <f>B143-B170</f>
        <v>10</v>
      </c>
      <c r="C171" s="26">
        <f t="shared" ref="C171:G171" si="60">C143-C170</f>
        <v>17</v>
      </c>
      <c r="D171" s="71">
        <f t="shared" si="60"/>
        <v>13</v>
      </c>
      <c r="E171" s="26">
        <f t="shared" si="60"/>
        <v>13</v>
      </c>
      <c r="F171" s="70">
        <f t="shared" si="60"/>
        <v>16</v>
      </c>
      <c r="G171" s="27">
        <f t="shared" si="60"/>
        <v>69</v>
      </c>
      <c r="H171" s="58"/>
      <c r="I171" s="25" t="s">
        <v>12</v>
      </c>
      <c r="J171" s="63">
        <f>J143-J170</f>
        <v>232</v>
      </c>
      <c r="K171" s="26">
        <f t="shared" ref="K171:O171" si="61">K143-K170</f>
        <v>200</v>
      </c>
      <c r="L171" s="71">
        <f t="shared" si="61"/>
        <v>232</v>
      </c>
      <c r="M171" s="26">
        <f t="shared" si="61"/>
        <v>208</v>
      </c>
      <c r="N171" s="70">
        <f t="shared" si="61"/>
        <v>167</v>
      </c>
      <c r="O171" s="27">
        <f t="shared" si="61"/>
        <v>1039</v>
      </c>
    </row>
    <row r="172" spans="1:17" ht="17.25" x14ac:dyDescent="0.2">
      <c r="A172" s="79" t="s">
        <v>56</v>
      </c>
      <c r="B172" s="80"/>
      <c r="C172" s="80"/>
      <c r="D172" s="80"/>
      <c r="E172" s="80"/>
      <c r="F172" s="80"/>
      <c r="G172" s="80"/>
      <c r="H172" s="56"/>
      <c r="I172" s="79" t="s">
        <v>56</v>
      </c>
      <c r="J172" s="80"/>
      <c r="K172" s="80"/>
      <c r="L172" s="80"/>
      <c r="M172" s="80"/>
      <c r="N172" s="80"/>
      <c r="O172" s="1"/>
      <c r="P172" s="1"/>
    </row>
    <row r="173" spans="1:17" ht="21.75" thickBot="1" x14ac:dyDescent="0.25">
      <c r="A173" s="82" t="s">
        <v>55</v>
      </c>
      <c r="B173" s="80"/>
      <c r="C173" s="80"/>
      <c r="D173" s="80"/>
      <c r="E173" s="81" t="s">
        <v>53</v>
      </c>
      <c r="F173" s="80"/>
      <c r="G173" s="80"/>
      <c r="H173" s="58"/>
      <c r="I173" s="82" t="s">
        <v>55</v>
      </c>
      <c r="J173" s="80"/>
      <c r="K173" s="80"/>
      <c r="L173" s="80"/>
      <c r="M173" s="81" t="s">
        <v>54</v>
      </c>
      <c r="N173" s="80"/>
      <c r="O173" s="1"/>
      <c r="P173" s="1"/>
    </row>
    <row r="174" spans="1:17" ht="14.25" thickBot="1" x14ac:dyDescent="0.2">
      <c r="A174" s="13" t="s">
        <v>0</v>
      </c>
      <c r="B174" s="228" t="s">
        <v>57</v>
      </c>
      <c r="C174" s="229"/>
      <c r="D174" s="229"/>
      <c r="E174" s="229"/>
      <c r="F174" s="230"/>
      <c r="G174" s="231"/>
      <c r="H174" s="58"/>
      <c r="I174" s="13" t="s">
        <v>0</v>
      </c>
      <c r="J174" s="232" t="s">
        <v>57</v>
      </c>
      <c r="K174" s="233"/>
      <c r="L174" s="233"/>
      <c r="M174" s="233"/>
      <c r="N174" s="233"/>
      <c r="O174" s="234"/>
      <c r="P174" s="1"/>
    </row>
    <row r="175" spans="1:17" ht="14.25" thickBot="1" x14ac:dyDescent="0.2">
      <c r="A175" s="3" t="s">
        <v>1</v>
      </c>
      <c r="B175" s="2" t="s">
        <v>42</v>
      </c>
      <c r="C175" s="21" t="s">
        <v>43</v>
      </c>
      <c r="D175" s="21" t="s">
        <v>44</v>
      </c>
      <c r="E175" s="24" t="s">
        <v>45</v>
      </c>
      <c r="F175" s="33" t="s">
        <v>46</v>
      </c>
      <c r="G175" s="3" t="s">
        <v>2</v>
      </c>
      <c r="H175" s="58"/>
      <c r="I175" s="3" t="s">
        <v>1</v>
      </c>
      <c r="J175" s="2" t="s">
        <v>42</v>
      </c>
      <c r="K175" s="21" t="s">
        <v>43</v>
      </c>
      <c r="L175" s="21" t="s">
        <v>44</v>
      </c>
      <c r="M175" s="24" t="s">
        <v>45</v>
      </c>
      <c r="N175" s="33" t="s">
        <v>46</v>
      </c>
      <c r="O175" s="3" t="s">
        <v>2</v>
      </c>
      <c r="P175" s="1"/>
    </row>
    <row r="176" spans="1:17" ht="14.25" thickBot="1" x14ac:dyDescent="0.2">
      <c r="A176" s="72" t="s">
        <v>79</v>
      </c>
      <c r="B176" s="73">
        <f>B171</f>
        <v>10</v>
      </c>
      <c r="C176" s="74">
        <f t="shared" ref="C176:F176" si="62">C171</f>
        <v>17</v>
      </c>
      <c r="D176" s="107">
        <f t="shared" si="62"/>
        <v>13</v>
      </c>
      <c r="E176" s="75">
        <f t="shared" si="62"/>
        <v>13</v>
      </c>
      <c r="F176" s="75">
        <f t="shared" si="62"/>
        <v>16</v>
      </c>
      <c r="G176" s="76">
        <f t="shared" ref="G176:G185" si="63">SUM(B176:F176)</f>
        <v>69</v>
      </c>
      <c r="H176" s="58"/>
      <c r="I176" s="72" t="s">
        <v>79</v>
      </c>
      <c r="J176" s="73">
        <f>J171</f>
        <v>232</v>
      </c>
      <c r="K176" s="74">
        <f t="shared" ref="K176:N176" si="64">K171</f>
        <v>200</v>
      </c>
      <c r="L176" s="107">
        <f t="shared" si="64"/>
        <v>232</v>
      </c>
      <c r="M176" s="75">
        <f t="shared" si="64"/>
        <v>208</v>
      </c>
      <c r="N176" s="75">
        <f t="shared" si="64"/>
        <v>167</v>
      </c>
      <c r="O176" s="76">
        <f t="shared" ref="O176:O185" si="65">SUM(J176:N176)</f>
        <v>1039</v>
      </c>
      <c r="P176" s="1"/>
    </row>
    <row r="177" spans="1:17" x14ac:dyDescent="0.15">
      <c r="A177" s="38" t="s">
        <v>17</v>
      </c>
      <c r="B177" s="37"/>
      <c r="C177" s="35">
        <v>1</v>
      </c>
      <c r="D177" s="35"/>
      <c r="E177" s="35"/>
      <c r="F177" s="28">
        <v>1</v>
      </c>
      <c r="G177" s="7">
        <f t="shared" si="63"/>
        <v>2</v>
      </c>
      <c r="H177" s="58">
        <v>42539</v>
      </c>
      <c r="I177" s="38" t="s">
        <v>15</v>
      </c>
      <c r="J177" s="37"/>
      <c r="K177" s="35"/>
      <c r="L177" s="35"/>
      <c r="M177" s="35"/>
      <c r="N177" s="28"/>
      <c r="O177" s="7">
        <f t="shared" si="65"/>
        <v>0</v>
      </c>
      <c r="P177" s="1"/>
      <c r="Q177" s="56"/>
    </row>
    <row r="178" spans="1:17" x14ac:dyDescent="0.15">
      <c r="A178" s="38" t="s">
        <v>111</v>
      </c>
      <c r="B178" s="8"/>
      <c r="C178" s="10"/>
      <c r="D178" s="10"/>
      <c r="E178" s="10"/>
      <c r="F178" s="28">
        <v>1</v>
      </c>
      <c r="G178" s="9">
        <f t="shared" si="63"/>
        <v>1</v>
      </c>
      <c r="H178" s="36">
        <v>42546</v>
      </c>
      <c r="I178" s="15" t="s">
        <v>3</v>
      </c>
      <c r="J178" s="8"/>
      <c r="K178" s="10"/>
      <c r="L178" s="10"/>
      <c r="M178" s="10"/>
      <c r="N178" s="28"/>
      <c r="O178" s="9">
        <f t="shared" si="65"/>
        <v>0</v>
      </c>
      <c r="P178" s="36"/>
      <c r="Q178" s="56"/>
    </row>
    <row r="179" spans="1:17" x14ac:dyDescent="0.15">
      <c r="A179" s="38" t="s">
        <v>18</v>
      </c>
      <c r="B179" s="8">
        <v>10</v>
      </c>
      <c r="C179" s="10">
        <v>5</v>
      </c>
      <c r="D179" s="10">
        <v>10</v>
      </c>
      <c r="E179" s="10">
        <v>20</v>
      </c>
      <c r="F179" s="28"/>
      <c r="G179" s="9">
        <f t="shared" si="63"/>
        <v>45</v>
      </c>
      <c r="H179" s="58">
        <v>42549</v>
      </c>
      <c r="I179" s="15" t="s">
        <v>18</v>
      </c>
      <c r="J179" s="8"/>
      <c r="K179" s="10"/>
      <c r="L179" s="10"/>
      <c r="M179" s="10"/>
      <c r="N179" s="28"/>
      <c r="O179" s="9">
        <f t="shared" si="65"/>
        <v>0</v>
      </c>
      <c r="P179" s="1"/>
    </row>
    <row r="180" spans="1:17" x14ac:dyDescent="0.15">
      <c r="A180" s="38" t="s">
        <v>17</v>
      </c>
      <c r="B180" s="8"/>
      <c r="C180" s="10"/>
      <c r="D180" s="10"/>
      <c r="E180" s="10">
        <v>1</v>
      </c>
      <c r="F180" s="28"/>
      <c r="G180" s="9">
        <f t="shared" si="63"/>
        <v>1</v>
      </c>
      <c r="H180" s="58">
        <v>42550</v>
      </c>
      <c r="I180" s="15" t="s">
        <v>20</v>
      </c>
      <c r="J180" s="8"/>
      <c r="K180" s="10"/>
      <c r="L180" s="10"/>
      <c r="M180" s="10"/>
      <c r="N180" s="28"/>
      <c r="O180" s="9">
        <f t="shared" si="65"/>
        <v>0</v>
      </c>
      <c r="P180" s="1"/>
    </row>
    <row r="181" spans="1:17" x14ac:dyDescent="0.15">
      <c r="A181" s="38" t="s">
        <v>80</v>
      </c>
      <c r="B181" s="8"/>
      <c r="C181" s="10"/>
      <c r="D181" s="10"/>
      <c r="E181" s="10"/>
      <c r="F181" s="28">
        <v>10</v>
      </c>
      <c r="G181" s="9">
        <f t="shared" si="63"/>
        <v>10</v>
      </c>
      <c r="H181" s="58">
        <v>42553</v>
      </c>
      <c r="I181" s="15" t="s">
        <v>80</v>
      </c>
      <c r="J181" s="8"/>
      <c r="K181" s="10"/>
      <c r="L181" s="10"/>
      <c r="M181" s="10"/>
      <c r="N181" s="28"/>
      <c r="O181" s="9">
        <f t="shared" si="65"/>
        <v>0</v>
      </c>
      <c r="P181" s="1"/>
    </row>
    <row r="182" spans="1:17" x14ac:dyDescent="0.15">
      <c r="A182" s="38" t="s">
        <v>17</v>
      </c>
      <c r="B182" s="8">
        <v>2</v>
      </c>
      <c r="C182" s="10"/>
      <c r="D182" s="10"/>
      <c r="E182" s="10"/>
      <c r="F182" s="28"/>
      <c r="G182" s="9">
        <f t="shared" si="63"/>
        <v>2</v>
      </c>
      <c r="H182" s="58">
        <v>42556</v>
      </c>
      <c r="I182" s="15" t="s">
        <v>81</v>
      </c>
      <c r="J182" s="8"/>
      <c r="K182" s="10"/>
      <c r="L182" s="10"/>
      <c r="M182" s="10"/>
      <c r="N182" s="28"/>
      <c r="O182" s="9">
        <f t="shared" si="65"/>
        <v>0</v>
      </c>
      <c r="P182" s="36"/>
    </row>
    <row r="183" spans="1:17" x14ac:dyDescent="0.15">
      <c r="A183" s="38" t="s">
        <v>82</v>
      </c>
      <c r="B183" s="8"/>
      <c r="C183" s="10">
        <v>20</v>
      </c>
      <c r="D183" s="10"/>
      <c r="E183" s="10"/>
      <c r="F183" s="30"/>
      <c r="G183" s="7">
        <f t="shared" si="63"/>
        <v>20</v>
      </c>
      <c r="H183" s="58">
        <v>42558</v>
      </c>
      <c r="I183" s="15" t="s">
        <v>82</v>
      </c>
      <c r="J183" s="8"/>
      <c r="K183" s="10"/>
      <c r="L183" s="10"/>
      <c r="M183" s="10"/>
      <c r="N183" s="28"/>
      <c r="O183" s="9">
        <f t="shared" si="65"/>
        <v>0</v>
      </c>
      <c r="P183" s="1"/>
    </row>
    <row r="184" spans="1:17" x14ac:dyDescent="0.15">
      <c r="A184" s="38" t="s">
        <v>19</v>
      </c>
      <c r="B184" s="11"/>
      <c r="C184" s="100"/>
      <c r="D184" s="100"/>
      <c r="E184" s="100">
        <v>1</v>
      </c>
      <c r="F184" s="101"/>
      <c r="G184" s="102">
        <f t="shared" si="63"/>
        <v>1</v>
      </c>
      <c r="H184" s="58">
        <v>42555</v>
      </c>
      <c r="I184" s="15" t="s">
        <v>83</v>
      </c>
      <c r="J184" s="8"/>
      <c r="K184" s="10"/>
      <c r="L184" s="10"/>
      <c r="M184" s="10"/>
      <c r="N184" s="30"/>
      <c r="O184" s="7">
        <f t="shared" si="65"/>
        <v>0</v>
      </c>
      <c r="P184" s="1"/>
    </row>
    <row r="185" spans="1:17" ht="14.25" thickBot="1" x14ac:dyDescent="0.2">
      <c r="A185" s="38" t="s">
        <v>17</v>
      </c>
      <c r="B185" s="11"/>
      <c r="C185" s="100">
        <v>1</v>
      </c>
      <c r="D185" s="100"/>
      <c r="E185" s="100"/>
      <c r="F185" s="101"/>
      <c r="G185" s="102">
        <f t="shared" si="63"/>
        <v>1</v>
      </c>
      <c r="H185" s="58">
        <v>42557</v>
      </c>
      <c r="I185" s="15" t="s">
        <v>87</v>
      </c>
      <c r="J185" s="11"/>
      <c r="K185" s="100"/>
      <c r="L185" s="100"/>
      <c r="M185" s="100"/>
      <c r="N185" s="101"/>
      <c r="O185" s="102">
        <f t="shared" si="65"/>
        <v>0</v>
      </c>
      <c r="P185" s="1"/>
    </row>
    <row r="186" spans="1:17" ht="14.25" thickBot="1" x14ac:dyDescent="0.2">
      <c r="A186" s="72" t="s">
        <v>7</v>
      </c>
      <c r="B186" s="73">
        <f>SUM(B176:B185)</f>
        <v>22</v>
      </c>
      <c r="C186" s="74">
        <f t="shared" ref="C186:G186" si="66">SUM(C176:C185)</f>
        <v>44</v>
      </c>
      <c r="D186" s="74">
        <f t="shared" si="66"/>
        <v>23</v>
      </c>
      <c r="E186" s="74">
        <f t="shared" si="66"/>
        <v>35</v>
      </c>
      <c r="F186" s="105">
        <f t="shared" si="66"/>
        <v>28</v>
      </c>
      <c r="G186" s="76">
        <f t="shared" si="66"/>
        <v>152</v>
      </c>
      <c r="H186" s="58"/>
      <c r="I186" s="72" t="s">
        <v>7</v>
      </c>
      <c r="J186" s="73">
        <f>SUM(J176:J185)</f>
        <v>232</v>
      </c>
      <c r="K186" s="74">
        <f t="shared" ref="K186:O186" si="67">SUM(K176:K185)</f>
        <v>200</v>
      </c>
      <c r="L186" s="74">
        <f t="shared" si="67"/>
        <v>232</v>
      </c>
      <c r="M186" s="74">
        <f t="shared" si="67"/>
        <v>208</v>
      </c>
      <c r="N186" s="105">
        <f t="shared" si="67"/>
        <v>167</v>
      </c>
      <c r="O186" s="76">
        <f t="shared" si="67"/>
        <v>1039</v>
      </c>
      <c r="P186" s="1"/>
    </row>
    <row r="187" spans="1:17" x14ac:dyDescent="0.15">
      <c r="A187" s="14" t="s">
        <v>136</v>
      </c>
      <c r="B187" s="37"/>
      <c r="C187" s="35"/>
      <c r="D187" s="35"/>
      <c r="E187" s="35">
        <v>4</v>
      </c>
      <c r="F187" s="28"/>
      <c r="G187" s="18">
        <f t="shared" ref="G187:G212" si="68">SUM(B187:F187)</f>
        <v>4</v>
      </c>
      <c r="H187" s="58">
        <v>42544</v>
      </c>
      <c r="I187" s="16" t="s">
        <v>37</v>
      </c>
      <c r="J187" s="17">
        <v>10</v>
      </c>
      <c r="K187" s="22">
        <v>5</v>
      </c>
      <c r="L187" s="22">
        <v>10</v>
      </c>
      <c r="M187" s="22">
        <v>20</v>
      </c>
      <c r="N187" s="29"/>
      <c r="O187" s="18">
        <f t="shared" ref="O187:O212" si="69">SUM(J187:N187)</f>
        <v>45</v>
      </c>
      <c r="P187" s="36">
        <v>42549</v>
      </c>
    </row>
    <row r="188" spans="1:17" x14ac:dyDescent="0.15">
      <c r="A188" s="20" t="s">
        <v>38</v>
      </c>
      <c r="B188" s="8"/>
      <c r="C188" s="10">
        <v>1</v>
      </c>
      <c r="D188" s="10"/>
      <c r="E188" s="10"/>
      <c r="F188" s="30"/>
      <c r="G188" s="7">
        <f t="shared" si="68"/>
        <v>1</v>
      </c>
      <c r="H188" s="58">
        <v>42541</v>
      </c>
      <c r="I188" s="16" t="s">
        <v>37</v>
      </c>
      <c r="J188" s="8"/>
      <c r="K188" s="10"/>
      <c r="L188" s="10"/>
      <c r="M188" s="10"/>
      <c r="N188" s="30">
        <v>10</v>
      </c>
      <c r="O188" s="7">
        <f t="shared" si="69"/>
        <v>10</v>
      </c>
      <c r="P188" s="36">
        <v>42553</v>
      </c>
    </row>
    <row r="189" spans="1:17" x14ac:dyDescent="0.15">
      <c r="A189" s="14" t="s">
        <v>180</v>
      </c>
      <c r="B189" s="8"/>
      <c r="C189" s="10"/>
      <c r="D189" s="10"/>
      <c r="E189" s="10">
        <v>1</v>
      </c>
      <c r="F189" s="30"/>
      <c r="G189" s="7">
        <f t="shared" si="68"/>
        <v>1</v>
      </c>
      <c r="H189" s="58">
        <v>42537</v>
      </c>
      <c r="I189" s="16" t="s">
        <v>37</v>
      </c>
      <c r="J189" s="8"/>
      <c r="K189" s="10">
        <v>20</v>
      </c>
      <c r="L189" s="10"/>
      <c r="M189" s="10"/>
      <c r="N189" s="30"/>
      <c r="O189" s="7">
        <f t="shared" si="69"/>
        <v>20</v>
      </c>
      <c r="P189" s="36">
        <v>42558</v>
      </c>
    </row>
    <row r="190" spans="1:17" x14ac:dyDescent="0.15">
      <c r="A190" s="16" t="s">
        <v>172</v>
      </c>
      <c r="B190" s="8">
        <v>2</v>
      </c>
      <c r="C190" s="10">
        <v>1</v>
      </c>
      <c r="D190" s="10"/>
      <c r="E190" s="10">
        <v>1</v>
      </c>
      <c r="F190" s="30">
        <v>1</v>
      </c>
      <c r="G190" s="7">
        <f t="shared" si="68"/>
        <v>5</v>
      </c>
      <c r="H190" s="58">
        <v>42541</v>
      </c>
      <c r="I190" s="16"/>
      <c r="J190" s="8"/>
      <c r="K190" s="10"/>
      <c r="L190" s="10"/>
      <c r="M190" s="10"/>
      <c r="N190" s="30"/>
      <c r="O190" s="7">
        <f t="shared" si="69"/>
        <v>0</v>
      </c>
      <c r="P190" s="1"/>
    </row>
    <row r="191" spans="1:17" x14ac:dyDescent="0.15">
      <c r="A191" s="16" t="s">
        <v>173</v>
      </c>
      <c r="B191" s="8"/>
      <c r="C191" s="10">
        <v>1</v>
      </c>
      <c r="D191" s="10"/>
      <c r="E191" s="10"/>
      <c r="F191" s="30"/>
      <c r="G191" s="7">
        <f t="shared" si="68"/>
        <v>1</v>
      </c>
      <c r="H191" s="58">
        <v>42541</v>
      </c>
      <c r="I191" s="16"/>
      <c r="J191" s="8"/>
      <c r="K191" s="10"/>
      <c r="L191" s="10"/>
      <c r="M191" s="10"/>
      <c r="N191" s="30"/>
      <c r="O191" s="7">
        <f t="shared" si="69"/>
        <v>0</v>
      </c>
      <c r="P191" s="1"/>
    </row>
    <row r="192" spans="1:17" x14ac:dyDescent="0.15">
      <c r="A192" s="14" t="s">
        <v>25</v>
      </c>
      <c r="B192" s="8"/>
      <c r="C192" s="10"/>
      <c r="D192" s="10"/>
      <c r="E192" s="10"/>
      <c r="F192" s="30">
        <v>1</v>
      </c>
      <c r="G192" s="7">
        <f t="shared" si="68"/>
        <v>1</v>
      </c>
      <c r="H192" s="58">
        <v>42542</v>
      </c>
      <c r="I192" s="16"/>
      <c r="J192" s="8"/>
      <c r="K192" s="10"/>
      <c r="L192" s="10"/>
      <c r="M192" s="10"/>
      <c r="N192" s="30"/>
      <c r="O192" s="7">
        <f t="shared" si="69"/>
        <v>0</v>
      </c>
      <c r="P192" s="1"/>
    </row>
    <row r="193" spans="1:17" x14ac:dyDescent="0.15">
      <c r="A193" s="16" t="s">
        <v>173</v>
      </c>
      <c r="B193" s="8"/>
      <c r="C193" s="10"/>
      <c r="D193" s="10">
        <v>1</v>
      </c>
      <c r="E193" s="10"/>
      <c r="F193" s="30"/>
      <c r="G193" s="7">
        <f t="shared" si="68"/>
        <v>1</v>
      </c>
      <c r="H193" s="58">
        <v>42542</v>
      </c>
      <c r="I193" s="16"/>
      <c r="J193" s="8"/>
      <c r="K193" s="10"/>
      <c r="L193" s="10"/>
      <c r="M193" s="10"/>
      <c r="N193" s="30"/>
      <c r="O193" s="7">
        <f t="shared" si="69"/>
        <v>0</v>
      </c>
      <c r="P193" s="1"/>
    </row>
    <row r="194" spans="1:17" x14ac:dyDescent="0.15">
      <c r="A194" s="16" t="s">
        <v>126</v>
      </c>
      <c r="B194" s="8"/>
      <c r="C194" s="10"/>
      <c r="D194" s="10">
        <v>5</v>
      </c>
      <c r="E194" s="10"/>
      <c r="F194" s="30"/>
      <c r="G194" s="7">
        <f t="shared" si="68"/>
        <v>5</v>
      </c>
      <c r="H194" s="58">
        <v>42548</v>
      </c>
      <c r="I194" s="16"/>
      <c r="J194" s="8"/>
      <c r="K194" s="10"/>
      <c r="L194" s="10"/>
      <c r="M194" s="10"/>
      <c r="N194" s="30"/>
      <c r="O194" s="7">
        <f t="shared" si="69"/>
        <v>0</v>
      </c>
      <c r="P194" s="1"/>
    </row>
    <row r="195" spans="1:17" x14ac:dyDescent="0.15">
      <c r="A195" s="14" t="s">
        <v>177</v>
      </c>
      <c r="B195" s="8"/>
      <c r="C195" s="10">
        <v>1</v>
      </c>
      <c r="D195" s="10"/>
      <c r="E195" s="10"/>
      <c r="F195" s="30">
        <v>1</v>
      </c>
      <c r="G195" s="7">
        <f t="shared" si="68"/>
        <v>2</v>
      </c>
      <c r="H195" s="58">
        <v>42544</v>
      </c>
      <c r="I195" s="39"/>
      <c r="J195" s="8"/>
      <c r="K195" s="10"/>
      <c r="L195" s="10"/>
      <c r="M195" s="10"/>
      <c r="N195" s="30"/>
      <c r="O195" s="7">
        <f t="shared" si="69"/>
        <v>0</v>
      </c>
      <c r="P195" s="1"/>
    </row>
    <row r="196" spans="1:17" x14ac:dyDescent="0.15">
      <c r="A196" s="20" t="s">
        <v>178</v>
      </c>
      <c r="B196" s="11"/>
      <c r="C196" s="12"/>
      <c r="D196" s="12"/>
      <c r="E196" s="12">
        <v>5</v>
      </c>
      <c r="F196" s="31"/>
      <c r="G196" s="7">
        <f t="shared" si="68"/>
        <v>5</v>
      </c>
      <c r="H196" s="58">
        <v>42549</v>
      </c>
      <c r="I196" s="16"/>
      <c r="J196" s="11"/>
      <c r="K196" s="12"/>
      <c r="L196" s="12"/>
      <c r="M196" s="12"/>
      <c r="N196" s="31"/>
      <c r="O196" s="7">
        <f t="shared" si="69"/>
        <v>0</v>
      </c>
      <c r="P196" s="1"/>
      <c r="Q196" s="56"/>
    </row>
    <row r="197" spans="1:17" x14ac:dyDescent="0.15">
      <c r="A197" s="14" t="s">
        <v>181</v>
      </c>
      <c r="B197" s="11"/>
      <c r="C197" s="12"/>
      <c r="D197" s="12"/>
      <c r="E197" s="12">
        <v>1</v>
      </c>
      <c r="F197" s="31"/>
      <c r="G197" s="7">
        <f t="shared" si="68"/>
        <v>1</v>
      </c>
      <c r="H197" s="58">
        <v>42543</v>
      </c>
      <c r="I197" s="16"/>
      <c r="J197" s="8"/>
      <c r="K197" s="10"/>
      <c r="L197" s="10"/>
      <c r="M197" s="10"/>
      <c r="N197" s="30"/>
      <c r="O197" s="7">
        <f t="shared" si="69"/>
        <v>0</v>
      </c>
      <c r="P197" s="1"/>
    </row>
    <row r="198" spans="1:17" x14ac:dyDescent="0.15">
      <c r="A198" s="14" t="s">
        <v>25</v>
      </c>
      <c r="B198" s="8"/>
      <c r="C198" s="10">
        <v>1</v>
      </c>
      <c r="D198" s="10"/>
      <c r="E198" s="10"/>
      <c r="F198" s="30"/>
      <c r="G198" s="7">
        <f t="shared" si="68"/>
        <v>1</v>
      </c>
      <c r="H198" s="58">
        <v>42546</v>
      </c>
      <c r="I198" s="39"/>
      <c r="J198" s="8"/>
      <c r="K198" s="10"/>
      <c r="L198" s="10"/>
      <c r="M198" s="10"/>
      <c r="N198" s="30"/>
      <c r="O198" s="7">
        <f t="shared" si="69"/>
        <v>0</v>
      </c>
      <c r="P198" s="1"/>
    </row>
    <row r="199" spans="1:17" x14ac:dyDescent="0.15">
      <c r="A199" s="16" t="s">
        <v>185</v>
      </c>
      <c r="B199" s="8"/>
      <c r="C199" s="10"/>
      <c r="D199" s="10">
        <v>1</v>
      </c>
      <c r="E199" s="10"/>
      <c r="F199" s="30"/>
      <c r="G199" s="7">
        <f t="shared" si="68"/>
        <v>1</v>
      </c>
      <c r="H199" s="58">
        <v>42546</v>
      </c>
      <c r="I199" s="16"/>
      <c r="J199" s="8"/>
      <c r="K199" s="10"/>
      <c r="L199" s="10"/>
      <c r="M199" s="10"/>
      <c r="N199" s="30"/>
      <c r="O199" s="7">
        <f t="shared" si="69"/>
        <v>0</v>
      </c>
      <c r="P199" s="1"/>
    </row>
    <row r="200" spans="1:17" x14ac:dyDescent="0.15">
      <c r="A200" s="14" t="s">
        <v>136</v>
      </c>
      <c r="B200" s="8"/>
      <c r="C200" s="10"/>
      <c r="D200" s="10"/>
      <c r="E200" s="10">
        <v>5</v>
      </c>
      <c r="F200" s="30"/>
      <c r="G200" s="7">
        <f t="shared" si="68"/>
        <v>5</v>
      </c>
      <c r="H200" s="58">
        <v>42555</v>
      </c>
      <c r="I200" s="16"/>
      <c r="J200" s="8"/>
      <c r="K200" s="10"/>
      <c r="L200" s="10"/>
      <c r="M200" s="10"/>
      <c r="N200" s="30"/>
      <c r="O200" s="7">
        <f t="shared" si="69"/>
        <v>0</v>
      </c>
      <c r="P200" s="36"/>
    </row>
    <row r="201" spans="1:17" x14ac:dyDescent="0.15">
      <c r="A201" s="14" t="s">
        <v>188</v>
      </c>
      <c r="B201" s="8"/>
      <c r="C201" s="10">
        <v>1</v>
      </c>
      <c r="D201" s="10"/>
      <c r="E201" s="10"/>
      <c r="F201" s="30"/>
      <c r="G201" s="7">
        <f t="shared" si="68"/>
        <v>1</v>
      </c>
      <c r="H201" s="58">
        <v>42548</v>
      </c>
      <c r="I201" s="16"/>
      <c r="J201" s="8"/>
      <c r="K201" s="10"/>
      <c r="L201" s="10"/>
      <c r="M201" s="10"/>
      <c r="N201" s="30"/>
      <c r="O201" s="7">
        <f t="shared" si="69"/>
        <v>0</v>
      </c>
      <c r="P201" s="36"/>
    </row>
    <row r="202" spans="1:17" x14ac:dyDescent="0.15">
      <c r="A202" s="16" t="s">
        <v>22</v>
      </c>
      <c r="B202" s="8"/>
      <c r="C202" s="10"/>
      <c r="D202" s="10"/>
      <c r="E202" s="10"/>
      <c r="F202" s="30">
        <v>10</v>
      </c>
      <c r="G202" s="7">
        <f t="shared" si="68"/>
        <v>10</v>
      </c>
      <c r="H202" s="58">
        <v>42555</v>
      </c>
      <c r="I202" s="16"/>
      <c r="J202" s="8"/>
      <c r="K202" s="10"/>
      <c r="L202" s="10"/>
      <c r="M202" s="10"/>
      <c r="N202" s="30"/>
      <c r="O202" s="7">
        <f t="shared" si="69"/>
        <v>0</v>
      </c>
      <c r="P202" s="1"/>
    </row>
    <row r="203" spans="1:17" x14ac:dyDescent="0.15">
      <c r="A203" s="14" t="s">
        <v>190</v>
      </c>
      <c r="B203" s="8"/>
      <c r="C203" s="10">
        <v>1</v>
      </c>
      <c r="D203" s="10"/>
      <c r="E203" s="10"/>
      <c r="F203" s="30"/>
      <c r="G203" s="7">
        <f t="shared" si="68"/>
        <v>1</v>
      </c>
      <c r="H203" s="58">
        <v>42550</v>
      </c>
      <c r="I203" s="14"/>
      <c r="J203" s="8"/>
      <c r="K203" s="10"/>
      <c r="L203" s="10"/>
      <c r="M203" s="10"/>
      <c r="N203" s="30"/>
      <c r="O203" s="7">
        <f t="shared" si="69"/>
        <v>0</v>
      </c>
      <c r="P203" s="36"/>
    </row>
    <row r="204" spans="1:17" x14ac:dyDescent="0.15">
      <c r="A204" s="16" t="s">
        <v>117</v>
      </c>
      <c r="B204" s="8"/>
      <c r="C204" s="10"/>
      <c r="D204" s="10"/>
      <c r="E204" s="10">
        <v>1</v>
      </c>
      <c r="F204" s="30"/>
      <c r="G204" s="7">
        <f t="shared" si="68"/>
        <v>1</v>
      </c>
      <c r="H204" s="58">
        <v>42555</v>
      </c>
      <c r="I204" s="16"/>
      <c r="J204" s="8"/>
      <c r="K204" s="10"/>
      <c r="L204" s="10"/>
      <c r="M204" s="10"/>
      <c r="N204" s="30"/>
      <c r="O204" s="7">
        <f t="shared" si="69"/>
        <v>0</v>
      </c>
      <c r="P204" s="36"/>
    </row>
    <row r="205" spans="1:17" x14ac:dyDescent="0.15">
      <c r="A205" s="14" t="s">
        <v>136</v>
      </c>
      <c r="B205" s="8"/>
      <c r="C205" s="10"/>
      <c r="D205" s="10">
        <v>5</v>
      </c>
      <c r="E205" s="10"/>
      <c r="F205" s="30"/>
      <c r="G205" s="7">
        <f t="shared" si="68"/>
        <v>5</v>
      </c>
      <c r="H205" s="58">
        <v>42558</v>
      </c>
      <c r="I205" s="14"/>
      <c r="J205" s="8"/>
      <c r="K205" s="10"/>
      <c r="L205" s="10"/>
      <c r="M205" s="10"/>
      <c r="N205" s="30"/>
      <c r="O205" s="7">
        <f t="shared" si="69"/>
        <v>0</v>
      </c>
      <c r="P205" s="1"/>
    </row>
    <row r="206" spans="1:17" x14ac:dyDescent="0.15">
      <c r="A206" s="14" t="s">
        <v>136</v>
      </c>
      <c r="B206" s="8"/>
      <c r="C206" s="10">
        <v>5</v>
      </c>
      <c r="D206" s="10"/>
      <c r="E206" s="10"/>
      <c r="F206" s="30"/>
      <c r="G206" s="7">
        <f t="shared" ref="G206:G207" si="70">SUM(B206:F206)</f>
        <v>5</v>
      </c>
      <c r="H206" s="58">
        <v>42559</v>
      </c>
      <c r="I206" s="16"/>
      <c r="J206" s="11"/>
      <c r="K206" s="12"/>
      <c r="L206" s="12"/>
      <c r="M206" s="12"/>
      <c r="N206" s="31"/>
      <c r="O206" s="7">
        <f t="shared" si="69"/>
        <v>0</v>
      </c>
      <c r="P206" s="36"/>
    </row>
    <row r="207" spans="1:17" x14ac:dyDescent="0.15">
      <c r="A207" s="16" t="s">
        <v>22</v>
      </c>
      <c r="B207" s="8"/>
      <c r="C207" s="10">
        <v>10</v>
      </c>
      <c r="D207" s="10"/>
      <c r="E207" s="10"/>
      <c r="F207" s="30"/>
      <c r="G207" s="7">
        <f t="shared" si="70"/>
        <v>10</v>
      </c>
      <c r="H207" s="58">
        <v>42562</v>
      </c>
      <c r="I207" s="14"/>
      <c r="J207" s="8"/>
      <c r="K207" s="10"/>
      <c r="L207" s="10"/>
      <c r="M207" s="10"/>
      <c r="N207" s="30"/>
      <c r="O207" s="7">
        <f t="shared" si="69"/>
        <v>0</v>
      </c>
      <c r="P207" s="1"/>
    </row>
    <row r="208" spans="1:17" x14ac:dyDescent="0.15">
      <c r="A208" s="14" t="s">
        <v>194</v>
      </c>
      <c r="B208" s="11"/>
      <c r="C208" s="12">
        <v>1</v>
      </c>
      <c r="D208" s="12"/>
      <c r="E208" s="12"/>
      <c r="F208" s="31"/>
      <c r="G208" s="7">
        <f t="shared" si="68"/>
        <v>1</v>
      </c>
      <c r="H208" s="58">
        <v>42558</v>
      </c>
      <c r="I208" s="16"/>
      <c r="J208" s="11"/>
      <c r="K208" s="12"/>
      <c r="L208" s="12"/>
      <c r="M208" s="12"/>
      <c r="N208" s="31"/>
      <c r="O208" s="7">
        <f t="shared" si="69"/>
        <v>0</v>
      </c>
      <c r="P208" s="36"/>
    </row>
    <row r="209" spans="1:16" x14ac:dyDescent="0.15">
      <c r="A209" s="51" t="s">
        <v>196</v>
      </c>
      <c r="B209" s="8"/>
      <c r="C209" s="10">
        <v>4</v>
      </c>
      <c r="D209" s="10">
        <v>1</v>
      </c>
      <c r="E209" s="10">
        <v>2</v>
      </c>
      <c r="F209" s="30"/>
      <c r="G209" s="7">
        <f t="shared" si="68"/>
        <v>7</v>
      </c>
      <c r="H209" s="58">
        <v>42559</v>
      </c>
      <c r="I209" s="14"/>
      <c r="J209" s="8"/>
      <c r="K209" s="10"/>
      <c r="L209" s="10"/>
      <c r="M209" s="10"/>
      <c r="N209" s="30"/>
      <c r="O209" s="7">
        <f t="shared" si="69"/>
        <v>0</v>
      </c>
      <c r="P209" s="1"/>
    </row>
    <row r="210" spans="1:16" x14ac:dyDescent="0.15">
      <c r="A210" s="14" t="s">
        <v>117</v>
      </c>
      <c r="B210" s="8"/>
      <c r="C210" s="10"/>
      <c r="D210" s="10"/>
      <c r="E210" s="10"/>
      <c r="F210" s="30">
        <v>1</v>
      </c>
      <c r="G210" s="7">
        <f t="shared" si="68"/>
        <v>1</v>
      </c>
      <c r="H210" s="58">
        <v>42558</v>
      </c>
      <c r="I210" s="16"/>
      <c r="J210" s="11"/>
      <c r="K210" s="12"/>
      <c r="L210" s="12"/>
      <c r="M210" s="12"/>
      <c r="N210" s="31"/>
      <c r="O210" s="7">
        <f t="shared" si="69"/>
        <v>0</v>
      </c>
      <c r="P210" s="1"/>
    </row>
    <row r="211" spans="1:16" x14ac:dyDescent="0.15">
      <c r="A211" s="16" t="s">
        <v>198</v>
      </c>
      <c r="B211" s="8">
        <v>2</v>
      </c>
      <c r="C211" s="10">
        <v>2</v>
      </c>
      <c r="D211" s="10">
        <v>2</v>
      </c>
      <c r="E211" s="10">
        <v>2</v>
      </c>
      <c r="F211" s="30">
        <v>2</v>
      </c>
      <c r="G211" s="7">
        <f t="shared" si="68"/>
        <v>10</v>
      </c>
      <c r="H211" s="58">
        <v>42563</v>
      </c>
      <c r="I211" s="14"/>
      <c r="J211" s="8"/>
      <c r="K211" s="10"/>
      <c r="L211" s="10"/>
      <c r="M211" s="10"/>
      <c r="N211" s="30"/>
      <c r="O211" s="7">
        <f t="shared" si="69"/>
        <v>0</v>
      </c>
      <c r="P211" s="1"/>
    </row>
    <row r="212" spans="1:16" ht="14.25" thickBot="1" x14ac:dyDescent="0.2">
      <c r="A212" s="14" t="s">
        <v>199</v>
      </c>
      <c r="B212" s="11"/>
      <c r="C212" s="12"/>
      <c r="D212" s="12">
        <v>5</v>
      </c>
      <c r="E212" s="12"/>
      <c r="F212" s="31"/>
      <c r="G212" s="7">
        <f t="shared" si="68"/>
        <v>5</v>
      </c>
      <c r="H212" s="58">
        <v>42562</v>
      </c>
      <c r="I212" s="20"/>
      <c r="J212" s="11"/>
      <c r="K212" s="12"/>
      <c r="L212" s="12"/>
      <c r="M212" s="12"/>
      <c r="N212" s="31"/>
      <c r="O212" s="7">
        <f t="shared" si="69"/>
        <v>0</v>
      </c>
      <c r="P212" s="36"/>
    </row>
    <row r="213" spans="1:16" ht="14.25" thickBot="1" x14ac:dyDescent="0.2">
      <c r="A213" s="3" t="s">
        <v>11</v>
      </c>
      <c r="B213" s="23">
        <f>SUM(B187:B212)</f>
        <v>4</v>
      </c>
      <c r="C213" s="4">
        <f>SUM(C187:C212)</f>
        <v>29</v>
      </c>
      <c r="D213" s="4">
        <f>SUM(D187:D212)</f>
        <v>20</v>
      </c>
      <c r="E213" s="6">
        <f>SUM(E187:E212)</f>
        <v>22</v>
      </c>
      <c r="F213" s="32">
        <f>SUM(F187:F212)</f>
        <v>16</v>
      </c>
      <c r="G213" s="5">
        <f>SUM(B213:F213)</f>
        <v>91</v>
      </c>
      <c r="H213" s="58"/>
      <c r="I213" s="3" t="s">
        <v>11</v>
      </c>
      <c r="J213" s="23">
        <f>SUM(J187:J212)</f>
        <v>10</v>
      </c>
      <c r="K213" s="4">
        <f>SUM(K187:K212)</f>
        <v>25</v>
      </c>
      <c r="L213" s="4">
        <f>SUM(L187:L212)</f>
        <v>10</v>
      </c>
      <c r="M213" s="6">
        <f>SUM(M187:M212)</f>
        <v>20</v>
      </c>
      <c r="N213" s="32">
        <f>SUM(N187:N212)</f>
        <v>10</v>
      </c>
      <c r="O213" s="5">
        <f>SUM(J213:N213)</f>
        <v>75</v>
      </c>
    </row>
    <row r="214" spans="1:16" ht="14.25" thickBot="1" x14ac:dyDescent="0.2">
      <c r="A214" s="25" t="s">
        <v>12</v>
      </c>
      <c r="B214" s="63">
        <f>B186-B213</f>
        <v>18</v>
      </c>
      <c r="C214" s="26">
        <f t="shared" ref="C214:G214" si="71">C186-C213</f>
        <v>15</v>
      </c>
      <c r="D214" s="71">
        <f t="shared" si="71"/>
        <v>3</v>
      </c>
      <c r="E214" s="26">
        <f t="shared" si="71"/>
        <v>13</v>
      </c>
      <c r="F214" s="70">
        <f t="shared" si="71"/>
        <v>12</v>
      </c>
      <c r="G214" s="27">
        <f t="shared" si="71"/>
        <v>61</v>
      </c>
      <c r="H214" s="58"/>
      <c r="I214" s="25" t="s">
        <v>12</v>
      </c>
      <c r="J214" s="63">
        <f>J186-J213</f>
        <v>222</v>
      </c>
      <c r="K214" s="26">
        <f t="shared" ref="K214:O214" si="72">K186-K213</f>
        <v>175</v>
      </c>
      <c r="L214" s="71">
        <f t="shared" si="72"/>
        <v>222</v>
      </c>
      <c r="M214" s="26">
        <f t="shared" si="72"/>
        <v>188</v>
      </c>
      <c r="N214" s="70">
        <f t="shared" si="72"/>
        <v>157</v>
      </c>
      <c r="O214" s="27">
        <f t="shared" si="72"/>
        <v>964</v>
      </c>
    </row>
    <row r="215" spans="1:16" ht="17.25" x14ac:dyDescent="0.2">
      <c r="A215" s="79" t="s">
        <v>56</v>
      </c>
      <c r="B215" s="80"/>
      <c r="C215" s="80"/>
      <c r="D215" s="80"/>
      <c r="E215" s="80"/>
      <c r="F215" s="80"/>
      <c r="G215" s="80"/>
      <c r="H215" s="56"/>
      <c r="I215" s="79" t="s">
        <v>56</v>
      </c>
      <c r="J215" s="80"/>
      <c r="K215" s="80"/>
      <c r="L215" s="80"/>
      <c r="M215" s="80"/>
      <c r="N215" s="80"/>
      <c r="O215" s="1"/>
      <c r="P215" s="1"/>
    </row>
    <row r="216" spans="1:16" ht="21.75" thickBot="1" x14ac:dyDescent="0.25">
      <c r="A216" s="82" t="s">
        <v>55</v>
      </c>
      <c r="B216" s="80"/>
      <c r="C216" s="80"/>
      <c r="D216" s="80"/>
      <c r="E216" s="81" t="s">
        <v>53</v>
      </c>
      <c r="F216" s="80"/>
      <c r="G216" s="80"/>
      <c r="H216" s="58"/>
      <c r="I216" s="82" t="s">
        <v>55</v>
      </c>
      <c r="J216" s="80"/>
      <c r="K216" s="80"/>
      <c r="L216" s="80"/>
      <c r="M216" s="81" t="s">
        <v>54</v>
      </c>
      <c r="N216" s="80"/>
      <c r="O216" s="1"/>
      <c r="P216" s="1"/>
    </row>
    <row r="217" spans="1:16" ht="14.25" thickBot="1" x14ac:dyDescent="0.2">
      <c r="A217" s="13" t="s">
        <v>0</v>
      </c>
      <c r="B217" s="228" t="s">
        <v>57</v>
      </c>
      <c r="C217" s="229"/>
      <c r="D217" s="229"/>
      <c r="E217" s="229"/>
      <c r="F217" s="230"/>
      <c r="G217" s="231"/>
      <c r="H217" s="58"/>
      <c r="I217" s="13" t="s">
        <v>0</v>
      </c>
      <c r="J217" s="232" t="s">
        <v>57</v>
      </c>
      <c r="K217" s="233"/>
      <c r="L217" s="233"/>
      <c r="M217" s="233"/>
      <c r="N217" s="233"/>
      <c r="O217" s="234"/>
      <c r="P217" s="1"/>
    </row>
    <row r="218" spans="1:16" ht="14.25" thickBot="1" x14ac:dyDescent="0.2">
      <c r="A218" s="3" t="s">
        <v>1</v>
      </c>
      <c r="B218" s="2" t="s">
        <v>42</v>
      </c>
      <c r="C218" s="21" t="s">
        <v>43</v>
      </c>
      <c r="D218" s="21" t="s">
        <v>44</v>
      </c>
      <c r="E218" s="24" t="s">
        <v>45</v>
      </c>
      <c r="F218" s="33" t="s">
        <v>46</v>
      </c>
      <c r="G218" s="3" t="s">
        <v>2</v>
      </c>
      <c r="H218" s="58"/>
      <c r="I218" s="3" t="s">
        <v>1</v>
      </c>
      <c r="J218" s="2" t="s">
        <v>42</v>
      </c>
      <c r="K218" s="21" t="s">
        <v>43</v>
      </c>
      <c r="L218" s="21" t="s">
        <v>44</v>
      </c>
      <c r="M218" s="24" t="s">
        <v>45</v>
      </c>
      <c r="N218" s="33" t="s">
        <v>46</v>
      </c>
      <c r="O218" s="3" t="s">
        <v>2</v>
      </c>
      <c r="P218" s="1"/>
    </row>
    <row r="219" spans="1:16" ht="14.25" thickBot="1" x14ac:dyDescent="0.2">
      <c r="A219" s="72" t="s">
        <v>79</v>
      </c>
      <c r="B219" s="73">
        <f>B214</f>
        <v>18</v>
      </c>
      <c r="C219" s="74">
        <f t="shared" ref="C219:F219" si="73">C214</f>
        <v>15</v>
      </c>
      <c r="D219" s="107">
        <f t="shared" si="73"/>
        <v>3</v>
      </c>
      <c r="E219" s="75">
        <f t="shared" si="73"/>
        <v>13</v>
      </c>
      <c r="F219" s="75">
        <f t="shared" si="73"/>
        <v>12</v>
      </c>
      <c r="G219" s="76">
        <f t="shared" ref="G219:G228" si="74">SUM(B219:F219)</f>
        <v>61</v>
      </c>
      <c r="H219" s="58"/>
      <c r="I219" s="72" t="s">
        <v>79</v>
      </c>
      <c r="J219" s="73">
        <f>J214</f>
        <v>222</v>
      </c>
      <c r="K219" s="74">
        <f t="shared" ref="K219:N219" si="75">K214</f>
        <v>175</v>
      </c>
      <c r="L219" s="107">
        <f t="shared" si="75"/>
        <v>222</v>
      </c>
      <c r="M219" s="75">
        <f t="shared" si="75"/>
        <v>188</v>
      </c>
      <c r="N219" s="75">
        <f t="shared" si="75"/>
        <v>157</v>
      </c>
      <c r="O219" s="76">
        <f t="shared" ref="O219:O228" si="76">SUM(J219:N219)</f>
        <v>964</v>
      </c>
      <c r="P219" s="1"/>
    </row>
    <row r="220" spans="1:16" x14ac:dyDescent="0.15">
      <c r="A220" s="38" t="s">
        <v>15</v>
      </c>
      <c r="B220" s="37"/>
      <c r="C220" s="35"/>
      <c r="D220" s="35">
        <v>15</v>
      </c>
      <c r="E220" s="35"/>
      <c r="F220" s="28"/>
      <c r="G220" s="7">
        <f t="shared" si="74"/>
        <v>15</v>
      </c>
      <c r="H220" s="58">
        <v>42559</v>
      </c>
      <c r="I220" s="38" t="s">
        <v>15</v>
      </c>
      <c r="J220" s="37"/>
      <c r="K220" s="35"/>
      <c r="L220" s="35"/>
      <c r="M220" s="35"/>
      <c r="N220" s="28"/>
      <c r="O220" s="7">
        <f t="shared" si="76"/>
        <v>0</v>
      </c>
      <c r="P220" s="1"/>
    </row>
    <row r="221" spans="1:16" x14ac:dyDescent="0.15">
      <c r="A221" s="38" t="s">
        <v>16</v>
      </c>
      <c r="B221" s="8"/>
      <c r="C221" s="10">
        <v>10</v>
      </c>
      <c r="D221" s="10"/>
      <c r="E221" s="10">
        <v>10</v>
      </c>
      <c r="F221" s="28">
        <v>10</v>
      </c>
      <c r="G221" s="9">
        <f t="shared" si="74"/>
        <v>30</v>
      </c>
      <c r="H221" s="36">
        <v>42565</v>
      </c>
      <c r="I221" s="15" t="s">
        <v>3</v>
      </c>
      <c r="J221" s="8"/>
      <c r="K221" s="10"/>
      <c r="L221" s="10"/>
      <c r="M221" s="10"/>
      <c r="N221" s="28"/>
      <c r="O221" s="9">
        <f t="shared" si="76"/>
        <v>0</v>
      </c>
      <c r="P221" s="36"/>
    </row>
    <row r="222" spans="1:16" x14ac:dyDescent="0.15">
      <c r="A222" s="38" t="s">
        <v>213</v>
      </c>
      <c r="B222" s="8"/>
      <c r="C222" s="10"/>
      <c r="D222" s="10">
        <v>2</v>
      </c>
      <c r="E222" s="10"/>
      <c r="F222" s="28"/>
      <c r="G222" s="9">
        <f t="shared" si="74"/>
        <v>2</v>
      </c>
      <c r="H222" s="58">
        <v>42564</v>
      </c>
      <c r="I222" s="15" t="s">
        <v>18</v>
      </c>
      <c r="J222" s="8"/>
      <c r="K222" s="10"/>
      <c r="L222" s="10"/>
      <c r="M222" s="10"/>
      <c r="N222" s="28"/>
      <c r="O222" s="9">
        <f t="shared" si="76"/>
        <v>0</v>
      </c>
      <c r="P222" s="1"/>
    </row>
    <row r="223" spans="1:16" x14ac:dyDescent="0.15">
      <c r="A223" s="38" t="s">
        <v>20</v>
      </c>
      <c r="B223" s="8">
        <v>10</v>
      </c>
      <c r="C223" s="10"/>
      <c r="D223" s="10"/>
      <c r="E223" s="10"/>
      <c r="F223" s="28">
        <v>10</v>
      </c>
      <c r="G223" s="9">
        <f t="shared" si="74"/>
        <v>20</v>
      </c>
      <c r="H223" s="58">
        <v>42567</v>
      </c>
      <c r="I223" s="15" t="s">
        <v>20</v>
      </c>
      <c r="J223" s="8"/>
      <c r="K223" s="10"/>
      <c r="L223" s="10"/>
      <c r="M223" s="10"/>
      <c r="N223" s="28"/>
      <c r="O223" s="9">
        <f t="shared" si="76"/>
        <v>0</v>
      </c>
      <c r="P223" s="1"/>
    </row>
    <row r="224" spans="1:16" x14ac:dyDescent="0.15">
      <c r="A224" s="38" t="s">
        <v>17</v>
      </c>
      <c r="B224" s="8"/>
      <c r="C224" s="10"/>
      <c r="D224" s="10"/>
      <c r="E224" s="10">
        <v>1</v>
      </c>
      <c r="F224" s="28"/>
      <c r="G224" s="9">
        <f t="shared" si="74"/>
        <v>1</v>
      </c>
      <c r="H224" s="58">
        <v>42566</v>
      </c>
      <c r="I224" s="15" t="s">
        <v>80</v>
      </c>
      <c r="J224" s="8"/>
      <c r="K224" s="10"/>
      <c r="L224" s="10"/>
      <c r="M224" s="10"/>
      <c r="N224" s="28"/>
      <c r="O224" s="9">
        <f t="shared" si="76"/>
        <v>0</v>
      </c>
      <c r="P224" s="1"/>
    </row>
    <row r="225" spans="1:16" x14ac:dyDescent="0.15">
      <c r="A225" s="38" t="s">
        <v>111</v>
      </c>
      <c r="B225" s="8"/>
      <c r="C225" s="10"/>
      <c r="D225" s="10">
        <v>2</v>
      </c>
      <c r="E225" s="10">
        <v>1</v>
      </c>
      <c r="F225" s="28">
        <v>2</v>
      </c>
      <c r="G225" s="9">
        <f t="shared" si="74"/>
        <v>5</v>
      </c>
      <c r="H225" s="58">
        <v>42570</v>
      </c>
      <c r="I225" s="15" t="s">
        <v>81</v>
      </c>
      <c r="J225" s="8"/>
      <c r="K225" s="10"/>
      <c r="L225" s="10"/>
      <c r="M225" s="10"/>
      <c r="N225" s="28"/>
      <c r="O225" s="9">
        <f t="shared" si="76"/>
        <v>0</v>
      </c>
      <c r="P225" s="36"/>
    </row>
    <row r="226" spans="1:16" x14ac:dyDescent="0.15">
      <c r="A226" s="38" t="s">
        <v>82</v>
      </c>
      <c r="B226" s="8"/>
      <c r="C226" s="10">
        <v>20</v>
      </c>
      <c r="D226" s="10">
        <v>20</v>
      </c>
      <c r="E226" s="10">
        <v>20</v>
      </c>
      <c r="F226" s="30">
        <v>10</v>
      </c>
      <c r="G226" s="7">
        <f t="shared" si="74"/>
        <v>70</v>
      </c>
      <c r="H226" s="58">
        <v>42572</v>
      </c>
      <c r="I226" s="15" t="s">
        <v>82</v>
      </c>
      <c r="J226" s="8"/>
      <c r="K226" s="10"/>
      <c r="L226" s="10"/>
      <c r="M226" s="10"/>
      <c r="N226" s="28"/>
      <c r="O226" s="9">
        <f t="shared" si="76"/>
        <v>0</v>
      </c>
      <c r="P226" s="1"/>
    </row>
    <row r="227" spans="1:16" x14ac:dyDescent="0.15">
      <c r="A227" s="38" t="s">
        <v>83</v>
      </c>
      <c r="B227" s="11">
        <v>10</v>
      </c>
      <c r="C227" s="100"/>
      <c r="D227" s="100"/>
      <c r="E227" s="100">
        <v>10</v>
      </c>
      <c r="F227" s="101">
        <v>20</v>
      </c>
      <c r="G227" s="102">
        <f t="shared" si="74"/>
        <v>40</v>
      </c>
      <c r="H227" s="58">
        <v>42573</v>
      </c>
      <c r="I227" s="15" t="s">
        <v>83</v>
      </c>
      <c r="J227" s="8"/>
      <c r="K227" s="10"/>
      <c r="L227" s="10"/>
      <c r="M227" s="10"/>
      <c r="N227" s="30"/>
      <c r="O227" s="7">
        <f t="shared" si="76"/>
        <v>0</v>
      </c>
      <c r="P227" s="1"/>
    </row>
    <row r="228" spans="1:16" ht="14.25" thickBot="1" x14ac:dyDescent="0.2">
      <c r="A228" s="38" t="s">
        <v>159</v>
      </c>
      <c r="B228" s="11"/>
      <c r="C228" s="100"/>
      <c r="D228" s="100"/>
      <c r="E228" s="100">
        <v>10</v>
      </c>
      <c r="F228" s="101"/>
      <c r="G228" s="102">
        <f t="shared" si="74"/>
        <v>10</v>
      </c>
      <c r="H228" s="58">
        <v>42579</v>
      </c>
      <c r="I228" s="15" t="s">
        <v>87</v>
      </c>
      <c r="J228" s="11"/>
      <c r="K228" s="100"/>
      <c r="L228" s="100"/>
      <c r="M228" s="100"/>
      <c r="N228" s="101"/>
      <c r="O228" s="102">
        <f t="shared" si="76"/>
        <v>0</v>
      </c>
      <c r="P228" s="1"/>
    </row>
    <row r="229" spans="1:16" ht="14.25" thickBot="1" x14ac:dyDescent="0.2">
      <c r="A229" s="72" t="s">
        <v>7</v>
      </c>
      <c r="B229" s="73">
        <f>SUM(B219:B228)</f>
        <v>38</v>
      </c>
      <c r="C229" s="74">
        <f t="shared" ref="C229:G229" si="77">SUM(C219:C228)</f>
        <v>45</v>
      </c>
      <c r="D229" s="74">
        <f t="shared" si="77"/>
        <v>42</v>
      </c>
      <c r="E229" s="74">
        <f t="shared" si="77"/>
        <v>65</v>
      </c>
      <c r="F229" s="105">
        <f t="shared" si="77"/>
        <v>64</v>
      </c>
      <c r="G229" s="76">
        <f t="shared" si="77"/>
        <v>254</v>
      </c>
      <c r="H229" s="58"/>
      <c r="I229" s="72" t="s">
        <v>7</v>
      </c>
      <c r="J229" s="73">
        <f>SUM(J219:J228)</f>
        <v>222</v>
      </c>
      <c r="K229" s="74">
        <f t="shared" ref="K229:O229" si="78">SUM(K219:K228)</f>
        <v>175</v>
      </c>
      <c r="L229" s="74">
        <f t="shared" si="78"/>
        <v>222</v>
      </c>
      <c r="M229" s="74">
        <f t="shared" si="78"/>
        <v>188</v>
      </c>
      <c r="N229" s="105">
        <f t="shared" si="78"/>
        <v>157</v>
      </c>
      <c r="O229" s="76">
        <f t="shared" si="78"/>
        <v>964</v>
      </c>
      <c r="P229" s="1"/>
    </row>
    <row r="230" spans="1:16" x14ac:dyDescent="0.15">
      <c r="A230" s="14" t="s">
        <v>202</v>
      </c>
      <c r="B230" s="37"/>
      <c r="C230" s="35"/>
      <c r="D230" s="35">
        <v>1</v>
      </c>
      <c r="E230" s="35"/>
      <c r="F230" s="28"/>
      <c r="G230" s="18">
        <f t="shared" ref="G230:G255" si="79">SUM(B230:F230)</f>
        <v>1</v>
      </c>
      <c r="H230" s="58">
        <v>42559</v>
      </c>
      <c r="I230" s="16" t="s">
        <v>200</v>
      </c>
      <c r="J230" s="17"/>
      <c r="K230" s="22"/>
      <c r="L230" s="22">
        <v>15</v>
      </c>
      <c r="M230" s="22"/>
      <c r="N230" s="29"/>
      <c r="O230" s="18">
        <f t="shared" ref="O230:O255" si="80">SUM(J230:N230)</f>
        <v>15</v>
      </c>
      <c r="P230" s="36">
        <v>42559</v>
      </c>
    </row>
    <row r="231" spans="1:16" x14ac:dyDescent="0.15">
      <c r="A231" s="51" t="s">
        <v>204</v>
      </c>
      <c r="B231" s="8"/>
      <c r="C231" s="10">
        <v>3</v>
      </c>
      <c r="D231" s="10"/>
      <c r="E231" s="10"/>
      <c r="F231" s="30"/>
      <c r="G231" s="7">
        <f t="shared" si="79"/>
        <v>3</v>
      </c>
      <c r="H231" s="58">
        <v>42560</v>
      </c>
      <c r="I231" s="16" t="s">
        <v>210</v>
      </c>
      <c r="J231" s="8"/>
      <c r="K231" s="10">
        <v>10</v>
      </c>
      <c r="L231" s="10"/>
      <c r="M231" s="10">
        <v>10</v>
      </c>
      <c r="N231" s="30">
        <v>10</v>
      </c>
      <c r="O231" s="7">
        <f t="shared" si="80"/>
        <v>30</v>
      </c>
      <c r="P231" s="36">
        <v>42565</v>
      </c>
    </row>
    <row r="232" spans="1:16" x14ac:dyDescent="0.15">
      <c r="A232" s="14" t="s">
        <v>205</v>
      </c>
      <c r="B232" s="8">
        <v>5</v>
      </c>
      <c r="C232" s="10"/>
      <c r="D232" s="10"/>
      <c r="E232" s="10">
        <v>5</v>
      </c>
      <c r="F232" s="30"/>
      <c r="G232" s="7">
        <f t="shared" si="79"/>
        <v>10</v>
      </c>
      <c r="H232" s="58">
        <v>42565</v>
      </c>
      <c r="I232" s="16" t="s">
        <v>37</v>
      </c>
      <c r="J232" s="8">
        <v>10</v>
      </c>
      <c r="K232" s="10"/>
      <c r="L232" s="10"/>
      <c r="M232" s="10"/>
      <c r="N232" s="30">
        <v>10</v>
      </c>
      <c r="O232" s="7">
        <f t="shared" si="80"/>
        <v>20</v>
      </c>
      <c r="P232" s="36">
        <v>42567</v>
      </c>
    </row>
    <row r="233" spans="1:16" x14ac:dyDescent="0.15">
      <c r="A233" s="51" t="s">
        <v>207</v>
      </c>
      <c r="B233" s="8"/>
      <c r="C233" s="10">
        <v>3</v>
      </c>
      <c r="D233" s="10">
        <v>1</v>
      </c>
      <c r="E233" s="10">
        <v>1</v>
      </c>
      <c r="F233" s="30"/>
      <c r="G233" s="7">
        <f t="shared" si="79"/>
        <v>5</v>
      </c>
      <c r="H233" s="58">
        <v>42563</v>
      </c>
      <c r="I233" s="16" t="s">
        <v>37</v>
      </c>
      <c r="J233" s="8"/>
      <c r="K233" s="10">
        <v>20</v>
      </c>
      <c r="L233" s="10">
        <v>20</v>
      </c>
      <c r="M233" s="10">
        <v>20</v>
      </c>
      <c r="N233" s="30">
        <v>10</v>
      </c>
      <c r="O233" s="7">
        <f t="shared" si="80"/>
        <v>70</v>
      </c>
      <c r="P233" s="36">
        <v>42572</v>
      </c>
    </row>
    <row r="234" spans="1:16" x14ac:dyDescent="0.15">
      <c r="A234" s="16" t="s">
        <v>38</v>
      </c>
      <c r="B234" s="8"/>
      <c r="C234" s="10"/>
      <c r="D234" s="10"/>
      <c r="E234" s="10"/>
      <c r="F234" s="30">
        <v>1</v>
      </c>
      <c r="G234" s="7">
        <f t="shared" si="79"/>
        <v>1</v>
      </c>
      <c r="H234" s="58">
        <v>42563</v>
      </c>
      <c r="I234" s="16" t="s">
        <v>37</v>
      </c>
      <c r="J234" s="11"/>
      <c r="K234" s="100"/>
      <c r="L234" s="100"/>
      <c r="M234" s="100"/>
      <c r="N234" s="101">
        <v>20</v>
      </c>
      <c r="O234" s="9">
        <f t="shared" si="80"/>
        <v>20</v>
      </c>
      <c r="P234" s="58">
        <v>42573</v>
      </c>
    </row>
    <row r="235" spans="1:16" x14ac:dyDescent="0.15">
      <c r="A235" s="51" t="s">
        <v>208</v>
      </c>
      <c r="B235" s="8">
        <v>1</v>
      </c>
      <c r="C235" s="10">
        <v>4</v>
      </c>
      <c r="D235" s="10">
        <v>1</v>
      </c>
      <c r="E235" s="10">
        <v>4</v>
      </c>
      <c r="F235" s="30"/>
      <c r="G235" s="7">
        <f t="shared" si="79"/>
        <v>10</v>
      </c>
      <c r="H235" s="58">
        <v>42565</v>
      </c>
      <c r="I235" s="16" t="s">
        <v>226</v>
      </c>
      <c r="J235" s="8">
        <v>7</v>
      </c>
      <c r="K235" s="10">
        <v>37</v>
      </c>
      <c r="L235" s="10">
        <v>10</v>
      </c>
      <c r="M235" s="10">
        <v>16</v>
      </c>
      <c r="N235" s="30">
        <v>12</v>
      </c>
      <c r="O235" s="7">
        <f t="shared" si="80"/>
        <v>82</v>
      </c>
      <c r="P235" s="36">
        <v>42573</v>
      </c>
    </row>
    <row r="236" spans="1:16" x14ac:dyDescent="0.15">
      <c r="A236" s="14" t="s">
        <v>246</v>
      </c>
      <c r="B236" s="8">
        <v>3</v>
      </c>
      <c r="C236" s="10"/>
      <c r="D236" s="10"/>
      <c r="E236" s="10"/>
      <c r="F236" s="30">
        <v>6</v>
      </c>
      <c r="G236" s="7">
        <f t="shared" si="79"/>
        <v>9</v>
      </c>
      <c r="H236" s="58">
        <v>42570</v>
      </c>
      <c r="I236" s="16" t="s">
        <v>37</v>
      </c>
      <c r="J236" s="8">
        <v>10</v>
      </c>
      <c r="K236" s="10"/>
      <c r="L236" s="10"/>
      <c r="M236" s="10">
        <v>10</v>
      </c>
      <c r="N236" s="30"/>
      <c r="O236" s="7">
        <f t="shared" si="80"/>
        <v>20</v>
      </c>
      <c r="P236" s="36">
        <v>42577</v>
      </c>
    </row>
    <row r="237" spans="1:16" x14ac:dyDescent="0.15">
      <c r="A237" s="16" t="s">
        <v>212</v>
      </c>
      <c r="B237" s="8"/>
      <c r="C237" s="10"/>
      <c r="D237" s="10"/>
      <c r="E237" s="10"/>
      <c r="F237" s="30">
        <v>2</v>
      </c>
      <c r="G237" s="7">
        <f t="shared" si="79"/>
        <v>2</v>
      </c>
      <c r="H237" s="58">
        <v>42565</v>
      </c>
      <c r="I237" s="16" t="s">
        <v>37</v>
      </c>
      <c r="J237" s="8"/>
      <c r="K237" s="10"/>
      <c r="L237" s="10"/>
      <c r="M237" s="10">
        <v>10</v>
      </c>
      <c r="N237" s="30"/>
      <c r="O237" s="7">
        <f t="shared" si="80"/>
        <v>10</v>
      </c>
      <c r="P237" s="36">
        <v>42579</v>
      </c>
    </row>
    <row r="238" spans="1:16" x14ac:dyDescent="0.15">
      <c r="A238" s="14" t="s">
        <v>25</v>
      </c>
      <c r="B238" s="8"/>
      <c r="C238" s="10"/>
      <c r="D238" s="10">
        <v>2</v>
      </c>
      <c r="E238" s="10"/>
      <c r="F238" s="30">
        <v>3</v>
      </c>
      <c r="G238" s="7">
        <f t="shared" si="79"/>
        <v>5</v>
      </c>
      <c r="H238" s="58">
        <v>42566</v>
      </c>
      <c r="I238" s="39"/>
      <c r="J238" s="8"/>
      <c r="K238" s="10"/>
      <c r="L238" s="10"/>
      <c r="M238" s="10"/>
      <c r="N238" s="30"/>
      <c r="O238" s="7">
        <f t="shared" si="80"/>
        <v>0</v>
      </c>
      <c r="P238" s="1"/>
    </row>
    <row r="239" spans="1:16" x14ac:dyDescent="0.15">
      <c r="A239" s="16" t="s">
        <v>38</v>
      </c>
      <c r="B239" s="11"/>
      <c r="C239" s="12"/>
      <c r="D239" s="12"/>
      <c r="E239" s="12"/>
      <c r="F239" s="31">
        <v>1</v>
      </c>
      <c r="G239" s="7">
        <f t="shared" si="79"/>
        <v>1</v>
      </c>
      <c r="H239" s="58">
        <v>42566</v>
      </c>
      <c r="I239" s="16"/>
      <c r="J239" s="11"/>
      <c r="K239" s="12"/>
      <c r="L239" s="12"/>
      <c r="M239" s="12"/>
      <c r="N239" s="31"/>
      <c r="O239" s="7">
        <f t="shared" si="80"/>
        <v>0</v>
      </c>
      <c r="P239" s="1"/>
    </row>
    <row r="240" spans="1:16" x14ac:dyDescent="0.15">
      <c r="A240" s="14" t="s">
        <v>216</v>
      </c>
      <c r="B240" s="11">
        <v>2</v>
      </c>
      <c r="C240" s="12">
        <v>2</v>
      </c>
      <c r="D240" s="12">
        <v>2</v>
      </c>
      <c r="E240" s="12">
        <v>2</v>
      </c>
      <c r="F240" s="31">
        <v>2</v>
      </c>
      <c r="G240" s="7">
        <f t="shared" si="79"/>
        <v>10</v>
      </c>
      <c r="H240" s="58">
        <v>42566</v>
      </c>
      <c r="I240" s="16"/>
      <c r="J240" s="8"/>
      <c r="K240" s="10"/>
      <c r="L240" s="10"/>
      <c r="M240" s="10"/>
      <c r="N240" s="30"/>
      <c r="O240" s="7">
        <f t="shared" si="80"/>
        <v>0</v>
      </c>
      <c r="P240" s="1"/>
    </row>
    <row r="241" spans="1:16" x14ac:dyDescent="0.15">
      <c r="A241" s="14" t="s">
        <v>25</v>
      </c>
      <c r="B241" s="8"/>
      <c r="C241" s="10"/>
      <c r="D241" s="10">
        <v>2</v>
      </c>
      <c r="E241" s="10"/>
      <c r="F241" s="30">
        <v>1</v>
      </c>
      <c r="G241" s="7">
        <f t="shared" si="79"/>
        <v>3</v>
      </c>
      <c r="H241" s="58">
        <v>42571</v>
      </c>
      <c r="I241" s="39"/>
      <c r="J241" s="8"/>
      <c r="K241" s="10"/>
      <c r="L241" s="10"/>
      <c r="M241" s="10"/>
      <c r="N241" s="30"/>
      <c r="O241" s="7">
        <f t="shared" si="80"/>
        <v>0</v>
      </c>
      <c r="P241" s="1"/>
    </row>
    <row r="242" spans="1:16" x14ac:dyDescent="0.15">
      <c r="A242" s="16" t="s">
        <v>224</v>
      </c>
      <c r="B242" s="8"/>
      <c r="C242" s="10">
        <v>10</v>
      </c>
      <c r="D242" s="10">
        <v>10</v>
      </c>
      <c r="E242" s="10">
        <v>10</v>
      </c>
      <c r="F242" s="30">
        <v>10</v>
      </c>
      <c r="G242" s="7">
        <f t="shared" si="79"/>
        <v>40</v>
      </c>
      <c r="H242" s="58">
        <v>42576</v>
      </c>
      <c r="I242" s="16"/>
      <c r="J242" s="8"/>
      <c r="K242" s="10"/>
      <c r="L242" s="10"/>
      <c r="M242" s="10"/>
      <c r="N242" s="30"/>
      <c r="O242" s="7">
        <f t="shared" si="80"/>
        <v>0</v>
      </c>
      <c r="P242" s="1"/>
    </row>
    <row r="243" spans="1:16" x14ac:dyDescent="0.15">
      <c r="A243" s="14" t="s">
        <v>136</v>
      </c>
      <c r="B243" s="8"/>
      <c r="C243" s="10">
        <v>6</v>
      </c>
      <c r="D243" s="10"/>
      <c r="E243" s="10">
        <v>15</v>
      </c>
      <c r="F243" s="30"/>
      <c r="G243" s="7">
        <f t="shared" si="79"/>
        <v>21</v>
      </c>
      <c r="H243" s="58">
        <v>42577</v>
      </c>
      <c r="I243" s="16"/>
      <c r="J243" s="8"/>
      <c r="K243" s="10"/>
      <c r="L243" s="10"/>
      <c r="M243" s="10"/>
      <c r="N243" s="30"/>
      <c r="O243" s="7">
        <f t="shared" si="80"/>
        <v>0</v>
      </c>
      <c r="P243" s="36"/>
    </row>
    <row r="244" spans="1:16" x14ac:dyDescent="0.15">
      <c r="A244" s="14" t="s">
        <v>25</v>
      </c>
      <c r="B244" s="8"/>
      <c r="C244" s="10"/>
      <c r="D244" s="10">
        <v>1</v>
      </c>
      <c r="E244" s="10"/>
      <c r="F244" s="30"/>
      <c r="G244" s="7">
        <f t="shared" si="79"/>
        <v>1</v>
      </c>
      <c r="H244" s="58">
        <v>42577</v>
      </c>
      <c r="I244" s="16"/>
      <c r="J244" s="8"/>
      <c r="K244" s="10"/>
      <c r="L244" s="10"/>
      <c r="M244" s="10"/>
      <c r="N244" s="30"/>
      <c r="O244" s="7">
        <f t="shared" si="80"/>
        <v>0</v>
      </c>
      <c r="P244" s="36"/>
    </row>
    <row r="245" spans="1:16" x14ac:dyDescent="0.15">
      <c r="A245" s="16" t="s">
        <v>231</v>
      </c>
      <c r="B245" s="8">
        <v>7</v>
      </c>
      <c r="C245" s="10">
        <v>1</v>
      </c>
      <c r="D245" s="10">
        <v>7</v>
      </c>
      <c r="E245" s="10"/>
      <c r="F245" s="30">
        <v>5</v>
      </c>
      <c r="G245" s="7">
        <f t="shared" si="79"/>
        <v>20</v>
      </c>
      <c r="H245" s="58">
        <v>42578</v>
      </c>
      <c r="I245" s="16"/>
      <c r="J245" s="8"/>
      <c r="K245" s="10"/>
      <c r="L245" s="10"/>
      <c r="M245" s="10"/>
      <c r="N245" s="30"/>
      <c r="O245" s="7">
        <f t="shared" si="80"/>
        <v>0</v>
      </c>
      <c r="P245" s="1"/>
    </row>
    <row r="246" spans="1:16" x14ac:dyDescent="0.15">
      <c r="A246" s="16" t="s">
        <v>117</v>
      </c>
      <c r="B246" s="8"/>
      <c r="C246" s="10"/>
      <c r="D246" s="10"/>
      <c r="E246" s="10">
        <v>1</v>
      </c>
      <c r="F246" s="30">
        <v>1</v>
      </c>
      <c r="G246" s="7">
        <f t="shared" si="79"/>
        <v>2</v>
      </c>
      <c r="H246" s="58">
        <v>42577</v>
      </c>
      <c r="I246" s="14"/>
      <c r="J246" s="8"/>
      <c r="K246" s="10"/>
      <c r="L246" s="10"/>
      <c r="M246" s="10"/>
      <c r="N246" s="30"/>
      <c r="O246" s="7">
        <f t="shared" si="80"/>
        <v>0</v>
      </c>
      <c r="P246" s="36"/>
    </row>
    <row r="247" spans="1:16" x14ac:dyDescent="0.15">
      <c r="A247" s="16" t="s">
        <v>233</v>
      </c>
      <c r="B247" s="8"/>
      <c r="C247" s="10"/>
      <c r="D247" s="10">
        <v>1</v>
      </c>
      <c r="E247" s="10"/>
      <c r="F247" s="30"/>
      <c r="G247" s="7">
        <f t="shared" si="79"/>
        <v>1</v>
      </c>
      <c r="H247" s="58">
        <v>42578</v>
      </c>
      <c r="I247" s="16"/>
      <c r="J247" s="8"/>
      <c r="K247" s="10"/>
      <c r="L247" s="10"/>
      <c r="M247" s="10"/>
      <c r="N247" s="30"/>
      <c r="O247" s="7">
        <f t="shared" si="80"/>
        <v>0</v>
      </c>
      <c r="P247" s="36"/>
    </row>
    <row r="248" spans="1:16" x14ac:dyDescent="0.15">
      <c r="A248" s="16" t="s">
        <v>22</v>
      </c>
      <c r="B248" s="8">
        <v>10</v>
      </c>
      <c r="C248" s="10"/>
      <c r="D248" s="10"/>
      <c r="E248" s="10">
        <v>10</v>
      </c>
      <c r="F248" s="30">
        <v>20</v>
      </c>
      <c r="G248" s="7">
        <f t="shared" si="79"/>
        <v>40</v>
      </c>
      <c r="H248" s="58">
        <v>42583</v>
      </c>
      <c r="I248" s="14"/>
      <c r="J248" s="8"/>
      <c r="K248" s="10"/>
      <c r="L248" s="10"/>
      <c r="M248" s="10"/>
      <c r="N248" s="30"/>
      <c r="O248" s="7">
        <f t="shared" si="80"/>
        <v>0</v>
      </c>
      <c r="P248" s="1"/>
    </row>
    <row r="249" spans="1:16" x14ac:dyDescent="0.15">
      <c r="A249" s="14" t="s">
        <v>235</v>
      </c>
      <c r="B249" s="8"/>
      <c r="C249" s="10">
        <v>5</v>
      </c>
      <c r="D249" s="10"/>
      <c r="E249" s="10"/>
      <c r="F249" s="30"/>
      <c r="G249" s="7">
        <f t="shared" si="79"/>
        <v>5</v>
      </c>
      <c r="H249" s="58">
        <v>42580</v>
      </c>
      <c r="I249" s="16"/>
      <c r="J249" s="11"/>
      <c r="K249" s="12"/>
      <c r="L249" s="12"/>
      <c r="M249" s="12"/>
      <c r="N249" s="31"/>
      <c r="O249" s="7">
        <f t="shared" si="80"/>
        <v>0</v>
      </c>
      <c r="P249" s="36"/>
    </row>
    <row r="250" spans="1:16" x14ac:dyDescent="0.15">
      <c r="A250" s="16" t="s">
        <v>236</v>
      </c>
      <c r="B250" s="8"/>
      <c r="C250" s="10"/>
      <c r="D250" s="10"/>
      <c r="E250" s="10"/>
      <c r="F250" s="30">
        <v>-1</v>
      </c>
      <c r="G250" s="7">
        <f t="shared" si="79"/>
        <v>-1</v>
      </c>
      <c r="H250" s="58">
        <v>42579</v>
      </c>
      <c r="I250" s="14"/>
      <c r="J250" s="8"/>
      <c r="K250" s="10"/>
      <c r="L250" s="10"/>
      <c r="M250" s="10"/>
      <c r="N250" s="30"/>
      <c r="O250" s="7">
        <f t="shared" si="80"/>
        <v>0</v>
      </c>
      <c r="P250" s="1"/>
    </row>
    <row r="251" spans="1:16" x14ac:dyDescent="0.15">
      <c r="A251" s="14" t="s">
        <v>25</v>
      </c>
      <c r="B251" s="11">
        <v>1</v>
      </c>
      <c r="C251" s="12">
        <v>1</v>
      </c>
      <c r="D251" s="12">
        <v>1</v>
      </c>
      <c r="E251" s="12"/>
      <c r="F251" s="31">
        <v>1</v>
      </c>
      <c r="G251" s="7">
        <f t="shared" si="79"/>
        <v>4</v>
      </c>
      <c r="H251" s="58">
        <v>42581</v>
      </c>
      <c r="I251" s="16"/>
      <c r="J251" s="11"/>
      <c r="K251" s="12"/>
      <c r="L251" s="12"/>
      <c r="M251" s="12"/>
      <c r="N251" s="31"/>
      <c r="O251" s="7">
        <f t="shared" si="80"/>
        <v>0</v>
      </c>
      <c r="P251" s="36"/>
    </row>
    <row r="252" spans="1:16" x14ac:dyDescent="0.15">
      <c r="A252" s="16" t="s">
        <v>215</v>
      </c>
      <c r="B252" s="8"/>
      <c r="C252" s="10"/>
      <c r="D252" s="10">
        <v>5</v>
      </c>
      <c r="E252" s="10">
        <v>5</v>
      </c>
      <c r="F252" s="30"/>
      <c r="G252" s="7">
        <f t="shared" si="79"/>
        <v>10</v>
      </c>
      <c r="H252" s="58">
        <v>42583</v>
      </c>
      <c r="I252" s="14"/>
      <c r="J252" s="8"/>
      <c r="K252" s="10"/>
      <c r="L252" s="10"/>
      <c r="M252" s="10"/>
      <c r="N252" s="30"/>
      <c r="O252" s="7">
        <f t="shared" si="80"/>
        <v>0</v>
      </c>
      <c r="P252" s="1"/>
    </row>
    <row r="253" spans="1:16" x14ac:dyDescent="0.15">
      <c r="A253" s="16"/>
      <c r="B253" s="8"/>
      <c r="C253" s="10"/>
      <c r="D253" s="10"/>
      <c r="E253" s="10"/>
      <c r="F253" s="30"/>
      <c r="G253" s="7">
        <f t="shared" si="79"/>
        <v>0</v>
      </c>
      <c r="H253" s="58"/>
      <c r="I253" s="16"/>
      <c r="J253" s="11"/>
      <c r="K253" s="12"/>
      <c r="L253" s="12"/>
      <c r="M253" s="12"/>
      <c r="N253" s="31"/>
      <c r="O253" s="7">
        <f t="shared" si="80"/>
        <v>0</v>
      </c>
      <c r="P253" s="1"/>
    </row>
    <row r="254" spans="1:16" x14ac:dyDescent="0.15">
      <c r="A254" s="16"/>
      <c r="B254" s="8"/>
      <c r="C254" s="10"/>
      <c r="D254" s="10"/>
      <c r="E254" s="10"/>
      <c r="F254" s="30"/>
      <c r="G254" s="7">
        <f t="shared" si="79"/>
        <v>0</v>
      </c>
      <c r="H254" s="58"/>
      <c r="I254" s="14"/>
      <c r="J254" s="8"/>
      <c r="K254" s="10"/>
      <c r="L254" s="10"/>
      <c r="M254" s="10"/>
      <c r="N254" s="30"/>
      <c r="O254" s="7">
        <f t="shared" si="80"/>
        <v>0</v>
      </c>
      <c r="P254" s="1"/>
    </row>
    <row r="255" spans="1:16" ht="14.25" thickBot="1" x14ac:dyDescent="0.2">
      <c r="A255" s="14"/>
      <c r="B255" s="11"/>
      <c r="C255" s="12"/>
      <c r="D255" s="12"/>
      <c r="E255" s="12"/>
      <c r="F255" s="31"/>
      <c r="G255" s="7">
        <f t="shared" si="79"/>
        <v>0</v>
      </c>
      <c r="H255" s="58"/>
      <c r="I255" s="20"/>
      <c r="J255" s="11"/>
      <c r="K255" s="12"/>
      <c r="L255" s="12"/>
      <c r="M255" s="12"/>
      <c r="N255" s="31"/>
      <c r="O255" s="7">
        <f t="shared" si="80"/>
        <v>0</v>
      </c>
      <c r="P255" s="36"/>
    </row>
    <row r="256" spans="1:16" ht="14.25" thickBot="1" x14ac:dyDescent="0.2">
      <c r="A256" s="3" t="s">
        <v>11</v>
      </c>
      <c r="B256" s="23">
        <f>SUM(B230:B255)</f>
        <v>29</v>
      </c>
      <c r="C256" s="4">
        <f>SUM(C230:C255)</f>
        <v>35</v>
      </c>
      <c r="D256" s="4">
        <f>SUM(D230:D255)</f>
        <v>34</v>
      </c>
      <c r="E256" s="6">
        <f>SUM(E230:E255)</f>
        <v>53</v>
      </c>
      <c r="F256" s="32">
        <f>SUM(F230:F255)</f>
        <v>52</v>
      </c>
      <c r="G256" s="5">
        <f>SUM(B256:F256)</f>
        <v>203</v>
      </c>
      <c r="H256" s="58"/>
      <c r="I256" s="3" t="s">
        <v>11</v>
      </c>
      <c r="J256" s="23">
        <f>SUM(J230:J255)</f>
        <v>27</v>
      </c>
      <c r="K256" s="4">
        <f>SUM(K230:K255)</f>
        <v>67</v>
      </c>
      <c r="L256" s="4">
        <f>SUM(L230:L255)</f>
        <v>45</v>
      </c>
      <c r="M256" s="6">
        <f>SUM(M230:M255)</f>
        <v>66</v>
      </c>
      <c r="N256" s="32">
        <f>SUM(N230:N255)</f>
        <v>62</v>
      </c>
      <c r="O256" s="5">
        <f>SUM(J256:N256)</f>
        <v>267</v>
      </c>
    </row>
    <row r="257" spans="1:16" ht="14.25" thickBot="1" x14ac:dyDescent="0.2">
      <c r="A257" s="25" t="s">
        <v>12</v>
      </c>
      <c r="B257" s="63">
        <f>B229-B256</f>
        <v>9</v>
      </c>
      <c r="C257" s="26">
        <f t="shared" ref="C257:G257" si="81">C229-C256</f>
        <v>10</v>
      </c>
      <c r="D257" s="71">
        <f t="shared" si="81"/>
        <v>8</v>
      </c>
      <c r="E257" s="26">
        <f t="shared" si="81"/>
        <v>12</v>
      </c>
      <c r="F257" s="70">
        <f t="shared" si="81"/>
        <v>12</v>
      </c>
      <c r="G257" s="27">
        <f t="shared" si="81"/>
        <v>51</v>
      </c>
      <c r="H257" s="58"/>
      <c r="I257" s="25" t="s">
        <v>12</v>
      </c>
      <c r="J257" s="63">
        <f>J229-J256</f>
        <v>195</v>
      </c>
      <c r="K257" s="26">
        <f t="shared" ref="K257:O257" si="82">K229-K256</f>
        <v>108</v>
      </c>
      <c r="L257" s="71">
        <f t="shared" si="82"/>
        <v>177</v>
      </c>
      <c r="M257" s="26">
        <f t="shared" si="82"/>
        <v>122</v>
      </c>
      <c r="N257" s="70">
        <f t="shared" si="82"/>
        <v>95</v>
      </c>
      <c r="O257" s="27">
        <f t="shared" si="82"/>
        <v>697</v>
      </c>
    </row>
    <row r="258" spans="1:16" ht="17.25" x14ac:dyDescent="0.2">
      <c r="A258" s="79" t="s">
        <v>56</v>
      </c>
      <c r="B258" s="80"/>
      <c r="C258" s="80"/>
      <c r="D258" s="80"/>
      <c r="E258" s="80"/>
      <c r="F258" s="80"/>
      <c r="G258" s="80"/>
      <c r="H258" s="56"/>
      <c r="I258" s="79" t="s">
        <v>56</v>
      </c>
      <c r="J258" s="80"/>
      <c r="K258" s="80"/>
      <c r="L258" s="80"/>
      <c r="M258" s="80"/>
      <c r="N258" s="80"/>
      <c r="O258" s="1"/>
      <c r="P258" s="1"/>
    </row>
    <row r="259" spans="1:16" ht="21.75" thickBot="1" x14ac:dyDescent="0.25">
      <c r="A259" s="82" t="s">
        <v>55</v>
      </c>
      <c r="B259" s="80"/>
      <c r="C259" s="80"/>
      <c r="D259" s="80"/>
      <c r="E259" s="81" t="s">
        <v>53</v>
      </c>
      <c r="F259" s="80"/>
      <c r="G259" s="80"/>
      <c r="H259" s="58"/>
      <c r="I259" s="82" t="s">
        <v>55</v>
      </c>
      <c r="J259" s="80"/>
      <c r="K259" s="80"/>
      <c r="L259" s="80"/>
      <c r="M259" s="81" t="s">
        <v>54</v>
      </c>
      <c r="N259" s="80"/>
      <c r="O259" s="1"/>
      <c r="P259" s="1"/>
    </row>
    <row r="260" spans="1:16" ht="14.25" thickBot="1" x14ac:dyDescent="0.2">
      <c r="A260" s="13" t="s">
        <v>0</v>
      </c>
      <c r="B260" s="228" t="s">
        <v>57</v>
      </c>
      <c r="C260" s="229"/>
      <c r="D260" s="229"/>
      <c r="E260" s="229"/>
      <c r="F260" s="230"/>
      <c r="G260" s="231"/>
      <c r="H260" s="58"/>
      <c r="I260" s="13" t="s">
        <v>0</v>
      </c>
      <c r="J260" s="232" t="s">
        <v>57</v>
      </c>
      <c r="K260" s="233"/>
      <c r="L260" s="233"/>
      <c r="M260" s="233"/>
      <c r="N260" s="233"/>
      <c r="O260" s="234"/>
      <c r="P260" s="1"/>
    </row>
    <row r="261" spans="1:16" ht="14.25" thickBot="1" x14ac:dyDescent="0.2">
      <c r="A261" s="3" t="s">
        <v>1</v>
      </c>
      <c r="B261" s="2" t="s">
        <v>42</v>
      </c>
      <c r="C261" s="21" t="s">
        <v>43</v>
      </c>
      <c r="D261" s="21" t="s">
        <v>44</v>
      </c>
      <c r="E261" s="24" t="s">
        <v>45</v>
      </c>
      <c r="F261" s="33" t="s">
        <v>46</v>
      </c>
      <c r="G261" s="3" t="s">
        <v>2</v>
      </c>
      <c r="H261" s="58"/>
      <c r="I261" s="3" t="s">
        <v>1</v>
      </c>
      <c r="J261" s="2" t="s">
        <v>42</v>
      </c>
      <c r="K261" s="21" t="s">
        <v>43</v>
      </c>
      <c r="L261" s="21" t="s">
        <v>44</v>
      </c>
      <c r="M261" s="24" t="s">
        <v>45</v>
      </c>
      <c r="N261" s="33" t="s">
        <v>46</v>
      </c>
      <c r="O261" s="3" t="s">
        <v>2</v>
      </c>
      <c r="P261" s="1"/>
    </row>
    <row r="262" spans="1:16" ht="14.25" thickBot="1" x14ac:dyDescent="0.2">
      <c r="A262" s="72" t="s">
        <v>79</v>
      </c>
      <c r="B262" s="73">
        <f>B257</f>
        <v>9</v>
      </c>
      <c r="C262" s="74">
        <f t="shared" ref="C262:F262" si="83">C257</f>
        <v>10</v>
      </c>
      <c r="D262" s="107">
        <f t="shared" si="83"/>
        <v>8</v>
      </c>
      <c r="E262" s="75">
        <f t="shared" si="83"/>
        <v>12</v>
      </c>
      <c r="F262" s="75">
        <f t="shared" si="83"/>
        <v>12</v>
      </c>
      <c r="G262" s="76">
        <f t="shared" ref="G262:G271" si="84">SUM(B262:F262)</f>
        <v>51</v>
      </c>
      <c r="H262" s="58"/>
      <c r="I262" s="72" t="s">
        <v>79</v>
      </c>
      <c r="J262" s="73">
        <f>J257</f>
        <v>195</v>
      </c>
      <c r="K262" s="74">
        <f t="shared" ref="K262:N262" si="85">K257</f>
        <v>108</v>
      </c>
      <c r="L262" s="107">
        <f t="shared" si="85"/>
        <v>177</v>
      </c>
      <c r="M262" s="75">
        <f t="shared" si="85"/>
        <v>122</v>
      </c>
      <c r="N262" s="75">
        <f t="shared" si="85"/>
        <v>95</v>
      </c>
      <c r="O262" s="76">
        <f t="shared" ref="O262:O271" si="86">SUM(J262:N262)</f>
        <v>697</v>
      </c>
      <c r="P262" s="1"/>
    </row>
    <row r="263" spans="1:16" x14ac:dyDescent="0.15">
      <c r="A263" s="38" t="s">
        <v>15</v>
      </c>
      <c r="B263" s="37">
        <v>5</v>
      </c>
      <c r="C263" s="35">
        <v>5</v>
      </c>
      <c r="D263" s="35">
        <v>15</v>
      </c>
      <c r="E263" s="35"/>
      <c r="F263" s="28"/>
      <c r="G263" s="7">
        <f t="shared" si="84"/>
        <v>25</v>
      </c>
      <c r="H263" s="58">
        <v>42585</v>
      </c>
      <c r="I263" s="38" t="s">
        <v>15</v>
      </c>
      <c r="J263" s="37"/>
      <c r="K263" s="35"/>
      <c r="L263" s="35"/>
      <c r="M263" s="35"/>
      <c r="N263" s="28"/>
      <c r="O263" s="7">
        <f t="shared" si="86"/>
        <v>0</v>
      </c>
      <c r="P263" s="1"/>
    </row>
    <row r="264" spans="1:16" x14ac:dyDescent="0.15">
      <c r="A264" s="39" t="s">
        <v>238</v>
      </c>
      <c r="B264" s="8">
        <v>1</v>
      </c>
      <c r="C264" s="10"/>
      <c r="D264" s="10"/>
      <c r="E264" s="10"/>
      <c r="F264" s="28"/>
      <c r="G264" s="9">
        <f t="shared" si="84"/>
        <v>1</v>
      </c>
      <c r="H264" s="36">
        <v>42583</v>
      </c>
      <c r="I264" s="15" t="s">
        <v>3</v>
      </c>
      <c r="J264" s="8"/>
      <c r="K264" s="10"/>
      <c r="L264" s="10"/>
      <c r="M264" s="10"/>
      <c r="N264" s="28"/>
      <c r="O264" s="9">
        <f t="shared" si="86"/>
        <v>0</v>
      </c>
      <c r="P264" s="36"/>
    </row>
    <row r="265" spans="1:16" x14ac:dyDescent="0.15">
      <c r="A265" s="38" t="s">
        <v>17</v>
      </c>
      <c r="B265" s="8"/>
      <c r="C265" s="10"/>
      <c r="D265" s="10"/>
      <c r="E265" s="10">
        <v>2</v>
      </c>
      <c r="F265" s="28"/>
      <c r="G265" s="9">
        <f t="shared" si="84"/>
        <v>2</v>
      </c>
      <c r="H265" s="58">
        <v>42584</v>
      </c>
      <c r="I265" s="15" t="s">
        <v>18</v>
      </c>
      <c r="J265" s="8"/>
      <c r="K265" s="10"/>
      <c r="L265" s="10"/>
      <c r="M265" s="10"/>
      <c r="N265" s="28"/>
      <c r="O265" s="9">
        <f t="shared" si="86"/>
        <v>0</v>
      </c>
      <c r="P265" s="1"/>
    </row>
    <row r="266" spans="1:16" x14ac:dyDescent="0.15">
      <c r="A266" s="38" t="s">
        <v>26</v>
      </c>
      <c r="B266" s="8"/>
      <c r="C266" s="10"/>
      <c r="D266" s="10"/>
      <c r="E266" s="10"/>
      <c r="F266" s="28">
        <v>-1</v>
      </c>
      <c r="G266" s="9">
        <f t="shared" si="84"/>
        <v>-1</v>
      </c>
      <c r="H266" s="58">
        <v>42586</v>
      </c>
      <c r="I266" s="15" t="s">
        <v>20</v>
      </c>
      <c r="J266" s="8"/>
      <c r="K266" s="10"/>
      <c r="L266" s="10"/>
      <c r="M266" s="10"/>
      <c r="N266" s="28"/>
      <c r="O266" s="9">
        <f t="shared" si="86"/>
        <v>0</v>
      </c>
      <c r="P266" s="1"/>
    </row>
    <row r="267" spans="1:16" x14ac:dyDescent="0.15">
      <c r="A267" s="38" t="s">
        <v>19</v>
      </c>
      <c r="B267" s="8"/>
      <c r="C267" s="10">
        <v>1</v>
      </c>
      <c r="D267" s="10"/>
      <c r="E267" s="10"/>
      <c r="F267" s="28"/>
      <c r="G267" s="9">
        <f t="shared" si="84"/>
        <v>1</v>
      </c>
      <c r="H267" s="58">
        <v>42588</v>
      </c>
      <c r="I267" s="15" t="s">
        <v>80</v>
      </c>
      <c r="J267" s="8"/>
      <c r="K267" s="10"/>
      <c r="L267" s="10"/>
      <c r="M267" s="10"/>
      <c r="N267" s="28"/>
      <c r="O267" s="9">
        <f t="shared" si="86"/>
        <v>0</v>
      </c>
      <c r="P267" s="1"/>
    </row>
    <row r="268" spans="1:16" x14ac:dyDescent="0.15">
      <c r="A268" s="38" t="s">
        <v>17</v>
      </c>
      <c r="B268" s="8"/>
      <c r="C268" s="10"/>
      <c r="D268" s="10">
        <v>1</v>
      </c>
      <c r="E268" s="10"/>
      <c r="F268" s="28"/>
      <c r="G268" s="9">
        <f t="shared" si="84"/>
        <v>1</v>
      </c>
      <c r="H268" s="58">
        <v>42592</v>
      </c>
      <c r="I268" s="15" t="s">
        <v>81</v>
      </c>
      <c r="J268" s="8"/>
      <c r="K268" s="10"/>
      <c r="L268" s="10"/>
      <c r="M268" s="10"/>
      <c r="N268" s="28"/>
      <c r="O268" s="9">
        <f t="shared" si="86"/>
        <v>0</v>
      </c>
      <c r="P268" s="36"/>
    </row>
    <row r="269" spans="1:16" x14ac:dyDescent="0.15">
      <c r="A269" s="38" t="s">
        <v>19</v>
      </c>
      <c r="B269" s="8">
        <v>1</v>
      </c>
      <c r="C269" s="10">
        <v>1</v>
      </c>
      <c r="D269" s="10">
        <v>2</v>
      </c>
      <c r="E269" s="10">
        <v>2</v>
      </c>
      <c r="F269" s="30">
        <v>2</v>
      </c>
      <c r="G269" s="7">
        <f t="shared" si="84"/>
        <v>8</v>
      </c>
      <c r="H269" s="58">
        <v>42598</v>
      </c>
      <c r="I269" s="15" t="s">
        <v>82</v>
      </c>
      <c r="J269" s="8"/>
      <c r="K269" s="10"/>
      <c r="L269" s="10"/>
      <c r="M269" s="10"/>
      <c r="N269" s="28"/>
      <c r="O269" s="9">
        <f t="shared" si="86"/>
        <v>0</v>
      </c>
      <c r="P269" s="1"/>
    </row>
    <row r="270" spans="1:16" x14ac:dyDescent="0.15">
      <c r="A270" s="38" t="s">
        <v>83</v>
      </c>
      <c r="B270" s="11"/>
      <c r="C270" s="100"/>
      <c r="D270" s="100"/>
      <c r="E270" s="100">
        <v>10</v>
      </c>
      <c r="F270" s="101">
        <v>15</v>
      </c>
      <c r="G270" s="102">
        <f t="shared" si="84"/>
        <v>25</v>
      </c>
      <c r="H270" s="58">
        <v>42600</v>
      </c>
      <c r="I270" s="15" t="s">
        <v>83</v>
      </c>
      <c r="J270" s="8"/>
      <c r="K270" s="10"/>
      <c r="L270" s="10"/>
      <c r="M270" s="10"/>
      <c r="N270" s="30"/>
      <c r="O270" s="7">
        <f t="shared" si="86"/>
        <v>0</v>
      </c>
      <c r="P270" s="1"/>
    </row>
    <row r="271" spans="1:16" ht="14.25" thickBot="1" x14ac:dyDescent="0.2">
      <c r="A271" s="38" t="s">
        <v>243</v>
      </c>
      <c r="B271" s="11"/>
      <c r="C271" s="100">
        <v>1</v>
      </c>
      <c r="D271" s="100"/>
      <c r="E271" s="100">
        <v>1</v>
      </c>
      <c r="F271" s="101">
        <v>1</v>
      </c>
      <c r="G271" s="102">
        <f t="shared" si="84"/>
        <v>3</v>
      </c>
      <c r="H271" s="58">
        <v>42602</v>
      </c>
      <c r="I271" s="15" t="s">
        <v>87</v>
      </c>
      <c r="J271" s="11"/>
      <c r="K271" s="100"/>
      <c r="L271" s="100"/>
      <c r="M271" s="100"/>
      <c r="N271" s="101"/>
      <c r="O271" s="102">
        <f t="shared" si="86"/>
        <v>0</v>
      </c>
      <c r="P271" s="1"/>
    </row>
    <row r="272" spans="1:16" ht="14.25" thickBot="1" x14ac:dyDescent="0.2">
      <c r="A272" s="72" t="s">
        <v>7</v>
      </c>
      <c r="B272" s="73">
        <f>SUM(B262:B271)</f>
        <v>16</v>
      </c>
      <c r="C272" s="74">
        <f t="shared" ref="C272:G272" si="87">SUM(C262:C271)</f>
        <v>18</v>
      </c>
      <c r="D272" s="74">
        <f t="shared" si="87"/>
        <v>26</v>
      </c>
      <c r="E272" s="74">
        <f t="shared" si="87"/>
        <v>27</v>
      </c>
      <c r="F272" s="105">
        <f t="shared" si="87"/>
        <v>29</v>
      </c>
      <c r="G272" s="76">
        <f t="shared" si="87"/>
        <v>116</v>
      </c>
      <c r="H272" s="58"/>
      <c r="I272" s="72" t="s">
        <v>7</v>
      </c>
      <c r="J272" s="73">
        <f>SUM(J262:J271)</f>
        <v>195</v>
      </c>
      <c r="K272" s="74">
        <f t="shared" ref="K272:O272" si="88">SUM(K262:K271)</f>
        <v>108</v>
      </c>
      <c r="L272" s="74">
        <f t="shared" si="88"/>
        <v>177</v>
      </c>
      <c r="M272" s="74">
        <f t="shared" si="88"/>
        <v>122</v>
      </c>
      <c r="N272" s="105">
        <f t="shared" si="88"/>
        <v>95</v>
      </c>
      <c r="O272" s="76">
        <f t="shared" si="88"/>
        <v>697</v>
      </c>
      <c r="P272" s="1"/>
    </row>
    <row r="273" spans="1:16" x14ac:dyDescent="0.15">
      <c r="A273" s="51" t="s">
        <v>136</v>
      </c>
      <c r="B273" s="8">
        <v>3</v>
      </c>
      <c r="C273" s="10"/>
      <c r="D273" s="10"/>
      <c r="E273" s="10"/>
      <c r="F273" s="30"/>
      <c r="G273" s="7">
        <f t="shared" ref="G273" si="89">SUM(B273:F273)</f>
        <v>3</v>
      </c>
      <c r="H273" s="58">
        <v>42587</v>
      </c>
      <c r="I273" s="16" t="s">
        <v>237</v>
      </c>
      <c r="J273" s="17">
        <v>5</v>
      </c>
      <c r="K273" s="22">
        <v>5</v>
      </c>
      <c r="L273" s="22">
        <v>15</v>
      </c>
      <c r="M273" s="22"/>
      <c r="N273" s="29"/>
      <c r="O273" s="18">
        <f t="shared" ref="O273:O298" si="90">SUM(J273:N273)</f>
        <v>25</v>
      </c>
      <c r="P273" s="36">
        <v>42585</v>
      </c>
    </row>
    <row r="274" spans="1:16" x14ac:dyDescent="0.15">
      <c r="A274" s="51" t="s">
        <v>241</v>
      </c>
      <c r="B274" s="8"/>
      <c r="C274" s="10"/>
      <c r="D274" s="10">
        <v>10</v>
      </c>
      <c r="E274" s="10"/>
      <c r="F274" s="30"/>
      <c r="G274" s="7">
        <f t="shared" ref="G274:G298" si="91">SUM(B274:F274)</f>
        <v>10</v>
      </c>
      <c r="H274" s="58">
        <v>42590</v>
      </c>
      <c r="I274" s="16" t="s">
        <v>24</v>
      </c>
      <c r="J274" s="8"/>
      <c r="K274" s="10"/>
      <c r="L274" s="10"/>
      <c r="M274" s="10">
        <v>10</v>
      </c>
      <c r="N274" s="30">
        <v>15</v>
      </c>
      <c r="O274" s="7">
        <f t="shared" si="90"/>
        <v>25</v>
      </c>
      <c r="P274" s="36">
        <v>42600</v>
      </c>
    </row>
    <row r="275" spans="1:16" x14ac:dyDescent="0.15">
      <c r="A275" s="14" t="s">
        <v>117</v>
      </c>
      <c r="B275" s="8"/>
      <c r="C275" s="10"/>
      <c r="D275" s="10"/>
      <c r="E275" s="10"/>
      <c r="F275" s="30">
        <v>1</v>
      </c>
      <c r="G275" s="7">
        <f t="shared" si="91"/>
        <v>1</v>
      </c>
      <c r="H275" s="58">
        <v>42586</v>
      </c>
      <c r="I275" s="16"/>
      <c r="J275" s="8"/>
      <c r="K275" s="10"/>
      <c r="L275" s="10"/>
      <c r="M275" s="10"/>
      <c r="N275" s="30"/>
      <c r="O275" s="7">
        <f t="shared" si="90"/>
        <v>0</v>
      </c>
      <c r="P275" s="36"/>
    </row>
    <row r="276" spans="1:16" x14ac:dyDescent="0.15">
      <c r="A276" s="14" t="s">
        <v>117</v>
      </c>
      <c r="B276" s="8"/>
      <c r="C276" s="10"/>
      <c r="D276" s="10">
        <v>1</v>
      </c>
      <c r="E276" s="10"/>
      <c r="F276" s="30"/>
      <c r="G276" s="7">
        <f t="shared" si="91"/>
        <v>1</v>
      </c>
      <c r="H276" s="58">
        <v>42588</v>
      </c>
      <c r="I276" s="16"/>
      <c r="J276" s="8"/>
      <c r="K276" s="10"/>
      <c r="L276" s="10"/>
      <c r="M276" s="10"/>
      <c r="N276" s="30"/>
      <c r="O276" s="7">
        <f t="shared" si="90"/>
        <v>0</v>
      </c>
      <c r="P276" s="1"/>
    </row>
    <row r="277" spans="1:16" x14ac:dyDescent="0.15">
      <c r="A277" s="14" t="s">
        <v>117</v>
      </c>
      <c r="B277" s="8">
        <v>1</v>
      </c>
      <c r="C277" s="10"/>
      <c r="D277" s="10"/>
      <c r="E277" s="10"/>
      <c r="F277" s="30"/>
      <c r="G277" s="7">
        <f t="shared" si="91"/>
        <v>1</v>
      </c>
      <c r="H277" s="58">
        <v>42591</v>
      </c>
      <c r="I277" s="16"/>
      <c r="J277" s="8"/>
      <c r="K277" s="10"/>
      <c r="L277" s="10"/>
      <c r="M277" s="10"/>
      <c r="N277" s="30"/>
      <c r="O277" s="7">
        <f t="shared" si="90"/>
        <v>0</v>
      </c>
      <c r="P277" s="1"/>
    </row>
    <row r="278" spans="1:16" x14ac:dyDescent="0.15">
      <c r="A278" s="39" t="s">
        <v>249</v>
      </c>
      <c r="B278" s="8">
        <v>3</v>
      </c>
      <c r="C278" s="10"/>
      <c r="D278" s="10">
        <v>3</v>
      </c>
      <c r="E278" s="10"/>
      <c r="F278" s="30"/>
      <c r="G278" s="7">
        <f t="shared" si="91"/>
        <v>6</v>
      </c>
      <c r="H278" s="58">
        <v>42600</v>
      </c>
      <c r="I278" s="16"/>
      <c r="J278" s="8"/>
      <c r="K278" s="10"/>
      <c r="L278" s="10"/>
      <c r="M278" s="10"/>
      <c r="N278" s="30"/>
      <c r="O278" s="7">
        <f t="shared" si="90"/>
        <v>0</v>
      </c>
      <c r="P278" s="1"/>
    </row>
    <row r="279" spans="1:16" x14ac:dyDescent="0.15">
      <c r="A279" s="16" t="s">
        <v>215</v>
      </c>
      <c r="B279" s="8"/>
      <c r="C279" s="10">
        <v>1</v>
      </c>
      <c r="D279" s="10"/>
      <c r="E279" s="10"/>
      <c r="F279" s="30"/>
      <c r="G279" s="7">
        <f t="shared" si="91"/>
        <v>1</v>
      </c>
      <c r="H279" s="58">
        <v>42600</v>
      </c>
      <c r="I279" s="16"/>
      <c r="J279" s="8"/>
      <c r="K279" s="10"/>
      <c r="L279" s="10"/>
      <c r="M279" s="10"/>
      <c r="N279" s="30"/>
      <c r="O279" s="7">
        <f t="shared" si="90"/>
        <v>0</v>
      </c>
      <c r="P279" s="1"/>
    </row>
    <row r="280" spans="1:16" x14ac:dyDescent="0.15">
      <c r="A280" s="16" t="s">
        <v>251</v>
      </c>
      <c r="B280" s="8"/>
      <c r="C280" s="10"/>
      <c r="D280" s="10"/>
      <c r="E280" s="10">
        <v>1</v>
      </c>
      <c r="F280" s="30"/>
      <c r="G280" s="7">
        <f t="shared" si="91"/>
        <v>1</v>
      </c>
      <c r="H280" s="58">
        <v>42598</v>
      </c>
      <c r="I280" s="16"/>
      <c r="J280" s="8"/>
      <c r="K280" s="10"/>
      <c r="L280" s="10"/>
      <c r="M280" s="10"/>
      <c r="N280" s="30"/>
      <c r="O280" s="7">
        <f t="shared" si="90"/>
        <v>0</v>
      </c>
      <c r="P280" s="1"/>
    </row>
    <row r="281" spans="1:16" x14ac:dyDescent="0.15">
      <c r="A281" s="51" t="s">
        <v>22</v>
      </c>
      <c r="B281" s="8"/>
      <c r="C281" s="10"/>
      <c r="D281" s="10"/>
      <c r="E281" s="10">
        <v>10</v>
      </c>
      <c r="F281" s="30">
        <v>10</v>
      </c>
      <c r="G281" s="7">
        <f t="shared" si="91"/>
        <v>20</v>
      </c>
      <c r="H281" s="58">
        <v>42604</v>
      </c>
      <c r="I281" s="39"/>
      <c r="J281" s="8"/>
      <c r="K281" s="10"/>
      <c r="L281" s="10"/>
      <c r="M281" s="10"/>
      <c r="N281" s="30"/>
      <c r="O281" s="7">
        <f t="shared" si="90"/>
        <v>0</v>
      </c>
      <c r="P281" s="1"/>
    </row>
    <row r="282" spans="1:16" x14ac:dyDescent="0.15">
      <c r="A282" s="16" t="s">
        <v>215</v>
      </c>
      <c r="B282" s="11"/>
      <c r="C282" s="12"/>
      <c r="D282" s="12"/>
      <c r="E282" s="12"/>
      <c r="F282" s="31">
        <v>1</v>
      </c>
      <c r="G282" s="7">
        <f t="shared" si="91"/>
        <v>1</v>
      </c>
      <c r="H282" s="58">
        <v>42601</v>
      </c>
      <c r="I282" s="16"/>
      <c r="J282" s="11"/>
      <c r="K282" s="12"/>
      <c r="L282" s="12"/>
      <c r="M282" s="12"/>
      <c r="N282" s="31"/>
      <c r="O282" s="7">
        <f t="shared" si="90"/>
        <v>0</v>
      </c>
      <c r="P282" s="1"/>
    </row>
    <row r="283" spans="1:16" x14ac:dyDescent="0.15">
      <c r="A283" s="14" t="s">
        <v>252</v>
      </c>
      <c r="B283" s="11"/>
      <c r="C283" s="12"/>
      <c r="D283" s="12"/>
      <c r="E283" s="12"/>
      <c r="F283" s="31">
        <v>1</v>
      </c>
      <c r="G283" s="7">
        <f t="shared" si="91"/>
        <v>1</v>
      </c>
      <c r="H283" s="58">
        <v>42602</v>
      </c>
      <c r="I283" s="16"/>
      <c r="J283" s="8"/>
      <c r="K283" s="10"/>
      <c r="L283" s="10"/>
      <c r="M283" s="10"/>
      <c r="N283" s="30"/>
      <c r="O283" s="7">
        <f t="shared" si="90"/>
        <v>0</v>
      </c>
      <c r="P283" s="1"/>
    </row>
    <row r="284" spans="1:16" x14ac:dyDescent="0.15">
      <c r="A284" s="14" t="s">
        <v>29</v>
      </c>
      <c r="B284" s="8"/>
      <c r="C284" s="10"/>
      <c r="D284" s="10"/>
      <c r="E284" s="10">
        <v>1</v>
      </c>
      <c r="F284" s="30"/>
      <c r="G284" s="7">
        <f t="shared" si="91"/>
        <v>1</v>
      </c>
      <c r="H284" s="58">
        <v>42601</v>
      </c>
      <c r="I284" s="39"/>
      <c r="J284" s="8"/>
      <c r="K284" s="10"/>
      <c r="L284" s="10"/>
      <c r="M284" s="10"/>
      <c r="N284" s="30"/>
      <c r="O284" s="7">
        <f t="shared" si="90"/>
        <v>0</v>
      </c>
      <c r="P284" s="1"/>
    </row>
    <row r="285" spans="1:16" x14ac:dyDescent="0.15">
      <c r="A285" s="16"/>
      <c r="B285" s="8"/>
      <c r="C285" s="10"/>
      <c r="D285" s="10"/>
      <c r="E285" s="10"/>
      <c r="F285" s="30"/>
      <c r="G285" s="7">
        <f t="shared" si="91"/>
        <v>0</v>
      </c>
      <c r="H285" s="58"/>
      <c r="I285" s="16"/>
      <c r="J285" s="8"/>
      <c r="K285" s="10"/>
      <c r="L285" s="10"/>
      <c r="M285" s="10"/>
      <c r="N285" s="30"/>
      <c r="O285" s="7">
        <f t="shared" si="90"/>
        <v>0</v>
      </c>
      <c r="P285" s="1"/>
    </row>
    <row r="286" spans="1:16" x14ac:dyDescent="0.15">
      <c r="A286" s="16"/>
      <c r="B286" s="8"/>
      <c r="C286" s="10"/>
      <c r="D286" s="10"/>
      <c r="E286" s="10"/>
      <c r="F286" s="30"/>
      <c r="G286" s="7">
        <f t="shared" ref="G286:G287" si="92">SUM(B286:F286)</f>
        <v>0</v>
      </c>
      <c r="H286" s="58"/>
      <c r="I286" s="16"/>
      <c r="J286" s="8"/>
      <c r="K286" s="10"/>
      <c r="L286" s="10"/>
      <c r="M286" s="10"/>
      <c r="N286" s="30"/>
      <c r="O286" s="7">
        <f t="shared" si="90"/>
        <v>0</v>
      </c>
      <c r="P286" s="36"/>
    </row>
    <row r="287" spans="1:16" x14ac:dyDescent="0.15">
      <c r="A287" s="14"/>
      <c r="B287" s="8"/>
      <c r="C287" s="10"/>
      <c r="D287" s="10"/>
      <c r="E287" s="10"/>
      <c r="F287" s="30"/>
      <c r="G287" s="7">
        <f t="shared" si="92"/>
        <v>0</v>
      </c>
      <c r="H287" s="58"/>
      <c r="I287" s="16"/>
      <c r="J287" s="8"/>
      <c r="K287" s="10"/>
      <c r="L287" s="10"/>
      <c r="M287" s="10"/>
      <c r="N287" s="30"/>
      <c r="O287" s="7">
        <f t="shared" si="90"/>
        <v>0</v>
      </c>
      <c r="P287" s="36"/>
    </row>
    <row r="288" spans="1:16" x14ac:dyDescent="0.15">
      <c r="A288" s="16"/>
      <c r="B288" s="8"/>
      <c r="C288" s="10"/>
      <c r="D288" s="10"/>
      <c r="E288" s="10"/>
      <c r="F288" s="30"/>
      <c r="G288" s="7">
        <f t="shared" si="91"/>
        <v>0</v>
      </c>
      <c r="H288" s="58"/>
      <c r="I288" s="16"/>
      <c r="J288" s="8"/>
      <c r="K288" s="10"/>
      <c r="L288" s="10"/>
      <c r="M288" s="10"/>
      <c r="N288" s="30"/>
      <c r="O288" s="7">
        <f t="shared" si="90"/>
        <v>0</v>
      </c>
      <c r="P288" s="1"/>
    </row>
    <row r="289" spans="1:17" x14ac:dyDescent="0.15">
      <c r="A289" s="14"/>
      <c r="B289" s="8"/>
      <c r="C289" s="10"/>
      <c r="D289" s="10"/>
      <c r="E289" s="10"/>
      <c r="F289" s="30"/>
      <c r="G289" s="7">
        <f t="shared" si="91"/>
        <v>0</v>
      </c>
      <c r="H289" s="58"/>
      <c r="I289" s="14"/>
      <c r="J289" s="8"/>
      <c r="K289" s="10"/>
      <c r="L289" s="10"/>
      <c r="M289" s="10"/>
      <c r="N289" s="30"/>
      <c r="O289" s="7">
        <f t="shared" si="90"/>
        <v>0</v>
      </c>
      <c r="P289" s="36"/>
    </row>
    <row r="290" spans="1:17" x14ac:dyDescent="0.15">
      <c r="A290" s="16"/>
      <c r="B290" s="8"/>
      <c r="C290" s="10"/>
      <c r="D290" s="10"/>
      <c r="E290" s="10"/>
      <c r="F290" s="30"/>
      <c r="G290" s="7">
        <f t="shared" si="91"/>
        <v>0</v>
      </c>
      <c r="H290" s="58"/>
      <c r="I290" s="16"/>
      <c r="J290" s="8"/>
      <c r="K290" s="10"/>
      <c r="L290" s="10"/>
      <c r="M290" s="10"/>
      <c r="N290" s="30"/>
      <c r="O290" s="7">
        <f t="shared" si="90"/>
        <v>0</v>
      </c>
      <c r="P290" s="36"/>
    </row>
    <row r="291" spans="1:17" x14ac:dyDescent="0.15">
      <c r="A291" s="14"/>
      <c r="B291" s="8"/>
      <c r="C291" s="10"/>
      <c r="D291" s="10"/>
      <c r="E291" s="10"/>
      <c r="F291" s="30"/>
      <c r="G291" s="7">
        <f t="shared" si="91"/>
        <v>0</v>
      </c>
      <c r="H291" s="58"/>
      <c r="I291" s="14"/>
      <c r="J291" s="8"/>
      <c r="K291" s="10"/>
      <c r="L291" s="10"/>
      <c r="M291" s="10"/>
      <c r="N291" s="30"/>
      <c r="O291" s="7">
        <f t="shared" si="90"/>
        <v>0</v>
      </c>
      <c r="P291" s="1"/>
    </row>
    <row r="292" spans="1:17" x14ac:dyDescent="0.15">
      <c r="A292" s="14"/>
      <c r="B292" s="8"/>
      <c r="C292" s="10"/>
      <c r="D292" s="10"/>
      <c r="E292" s="10"/>
      <c r="F292" s="30"/>
      <c r="G292" s="7">
        <f t="shared" si="91"/>
        <v>0</v>
      </c>
      <c r="H292" s="58"/>
      <c r="I292" s="16"/>
      <c r="J292" s="11"/>
      <c r="K292" s="12"/>
      <c r="L292" s="12"/>
      <c r="M292" s="12"/>
      <c r="N292" s="31"/>
      <c r="O292" s="7">
        <f t="shared" si="90"/>
        <v>0</v>
      </c>
      <c r="P292" s="36"/>
      <c r="Q292" s="56"/>
    </row>
    <row r="293" spans="1:17" x14ac:dyDescent="0.15">
      <c r="A293" s="16"/>
      <c r="B293" s="8"/>
      <c r="C293" s="10"/>
      <c r="D293" s="10"/>
      <c r="E293" s="10"/>
      <c r="F293" s="30"/>
      <c r="G293" s="7">
        <f t="shared" si="91"/>
        <v>0</v>
      </c>
      <c r="H293" s="58"/>
      <c r="I293" s="14"/>
      <c r="J293" s="8"/>
      <c r="K293" s="10"/>
      <c r="L293" s="10"/>
      <c r="M293" s="10"/>
      <c r="N293" s="30"/>
      <c r="O293" s="7">
        <f t="shared" si="90"/>
        <v>0</v>
      </c>
      <c r="P293" s="36"/>
    </row>
    <row r="294" spans="1:17" x14ac:dyDescent="0.15">
      <c r="A294" s="14"/>
      <c r="B294" s="11"/>
      <c r="C294" s="12"/>
      <c r="D294" s="12"/>
      <c r="E294" s="12"/>
      <c r="F294" s="31"/>
      <c r="G294" s="7">
        <f t="shared" si="91"/>
        <v>0</v>
      </c>
      <c r="H294" s="58"/>
      <c r="I294" s="20"/>
      <c r="J294" s="11"/>
      <c r="K294" s="12"/>
      <c r="L294" s="12"/>
      <c r="M294" s="12"/>
      <c r="N294" s="31"/>
      <c r="O294" s="7">
        <f t="shared" si="90"/>
        <v>0</v>
      </c>
      <c r="P294" s="36"/>
    </row>
    <row r="295" spans="1:17" x14ac:dyDescent="0.15">
      <c r="A295" s="51"/>
      <c r="B295" s="8"/>
      <c r="C295" s="10"/>
      <c r="D295" s="10"/>
      <c r="E295" s="10"/>
      <c r="F295" s="30"/>
      <c r="G295" s="7">
        <f t="shared" si="91"/>
        <v>0</v>
      </c>
      <c r="H295" s="58"/>
      <c r="I295" s="14"/>
      <c r="J295" s="8"/>
      <c r="K295" s="10"/>
      <c r="L295" s="10"/>
      <c r="M295" s="10"/>
      <c r="N295" s="30"/>
      <c r="O295" s="7">
        <f t="shared" si="90"/>
        <v>0</v>
      </c>
      <c r="P295" s="1"/>
    </row>
    <row r="296" spans="1:17" x14ac:dyDescent="0.15">
      <c r="A296" s="14"/>
      <c r="B296" s="8"/>
      <c r="C296" s="10"/>
      <c r="D296" s="10"/>
      <c r="E296" s="10"/>
      <c r="F296" s="30"/>
      <c r="G296" s="7">
        <f t="shared" si="91"/>
        <v>0</v>
      </c>
      <c r="H296" s="58"/>
      <c r="I296" s="16"/>
      <c r="J296" s="8"/>
      <c r="K296" s="10"/>
      <c r="L296" s="10"/>
      <c r="M296" s="10"/>
      <c r="N296" s="30"/>
      <c r="O296" s="7">
        <f t="shared" ref="O296" si="93">SUM(J296:N296)</f>
        <v>0</v>
      </c>
      <c r="P296" s="36"/>
    </row>
    <row r="297" spans="1:17" x14ac:dyDescent="0.15">
      <c r="A297" s="16"/>
      <c r="B297" s="8"/>
      <c r="C297" s="10"/>
      <c r="D297" s="10"/>
      <c r="E297" s="10"/>
      <c r="F297" s="30"/>
      <c r="G297" s="7">
        <f t="shared" si="91"/>
        <v>0</v>
      </c>
      <c r="H297" s="58"/>
      <c r="I297" s="14"/>
      <c r="J297" s="8"/>
      <c r="K297" s="10"/>
      <c r="L297" s="10"/>
      <c r="M297" s="10"/>
      <c r="N297" s="30"/>
      <c r="O297" s="7">
        <f t="shared" ref="O297" si="94">SUM(J297:N297)</f>
        <v>0</v>
      </c>
      <c r="P297" s="36"/>
    </row>
    <row r="298" spans="1:17" ht="14.25" thickBot="1" x14ac:dyDescent="0.2">
      <c r="A298" s="14"/>
      <c r="B298" s="11"/>
      <c r="C298" s="12"/>
      <c r="D298" s="12"/>
      <c r="E298" s="12"/>
      <c r="F298" s="31"/>
      <c r="G298" s="7">
        <f t="shared" si="91"/>
        <v>0</v>
      </c>
      <c r="H298" s="58"/>
      <c r="I298" s="20"/>
      <c r="J298" s="11"/>
      <c r="K298" s="12"/>
      <c r="L298" s="12"/>
      <c r="M298" s="12"/>
      <c r="N298" s="31"/>
      <c r="O298" s="7">
        <f t="shared" si="90"/>
        <v>0</v>
      </c>
      <c r="P298" s="36"/>
    </row>
    <row r="299" spans="1:17" ht="14.25" thickBot="1" x14ac:dyDescent="0.2">
      <c r="A299" s="3" t="s">
        <v>11</v>
      </c>
      <c r="B299" s="23">
        <f>SUM(B273:B298)</f>
        <v>7</v>
      </c>
      <c r="C299" s="4">
        <f>SUM(C273:C298)</f>
        <v>1</v>
      </c>
      <c r="D299" s="4">
        <f>SUM(D273:D298)</f>
        <v>14</v>
      </c>
      <c r="E299" s="6">
        <f>SUM(E273:E298)</f>
        <v>12</v>
      </c>
      <c r="F299" s="32">
        <f>SUM(F273:F298)</f>
        <v>13</v>
      </c>
      <c r="G299" s="5">
        <f>SUM(B299:F299)</f>
        <v>47</v>
      </c>
      <c r="H299" s="58"/>
      <c r="I299" s="3" t="s">
        <v>11</v>
      </c>
      <c r="J299" s="23">
        <f>SUM(J273:J298)</f>
        <v>5</v>
      </c>
      <c r="K299" s="4">
        <f>SUM(K273:K298)</f>
        <v>5</v>
      </c>
      <c r="L299" s="4">
        <f>SUM(L273:L298)</f>
        <v>15</v>
      </c>
      <c r="M299" s="6">
        <f>SUM(M273:M298)</f>
        <v>10</v>
      </c>
      <c r="N299" s="32">
        <f>SUM(N273:N298)</f>
        <v>15</v>
      </c>
      <c r="O299" s="5">
        <f>SUM(J299:N299)</f>
        <v>50</v>
      </c>
    </row>
    <row r="300" spans="1:17" ht="14.25" thickBot="1" x14ac:dyDescent="0.2">
      <c r="A300" s="25" t="s">
        <v>12</v>
      </c>
      <c r="B300" s="63">
        <f>B272-B299</f>
        <v>9</v>
      </c>
      <c r="C300" s="26">
        <f t="shared" ref="C300:G300" si="95">C272-C299</f>
        <v>17</v>
      </c>
      <c r="D300" s="71">
        <f t="shared" si="95"/>
        <v>12</v>
      </c>
      <c r="E300" s="26">
        <f t="shared" si="95"/>
        <v>15</v>
      </c>
      <c r="F300" s="70">
        <f t="shared" si="95"/>
        <v>16</v>
      </c>
      <c r="G300" s="27">
        <f t="shared" si="95"/>
        <v>69</v>
      </c>
      <c r="H300" s="58"/>
      <c r="I300" s="25" t="s">
        <v>12</v>
      </c>
      <c r="J300" s="63">
        <f>J272-J299</f>
        <v>190</v>
      </c>
      <c r="K300" s="26">
        <f t="shared" ref="K300:O300" si="96">K272-K299</f>
        <v>103</v>
      </c>
      <c r="L300" s="71">
        <f t="shared" si="96"/>
        <v>162</v>
      </c>
      <c r="M300" s="26">
        <f t="shared" si="96"/>
        <v>112</v>
      </c>
      <c r="N300" s="70">
        <f t="shared" si="96"/>
        <v>80</v>
      </c>
      <c r="O300" s="27">
        <f t="shared" si="96"/>
        <v>647</v>
      </c>
    </row>
    <row r="301" spans="1:17" ht="17.25" x14ac:dyDescent="0.2">
      <c r="A301" s="79" t="s">
        <v>56</v>
      </c>
      <c r="B301" s="80"/>
      <c r="C301" s="80"/>
      <c r="D301" s="80"/>
      <c r="E301" s="80"/>
      <c r="F301" s="80"/>
      <c r="G301" s="80"/>
      <c r="H301" s="56"/>
      <c r="I301" s="79" t="s">
        <v>56</v>
      </c>
      <c r="J301" s="80"/>
      <c r="K301" s="80"/>
      <c r="L301" s="80"/>
      <c r="M301" s="80"/>
      <c r="N301" s="80"/>
      <c r="O301" s="1"/>
      <c r="P301" s="1"/>
    </row>
    <row r="302" spans="1:17" ht="21.75" thickBot="1" x14ac:dyDescent="0.25">
      <c r="A302" s="82" t="s">
        <v>55</v>
      </c>
      <c r="B302" s="80"/>
      <c r="C302" s="80"/>
      <c r="D302" s="80"/>
      <c r="E302" s="81" t="s">
        <v>53</v>
      </c>
      <c r="F302" s="80"/>
      <c r="G302" s="80"/>
      <c r="H302" s="58"/>
      <c r="I302" s="82" t="s">
        <v>55</v>
      </c>
      <c r="J302" s="80"/>
      <c r="K302" s="80"/>
      <c r="L302" s="80"/>
      <c r="M302" s="81" t="s">
        <v>54</v>
      </c>
      <c r="N302" s="80"/>
      <c r="O302" s="1"/>
      <c r="P302" s="1"/>
    </row>
    <row r="303" spans="1:17" ht="14.25" thickBot="1" x14ac:dyDescent="0.2">
      <c r="A303" s="13" t="s">
        <v>0</v>
      </c>
      <c r="B303" s="228" t="s">
        <v>57</v>
      </c>
      <c r="C303" s="229"/>
      <c r="D303" s="229"/>
      <c r="E303" s="229"/>
      <c r="F303" s="230"/>
      <c r="G303" s="231"/>
      <c r="H303" s="58"/>
      <c r="I303" s="13" t="s">
        <v>0</v>
      </c>
      <c r="J303" s="232" t="s">
        <v>57</v>
      </c>
      <c r="K303" s="233"/>
      <c r="L303" s="233"/>
      <c r="M303" s="233"/>
      <c r="N303" s="233"/>
      <c r="O303" s="234"/>
      <c r="P303" s="1"/>
    </row>
    <row r="304" spans="1:17" ht="14.25" thickBot="1" x14ac:dyDescent="0.2">
      <c r="A304" s="3" t="s">
        <v>1</v>
      </c>
      <c r="B304" s="2" t="s">
        <v>42</v>
      </c>
      <c r="C304" s="21" t="s">
        <v>43</v>
      </c>
      <c r="D304" s="21" t="s">
        <v>44</v>
      </c>
      <c r="E304" s="24" t="s">
        <v>45</v>
      </c>
      <c r="F304" s="33" t="s">
        <v>46</v>
      </c>
      <c r="G304" s="3" t="s">
        <v>2</v>
      </c>
      <c r="H304" s="58"/>
      <c r="I304" s="3" t="s">
        <v>1</v>
      </c>
      <c r="J304" s="2" t="s">
        <v>42</v>
      </c>
      <c r="K304" s="21" t="s">
        <v>43</v>
      </c>
      <c r="L304" s="21" t="s">
        <v>44</v>
      </c>
      <c r="M304" s="24" t="s">
        <v>45</v>
      </c>
      <c r="N304" s="33" t="s">
        <v>46</v>
      </c>
      <c r="O304" s="3" t="s">
        <v>2</v>
      </c>
      <c r="P304" s="1"/>
    </row>
    <row r="305" spans="1:17" ht="14.25" thickBot="1" x14ac:dyDescent="0.2">
      <c r="A305" s="72" t="s">
        <v>79</v>
      </c>
      <c r="B305" s="73">
        <f>B300</f>
        <v>9</v>
      </c>
      <c r="C305" s="74">
        <f t="shared" ref="C305:F305" si="97">C300</f>
        <v>17</v>
      </c>
      <c r="D305" s="107">
        <f t="shared" si="97"/>
        <v>12</v>
      </c>
      <c r="E305" s="75">
        <f t="shared" si="97"/>
        <v>15</v>
      </c>
      <c r="F305" s="75">
        <f t="shared" si="97"/>
        <v>16</v>
      </c>
      <c r="G305" s="76">
        <f t="shared" ref="G305:G314" si="98">SUM(B305:F305)</f>
        <v>69</v>
      </c>
      <c r="H305" s="58"/>
      <c r="I305" s="72" t="s">
        <v>79</v>
      </c>
      <c r="J305" s="73">
        <f>J300</f>
        <v>190</v>
      </c>
      <c r="K305" s="74">
        <f t="shared" ref="K305:N305" si="99">K300</f>
        <v>103</v>
      </c>
      <c r="L305" s="107">
        <f t="shared" si="99"/>
        <v>162</v>
      </c>
      <c r="M305" s="75">
        <f t="shared" si="99"/>
        <v>112</v>
      </c>
      <c r="N305" s="75">
        <f t="shared" si="99"/>
        <v>80</v>
      </c>
      <c r="O305" s="76">
        <f t="shared" ref="O305:O314" si="100">SUM(J305:N305)</f>
        <v>647</v>
      </c>
      <c r="P305" s="1"/>
    </row>
    <row r="306" spans="1:17" x14ac:dyDescent="0.15">
      <c r="A306" s="38" t="s">
        <v>15</v>
      </c>
      <c r="B306" s="37"/>
      <c r="C306" s="35">
        <v>10</v>
      </c>
      <c r="D306" s="35">
        <v>10</v>
      </c>
      <c r="E306" s="35">
        <v>20</v>
      </c>
      <c r="F306" s="28">
        <v>10</v>
      </c>
      <c r="G306" s="7">
        <f t="shared" si="98"/>
        <v>50</v>
      </c>
      <c r="H306" s="58">
        <v>42606</v>
      </c>
      <c r="I306" s="38" t="s">
        <v>15</v>
      </c>
      <c r="J306" s="37"/>
      <c r="K306" s="35"/>
      <c r="L306" s="35"/>
      <c r="M306" s="35"/>
      <c r="N306" s="28"/>
      <c r="O306" s="7">
        <f t="shared" si="100"/>
        <v>0</v>
      </c>
      <c r="P306" s="1"/>
    </row>
    <row r="307" spans="1:17" x14ac:dyDescent="0.15">
      <c r="A307" s="38" t="s">
        <v>183</v>
      </c>
      <c r="B307" s="8"/>
      <c r="C307" s="10"/>
      <c r="D307" s="10"/>
      <c r="E307" s="10">
        <v>1</v>
      </c>
      <c r="F307" s="28"/>
      <c r="G307" s="9">
        <f t="shared" si="98"/>
        <v>1</v>
      </c>
      <c r="H307" s="36">
        <v>42609</v>
      </c>
      <c r="I307" s="15" t="s">
        <v>3</v>
      </c>
      <c r="J307" s="8"/>
      <c r="K307" s="10"/>
      <c r="L307" s="10"/>
      <c r="M307" s="10"/>
      <c r="N307" s="28"/>
      <c r="O307" s="9">
        <f t="shared" si="100"/>
        <v>0</v>
      </c>
      <c r="P307" s="36"/>
    </row>
    <row r="308" spans="1:17" x14ac:dyDescent="0.15">
      <c r="A308" s="38" t="s">
        <v>261</v>
      </c>
      <c r="B308" s="8"/>
      <c r="C308" s="10">
        <v>1</v>
      </c>
      <c r="D308" s="10"/>
      <c r="E308" s="10">
        <v>1</v>
      </c>
      <c r="F308" s="28"/>
      <c r="G308" s="9">
        <f t="shared" si="98"/>
        <v>2</v>
      </c>
      <c r="H308" s="58">
        <v>42613</v>
      </c>
      <c r="I308" s="15" t="s">
        <v>18</v>
      </c>
      <c r="J308" s="8"/>
      <c r="K308" s="10"/>
      <c r="L308" s="10"/>
      <c r="M308" s="10"/>
      <c r="N308" s="28"/>
      <c r="O308" s="9">
        <f t="shared" si="100"/>
        <v>0</v>
      </c>
      <c r="P308" s="1"/>
    </row>
    <row r="309" spans="1:17" x14ac:dyDescent="0.15">
      <c r="A309" s="38" t="s">
        <v>20</v>
      </c>
      <c r="B309" s="8">
        <v>15</v>
      </c>
      <c r="C309" s="10"/>
      <c r="D309" s="10">
        <v>10</v>
      </c>
      <c r="E309" s="10"/>
      <c r="F309" s="28">
        <v>10</v>
      </c>
      <c r="G309" s="9">
        <f t="shared" si="98"/>
        <v>35</v>
      </c>
      <c r="H309" s="58">
        <v>42615</v>
      </c>
      <c r="I309" s="15" t="s">
        <v>20</v>
      </c>
      <c r="J309" s="8"/>
      <c r="K309" s="10"/>
      <c r="L309" s="10"/>
      <c r="M309" s="10"/>
      <c r="N309" s="28"/>
      <c r="O309" s="9">
        <f t="shared" si="100"/>
        <v>0</v>
      </c>
      <c r="P309" s="1"/>
    </row>
    <row r="310" spans="1:17" x14ac:dyDescent="0.15">
      <c r="A310" s="38" t="s">
        <v>19</v>
      </c>
      <c r="B310" s="8">
        <v>1</v>
      </c>
      <c r="C310" s="10">
        <v>2</v>
      </c>
      <c r="D310" s="10"/>
      <c r="E310" s="10">
        <v>1</v>
      </c>
      <c r="F310" s="28"/>
      <c r="G310" s="9">
        <f t="shared" si="98"/>
        <v>4</v>
      </c>
      <c r="H310" s="58">
        <v>42616</v>
      </c>
      <c r="I310" s="15" t="s">
        <v>80</v>
      </c>
      <c r="J310" s="8"/>
      <c r="K310" s="10"/>
      <c r="L310" s="10"/>
      <c r="M310" s="10"/>
      <c r="N310" s="28"/>
      <c r="O310" s="9">
        <f t="shared" si="100"/>
        <v>0</v>
      </c>
      <c r="P310" s="1"/>
    </row>
    <row r="311" spans="1:17" x14ac:dyDescent="0.15">
      <c r="A311" s="38" t="s">
        <v>270</v>
      </c>
      <c r="B311" s="8">
        <v>1</v>
      </c>
      <c r="C311" s="10"/>
      <c r="D311" s="10"/>
      <c r="E311" s="10"/>
      <c r="F311" s="28"/>
      <c r="G311" s="9">
        <f t="shared" si="98"/>
        <v>1</v>
      </c>
      <c r="H311" s="58">
        <v>42619</v>
      </c>
      <c r="I311" s="15" t="s">
        <v>81</v>
      </c>
      <c r="J311" s="8"/>
      <c r="K311" s="10"/>
      <c r="L311" s="10"/>
      <c r="M311" s="10"/>
      <c r="N311" s="28"/>
      <c r="O311" s="9">
        <f t="shared" si="100"/>
        <v>0</v>
      </c>
      <c r="P311" s="36"/>
    </row>
    <row r="312" spans="1:17" x14ac:dyDescent="0.15">
      <c r="A312" s="38" t="s">
        <v>271</v>
      </c>
      <c r="B312" s="8"/>
      <c r="C312" s="10"/>
      <c r="D312" s="10">
        <v>3</v>
      </c>
      <c r="E312" s="10">
        <v>2</v>
      </c>
      <c r="F312" s="30"/>
      <c r="G312" s="7">
        <f t="shared" si="98"/>
        <v>5</v>
      </c>
      <c r="H312" s="58">
        <v>42620</v>
      </c>
      <c r="I312" s="15" t="s">
        <v>82</v>
      </c>
      <c r="J312" s="8"/>
      <c r="K312" s="10"/>
      <c r="L312" s="10"/>
      <c r="M312" s="10"/>
      <c r="N312" s="28"/>
      <c r="O312" s="9">
        <f t="shared" si="100"/>
        <v>0</v>
      </c>
      <c r="P312" s="1"/>
    </row>
    <row r="313" spans="1:17" x14ac:dyDescent="0.15">
      <c r="A313" s="38" t="s">
        <v>83</v>
      </c>
      <c r="B313" s="11">
        <v>5</v>
      </c>
      <c r="C313" s="100">
        <v>20</v>
      </c>
      <c r="D313" s="100">
        <v>5</v>
      </c>
      <c r="E313" s="100"/>
      <c r="F313" s="101"/>
      <c r="G313" s="102">
        <f t="shared" si="98"/>
        <v>30</v>
      </c>
      <c r="H313" s="58">
        <v>42627</v>
      </c>
      <c r="I313" s="15" t="s">
        <v>83</v>
      </c>
      <c r="J313" s="8"/>
      <c r="K313" s="10"/>
      <c r="L313" s="10"/>
      <c r="M313" s="10"/>
      <c r="N313" s="30"/>
      <c r="O313" s="7">
        <f t="shared" si="100"/>
        <v>0</v>
      </c>
      <c r="P313" s="1"/>
    </row>
    <row r="314" spans="1:17" ht="14.25" thickBot="1" x14ac:dyDescent="0.2">
      <c r="A314" s="38" t="s">
        <v>159</v>
      </c>
      <c r="B314" s="11"/>
      <c r="C314" s="100">
        <v>5</v>
      </c>
      <c r="D314" s="100">
        <v>10</v>
      </c>
      <c r="E314" s="100">
        <v>10</v>
      </c>
      <c r="F314" s="101">
        <v>15</v>
      </c>
      <c r="G314" s="102">
        <f t="shared" si="98"/>
        <v>40</v>
      </c>
      <c r="H314" s="58">
        <v>42636</v>
      </c>
      <c r="I314" s="15" t="s">
        <v>87</v>
      </c>
      <c r="J314" s="11"/>
      <c r="K314" s="100"/>
      <c r="L314" s="100"/>
      <c r="M314" s="100"/>
      <c r="N314" s="101"/>
      <c r="O314" s="102">
        <f t="shared" si="100"/>
        <v>0</v>
      </c>
      <c r="P314" s="1"/>
    </row>
    <row r="315" spans="1:17" ht="14.25" thickBot="1" x14ac:dyDescent="0.2">
      <c r="A315" s="72" t="s">
        <v>7</v>
      </c>
      <c r="B315" s="73">
        <f>SUM(B305:B314)</f>
        <v>31</v>
      </c>
      <c r="C315" s="74">
        <f t="shared" ref="C315:G315" si="101">SUM(C305:C314)</f>
        <v>55</v>
      </c>
      <c r="D315" s="74">
        <f t="shared" si="101"/>
        <v>50</v>
      </c>
      <c r="E315" s="74">
        <f t="shared" si="101"/>
        <v>50</v>
      </c>
      <c r="F315" s="105">
        <f t="shared" si="101"/>
        <v>51</v>
      </c>
      <c r="G315" s="76">
        <f t="shared" si="101"/>
        <v>237</v>
      </c>
      <c r="H315" s="58"/>
      <c r="I315" s="72" t="s">
        <v>7</v>
      </c>
      <c r="J315" s="73">
        <f>SUM(J305:J314)</f>
        <v>190</v>
      </c>
      <c r="K315" s="74">
        <f t="shared" ref="K315:O315" si="102">SUM(K305:K314)</f>
        <v>103</v>
      </c>
      <c r="L315" s="74">
        <f t="shared" si="102"/>
        <v>162</v>
      </c>
      <c r="M315" s="74">
        <f t="shared" si="102"/>
        <v>112</v>
      </c>
      <c r="N315" s="105">
        <f t="shared" si="102"/>
        <v>80</v>
      </c>
      <c r="O315" s="76">
        <f t="shared" si="102"/>
        <v>647</v>
      </c>
      <c r="P315" s="1"/>
    </row>
    <row r="316" spans="1:17" x14ac:dyDescent="0.15">
      <c r="A316" s="51" t="s">
        <v>256</v>
      </c>
      <c r="B316" s="8"/>
      <c r="C316" s="10">
        <v>10</v>
      </c>
      <c r="D316" s="10">
        <v>10</v>
      </c>
      <c r="E316" s="10">
        <v>20</v>
      </c>
      <c r="F316" s="30">
        <v>10</v>
      </c>
      <c r="G316" s="7">
        <f t="shared" ref="G316:G341" si="103">SUM(B316:F316)</f>
        <v>50</v>
      </c>
      <c r="H316" s="58">
        <v>42611</v>
      </c>
      <c r="I316" s="16" t="s">
        <v>257</v>
      </c>
      <c r="J316" s="17"/>
      <c r="K316" s="22">
        <v>10</v>
      </c>
      <c r="L316" s="22">
        <v>10</v>
      </c>
      <c r="M316" s="22">
        <v>20</v>
      </c>
      <c r="N316" s="29">
        <v>10</v>
      </c>
      <c r="O316" s="18">
        <f t="shared" ref="O316:O341" si="104">SUM(J316:N316)</f>
        <v>50</v>
      </c>
      <c r="P316" s="36">
        <v>42606</v>
      </c>
    </row>
    <row r="317" spans="1:17" x14ac:dyDescent="0.15">
      <c r="A317" s="51" t="s">
        <v>258</v>
      </c>
      <c r="B317" s="8"/>
      <c r="C317" s="10"/>
      <c r="D317" s="10"/>
      <c r="E317" s="10">
        <v>1</v>
      </c>
      <c r="F317" s="30"/>
      <c r="G317" s="7">
        <f t="shared" si="103"/>
        <v>1</v>
      </c>
      <c r="H317" s="58">
        <v>42604</v>
      </c>
      <c r="I317" s="16" t="s">
        <v>302</v>
      </c>
      <c r="J317" s="8"/>
      <c r="K317" s="10">
        <v>3</v>
      </c>
      <c r="L317" s="10">
        <v>3</v>
      </c>
      <c r="M317" s="10"/>
      <c r="N317" s="28">
        <v>1</v>
      </c>
      <c r="O317" s="9">
        <f t="shared" si="104"/>
        <v>7</v>
      </c>
      <c r="P317" s="58">
        <v>42613</v>
      </c>
    </row>
    <row r="318" spans="1:17" x14ac:dyDescent="0.15">
      <c r="A318" s="14" t="s">
        <v>25</v>
      </c>
      <c r="B318" s="8"/>
      <c r="C318" s="10"/>
      <c r="D318" s="10">
        <v>1</v>
      </c>
      <c r="E318" s="10">
        <v>1</v>
      </c>
      <c r="F318" s="30"/>
      <c r="G318" s="7">
        <f t="shared" si="103"/>
        <v>2</v>
      </c>
      <c r="H318" s="58">
        <v>42606</v>
      </c>
      <c r="I318" s="16" t="s">
        <v>24</v>
      </c>
      <c r="J318" s="8">
        <v>15</v>
      </c>
      <c r="K318" s="10"/>
      <c r="L318" s="10">
        <v>10</v>
      </c>
      <c r="M318" s="10"/>
      <c r="N318" s="28">
        <v>10</v>
      </c>
      <c r="O318" s="9">
        <f t="shared" ref="O318:O321" si="105">SUM(J318:N318)</f>
        <v>35</v>
      </c>
      <c r="P318" s="58">
        <v>42615</v>
      </c>
    </row>
    <row r="319" spans="1:17" x14ac:dyDescent="0.15">
      <c r="A319" s="14" t="s">
        <v>259</v>
      </c>
      <c r="B319" s="8"/>
      <c r="C319" s="10">
        <v>1</v>
      </c>
      <c r="D319" s="10"/>
      <c r="E319" s="10"/>
      <c r="F319" s="30"/>
      <c r="G319" s="7">
        <f t="shared" si="103"/>
        <v>1</v>
      </c>
      <c r="H319" s="58">
        <v>42606</v>
      </c>
      <c r="I319" s="16" t="s">
        <v>24</v>
      </c>
      <c r="J319" s="8">
        <v>5</v>
      </c>
      <c r="K319" s="10">
        <v>20</v>
      </c>
      <c r="L319" s="10">
        <v>5</v>
      </c>
      <c r="M319" s="10"/>
      <c r="N319" s="30"/>
      <c r="O319" s="7">
        <f t="shared" si="105"/>
        <v>30</v>
      </c>
      <c r="P319" s="36">
        <v>42627</v>
      </c>
      <c r="Q319" s="56"/>
    </row>
    <row r="320" spans="1:17" x14ac:dyDescent="0.15">
      <c r="A320" s="14" t="s">
        <v>29</v>
      </c>
      <c r="B320" s="8"/>
      <c r="C320" s="10"/>
      <c r="D320" s="10">
        <v>1</v>
      </c>
      <c r="E320" s="10"/>
      <c r="F320" s="30"/>
      <c r="G320" s="7">
        <f t="shared" si="103"/>
        <v>1</v>
      </c>
      <c r="H320" s="58">
        <v>42611</v>
      </c>
      <c r="I320" s="16" t="s">
        <v>24</v>
      </c>
      <c r="J320" s="8"/>
      <c r="K320" s="10">
        <v>5</v>
      </c>
      <c r="L320" s="10">
        <v>10</v>
      </c>
      <c r="M320" s="10">
        <v>10</v>
      </c>
      <c r="N320" s="30">
        <v>15</v>
      </c>
      <c r="O320" s="7">
        <f t="shared" si="105"/>
        <v>40</v>
      </c>
      <c r="P320" s="36">
        <v>42636</v>
      </c>
    </row>
    <row r="321" spans="1:16" x14ac:dyDescent="0.15">
      <c r="A321" s="39" t="s">
        <v>260</v>
      </c>
      <c r="B321" s="8"/>
      <c r="C321" s="10"/>
      <c r="D321" s="10">
        <v>1</v>
      </c>
      <c r="E321" s="10"/>
      <c r="F321" s="30"/>
      <c r="G321" s="7">
        <f t="shared" si="103"/>
        <v>1</v>
      </c>
      <c r="H321" s="58">
        <v>42615</v>
      </c>
      <c r="I321" s="16" t="s">
        <v>24</v>
      </c>
      <c r="J321" s="8"/>
      <c r="K321" s="10">
        <v>15</v>
      </c>
      <c r="L321" s="10">
        <v>10</v>
      </c>
      <c r="M321" s="10">
        <v>10</v>
      </c>
      <c r="N321" s="30"/>
      <c r="O321" s="7">
        <f t="shared" si="105"/>
        <v>35</v>
      </c>
      <c r="P321" s="36">
        <v>42639</v>
      </c>
    </row>
    <row r="322" spans="1:16" x14ac:dyDescent="0.15">
      <c r="A322" s="51" t="s">
        <v>22</v>
      </c>
      <c r="B322" s="8">
        <v>10</v>
      </c>
      <c r="C322" s="10"/>
      <c r="D322" s="10"/>
      <c r="E322" s="10"/>
      <c r="F322" s="30">
        <v>10</v>
      </c>
      <c r="G322" s="7">
        <f t="shared" si="103"/>
        <v>20</v>
      </c>
      <c r="H322" s="58">
        <v>42618</v>
      </c>
      <c r="I322" s="16"/>
      <c r="J322" s="8"/>
      <c r="K322" s="10"/>
      <c r="L322" s="10"/>
      <c r="M322" s="10"/>
      <c r="N322" s="30"/>
      <c r="O322" s="7">
        <f t="shared" si="104"/>
        <v>0</v>
      </c>
      <c r="P322" s="1"/>
    </row>
    <row r="323" spans="1:16" x14ac:dyDescent="0.15">
      <c r="A323" s="16" t="s">
        <v>29</v>
      </c>
      <c r="B323" s="8"/>
      <c r="C323" s="10">
        <v>1</v>
      </c>
      <c r="D323" s="10"/>
      <c r="E323" s="10"/>
      <c r="F323" s="30"/>
      <c r="G323" s="7">
        <f t="shared" si="103"/>
        <v>1</v>
      </c>
      <c r="H323" s="58">
        <v>42613</v>
      </c>
      <c r="I323" s="16"/>
      <c r="J323" s="8"/>
      <c r="K323" s="10"/>
      <c r="L323" s="10"/>
      <c r="M323" s="10"/>
      <c r="N323" s="30"/>
      <c r="O323" s="7">
        <f t="shared" si="104"/>
        <v>0</v>
      </c>
      <c r="P323" s="1"/>
    </row>
    <row r="324" spans="1:16" x14ac:dyDescent="0.15">
      <c r="A324" s="16" t="s">
        <v>215</v>
      </c>
      <c r="B324" s="8">
        <v>1</v>
      </c>
      <c r="C324" s="10"/>
      <c r="D324" s="10"/>
      <c r="E324" s="10"/>
      <c r="F324" s="30"/>
      <c r="G324" s="7">
        <f t="shared" si="103"/>
        <v>1</v>
      </c>
      <c r="H324" s="58">
        <v>42615</v>
      </c>
      <c r="I324" s="39"/>
      <c r="J324" s="8"/>
      <c r="K324" s="10"/>
      <c r="L324" s="10"/>
      <c r="M324" s="10"/>
      <c r="N324" s="30"/>
      <c r="O324" s="7">
        <f t="shared" si="104"/>
        <v>0</v>
      </c>
      <c r="P324" s="1"/>
    </row>
    <row r="325" spans="1:16" x14ac:dyDescent="0.15">
      <c r="A325" s="14" t="s">
        <v>25</v>
      </c>
      <c r="B325" s="11"/>
      <c r="C325" s="12"/>
      <c r="D325" s="12"/>
      <c r="E325" s="12"/>
      <c r="F325" s="31">
        <v>1</v>
      </c>
      <c r="G325" s="7">
        <f t="shared" si="103"/>
        <v>1</v>
      </c>
      <c r="H325" s="58">
        <v>42616</v>
      </c>
      <c r="I325" s="16"/>
      <c r="J325" s="11"/>
      <c r="K325" s="12"/>
      <c r="L325" s="12"/>
      <c r="M325" s="12"/>
      <c r="N325" s="31"/>
      <c r="O325" s="7">
        <f t="shared" si="104"/>
        <v>0</v>
      </c>
      <c r="P325" s="1"/>
    </row>
    <row r="326" spans="1:16" x14ac:dyDescent="0.15">
      <c r="A326" s="14" t="s">
        <v>265</v>
      </c>
      <c r="B326" s="11">
        <v>3</v>
      </c>
      <c r="C326" s="12">
        <v>4</v>
      </c>
      <c r="D326" s="12">
        <v>2</v>
      </c>
      <c r="E326" s="12">
        <v>2</v>
      </c>
      <c r="F326" s="31">
        <v>1</v>
      </c>
      <c r="G326" s="7">
        <f t="shared" si="103"/>
        <v>12</v>
      </c>
      <c r="H326" s="58">
        <v>42619</v>
      </c>
      <c r="I326" s="16"/>
      <c r="J326" s="8"/>
      <c r="K326" s="10"/>
      <c r="L326" s="10"/>
      <c r="M326" s="10"/>
      <c r="N326" s="30"/>
      <c r="O326" s="7">
        <f t="shared" si="104"/>
        <v>0</v>
      </c>
      <c r="P326" s="1"/>
    </row>
    <row r="327" spans="1:16" x14ac:dyDescent="0.15">
      <c r="A327" s="39" t="s">
        <v>136</v>
      </c>
      <c r="B327" s="8"/>
      <c r="C327" s="10"/>
      <c r="D327" s="10"/>
      <c r="E327" s="10"/>
      <c r="F327" s="30">
        <v>2</v>
      </c>
      <c r="G327" s="7">
        <f t="shared" si="103"/>
        <v>2</v>
      </c>
      <c r="H327" s="58">
        <v>42622</v>
      </c>
      <c r="I327" s="39"/>
      <c r="J327" s="8"/>
      <c r="K327" s="10"/>
      <c r="L327" s="10"/>
      <c r="M327" s="10"/>
      <c r="N327" s="30"/>
      <c r="O327" s="7">
        <f t="shared" si="104"/>
        <v>0</v>
      </c>
      <c r="P327" s="1"/>
    </row>
    <row r="328" spans="1:16" x14ac:dyDescent="0.15">
      <c r="A328" s="16" t="s">
        <v>117</v>
      </c>
      <c r="B328" s="8"/>
      <c r="C328" s="10"/>
      <c r="D328" s="10"/>
      <c r="E328" s="10">
        <v>1</v>
      </c>
      <c r="F328" s="30"/>
      <c r="G328" s="7">
        <f t="shared" si="103"/>
        <v>1</v>
      </c>
      <c r="H328" s="58">
        <v>42620</v>
      </c>
      <c r="I328" s="16"/>
      <c r="J328" s="8"/>
      <c r="K328" s="10"/>
      <c r="L328" s="10"/>
      <c r="M328" s="10"/>
      <c r="N328" s="30"/>
      <c r="O328" s="7">
        <f t="shared" si="104"/>
        <v>0</v>
      </c>
      <c r="P328" s="1"/>
    </row>
    <row r="329" spans="1:16" x14ac:dyDescent="0.15">
      <c r="A329" s="14" t="s">
        <v>475</v>
      </c>
      <c r="B329" s="8">
        <v>1</v>
      </c>
      <c r="C329" s="10"/>
      <c r="D329" s="10"/>
      <c r="E329" s="10"/>
      <c r="F329" s="30"/>
      <c r="G329" s="7">
        <f t="shared" si="103"/>
        <v>1</v>
      </c>
      <c r="H329" s="58">
        <v>42619</v>
      </c>
      <c r="I329" s="16"/>
      <c r="J329" s="8"/>
      <c r="K329" s="10"/>
      <c r="L329" s="10"/>
      <c r="M329" s="10"/>
      <c r="N329" s="30"/>
      <c r="O329" s="7">
        <f t="shared" si="104"/>
        <v>0</v>
      </c>
      <c r="P329" s="36"/>
    </row>
    <row r="330" spans="1:16" x14ac:dyDescent="0.15">
      <c r="A330" s="16" t="s">
        <v>117</v>
      </c>
      <c r="B330" s="8">
        <v>1</v>
      </c>
      <c r="C330" s="10"/>
      <c r="D330" s="10"/>
      <c r="E330" s="10"/>
      <c r="F330" s="30"/>
      <c r="G330" s="7">
        <f t="shared" si="103"/>
        <v>1</v>
      </c>
      <c r="H330" s="58">
        <v>42621</v>
      </c>
      <c r="I330" s="16"/>
      <c r="J330" s="8"/>
      <c r="K330" s="10"/>
      <c r="L330" s="10"/>
      <c r="M330" s="10"/>
      <c r="N330" s="30"/>
      <c r="O330" s="7">
        <f t="shared" si="104"/>
        <v>0</v>
      </c>
      <c r="P330" s="36"/>
    </row>
    <row r="331" spans="1:16" x14ac:dyDescent="0.15">
      <c r="A331" s="16" t="s">
        <v>274</v>
      </c>
      <c r="B331" s="8"/>
      <c r="C331" s="10"/>
      <c r="D331" s="10">
        <v>1</v>
      </c>
      <c r="E331" s="10"/>
      <c r="F331" s="30"/>
      <c r="G331" s="7">
        <f t="shared" si="103"/>
        <v>1</v>
      </c>
      <c r="H331" s="58">
        <v>42621</v>
      </c>
      <c r="I331" s="16"/>
      <c r="J331" s="8"/>
      <c r="K331" s="10"/>
      <c r="L331" s="10"/>
      <c r="M331" s="10"/>
      <c r="N331" s="30"/>
      <c r="O331" s="7">
        <f t="shared" si="104"/>
        <v>0</v>
      </c>
      <c r="P331" s="1"/>
    </row>
    <row r="332" spans="1:16" x14ac:dyDescent="0.15">
      <c r="A332" s="51" t="s">
        <v>22</v>
      </c>
      <c r="B332" s="8"/>
      <c r="C332" s="10">
        <v>20</v>
      </c>
      <c r="D332" s="10">
        <v>10</v>
      </c>
      <c r="E332" s="10"/>
      <c r="F332" s="30"/>
      <c r="G332" s="7">
        <f t="shared" si="103"/>
        <v>30</v>
      </c>
      <c r="H332" s="58">
        <v>42633</v>
      </c>
      <c r="I332" s="14"/>
      <c r="J332" s="8"/>
      <c r="K332" s="10"/>
      <c r="L332" s="10"/>
      <c r="M332" s="10"/>
      <c r="N332" s="30"/>
      <c r="O332" s="7">
        <f t="shared" si="104"/>
        <v>0</v>
      </c>
      <c r="P332" s="36"/>
    </row>
    <row r="333" spans="1:16" x14ac:dyDescent="0.15">
      <c r="A333" s="16" t="s">
        <v>117</v>
      </c>
      <c r="B333" s="8">
        <v>1</v>
      </c>
      <c r="C333" s="10"/>
      <c r="D333" s="10"/>
      <c r="E333" s="10"/>
      <c r="F333" s="30"/>
      <c r="G333" s="7">
        <f t="shared" si="103"/>
        <v>1</v>
      </c>
      <c r="H333" s="58">
        <v>42628</v>
      </c>
      <c r="I333" s="16"/>
      <c r="J333" s="8"/>
      <c r="K333" s="10"/>
      <c r="L333" s="10"/>
      <c r="M333" s="10"/>
      <c r="N333" s="30"/>
      <c r="O333" s="7">
        <f t="shared" si="104"/>
        <v>0</v>
      </c>
      <c r="P333" s="36"/>
    </row>
    <row r="334" spans="1:16" x14ac:dyDescent="0.15">
      <c r="A334" s="14" t="s">
        <v>29</v>
      </c>
      <c r="B334" s="8"/>
      <c r="C334" s="10">
        <v>1</v>
      </c>
      <c r="D334" s="10"/>
      <c r="E334" s="10"/>
      <c r="F334" s="30"/>
      <c r="G334" s="7">
        <f t="shared" si="103"/>
        <v>1</v>
      </c>
      <c r="H334" s="58">
        <v>42627</v>
      </c>
      <c r="I334" s="14"/>
      <c r="J334" s="8"/>
      <c r="K334" s="10"/>
      <c r="L334" s="10"/>
      <c r="M334" s="10"/>
      <c r="N334" s="30"/>
      <c r="O334" s="7">
        <f t="shared" si="104"/>
        <v>0</v>
      </c>
      <c r="P334" s="1"/>
    </row>
    <row r="335" spans="1:16" x14ac:dyDescent="0.15">
      <c r="A335" s="16" t="s">
        <v>126</v>
      </c>
      <c r="B335" s="8"/>
      <c r="C335" s="10"/>
      <c r="D335" s="10">
        <v>5</v>
      </c>
      <c r="E335" s="10">
        <v>5</v>
      </c>
      <c r="F335" s="30"/>
      <c r="G335" s="7">
        <f t="shared" si="103"/>
        <v>10</v>
      </c>
      <c r="H335" s="58">
        <v>42634</v>
      </c>
      <c r="I335" s="16"/>
      <c r="J335" s="11"/>
      <c r="K335" s="12"/>
      <c r="L335" s="12"/>
      <c r="M335" s="12"/>
      <c r="N335" s="31"/>
      <c r="O335" s="7">
        <f t="shared" si="104"/>
        <v>0</v>
      </c>
      <c r="P335" s="36"/>
    </row>
    <row r="336" spans="1:16" x14ac:dyDescent="0.15">
      <c r="A336" s="16" t="s">
        <v>126</v>
      </c>
      <c r="B336" s="8"/>
      <c r="C336" s="10"/>
      <c r="D336" s="10">
        <v>5</v>
      </c>
      <c r="E336" s="10">
        <v>5</v>
      </c>
      <c r="F336" s="30"/>
      <c r="G336" s="7">
        <f t="shared" si="103"/>
        <v>10</v>
      </c>
      <c r="H336" s="58">
        <v>42634</v>
      </c>
      <c r="I336" s="14"/>
      <c r="J336" s="8"/>
      <c r="K336" s="10"/>
      <c r="L336" s="10"/>
      <c r="M336" s="10"/>
      <c r="N336" s="30"/>
      <c r="O336" s="7">
        <f t="shared" si="104"/>
        <v>0</v>
      </c>
      <c r="P336" s="36"/>
    </row>
    <row r="337" spans="1:16" x14ac:dyDescent="0.15">
      <c r="A337" s="14" t="s">
        <v>25</v>
      </c>
      <c r="B337" s="8"/>
      <c r="C337" s="10"/>
      <c r="D337" s="10"/>
      <c r="E337" s="10">
        <v>1</v>
      </c>
      <c r="F337" s="30"/>
      <c r="G337" s="7">
        <f t="shared" si="103"/>
        <v>1</v>
      </c>
      <c r="H337" s="58">
        <v>42634</v>
      </c>
      <c r="I337" s="20"/>
      <c r="J337" s="11"/>
      <c r="K337" s="12"/>
      <c r="L337" s="12"/>
      <c r="M337" s="12"/>
      <c r="N337" s="31"/>
      <c r="O337" s="7">
        <f t="shared" si="104"/>
        <v>0</v>
      </c>
      <c r="P337" s="36"/>
    </row>
    <row r="338" spans="1:16" x14ac:dyDescent="0.15">
      <c r="A338" s="14" t="s">
        <v>182</v>
      </c>
      <c r="B338" s="8"/>
      <c r="C338" s="10"/>
      <c r="D338" s="10"/>
      <c r="E338" s="10"/>
      <c r="F338" s="30">
        <v>3</v>
      </c>
      <c r="G338" s="7">
        <f t="shared" si="103"/>
        <v>3</v>
      </c>
      <c r="H338" s="58">
        <v>42636</v>
      </c>
      <c r="I338" s="14"/>
      <c r="J338" s="8"/>
      <c r="K338" s="10"/>
      <c r="L338" s="10"/>
      <c r="M338" s="10"/>
      <c r="N338" s="30"/>
      <c r="O338" s="7">
        <f t="shared" ref="O338:O340" si="106">SUM(J338:N338)</f>
        <v>0</v>
      </c>
      <c r="P338" s="36"/>
    </row>
    <row r="339" spans="1:16" x14ac:dyDescent="0.15">
      <c r="A339" s="16" t="s">
        <v>126</v>
      </c>
      <c r="B339" s="8"/>
      <c r="C339" s="10">
        <v>5</v>
      </c>
      <c r="D339" s="10"/>
      <c r="E339" s="10"/>
      <c r="F339" s="30"/>
      <c r="G339" s="7">
        <f t="shared" si="103"/>
        <v>5</v>
      </c>
      <c r="H339" s="58">
        <v>42640</v>
      </c>
      <c r="I339" s="20"/>
      <c r="J339" s="11"/>
      <c r="K339" s="12"/>
      <c r="L339" s="12"/>
      <c r="M339" s="12"/>
      <c r="N339" s="31"/>
      <c r="O339" s="7">
        <f t="shared" si="106"/>
        <v>0</v>
      </c>
      <c r="P339" s="36"/>
    </row>
    <row r="340" spans="1:16" x14ac:dyDescent="0.15">
      <c r="A340" s="16" t="s">
        <v>279</v>
      </c>
      <c r="B340" s="8"/>
      <c r="C340" s="10"/>
      <c r="D340" s="10"/>
      <c r="E340" s="10"/>
      <c r="F340" s="30">
        <v>10</v>
      </c>
      <c r="G340" s="7">
        <f t="shared" si="103"/>
        <v>10</v>
      </c>
      <c r="H340" s="58">
        <v>42639</v>
      </c>
      <c r="I340" s="14"/>
      <c r="J340" s="8"/>
      <c r="K340" s="10"/>
      <c r="L340" s="10"/>
      <c r="M340" s="10"/>
      <c r="N340" s="30"/>
      <c r="O340" s="7">
        <f t="shared" si="106"/>
        <v>0</v>
      </c>
      <c r="P340" s="1"/>
    </row>
    <row r="341" spans="1:16" ht="14.25" thickBot="1" x14ac:dyDescent="0.2">
      <c r="A341" s="14" t="s">
        <v>182</v>
      </c>
      <c r="B341" s="11"/>
      <c r="C341" s="12">
        <v>4</v>
      </c>
      <c r="D341" s="12">
        <v>4</v>
      </c>
      <c r="E341" s="12"/>
      <c r="F341" s="31"/>
      <c r="G341" s="7">
        <f t="shared" si="103"/>
        <v>8</v>
      </c>
      <c r="H341" s="58">
        <v>42639</v>
      </c>
      <c r="I341" s="20"/>
      <c r="J341" s="11"/>
      <c r="K341" s="12"/>
      <c r="L341" s="12"/>
      <c r="M341" s="12"/>
      <c r="N341" s="31"/>
      <c r="O341" s="7">
        <f t="shared" si="104"/>
        <v>0</v>
      </c>
      <c r="P341" s="36"/>
    </row>
    <row r="342" spans="1:16" ht="14.25" thickBot="1" x14ac:dyDescent="0.2">
      <c r="A342" s="3" t="s">
        <v>11</v>
      </c>
      <c r="B342" s="23">
        <f>SUM(B316:B341)</f>
        <v>17</v>
      </c>
      <c r="C342" s="4">
        <f>SUM(C316:C341)</f>
        <v>46</v>
      </c>
      <c r="D342" s="4">
        <f>SUM(D316:D341)</f>
        <v>40</v>
      </c>
      <c r="E342" s="6">
        <f>SUM(E316:E341)</f>
        <v>36</v>
      </c>
      <c r="F342" s="32">
        <f>SUM(F316:F341)</f>
        <v>37</v>
      </c>
      <c r="G342" s="5">
        <f>SUM(B342:F342)</f>
        <v>176</v>
      </c>
      <c r="H342" s="58"/>
      <c r="I342" s="3" t="s">
        <v>11</v>
      </c>
      <c r="J342" s="23">
        <f>SUM(J316:J341)</f>
        <v>20</v>
      </c>
      <c r="K342" s="4">
        <f>SUM(K316:K341)</f>
        <v>53</v>
      </c>
      <c r="L342" s="4">
        <f>SUM(L316:L341)</f>
        <v>48</v>
      </c>
      <c r="M342" s="6">
        <f>SUM(M316:M341)</f>
        <v>40</v>
      </c>
      <c r="N342" s="32">
        <f>SUM(N316:N341)</f>
        <v>36</v>
      </c>
      <c r="O342" s="5">
        <f>SUM(J342:N342)</f>
        <v>197</v>
      </c>
    </row>
    <row r="343" spans="1:16" ht="14.25" thickBot="1" x14ac:dyDescent="0.2">
      <c r="A343" s="25" t="s">
        <v>12</v>
      </c>
      <c r="B343" s="63">
        <f>B315-B342</f>
        <v>14</v>
      </c>
      <c r="C343" s="26">
        <f t="shared" ref="C343:G343" si="107">C315-C342</f>
        <v>9</v>
      </c>
      <c r="D343" s="71">
        <f t="shared" si="107"/>
        <v>10</v>
      </c>
      <c r="E343" s="26">
        <f t="shared" si="107"/>
        <v>14</v>
      </c>
      <c r="F343" s="70">
        <f t="shared" si="107"/>
        <v>14</v>
      </c>
      <c r="G343" s="27">
        <f t="shared" si="107"/>
        <v>61</v>
      </c>
      <c r="H343" s="58"/>
      <c r="I343" s="25" t="s">
        <v>12</v>
      </c>
      <c r="J343" s="63">
        <f>J315-J342</f>
        <v>170</v>
      </c>
      <c r="K343" s="26">
        <f t="shared" ref="K343:O343" si="108">K315-K342</f>
        <v>50</v>
      </c>
      <c r="L343" s="71">
        <f t="shared" si="108"/>
        <v>114</v>
      </c>
      <c r="M343" s="26">
        <f t="shared" si="108"/>
        <v>72</v>
      </c>
      <c r="N343" s="70">
        <f t="shared" si="108"/>
        <v>44</v>
      </c>
      <c r="O343" s="27">
        <f t="shared" si="108"/>
        <v>450</v>
      </c>
    </row>
    <row r="344" spans="1:16" ht="17.25" x14ac:dyDescent="0.2">
      <c r="A344" s="79" t="s">
        <v>56</v>
      </c>
      <c r="B344" s="80"/>
      <c r="C344" s="80"/>
      <c r="D344" s="80"/>
      <c r="E344" s="80"/>
      <c r="F344" s="80"/>
      <c r="G344" s="80"/>
      <c r="H344" s="58"/>
      <c r="I344" s="79" t="s">
        <v>56</v>
      </c>
      <c r="J344" s="80"/>
      <c r="K344" s="80"/>
      <c r="L344" s="80"/>
      <c r="M344" s="80"/>
      <c r="N344" s="80"/>
      <c r="O344" s="1"/>
      <c r="P344" s="1"/>
    </row>
    <row r="345" spans="1:16" ht="21.75" thickBot="1" x14ac:dyDescent="0.25">
      <c r="A345" s="82" t="s">
        <v>55</v>
      </c>
      <c r="B345" s="80"/>
      <c r="C345" s="80"/>
      <c r="D345" s="80"/>
      <c r="E345" s="81" t="s">
        <v>53</v>
      </c>
      <c r="F345" s="80"/>
      <c r="G345" s="80"/>
      <c r="H345" s="58"/>
      <c r="I345" s="82" t="s">
        <v>55</v>
      </c>
      <c r="J345" s="80"/>
      <c r="K345" s="80"/>
      <c r="L345" s="80"/>
      <c r="M345" s="81" t="s">
        <v>54</v>
      </c>
      <c r="N345" s="80"/>
      <c r="O345" s="1"/>
      <c r="P345" s="1"/>
    </row>
    <row r="346" spans="1:16" ht="14.25" thickBot="1" x14ac:dyDescent="0.2">
      <c r="A346" s="13" t="s">
        <v>0</v>
      </c>
      <c r="B346" s="228" t="s">
        <v>57</v>
      </c>
      <c r="C346" s="229"/>
      <c r="D346" s="229"/>
      <c r="E346" s="229"/>
      <c r="F346" s="230"/>
      <c r="G346" s="231"/>
      <c r="H346" s="58"/>
      <c r="I346" s="13" t="s">
        <v>0</v>
      </c>
      <c r="J346" s="232" t="s">
        <v>57</v>
      </c>
      <c r="K346" s="233"/>
      <c r="L346" s="233"/>
      <c r="M346" s="233"/>
      <c r="N346" s="233"/>
      <c r="O346" s="234"/>
      <c r="P346" s="1"/>
    </row>
    <row r="347" spans="1:16" ht="14.25" thickBot="1" x14ac:dyDescent="0.2">
      <c r="A347" s="3" t="s">
        <v>1</v>
      </c>
      <c r="B347" s="2" t="s">
        <v>42</v>
      </c>
      <c r="C347" s="21" t="s">
        <v>43</v>
      </c>
      <c r="D347" s="21" t="s">
        <v>44</v>
      </c>
      <c r="E347" s="24" t="s">
        <v>45</v>
      </c>
      <c r="F347" s="33" t="s">
        <v>46</v>
      </c>
      <c r="G347" s="3" t="s">
        <v>2</v>
      </c>
      <c r="H347" s="58"/>
      <c r="I347" s="3" t="s">
        <v>1</v>
      </c>
      <c r="J347" s="2" t="s">
        <v>42</v>
      </c>
      <c r="K347" s="21" t="s">
        <v>43</v>
      </c>
      <c r="L347" s="21" t="s">
        <v>44</v>
      </c>
      <c r="M347" s="24" t="s">
        <v>45</v>
      </c>
      <c r="N347" s="33" t="s">
        <v>46</v>
      </c>
      <c r="O347" s="3" t="s">
        <v>2</v>
      </c>
      <c r="P347" s="1"/>
    </row>
    <row r="348" spans="1:16" ht="14.25" thickBot="1" x14ac:dyDescent="0.2">
      <c r="A348" s="72" t="s">
        <v>79</v>
      </c>
      <c r="B348" s="73">
        <f>B343</f>
        <v>14</v>
      </c>
      <c r="C348" s="74">
        <f t="shared" ref="C348:F348" si="109">C343</f>
        <v>9</v>
      </c>
      <c r="D348" s="107">
        <f t="shared" si="109"/>
        <v>10</v>
      </c>
      <c r="E348" s="75">
        <f t="shared" si="109"/>
        <v>14</v>
      </c>
      <c r="F348" s="75">
        <f t="shared" si="109"/>
        <v>14</v>
      </c>
      <c r="G348" s="76">
        <f t="shared" ref="G348:G357" si="110">SUM(B348:F348)</f>
        <v>61</v>
      </c>
      <c r="H348" s="58"/>
      <c r="I348" s="72" t="s">
        <v>79</v>
      </c>
      <c r="J348" s="73">
        <f>J343</f>
        <v>170</v>
      </c>
      <c r="K348" s="74">
        <f t="shared" ref="K348:N348" si="111">K343</f>
        <v>50</v>
      </c>
      <c r="L348" s="107">
        <f t="shared" si="111"/>
        <v>114</v>
      </c>
      <c r="M348" s="75">
        <f t="shared" si="111"/>
        <v>72</v>
      </c>
      <c r="N348" s="75">
        <f t="shared" si="111"/>
        <v>44</v>
      </c>
      <c r="O348" s="76">
        <f t="shared" ref="O348:O357" si="112">SUM(J348:N348)</f>
        <v>450</v>
      </c>
      <c r="P348" s="1"/>
    </row>
    <row r="349" spans="1:16" x14ac:dyDescent="0.15">
      <c r="A349" s="38" t="s">
        <v>15</v>
      </c>
      <c r="B349" s="37"/>
      <c r="C349" s="35">
        <v>15</v>
      </c>
      <c r="D349" s="35">
        <v>10</v>
      </c>
      <c r="E349" s="35">
        <v>10</v>
      </c>
      <c r="F349" s="28"/>
      <c r="G349" s="7">
        <f t="shared" si="110"/>
        <v>35</v>
      </c>
      <c r="H349" s="58">
        <v>42639</v>
      </c>
      <c r="I349" s="38" t="s">
        <v>15</v>
      </c>
      <c r="J349" s="37"/>
      <c r="K349" s="35"/>
      <c r="L349" s="35"/>
      <c r="M349" s="35"/>
      <c r="N349" s="28"/>
      <c r="O349" s="7">
        <f t="shared" si="112"/>
        <v>0</v>
      </c>
      <c r="P349" s="1"/>
    </row>
    <row r="350" spans="1:16" x14ac:dyDescent="0.15">
      <c r="A350" s="38" t="s">
        <v>16</v>
      </c>
      <c r="B350" s="8">
        <v>10</v>
      </c>
      <c r="C350" s="10"/>
      <c r="D350" s="10">
        <v>5</v>
      </c>
      <c r="E350" s="10">
        <v>10</v>
      </c>
      <c r="F350" s="28">
        <v>5</v>
      </c>
      <c r="G350" s="9">
        <f t="shared" si="110"/>
        <v>30</v>
      </c>
      <c r="H350" s="58">
        <v>42646</v>
      </c>
      <c r="I350" s="15" t="s">
        <v>3</v>
      </c>
      <c r="J350" s="8"/>
      <c r="K350" s="10"/>
      <c r="L350" s="10"/>
      <c r="M350" s="10"/>
      <c r="N350" s="28"/>
      <c r="O350" s="9">
        <f t="shared" si="112"/>
        <v>0</v>
      </c>
      <c r="P350" s="36"/>
    </row>
    <row r="351" spans="1:16" x14ac:dyDescent="0.15">
      <c r="A351" s="38" t="s">
        <v>17</v>
      </c>
      <c r="B351" s="8"/>
      <c r="C351" s="10"/>
      <c r="D351" s="10"/>
      <c r="E351" s="10">
        <v>1</v>
      </c>
      <c r="F351" s="28"/>
      <c r="G351" s="9">
        <f t="shared" si="110"/>
        <v>1</v>
      </c>
      <c r="H351" s="58">
        <v>42649</v>
      </c>
      <c r="I351" s="15" t="s">
        <v>18</v>
      </c>
      <c r="J351" s="8"/>
      <c r="K351" s="10"/>
      <c r="L351" s="10"/>
      <c r="M351" s="10"/>
      <c r="N351" s="28"/>
      <c r="O351" s="9">
        <f t="shared" si="112"/>
        <v>0</v>
      </c>
      <c r="P351" s="1"/>
    </row>
    <row r="352" spans="1:16" x14ac:dyDescent="0.15">
      <c r="A352" s="38" t="s">
        <v>19</v>
      </c>
      <c r="B352" s="8">
        <v>1</v>
      </c>
      <c r="C352" s="10">
        <v>1</v>
      </c>
      <c r="D352" s="10"/>
      <c r="E352" s="10"/>
      <c r="F352" s="28">
        <v>1</v>
      </c>
      <c r="G352" s="9">
        <f t="shared" si="110"/>
        <v>3</v>
      </c>
      <c r="H352" s="58">
        <v>42654</v>
      </c>
      <c r="I352" s="15" t="s">
        <v>20</v>
      </c>
      <c r="J352" s="8"/>
      <c r="K352" s="10"/>
      <c r="L352" s="10"/>
      <c r="M352" s="10"/>
      <c r="N352" s="28"/>
      <c r="O352" s="9">
        <f t="shared" si="112"/>
        <v>0</v>
      </c>
      <c r="P352" s="1"/>
    </row>
    <row r="353" spans="1:18" x14ac:dyDescent="0.15">
      <c r="A353" s="38" t="s">
        <v>80</v>
      </c>
      <c r="B353" s="8"/>
      <c r="C353" s="10"/>
      <c r="D353" s="10">
        <v>15</v>
      </c>
      <c r="E353" s="10"/>
      <c r="F353" s="28">
        <v>10</v>
      </c>
      <c r="G353" s="9">
        <f t="shared" si="110"/>
        <v>25</v>
      </c>
      <c r="H353" s="58">
        <v>42656</v>
      </c>
      <c r="I353" s="15" t="s">
        <v>80</v>
      </c>
      <c r="J353" s="8"/>
      <c r="K353" s="10"/>
      <c r="L353" s="10"/>
      <c r="M353" s="10"/>
      <c r="N353" s="28"/>
      <c r="O353" s="9">
        <f t="shared" si="112"/>
        <v>0</v>
      </c>
      <c r="P353" s="1"/>
    </row>
    <row r="354" spans="1:18" x14ac:dyDescent="0.15">
      <c r="A354" s="38" t="s">
        <v>19</v>
      </c>
      <c r="B354" s="8">
        <v>1</v>
      </c>
      <c r="C354" s="10"/>
      <c r="D354" s="10">
        <v>1</v>
      </c>
      <c r="E354" s="10">
        <v>1</v>
      </c>
      <c r="F354" s="28"/>
      <c r="G354" s="9">
        <f t="shared" si="110"/>
        <v>3</v>
      </c>
      <c r="H354" s="58">
        <v>42664</v>
      </c>
      <c r="I354" s="15" t="s">
        <v>81</v>
      </c>
      <c r="J354" s="8"/>
      <c r="K354" s="10"/>
      <c r="L354" s="10"/>
      <c r="M354" s="10"/>
      <c r="N354" s="28"/>
      <c r="O354" s="9">
        <f t="shared" si="112"/>
        <v>0</v>
      </c>
      <c r="P354" s="36"/>
      <c r="Q354" s="56"/>
      <c r="R354" s="56"/>
    </row>
    <row r="355" spans="1:18" x14ac:dyDescent="0.15">
      <c r="A355" s="38" t="s">
        <v>82</v>
      </c>
      <c r="B355" s="8"/>
      <c r="C355" s="10"/>
      <c r="D355" s="10"/>
      <c r="E355" s="10"/>
      <c r="F355" s="30"/>
      <c r="G355" s="7">
        <f t="shared" si="110"/>
        <v>0</v>
      </c>
      <c r="H355" s="58"/>
      <c r="I355" s="15" t="s">
        <v>82</v>
      </c>
      <c r="J355" s="8"/>
      <c r="K355" s="10"/>
      <c r="L355" s="10"/>
      <c r="M355" s="10"/>
      <c r="N355" s="28"/>
      <c r="O355" s="9">
        <f t="shared" si="112"/>
        <v>0</v>
      </c>
      <c r="P355" s="1"/>
    </row>
    <row r="356" spans="1:18" x14ac:dyDescent="0.15">
      <c r="A356" s="38" t="s">
        <v>83</v>
      </c>
      <c r="B356" s="11"/>
      <c r="C356" s="100"/>
      <c r="D356" s="100"/>
      <c r="E356" s="100"/>
      <c r="F356" s="101"/>
      <c r="G356" s="102">
        <f t="shared" si="110"/>
        <v>0</v>
      </c>
      <c r="H356" s="56"/>
      <c r="I356" s="15" t="s">
        <v>83</v>
      </c>
      <c r="J356" s="8"/>
      <c r="K356" s="10"/>
      <c r="L356" s="10"/>
      <c r="M356" s="10"/>
      <c r="N356" s="30"/>
      <c r="O356" s="7">
        <f t="shared" si="112"/>
        <v>0</v>
      </c>
      <c r="P356" s="1"/>
    </row>
    <row r="357" spans="1:18" ht="14.25" thickBot="1" x14ac:dyDescent="0.2">
      <c r="A357" s="38" t="s">
        <v>159</v>
      </c>
      <c r="B357" s="11"/>
      <c r="C357" s="100"/>
      <c r="D357" s="100"/>
      <c r="E357" s="100"/>
      <c r="F357" s="101"/>
      <c r="G357" s="102">
        <f t="shared" si="110"/>
        <v>0</v>
      </c>
      <c r="H357" s="56"/>
      <c r="I357" s="15" t="s">
        <v>87</v>
      </c>
      <c r="J357" s="11"/>
      <c r="K357" s="100"/>
      <c r="L357" s="100"/>
      <c r="M357" s="100"/>
      <c r="N357" s="101"/>
      <c r="O357" s="102">
        <f t="shared" si="112"/>
        <v>0</v>
      </c>
      <c r="P357" s="1"/>
    </row>
    <row r="358" spans="1:18" ht="14.25" thickBot="1" x14ac:dyDescent="0.2">
      <c r="A358" s="72" t="s">
        <v>7</v>
      </c>
      <c r="B358" s="73">
        <f>SUM(B348:B357)</f>
        <v>26</v>
      </c>
      <c r="C358" s="74">
        <f t="shared" ref="C358:G358" si="113">SUM(C348:C357)</f>
        <v>25</v>
      </c>
      <c r="D358" s="74">
        <f t="shared" si="113"/>
        <v>41</v>
      </c>
      <c r="E358" s="74">
        <f t="shared" si="113"/>
        <v>36</v>
      </c>
      <c r="F358" s="105">
        <f t="shared" si="113"/>
        <v>30</v>
      </c>
      <c r="G358" s="76">
        <f t="shared" si="113"/>
        <v>158</v>
      </c>
      <c r="H358" s="56"/>
      <c r="I358" s="72" t="s">
        <v>7</v>
      </c>
      <c r="J358" s="73">
        <f>SUM(J348:J357)</f>
        <v>170</v>
      </c>
      <c r="K358" s="74">
        <f t="shared" ref="K358:O358" si="114">SUM(K348:K357)</f>
        <v>50</v>
      </c>
      <c r="L358" s="74">
        <f t="shared" si="114"/>
        <v>114</v>
      </c>
      <c r="M358" s="74">
        <f t="shared" si="114"/>
        <v>72</v>
      </c>
      <c r="N358" s="105">
        <f t="shared" si="114"/>
        <v>44</v>
      </c>
      <c r="O358" s="76">
        <f t="shared" si="114"/>
        <v>450</v>
      </c>
      <c r="P358" s="1"/>
    </row>
    <row r="359" spans="1:18" x14ac:dyDescent="0.15">
      <c r="A359" s="51" t="s">
        <v>281</v>
      </c>
      <c r="B359" s="8"/>
      <c r="C359" s="10"/>
      <c r="D359" s="10">
        <v>1</v>
      </c>
      <c r="E359" s="10"/>
      <c r="F359" s="30"/>
      <c r="G359" s="7">
        <f t="shared" ref="G359:G384" si="115">SUM(B359:F359)</f>
        <v>1</v>
      </c>
      <c r="H359" s="58">
        <v>42634</v>
      </c>
      <c r="I359" s="16" t="s">
        <v>291</v>
      </c>
      <c r="J359" s="17">
        <v>10</v>
      </c>
      <c r="K359" s="22"/>
      <c r="L359" s="22">
        <v>5</v>
      </c>
      <c r="M359" s="22">
        <v>10</v>
      </c>
      <c r="N359" s="29">
        <v>5</v>
      </c>
      <c r="O359" s="18">
        <f t="shared" ref="O359:O384" si="116">SUM(J359:N359)</f>
        <v>30</v>
      </c>
      <c r="P359" s="36">
        <v>42646</v>
      </c>
    </row>
    <row r="360" spans="1:18" x14ac:dyDescent="0.15">
      <c r="A360" s="14" t="s">
        <v>25</v>
      </c>
      <c r="B360" s="8"/>
      <c r="C360" s="10">
        <v>6</v>
      </c>
      <c r="D360" s="10">
        <v>2</v>
      </c>
      <c r="E360" s="10">
        <v>9</v>
      </c>
      <c r="F360" s="30"/>
      <c r="G360" s="7">
        <f t="shared" si="115"/>
        <v>17</v>
      </c>
      <c r="H360" s="58">
        <v>42637</v>
      </c>
      <c r="I360" s="16" t="s">
        <v>24</v>
      </c>
      <c r="J360" s="8"/>
      <c r="K360" s="10"/>
      <c r="L360" s="10">
        <v>15</v>
      </c>
      <c r="M360" s="10"/>
      <c r="N360" s="28">
        <v>10</v>
      </c>
      <c r="O360" s="9">
        <f t="shared" si="116"/>
        <v>25</v>
      </c>
      <c r="P360" s="58">
        <v>42656</v>
      </c>
    </row>
    <row r="361" spans="1:18" x14ac:dyDescent="0.15">
      <c r="A361" s="14" t="s">
        <v>182</v>
      </c>
      <c r="B361" s="8"/>
      <c r="C361" s="10">
        <v>1</v>
      </c>
      <c r="D361" s="10"/>
      <c r="E361" s="10"/>
      <c r="F361" s="30"/>
      <c r="G361" s="7">
        <f t="shared" si="115"/>
        <v>1</v>
      </c>
      <c r="H361" s="58">
        <v>42640</v>
      </c>
      <c r="I361" s="16" t="s">
        <v>24</v>
      </c>
      <c r="J361" s="8"/>
      <c r="K361" s="10">
        <v>10</v>
      </c>
      <c r="L361" s="10"/>
      <c r="M361" s="10"/>
      <c r="N361" s="30"/>
      <c r="O361" s="7">
        <f t="shared" si="116"/>
        <v>10</v>
      </c>
      <c r="P361" s="36">
        <v>42668</v>
      </c>
      <c r="Q361" s="56"/>
    </row>
    <row r="362" spans="1:18" x14ac:dyDescent="0.15">
      <c r="A362" s="14" t="s">
        <v>182</v>
      </c>
      <c r="B362" s="8">
        <v>2</v>
      </c>
      <c r="C362" s="10"/>
      <c r="D362" s="10">
        <v>4</v>
      </c>
      <c r="E362" s="10"/>
      <c r="F362" s="30">
        <v>2</v>
      </c>
      <c r="G362" s="7">
        <f t="shared" si="115"/>
        <v>8</v>
      </c>
      <c r="H362" s="58">
        <v>42641</v>
      </c>
      <c r="I362" s="16" t="s">
        <v>24</v>
      </c>
      <c r="J362" s="8"/>
      <c r="K362" s="10"/>
      <c r="L362" s="10">
        <v>15</v>
      </c>
      <c r="M362" s="10"/>
      <c r="N362" s="30">
        <v>5</v>
      </c>
      <c r="O362" s="7">
        <f t="shared" si="116"/>
        <v>20</v>
      </c>
      <c r="P362" s="36">
        <v>42669</v>
      </c>
    </row>
    <row r="363" spans="1:18" x14ac:dyDescent="0.15">
      <c r="A363" s="14" t="s">
        <v>284</v>
      </c>
      <c r="B363" s="8"/>
      <c r="C363" s="10">
        <v>1</v>
      </c>
      <c r="D363" s="10"/>
      <c r="E363" s="10"/>
      <c r="F363" s="30"/>
      <c r="G363" s="7">
        <f t="shared" si="115"/>
        <v>1</v>
      </c>
      <c r="H363" s="58">
        <v>42639</v>
      </c>
      <c r="I363" s="16" t="s">
        <v>24</v>
      </c>
      <c r="J363" s="8"/>
      <c r="K363" s="10"/>
      <c r="L363" s="10"/>
      <c r="M363" s="10"/>
      <c r="N363" s="30"/>
      <c r="O363" s="7">
        <f t="shared" si="116"/>
        <v>0</v>
      </c>
      <c r="P363" s="1"/>
    </row>
    <row r="364" spans="1:18" x14ac:dyDescent="0.15">
      <c r="A364" s="51" t="s">
        <v>22</v>
      </c>
      <c r="B364" s="8"/>
      <c r="C364" s="10"/>
      <c r="D364" s="10"/>
      <c r="E364" s="10">
        <v>10</v>
      </c>
      <c r="F364" s="30"/>
      <c r="G364" s="7">
        <f t="shared" si="115"/>
        <v>10</v>
      </c>
      <c r="H364" s="58">
        <v>42646</v>
      </c>
      <c r="I364" s="16"/>
      <c r="J364" s="8"/>
      <c r="K364" s="10"/>
      <c r="L364" s="10"/>
      <c r="M364" s="10"/>
      <c r="N364" s="30"/>
      <c r="O364" s="7">
        <f t="shared" si="116"/>
        <v>0</v>
      </c>
      <c r="P364" s="1"/>
    </row>
    <row r="365" spans="1:18" x14ac:dyDescent="0.15">
      <c r="A365" s="14" t="s">
        <v>25</v>
      </c>
      <c r="B365" s="8"/>
      <c r="C365" s="10"/>
      <c r="D365" s="10">
        <v>3</v>
      </c>
      <c r="E365" s="10"/>
      <c r="F365" s="30">
        <v>1</v>
      </c>
      <c r="G365" s="7">
        <f t="shared" si="115"/>
        <v>4</v>
      </c>
      <c r="H365" s="58">
        <v>42641</v>
      </c>
      <c r="I365" s="16"/>
      <c r="J365" s="8"/>
      <c r="K365" s="10"/>
      <c r="L365" s="10"/>
      <c r="M365" s="10"/>
      <c r="N365" s="30"/>
      <c r="O365" s="7">
        <f t="shared" si="116"/>
        <v>0</v>
      </c>
      <c r="P365" s="1"/>
    </row>
    <row r="366" spans="1:18" x14ac:dyDescent="0.15">
      <c r="A366" s="14" t="s">
        <v>182</v>
      </c>
      <c r="B366" s="8"/>
      <c r="C366" s="10"/>
      <c r="D366" s="10">
        <v>1</v>
      </c>
      <c r="E366" s="10"/>
      <c r="F366" s="30"/>
      <c r="G366" s="7">
        <f t="shared" si="115"/>
        <v>1</v>
      </c>
      <c r="H366" s="58">
        <v>42643</v>
      </c>
      <c r="I366" s="16"/>
      <c r="J366" s="8"/>
      <c r="K366" s="10"/>
      <c r="L366" s="10"/>
      <c r="M366" s="10"/>
      <c r="N366" s="30"/>
      <c r="O366" s="7">
        <f t="shared" si="116"/>
        <v>0</v>
      </c>
      <c r="P366" s="1"/>
    </row>
    <row r="367" spans="1:18" x14ac:dyDescent="0.15">
      <c r="A367" s="39" t="s">
        <v>136</v>
      </c>
      <c r="B367" s="8">
        <v>3</v>
      </c>
      <c r="C367" s="10">
        <v>3</v>
      </c>
      <c r="D367" s="10"/>
      <c r="E367" s="10"/>
      <c r="F367" s="30">
        <v>3</v>
      </c>
      <c r="G367" s="7">
        <f t="shared" si="115"/>
        <v>9</v>
      </c>
      <c r="H367" s="58">
        <v>42648</v>
      </c>
      <c r="I367" s="39"/>
      <c r="J367" s="8"/>
      <c r="K367" s="10"/>
      <c r="L367" s="10"/>
      <c r="M367" s="10"/>
      <c r="N367" s="30"/>
      <c r="O367" s="7">
        <f t="shared" si="116"/>
        <v>0</v>
      </c>
      <c r="P367" s="1"/>
    </row>
    <row r="368" spans="1:18" x14ac:dyDescent="0.15">
      <c r="A368" s="14" t="s">
        <v>182</v>
      </c>
      <c r="B368" s="11">
        <v>2</v>
      </c>
      <c r="C368" s="12"/>
      <c r="D368" s="12"/>
      <c r="E368" s="12">
        <v>1</v>
      </c>
      <c r="F368" s="31">
        <v>1</v>
      </c>
      <c r="G368" s="7">
        <f t="shared" si="115"/>
        <v>4</v>
      </c>
      <c r="H368" s="58">
        <v>42643</v>
      </c>
      <c r="I368" s="16"/>
      <c r="J368" s="11"/>
      <c r="K368" s="12"/>
      <c r="L368" s="12"/>
      <c r="M368" s="12"/>
      <c r="N368" s="31"/>
      <c r="O368" s="7">
        <f t="shared" si="116"/>
        <v>0</v>
      </c>
      <c r="P368" s="1"/>
    </row>
    <row r="369" spans="1:16" x14ac:dyDescent="0.15">
      <c r="A369" s="14" t="s">
        <v>182</v>
      </c>
      <c r="B369" s="11">
        <v>1</v>
      </c>
      <c r="C369" s="12"/>
      <c r="D369" s="12"/>
      <c r="E369" s="12">
        <v>3</v>
      </c>
      <c r="F369" s="31"/>
      <c r="G369" s="7">
        <f t="shared" si="115"/>
        <v>4</v>
      </c>
      <c r="H369" s="58">
        <v>42647</v>
      </c>
      <c r="I369" s="16"/>
      <c r="J369" s="8"/>
      <c r="K369" s="10"/>
      <c r="L369" s="10"/>
      <c r="M369" s="10"/>
      <c r="N369" s="30"/>
      <c r="O369" s="7">
        <f t="shared" si="116"/>
        <v>0</v>
      </c>
      <c r="P369" s="1"/>
    </row>
    <row r="370" spans="1:16" x14ac:dyDescent="0.15">
      <c r="A370" s="14" t="s">
        <v>25</v>
      </c>
      <c r="B370" s="8"/>
      <c r="C370" s="10"/>
      <c r="D370" s="10">
        <v>3</v>
      </c>
      <c r="E370" s="10"/>
      <c r="F370" s="30">
        <v>1</v>
      </c>
      <c r="G370" s="7">
        <f t="shared" si="115"/>
        <v>4</v>
      </c>
      <c r="H370" s="58">
        <v>42649</v>
      </c>
      <c r="I370" s="39"/>
      <c r="J370" s="8"/>
      <c r="K370" s="10"/>
      <c r="L370" s="10"/>
      <c r="M370" s="10"/>
      <c r="N370" s="30"/>
      <c r="O370" s="7">
        <f t="shared" si="116"/>
        <v>0</v>
      </c>
      <c r="P370" s="1"/>
    </row>
    <row r="371" spans="1:16" x14ac:dyDescent="0.15">
      <c r="A371" s="16" t="s">
        <v>293</v>
      </c>
      <c r="B371" s="8"/>
      <c r="C371" s="10"/>
      <c r="D371" s="10">
        <v>1</v>
      </c>
      <c r="E371" s="10"/>
      <c r="F371" s="30"/>
      <c r="G371" s="7">
        <f t="shared" si="115"/>
        <v>1</v>
      </c>
      <c r="H371" s="58">
        <v>42646</v>
      </c>
      <c r="I371" s="16"/>
      <c r="J371" s="8"/>
      <c r="K371" s="10"/>
      <c r="L371" s="10"/>
      <c r="M371" s="10"/>
      <c r="N371" s="30"/>
      <c r="O371" s="7">
        <f t="shared" si="116"/>
        <v>0</v>
      </c>
      <c r="P371" s="1"/>
    </row>
    <row r="372" spans="1:16" x14ac:dyDescent="0.15">
      <c r="A372" s="14" t="s">
        <v>31</v>
      </c>
      <c r="B372" s="8"/>
      <c r="C372" s="10"/>
      <c r="D372" s="10">
        <v>3</v>
      </c>
      <c r="E372" s="10"/>
      <c r="F372" s="30"/>
      <c r="G372" s="7">
        <f t="shared" si="115"/>
        <v>3</v>
      </c>
      <c r="H372" s="58">
        <v>42653</v>
      </c>
      <c r="I372" s="16"/>
      <c r="J372" s="8"/>
      <c r="K372" s="10"/>
      <c r="L372" s="10"/>
      <c r="M372" s="10"/>
      <c r="N372" s="30"/>
      <c r="O372" s="7">
        <f t="shared" si="116"/>
        <v>0</v>
      </c>
      <c r="P372" s="36"/>
    </row>
    <row r="373" spans="1:16" x14ac:dyDescent="0.15">
      <c r="A373" s="16" t="s">
        <v>299</v>
      </c>
      <c r="B373" s="8"/>
      <c r="C373" s="10"/>
      <c r="D373" s="10">
        <v>1</v>
      </c>
      <c r="E373" s="10"/>
      <c r="F373" s="30"/>
      <c r="G373" s="7">
        <f t="shared" si="115"/>
        <v>1</v>
      </c>
      <c r="H373" s="58">
        <v>42649</v>
      </c>
      <c r="I373" s="16"/>
      <c r="J373" s="8"/>
      <c r="K373" s="10"/>
      <c r="L373" s="10"/>
      <c r="M373" s="10"/>
      <c r="N373" s="30"/>
      <c r="O373" s="7">
        <f t="shared" si="116"/>
        <v>0</v>
      </c>
      <c r="P373" s="36"/>
    </row>
    <row r="374" spans="1:16" x14ac:dyDescent="0.15">
      <c r="A374" s="16" t="s">
        <v>295</v>
      </c>
      <c r="B374" s="8"/>
      <c r="C374" s="10"/>
      <c r="D374" s="10">
        <v>2</v>
      </c>
      <c r="E374" s="10"/>
      <c r="F374" s="30"/>
      <c r="G374" s="7">
        <f t="shared" si="115"/>
        <v>2</v>
      </c>
      <c r="H374" s="58">
        <v>42656</v>
      </c>
      <c r="I374" s="16"/>
      <c r="J374" s="8"/>
      <c r="K374" s="10"/>
      <c r="L374" s="10"/>
      <c r="M374" s="10"/>
      <c r="N374" s="30"/>
      <c r="O374" s="7">
        <f t="shared" si="116"/>
        <v>0</v>
      </c>
      <c r="P374" s="1"/>
    </row>
    <row r="375" spans="1:16" x14ac:dyDescent="0.15">
      <c r="A375" s="14" t="s">
        <v>296</v>
      </c>
      <c r="B375" s="8"/>
      <c r="C375" s="10">
        <v>2</v>
      </c>
      <c r="D375" s="10">
        <v>1</v>
      </c>
      <c r="E375" s="10"/>
      <c r="F375" s="30"/>
      <c r="G375" s="7">
        <f t="shared" si="115"/>
        <v>3</v>
      </c>
      <c r="H375" s="58">
        <v>42655</v>
      </c>
      <c r="I375" s="14"/>
      <c r="J375" s="8"/>
      <c r="K375" s="10"/>
      <c r="L375" s="10"/>
      <c r="M375" s="10"/>
      <c r="N375" s="30"/>
      <c r="O375" s="7">
        <f t="shared" si="116"/>
        <v>0</v>
      </c>
      <c r="P375" s="36"/>
    </row>
    <row r="376" spans="1:16" x14ac:dyDescent="0.15">
      <c r="A376" s="16" t="s">
        <v>298</v>
      </c>
      <c r="B376" s="8"/>
      <c r="C376" s="10"/>
      <c r="D376" s="10"/>
      <c r="E376" s="10"/>
      <c r="F376" s="30">
        <v>10</v>
      </c>
      <c r="G376" s="7">
        <f t="shared" si="115"/>
        <v>10</v>
      </c>
      <c r="H376" s="58">
        <v>42660</v>
      </c>
      <c r="I376" s="16"/>
      <c r="J376" s="8"/>
      <c r="K376" s="10"/>
      <c r="L376" s="10"/>
      <c r="M376" s="10"/>
      <c r="N376" s="30"/>
      <c r="O376" s="7">
        <f t="shared" si="116"/>
        <v>0</v>
      </c>
      <c r="P376" s="36"/>
    </row>
    <row r="377" spans="1:16" x14ac:dyDescent="0.15">
      <c r="A377" s="16" t="s">
        <v>25</v>
      </c>
      <c r="B377" s="8"/>
      <c r="C377" s="10"/>
      <c r="D377" s="10">
        <v>2</v>
      </c>
      <c r="E377" s="10"/>
      <c r="F377" s="30"/>
      <c r="G377" s="7">
        <f t="shared" si="115"/>
        <v>2</v>
      </c>
      <c r="H377" s="58">
        <v>42656</v>
      </c>
      <c r="I377" s="14"/>
      <c r="J377" s="8"/>
      <c r="K377" s="10"/>
      <c r="L377" s="10"/>
      <c r="M377" s="10"/>
      <c r="N377" s="30"/>
      <c r="O377" s="7">
        <f t="shared" si="116"/>
        <v>0</v>
      </c>
      <c r="P377" s="1"/>
    </row>
    <row r="378" spans="1:16" x14ac:dyDescent="0.15">
      <c r="A378" s="14" t="s">
        <v>300</v>
      </c>
      <c r="B378" s="8"/>
      <c r="C378" s="10">
        <v>1</v>
      </c>
      <c r="D378" s="10"/>
      <c r="E378" s="10"/>
      <c r="F378" s="30"/>
      <c r="G378" s="7">
        <f t="shared" si="115"/>
        <v>1</v>
      </c>
      <c r="H378" s="58">
        <v>42650</v>
      </c>
      <c r="I378" s="16"/>
      <c r="J378" s="11"/>
      <c r="K378" s="12"/>
      <c r="L378" s="12"/>
      <c r="M378" s="12"/>
      <c r="N378" s="31"/>
      <c r="O378" s="7">
        <f t="shared" si="116"/>
        <v>0</v>
      </c>
      <c r="P378" s="36"/>
    </row>
    <row r="379" spans="1:16" x14ac:dyDescent="0.15">
      <c r="A379" s="16" t="s">
        <v>182</v>
      </c>
      <c r="B379" s="8">
        <v>1</v>
      </c>
      <c r="C379" s="10"/>
      <c r="D379" s="10">
        <v>1</v>
      </c>
      <c r="E379" s="10"/>
      <c r="F379" s="30"/>
      <c r="G379" s="7">
        <f t="shared" si="115"/>
        <v>2</v>
      </c>
      <c r="H379" s="58">
        <v>42658</v>
      </c>
      <c r="I379" s="14"/>
      <c r="J379" s="8"/>
      <c r="K379" s="10"/>
      <c r="L379" s="10"/>
      <c r="M379" s="10"/>
      <c r="N379" s="30"/>
      <c r="O379" s="7">
        <f t="shared" si="116"/>
        <v>0</v>
      </c>
      <c r="P379" s="36"/>
    </row>
    <row r="380" spans="1:16" x14ac:dyDescent="0.15">
      <c r="A380" s="14" t="s">
        <v>31</v>
      </c>
      <c r="B380" s="11">
        <v>6</v>
      </c>
      <c r="C380" s="12"/>
      <c r="D380" s="12"/>
      <c r="E380" s="12"/>
      <c r="F380" s="31"/>
      <c r="G380" s="7">
        <f t="shared" si="115"/>
        <v>6</v>
      </c>
      <c r="H380" s="58">
        <v>42662</v>
      </c>
      <c r="I380" s="20"/>
      <c r="J380" s="11"/>
      <c r="K380" s="12"/>
      <c r="L380" s="12"/>
      <c r="M380" s="12"/>
      <c r="N380" s="31"/>
      <c r="O380" s="7">
        <f t="shared" si="116"/>
        <v>0</v>
      </c>
      <c r="P380" s="36"/>
    </row>
    <row r="381" spans="1:16" x14ac:dyDescent="0.15">
      <c r="A381" s="16" t="s">
        <v>182</v>
      </c>
      <c r="B381" s="8"/>
      <c r="C381" s="10"/>
      <c r="D381" s="10">
        <v>1</v>
      </c>
      <c r="E381" s="10"/>
      <c r="F381" s="30"/>
      <c r="G381" s="7">
        <f t="shared" si="115"/>
        <v>1</v>
      </c>
      <c r="H381" s="58">
        <v>42662</v>
      </c>
      <c r="I381" s="14"/>
      <c r="J381" s="8"/>
      <c r="K381" s="10"/>
      <c r="L381" s="10"/>
      <c r="M381" s="10"/>
      <c r="N381" s="30"/>
      <c r="O381" s="7">
        <f t="shared" si="116"/>
        <v>0</v>
      </c>
      <c r="P381" s="36"/>
    </row>
    <row r="382" spans="1:16" x14ac:dyDescent="0.15">
      <c r="A382" s="14" t="s">
        <v>31</v>
      </c>
      <c r="B382" s="8"/>
      <c r="C382" s="10">
        <v>3</v>
      </c>
      <c r="D382" s="10"/>
      <c r="E382" s="10"/>
      <c r="F382" s="30"/>
      <c r="G382" s="7">
        <f t="shared" si="115"/>
        <v>3</v>
      </c>
      <c r="H382" s="58">
        <v>42664</v>
      </c>
      <c r="I382" s="20"/>
      <c r="J382" s="11"/>
      <c r="K382" s="12"/>
      <c r="L382" s="12"/>
      <c r="M382" s="12"/>
      <c r="N382" s="31"/>
      <c r="O382" s="7">
        <f t="shared" si="116"/>
        <v>0</v>
      </c>
      <c r="P382" s="36"/>
    </row>
    <row r="383" spans="1:16" x14ac:dyDescent="0.15">
      <c r="A383" s="16" t="s">
        <v>25</v>
      </c>
      <c r="B383" s="8"/>
      <c r="C383" s="10"/>
      <c r="D383" s="10">
        <v>2</v>
      </c>
      <c r="E383" s="10"/>
      <c r="F383" s="30"/>
      <c r="G383" s="7">
        <f t="shared" si="115"/>
        <v>2</v>
      </c>
      <c r="H383" s="58">
        <v>42663</v>
      </c>
      <c r="I383" s="14"/>
      <c r="J383" s="8"/>
      <c r="K383" s="10"/>
      <c r="L383" s="10"/>
      <c r="M383" s="10"/>
      <c r="N383" s="30"/>
      <c r="O383" s="7">
        <f t="shared" si="116"/>
        <v>0</v>
      </c>
      <c r="P383" s="1"/>
    </row>
    <row r="384" spans="1:16" ht="14.25" thickBot="1" x14ac:dyDescent="0.2">
      <c r="A384" s="16" t="s">
        <v>182</v>
      </c>
      <c r="B384" s="11"/>
      <c r="C384" s="12"/>
      <c r="D384" s="12">
        <v>1</v>
      </c>
      <c r="E384" s="12"/>
      <c r="F384" s="31"/>
      <c r="G384" s="7">
        <f t="shared" si="115"/>
        <v>1</v>
      </c>
      <c r="H384" s="58">
        <v>42664</v>
      </c>
      <c r="I384" s="20"/>
      <c r="J384" s="11"/>
      <c r="K384" s="12"/>
      <c r="L384" s="12"/>
      <c r="M384" s="12"/>
      <c r="N384" s="31"/>
      <c r="O384" s="7">
        <f t="shared" si="116"/>
        <v>0</v>
      </c>
      <c r="P384" s="36"/>
    </row>
    <row r="385" spans="1:16" ht="14.25" thickBot="1" x14ac:dyDescent="0.2">
      <c r="A385" s="3" t="s">
        <v>11</v>
      </c>
      <c r="B385" s="23">
        <f>SUM(B359:B384)</f>
        <v>15</v>
      </c>
      <c r="C385" s="4">
        <f>SUM(C359:C384)</f>
        <v>17</v>
      </c>
      <c r="D385" s="4">
        <f>SUM(D359:D384)</f>
        <v>29</v>
      </c>
      <c r="E385" s="6">
        <f>SUM(E359:E384)</f>
        <v>23</v>
      </c>
      <c r="F385" s="32">
        <f>SUM(F359:F384)</f>
        <v>18</v>
      </c>
      <c r="G385" s="5">
        <f>SUM(B385:F385)</f>
        <v>102</v>
      </c>
      <c r="H385" s="58"/>
      <c r="I385" s="3" t="s">
        <v>11</v>
      </c>
      <c r="J385" s="23">
        <f>SUM(J359:J384)</f>
        <v>10</v>
      </c>
      <c r="K385" s="4">
        <f>SUM(K359:K384)</f>
        <v>10</v>
      </c>
      <c r="L385" s="4">
        <f>SUM(L359:L384)</f>
        <v>35</v>
      </c>
      <c r="M385" s="6">
        <f>SUM(M359:M384)</f>
        <v>10</v>
      </c>
      <c r="N385" s="32">
        <f>SUM(N359:N384)</f>
        <v>20</v>
      </c>
      <c r="O385" s="5">
        <f>SUM(J385:N385)</f>
        <v>85</v>
      </c>
    </row>
    <row r="386" spans="1:16" ht="14.25" thickBot="1" x14ac:dyDescent="0.2">
      <c r="A386" s="25" t="s">
        <v>12</v>
      </c>
      <c r="B386" s="63">
        <f>B358-B385</f>
        <v>11</v>
      </c>
      <c r="C386" s="26">
        <f t="shared" ref="C386:G386" si="117">C358-C385</f>
        <v>8</v>
      </c>
      <c r="D386" s="71">
        <f t="shared" si="117"/>
        <v>12</v>
      </c>
      <c r="E386" s="26">
        <f t="shared" si="117"/>
        <v>13</v>
      </c>
      <c r="F386" s="70">
        <f t="shared" si="117"/>
        <v>12</v>
      </c>
      <c r="G386" s="27">
        <f t="shared" si="117"/>
        <v>56</v>
      </c>
      <c r="H386" s="58"/>
      <c r="I386" s="25" t="s">
        <v>12</v>
      </c>
      <c r="J386" s="63">
        <f>J358-J385</f>
        <v>160</v>
      </c>
      <c r="K386" s="26">
        <f t="shared" ref="K386:O386" si="118">K358-K385</f>
        <v>40</v>
      </c>
      <c r="L386" s="71">
        <f t="shared" si="118"/>
        <v>79</v>
      </c>
      <c r="M386" s="26">
        <f t="shared" si="118"/>
        <v>62</v>
      </c>
      <c r="N386" s="70">
        <f t="shared" si="118"/>
        <v>24</v>
      </c>
      <c r="O386" s="27">
        <f t="shared" si="118"/>
        <v>365</v>
      </c>
    </row>
    <row r="387" spans="1:16" ht="17.25" x14ac:dyDescent="0.2">
      <c r="A387" s="79" t="s">
        <v>56</v>
      </c>
      <c r="B387" s="80"/>
      <c r="C387" s="80"/>
      <c r="D387" s="80"/>
      <c r="E387" s="80"/>
      <c r="F387" s="80"/>
      <c r="G387" s="80"/>
      <c r="H387" s="58"/>
      <c r="I387" s="79" t="s">
        <v>56</v>
      </c>
      <c r="J387" s="80"/>
      <c r="K387" s="80"/>
      <c r="L387" s="80"/>
      <c r="M387" s="80"/>
      <c r="N387" s="80"/>
      <c r="O387" s="1"/>
    </row>
    <row r="388" spans="1:16" ht="21.75" thickBot="1" x14ac:dyDescent="0.25">
      <c r="A388" s="82" t="s">
        <v>55</v>
      </c>
      <c r="B388" s="80"/>
      <c r="C388" s="80"/>
      <c r="D388" s="80"/>
      <c r="E388" s="81" t="s">
        <v>53</v>
      </c>
      <c r="F388" s="80"/>
      <c r="G388" s="80"/>
      <c r="H388" s="58"/>
      <c r="I388" s="82" t="s">
        <v>55</v>
      </c>
      <c r="J388" s="80"/>
      <c r="K388" s="80"/>
      <c r="L388" s="80"/>
      <c r="M388" s="81" t="s">
        <v>54</v>
      </c>
      <c r="N388" s="80"/>
      <c r="O388" s="1"/>
    </row>
    <row r="389" spans="1:16" ht="14.25" thickBot="1" x14ac:dyDescent="0.2">
      <c r="A389" s="13" t="s">
        <v>0</v>
      </c>
      <c r="B389" s="228" t="s">
        <v>57</v>
      </c>
      <c r="C389" s="229"/>
      <c r="D389" s="229"/>
      <c r="E389" s="229"/>
      <c r="F389" s="230"/>
      <c r="G389" s="231"/>
      <c r="H389" s="58"/>
      <c r="I389" s="13" t="s">
        <v>0</v>
      </c>
      <c r="J389" s="232" t="s">
        <v>57</v>
      </c>
      <c r="K389" s="233"/>
      <c r="L389" s="233"/>
      <c r="M389" s="233"/>
      <c r="N389" s="233"/>
      <c r="O389" s="234"/>
    </row>
    <row r="390" spans="1:16" ht="14.25" thickBot="1" x14ac:dyDescent="0.2">
      <c r="A390" s="3" t="s">
        <v>1</v>
      </c>
      <c r="B390" s="2" t="s">
        <v>42</v>
      </c>
      <c r="C390" s="21" t="s">
        <v>43</v>
      </c>
      <c r="D390" s="21" t="s">
        <v>44</v>
      </c>
      <c r="E390" s="24" t="s">
        <v>45</v>
      </c>
      <c r="F390" s="33" t="s">
        <v>46</v>
      </c>
      <c r="G390" s="3" t="s">
        <v>2</v>
      </c>
      <c r="H390" s="58"/>
      <c r="I390" s="3" t="s">
        <v>1</v>
      </c>
      <c r="J390" s="2" t="s">
        <v>42</v>
      </c>
      <c r="K390" s="21" t="s">
        <v>43</v>
      </c>
      <c r="L390" s="21" t="s">
        <v>44</v>
      </c>
      <c r="M390" s="24" t="s">
        <v>45</v>
      </c>
      <c r="N390" s="33" t="s">
        <v>46</v>
      </c>
      <c r="O390" s="3" t="s">
        <v>2</v>
      </c>
    </row>
    <row r="391" spans="1:16" ht="14.25" thickBot="1" x14ac:dyDescent="0.2">
      <c r="A391" s="72" t="s">
        <v>79</v>
      </c>
      <c r="B391" s="73">
        <f>B386</f>
        <v>11</v>
      </c>
      <c r="C391" s="74">
        <f t="shared" ref="C391:F391" si="119">C386</f>
        <v>8</v>
      </c>
      <c r="D391" s="107">
        <f t="shared" si="119"/>
        <v>12</v>
      </c>
      <c r="E391" s="75">
        <f t="shared" si="119"/>
        <v>13</v>
      </c>
      <c r="F391" s="75">
        <f t="shared" si="119"/>
        <v>12</v>
      </c>
      <c r="G391" s="76">
        <f t="shared" ref="G391:G400" si="120">SUM(B391:F391)</f>
        <v>56</v>
      </c>
      <c r="H391" s="58"/>
      <c r="I391" s="72" t="s">
        <v>79</v>
      </c>
      <c r="J391" s="73">
        <f>J386</f>
        <v>160</v>
      </c>
      <c r="K391" s="74">
        <f t="shared" ref="K391:N391" si="121">K386</f>
        <v>40</v>
      </c>
      <c r="L391" s="107">
        <f t="shared" si="121"/>
        <v>79</v>
      </c>
      <c r="M391" s="75">
        <f t="shared" si="121"/>
        <v>62</v>
      </c>
      <c r="N391" s="75">
        <f t="shared" si="121"/>
        <v>24</v>
      </c>
      <c r="O391" s="76">
        <f t="shared" ref="O391:O400" si="122">SUM(J391:N391)</f>
        <v>365</v>
      </c>
    </row>
    <row r="392" spans="1:16" x14ac:dyDescent="0.15">
      <c r="A392" s="38" t="s">
        <v>15</v>
      </c>
      <c r="B392" s="37"/>
      <c r="C392" s="35">
        <v>10</v>
      </c>
      <c r="D392" s="35"/>
      <c r="E392" s="35"/>
      <c r="F392" s="28"/>
      <c r="G392" s="7">
        <f t="shared" si="120"/>
        <v>10</v>
      </c>
      <c r="H392" s="58">
        <v>42668</v>
      </c>
      <c r="I392" s="38" t="s">
        <v>15</v>
      </c>
      <c r="J392" s="37"/>
      <c r="K392" s="35"/>
      <c r="L392" s="35"/>
      <c r="M392" s="35"/>
      <c r="N392" s="28"/>
      <c r="O392" s="7">
        <f t="shared" si="122"/>
        <v>0</v>
      </c>
    </row>
    <row r="393" spans="1:16" x14ac:dyDescent="0.15">
      <c r="A393" s="38" t="s">
        <v>16</v>
      </c>
      <c r="B393" s="8"/>
      <c r="C393" s="10"/>
      <c r="D393" s="10">
        <v>15</v>
      </c>
      <c r="E393" s="10"/>
      <c r="F393" s="28">
        <v>5</v>
      </c>
      <c r="G393" s="9">
        <f t="shared" si="120"/>
        <v>20</v>
      </c>
      <c r="H393" s="58">
        <v>42669</v>
      </c>
      <c r="I393" s="15" t="s">
        <v>3</v>
      </c>
      <c r="J393" s="8">
        <v>60</v>
      </c>
      <c r="K393" s="10">
        <v>120</v>
      </c>
      <c r="L393" s="10">
        <v>80</v>
      </c>
      <c r="M393" s="10">
        <v>140</v>
      </c>
      <c r="N393" s="28">
        <v>200</v>
      </c>
      <c r="O393" s="9">
        <f t="shared" si="122"/>
        <v>600</v>
      </c>
      <c r="P393" s="36">
        <v>42718</v>
      </c>
    </row>
    <row r="394" spans="1:16" x14ac:dyDescent="0.15">
      <c r="A394" s="38" t="s">
        <v>19</v>
      </c>
      <c r="B394" s="8">
        <v>1</v>
      </c>
      <c r="C394" s="10"/>
      <c r="D394" s="10">
        <v>1</v>
      </c>
      <c r="E394" s="10">
        <v>1</v>
      </c>
      <c r="F394" s="28"/>
      <c r="G394" s="9">
        <f t="shared" si="120"/>
        <v>3</v>
      </c>
      <c r="H394" s="58">
        <v>42670</v>
      </c>
      <c r="I394" s="15" t="s">
        <v>18</v>
      </c>
      <c r="J394" s="8"/>
      <c r="K394" s="10"/>
      <c r="L394" s="10"/>
      <c r="M394" s="10"/>
      <c r="N394" s="28"/>
      <c r="O394" s="9">
        <f t="shared" si="122"/>
        <v>0</v>
      </c>
    </row>
    <row r="395" spans="1:16" x14ac:dyDescent="0.15">
      <c r="A395" s="38" t="s">
        <v>20</v>
      </c>
      <c r="B395" s="8"/>
      <c r="C395" s="10"/>
      <c r="D395" s="10">
        <v>10</v>
      </c>
      <c r="E395" s="10">
        <v>15</v>
      </c>
      <c r="F395" s="28"/>
      <c r="G395" s="9">
        <f t="shared" si="120"/>
        <v>25</v>
      </c>
      <c r="H395" s="58">
        <v>42678</v>
      </c>
      <c r="I395" s="15" t="s">
        <v>20</v>
      </c>
      <c r="J395" s="8"/>
      <c r="K395" s="10"/>
      <c r="L395" s="10"/>
      <c r="M395" s="10"/>
      <c r="N395" s="28"/>
      <c r="O395" s="9">
        <f t="shared" si="122"/>
        <v>0</v>
      </c>
    </row>
    <row r="396" spans="1:16" x14ac:dyDescent="0.15">
      <c r="A396" s="38" t="s">
        <v>80</v>
      </c>
      <c r="B396" s="8">
        <v>10</v>
      </c>
      <c r="C396" s="10"/>
      <c r="D396" s="10"/>
      <c r="E396" s="10"/>
      <c r="F396" s="28"/>
      <c r="G396" s="9">
        <f t="shared" si="120"/>
        <v>10</v>
      </c>
      <c r="H396" s="58">
        <v>42683</v>
      </c>
      <c r="I396" s="15" t="s">
        <v>80</v>
      </c>
      <c r="J396" s="8"/>
      <c r="K396" s="10"/>
      <c r="L396" s="10"/>
      <c r="M396" s="10"/>
      <c r="N396" s="28"/>
      <c r="O396" s="9">
        <f t="shared" si="122"/>
        <v>0</v>
      </c>
    </row>
    <row r="397" spans="1:16" x14ac:dyDescent="0.15">
      <c r="A397" s="38" t="s">
        <v>17</v>
      </c>
      <c r="B397" s="8"/>
      <c r="C397" s="10">
        <v>2</v>
      </c>
      <c r="D397" s="10"/>
      <c r="E397" s="10">
        <v>1</v>
      </c>
      <c r="F397" s="28"/>
      <c r="G397" s="9">
        <f t="shared" si="120"/>
        <v>3</v>
      </c>
      <c r="H397" s="58">
        <v>42682</v>
      </c>
      <c r="I397" s="15" t="s">
        <v>81</v>
      </c>
      <c r="J397" s="8"/>
      <c r="K397" s="10"/>
      <c r="L397" s="10"/>
      <c r="M397" s="10"/>
      <c r="N397" s="28"/>
      <c r="O397" s="9">
        <f t="shared" si="122"/>
        <v>0</v>
      </c>
    </row>
    <row r="398" spans="1:16" x14ac:dyDescent="0.15">
      <c r="A398" s="38" t="s">
        <v>82</v>
      </c>
      <c r="B398" s="8"/>
      <c r="C398" s="10">
        <v>15</v>
      </c>
      <c r="D398" s="10"/>
      <c r="E398" s="10"/>
      <c r="F398" s="30"/>
      <c r="G398" s="7">
        <f t="shared" si="120"/>
        <v>15</v>
      </c>
      <c r="H398" s="58">
        <v>42690</v>
      </c>
      <c r="I398" s="15" t="s">
        <v>82</v>
      </c>
      <c r="J398" s="8"/>
      <c r="K398" s="10"/>
      <c r="L398" s="10"/>
      <c r="M398" s="10"/>
      <c r="N398" s="28"/>
      <c r="O398" s="9">
        <f t="shared" si="122"/>
        <v>0</v>
      </c>
    </row>
    <row r="399" spans="1:16" x14ac:dyDescent="0.15">
      <c r="A399" s="38" t="s">
        <v>19</v>
      </c>
      <c r="B399" s="11"/>
      <c r="C399" s="100"/>
      <c r="D399" s="100"/>
      <c r="E399" s="100">
        <v>1</v>
      </c>
      <c r="F399" s="101">
        <v>2</v>
      </c>
      <c r="G399" s="102">
        <f t="shared" si="120"/>
        <v>3</v>
      </c>
      <c r="H399" s="58">
        <v>42695</v>
      </c>
      <c r="I399" s="15" t="s">
        <v>83</v>
      </c>
      <c r="J399" s="8"/>
      <c r="K399" s="10"/>
      <c r="L399" s="10"/>
      <c r="M399" s="10"/>
      <c r="N399" s="30"/>
      <c r="O399" s="7">
        <f t="shared" si="122"/>
        <v>0</v>
      </c>
    </row>
    <row r="400" spans="1:16" ht="14.25" thickBot="1" x14ac:dyDescent="0.2">
      <c r="A400" s="38" t="s">
        <v>159</v>
      </c>
      <c r="B400" s="11"/>
      <c r="C400" s="100"/>
      <c r="D400" s="100">
        <v>10</v>
      </c>
      <c r="E400" s="100">
        <v>10</v>
      </c>
      <c r="F400" s="101">
        <v>20</v>
      </c>
      <c r="G400" s="102">
        <f t="shared" si="120"/>
        <v>40</v>
      </c>
      <c r="H400" s="58">
        <v>42704</v>
      </c>
      <c r="I400" s="15" t="s">
        <v>87</v>
      </c>
      <c r="J400" s="11"/>
      <c r="K400" s="100"/>
      <c r="L400" s="100"/>
      <c r="M400" s="100"/>
      <c r="N400" s="101"/>
      <c r="O400" s="102">
        <f t="shared" si="122"/>
        <v>0</v>
      </c>
    </row>
    <row r="401" spans="1:16" ht="14.25" thickBot="1" x14ac:dyDescent="0.2">
      <c r="A401" s="72" t="s">
        <v>7</v>
      </c>
      <c r="B401" s="73">
        <f>SUM(B391:B400)</f>
        <v>22</v>
      </c>
      <c r="C401" s="74">
        <f t="shared" ref="C401:G401" si="123">SUM(C391:C400)</f>
        <v>35</v>
      </c>
      <c r="D401" s="74">
        <f t="shared" si="123"/>
        <v>48</v>
      </c>
      <c r="E401" s="74">
        <f t="shared" si="123"/>
        <v>41</v>
      </c>
      <c r="F401" s="105">
        <f t="shared" si="123"/>
        <v>39</v>
      </c>
      <c r="G401" s="76">
        <f t="shared" si="123"/>
        <v>185</v>
      </c>
      <c r="H401" s="56"/>
      <c r="I401" s="72" t="s">
        <v>7</v>
      </c>
      <c r="J401" s="73">
        <f>SUM(J391:J400)</f>
        <v>220</v>
      </c>
      <c r="K401" s="74">
        <f t="shared" ref="K401:O401" si="124">SUM(K391:K400)</f>
        <v>160</v>
      </c>
      <c r="L401" s="74">
        <f t="shared" si="124"/>
        <v>159</v>
      </c>
      <c r="M401" s="74">
        <f t="shared" si="124"/>
        <v>202</v>
      </c>
      <c r="N401" s="105">
        <f t="shared" si="124"/>
        <v>224</v>
      </c>
      <c r="O401" s="76">
        <f t="shared" si="124"/>
        <v>965</v>
      </c>
    </row>
    <row r="402" spans="1:16" x14ac:dyDescent="0.15">
      <c r="A402" s="14" t="s">
        <v>31</v>
      </c>
      <c r="B402" s="8"/>
      <c r="C402" s="10">
        <v>2</v>
      </c>
      <c r="D402" s="10"/>
      <c r="E402" s="10"/>
      <c r="F402" s="30"/>
      <c r="G402" s="7">
        <f t="shared" ref="G402:G427" si="125">SUM(B402:F402)</f>
        <v>2</v>
      </c>
      <c r="H402" s="58">
        <v>42669</v>
      </c>
      <c r="I402" s="16" t="s">
        <v>309</v>
      </c>
      <c r="J402" s="17"/>
      <c r="K402" s="22"/>
      <c r="L402" s="22">
        <v>10</v>
      </c>
      <c r="M402" s="22">
        <v>15</v>
      </c>
      <c r="N402" s="29"/>
      <c r="O402" s="18">
        <f t="shared" ref="O402:O427" si="126">SUM(J402:N402)</f>
        <v>25</v>
      </c>
      <c r="P402" s="58">
        <v>42678</v>
      </c>
    </row>
    <row r="403" spans="1:16" x14ac:dyDescent="0.15">
      <c r="A403" s="14" t="s">
        <v>31</v>
      </c>
      <c r="B403" s="8"/>
      <c r="C403" s="10"/>
      <c r="D403" s="10">
        <v>1</v>
      </c>
      <c r="E403" s="10"/>
      <c r="F403" s="30">
        <v>4</v>
      </c>
      <c r="G403" s="7">
        <f t="shared" si="125"/>
        <v>5</v>
      </c>
      <c r="H403" s="58">
        <v>42669</v>
      </c>
      <c r="I403" s="16" t="s">
        <v>24</v>
      </c>
      <c r="J403" s="8">
        <v>10</v>
      </c>
      <c r="K403" s="10"/>
      <c r="L403" s="10"/>
      <c r="M403" s="10"/>
      <c r="N403" s="28"/>
      <c r="O403" s="9">
        <f t="shared" si="126"/>
        <v>10</v>
      </c>
      <c r="P403" s="58">
        <v>42683</v>
      </c>
    </row>
    <row r="404" spans="1:16" x14ac:dyDescent="0.15">
      <c r="A404" s="14" t="s">
        <v>304</v>
      </c>
      <c r="B404" s="8"/>
      <c r="C404" s="10"/>
      <c r="D404" s="10">
        <v>1</v>
      </c>
      <c r="E404" s="10"/>
      <c r="F404" s="30"/>
      <c r="G404" s="7">
        <f t="shared" si="125"/>
        <v>1</v>
      </c>
      <c r="H404" s="58">
        <v>42667</v>
      </c>
      <c r="I404" s="16" t="s">
        <v>24</v>
      </c>
      <c r="J404" s="8"/>
      <c r="K404" s="10">
        <v>15</v>
      </c>
      <c r="L404" s="10"/>
      <c r="M404" s="10"/>
      <c r="N404" s="30"/>
      <c r="O404" s="7">
        <f t="shared" si="126"/>
        <v>15</v>
      </c>
      <c r="P404" s="58">
        <v>42690</v>
      </c>
    </row>
    <row r="405" spans="1:16" x14ac:dyDescent="0.15">
      <c r="A405" s="14" t="s">
        <v>305</v>
      </c>
      <c r="B405" s="8"/>
      <c r="C405" s="10"/>
      <c r="D405" s="10">
        <v>10</v>
      </c>
      <c r="E405" s="10"/>
      <c r="F405" s="30"/>
      <c r="G405" s="7">
        <f t="shared" si="125"/>
        <v>10</v>
      </c>
      <c r="H405" s="58">
        <v>42671</v>
      </c>
      <c r="I405" s="16" t="s">
        <v>24</v>
      </c>
      <c r="J405" s="8"/>
      <c r="K405" s="10"/>
      <c r="L405" s="10">
        <v>10</v>
      </c>
      <c r="M405" s="10">
        <v>10</v>
      </c>
      <c r="N405" s="30">
        <v>20</v>
      </c>
      <c r="O405" s="7">
        <f t="shared" si="126"/>
        <v>40</v>
      </c>
      <c r="P405" s="58">
        <v>42704</v>
      </c>
    </row>
    <row r="406" spans="1:16" x14ac:dyDescent="0.15">
      <c r="A406" s="14" t="s">
        <v>31</v>
      </c>
      <c r="B406" s="8"/>
      <c r="C406" s="10"/>
      <c r="D406" s="10"/>
      <c r="E406" s="10">
        <v>5</v>
      </c>
      <c r="F406" s="30">
        <v>1</v>
      </c>
      <c r="G406" s="7">
        <f t="shared" si="125"/>
        <v>6</v>
      </c>
      <c r="H406" s="58">
        <v>42678</v>
      </c>
      <c r="I406" s="16"/>
      <c r="J406" s="8"/>
      <c r="K406" s="10"/>
      <c r="L406" s="10"/>
      <c r="M406" s="10"/>
      <c r="N406" s="30"/>
      <c r="O406" s="7">
        <f t="shared" si="126"/>
        <v>0</v>
      </c>
    </row>
    <row r="407" spans="1:16" x14ac:dyDescent="0.15">
      <c r="A407" s="16" t="s">
        <v>182</v>
      </c>
      <c r="B407" s="8"/>
      <c r="C407" s="10">
        <v>2</v>
      </c>
      <c r="D407" s="10"/>
      <c r="E407" s="10"/>
      <c r="F407" s="30"/>
      <c r="G407" s="7">
        <f t="shared" si="125"/>
        <v>2</v>
      </c>
      <c r="H407" s="58">
        <v>42672</v>
      </c>
      <c r="I407" s="16"/>
      <c r="J407" s="8"/>
      <c r="K407" s="10"/>
      <c r="L407" s="10"/>
      <c r="M407" s="10"/>
      <c r="N407" s="30"/>
      <c r="O407" s="7">
        <f t="shared" si="126"/>
        <v>0</v>
      </c>
    </row>
    <row r="408" spans="1:16" x14ac:dyDescent="0.15">
      <c r="A408" s="14" t="s">
        <v>22</v>
      </c>
      <c r="B408" s="8"/>
      <c r="C408" s="10"/>
      <c r="D408" s="10">
        <v>10</v>
      </c>
      <c r="E408" s="10">
        <v>10</v>
      </c>
      <c r="F408" s="30"/>
      <c r="G408" s="7">
        <f t="shared" si="125"/>
        <v>20</v>
      </c>
      <c r="H408" s="58">
        <v>42681</v>
      </c>
      <c r="I408" s="16"/>
      <c r="J408" s="8"/>
      <c r="K408" s="10"/>
      <c r="L408" s="10"/>
      <c r="M408" s="10"/>
      <c r="N408" s="30"/>
      <c r="O408" s="7">
        <f t="shared" si="126"/>
        <v>0</v>
      </c>
    </row>
    <row r="409" spans="1:16" x14ac:dyDescent="0.15">
      <c r="A409" s="16" t="s">
        <v>312</v>
      </c>
      <c r="B409" s="8"/>
      <c r="C409" s="10">
        <v>1</v>
      </c>
      <c r="D409" s="10"/>
      <c r="E409" s="10"/>
      <c r="F409" s="30"/>
      <c r="G409" s="7">
        <f t="shared" si="125"/>
        <v>1</v>
      </c>
      <c r="H409" s="58">
        <v>42675</v>
      </c>
      <c r="I409" s="16"/>
      <c r="J409" s="8"/>
      <c r="K409" s="10"/>
      <c r="L409" s="10"/>
      <c r="M409" s="10"/>
      <c r="N409" s="30"/>
      <c r="O409" s="7">
        <f t="shared" si="126"/>
        <v>0</v>
      </c>
    </row>
    <row r="410" spans="1:16" x14ac:dyDescent="0.15">
      <c r="A410" s="16" t="s">
        <v>25</v>
      </c>
      <c r="B410" s="8"/>
      <c r="C410" s="10"/>
      <c r="D410" s="10"/>
      <c r="E410" s="10"/>
      <c r="F410" s="30">
        <v>1</v>
      </c>
      <c r="G410" s="7">
        <f t="shared" si="125"/>
        <v>1</v>
      </c>
      <c r="H410" s="58">
        <v>42678</v>
      </c>
      <c r="I410" s="39"/>
      <c r="J410" s="8"/>
      <c r="K410" s="10"/>
      <c r="L410" s="10"/>
      <c r="M410" s="10"/>
      <c r="N410" s="30"/>
      <c r="O410" s="7">
        <f t="shared" si="126"/>
        <v>0</v>
      </c>
    </row>
    <row r="411" spans="1:16" x14ac:dyDescent="0.15">
      <c r="A411" s="16" t="s">
        <v>182</v>
      </c>
      <c r="B411" s="11">
        <v>2</v>
      </c>
      <c r="C411" s="12"/>
      <c r="D411" s="12"/>
      <c r="E411" s="12"/>
      <c r="F411" s="31"/>
      <c r="G411" s="7">
        <f t="shared" si="125"/>
        <v>2</v>
      </c>
      <c r="H411" s="58">
        <v>42681</v>
      </c>
      <c r="I411" s="16"/>
      <c r="J411" s="11"/>
      <c r="K411" s="12"/>
      <c r="L411" s="12"/>
      <c r="M411" s="12"/>
      <c r="N411" s="31"/>
      <c r="O411" s="7">
        <f t="shared" si="126"/>
        <v>0</v>
      </c>
    </row>
    <row r="412" spans="1:16" x14ac:dyDescent="0.15">
      <c r="A412" s="16" t="s">
        <v>182</v>
      </c>
      <c r="B412" s="11">
        <v>1</v>
      </c>
      <c r="C412" s="12"/>
      <c r="D412" s="12"/>
      <c r="E412" s="12"/>
      <c r="F412" s="31"/>
      <c r="G412" s="7">
        <f t="shared" si="125"/>
        <v>1</v>
      </c>
      <c r="H412" s="58">
        <v>42683</v>
      </c>
      <c r="I412" s="16"/>
      <c r="J412" s="8"/>
      <c r="K412" s="10"/>
      <c r="L412" s="10"/>
      <c r="M412" s="10"/>
      <c r="N412" s="30"/>
      <c r="O412" s="7">
        <f t="shared" si="126"/>
        <v>0</v>
      </c>
    </row>
    <row r="413" spans="1:16" x14ac:dyDescent="0.15">
      <c r="A413" s="39" t="s">
        <v>313</v>
      </c>
      <c r="B413" s="8"/>
      <c r="C413" s="10"/>
      <c r="D413" s="10"/>
      <c r="E413" s="10">
        <v>1</v>
      </c>
      <c r="F413" s="30"/>
      <c r="G413" s="7">
        <f t="shared" si="125"/>
        <v>1</v>
      </c>
      <c r="H413" s="58">
        <v>42681</v>
      </c>
      <c r="I413" s="39"/>
      <c r="J413" s="8"/>
      <c r="K413" s="10"/>
      <c r="L413" s="10"/>
      <c r="M413" s="10"/>
      <c r="N413" s="30"/>
      <c r="O413" s="7">
        <f t="shared" si="126"/>
        <v>0</v>
      </c>
    </row>
    <row r="414" spans="1:16" x14ac:dyDescent="0.15">
      <c r="A414" s="14" t="s">
        <v>31</v>
      </c>
      <c r="B414" s="8">
        <v>1</v>
      </c>
      <c r="C414" s="10">
        <v>3</v>
      </c>
      <c r="D414" s="10">
        <v>2</v>
      </c>
      <c r="E414" s="10"/>
      <c r="F414" s="30">
        <v>2</v>
      </c>
      <c r="G414" s="7">
        <f t="shared" si="125"/>
        <v>8</v>
      </c>
      <c r="H414" s="58">
        <v>42685</v>
      </c>
      <c r="I414" s="16"/>
      <c r="J414" s="8"/>
      <c r="K414" s="10"/>
      <c r="L414" s="10"/>
      <c r="M414" s="10"/>
      <c r="N414" s="30"/>
      <c r="O414" s="7">
        <f t="shared" si="126"/>
        <v>0</v>
      </c>
    </row>
    <row r="415" spans="1:16" x14ac:dyDescent="0.15">
      <c r="A415" s="39" t="s">
        <v>29</v>
      </c>
      <c r="B415" s="8">
        <v>1</v>
      </c>
      <c r="C415" s="10"/>
      <c r="D415" s="10"/>
      <c r="E415" s="10"/>
      <c r="F415" s="30"/>
      <c r="G415" s="7">
        <f t="shared" si="125"/>
        <v>1</v>
      </c>
      <c r="H415" s="58">
        <v>42682</v>
      </c>
      <c r="I415" s="16"/>
      <c r="J415" s="8"/>
      <c r="K415" s="10"/>
      <c r="L415" s="10"/>
      <c r="M415" s="10"/>
      <c r="N415" s="30"/>
      <c r="O415" s="7">
        <f t="shared" si="126"/>
        <v>0</v>
      </c>
    </row>
    <row r="416" spans="1:16" x14ac:dyDescent="0.15">
      <c r="A416" s="16" t="s">
        <v>182</v>
      </c>
      <c r="B416" s="8"/>
      <c r="C416" s="10"/>
      <c r="D416" s="10"/>
      <c r="E416" s="10"/>
      <c r="F416" s="30">
        <v>1</v>
      </c>
      <c r="G416" s="7">
        <f t="shared" si="125"/>
        <v>1</v>
      </c>
      <c r="H416" s="58">
        <v>42685</v>
      </c>
      <c r="I416" s="16"/>
      <c r="J416" s="8"/>
      <c r="K416" s="10"/>
      <c r="L416" s="10"/>
      <c r="M416" s="10"/>
      <c r="N416" s="30"/>
      <c r="O416" s="7">
        <f t="shared" si="126"/>
        <v>0</v>
      </c>
    </row>
    <row r="417" spans="1:17" x14ac:dyDescent="0.15">
      <c r="A417" s="14" t="s">
        <v>22</v>
      </c>
      <c r="B417" s="8"/>
      <c r="C417" s="10">
        <v>10</v>
      </c>
      <c r="D417" s="10"/>
      <c r="E417" s="10"/>
      <c r="F417" s="30"/>
      <c r="G417" s="7">
        <f t="shared" si="125"/>
        <v>10</v>
      </c>
      <c r="H417" s="58">
        <v>42695</v>
      </c>
      <c r="I417" s="16"/>
      <c r="J417" s="8"/>
      <c r="K417" s="10"/>
      <c r="L417" s="10"/>
      <c r="M417" s="10"/>
      <c r="N417" s="30"/>
      <c r="O417" s="7">
        <f t="shared" si="126"/>
        <v>0</v>
      </c>
    </row>
    <row r="418" spans="1:17" x14ac:dyDescent="0.15">
      <c r="A418" s="14" t="s">
        <v>31</v>
      </c>
      <c r="B418" s="8"/>
      <c r="C418" s="10"/>
      <c r="D418" s="10">
        <v>1</v>
      </c>
      <c r="E418" s="10">
        <v>1</v>
      </c>
      <c r="F418" s="30">
        <v>1</v>
      </c>
      <c r="G418" s="7">
        <f t="shared" si="125"/>
        <v>3</v>
      </c>
      <c r="H418" s="58">
        <v>42692</v>
      </c>
      <c r="I418" s="14"/>
      <c r="J418" s="8"/>
      <c r="K418" s="10"/>
      <c r="L418" s="10"/>
      <c r="M418" s="10"/>
      <c r="N418" s="30"/>
      <c r="O418" s="7">
        <f t="shared" si="126"/>
        <v>0</v>
      </c>
    </row>
    <row r="419" spans="1:17" x14ac:dyDescent="0.15">
      <c r="A419" s="14" t="s">
        <v>31</v>
      </c>
      <c r="B419" s="8"/>
      <c r="C419" s="10"/>
      <c r="D419" s="10">
        <v>1</v>
      </c>
      <c r="E419" s="10"/>
      <c r="F419" s="30"/>
      <c r="G419" s="7">
        <f t="shared" si="125"/>
        <v>1</v>
      </c>
      <c r="H419" s="58">
        <v>42700</v>
      </c>
      <c r="I419" s="16"/>
      <c r="J419" s="8"/>
      <c r="K419" s="10"/>
      <c r="L419" s="10"/>
      <c r="M419" s="10"/>
      <c r="N419" s="30"/>
      <c r="O419" s="7">
        <f t="shared" si="126"/>
        <v>0</v>
      </c>
    </row>
    <row r="420" spans="1:17" x14ac:dyDescent="0.15">
      <c r="A420" s="14" t="s">
        <v>31</v>
      </c>
      <c r="B420" s="8"/>
      <c r="C420" s="10"/>
      <c r="D420" s="10"/>
      <c r="E420" s="10"/>
      <c r="F420" s="30">
        <v>1</v>
      </c>
      <c r="G420" s="7">
        <f t="shared" si="125"/>
        <v>1</v>
      </c>
      <c r="H420" s="58">
        <v>42704</v>
      </c>
      <c r="I420" s="14"/>
      <c r="J420" s="8"/>
      <c r="K420" s="10"/>
      <c r="L420" s="10"/>
      <c r="M420" s="10"/>
      <c r="N420" s="30"/>
      <c r="O420" s="7">
        <f t="shared" si="126"/>
        <v>0</v>
      </c>
      <c r="P420" s="56"/>
      <c r="Q420" s="56"/>
    </row>
    <row r="421" spans="1:17" x14ac:dyDescent="0.15">
      <c r="A421" s="14" t="s">
        <v>318</v>
      </c>
      <c r="B421" s="8"/>
      <c r="C421" s="10"/>
      <c r="D421" s="10">
        <v>10</v>
      </c>
      <c r="E421" s="10">
        <v>10</v>
      </c>
      <c r="F421" s="30">
        <v>10</v>
      </c>
      <c r="G421" s="7">
        <f t="shared" si="125"/>
        <v>30</v>
      </c>
      <c r="H421" s="58">
        <v>42709</v>
      </c>
      <c r="I421" s="16"/>
      <c r="J421" s="11"/>
      <c r="K421" s="12"/>
      <c r="L421" s="12"/>
      <c r="M421" s="12"/>
      <c r="N421" s="31"/>
      <c r="O421" s="7">
        <f t="shared" si="126"/>
        <v>0</v>
      </c>
      <c r="P421" s="56"/>
      <c r="Q421" s="56"/>
    </row>
    <row r="422" spans="1:17" x14ac:dyDescent="0.15">
      <c r="A422" s="16" t="s">
        <v>183</v>
      </c>
      <c r="B422" s="8">
        <v>-2</v>
      </c>
      <c r="C422" s="10">
        <v>-1</v>
      </c>
      <c r="D422" s="10"/>
      <c r="E422" s="10">
        <v>-4</v>
      </c>
      <c r="F422" s="30">
        <v>-1</v>
      </c>
      <c r="G422" s="7">
        <f t="shared" si="125"/>
        <v>-8</v>
      </c>
      <c r="H422" s="58">
        <v>42709</v>
      </c>
      <c r="I422" s="14"/>
      <c r="J422" s="8"/>
      <c r="K422" s="10"/>
      <c r="L422" s="10"/>
      <c r="M422" s="10"/>
      <c r="N422" s="30"/>
      <c r="O422" s="7">
        <f t="shared" si="126"/>
        <v>0</v>
      </c>
      <c r="P422" s="1"/>
      <c r="Q422" s="56"/>
    </row>
    <row r="423" spans="1:17" x14ac:dyDescent="0.15">
      <c r="A423" s="14" t="s">
        <v>328</v>
      </c>
      <c r="B423" s="11">
        <v>10</v>
      </c>
      <c r="C423" s="12">
        <v>10</v>
      </c>
      <c r="D423" s="12"/>
      <c r="E423" s="12"/>
      <c r="F423" s="31"/>
      <c r="G423" s="7">
        <f t="shared" si="125"/>
        <v>20</v>
      </c>
      <c r="H423" s="58">
        <v>42716</v>
      </c>
      <c r="I423" s="20"/>
      <c r="J423" s="11"/>
      <c r="K423" s="12"/>
      <c r="L423" s="12"/>
      <c r="M423" s="12"/>
      <c r="N423" s="31"/>
      <c r="O423" s="7">
        <f t="shared" si="126"/>
        <v>0</v>
      </c>
      <c r="P423" s="36"/>
      <c r="Q423" s="56"/>
    </row>
    <row r="424" spans="1:17" x14ac:dyDescent="0.15">
      <c r="A424" s="14" t="s">
        <v>31</v>
      </c>
      <c r="B424" s="8"/>
      <c r="C424" s="10"/>
      <c r="D424" s="10">
        <v>2</v>
      </c>
      <c r="E424" s="10"/>
      <c r="F424" s="30"/>
      <c r="G424" s="7">
        <f t="shared" si="125"/>
        <v>2</v>
      </c>
      <c r="H424" s="58">
        <v>42712</v>
      </c>
      <c r="I424" s="14"/>
      <c r="J424" s="8"/>
      <c r="K424" s="10"/>
      <c r="L424" s="10"/>
      <c r="M424" s="10"/>
      <c r="N424" s="30"/>
      <c r="O424" s="7">
        <f t="shared" si="126"/>
        <v>0</v>
      </c>
      <c r="P424" s="1"/>
      <c r="Q424" s="56"/>
    </row>
    <row r="425" spans="1:17" x14ac:dyDescent="0.15">
      <c r="A425" s="14" t="s">
        <v>330</v>
      </c>
      <c r="B425" s="8"/>
      <c r="C425" s="10"/>
      <c r="D425" s="10"/>
      <c r="E425" s="10">
        <v>1</v>
      </c>
      <c r="F425" s="30"/>
      <c r="G425" s="7">
        <f t="shared" si="125"/>
        <v>1</v>
      </c>
      <c r="H425" s="58">
        <v>42714</v>
      </c>
      <c r="I425" s="20"/>
      <c r="J425" s="11"/>
      <c r="K425" s="12"/>
      <c r="L425" s="12"/>
      <c r="M425" s="12"/>
      <c r="N425" s="31"/>
      <c r="O425" s="7">
        <f t="shared" si="126"/>
        <v>0</v>
      </c>
      <c r="P425" s="36"/>
      <c r="Q425" s="56"/>
    </row>
    <row r="426" spans="1:17" x14ac:dyDescent="0.15">
      <c r="A426" s="14" t="s">
        <v>31</v>
      </c>
      <c r="B426" s="8"/>
      <c r="C426" s="10"/>
      <c r="D426" s="10"/>
      <c r="E426" s="10"/>
      <c r="F426" s="30">
        <v>1</v>
      </c>
      <c r="G426" s="7">
        <f t="shared" si="125"/>
        <v>1</v>
      </c>
      <c r="H426" s="58">
        <v>42718</v>
      </c>
      <c r="I426" s="14"/>
      <c r="J426" s="8"/>
      <c r="K426" s="10"/>
      <c r="L426" s="10"/>
      <c r="M426" s="10"/>
      <c r="N426" s="30"/>
      <c r="O426" s="7">
        <f t="shared" si="126"/>
        <v>0</v>
      </c>
      <c r="P426" s="56"/>
      <c r="Q426" s="56"/>
    </row>
    <row r="427" spans="1:17" ht="14.25" thickBot="1" x14ac:dyDescent="0.2">
      <c r="A427" s="14" t="s">
        <v>331</v>
      </c>
      <c r="B427" s="11"/>
      <c r="C427" s="12"/>
      <c r="D427" s="12"/>
      <c r="E427" s="12"/>
      <c r="F427" s="31">
        <v>2</v>
      </c>
      <c r="G427" s="7">
        <f t="shared" si="125"/>
        <v>2</v>
      </c>
      <c r="H427" s="58">
        <v>42716</v>
      </c>
      <c r="I427" s="20"/>
      <c r="J427" s="11"/>
      <c r="K427" s="12"/>
      <c r="L427" s="12"/>
      <c r="M427" s="12"/>
      <c r="N427" s="31"/>
      <c r="O427" s="7">
        <f t="shared" si="126"/>
        <v>0</v>
      </c>
      <c r="P427" s="56"/>
      <c r="Q427" s="56"/>
    </row>
    <row r="428" spans="1:17" ht="14.25" thickBot="1" x14ac:dyDescent="0.2">
      <c r="A428" s="3" t="s">
        <v>11</v>
      </c>
      <c r="B428" s="23">
        <f>SUM(B402:B427)</f>
        <v>13</v>
      </c>
      <c r="C428" s="4">
        <f>SUM(C402:C427)</f>
        <v>27</v>
      </c>
      <c r="D428" s="4">
        <f>SUM(D402:D427)</f>
        <v>38</v>
      </c>
      <c r="E428" s="6">
        <f>SUM(E402:E427)</f>
        <v>24</v>
      </c>
      <c r="F428" s="32">
        <f>SUM(F402:F427)</f>
        <v>23</v>
      </c>
      <c r="G428" s="5">
        <f>SUM(B428:F428)</f>
        <v>125</v>
      </c>
      <c r="H428" s="56"/>
      <c r="I428" s="3" t="s">
        <v>11</v>
      </c>
      <c r="J428" s="23">
        <f>SUM(J402:J427)</f>
        <v>10</v>
      </c>
      <c r="K428" s="4">
        <f>SUM(K402:K427)</f>
        <v>15</v>
      </c>
      <c r="L428" s="4">
        <f>SUM(L402:L427)</f>
        <v>20</v>
      </c>
      <c r="M428" s="6">
        <f>SUM(M402:M427)</f>
        <v>25</v>
      </c>
      <c r="N428" s="32">
        <f>SUM(N402:N427)</f>
        <v>20</v>
      </c>
      <c r="O428" s="5">
        <f>SUM(J428:N428)</f>
        <v>90</v>
      </c>
    </row>
    <row r="429" spans="1:17" ht="14.25" thickBot="1" x14ac:dyDescent="0.2">
      <c r="A429" s="25" t="s">
        <v>12</v>
      </c>
      <c r="B429" s="63">
        <f>B401-B428</f>
        <v>9</v>
      </c>
      <c r="C429" s="26">
        <f t="shared" ref="C429:G429" si="127">C401-C428</f>
        <v>8</v>
      </c>
      <c r="D429" s="71">
        <f t="shared" si="127"/>
        <v>10</v>
      </c>
      <c r="E429" s="26">
        <f t="shared" si="127"/>
        <v>17</v>
      </c>
      <c r="F429" s="70">
        <f t="shared" si="127"/>
        <v>16</v>
      </c>
      <c r="G429" s="27">
        <f t="shared" si="127"/>
        <v>60</v>
      </c>
      <c r="H429" s="56"/>
      <c r="I429" s="25" t="s">
        <v>12</v>
      </c>
      <c r="J429" s="63">
        <f>J401-J428</f>
        <v>210</v>
      </c>
      <c r="K429" s="26">
        <f t="shared" ref="K429:O429" si="128">K401-K428</f>
        <v>145</v>
      </c>
      <c r="L429" s="71">
        <f t="shared" si="128"/>
        <v>139</v>
      </c>
      <c r="M429" s="26">
        <f t="shared" si="128"/>
        <v>177</v>
      </c>
      <c r="N429" s="70">
        <f t="shared" si="128"/>
        <v>204</v>
      </c>
      <c r="O429" s="27">
        <f t="shared" si="128"/>
        <v>875</v>
      </c>
    </row>
    <row r="430" spans="1:17" ht="17.25" x14ac:dyDescent="0.2">
      <c r="A430" s="79" t="s">
        <v>357</v>
      </c>
      <c r="B430" s="80"/>
      <c r="C430" s="80"/>
      <c r="D430" s="80"/>
      <c r="E430" s="80"/>
      <c r="F430" s="80"/>
      <c r="G430" s="80"/>
      <c r="H430" s="58"/>
      <c r="I430" s="79" t="s">
        <v>56</v>
      </c>
      <c r="J430" s="80"/>
      <c r="K430" s="80"/>
      <c r="L430" s="80"/>
      <c r="M430" s="80"/>
      <c r="N430" s="80"/>
      <c r="O430" s="1"/>
    </row>
    <row r="431" spans="1:17" ht="21.75" thickBot="1" x14ac:dyDescent="0.25">
      <c r="A431" s="82" t="s">
        <v>55</v>
      </c>
      <c r="B431" s="80"/>
      <c r="C431" s="80"/>
      <c r="D431" s="80"/>
      <c r="E431" s="81" t="s">
        <v>53</v>
      </c>
      <c r="F431" s="80"/>
      <c r="G431" s="80"/>
      <c r="H431" s="58"/>
      <c r="I431" s="82" t="s">
        <v>55</v>
      </c>
      <c r="J431" s="80"/>
      <c r="K431" s="80"/>
      <c r="L431" s="80"/>
      <c r="M431" s="81" t="s">
        <v>54</v>
      </c>
      <c r="N431" s="80"/>
      <c r="O431" s="1"/>
    </row>
    <row r="432" spans="1:17" ht="14.25" thickBot="1" x14ac:dyDescent="0.2">
      <c r="A432" s="13" t="s">
        <v>0</v>
      </c>
      <c r="B432" s="228" t="s">
        <v>57</v>
      </c>
      <c r="C432" s="229"/>
      <c r="D432" s="229"/>
      <c r="E432" s="229"/>
      <c r="F432" s="230"/>
      <c r="G432" s="231"/>
      <c r="H432" s="58"/>
      <c r="I432" s="13" t="s">
        <v>0</v>
      </c>
      <c r="J432" s="232" t="s">
        <v>57</v>
      </c>
      <c r="K432" s="233"/>
      <c r="L432" s="233"/>
      <c r="M432" s="233"/>
      <c r="N432" s="233"/>
      <c r="O432" s="234"/>
    </row>
    <row r="433" spans="1:16" ht="14.25" thickBot="1" x14ac:dyDescent="0.2">
      <c r="A433" s="3" t="s">
        <v>1</v>
      </c>
      <c r="B433" s="2" t="s">
        <v>42</v>
      </c>
      <c r="C433" s="21" t="s">
        <v>43</v>
      </c>
      <c r="D433" s="21" t="s">
        <v>44</v>
      </c>
      <c r="E433" s="24" t="s">
        <v>45</v>
      </c>
      <c r="F433" s="33" t="s">
        <v>46</v>
      </c>
      <c r="G433" s="3" t="s">
        <v>2</v>
      </c>
      <c r="H433" s="58"/>
      <c r="I433" s="3" t="s">
        <v>1</v>
      </c>
      <c r="J433" s="2" t="s">
        <v>42</v>
      </c>
      <c r="K433" s="21" t="s">
        <v>43</v>
      </c>
      <c r="L433" s="21" t="s">
        <v>44</v>
      </c>
      <c r="M433" s="24" t="s">
        <v>45</v>
      </c>
      <c r="N433" s="33" t="s">
        <v>46</v>
      </c>
      <c r="O433" s="3" t="s">
        <v>2</v>
      </c>
    </row>
    <row r="434" spans="1:16" ht="14.25" thickBot="1" x14ac:dyDescent="0.2">
      <c r="A434" s="72" t="s">
        <v>79</v>
      </c>
      <c r="B434" s="73">
        <f>B429</f>
        <v>9</v>
      </c>
      <c r="C434" s="74">
        <f t="shared" ref="C434:F434" si="129">C429</f>
        <v>8</v>
      </c>
      <c r="D434" s="107">
        <f t="shared" si="129"/>
        <v>10</v>
      </c>
      <c r="E434" s="75">
        <f t="shared" si="129"/>
        <v>17</v>
      </c>
      <c r="F434" s="75">
        <f t="shared" si="129"/>
        <v>16</v>
      </c>
      <c r="G434" s="76">
        <f t="shared" ref="G434:G443" si="130">SUM(B434:F434)</f>
        <v>60</v>
      </c>
      <c r="H434" s="58"/>
      <c r="I434" s="72" t="s">
        <v>79</v>
      </c>
      <c r="J434" s="73">
        <f>J429</f>
        <v>210</v>
      </c>
      <c r="K434" s="74">
        <f t="shared" ref="K434:N434" si="131">K429</f>
        <v>145</v>
      </c>
      <c r="L434" s="107">
        <f t="shared" si="131"/>
        <v>139</v>
      </c>
      <c r="M434" s="75">
        <f t="shared" si="131"/>
        <v>177</v>
      </c>
      <c r="N434" s="75">
        <f t="shared" si="131"/>
        <v>204</v>
      </c>
      <c r="O434" s="76">
        <f t="shared" ref="O434:O443" si="132">SUM(J434:N434)</f>
        <v>875</v>
      </c>
    </row>
    <row r="435" spans="1:16" x14ac:dyDescent="0.15">
      <c r="A435" s="38" t="s">
        <v>355</v>
      </c>
      <c r="B435" s="37">
        <v>1</v>
      </c>
      <c r="C435" s="35">
        <v>1</v>
      </c>
      <c r="D435" s="35">
        <v>1</v>
      </c>
      <c r="E435" s="35">
        <v>1</v>
      </c>
      <c r="F435" s="28">
        <v>1</v>
      </c>
      <c r="G435" s="7">
        <f t="shared" si="130"/>
        <v>5</v>
      </c>
      <c r="H435" s="58">
        <v>42719</v>
      </c>
      <c r="I435" s="38" t="s">
        <v>15</v>
      </c>
      <c r="J435" s="37"/>
      <c r="K435" s="35"/>
      <c r="L435" s="35"/>
      <c r="M435" s="35"/>
      <c r="N435" s="28"/>
      <c r="O435" s="7">
        <f t="shared" si="132"/>
        <v>0</v>
      </c>
    </row>
    <row r="436" spans="1:16" x14ac:dyDescent="0.15">
      <c r="A436" s="38" t="s">
        <v>16</v>
      </c>
      <c r="B436" s="8">
        <v>10</v>
      </c>
      <c r="C436" s="10">
        <v>10</v>
      </c>
      <c r="D436" s="10"/>
      <c r="E436" s="10"/>
      <c r="F436" s="28"/>
      <c r="G436" s="9">
        <f t="shared" si="130"/>
        <v>20</v>
      </c>
      <c r="H436" s="58">
        <v>42720</v>
      </c>
      <c r="I436" s="15" t="s">
        <v>3</v>
      </c>
      <c r="J436" s="8"/>
      <c r="K436" s="10"/>
      <c r="L436" s="10"/>
      <c r="M436" s="10"/>
      <c r="N436" s="28"/>
      <c r="O436" s="9">
        <f t="shared" si="132"/>
        <v>0</v>
      </c>
      <c r="P436" s="36"/>
    </row>
    <row r="437" spans="1:16" x14ac:dyDescent="0.15">
      <c r="A437" s="38" t="s">
        <v>19</v>
      </c>
      <c r="B437" s="8"/>
      <c r="C437" s="10">
        <v>2</v>
      </c>
      <c r="D437" s="10"/>
      <c r="E437" s="10"/>
      <c r="F437" s="28">
        <v>1</v>
      </c>
      <c r="G437" s="9">
        <f t="shared" si="130"/>
        <v>3</v>
      </c>
      <c r="H437" s="58">
        <v>42720</v>
      </c>
      <c r="I437" s="15" t="s">
        <v>18</v>
      </c>
      <c r="J437" s="8"/>
      <c r="K437" s="10"/>
      <c r="L437" s="10"/>
      <c r="M437" s="10"/>
      <c r="N437" s="28"/>
      <c r="O437" s="9">
        <f t="shared" si="132"/>
        <v>0</v>
      </c>
    </row>
    <row r="438" spans="1:16" x14ac:dyDescent="0.15">
      <c r="A438" s="38" t="s">
        <v>20</v>
      </c>
      <c r="B438" s="8">
        <v>10</v>
      </c>
      <c r="C438" s="10">
        <v>10</v>
      </c>
      <c r="D438" s="10">
        <v>10</v>
      </c>
      <c r="E438" s="10">
        <v>10</v>
      </c>
      <c r="F438" s="28">
        <v>10</v>
      </c>
      <c r="G438" s="9">
        <f t="shared" si="130"/>
        <v>50</v>
      </c>
      <c r="H438" s="58">
        <v>42741</v>
      </c>
      <c r="I438" s="15" t="s">
        <v>20</v>
      </c>
      <c r="J438" s="8"/>
      <c r="K438" s="10"/>
      <c r="L438" s="10"/>
      <c r="M438" s="10"/>
      <c r="N438" s="28"/>
      <c r="O438" s="9">
        <f t="shared" si="132"/>
        <v>0</v>
      </c>
    </row>
    <row r="439" spans="1:16" x14ac:dyDescent="0.15">
      <c r="A439" s="38" t="s">
        <v>80</v>
      </c>
      <c r="B439" s="8"/>
      <c r="C439" s="10">
        <v>10</v>
      </c>
      <c r="D439" s="10"/>
      <c r="E439" s="10">
        <v>10</v>
      </c>
      <c r="F439" s="28">
        <v>10</v>
      </c>
      <c r="G439" s="9">
        <f t="shared" si="130"/>
        <v>30</v>
      </c>
      <c r="H439" s="58">
        <v>42753</v>
      </c>
      <c r="I439" s="15" t="s">
        <v>80</v>
      </c>
      <c r="J439" s="8"/>
      <c r="K439" s="10"/>
      <c r="L439" s="10"/>
      <c r="M439" s="10"/>
      <c r="N439" s="28"/>
      <c r="O439" s="9">
        <f t="shared" si="132"/>
        <v>0</v>
      </c>
    </row>
    <row r="440" spans="1:16" x14ac:dyDescent="0.15">
      <c r="A440" s="38" t="s">
        <v>81</v>
      </c>
      <c r="B440" s="8"/>
      <c r="C440" s="10"/>
      <c r="D440" s="10">
        <v>15</v>
      </c>
      <c r="E440" s="10"/>
      <c r="F440" s="28"/>
      <c r="G440" s="9">
        <f t="shared" si="130"/>
        <v>15</v>
      </c>
      <c r="H440" s="58">
        <v>42755</v>
      </c>
      <c r="I440" s="15" t="s">
        <v>81</v>
      </c>
      <c r="J440" s="8"/>
      <c r="K440" s="10"/>
      <c r="L440" s="10"/>
      <c r="M440" s="10"/>
      <c r="N440" s="28"/>
      <c r="O440" s="9">
        <f t="shared" si="132"/>
        <v>0</v>
      </c>
    </row>
    <row r="441" spans="1:16" x14ac:dyDescent="0.15">
      <c r="A441" s="38" t="s">
        <v>19</v>
      </c>
      <c r="B441" s="8">
        <v>1</v>
      </c>
      <c r="C441" s="10"/>
      <c r="D441" s="10"/>
      <c r="E441" s="10">
        <v>2</v>
      </c>
      <c r="F441" s="30">
        <v>2</v>
      </c>
      <c r="G441" s="7">
        <f t="shared" si="130"/>
        <v>5</v>
      </c>
      <c r="H441" s="58">
        <v>42754</v>
      </c>
      <c r="I441" s="15" t="s">
        <v>82</v>
      </c>
      <c r="J441" s="8"/>
      <c r="K441" s="10"/>
      <c r="L441" s="10"/>
      <c r="M441" s="10"/>
      <c r="N441" s="28"/>
      <c r="O441" s="9">
        <f t="shared" si="132"/>
        <v>0</v>
      </c>
    </row>
    <row r="442" spans="1:16" x14ac:dyDescent="0.15">
      <c r="A442" s="15" t="s">
        <v>157</v>
      </c>
      <c r="B442" s="11"/>
      <c r="C442" s="100">
        <v>1</v>
      </c>
      <c r="D442" s="100"/>
      <c r="E442" s="100"/>
      <c r="F442" s="101"/>
      <c r="G442" s="102">
        <f t="shared" si="130"/>
        <v>1</v>
      </c>
      <c r="H442" s="58">
        <v>42755</v>
      </c>
      <c r="I442" s="15" t="s">
        <v>83</v>
      </c>
      <c r="J442" s="8"/>
      <c r="K442" s="10"/>
      <c r="L442" s="10"/>
      <c r="M442" s="10"/>
      <c r="N442" s="30"/>
      <c r="O442" s="7">
        <f t="shared" si="132"/>
        <v>0</v>
      </c>
    </row>
    <row r="443" spans="1:16" ht="14.25" thickBot="1" x14ac:dyDescent="0.2">
      <c r="A443" s="38" t="s">
        <v>40</v>
      </c>
      <c r="B443" s="11">
        <v>1</v>
      </c>
      <c r="C443" s="100">
        <v>1</v>
      </c>
      <c r="D443" s="100"/>
      <c r="E443" s="100">
        <v>1</v>
      </c>
      <c r="F443" s="101">
        <v>1</v>
      </c>
      <c r="G443" s="102">
        <f t="shared" si="130"/>
        <v>4</v>
      </c>
      <c r="H443" s="58">
        <v>42760</v>
      </c>
      <c r="I443" s="15" t="s">
        <v>87</v>
      </c>
      <c r="J443" s="11"/>
      <c r="K443" s="100"/>
      <c r="L443" s="100"/>
      <c r="M443" s="100"/>
      <c r="N443" s="101"/>
      <c r="O443" s="102">
        <f t="shared" si="132"/>
        <v>0</v>
      </c>
    </row>
    <row r="444" spans="1:16" ht="14.25" thickBot="1" x14ac:dyDescent="0.2">
      <c r="A444" s="72" t="s">
        <v>7</v>
      </c>
      <c r="B444" s="73">
        <f>SUM(B434:B443)</f>
        <v>32</v>
      </c>
      <c r="C444" s="74">
        <f t="shared" ref="C444:G444" si="133">SUM(C434:C443)</f>
        <v>43</v>
      </c>
      <c r="D444" s="74">
        <f t="shared" si="133"/>
        <v>36</v>
      </c>
      <c r="E444" s="74">
        <f t="shared" si="133"/>
        <v>41</v>
      </c>
      <c r="F444" s="105">
        <f t="shared" si="133"/>
        <v>41</v>
      </c>
      <c r="G444" s="76">
        <f t="shared" si="133"/>
        <v>193</v>
      </c>
      <c r="H444" s="56"/>
      <c r="I444" s="72" t="s">
        <v>7</v>
      </c>
      <c r="J444" s="73">
        <f>SUM(J434:J443)</f>
        <v>210</v>
      </c>
      <c r="K444" s="74">
        <f t="shared" ref="K444:O444" si="134">SUM(K434:K443)</f>
        <v>145</v>
      </c>
      <c r="L444" s="74">
        <f t="shared" si="134"/>
        <v>139</v>
      </c>
      <c r="M444" s="74">
        <f t="shared" si="134"/>
        <v>177</v>
      </c>
      <c r="N444" s="105">
        <f t="shared" si="134"/>
        <v>204</v>
      </c>
      <c r="O444" s="76">
        <f t="shared" si="134"/>
        <v>875</v>
      </c>
    </row>
    <row r="445" spans="1:16" x14ac:dyDescent="0.15">
      <c r="A445" s="16" t="s">
        <v>182</v>
      </c>
      <c r="B445" s="8"/>
      <c r="C445" s="10">
        <v>1</v>
      </c>
      <c r="D445" s="10"/>
      <c r="E445" s="10"/>
      <c r="F445" s="30"/>
      <c r="G445" s="7">
        <f t="shared" ref="G445:G470" si="135">SUM(B445:F445)</f>
        <v>1</v>
      </c>
      <c r="H445" s="58">
        <v>42720</v>
      </c>
      <c r="I445" s="16" t="s">
        <v>332</v>
      </c>
      <c r="J445" s="17">
        <v>10</v>
      </c>
      <c r="K445" s="22">
        <v>10</v>
      </c>
      <c r="L445" s="22"/>
      <c r="M445" s="22"/>
      <c r="N445" s="29"/>
      <c r="O445" s="18">
        <f t="shared" ref="O445:O470" si="136">SUM(J445:N445)</f>
        <v>20</v>
      </c>
      <c r="P445" s="58">
        <v>42720</v>
      </c>
    </row>
    <row r="446" spans="1:16" x14ac:dyDescent="0.15">
      <c r="A446" s="16" t="s">
        <v>182</v>
      </c>
      <c r="B446" s="8"/>
      <c r="C446" s="10"/>
      <c r="D446" s="10"/>
      <c r="E446" s="10"/>
      <c r="F446" s="30">
        <v>1</v>
      </c>
      <c r="G446" s="7">
        <f t="shared" si="135"/>
        <v>1</v>
      </c>
      <c r="H446" s="58">
        <v>42726</v>
      </c>
      <c r="I446" s="16" t="s">
        <v>24</v>
      </c>
      <c r="J446" s="8">
        <v>10</v>
      </c>
      <c r="K446" s="10">
        <v>10</v>
      </c>
      <c r="L446" s="10">
        <v>10</v>
      </c>
      <c r="M446" s="10">
        <v>10</v>
      </c>
      <c r="N446" s="28">
        <v>10</v>
      </c>
      <c r="O446" s="9">
        <f t="shared" si="136"/>
        <v>50</v>
      </c>
      <c r="P446" s="58">
        <v>42741</v>
      </c>
    </row>
    <row r="447" spans="1:16" x14ac:dyDescent="0.15">
      <c r="A447" s="14" t="s">
        <v>31</v>
      </c>
      <c r="B447" s="8"/>
      <c r="C447" s="10">
        <v>1</v>
      </c>
      <c r="D447" s="10"/>
      <c r="E447" s="10"/>
      <c r="F447" s="30"/>
      <c r="G447" s="7">
        <f t="shared" si="135"/>
        <v>1</v>
      </c>
      <c r="H447" s="58">
        <v>42728</v>
      </c>
      <c r="I447" s="16" t="s">
        <v>24</v>
      </c>
      <c r="J447" s="8"/>
      <c r="K447" s="10">
        <v>10</v>
      </c>
      <c r="L447" s="10"/>
      <c r="M447" s="10">
        <v>10</v>
      </c>
      <c r="N447" s="30">
        <v>10</v>
      </c>
      <c r="O447" s="7">
        <f t="shared" si="136"/>
        <v>30</v>
      </c>
      <c r="P447" s="58">
        <v>42753</v>
      </c>
    </row>
    <row r="448" spans="1:16" x14ac:dyDescent="0.15">
      <c r="A448" s="14" t="s">
        <v>336</v>
      </c>
      <c r="B448" s="8">
        <v>10</v>
      </c>
      <c r="C448" s="10"/>
      <c r="D448" s="10"/>
      <c r="E448" s="10"/>
      <c r="F448" s="30"/>
      <c r="G448" s="7">
        <f t="shared" si="135"/>
        <v>10</v>
      </c>
      <c r="H448" s="58">
        <v>42375</v>
      </c>
      <c r="I448" s="16" t="s">
        <v>24</v>
      </c>
      <c r="J448" s="8"/>
      <c r="K448" s="10"/>
      <c r="L448" s="10">
        <v>15</v>
      </c>
      <c r="M448" s="10"/>
      <c r="N448" s="30"/>
      <c r="O448" s="7">
        <f t="shared" si="136"/>
        <v>15</v>
      </c>
      <c r="P448" s="58">
        <v>42755</v>
      </c>
    </row>
    <row r="449" spans="1:16" x14ac:dyDescent="0.15">
      <c r="A449" s="14" t="s">
        <v>31</v>
      </c>
      <c r="B449" s="8"/>
      <c r="C449" s="10">
        <v>1</v>
      </c>
      <c r="D449" s="10"/>
      <c r="E449" s="10"/>
      <c r="F449" s="30"/>
      <c r="G449" s="7">
        <f t="shared" si="135"/>
        <v>1</v>
      </c>
      <c r="H449" s="58">
        <v>42376</v>
      </c>
      <c r="I449" s="16"/>
      <c r="J449" s="8"/>
      <c r="K449" s="10"/>
      <c r="L449" s="10"/>
      <c r="M449" s="10"/>
      <c r="N449" s="30"/>
      <c r="O449" s="7">
        <f t="shared" si="136"/>
        <v>0</v>
      </c>
      <c r="P449" s="56"/>
    </row>
    <row r="450" spans="1:16" x14ac:dyDescent="0.15">
      <c r="A450" s="16" t="s">
        <v>117</v>
      </c>
      <c r="B450" s="8"/>
      <c r="C450" s="10"/>
      <c r="D450" s="10">
        <v>1</v>
      </c>
      <c r="E450" s="10"/>
      <c r="F450" s="30"/>
      <c r="G450" s="7">
        <f t="shared" si="135"/>
        <v>1</v>
      </c>
      <c r="H450" s="58">
        <v>42731</v>
      </c>
      <c r="I450" s="16"/>
      <c r="J450" s="8"/>
      <c r="K450" s="10"/>
      <c r="L450" s="10"/>
      <c r="M450" s="10"/>
      <c r="N450" s="30"/>
      <c r="O450" s="7">
        <f t="shared" si="136"/>
        <v>0</v>
      </c>
    </row>
    <row r="451" spans="1:16" x14ac:dyDescent="0.15">
      <c r="A451" s="14" t="s">
        <v>339</v>
      </c>
      <c r="B451" s="8">
        <v>1</v>
      </c>
      <c r="C451" s="10"/>
      <c r="D451" s="10">
        <v>1</v>
      </c>
      <c r="E451" s="10">
        <v>1</v>
      </c>
      <c r="F451" s="30">
        <v>1</v>
      </c>
      <c r="G451" s="7">
        <f t="shared" si="135"/>
        <v>4</v>
      </c>
      <c r="H451" s="58">
        <v>42731</v>
      </c>
      <c r="I451" s="16"/>
      <c r="J451" s="8"/>
      <c r="K451" s="10"/>
      <c r="L451" s="10"/>
      <c r="M451" s="10"/>
      <c r="N451" s="30"/>
      <c r="O451" s="7">
        <f t="shared" si="136"/>
        <v>0</v>
      </c>
    </row>
    <row r="452" spans="1:16" x14ac:dyDescent="0.15">
      <c r="A452" s="14" t="s">
        <v>22</v>
      </c>
      <c r="B452" s="8"/>
      <c r="C452" s="10"/>
      <c r="D452" s="10"/>
      <c r="E452" s="10">
        <v>10</v>
      </c>
      <c r="F452" s="30"/>
      <c r="G452" s="7">
        <f t="shared" si="135"/>
        <v>10</v>
      </c>
      <c r="H452" s="58">
        <v>42381</v>
      </c>
      <c r="I452" s="16"/>
      <c r="J452" s="8"/>
      <c r="K452" s="10"/>
      <c r="L452" s="10"/>
      <c r="M452" s="10"/>
      <c r="N452" s="30"/>
      <c r="O452" s="7">
        <f t="shared" si="136"/>
        <v>0</v>
      </c>
    </row>
    <row r="453" spans="1:16" x14ac:dyDescent="0.15">
      <c r="A453" s="14" t="s">
        <v>329</v>
      </c>
      <c r="B453" s="8"/>
      <c r="C453" s="10"/>
      <c r="D453" s="10">
        <v>1</v>
      </c>
      <c r="E453" s="10">
        <v>2</v>
      </c>
      <c r="F453" s="30"/>
      <c r="G453" s="7">
        <f t="shared" si="135"/>
        <v>3</v>
      </c>
      <c r="H453" s="58">
        <v>42741</v>
      </c>
      <c r="I453" s="39"/>
      <c r="J453" s="8"/>
      <c r="K453" s="10"/>
      <c r="L453" s="10"/>
      <c r="M453" s="10"/>
      <c r="N453" s="30"/>
      <c r="O453" s="7">
        <f t="shared" si="136"/>
        <v>0</v>
      </c>
    </row>
    <row r="454" spans="1:16" x14ac:dyDescent="0.15">
      <c r="A454" s="16" t="s">
        <v>340</v>
      </c>
      <c r="B454" s="11"/>
      <c r="C454" s="12">
        <v>3</v>
      </c>
      <c r="D454" s="12"/>
      <c r="E454" s="12"/>
      <c r="F454" s="31"/>
      <c r="G454" s="7">
        <f t="shared" si="135"/>
        <v>3</v>
      </c>
      <c r="H454" s="58">
        <v>42741</v>
      </c>
      <c r="I454" s="16"/>
      <c r="J454" s="11"/>
      <c r="K454" s="12"/>
      <c r="L454" s="12"/>
      <c r="M454" s="12"/>
      <c r="N454" s="31"/>
      <c r="O454" s="7">
        <f t="shared" si="136"/>
        <v>0</v>
      </c>
    </row>
    <row r="455" spans="1:16" x14ac:dyDescent="0.15">
      <c r="A455" s="16" t="s">
        <v>22</v>
      </c>
      <c r="B455" s="11"/>
      <c r="C455" s="12">
        <v>10</v>
      </c>
      <c r="D455" s="12"/>
      <c r="E455" s="12"/>
      <c r="F455" s="31">
        <v>10</v>
      </c>
      <c r="G455" s="7">
        <f t="shared" ref="G455" si="137">SUM(B455:F455)</f>
        <v>20</v>
      </c>
      <c r="H455" s="58">
        <v>42747</v>
      </c>
      <c r="I455" s="16"/>
      <c r="J455" s="8"/>
      <c r="K455" s="10"/>
      <c r="L455" s="10"/>
      <c r="M455" s="10"/>
      <c r="N455" s="30"/>
      <c r="O455" s="7">
        <f t="shared" si="136"/>
        <v>0</v>
      </c>
    </row>
    <row r="456" spans="1:16" x14ac:dyDescent="0.15">
      <c r="A456" s="14" t="s">
        <v>329</v>
      </c>
      <c r="B456" s="8">
        <v>2</v>
      </c>
      <c r="C456" s="10">
        <v>1</v>
      </c>
      <c r="D456" s="10">
        <v>2</v>
      </c>
      <c r="E456" s="10"/>
      <c r="F456" s="30">
        <v>2</v>
      </c>
      <c r="G456" s="7">
        <f t="shared" si="135"/>
        <v>7</v>
      </c>
      <c r="H456" s="58">
        <v>42745</v>
      </c>
      <c r="I456" s="39"/>
      <c r="J456" s="8"/>
      <c r="K456" s="10"/>
      <c r="L456" s="10"/>
      <c r="M456" s="10"/>
      <c r="N456" s="30"/>
      <c r="O456" s="7">
        <f t="shared" si="136"/>
        <v>0</v>
      </c>
    </row>
    <row r="457" spans="1:16" x14ac:dyDescent="0.15">
      <c r="A457" s="14" t="s">
        <v>344</v>
      </c>
      <c r="B457" s="8"/>
      <c r="C457" s="10"/>
      <c r="D457" s="10"/>
      <c r="E457" s="10">
        <v>1</v>
      </c>
      <c r="F457" s="30"/>
      <c r="G457" s="7">
        <f t="shared" si="135"/>
        <v>1</v>
      </c>
      <c r="H457" s="58">
        <v>42745</v>
      </c>
      <c r="I457" s="16"/>
      <c r="J457" s="8"/>
      <c r="K457" s="10"/>
      <c r="L457" s="10"/>
      <c r="M457" s="10"/>
      <c r="N457" s="30"/>
      <c r="O457" s="7">
        <f t="shared" si="136"/>
        <v>0</v>
      </c>
    </row>
    <row r="458" spans="1:16" x14ac:dyDescent="0.15">
      <c r="A458" s="39" t="s">
        <v>346</v>
      </c>
      <c r="B458" s="8"/>
      <c r="C458" s="10"/>
      <c r="D458" s="10">
        <v>1</v>
      </c>
      <c r="E458" s="10"/>
      <c r="F458" s="30"/>
      <c r="G458" s="7">
        <f t="shared" si="135"/>
        <v>1</v>
      </c>
      <c r="H458" s="58">
        <v>42748</v>
      </c>
      <c r="I458" s="16"/>
      <c r="J458" s="8"/>
      <c r="K458" s="10"/>
      <c r="L458" s="10"/>
      <c r="M458" s="10"/>
      <c r="N458" s="30"/>
      <c r="O458" s="7">
        <f t="shared" si="136"/>
        <v>0</v>
      </c>
    </row>
    <row r="459" spans="1:16" x14ac:dyDescent="0.15">
      <c r="A459" s="16" t="s">
        <v>347</v>
      </c>
      <c r="B459" s="8"/>
      <c r="C459" s="10"/>
      <c r="D459" s="10">
        <v>2</v>
      </c>
      <c r="E459" s="10"/>
      <c r="F459" s="30"/>
      <c r="G459" s="7">
        <f t="shared" si="135"/>
        <v>2</v>
      </c>
      <c r="H459" s="58">
        <v>42758</v>
      </c>
      <c r="I459" s="16"/>
      <c r="J459" s="8"/>
      <c r="K459" s="10"/>
      <c r="L459" s="10"/>
      <c r="M459" s="10"/>
      <c r="N459" s="30"/>
      <c r="O459" s="7">
        <f t="shared" si="136"/>
        <v>0</v>
      </c>
    </row>
    <row r="460" spans="1:16" x14ac:dyDescent="0.15">
      <c r="A460" s="39" t="s">
        <v>25</v>
      </c>
      <c r="B460" s="8">
        <v>1</v>
      </c>
      <c r="C460" s="10"/>
      <c r="D460" s="10">
        <v>1</v>
      </c>
      <c r="E460" s="10"/>
      <c r="F460" s="30"/>
      <c r="G460" s="7">
        <f t="shared" si="135"/>
        <v>2</v>
      </c>
      <c r="H460" s="58">
        <v>42753</v>
      </c>
      <c r="I460" s="16"/>
      <c r="J460" s="8"/>
      <c r="K460" s="10"/>
      <c r="L460" s="10"/>
      <c r="M460" s="10"/>
      <c r="N460" s="30"/>
      <c r="O460" s="7">
        <f t="shared" si="136"/>
        <v>0</v>
      </c>
    </row>
    <row r="461" spans="1:16" x14ac:dyDescent="0.15">
      <c r="A461" s="14" t="s">
        <v>349</v>
      </c>
      <c r="B461" s="8"/>
      <c r="C461" s="10">
        <v>10</v>
      </c>
      <c r="D461" s="10"/>
      <c r="E461" s="10">
        <v>10</v>
      </c>
      <c r="F461" s="30">
        <v>10</v>
      </c>
      <c r="G461" s="7">
        <f t="shared" si="135"/>
        <v>30</v>
      </c>
      <c r="H461" s="58">
        <v>42758</v>
      </c>
      <c r="I461" s="14"/>
      <c r="J461" s="8"/>
      <c r="K461" s="10"/>
      <c r="L461" s="10"/>
      <c r="M461" s="10"/>
      <c r="N461" s="30"/>
      <c r="O461" s="7">
        <f t="shared" si="136"/>
        <v>0</v>
      </c>
    </row>
    <row r="462" spans="1:16" x14ac:dyDescent="0.15">
      <c r="A462" s="14" t="s">
        <v>351</v>
      </c>
      <c r="B462" s="8"/>
      <c r="C462" s="10"/>
      <c r="D462" s="10"/>
      <c r="E462" s="10"/>
      <c r="F462" s="30">
        <v>1</v>
      </c>
      <c r="G462" s="7">
        <f t="shared" si="135"/>
        <v>1</v>
      </c>
      <c r="H462" s="58">
        <v>42751</v>
      </c>
      <c r="I462" s="16"/>
      <c r="J462" s="8"/>
      <c r="K462" s="10"/>
      <c r="L462" s="10"/>
      <c r="M462" s="10"/>
      <c r="N462" s="30"/>
      <c r="O462" s="7">
        <f t="shared" si="136"/>
        <v>0</v>
      </c>
    </row>
    <row r="463" spans="1:16" x14ac:dyDescent="0.15">
      <c r="A463" s="14" t="s">
        <v>182</v>
      </c>
      <c r="B463" s="8"/>
      <c r="C463" s="10">
        <v>1</v>
      </c>
      <c r="D463" s="10"/>
      <c r="E463" s="10"/>
      <c r="F463" s="30"/>
      <c r="G463" s="7">
        <f t="shared" si="135"/>
        <v>1</v>
      </c>
      <c r="H463" s="58">
        <v>42755</v>
      </c>
      <c r="I463" s="14"/>
      <c r="J463" s="8"/>
      <c r="K463" s="10"/>
      <c r="L463" s="10"/>
      <c r="M463" s="10"/>
      <c r="N463" s="30"/>
      <c r="O463" s="7">
        <f t="shared" si="136"/>
        <v>0</v>
      </c>
    </row>
    <row r="464" spans="1:16" x14ac:dyDescent="0.15">
      <c r="A464" s="14" t="s">
        <v>22</v>
      </c>
      <c r="B464" s="8"/>
      <c r="C464" s="10"/>
      <c r="D464" s="10">
        <v>10</v>
      </c>
      <c r="E464" s="10"/>
      <c r="F464" s="30"/>
      <c r="G464" s="7">
        <f t="shared" si="135"/>
        <v>10</v>
      </c>
      <c r="H464" s="58">
        <v>42758</v>
      </c>
      <c r="I464" s="16"/>
      <c r="J464" s="11"/>
      <c r="K464" s="12"/>
      <c r="L464" s="12"/>
      <c r="M464" s="12"/>
      <c r="N464" s="31"/>
      <c r="O464" s="7">
        <f t="shared" si="136"/>
        <v>0</v>
      </c>
      <c r="P464" s="56"/>
    </row>
    <row r="465" spans="1:16" x14ac:dyDescent="0.15">
      <c r="A465" s="39" t="s">
        <v>25</v>
      </c>
      <c r="B465" s="8"/>
      <c r="C465" s="10">
        <v>2</v>
      </c>
      <c r="D465" s="10">
        <v>2</v>
      </c>
      <c r="E465" s="10"/>
      <c r="F465" s="30">
        <v>1</v>
      </c>
      <c r="G465" s="7">
        <f t="shared" si="135"/>
        <v>5</v>
      </c>
      <c r="H465" s="58">
        <v>42755</v>
      </c>
      <c r="I465" s="14"/>
      <c r="J465" s="8"/>
      <c r="K465" s="10"/>
      <c r="L465" s="10"/>
      <c r="M465" s="10"/>
      <c r="N465" s="30"/>
      <c r="O465" s="7">
        <f t="shared" si="136"/>
        <v>0</v>
      </c>
      <c r="P465" s="1"/>
    </row>
    <row r="466" spans="1:16" x14ac:dyDescent="0.15">
      <c r="A466" s="39" t="s">
        <v>25</v>
      </c>
      <c r="B466" s="11"/>
      <c r="C466" s="12">
        <v>1</v>
      </c>
      <c r="D466" s="12"/>
      <c r="E466" s="12"/>
      <c r="F466" s="31"/>
      <c r="G466" s="7">
        <f t="shared" si="135"/>
        <v>1</v>
      </c>
      <c r="H466" s="58">
        <v>42758</v>
      </c>
      <c r="I466" s="14"/>
      <c r="J466" s="11"/>
      <c r="K466" s="12"/>
      <c r="L466" s="12"/>
      <c r="M466" s="12"/>
      <c r="N466" s="31"/>
      <c r="O466" s="7">
        <f t="shared" si="136"/>
        <v>0</v>
      </c>
      <c r="P466" s="36"/>
    </row>
    <row r="467" spans="1:16" x14ac:dyDescent="0.15">
      <c r="A467" s="39" t="s">
        <v>25</v>
      </c>
      <c r="B467" s="8">
        <v>1</v>
      </c>
      <c r="C467" s="10"/>
      <c r="D467" s="10"/>
      <c r="E467" s="10"/>
      <c r="F467" s="30"/>
      <c r="G467" s="7">
        <f t="shared" si="135"/>
        <v>1</v>
      </c>
      <c r="H467" s="58">
        <v>42760</v>
      </c>
      <c r="I467" s="16"/>
      <c r="J467" s="8"/>
      <c r="K467" s="10"/>
      <c r="L467" s="10"/>
      <c r="M467" s="10"/>
      <c r="N467" s="30"/>
      <c r="O467" s="7">
        <f t="shared" si="136"/>
        <v>0</v>
      </c>
      <c r="P467" s="36"/>
    </row>
    <row r="468" spans="1:16" x14ac:dyDescent="0.15">
      <c r="A468" s="14" t="s">
        <v>358</v>
      </c>
      <c r="B468" s="8"/>
      <c r="C468" s="10"/>
      <c r="D468" s="10">
        <v>1</v>
      </c>
      <c r="E468" s="10"/>
      <c r="F468" s="30"/>
      <c r="G468" s="7">
        <f t="shared" si="135"/>
        <v>1</v>
      </c>
      <c r="H468" s="58">
        <v>42761</v>
      </c>
      <c r="I468" s="20"/>
      <c r="J468" s="11"/>
      <c r="K468" s="12"/>
      <c r="L468" s="12"/>
      <c r="M468" s="12"/>
      <c r="N468" s="31"/>
      <c r="O468" s="7">
        <f t="shared" si="136"/>
        <v>0</v>
      </c>
      <c r="P468" s="36"/>
    </row>
    <row r="469" spans="1:16" x14ac:dyDescent="0.15">
      <c r="A469" s="14" t="s">
        <v>117</v>
      </c>
      <c r="B469" s="8"/>
      <c r="C469" s="10"/>
      <c r="D469" s="10"/>
      <c r="E469" s="10"/>
      <c r="F469" s="30">
        <v>1</v>
      </c>
      <c r="G469" s="7">
        <f t="shared" si="135"/>
        <v>1</v>
      </c>
      <c r="H469" s="58">
        <v>42763</v>
      </c>
      <c r="I469" s="14"/>
      <c r="J469" s="8"/>
      <c r="K469" s="10"/>
      <c r="L469" s="10"/>
      <c r="M469" s="10"/>
      <c r="N469" s="30"/>
      <c r="O469" s="7">
        <f t="shared" si="136"/>
        <v>0</v>
      </c>
      <c r="P469" s="56"/>
    </row>
    <row r="470" spans="1:16" ht="14.25" thickBot="1" x14ac:dyDescent="0.2">
      <c r="A470" s="14"/>
      <c r="B470" s="11"/>
      <c r="C470" s="12"/>
      <c r="D470" s="12"/>
      <c r="E470" s="12"/>
      <c r="F470" s="31"/>
      <c r="G470" s="7">
        <f t="shared" si="135"/>
        <v>0</v>
      </c>
      <c r="H470" s="58"/>
      <c r="I470" s="20"/>
      <c r="J470" s="11"/>
      <c r="K470" s="12"/>
      <c r="L470" s="12"/>
      <c r="M470" s="12"/>
      <c r="N470" s="31"/>
      <c r="O470" s="7">
        <f t="shared" si="136"/>
        <v>0</v>
      </c>
      <c r="P470" s="56"/>
    </row>
    <row r="471" spans="1:16" ht="14.25" thickBot="1" x14ac:dyDescent="0.2">
      <c r="A471" s="3" t="s">
        <v>11</v>
      </c>
      <c r="B471" s="23">
        <f>SUM(B445:B470)</f>
        <v>15</v>
      </c>
      <c r="C471" s="4">
        <f>SUM(C445:C470)</f>
        <v>31</v>
      </c>
      <c r="D471" s="4">
        <f>SUM(D445:D470)</f>
        <v>22</v>
      </c>
      <c r="E471" s="6">
        <f>SUM(E445:E470)</f>
        <v>24</v>
      </c>
      <c r="F471" s="32">
        <f>SUM(F445:F470)</f>
        <v>27</v>
      </c>
      <c r="G471" s="5">
        <f>SUM(B471:F471)</f>
        <v>119</v>
      </c>
      <c r="H471" s="56"/>
      <c r="I471" s="3" t="s">
        <v>11</v>
      </c>
      <c r="J471" s="23">
        <f>SUM(J445:J470)</f>
        <v>20</v>
      </c>
      <c r="K471" s="4">
        <f>SUM(K445:K470)</f>
        <v>30</v>
      </c>
      <c r="L471" s="4">
        <f>SUM(L445:L470)</f>
        <v>25</v>
      </c>
      <c r="M471" s="6">
        <f>SUM(M445:M470)</f>
        <v>20</v>
      </c>
      <c r="N471" s="32">
        <f>SUM(N445:N470)</f>
        <v>20</v>
      </c>
      <c r="O471" s="5">
        <f>SUM(J471:N471)</f>
        <v>115</v>
      </c>
    </row>
    <row r="472" spans="1:16" ht="14.25" thickBot="1" x14ac:dyDescent="0.2">
      <c r="A472" s="25" t="s">
        <v>12</v>
      </c>
      <c r="B472" s="63">
        <f>B444-B471</f>
        <v>17</v>
      </c>
      <c r="C472" s="26">
        <f t="shared" ref="C472:G472" si="138">C444-C471</f>
        <v>12</v>
      </c>
      <c r="D472" s="71">
        <f t="shared" si="138"/>
        <v>14</v>
      </c>
      <c r="E472" s="26">
        <f t="shared" si="138"/>
        <v>17</v>
      </c>
      <c r="F472" s="70">
        <f t="shared" si="138"/>
        <v>14</v>
      </c>
      <c r="G472" s="27">
        <f t="shared" si="138"/>
        <v>74</v>
      </c>
      <c r="H472" s="56"/>
      <c r="I472" s="25" t="s">
        <v>12</v>
      </c>
      <c r="J472" s="63">
        <f>J444-J471</f>
        <v>190</v>
      </c>
      <c r="K472" s="26">
        <f t="shared" ref="K472:O472" si="139">K444-K471</f>
        <v>115</v>
      </c>
      <c r="L472" s="71">
        <f t="shared" si="139"/>
        <v>114</v>
      </c>
      <c r="M472" s="26">
        <f t="shared" si="139"/>
        <v>157</v>
      </c>
      <c r="N472" s="70">
        <f t="shared" si="139"/>
        <v>184</v>
      </c>
      <c r="O472" s="27">
        <f t="shared" si="139"/>
        <v>760</v>
      </c>
    </row>
    <row r="473" spans="1:16" ht="17.25" x14ac:dyDescent="0.2">
      <c r="A473" s="79" t="s">
        <v>357</v>
      </c>
      <c r="B473" s="80"/>
      <c r="C473" s="80"/>
      <c r="D473" s="80"/>
      <c r="E473" s="80"/>
      <c r="F473" s="80"/>
      <c r="G473" s="80"/>
      <c r="H473" s="58"/>
      <c r="I473" s="79" t="s">
        <v>56</v>
      </c>
      <c r="J473" s="80"/>
      <c r="K473" s="80"/>
      <c r="L473" s="80"/>
      <c r="M473" s="80"/>
      <c r="N473" s="80"/>
      <c r="O473" s="1"/>
    </row>
    <row r="474" spans="1:16" ht="21.75" thickBot="1" x14ac:dyDescent="0.25">
      <c r="A474" s="82" t="s">
        <v>55</v>
      </c>
      <c r="B474" s="80"/>
      <c r="C474" s="80"/>
      <c r="D474" s="80"/>
      <c r="E474" s="81" t="s">
        <v>53</v>
      </c>
      <c r="F474" s="80"/>
      <c r="G474" s="80"/>
      <c r="H474" s="58"/>
      <c r="I474" s="82" t="s">
        <v>55</v>
      </c>
      <c r="J474" s="80"/>
      <c r="K474" s="80"/>
      <c r="L474" s="80"/>
      <c r="M474" s="81" t="s">
        <v>54</v>
      </c>
      <c r="N474" s="80"/>
      <c r="O474" s="1"/>
    </row>
    <row r="475" spans="1:16" ht="14.25" thickBot="1" x14ac:dyDescent="0.2">
      <c r="A475" s="13" t="s">
        <v>0</v>
      </c>
      <c r="B475" s="228" t="s">
        <v>57</v>
      </c>
      <c r="C475" s="229"/>
      <c r="D475" s="229"/>
      <c r="E475" s="229"/>
      <c r="F475" s="230"/>
      <c r="G475" s="231"/>
      <c r="H475" s="58"/>
      <c r="I475" s="13" t="s">
        <v>0</v>
      </c>
      <c r="J475" s="232" t="s">
        <v>57</v>
      </c>
      <c r="K475" s="233"/>
      <c r="L475" s="233"/>
      <c r="M475" s="233"/>
      <c r="N475" s="233"/>
      <c r="O475" s="234"/>
    </row>
    <row r="476" spans="1:16" ht="14.25" thickBot="1" x14ac:dyDescent="0.2">
      <c r="A476" s="3" t="s">
        <v>1</v>
      </c>
      <c r="B476" s="2" t="s">
        <v>42</v>
      </c>
      <c r="C476" s="21" t="s">
        <v>43</v>
      </c>
      <c r="D476" s="21" t="s">
        <v>44</v>
      </c>
      <c r="E476" s="24" t="s">
        <v>45</v>
      </c>
      <c r="F476" s="33" t="s">
        <v>46</v>
      </c>
      <c r="G476" s="3" t="s">
        <v>2</v>
      </c>
      <c r="H476" s="58"/>
      <c r="I476" s="3" t="s">
        <v>1</v>
      </c>
      <c r="J476" s="2" t="s">
        <v>42</v>
      </c>
      <c r="K476" s="21" t="s">
        <v>43</v>
      </c>
      <c r="L476" s="21" t="s">
        <v>44</v>
      </c>
      <c r="M476" s="24" t="s">
        <v>45</v>
      </c>
      <c r="N476" s="33" t="s">
        <v>46</v>
      </c>
      <c r="O476" s="3" t="s">
        <v>2</v>
      </c>
    </row>
    <row r="477" spans="1:16" ht="14.25" thickBot="1" x14ac:dyDescent="0.2">
      <c r="A477" s="72" t="s">
        <v>79</v>
      </c>
      <c r="B477" s="73">
        <f>B472</f>
        <v>17</v>
      </c>
      <c r="C477" s="74">
        <f t="shared" ref="C477:F477" si="140">C472</f>
        <v>12</v>
      </c>
      <c r="D477" s="107">
        <f t="shared" si="140"/>
        <v>14</v>
      </c>
      <c r="E477" s="75">
        <f t="shared" si="140"/>
        <v>17</v>
      </c>
      <c r="F477" s="75">
        <f t="shared" si="140"/>
        <v>14</v>
      </c>
      <c r="G477" s="76">
        <f t="shared" ref="G477:G486" si="141">SUM(B477:F477)</f>
        <v>74</v>
      </c>
      <c r="H477" s="58"/>
      <c r="I477" s="72" t="s">
        <v>79</v>
      </c>
      <c r="J477" s="73">
        <f>J472</f>
        <v>190</v>
      </c>
      <c r="K477" s="74">
        <f t="shared" ref="K477:N477" si="142">K472</f>
        <v>115</v>
      </c>
      <c r="L477" s="107">
        <f t="shared" si="142"/>
        <v>114</v>
      </c>
      <c r="M477" s="75">
        <f t="shared" si="142"/>
        <v>157</v>
      </c>
      <c r="N477" s="75">
        <f t="shared" si="142"/>
        <v>184</v>
      </c>
      <c r="O477" s="76">
        <f t="shared" ref="O477:O486" si="143">SUM(J477:N477)</f>
        <v>760</v>
      </c>
    </row>
    <row r="478" spans="1:16" x14ac:dyDescent="0.15">
      <c r="A478" s="38" t="s">
        <v>15</v>
      </c>
      <c r="B478" s="37"/>
      <c r="C478" s="35">
        <v>20</v>
      </c>
      <c r="D478" s="35">
        <v>10</v>
      </c>
      <c r="E478" s="35"/>
      <c r="F478" s="28"/>
      <c r="G478" s="7">
        <f t="shared" si="141"/>
        <v>30</v>
      </c>
      <c r="H478" s="58">
        <v>42767</v>
      </c>
      <c r="I478" s="38" t="s">
        <v>15</v>
      </c>
      <c r="J478" s="37"/>
      <c r="K478" s="35"/>
      <c r="L478" s="35"/>
      <c r="M478" s="35"/>
      <c r="N478" s="28"/>
      <c r="O478" s="7">
        <f t="shared" si="143"/>
        <v>0</v>
      </c>
    </row>
    <row r="479" spans="1:16" x14ac:dyDescent="0.15">
      <c r="A479" s="38" t="s">
        <v>17</v>
      </c>
      <c r="B479" s="8"/>
      <c r="C479" s="10"/>
      <c r="D479" s="10">
        <v>1</v>
      </c>
      <c r="E479" s="10"/>
      <c r="F479" s="28"/>
      <c r="G479" s="9">
        <f t="shared" si="141"/>
        <v>1</v>
      </c>
      <c r="H479" s="58">
        <v>42773</v>
      </c>
      <c r="I479" s="15" t="s">
        <v>3</v>
      </c>
      <c r="J479" s="8"/>
      <c r="K479" s="10"/>
      <c r="L479" s="10"/>
      <c r="M479" s="10"/>
      <c r="N479" s="28"/>
      <c r="O479" s="9">
        <f t="shared" si="143"/>
        <v>0</v>
      </c>
      <c r="P479" s="36"/>
    </row>
    <row r="480" spans="1:16" x14ac:dyDescent="0.15">
      <c r="A480" s="38" t="s">
        <v>17</v>
      </c>
      <c r="B480" s="8">
        <v>1</v>
      </c>
      <c r="C480" s="10"/>
      <c r="D480" s="10"/>
      <c r="E480" s="10"/>
      <c r="F480" s="28"/>
      <c r="G480" s="9">
        <f t="shared" si="141"/>
        <v>1</v>
      </c>
      <c r="H480" s="58">
        <v>42774</v>
      </c>
      <c r="I480" s="15" t="s">
        <v>18</v>
      </c>
      <c r="J480" s="8"/>
      <c r="K480" s="10"/>
      <c r="L480" s="10"/>
      <c r="M480" s="10"/>
      <c r="N480" s="28"/>
      <c r="O480" s="9">
        <f t="shared" si="143"/>
        <v>0</v>
      </c>
    </row>
    <row r="481" spans="1:16" x14ac:dyDescent="0.15">
      <c r="A481" s="38" t="s">
        <v>20</v>
      </c>
      <c r="B481" s="8">
        <v>10</v>
      </c>
      <c r="C481" s="10">
        <v>10</v>
      </c>
      <c r="D481" s="10"/>
      <c r="E481" s="10"/>
      <c r="F481" s="28">
        <v>20</v>
      </c>
      <c r="G481" s="9">
        <f t="shared" si="141"/>
        <v>40</v>
      </c>
      <c r="H481" s="58">
        <v>42782</v>
      </c>
      <c r="I481" s="15" t="s">
        <v>20</v>
      </c>
      <c r="J481" s="8"/>
      <c r="K481" s="10"/>
      <c r="L481" s="10"/>
      <c r="M481" s="10"/>
      <c r="N481" s="28"/>
      <c r="O481" s="9">
        <f t="shared" si="143"/>
        <v>0</v>
      </c>
    </row>
    <row r="482" spans="1:16" x14ac:dyDescent="0.15">
      <c r="A482" s="38" t="s">
        <v>80</v>
      </c>
      <c r="B482" s="8"/>
      <c r="C482" s="10"/>
      <c r="D482" s="10">
        <v>10</v>
      </c>
      <c r="E482" s="10">
        <v>10</v>
      </c>
      <c r="F482" s="28"/>
      <c r="G482" s="9">
        <f t="shared" si="141"/>
        <v>20</v>
      </c>
      <c r="H482" s="58">
        <v>42786</v>
      </c>
      <c r="I482" s="15" t="s">
        <v>80</v>
      </c>
      <c r="J482" s="8"/>
      <c r="K482" s="10"/>
      <c r="L482" s="10"/>
      <c r="M482" s="10"/>
      <c r="N482" s="28"/>
      <c r="O482" s="9">
        <f t="shared" si="143"/>
        <v>0</v>
      </c>
    </row>
    <row r="483" spans="1:16" x14ac:dyDescent="0.15">
      <c r="A483" s="38" t="s">
        <v>36</v>
      </c>
      <c r="B483" s="8">
        <v>2</v>
      </c>
      <c r="C483" s="10"/>
      <c r="D483" s="10"/>
      <c r="E483" s="10">
        <v>2</v>
      </c>
      <c r="F483" s="28"/>
      <c r="G483" s="9">
        <f t="shared" si="141"/>
        <v>4</v>
      </c>
      <c r="H483" s="58">
        <v>42789</v>
      </c>
      <c r="I483" s="15" t="s">
        <v>81</v>
      </c>
      <c r="J483" s="8"/>
      <c r="K483" s="10"/>
      <c r="L483" s="10"/>
      <c r="M483" s="10"/>
      <c r="N483" s="28"/>
      <c r="O483" s="9">
        <f t="shared" si="143"/>
        <v>0</v>
      </c>
    </row>
    <row r="484" spans="1:16" x14ac:dyDescent="0.15">
      <c r="A484" s="38" t="s">
        <v>17</v>
      </c>
      <c r="B484" s="8"/>
      <c r="C484" s="10"/>
      <c r="D484" s="10">
        <v>1</v>
      </c>
      <c r="E484" s="10"/>
      <c r="F484" s="30"/>
      <c r="G484" s="7">
        <f t="shared" si="141"/>
        <v>1</v>
      </c>
      <c r="H484" s="58">
        <v>42794</v>
      </c>
      <c r="I484" s="15" t="s">
        <v>82</v>
      </c>
      <c r="J484" s="8"/>
      <c r="K484" s="10"/>
      <c r="L484" s="10"/>
      <c r="M484" s="10"/>
      <c r="N484" s="28"/>
      <c r="O484" s="9">
        <f t="shared" si="143"/>
        <v>0</v>
      </c>
    </row>
    <row r="485" spans="1:16" x14ac:dyDescent="0.15">
      <c r="A485" s="38" t="s">
        <v>322</v>
      </c>
      <c r="B485" s="11">
        <v>1</v>
      </c>
      <c r="C485" s="100"/>
      <c r="D485" s="100"/>
      <c r="E485" s="100"/>
      <c r="F485" s="101"/>
      <c r="G485" s="102">
        <f t="shared" si="141"/>
        <v>1</v>
      </c>
      <c r="H485" s="58">
        <v>42796</v>
      </c>
      <c r="I485" s="15" t="s">
        <v>83</v>
      </c>
      <c r="J485" s="8"/>
      <c r="K485" s="10"/>
      <c r="L485" s="10"/>
      <c r="M485" s="10"/>
      <c r="N485" s="30"/>
      <c r="O485" s="7">
        <f t="shared" si="143"/>
        <v>0</v>
      </c>
    </row>
    <row r="486" spans="1:16" ht="14.25" thickBot="1" x14ac:dyDescent="0.2">
      <c r="A486" s="38" t="s">
        <v>159</v>
      </c>
      <c r="B486" s="11"/>
      <c r="C486" s="100">
        <v>5</v>
      </c>
      <c r="D486" s="100">
        <v>5</v>
      </c>
      <c r="E486" s="100">
        <v>10</v>
      </c>
      <c r="F486" s="101">
        <v>10</v>
      </c>
      <c r="G486" s="102">
        <f t="shared" si="141"/>
        <v>30</v>
      </c>
      <c r="H486" s="58">
        <v>42798</v>
      </c>
      <c r="I486" s="15" t="s">
        <v>87</v>
      </c>
      <c r="J486" s="11"/>
      <c r="K486" s="100"/>
      <c r="L486" s="100"/>
      <c r="M486" s="100"/>
      <c r="N486" s="101"/>
      <c r="O486" s="102">
        <f t="shared" si="143"/>
        <v>0</v>
      </c>
    </row>
    <row r="487" spans="1:16" ht="14.25" thickBot="1" x14ac:dyDescent="0.2">
      <c r="A487" s="72" t="s">
        <v>7</v>
      </c>
      <c r="B487" s="73">
        <f>SUM(B477:B486)</f>
        <v>31</v>
      </c>
      <c r="C487" s="74">
        <f t="shared" ref="C487:G487" si="144">SUM(C477:C486)</f>
        <v>47</v>
      </c>
      <c r="D487" s="74">
        <f t="shared" si="144"/>
        <v>41</v>
      </c>
      <c r="E487" s="74">
        <f t="shared" si="144"/>
        <v>39</v>
      </c>
      <c r="F487" s="105">
        <f t="shared" si="144"/>
        <v>44</v>
      </c>
      <c r="G487" s="76">
        <f t="shared" si="144"/>
        <v>202</v>
      </c>
      <c r="H487" s="56"/>
      <c r="I487" s="72" t="s">
        <v>7</v>
      </c>
      <c r="J487" s="73">
        <f>SUM(J477:J486)</f>
        <v>190</v>
      </c>
      <c r="K487" s="74">
        <f t="shared" ref="K487:O487" si="145">SUM(K477:K486)</f>
        <v>115</v>
      </c>
      <c r="L487" s="74">
        <f t="shared" si="145"/>
        <v>114</v>
      </c>
      <c r="M487" s="74">
        <f t="shared" si="145"/>
        <v>157</v>
      </c>
      <c r="N487" s="105">
        <f t="shared" si="145"/>
        <v>184</v>
      </c>
      <c r="O487" s="76">
        <f t="shared" si="145"/>
        <v>760</v>
      </c>
    </row>
    <row r="488" spans="1:16" x14ac:dyDescent="0.15">
      <c r="A488" s="16" t="s">
        <v>361</v>
      </c>
      <c r="B488" s="8"/>
      <c r="C488" s="10">
        <v>20</v>
      </c>
      <c r="D488" s="10">
        <v>10</v>
      </c>
      <c r="E488" s="10"/>
      <c r="F488" s="30"/>
      <c r="G488" s="7">
        <f t="shared" ref="G488:G513" si="146">SUM(B488:F488)</f>
        <v>30</v>
      </c>
      <c r="H488" s="58">
        <v>42772</v>
      </c>
      <c r="I488" s="16" t="s">
        <v>362</v>
      </c>
      <c r="J488" s="17"/>
      <c r="K488" s="22">
        <v>20</v>
      </c>
      <c r="L488" s="22">
        <v>10</v>
      </c>
      <c r="M488" s="22"/>
      <c r="N488" s="29"/>
      <c r="O488" s="18">
        <f t="shared" ref="O488:O513" si="147">SUM(J488:N488)</f>
        <v>30</v>
      </c>
      <c r="P488" s="58">
        <v>42767</v>
      </c>
    </row>
    <row r="489" spans="1:16" x14ac:dyDescent="0.15">
      <c r="A489" s="16" t="s">
        <v>363</v>
      </c>
      <c r="B489" s="8">
        <v>2</v>
      </c>
      <c r="C489" s="10"/>
      <c r="D489" s="10"/>
      <c r="E489" s="10"/>
      <c r="F489" s="30">
        <v>2</v>
      </c>
      <c r="G489" s="7">
        <f t="shared" si="146"/>
        <v>4</v>
      </c>
      <c r="H489" s="58">
        <v>42769</v>
      </c>
      <c r="I489" s="16" t="s">
        <v>24</v>
      </c>
      <c r="J489" s="8">
        <v>10</v>
      </c>
      <c r="K489" s="10">
        <v>10</v>
      </c>
      <c r="L489" s="10"/>
      <c r="M489" s="10"/>
      <c r="N489" s="28">
        <v>20</v>
      </c>
      <c r="O489" s="9">
        <f t="shared" si="147"/>
        <v>40</v>
      </c>
      <c r="P489" s="58">
        <v>42782</v>
      </c>
    </row>
    <row r="490" spans="1:16" x14ac:dyDescent="0.15">
      <c r="A490" s="16" t="s">
        <v>110</v>
      </c>
      <c r="B490" s="8"/>
      <c r="C490" s="10"/>
      <c r="D490" s="10"/>
      <c r="E490" s="10"/>
      <c r="F490" s="30">
        <v>2</v>
      </c>
      <c r="G490" s="7">
        <f t="shared" si="146"/>
        <v>2</v>
      </c>
      <c r="H490" s="58">
        <v>42776</v>
      </c>
      <c r="I490" s="16" t="s">
        <v>24</v>
      </c>
      <c r="J490" s="8"/>
      <c r="K490" s="10"/>
      <c r="L490" s="10">
        <v>10</v>
      </c>
      <c r="M490" s="10">
        <v>10</v>
      </c>
      <c r="N490" s="30"/>
      <c r="O490" s="7">
        <f t="shared" si="147"/>
        <v>20</v>
      </c>
      <c r="P490" s="58">
        <v>42786</v>
      </c>
    </row>
    <row r="491" spans="1:16" x14ac:dyDescent="0.15">
      <c r="A491" s="14" t="s">
        <v>117</v>
      </c>
      <c r="B491" s="8"/>
      <c r="C491" s="10"/>
      <c r="D491" s="10">
        <v>1</v>
      </c>
      <c r="E491" s="10"/>
      <c r="F491" s="30"/>
      <c r="G491" s="7">
        <f t="shared" si="146"/>
        <v>1</v>
      </c>
      <c r="H491" s="58">
        <v>42773</v>
      </c>
      <c r="I491" s="16" t="s">
        <v>24</v>
      </c>
      <c r="J491" s="8"/>
      <c r="K491" s="10">
        <v>5</v>
      </c>
      <c r="L491" s="10">
        <v>5</v>
      </c>
      <c r="M491" s="10">
        <v>10</v>
      </c>
      <c r="N491" s="30">
        <v>10</v>
      </c>
      <c r="O491" s="7">
        <f t="shared" si="147"/>
        <v>30</v>
      </c>
      <c r="P491" s="58">
        <v>42798</v>
      </c>
    </row>
    <row r="492" spans="1:16" x14ac:dyDescent="0.15">
      <c r="A492" s="14" t="s">
        <v>182</v>
      </c>
      <c r="B492" s="8">
        <v>1</v>
      </c>
      <c r="C492" s="10"/>
      <c r="D492" s="10"/>
      <c r="E492" s="10"/>
      <c r="F492" s="30"/>
      <c r="G492" s="7">
        <f t="shared" si="146"/>
        <v>1</v>
      </c>
      <c r="H492" s="58">
        <v>42773</v>
      </c>
      <c r="I492" s="16"/>
      <c r="J492" s="8"/>
      <c r="K492" s="10"/>
      <c r="L492" s="10"/>
      <c r="M492" s="10"/>
      <c r="N492" s="30"/>
      <c r="O492" s="7">
        <f t="shared" si="147"/>
        <v>0</v>
      </c>
      <c r="P492" s="56"/>
    </row>
    <row r="493" spans="1:16" x14ac:dyDescent="0.15">
      <c r="A493" s="16" t="s">
        <v>366</v>
      </c>
      <c r="B493" s="8"/>
      <c r="C493" s="10"/>
      <c r="D493" s="10"/>
      <c r="E493" s="10">
        <v>1</v>
      </c>
      <c r="F493" s="30"/>
      <c r="G493" s="7">
        <f t="shared" si="146"/>
        <v>1</v>
      </c>
      <c r="H493" s="58">
        <v>42772</v>
      </c>
      <c r="I493" s="16"/>
      <c r="J493" s="8"/>
      <c r="K493" s="10"/>
      <c r="L493" s="10"/>
      <c r="M493" s="10"/>
      <c r="N493" s="30"/>
      <c r="O493" s="7">
        <f t="shared" si="147"/>
        <v>0</v>
      </c>
    </row>
    <row r="494" spans="1:16" x14ac:dyDescent="0.15">
      <c r="A494" s="16" t="s">
        <v>378</v>
      </c>
      <c r="B494" s="8"/>
      <c r="C494" s="10"/>
      <c r="D494" s="10"/>
      <c r="E494" s="10"/>
      <c r="F494" s="30">
        <v>1</v>
      </c>
      <c r="G494" s="7">
        <f t="shared" si="146"/>
        <v>1</v>
      </c>
      <c r="H494" s="58">
        <v>42774</v>
      </c>
      <c r="I494" s="16"/>
      <c r="J494" s="8"/>
      <c r="K494" s="10"/>
      <c r="L494" s="10"/>
      <c r="M494" s="10"/>
      <c r="N494" s="30"/>
      <c r="O494" s="7">
        <f t="shared" si="147"/>
        <v>0</v>
      </c>
    </row>
    <row r="495" spans="1:16" x14ac:dyDescent="0.15">
      <c r="A495" s="14" t="s">
        <v>369</v>
      </c>
      <c r="B495" s="8"/>
      <c r="C495" s="10"/>
      <c r="D495" s="10"/>
      <c r="E495" s="10"/>
      <c r="F495" s="30">
        <v>1</v>
      </c>
      <c r="G495" s="7">
        <f t="shared" si="146"/>
        <v>1</v>
      </c>
      <c r="H495" s="58">
        <v>42776</v>
      </c>
      <c r="I495" s="16"/>
      <c r="J495" s="8"/>
      <c r="K495" s="10"/>
      <c r="L495" s="10"/>
      <c r="M495" s="10"/>
      <c r="N495" s="30"/>
      <c r="O495" s="7">
        <f t="shared" si="147"/>
        <v>0</v>
      </c>
    </row>
    <row r="496" spans="1:16" x14ac:dyDescent="0.15">
      <c r="A496" s="14" t="s">
        <v>329</v>
      </c>
      <c r="B496" s="8"/>
      <c r="C496" s="10">
        <v>1</v>
      </c>
      <c r="D496" s="10"/>
      <c r="E496" s="10"/>
      <c r="F496" s="30"/>
      <c r="G496" s="7">
        <f t="shared" si="146"/>
        <v>1</v>
      </c>
      <c r="H496" s="58">
        <v>42776</v>
      </c>
      <c r="I496" s="39"/>
      <c r="J496" s="8"/>
      <c r="K496" s="10"/>
      <c r="L496" s="10"/>
      <c r="M496" s="10"/>
      <c r="N496" s="30"/>
      <c r="O496" s="7">
        <f t="shared" si="147"/>
        <v>0</v>
      </c>
    </row>
    <row r="497" spans="1:16" x14ac:dyDescent="0.15">
      <c r="A497" s="14" t="s">
        <v>25</v>
      </c>
      <c r="B497" s="11">
        <v>1</v>
      </c>
      <c r="C497" s="12"/>
      <c r="D497" s="12"/>
      <c r="E497" s="12"/>
      <c r="F497" s="31"/>
      <c r="G497" s="7">
        <f t="shared" si="146"/>
        <v>1</v>
      </c>
      <c r="H497" s="58">
        <v>42780</v>
      </c>
      <c r="I497" s="16"/>
      <c r="J497" s="11"/>
      <c r="K497" s="12"/>
      <c r="L497" s="12"/>
      <c r="M497" s="12"/>
      <c r="N497" s="31"/>
      <c r="O497" s="7">
        <f t="shared" si="147"/>
        <v>0</v>
      </c>
    </row>
    <row r="498" spans="1:16" x14ac:dyDescent="0.15">
      <c r="A498" s="16" t="s">
        <v>110</v>
      </c>
      <c r="B498" s="11"/>
      <c r="C498" s="12"/>
      <c r="D498" s="12"/>
      <c r="E498" s="12">
        <v>3</v>
      </c>
      <c r="F498" s="31"/>
      <c r="G498" s="7">
        <f t="shared" si="146"/>
        <v>3</v>
      </c>
      <c r="H498" s="58">
        <v>42787</v>
      </c>
      <c r="I498" s="16"/>
      <c r="J498" s="8"/>
      <c r="K498" s="10"/>
      <c r="L498" s="10"/>
      <c r="M498" s="10"/>
      <c r="N498" s="30"/>
      <c r="O498" s="7">
        <f t="shared" si="147"/>
        <v>0</v>
      </c>
    </row>
    <row r="499" spans="1:16" x14ac:dyDescent="0.15">
      <c r="A499" s="16" t="s">
        <v>22</v>
      </c>
      <c r="B499" s="8">
        <v>10</v>
      </c>
      <c r="C499" s="10"/>
      <c r="D499" s="10"/>
      <c r="E499" s="10"/>
      <c r="F499" s="30">
        <v>10</v>
      </c>
      <c r="G499" s="7">
        <f t="shared" si="146"/>
        <v>20</v>
      </c>
      <c r="H499" s="58">
        <v>42786</v>
      </c>
      <c r="I499" s="39"/>
      <c r="J499" s="8"/>
      <c r="K499" s="10"/>
      <c r="L499" s="10"/>
      <c r="M499" s="10"/>
      <c r="N499" s="30"/>
      <c r="O499" s="7">
        <f t="shared" si="147"/>
        <v>0</v>
      </c>
    </row>
    <row r="500" spans="1:16" x14ac:dyDescent="0.15">
      <c r="A500" s="14" t="s">
        <v>329</v>
      </c>
      <c r="B500" s="8">
        <v>2</v>
      </c>
      <c r="C500" s="10">
        <v>2</v>
      </c>
      <c r="D500" s="10"/>
      <c r="E500" s="10"/>
      <c r="F500" s="30"/>
      <c r="G500" s="7">
        <f t="shared" si="146"/>
        <v>4</v>
      </c>
      <c r="H500" s="58">
        <v>42783</v>
      </c>
      <c r="I500" s="16"/>
      <c r="J500" s="8"/>
      <c r="K500" s="10"/>
      <c r="L500" s="10"/>
      <c r="M500" s="10"/>
      <c r="N500" s="30"/>
      <c r="O500" s="7">
        <f t="shared" si="147"/>
        <v>0</v>
      </c>
    </row>
    <row r="501" spans="1:16" x14ac:dyDescent="0.15">
      <c r="A501" s="16" t="s">
        <v>110</v>
      </c>
      <c r="B501" s="8"/>
      <c r="C501" s="10"/>
      <c r="D501" s="10"/>
      <c r="E501" s="10">
        <v>6</v>
      </c>
      <c r="F501" s="30"/>
      <c r="G501" s="7">
        <f t="shared" si="146"/>
        <v>6</v>
      </c>
      <c r="H501" s="58">
        <v>42788</v>
      </c>
      <c r="I501" s="16"/>
      <c r="J501" s="8"/>
      <c r="K501" s="10"/>
      <c r="L501" s="10"/>
      <c r="M501" s="10"/>
      <c r="N501" s="30"/>
      <c r="O501" s="7">
        <f t="shared" si="147"/>
        <v>0</v>
      </c>
    </row>
    <row r="502" spans="1:16" x14ac:dyDescent="0.15">
      <c r="A502" s="14" t="s">
        <v>25</v>
      </c>
      <c r="B502" s="8"/>
      <c r="C502" s="10"/>
      <c r="D502" s="10"/>
      <c r="E502" s="10">
        <v>1</v>
      </c>
      <c r="F502" s="30"/>
      <c r="G502" s="7">
        <f t="shared" si="146"/>
        <v>1</v>
      </c>
      <c r="H502" s="58">
        <v>42789</v>
      </c>
      <c r="I502" s="16"/>
      <c r="J502" s="8"/>
      <c r="K502" s="10"/>
      <c r="L502" s="10"/>
      <c r="M502" s="10"/>
      <c r="N502" s="30"/>
      <c r="O502" s="7">
        <f t="shared" si="147"/>
        <v>0</v>
      </c>
    </row>
    <row r="503" spans="1:16" x14ac:dyDescent="0.15">
      <c r="A503" s="16" t="s">
        <v>22</v>
      </c>
      <c r="B503" s="8"/>
      <c r="C503" s="10"/>
      <c r="D503" s="10"/>
      <c r="E503" s="10"/>
      <c r="F503" s="30">
        <v>10</v>
      </c>
      <c r="G503" s="7">
        <f t="shared" si="146"/>
        <v>10</v>
      </c>
      <c r="H503" s="58">
        <v>42795</v>
      </c>
      <c r="I503" s="16"/>
      <c r="J503" s="8"/>
      <c r="K503" s="10"/>
      <c r="L503" s="10"/>
      <c r="M503" s="10"/>
      <c r="N503" s="30"/>
      <c r="O503" s="7">
        <f t="shared" si="147"/>
        <v>0</v>
      </c>
    </row>
    <row r="504" spans="1:16" x14ac:dyDescent="0.15">
      <c r="A504" s="14" t="s">
        <v>329</v>
      </c>
      <c r="B504" s="8"/>
      <c r="C504" s="10">
        <v>5</v>
      </c>
      <c r="D504" s="10"/>
      <c r="E504" s="10"/>
      <c r="F504" s="30"/>
      <c r="G504" s="7">
        <f t="shared" si="146"/>
        <v>5</v>
      </c>
      <c r="H504" s="58">
        <v>42790</v>
      </c>
      <c r="I504" s="14"/>
      <c r="J504" s="8"/>
      <c r="K504" s="10"/>
      <c r="L504" s="10"/>
      <c r="M504" s="10"/>
      <c r="N504" s="30"/>
      <c r="O504" s="7">
        <f t="shared" si="147"/>
        <v>0</v>
      </c>
    </row>
    <row r="505" spans="1:16" x14ac:dyDescent="0.15">
      <c r="A505" s="14" t="s">
        <v>375</v>
      </c>
      <c r="B505" s="8"/>
      <c r="C505" s="10"/>
      <c r="D505" s="10"/>
      <c r="E505" s="10">
        <v>1</v>
      </c>
      <c r="F505" s="30"/>
      <c r="G505" s="7">
        <f t="shared" si="146"/>
        <v>1</v>
      </c>
      <c r="H505" s="58">
        <v>42790</v>
      </c>
      <c r="I505" s="16"/>
      <c r="J505" s="8"/>
      <c r="K505" s="10"/>
      <c r="L505" s="10"/>
      <c r="M505" s="10"/>
      <c r="N505" s="30"/>
      <c r="O505" s="7">
        <f t="shared" si="147"/>
        <v>0</v>
      </c>
    </row>
    <row r="506" spans="1:16" x14ac:dyDescent="0.15">
      <c r="A506" s="14" t="s">
        <v>376</v>
      </c>
      <c r="B506" s="8"/>
      <c r="C506" s="10">
        <v>3</v>
      </c>
      <c r="D506" s="10"/>
      <c r="E506" s="10"/>
      <c r="F506" s="30"/>
      <c r="G506" s="7">
        <f t="shared" si="146"/>
        <v>3</v>
      </c>
      <c r="H506" s="58">
        <v>42797</v>
      </c>
      <c r="I506" s="14"/>
      <c r="J506" s="8"/>
      <c r="K506" s="10"/>
      <c r="L506" s="10"/>
      <c r="M506" s="10"/>
      <c r="N506" s="30"/>
      <c r="O506" s="7">
        <f t="shared" si="147"/>
        <v>0</v>
      </c>
    </row>
    <row r="507" spans="1:16" x14ac:dyDescent="0.15">
      <c r="A507" s="14" t="s">
        <v>379</v>
      </c>
      <c r="B507" s="8"/>
      <c r="C507" s="10"/>
      <c r="D507" s="10"/>
      <c r="E507" s="10">
        <v>1</v>
      </c>
      <c r="F507" s="30"/>
      <c r="G507" s="7">
        <f t="shared" si="146"/>
        <v>1</v>
      </c>
      <c r="H507" s="58">
        <v>42793</v>
      </c>
      <c r="I507" s="16"/>
      <c r="J507" s="11"/>
      <c r="K507" s="12"/>
      <c r="L507" s="12"/>
      <c r="M507" s="12"/>
      <c r="N507" s="31"/>
      <c r="O507" s="7">
        <f t="shared" si="147"/>
        <v>0</v>
      </c>
      <c r="P507" s="56"/>
    </row>
    <row r="508" spans="1:16" x14ac:dyDescent="0.15">
      <c r="A508" s="16" t="s">
        <v>22</v>
      </c>
      <c r="B508" s="8"/>
      <c r="C508" s="10"/>
      <c r="D508" s="10">
        <v>10</v>
      </c>
      <c r="E508" s="10">
        <v>10</v>
      </c>
      <c r="F508" s="30"/>
      <c r="G508" s="7">
        <f t="shared" si="146"/>
        <v>20</v>
      </c>
      <c r="H508" s="58">
        <v>42800</v>
      </c>
      <c r="I508" s="16"/>
      <c r="J508" s="8"/>
      <c r="K508" s="10"/>
      <c r="L508" s="10"/>
      <c r="M508" s="10"/>
      <c r="N508" s="30"/>
      <c r="O508" s="7">
        <f t="shared" si="147"/>
        <v>0</v>
      </c>
      <c r="P508" s="56"/>
    </row>
    <row r="509" spans="1:16" x14ac:dyDescent="0.15">
      <c r="A509" s="14" t="s">
        <v>329</v>
      </c>
      <c r="B509" s="11"/>
      <c r="C509" s="12">
        <v>2</v>
      </c>
      <c r="D509" s="12"/>
      <c r="E509" s="12"/>
      <c r="F509" s="31"/>
      <c r="G509" s="7">
        <f t="shared" si="146"/>
        <v>2</v>
      </c>
      <c r="H509" s="58">
        <v>42801</v>
      </c>
      <c r="I509" s="16"/>
      <c r="J509" s="8"/>
      <c r="K509" s="10"/>
      <c r="L509" s="10"/>
      <c r="M509" s="10"/>
      <c r="N509" s="30"/>
      <c r="O509" s="7">
        <f t="shared" ref="O509" si="148">SUM(J509:N509)</f>
        <v>0</v>
      </c>
      <c r="P509" s="36"/>
    </row>
    <row r="510" spans="1:16" x14ac:dyDescent="0.15">
      <c r="A510" s="14" t="s">
        <v>182</v>
      </c>
      <c r="B510" s="8">
        <v>1</v>
      </c>
      <c r="C510" s="10"/>
      <c r="D510" s="10"/>
      <c r="E510" s="10"/>
      <c r="F510" s="30"/>
      <c r="G510" s="7">
        <f t="shared" si="146"/>
        <v>1</v>
      </c>
      <c r="H510" s="58">
        <v>42805</v>
      </c>
      <c r="I510" s="16"/>
      <c r="J510" s="8"/>
      <c r="K510" s="10"/>
      <c r="L510" s="10"/>
      <c r="M510" s="10"/>
      <c r="N510" s="30"/>
      <c r="O510" s="7">
        <f t="shared" si="147"/>
        <v>0</v>
      </c>
      <c r="P510" s="36"/>
    </row>
    <row r="511" spans="1:16" x14ac:dyDescent="0.15">
      <c r="A511" s="39" t="s">
        <v>384</v>
      </c>
      <c r="B511" s="8">
        <v>1</v>
      </c>
      <c r="C511" s="10"/>
      <c r="D511" s="10"/>
      <c r="E511" s="10"/>
      <c r="F511" s="30"/>
      <c r="G511" s="7">
        <f t="shared" si="146"/>
        <v>1</v>
      </c>
      <c r="H511" s="58">
        <v>42801</v>
      </c>
      <c r="I511" s="14"/>
      <c r="J511" s="11"/>
      <c r="K511" s="12"/>
      <c r="L511" s="12"/>
      <c r="M511" s="12"/>
      <c r="N511" s="31"/>
      <c r="O511" s="7">
        <f t="shared" ref="O511" si="149">SUM(J511:N511)</f>
        <v>0</v>
      </c>
      <c r="P511" s="36"/>
    </row>
    <row r="512" spans="1:16" x14ac:dyDescent="0.15">
      <c r="A512" s="14" t="s">
        <v>385</v>
      </c>
      <c r="B512" s="8"/>
      <c r="C512" s="10">
        <v>-2</v>
      </c>
      <c r="D512" s="10"/>
      <c r="E512" s="10">
        <v>-2</v>
      </c>
      <c r="F512" s="30">
        <v>-1</v>
      </c>
      <c r="G512" s="7">
        <f t="shared" si="146"/>
        <v>-5</v>
      </c>
      <c r="H512" s="58">
        <v>42802</v>
      </c>
      <c r="I512" s="14"/>
      <c r="J512" s="8"/>
      <c r="K512" s="10"/>
      <c r="L512" s="10"/>
      <c r="M512" s="10"/>
      <c r="N512" s="30"/>
      <c r="O512" s="7">
        <f t="shared" si="147"/>
        <v>0</v>
      </c>
      <c r="P512" s="56"/>
    </row>
    <row r="513" spans="1:16" ht="14.25" thickBot="1" x14ac:dyDescent="0.2">
      <c r="A513" s="14" t="s">
        <v>386</v>
      </c>
      <c r="B513" s="11">
        <v>2</v>
      </c>
      <c r="C513" s="12"/>
      <c r="D513" s="12"/>
      <c r="E513" s="12"/>
      <c r="F513" s="31"/>
      <c r="G513" s="7">
        <f t="shared" si="146"/>
        <v>2</v>
      </c>
      <c r="H513" s="58">
        <v>42809</v>
      </c>
      <c r="I513" s="20"/>
      <c r="J513" s="11"/>
      <c r="K513" s="12"/>
      <c r="L513" s="12"/>
      <c r="M513" s="12"/>
      <c r="N513" s="31"/>
      <c r="O513" s="7">
        <f t="shared" si="147"/>
        <v>0</v>
      </c>
      <c r="P513" s="56"/>
    </row>
    <row r="514" spans="1:16" ht="14.25" thickBot="1" x14ac:dyDescent="0.2">
      <c r="A514" s="3" t="s">
        <v>11</v>
      </c>
      <c r="B514" s="23">
        <f>SUM(B488:B513)</f>
        <v>20</v>
      </c>
      <c r="C514" s="4">
        <f>SUM(C488:C513)</f>
        <v>31</v>
      </c>
      <c r="D514" s="4">
        <f>SUM(D488:D513)</f>
        <v>21</v>
      </c>
      <c r="E514" s="6">
        <f>SUM(E488:E513)</f>
        <v>21</v>
      </c>
      <c r="F514" s="32">
        <f>SUM(F488:F513)</f>
        <v>25</v>
      </c>
      <c r="G514" s="5">
        <f>SUM(B514:F514)</f>
        <v>118</v>
      </c>
      <c r="H514" s="56"/>
      <c r="I514" s="3" t="s">
        <v>11</v>
      </c>
      <c r="J514" s="23">
        <f>SUM(J488:J513)</f>
        <v>10</v>
      </c>
      <c r="K514" s="4">
        <f>SUM(K488:K513)</f>
        <v>35</v>
      </c>
      <c r="L514" s="4">
        <f>SUM(L488:L513)</f>
        <v>25</v>
      </c>
      <c r="M514" s="6">
        <f>SUM(M488:M513)</f>
        <v>20</v>
      </c>
      <c r="N514" s="32">
        <f>SUM(N488:N513)</f>
        <v>30</v>
      </c>
      <c r="O514" s="5">
        <f>SUM(J514:N514)</f>
        <v>120</v>
      </c>
    </row>
    <row r="515" spans="1:16" ht="14.25" thickBot="1" x14ac:dyDescent="0.2">
      <c r="A515" s="25" t="s">
        <v>12</v>
      </c>
      <c r="B515" s="63">
        <f>B487-B514</f>
        <v>11</v>
      </c>
      <c r="C515" s="26">
        <f t="shared" ref="C515:G515" si="150">C487-C514</f>
        <v>16</v>
      </c>
      <c r="D515" s="71">
        <f t="shared" si="150"/>
        <v>20</v>
      </c>
      <c r="E515" s="26">
        <f t="shared" si="150"/>
        <v>18</v>
      </c>
      <c r="F515" s="70">
        <f t="shared" si="150"/>
        <v>19</v>
      </c>
      <c r="G515" s="27">
        <f t="shared" si="150"/>
        <v>84</v>
      </c>
      <c r="H515" s="56"/>
      <c r="I515" s="25" t="s">
        <v>12</v>
      </c>
      <c r="J515" s="63">
        <f>J487-J514</f>
        <v>180</v>
      </c>
      <c r="K515" s="26">
        <f t="shared" ref="K515:O515" si="151">K487-K514</f>
        <v>80</v>
      </c>
      <c r="L515" s="71">
        <f t="shared" si="151"/>
        <v>89</v>
      </c>
      <c r="M515" s="26">
        <f t="shared" si="151"/>
        <v>137</v>
      </c>
      <c r="N515" s="70">
        <f t="shared" si="151"/>
        <v>154</v>
      </c>
      <c r="O515" s="27">
        <f t="shared" si="151"/>
        <v>640</v>
      </c>
    </row>
    <row r="516" spans="1:16" ht="17.25" x14ac:dyDescent="0.2">
      <c r="A516" s="79" t="s">
        <v>56</v>
      </c>
      <c r="B516" s="80"/>
      <c r="C516" s="80"/>
      <c r="D516" s="80"/>
      <c r="E516" s="80"/>
      <c r="F516" s="80"/>
      <c r="G516" s="80"/>
      <c r="H516" s="56"/>
      <c r="I516" s="79" t="s">
        <v>56</v>
      </c>
      <c r="J516" s="80"/>
      <c r="K516" s="80"/>
      <c r="L516" s="80"/>
      <c r="M516" s="80"/>
      <c r="N516" s="80"/>
      <c r="O516" s="1"/>
    </row>
    <row r="517" spans="1:16" ht="21.75" thickBot="1" x14ac:dyDescent="0.25">
      <c r="A517" s="82" t="s">
        <v>55</v>
      </c>
      <c r="B517" s="80"/>
      <c r="C517" s="80"/>
      <c r="D517" s="80"/>
      <c r="E517" s="81" t="s">
        <v>53</v>
      </c>
      <c r="F517" s="80"/>
      <c r="G517" s="80"/>
      <c r="H517" s="56"/>
      <c r="I517" s="82" t="s">
        <v>55</v>
      </c>
      <c r="J517" s="80"/>
      <c r="K517" s="80"/>
      <c r="L517" s="80"/>
      <c r="M517" s="81" t="s">
        <v>54</v>
      </c>
      <c r="N517" s="80"/>
      <c r="O517" s="1"/>
    </row>
    <row r="518" spans="1:16" ht="14.25" thickBot="1" x14ac:dyDescent="0.2">
      <c r="A518" s="13" t="s">
        <v>0</v>
      </c>
      <c r="B518" s="228" t="s">
        <v>57</v>
      </c>
      <c r="C518" s="229"/>
      <c r="D518" s="229"/>
      <c r="E518" s="229"/>
      <c r="F518" s="230"/>
      <c r="G518" s="231"/>
      <c r="H518" s="56"/>
      <c r="I518" s="13" t="s">
        <v>0</v>
      </c>
      <c r="J518" s="232" t="s">
        <v>57</v>
      </c>
      <c r="K518" s="233"/>
      <c r="L518" s="233"/>
      <c r="M518" s="233"/>
      <c r="N518" s="233"/>
      <c r="O518" s="234"/>
    </row>
    <row r="519" spans="1:16" ht="14.25" thickBot="1" x14ac:dyDescent="0.2">
      <c r="A519" s="3" t="s">
        <v>1</v>
      </c>
      <c r="B519" s="2" t="s">
        <v>42</v>
      </c>
      <c r="C519" s="21" t="s">
        <v>43</v>
      </c>
      <c r="D519" s="21" t="s">
        <v>44</v>
      </c>
      <c r="E519" s="24" t="s">
        <v>45</v>
      </c>
      <c r="F519" s="33" t="s">
        <v>46</v>
      </c>
      <c r="G519" s="3" t="s">
        <v>2</v>
      </c>
      <c r="H519" s="56"/>
      <c r="I519" s="3" t="s">
        <v>1</v>
      </c>
      <c r="J519" s="2" t="s">
        <v>42</v>
      </c>
      <c r="K519" s="21" t="s">
        <v>43</v>
      </c>
      <c r="L519" s="21" t="s">
        <v>44</v>
      </c>
      <c r="M519" s="24" t="s">
        <v>45</v>
      </c>
      <c r="N519" s="33" t="s">
        <v>46</v>
      </c>
      <c r="O519" s="3" t="s">
        <v>2</v>
      </c>
    </row>
    <row r="520" spans="1:16" ht="14.25" thickBot="1" x14ac:dyDescent="0.2">
      <c r="A520" s="72" t="s">
        <v>79</v>
      </c>
      <c r="B520" s="73">
        <f>B515</f>
        <v>11</v>
      </c>
      <c r="C520" s="74">
        <f t="shared" ref="C520:F520" si="152">C515</f>
        <v>16</v>
      </c>
      <c r="D520" s="107">
        <f t="shared" si="152"/>
        <v>20</v>
      </c>
      <c r="E520" s="75">
        <f t="shared" si="152"/>
        <v>18</v>
      </c>
      <c r="F520" s="75">
        <f t="shared" si="152"/>
        <v>19</v>
      </c>
      <c r="G520" s="76">
        <f t="shared" ref="G520:G529" si="153">SUM(B520:F520)</f>
        <v>84</v>
      </c>
      <c r="H520" s="56"/>
      <c r="I520" s="72" t="s">
        <v>79</v>
      </c>
      <c r="J520" s="73">
        <f>J515</f>
        <v>180</v>
      </c>
      <c r="K520" s="74">
        <f t="shared" ref="K520:N520" si="154">K515</f>
        <v>80</v>
      </c>
      <c r="L520" s="107">
        <f t="shared" si="154"/>
        <v>89</v>
      </c>
      <c r="M520" s="75">
        <f t="shared" si="154"/>
        <v>137</v>
      </c>
      <c r="N520" s="75">
        <f t="shared" si="154"/>
        <v>154</v>
      </c>
      <c r="O520" s="76">
        <f t="shared" ref="O520:O529" si="155">SUM(J520:N520)</f>
        <v>640</v>
      </c>
    </row>
    <row r="521" spans="1:16" x14ac:dyDescent="0.15">
      <c r="A521" s="38" t="s">
        <v>15</v>
      </c>
      <c r="B521" s="37"/>
      <c r="C521" s="35"/>
      <c r="D521" s="35"/>
      <c r="E521" s="35"/>
      <c r="F521" s="28">
        <v>10</v>
      </c>
      <c r="G521" s="7">
        <f t="shared" si="153"/>
        <v>10</v>
      </c>
      <c r="H521" s="58">
        <v>42807</v>
      </c>
      <c r="I521" s="38" t="s">
        <v>15</v>
      </c>
      <c r="J521" s="37"/>
      <c r="K521" s="35"/>
      <c r="L521" s="35"/>
      <c r="M521" s="35"/>
      <c r="N521" s="28"/>
      <c r="O521" s="7">
        <f t="shared" si="155"/>
        <v>0</v>
      </c>
    </row>
    <row r="522" spans="1:16" x14ac:dyDescent="0.15">
      <c r="A522" s="38" t="s">
        <v>16</v>
      </c>
      <c r="B522" s="8"/>
      <c r="C522" s="10">
        <v>10</v>
      </c>
      <c r="D522" s="10">
        <v>15</v>
      </c>
      <c r="E522" s="10"/>
      <c r="F522" s="28"/>
      <c r="G522" s="9">
        <f t="shared" si="153"/>
        <v>25</v>
      </c>
      <c r="H522" s="58">
        <v>42811</v>
      </c>
      <c r="I522" s="15" t="s">
        <v>3</v>
      </c>
      <c r="J522" s="8"/>
      <c r="K522" s="10"/>
      <c r="L522" s="10"/>
      <c r="M522" s="10"/>
      <c r="N522" s="28"/>
      <c r="O522" s="9">
        <f t="shared" si="155"/>
        <v>0</v>
      </c>
      <c r="P522" s="36"/>
    </row>
    <row r="523" spans="1:16" x14ac:dyDescent="0.15">
      <c r="A523" s="38" t="s">
        <v>400</v>
      </c>
      <c r="B523" s="8"/>
      <c r="C523" s="10"/>
      <c r="D523" s="10">
        <v>1</v>
      </c>
      <c r="E523" s="10"/>
      <c r="F523" s="28"/>
      <c r="G523" s="9">
        <f t="shared" si="153"/>
        <v>1</v>
      </c>
      <c r="H523" s="58">
        <v>42819</v>
      </c>
      <c r="I523" s="15" t="s">
        <v>18</v>
      </c>
      <c r="J523" s="8"/>
      <c r="K523" s="10"/>
      <c r="L523" s="10"/>
      <c r="M523" s="10"/>
      <c r="N523" s="28"/>
      <c r="O523" s="9">
        <f t="shared" si="155"/>
        <v>0</v>
      </c>
    </row>
    <row r="524" spans="1:16" x14ac:dyDescent="0.15">
      <c r="A524" s="38" t="s">
        <v>20</v>
      </c>
      <c r="B524" s="8">
        <v>10</v>
      </c>
      <c r="C524" s="10">
        <v>20</v>
      </c>
      <c r="D524" s="10"/>
      <c r="E524" s="10"/>
      <c r="F524" s="28"/>
      <c r="G524" s="9">
        <f t="shared" si="153"/>
        <v>30</v>
      </c>
      <c r="H524" s="58">
        <v>42823</v>
      </c>
      <c r="I524" s="15" t="s">
        <v>20</v>
      </c>
      <c r="J524" s="8"/>
      <c r="K524" s="10"/>
      <c r="L524" s="10"/>
      <c r="M524" s="10"/>
      <c r="N524" s="28"/>
      <c r="O524" s="9">
        <f t="shared" si="155"/>
        <v>0</v>
      </c>
    </row>
    <row r="525" spans="1:16" x14ac:dyDescent="0.15">
      <c r="A525" s="38" t="s">
        <v>19</v>
      </c>
      <c r="B525" s="8"/>
      <c r="C525" s="10"/>
      <c r="D525" s="10"/>
      <c r="E525" s="10"/>
      <c r="F525" s="28">
        <v>2</v>
      </c>
      <c r="G525" s="9">
        <f t="shared" si="153"/>
        <v>2</v>
      </c>
      <c r="H525" s="58">
        <v>42823</v>
      </c>
      <c r="I525" s="15" t="s">
        <v>80</v>
      </c>
      <c r="J525" s="8"/>
      <c r="K525" s="10"/>
      <c r="L525" s="10"/>
      <c r="M525" s="10"/>
      <c r="N525" s="28"/>
      <c r="O525" s="9">
        <f t="shared" si="155"/>
        <v>0</v>
      </c>
    </row>
    <row r="526" spans="1:16" x14ac:dyDescent="0.15">
      <c r="A526" s="38" t="s">
        <v>81</v>
      </c>
      <c r="B526" s="8">
        <v>10</v>
      </c>
      <c r="C526" s="10"/>
      <c r="D526" s="10">
        <v>5</v>
      </c>
      <c r="E526" s="10">
        <v>5</v>
      </c>
      <c r="F526" s="28"/>
      <c r="G526" s="9">
        <f t="shared" si="153"/>
        <v>20</v>
      </c>
      <c r="H526" s="58">
        <v>42830</v>
      </c>
      <c r="I526" s="15" t="s">
        <v>81</v>
      </c>
      <c r="J526" s="8"/>
      <c r="K526" s="10"/>
      <c r="L526" s="10"/>
      <c r="M526" s="10"/>
      <c r="N526" s="28"/>
      <c r="O526" s="9">
        <f t="shared" si="155"/>
        <v>0</v>
      </c>
    </row>
    <row r="527" spans="1:16" x14ac:dyDescent="0.15">
      <c r="A527" s="38" t="s">
        <v>411</v>
      </c>
      <c r="B527" s="8"/>
      <c r="C527" s="10">
        <v>1</v>
      </c>
      <c r="D527" s="10"/>
      <c r="E527" s="10"/>
      <c r="F527" s="30">
        <v>1</v>
      </c>
      <c r="G527" s="7">
        <f t="shared" si="153"/>
        <v>2</v>
      </c>
      <c r="H527" s="58">
        <v>42830</v>
      </c>
      <c r="I527" s="15" t="s">
        <v>82</v>
      </c>
      <c r="J527" s="8"/>
      <c r="K527" s="10"/>
      <c r="L527" s="10"/>
      <c r="M527" s="10"/>
      <c r="N527" s="28"/>
      <c r="O527" s="9">
        <f t="shared" si="155"/>
        <v>0</v>
      </c>
    </row>
    <row r="528" spans="1:16" x14ac:dyDescent="0.15">
      <c r="A528" s="38" t="s">
        <v>83</v>
      </c>
      <c r="B528" s="11"/>
      <c r="C528" s="100"/>
      <c r="D528" s="100"/>
      <c r="E528" s="100"/>
      <c r="F528" s="101"/>
      <c r="G528" s="102">
        <f t="shared" si="153"/>
        <v>0</v>
      </c>
      <c r="H528" s="56"/>
      <c r="I528" s="15" t="s">
        <v>83</v>
      </c>
      <c r="J528" s="8"/>
      <c r="K528" s="10"/>
      <c r="L528" s="10"/>
      <c r="M528" s="10"/>
      <c r="N528" s="30"/>
      <c r="O528" s="7">
        <f t="shared" si="155"/>
        <v>0</v>
      </c>
    </row>
    <row r="529" spans="1:16" ht="14.25" thickBot="1" x14ac:dyDescent="0.2">
      <c r="A529" s="38" t="s">
        <v>159</v>
      </c>
      <c r="B529" s="11"/>
      <c r="C529" s="100"/>
      <c r="D529" s="100"/>
      <c r="E529" s="100"/>
      <c r="F529" s="101"/>
      <c r="G529" s="102">
        <f t="shared" si="153"/>
        <v>0</v>
      </c>
      <c r="H529" s="56"/>
      <c r="I529" s="15" t="s">
        <v>87</v>
      </c>
      <c r="J529" s="11"/>
      <c r="K529" s="100"/>
      <c r="L529" s="100"/>
      <c r="M529" s="100"/>
      <c r="N529" s="101"/>
      <c r="O529" s="102">
        <f t="shared" si="155"/>
        <v>0</v>
      </c>
    </row>
    <row r="530" spans="1:16" ht="14.25" thickBot="1" x14ac:dyDescent="0.2">
      <c r="A530" s="72" t="s">
        <v>7</v>
      </c>
      <c r="B530" s="73">
        <f>SUM(B520:B529)</f>
        <v>31</v>
      </c>
      <c r="C530" s="74">
        <f t="shared" ref="C530:G530" si="156">SUM(C520:C529)</f>
        <v>47</v>
      </c>
      <c r="D530" s="74">
        <f t="shared" si="156"/>
        <v>41</v>
      </c>
      <c r="E530" s="74">
        <f t="shared" si="156"/>
        <v>23</v>
      </c>
      <c r="F530" s="105">
        <f t="shared" si="156"/>
        <v>32</v>
      </c>
      <c r="G530" s="76">
        <f t="shared" si="156"/>
        <v>174</v>
      </c>
      <c r="H530" s="56"/>
      <c r="I530" s="72" t="s">
        <v>7</v>
      </c>
      <c r="J530" s="73">
        <f>SUM(J520:J529)</f>
        <v>180</v>
      </c>
      <c r="K530" s="74">
        <f t="shared" ref="K530:O530" si="157">SUM(K520:K529)</f>
        <v>80</v>
      </c>
      <c r="L530" s="74">
        <f t="shared" si="157"/>
        <v>89</v>
      </c>
      <c r="M530" s="74">
        <f t="shared" si="157"/>
        <v>137</v>
      </c>
      <c r="N530" s="105">
        <f t="shared" si="157"/>
        <v>154</v>
      </c>
      <c r="O530" s="76">
        <f t="shared" si="157"/>
        <v>640</v>
      </c>
    </row>
    <row r="531" spans="1:16" x14ac:dyDescent="0.15">
      <c r="A531" s="16" t="s">
        <v>22</v>
      </c>
      <c r="B531" s="8"/>
      <c r="C531" s="10"/>
      <c r="D531" s="10">
        <v>10</v>
      </c>
      <c r="E531" s="10"/>
      <c r="F531" s="30"/>
      <c r="G531" s="7">
        <f t="shared" ref="G531:G556" si="158">SUM(B531:F531)</f>
        <v>10</v>
      </c>
      <c r="H531" s="58">
        <v>42810</v>
      </c>
      <c r="I531" s="16" t="s">
        <v>387</v>
      </c>
      <c r="J531" s="17"/>
      <c r="K531" s="22"/>
      <c r="L531" s="22"/>
      <c r="M531" s="22"/>
      <c r="N531" s="29">
        <v>10</v>
      </c>
      <c r="O531" s="18">
        <f t="shared" ref="O531:O556" si="159">SUM(J531:N531)</f>
        <v>10</v>
      </c>
      <c r="P531" s="58">
        <v>42807</v>
      </c>
    </row>
    <row r="532" spans="1:16" x14ac:dyDescent="0.15">
      <c r="A532" s="14" t="s">
        <v>329</v>
      </c>
      <c r="B532" s="8"/>
      <c r="C532" s="10">
        <v>1</v>
      </c>
      <c r="D532" s="10">
        <v>2</v>
      </c>
      <c r="E532" s="10"/>
      <c r="F532" s="30"/>
      <c r="G532" s="7">
        <f t="shared" si="158"/>
        <v>3</v>
      </c>
      <c r="H532" s="58">
        <v>42807</v>
      </c>
      <c r="I532" s="16" t="s">
        <v>24</v>
      </c>
      <c r="J532" s="8"/>
      <c r="K532" s="10">
        <v>10</v>
      </c>
      <c r="L532" s="10">
        <v>15</v>
      </c>
      <c r="M532" s="10"/>
      <c r="N532" s="28"/>
      <c r="O532" s="9">
        <f t="shared" si="159"/>
        <v>25</v>
      </c>
      <c r="P532" s="58">
        <v>42811</v>
      </c>
    </row>
    <row r="533" spans="1:16" x14ac:dyDescent="0.15">
      <c r="A533" s="16" t="s">
        <v>389</v>
      </c>
      <c r="B533" s="8">
        <v>1</v>
      </c>
      <c r="C533" s="10"/>
      <c r="D533" s="10">
        <v>1</v>
      </c>
      <c r="E533" s="10">
        <v>1</v>
      </c>
      <c r="F533" s="30">
        <v>1</v>
      </c>
      <c r="G533" s="7">
        <f t="shared" si="158"/>
        <v>4</v>
      </c>
      <c r="H533" s="58">
        <v>42808</v>
      </c>
      <c r="I533" s="16" t="s">
        <v>24</v>
      </c>
      <c r="J533" s="8">
        <v>10</v>
      </c>
      <c r="K533" s="10">
        <v>20</v>
      </c>
      <c r="L533" s="10"/>
      <c r="M533" s="10"/>
      <c r="N533" s="30"/>
      <c r="O533" s="7">
        <f t="shared" si="159"/>
        <v>30</v>
      </c>
      <c r="P533" s="58">
        <v>42823</v>
      </c>
    </row>
    <row r="534" spans="1:16" x14ac:dyDescent="0.15">
      <c r="A534" s="14" t="s">
        <v>329</v>
      </c>
      <c r="B534" s="8"/>
      <c r="C534" s="10">
        <v>2</v>
      </c>
      <c r="D534" s="10"/>
      <c r="E534" s="10">
        <v>1</v>
      </c>
      <c r="F534" s="30"/>
      <c r="G534" s="7">
        <f t="shared" si="158"/>
        <v>3</v>
      </c>
      <c r="H534" s="58">
        <v>42808</v>
      </c>
      <c r="I534" s="16" t="s">
        <v>24</v>
      </c>
      <c r="J534" s="8">
        <v>10</v>
      </c>
      <c r="K534" s="10"/>
      <c r="L534" s="10">
        <v>5</v>
      </c>
      <c r="M534" s="10">
        <v>5</v>
      </c>
      <c r="N534" s="30"/>
      <c r="O534" s="7">
        <f t="shared" si="159"/>
        <v>20</v>
      </c>
      <c r="P534" s="58">
        <v>42830</v>
      </c>
    </row>
    <row r="535" spans="1:16" x14ac:dyDescent="0.15">
      <c r="A535" s="16" t="s">
        <v>25</v>
      </c>
      <c r="B535" s="8">
        <v>1</v>
      </c>
      <c r="C535" s="10">
        <v>1</v>
      </c>
      <c r="D535" s="10">
        <v>5</v>
      </c>
      <c r="E535" s="10"/>
      <c r="F535" s="30"/>
      <c r="G535" s="7">
        <f t="shared" si="158"/>
        <v>7</v>
      </c>
      <c r="H535" s="58">
        <v>42810</v>
      </c>
      <c r="I535" s="16"/>
      <c r="J535" s="8"/>
      <c r="K535" s="10"/>
      <c r="L535" s="10"/>
      <c r="M535" s="10"/>
      <c r="N535" s="30"/>
      <c r="O535" s="7">
        <f t="shared" si="159"/>
        <v>0</v>
      </c>
      <c r="P535" s="56"/>
    </row>
    <row r="536" spans="1:16" x14ac:dyDescent="0.15">
      <c r="A536" s="16" t="s">
        <v>25</v>
      </c>
      <c r="B536" s="8"/>
      <c r="C536" s="10">
        <v>3</v>
      </c>
      <c r="D536" s="10"/>
      <c r="E536" s="10"/>
      <c r="F536" s="30"/>
      <c r="G536" s="7">
        <f t="shared" si="158"/>
        <v>3</v>
      </c>
      <c r="H536" s="58">
        <v>42811</v>
      </c>
      <c r="I536" s="16"/>
      <c r="J536" s="8"/>
      <c r="K536" s="10"/>
      <c r="L536" s="10"/>
      <c r="M536" s="10"/>
      <c r="N536" s="30"/>
      <c r="O536" s="7">
        <f t="shared" si="159"/>
        <v>0</v>
      </c>
    </row>
    <row r="537" spans="1:16" x14ac:dyDescent="0.15">
      <c r="A537" s="16" t="s">
        <v>25</v>
      </c>
      <c r="B537" s="8"/>
      <c r="C537" s="10">
        <v>2</v>
      </c>
      <c r="D537" s="10"/>
      <c r="E537" s="10"/>
      <c r="F537" s="30"/>
      <c r="G537" s="7">
        <f t="shared" si="158"/>
        <v>2</v>
      </c>
      <c r="H537" s="58">
        <v>42812</v>
      </c>
      <c r="I537" s="16"/>
      <c r="J537" s="8"/>
      <c r="K537" s="10"/>
      <c r="L537" s="10"/>
      <c r="M537" s="10"/>
      <c r="N537" s="30"/>
      <c r="O537" s="7">
        <f t="shared" si="159"/>
        <v>0</v>
      </c>
    </row>
    <row r="538" spans="1:16" x14ac:dyDescent="0.15">
      <c r="A538" s="39" t="s">
        <v>395</v>
      </c>
      <c r="B538" s="8">
        <v>-1</v>
      </c>
      <c r="C538" s="10"/>
      <c r="D538" s="10"/>
      <c r="E538" s="10"/>
      <c r="F538" s="30"/>
      <c r="G538" s="7">
        <f t="shared" si="158"/>
        <v>-1</v>
      </c>
      <c r="H538" s="58">
        <v>42811</v>
      </c>
      <c r="I538" s="16"/>
      <c r="J538" s="8"/>
      <c r="K538" s="10"/>
      <c r="L538" s="10"/>
      <c r="M538" s="10"/>
      <c r="N538" s="30"/>
      <c r="O538" s="7">
        <f t="shared" si="159"/>
        <v>0</v>
      </c>
    </row>
    <row r="539" spans="1:16" x14ac:dyDescent="0.15">
      <c r="A539" s="14" t="s">
        <v>33</v>
      </c>
      <c r="B539" s="8"/>
      <c r="C539" s="10">
        <v>2</v>
      </c>
      <c r="D539" s="10"/>
      <c r="E539" s="10"/>
      <c r="F539" s="30"/>
      <c r="G539" s="7">
        <f t="shared" si="158"/>
        <v>2</v>
      </c>
      <c r="H539" s="58">
        <v>42818</v>
      </c>
      <c r="I539" s="39"/>
      <c r="J539" s="8"/>
      <c r="K539" s="10"/>
      <c r="L539" s="10"/>
      <c r="M539" s="10"/>
      <c r="N539" s="30"/>
      <c r="O539" s="7">
        <f t="shared" si="159"/>
        <v>0</v>
      </c>
    </row>
    <row r="540" spans="1:16" x14ac:dyDescent="0.15">
      <c r="A540" s="16" t="s">
        <v>25</v>
      </c>
      <c r="B540" s="11"/>
      <c r="C540" s="12">
        <v>2</v>
      </c>
      <c r="D540" s="12"/>
      <c r="E540" s="12"/>
      <c r="F540" s="31"/>
      <c r="G540" s="7">
        <f t="shared" si="158"/>
        <v>2</v>
      </c>
      <c r="H540" s="58">
        <v>42817</v>
      </c>
      <c r="I540" s="16"/>
      <c r="J540" s="11"/>
      <c r="K540" s="12"/>
      <c r="L540" s="12"/>
      <c r="M540" s="12"/>
      <c r="N540" s="31"/>
      <c r="O540" s="7">
        <f t="shared" si="159"/>
        <v>0</v>
      </c>
    </row>
    <row r="541" spans="1:16" x14ac:dyDescent="0.15">
      <c r="A541" s="16" t="s">
        <v>409</v>
      </c>
      <c r="B541" s="11"/>
      <c r="C541" s="12"/>
      <c r="D541" s="12"/>
      <c r="E541" s="12"/>
      <c r="F541" s="31">
        <v>1</v>
      </c>
      <c r="G541" s="7">
        <f t="shared" si="158"/>
        <v>1</v>
      </c>
      <c r="H541" s="58">
        <v>42815</v>
      </c>
      <c r="I541" s="16"/>
      <c r="J541" s="8"/>
      <c r="K541" s="10"/>
      <c r="L541" s="10"/>
      <c r="M541" s="10"/>
      <c r="N541" s="30"/>
      <c r="O541" s="7">
        <f t="shared" si="159"/>
        <v>0</v>
      </c>
    </row>
    <row r="542" spans="1:16" x14ac:dyDescent="0.15">
      <c r="A542" s="16" t="s">
        <v>329</v>
      </c>
      <c r="B542" s="8"/>
      <c r="C542" s="10">
        <v>3</v>
      </c>
      <c r="D542" s="10">
        <v>2</v>
      </c>
      <c r="E542" s="10"/>
      <c r="F542" s="30"/>
      <c r="G542" s="7">
        <f t="shared" si="158"/>
        <v>5</v>
      </c>
      <c r="H542" s="58">
        <v>42821</v>
      </c>
      <c r="I542" s="39"/>
      <c r="J542" s="8"/>
      <c r="K542" s="10"/>
      <c r="L542" s="10"/>
      <c r="M542" s="10"/>
      <c r="N542" s="30"/>
      <c r="O542" s="7">
        <f t="shared" si="159"/>
        <v>0</v>
      </c>
    </row>
    <row r="543" spans="1:16" x14ac:dyDescent="0.15">
      <c r="A543" s="16" t="s">
        <v>25</v>
      </c>
      <c r="B543" s="8"/>
      <c r="C543" s="10"/>
      <c r="D543" s="10"/>
      <c r="E543" s="10"/>
      <c r="F543" s="30">
        <v>1</v>
      </c>
      <c r="G543" s="7">
        <f t="shared" si="158"/>
        <v>1</v>
      </c>
      <c r="H543" s="58">
        <v>42819</v>
      </c>
      <c r="I543" s="16"/>
      <c r="J543" s="8"/>
      <c r="K543" s="10"/>
      <c r="L543" s="10"/>
      <c r="M543" s="10"/>
      <c r="N543" s="30"/>
      <c r="O543" s="7">
        <f t="shared" si="159"/>
        <v>0</v>
      </c>
    </row>
    <row r="544" spans="1:16" x14ac:dyDescent="0.15">
      <c r="A544" s="16" t="s">
        <v>329</v>
      </c>
      <c r="B544" s="8">
        <v>5</v>
      </c>
      <c r="C544" s="10">
        <v>5</v>
      </c>
      <c r="D544" s="10">
        <v>5</v>
      </c>
      <c r="E544" s="10">
        <v>3</v>
      </c>
      <c r="F544" s="30">
        <v>3</v>
      </c>
      <c r="G544" s="7">
        <f t="shared" si="158"/>
        <v>21</v>
      </c>
      <c r="H544" s="58">
        <v>42822</v>
      </c>
      <c r="I544" s="16"/>
      <c r="J544" s="8"/>
      <c r="K544" s="10"/>
      <c r="L544" s="10"/>
      <c r="M544" s="10"/>
      <c r="N544" s="30"/>
      <c r="O544" s="7">
        <f t="shared" si="159"/>
        <v>0</v>
      </c>
    </row>
    <row r="545" spans="1:16" x14ac:dyDescent="0.15">
      <c r="A545" s="14" t="s">
        <v>117</v>
      </c>
      <c r="B545" s="8"/>
      <c r="C545" s="10"/>
      <c r="D545" s="10"/>
      <c r="E545" s="10">
        <v>1</v>
      </c>
      <c r="F545" s="30"/>
      <c r="G545" s="7">
        <f t="shared" si="158"/>
        <v>1</v>
      </c>
      <c r="H545" s="58">
        <v>42822</v>
      </c>
      <c r="I545" s="16"/>
      <c r="J545" s="8"/>
      <c r="K545" s="10"/>
      <c r="L545" s="10"/>
      <c r="M545" s="10"/>
      <c r="N545" s="30"/>
      <c r="O545" s="7">
        <f t="shared" si="159"/>
        <v>0</v>
      </c>
    </row>
    <row r="546" spans="1:16" x14ac:dyDescent="0.15">
      <c r="A546" s="14" t="s">
        <v>33</v>
      </c>
      <c r="B546" s="8"/>
      <c r="C546" s="10">
        <v>3</v>
      </c>
      <c r="D546" s="10"/>
      <c r="E546" s="10"/>
      <c r="F546" s="30"/>
      <c r="G546" s="7">
        <f t="shared" si="158"/>
        <v>3</v>
      </c>
      <c r="H546" s="58">
        <v>42828</v>
      </c>
      <c r="I546" s="16"/>
      <c r="J546" s="8"/>
      <c r="K546" s="10"/>
      <c r="L546" s="10"/>
      <c r="M546" s="10"/>
      <c r="N546" s="30"/>
      <c r="O546" s="7">
        <f t="shared" si="159"/>
        <v>0</v>
      </c>
    </row>
    <row r="547" spans="1:16" x14ac:dyDescent="0.15">
      <c r="A547" s="14" t="s">
        <v>402</v>
      </c>
      <c r="B547" s="8"/>
      <c r="C547" s="10">
        <v>5</v>
      </c>
      <c r="D547" s="10"/>
      <c r="E547" s="10"/>
      <c r="F547" s="30"/>
      <c r="G547" s="7">
        <f t="shared" si="158"/>
        <v>5</v>
      </c>
      <c r="H547" s="58">
        <v>42829</v>
      </c>
      <c r="I547" s="14"/>
      <c r="J547" s="8"/>
      <c r="K547" s="10"/>
      <c r="L547" s="10"/>
      <c r="M547" s="10"/>
      <c r="N547" s="30"/>
      <c r="O547" s="7">
        <f t="shared" si="159"/>
        <v>0</v>
      </c>
    </row>
    <row r="548" spans="1:16" x14ac:dyDescent="0.15">
      <c r="A548" s="14" t="s">
        <v>404</v>
      </c>
      <c r="B548" s="8">
        <v>10</v>
      </c>
      <c r="C548" s="10"/>
      <c r="D548" s="10"/>
      <c r="E548" s="10"/>
      <c r="F548" s="30">
        <v>10</v>
      </c>
      <c r="G548" s="7">
        <f t="shared" si="158"/>
        <v>20</v>
      </c>
      <c r="H548" s="58">
        <v>42828</v>
      </c>
      <c r="I548" s="16"/>
      <c r="J548" s="8"/>
      <c r="K548" s="10"/>
      <c r="L548" s="10"/>
      <c r="M548" s="10"/>
      <c r="N548" s="30"/>
      <c r="O548" s="7">
        <f t="shared" si="159"/>
        <v>0</v>
      </c>
    </row>
    <row r="549" spans="1:16" x14ac:dyDescent="0.15">
      <c r="A549" s="19" t="s">
        <v>405</v>
      </c>
      <c r="B549" s="8">
        <v>1</v>
      </c>
      <c r="C549" s="10"/>
      <c r="D549" s="10"/>
      <c r="E549" s="10"/>
      <c r="F549" s="30"/>
      <c r="G549" s="7">
        <f t="shared" si="158"/>
        <v>1</v>
      </c>
      <c r="H549" s="58">
        <v>42822</v>
      </c>
      <c r="I549" s="14"/>
      <c r="J549" s="8"/>
      <c r="K549" s="10"/>
      <c r="L549" s="10"/>
      <c r="M549" s="10"/>
      <c r="N549" s="30"/>
      <c r="O549" s="7">
        <f t="shared" si="159"/>
        <v>0</v>
      </c>
    </row>
    <row r="550" spans="1:16" x14ac:dyDescent="0.15">
      <c r="A550" s="14" t="s">
        <v>408</v>
      </c>
      <c r="B550" s="8"/>
      <c r="C550" s="10"/>
      <c r="D550" s="10">
        <v>1</v>
      </c>
      <c r="E550" s="10"/>
      <c r="F550" s="30"/>
      <c r="G550" s="7">
        <f t="shared" si="158"/>
        <v>1</v>
      </c>
      <c r="H550" s="58">
        <v>42822</v>
      </c>
      <c r="I550" s="16"/>
      <c r="J550" s="11"/>
      <c r="K550" s="12"/>
      <c r="L550" s="12"/>
      <c r="M550" s="12"/>
      <c r="N550" s="31"/>
      <c r="O550" s="7">
        <f t="shared" si="159"/>
        <v>0</v>
      </c>
      <c r="P550" s="56"/>
    </row>
    <row r="551" spans="1:16" x14ac:dyDescent="0.15">
      <c r="A551" s="14" t="s">
        <v>420</v>
      </c>
      <c r="B551" s="8"/>
      <c r="C551" s="10"/>
      <c r="D551" s="10">
        <v>1</v>
      </c>
      <c r="E551" s="10"/>
      <c r="F551" s="30"/>
      <c r="G551" s="7">
        <f t="shared" si="158"/>
        <v>1</v>
      </c>
      <c r="H551" s="58">
        <v>42823</v>
      </c>
      <c r="I551" s="16"/>
      <c r="J551" s="8"/>
      <c r="K551" s="10"/>
      <c r="L551" s="10"/>
      <c r="M551" s="10"/>
      <c r="N551" s="30"/>
      <c r="O551" s="7">
        <f t="shared" ref="O551:O552" si="160">SUM(J551:N551)</f>
        <v>0</v>
      </c>
      <c r="P551" s="36"/>
    </row>
    <row r="552" spans="1:16" x14ac:dyDescent="0.15">
      <c r="A552" s="14" t="s">
        <v>33</v>
      </c>
      <c r="B552" s="11">
        <v>2</v>
      </c>
      <c r="C552" s="12"/>
      <c r="D552" s="12">
        <v>1</v>
      </c>
      <c r="E552" s="12">
        <v>2</v>
      </c>
      <c r="F552" s="31"/>
      <c r="G552" s="7">
        <f t="shared" si="158"/>
        <v>5</v>
      </c>
      <c r="H552" s="58">
        <v>42831</v>
      </c>
      <c r="I552" s="16"/>
      <c r="J552" s="8"/>
      <c r="K552" s="10"/>
      <c r="L552" s="10"/>
      <c r="M552" s="10"/>
      <c r="N552" s="30"/>
      <c r="O552" s="7">
        <f t="shared" si="160"/>
        <v>0</v>
      </c>
      <c r="P552" s="36"/>
    </row>
    <row r="553" spans="1:16" x14ac:dyDescent="0.15">
      <c r="A553" s="39" t="s">
        <v>416</v>
      </c>
      <c r="B553" s="8"/>
      <c r="C553" s="10"/>
      <c r="D553" s="10"/>
      <c r="E553" s="10">
        <v>10</v>
      </c>
      <c r="F553" s="30">
        <v>10</v>
      </c>
      <c r="G553" s="7">
        <f t="shared" si="158"/>
        <v>20</v>
      </c>
      <c r="H553" s="58">
        <v>42842</v>
      </c>
      <c r="I553" s="16"/>
      <c r="J553" s="8"/>
      <c r="K553" s="10"/>
      <c r="L553" s="10"/>
      <c r="M553" s="10"/>
      <c r="N553" s="30"/>
      <c r="O553" s="7">
        <f t="shared" si="159"/>
        <v>0</v>
      </c>
      <c r="P553" s="36"/>
    </row>
    <row r="554" spans="1:16" x14ac:dyDescent="0.15">
      <c r="A554" s="14" t="s">
        <v>419</v>
      </c>
      <c r="B554" s="8">
        <v>1</v>
      </c>
      <c r="C554" s="10"/>
      <c r="D554" s="10"/>
      <c r="E554" s="10"/>
      <c r="F554" s="30"/>
      <c r="G554" s="7">
        <f t="shared" si="158"/>
        <v>1</v>
      </c>
      <c r="H554" s="58">
        <v>42835</v>
      </c>
      <c r="I554" s="16"/>
      <c r="J554" s="11"/>
      <c r="K554" s="12"/>
      <c r="L554" s="12"/>
      <c r="M554" s="12"/>
      <c r="N554" s="31"/>
      <c r="O554" s="7">
        <f t="shared" si="159"/>
        <v>0</v>
      </c>
      <c r="P554" s="36"/>
    </row>
    <row r="555" spans="1:16" x14ac:dyDescent="0.15">
      <c r="A555" s="14" t="s">
        <v>421</v>
      </c>
      <c r="B555" s="8"/>
      <c r="C555" s="10"/>
      <c r="D555" s="10"/>
      <c r="E555" s="10"/>
      <c r="F555" s="30">
        <v>5</v>
      </c>
      <c r="G555" s="7">
        <f t="shared" si="158"/>
        <v>5</v>
      </c>
      <c r="H555" s="58">
        <v>42843</v>
      </c>
      <c r="I555" s="14"/>
      <c r="J555" s="8"/>
      <c r="K555" s="10"/>
      <c r="L555" s="10"/>
      <c r="M555" s="10"/>
      <c r="N555" s="30"/>
      <c r="O555" s="7">
        <f t="shared" si="159"/>
        <v>0</v>
      </c>
      <c r="P555" s="56"/>
    </row>
    <row r="556" spans="1:16" ht="14.25" thickBot="1" x14ac:dyDescent="0.2">
      <c r="A556" s="14"/>
      <c r="B556" s="11"/>
      <c r="C556" s="12"/>
      <c r="D556" s="12"/>
      <c r="E556" s="12"/>
      <c r="F556" s="31"/>
      <c r="G556" s="7">
        <f t="shared" si="158"/>
        <v>0</v>
      </c>
      <c r="H556" s="56"/>
      <c r="I556" s="20"/>
      <c r="J556" s="11"/>
      <c r="K556" s="12"/>
      <c r="L556" s="12"/>
      <c r="M556" s="12"/>
      <c r="N556" s="31"/>
      <c r="O556" s="7">
        <f t="shared" si="159"/>
        <v>0</v>
      </c>
      <c r="P556" s="56"/>
    </row>
    <row r="557" spans="1:16" ht="14.25" thickBot="1" x14ac:dyDescent="0.2">
      <c r="A557" s="3" t="s">
        <v>11</v>
      </c>
      <c r="B557" s="23">
        <f>SUM(B531:B556)</f>
        <v>20</v>
      </c>
      <c r="C557" s="4">
        <f>SUM(C531:C556)</f>
        <v>29</v>
      </c>
      <c r="D557" s="4">
        <f>SUM(D531:D556)</f>
        <v>28</v>
      </c>
      <c r="E557" s="6">
        <f>SUM(E531:E556)</f>
        <v>18</v>
      </c>
      <c r="F557" s="32">
        <f>SUM(F531:F556)</f>
        <v>31</v>
      </c>
      <c r="G557" s="5">
        <f>SUM(B557:F557)</f>
        <v>126</v>
      </c>
      <c r="H557" s="56"/>
      <c r="I557" s="3" t="s">
        <v>11</v>
      </c>
      <c r="J557" s="23">
        <f>SUM(J531:J556)</f>
        <v>20</v>
      </c>
      <c r="K557" s="4">
        <f>SUM(K531:K556)</f>
        <v>30</v>
      </c>
      <c r="L557" s="4">
        <f>SUM(L531:L556)</f>
        <v>20</v>
      </c>
      <c r="M557" s="6">
        <f>SUM(M531:M556)</f>
        <v>5</v>
      </c>
      <c r="N557" s="32">
        <f>SUM(N531:N556)</f>
        <v>10</v>
      </c>
      <c r="O557" s="5">
        <f>SUM(J557:N557)</f>
        <v>85</v>
      </c>
    </row>
    <row r="558" spans="1:16" ht="14.25" thickBot="1" x14ac:dyDescent="0.2">
      <c r="A558" s="25" t="s">
        <v>12</v>
      </c>
      <c r="B558" s="63">
        <f>B530-B557</f>
        <v>11</v>
      </c>
      <c r="C558" s="26">
        <f t="shared" ref="C558:G558" si="161">C530-C557</f>
        <v>18</v>
      </c>
      <c r="D558" s="71">
        <f t="shared" si="161"/>
        <v>13</v>
      </c>
      <c r="E558" s="26">
        <f t="shared" si="161"/>
        <v>5</v>
      </c>
      <c r="F558" s="70">
        <f t="shared" si="161"/>
        <v>1</v>
      </c>
      <c r="G558" s="27">
        <f t="shared" si="161"/>
        <v>48</v>
      </c>
      <c r="H558" s="56"/>
      <c r="I558" s="25" t="s">
        <v>12</v>
      </c>
      <c r="J558" s="63">
        <f>J530-J557</f>
        <v>160</v>
      </c>
      <c r="K558" s="26">
        <f t="shared" ref="K558:O558" si="162">K530-K557</f>
        <v>50</v>
      </c>
      <c r="L558" s="71">
        <f t="shared" si="162"/>
        <v>69</v>
      </c>
      <c r="M558" s="26">
        <f t="shared" si="162"/>
        <v>132</v>
      </c>
      <c r="N558" s="70">
        <f t="shared" si="162"/>
        <v>144</v>
      </c>
      <c r="O558" s="27">
        <f t="shared" si="162"/>
        <v>555</v>
      </c>
    </row>
    <row r="559" spans="1:16" ht="17.25" x14ac:dyDescent="0.2">
      <c r="A559" s="79" t="s">
        <v>56</v>
      </c>
      <c r="B559" s="80"/>
      <c r="C559" s="80"/>
      <c r="D559" s="80"/>
      <c r="E559" s="80"/>
      <c r="F559" s="80"/>
      <c r="G559" s="80"/>
      <c r="H559" s="56"/>
      <c r="I559" s="79" t="s">
        <v>56</v>
      </c>
      <c r="J559" s="80"/>
      <c r="K559" s="80"/>
      <c r="L559" s="80"/>
      <c r="M559" s="80"/>
      <c r="N559" s="80"/>
      <c r="O559" s="1"/>
    </row>
    <row r="560" spans="1:16" ht="21.75" thickBot="1" x14ac:dyDescent="0.25">
      <c r="A560" s="82" t="s">
        <v>55</v>
      </c>
      <c r="B560" s="80"/>
      <c r="C560" s="80"/>
      <c r="D560" s="80"/>
      <c r="E560" s="81" t="s">
        <v>53</v>
      </c>
      <c r="F560" s="80"/>
      <c r="G560" s="80"/>
      <c r="H560" s="56"/>
      <c r="I560" s="82" t="s">
        <v>55</v>
      </c>
      <c r="J560" s="80"/>
      <c r="K560" s="80"/>
      <c r="L560" s="80"/>
      <c r="M560" s="81" t="s">
        <v>54</v>
      </c>
      <c r="N560" s="80"/>
      <c r="O560" s="1"/>
    </row>
    <row r="561" spans="1:16" ht="14.25" thickBot="1" x14ac:dyDescent="0.2">
      <c r="A561" s="13" t="s">
        <v>0</v>
      </c>
      <c r="B561" s="228" t="s">
        <v>57</v>
      </c>
      <c r="C561" s="229"/>
      <c r="D561" s="229"/>
      <c r="E561" s="229"/>
      <c r="F561" s="230"/>
      <c r="G561" s="231"/>
      <c r="H561" s="56"/>
      <c r="I561" s="13" t="s">
        <v>0</v>
      </c>
      <c r="J561" s="232" t="s">
        <v>57</v>
      </c>
      <c r="K561" s="233"/>
      <c r="L561" s="233"/>
      <c r="M561" s="233"/>
      <c r="N561" s="233"/>
      <c r="O561" s="234"/>
    </row>
    <row r="562" spans="1:16" ht="14.25" thickBot="1" x14ac:dyDescent="0.2">
      <c r="A562" s="3" t="s">
        <v>1</v>
      </c>
      <c r="B562" s="2" t="s">
        <v>42</v>
      </c>
      <c r="C562" s="21" t="s">
        <v>43</v>
      </c>
      <c r="D562" s="21" t="s">
        <v>44</v>
      </c>
      <c r="E562" s="24" t="s">
        <v>45</v>
      </c>
      <c r="F562" s="33" t="s">
        <v>46</v>
      </c>
      <c r="G562" s="3" t="s">
        <v>2</v>
      </c>
      <c r="H562" s="56"/>
      <c r="I562" s="3" t="s">
        <v>1</v>
      </c>
      <c r="J562" s="2" t="s">
        <v>42</v>
      </c>
      <c r="K562" s="21" t="s">
        <v>43</v>
      </c>
      <c r="L562" s="21" t="s">
        <v>44</v>
      </c>
      <c r="M562" s="24" t="s">
        <v>45</v>
      </c>
      <c r="N562" s="33" t="s">
        <v>46</v>
      </c>
      <c r="O562" s="3" t="s">
        <v>2</v>
      </c>
    </row>
    <row r="563" spans="1:16" ht="14.25" thickBot="1" x14ac:dyDescent="0.2">
      <c r="A563" s="72" t="s">
        <v>79</v>
      </c>
      <c r="B563" s="73">
        <f>B558</f>
        <v>11</v>
      </c>
      <c r="C563" s="74">
        <f t="shared" ref="C563:F563" si="163">C558</f>
        <v>18</v>
      </c>
      <c r="D563" s="107">
        <f t="shared" si="163"/>
        <v>13</v>
      </c>
      <c r="E563" s="75">
        <f t="shared" si="163"/>
        <v>5</v>
      </c>
      <c r="F563" s="75">
        <f t="shared" si="163"/>
        <v>1</v>
      </c>
      <c r="G563" s="76">
        <f t="shared" ref="G563:G572" si="164">SUM(B563:F563)</f>
        <v>48</v>
      </c>
      <c r="H563" s="56"/>
      <c r="I563" s="72" t="s">
        <v>79</v>
      </c>
      <c r="J563" s="73">
        <f>J558</f>
        <v>160</v>
      </c>
      <c r="K563" s="74">
        <f t="shared" ref="K563:N563" si="165">K558</f>
        <v>50</v>
      </c>
      <c r="L563" s="107">
        <f t="shared" si="165"/>
        <v>69</v>
      </c>
      <c r="M563" s="75">
        <f t="shared" si="165"/>
        <v>132</v>
      </c>
      <c r="N563" s="75">
        <f t="shared" si="165"/>
        <v>144</v>
      </c>
      <c r="O563" s="76">
        <f t="shared" ref="O563:O572" si="166">SUM(J563:N563)</f>
        <v>555</v>
      </c>
    </row>
    <row r="564" spans="1:16" x14ac:dyDescent="0.15">
      <c r="A564" s="38" t="s">
        <v>15</v>
      </c>
      <c r="B564" s="37"/>
      <c r="C564" s="35"/>
      <c r="D564" s="35"/>
      <c r="E564" s="35">
        <v>10</v>
      </c>
      <c r="F564" s="28">
        <v>10</v>
      </c>
      <c r="G564" s="7">
        <f t="shared" si="164"/>
        <v>20</v>
      </c>
      <c r="H564" s="58">
        <v>42838</v>
      </c>
      <c r="I564" s="38" t="s">
        <v>15</v>
      </c>
      <c r="J564" s="37"/>
      <c r="K564" s="35"/>
      <c r="L564" s="35"/>
      <c r="M564" s="35"/>
      <c r="N564" s="28"/>
      <c r="O564" s="7">
        <f t="shared" si="166"/>
        <v>0</v>
      </c>
    </row>
    <row r="565" spans="1:16" x14ac:dyDescent="0.15">
      <c r="A565" s="38" t="s">
        <v>16</v>
      </c>
      <c r="B565" s="8"/>
      <c r="C565" s="10">
        <v>10</v>
      </c>
      <c r="D565" s="10"/>
      <c r="E565" s="10"/>
      <c r="F565" s="28">
        <v>10</v>
      </c>
      <c r="G565" s="9">
        <f t="shared" si="164"/>
        <v>20</v>
      </c>
      <c r="H565" s="58">
        <v>42847</v>
      </c>
      <c r="I565" s="15" t="s">
        <v>3</v>
      </c>
      <c r="J565" s="8"/>
      <c r="K565" s="10"/>
      <c r="L565" s="10"/>
      <c r="M565" s="10"/>
      <c r="N565" s="28"/>
      <c r="O565" s="9">
        <f t="shared" si="166"/>
        <v>0</v>
      </c>
    </row>
    <row r="566" spans="1:16" x14ac:dyDescent="0.15">
      <c r="A566" s="38" t="s">
        <v>111</v>
      </c>
      <c r="B566" s="8"/>
      <c r="C566" s="10">
        <v>2</v>
      </c>
      <c r="D566" s="10">
        <v>2</v>
      </c>
      <c r="E566" s="10">
        <v>4</v>
      </c>
      <c r="F566" s="28">
        <v>4</v>
      </c>
      <c r="G566" s="9">
        <f t="shared" si="164"/>
        <v>12</v>
      </c>
      <c r="H566" s="58">
        <v>42857</v>
      </c>
      <c r="I566" s="15" t="s">
        <v>18</v>
      </c>
      <c r="J566" s="8"/>
      <c r="K566" s="10"/>
      <c r="L566" s="10"/>
      <c r="M566" s="10"/>
      <c r="N566" s="28"/>
      <c r="O566" s="9">
        <f t="shared" si="166"/>
        <v>0</v>
      </c>
    </row>
    <row r="567" spans="1:16" x14ac:dyDescent="0.15">
      <c r="A567" s="38" t="s">
        <v>20</v>
      </c>
      <c r="B567" s="8">
        <v>10</v>
      </c>
      <c r="C567" s="10"/>
      <c r="D567" s="10"/>
      <c r="E567" s="10">
        <v>10</v>
      </c>
      <c r="F567" s="28">
        <v>10</v>
      </c>
      <c r="G567" s="9">
        <f t="shared" si="164"/>
        <v>30</v>
      </c>
      <c r="H567" s="58">
        <v>42867</v>
      </c>
      <c r="I567" s="15" t="s">
        <v>20</v>
      </c>
      <c r="J567" s="8"/>
      <c r="K567" s="10"/>
      <c r="L567" s="10"/>
      <c r="M567" s="10"/>
      <c r="N567" s="28"/>
      <c r="O567" s="9">
        <f t="shared" si="166"/>
        <v>0</v>
      </c>
    </row>
    <row r="568" spans="1:16" x14ac:dyDescent="0.15">
      <c r="A568" s="38" t="s">
        <v>383</v>
      </c>
      <c r="B568" s="8"/>
      <c r="C568" s="10"/>
      <c r="D568" s="10"/>
      <c r="E568" s="10">
        <v>1</v>
      </c>
      <c r="F568" s="28"/>
      <c r="G568" s="9">
        <f t="shared" si="164"/>
        <v>1</v>
      </c>
      <c r="H568" s="58">
        <v>42867</v>
      </c>
      <c r="I568" s="15" t="s">
        <v>80</v>
      </c>
      <c r="J568" s="8"/>
      <c r="K568" s="10"/>
      <c r="L568" s="10"/>
      <c r="M568" s="10"/>
      <c r="N568" s="28"/>
      <c r="O568" s="9">
        <f t="shared" si="166"/>
        <v>0</v>
      </c>
    </row>
    <row r="569" spans="1:16" x14ac:dyDescent="0.15">
      <c r="A569" s="38" t="s">
        <v>81</v>
      </c>
      <c r="B569" s="8"/>
      <c r="C569" s="10">
        <v>10</v>
      </c>
      <c r="D569" s="10"/>
      <c r="E569" s="10"/>
      <c r="F569" s="28"/>
      <c r="G569" s="9">
        <f t="shared" si="164"/>
        <v>10</v>
      </c>
      <c r="H569" s="58">
        <v>42872</v>
      </c>
      <c r="I569" s="15" t="s">
        <v>81</v>
      </c>
      <c r="J569" s="8"/>
      <c r="K569" s="10"/>
      <c r="L569" s="10"/>
      <c r="M569" s="10"/>
      <c r="N569" s="28"/>
      <c r="O569" s="9">
        <f t="shared" si="166"/>
        <v>0</v>
      </c>
    </row>
    <row r="570" spans="1:16" x14ac:dyDescent="0.15">
      <c r="A570" s="38" t="s">
        <v>19</v>
      </c>
      <c r="B570" s="8"/>
      <c r="C570" s="10"/>
      <c r="D570" s="10"/>
      <c r="E570" s="10">
        <v>1</v>
      </c>
      <c r="F570" s="30">
        <v>1</v>
      </c>
      <c r="G570" s="7">
        <f t="shared" si="164"/>
        <v>2</v>
      </c>
      <c r="H570" s="58">
        <v>42886</v>
      </c>
      <c r="I570" s="15" t="s">
        <v>82</v>
      </c>
      <c r="J570" s="8"/>
      <c r="K570" s="10"/>
      <c r="L570" s="10"/>
      <c r="M570" s="10"/>
      <c r="N570" s="28"/>
      <c r="O570" s="9">
        <f t="shared" si="166"/>
        <v>0</v>
      </c>
      <c r="P570" s="58"/>
    </row>
    <row r="571" spans="1:16" x14ac:dyDescent="0.15">
      <c r="A571" s="38" t="s">
        <v>83</v>
      </c>
      <c r="B571" s="11"/>
      <c r="C571" s="100"/>
      <c r="D571" s="100"/>
      <c r="E571" s="100"/>
      <c r="F571" s="101"/>
      <c r="G571" s="102">
        <f t="shared" si="164"/>
        <v>0</v>
      </c>
      <c r="H571" s="56"/>
      <c r="I571" s="15" t="s">
        <v>83</v>
      </c>
      <c r="J571" s="8"/>
      <c r="K571" s="10"/>
      <c r="L571" s="10"/>
      <c r="M571" s="10"/>
      <c r="N571" s="30"/>
      <c r="O571" s="7">
        <f t="shared" si="166"/>
        <v>0</v>
      </c>
    </row>
    <row r="572" spans="1:16" ht="14.25" thickBot="1" x14ac:dyDescent="0.2">
      <c r="A572" s="38" t="s">
        <v>159</v>
      </c>
      <c r="B572" s="11"/>
      <c r="C572" s="100"/>
      <c r="D572" s="100"/>
      <c r="E572" s="100"/>
      <c r="F572" s="101"/>
      <c r="G572" s="102">
        <f t="shared" si="164"/>
        <v>0</v>
      </c>
      <c r="H572" s="56"/>
      <c r="I572" s="15" t="s">
        <v>87</v>
      </c>
      <c r="J572" s="11"/>
      <c r="K572" s="100"/>
      <c r="L572" s="100"/>
      <c r="M572" s="100"/>
      <c r="N572" s="101"/>
      <c r="O572" s="102">
        <f t="shared" si="166"/>
        <v>0</v>
      </c>
    </row>
    <row r="573" spans="1:16" ht="14.25" thickBot="1" x14ac:dyDescent="0.2">
      <c r="A573" s="72" t="s">
        <v>7</v>
      </c>
      <c r="B573" s="73">
        <f>SUM(B563:B572)</f>
        <v>21</v>
      </c>
      <c r="C573" s="74">
        <f t="shared" ref="C573:G573" si="167">SUM(C563:C572)</f>
        <v>40</v>
      </c>
      <c r="D573" s="74">
        <f t="shared" si="167"/>
        <v>15</v>
      </c>
      <c r="E573" s="74">
        <f t="shared" si="167"/>
        <v>31</v>
      </c>
      <c r="F573" s="105">
        <f t="shared" si="167"/>
        <v>36</v>
      </c>
      <c r="G573" s="76">
        <f t="shared" si="167"/>
        <v>143</v>
      </c>
      <c r="H573" s="56"/>
      <c r="I573" s="72" t="s">
        <v>7</v>
      </c>
      <c r="J573" s="73">
        <f>SUM(J563:J572)</f>
        <v>160</v>
      </c>
      <c r="K573" s="74">
        <f t="shared" ref="K573:O573" si="168">SUM(K563:K572)</f>
        <v>50</v>
      </c>
      <c r="L573" s="74">
        <f t="shared" si="168"/>
        <v>69</v>
      </c>
      <c r="M573" s="74">
        <f t="shared" si="168"/>
        <v>132</v>
      </c>
      <c r="N573" s="105">
        <f t="shared" si="168"/>
        <v>144</v>
      </c>
      <c r="O573" s="76">
        <f t="shared" si="168"/>
        <v>555</v>
      </c>
    </row>
    <row r="574" spans="1:16" x14ac:dyDescent="0.15">
      <c r="A574" s="16" t="s">
        <v>423</v>
      </c>
      <c r="B574" s="8"/>
      <c r="C574" s="10">
        <v>1</v>
      </c>
      <c r="D574" s="10"/>
      <c r="E574" s="10"/>
      <c r="F574" s="30"/>
      <c r="G574" s="7">
        <f t="shared" ref="G574:G599" si="169">SUM(B574:F574)</f>
        <v>1</v>
      </c>
      <c r="H574" s="58">
        <v>42839</v>
      </c>
      <c r="I574" s="16" t="s">
        <v>422</v>
      </c>
      <c r="J574" s="17"/>
      <c r="K574" s="22"/>
      <c r="L574" s="22"/>
      <c r="M574" s="22">
        <v>10</v>
      </c>
      <c r="N574" s="29">
        <v>10</v>
      </c>
      <c r="O574" s="18">
        <f t="shared" ref="O574:O599" si="170">SUM(J574:N574)</f>
        <v>20</v>
      </c>
      <c r="P574" s="58">
        <v>42838</v>
      </c>
    </row>
    <row r="575" spans="1:16" x14ac:dyDescent="0.15">
      <c r="A575" s="14" t="s">
        <v>424</v>
      </c>
      <c r="B575" s="8"/>
      <c r="C575" s="10">
        <v>1</v>
      </c>
      <c r="D575" s="10"/>
      <c r="E575" s="10"/>
      <c r="F575" s="30"/>
      <c r="G575" s="7">
        <f t="shared" si="169"/>
        <v>1</v>
      </c>
      <c r="H575" s="58">
        <v>42841</v>
      </c>
      <c r="I575" s="16" t="s">
        <v>24</v>
      </c>
      <c r="J575" s="8"/>
      <c r="K575" s="10">
        <v>10</v>
      </c>
      <c r="L575" s="10"/>
      <c r="M575" s="10"/>
      <c r="N575" s="28"/>
      <c r="O575" s="9">
        <f t="shared" si="170"/>
        <v>10</v>
      </c>
      <c r="P575" s="58">
        <v>42847</v>
      </c>
    </row>
    <row r="576" spans="1:16" x14ac:dyDescent="0.15">
      <c r="A576" s="16" t="s">
        <v>425</v>
      </c>
      <c r="B576" s="8">
        <v>1</v>
      </c>
      <c r="C576" s="10"/>
      <c r="D576" s="10"/>
      <c r="E576" s="10"/>
      <c r="F576" s="30"/>
      <c r="G576" s="7">
        <f t="shared" si="169"/>
        <v>1</v>
      </c>
      <c r="H576" s="58">
        <v>42844</v>
      </c>
      <c r="I576" s="16" t="s">
        <v>24</v>
      </c>
      <c r="J576" s="8">
        <v>10</v>
      </c>
      <c r="K576" s="10"/>
      <c r="L576" s="10"/>
      <c r="M576" s="10">
        <v>10</v>
      </c>
      <c r="N576" s="30">
        <v>10</v>
      </c>
      <c r="O576" s="7">
        <f t="shared" si="170"/>
        <v>30</v>
      </c>
      <c r="P576" s="58">
        <v>42867</v>
      </c>
    </row>
    <row r="577" spans="1:16" x14ac:dyDescent="0.15">
      <c r="A577" s="14" t="s">
        <v>426</v>
      </c>
      <c r="B577" s="8"/>
      <c r="C577" s="10">
        <v>6</v>
      </c>
      <c r="D577" s="10"/>
      <c r="E577" s="10"/>
      <c r="F577" s="30"/>
      <c r="G577" s="7">
        <f t="shared" si="169"/>
        <v>6</v>
      </c>
      <c r="H577" s="58">
        <v>42849</v>
      </c>
      <c r="I577" s="16" t="s">
        <v>24</v>
      </c>
      <c r="J577" s="8"/>
      <c r="K577" s="10">
        <v>10</v>
      </c>
      <c r="L577" s="10"/>
      <c r="M577" s="10"/>
      <c r="N577" s="30"/>
      <c r="O577" s="7">
        <f t="shared" si="170"/>
        <v>10</v>
      </c>
      <c r="P577" s="58">
        <v>42872</v>
      </c>
    </row>
    <row r="578" spans="1:16" x14ac:dyDescent="0.15">
      <c r="A578" s="16" t="s">
        <v>428</v>
      </c>
      <c r="B578" s="8"/>
      <c r="C578" s="10"/>
      <c r="D578" s="10"/>
      <c r="E578" s="10"/>
      <c r="F578" s="30">
        <v>1</v>
      </c>
      <c r="G578" s="7">
        <f t="shared" si="169"/>
        <v>1</v>
      </c>
      <c r="H578" s="58">
        <v>42845</v>
      </c>
      <c r="I578" s="16"/>
      <c r="J578" s="8"/>
      <c r="K578" s="10"/>
      <c r="L578" s="10"/>
      <c r="M578" s="10"/>
      <c r="N578" s="30"/>
      <c r="O578" s="7">
        <f t="shared" si="170"/>
        <v>0</v>
      </c>
      <c r="P578" s="56"/>
    </row>
    <row r="579" spans="1:16" x14ac:dyDescent="0.15">
      <c r="A579" s="14" t="s">
        <v>110</v>
      </c>
      <c r="B579" s="8"/>
      <c r="C579" s="10"/>
      <c r="D579" s="10"/>
      <c r="E579" s="10"/>
      <c r="F579" s="30">
        <v>2</v>
      </c>
      <c r="G579" s="7">
        <f t="shared" si="169"/>
        <v>2</v>
      </c>
      <c r="H579" s="58">
        <v>42856</v>
      </c>
      <c r="I579" s="16"/>
      <c r="J579" s="8"/>
      <c r="K579" s="10"/>
      <c r="L579" s="10"/>
      <c r="M579" s="10"/>
      <c r="N579" s="30"/>
      <c r="O579" s="7">
        <f t="shared" si="170"/>
        <v>0</v>
      </c>
    </row>
    <row r="580" spans="1:16" x14ac:dyDescent="0.15">
      <c r="A580" s="50" t="s">
        <v>432</v>
      </c>
      <c r="B580" s="8"/>
      <c r="C580" s="10">
        <v>1</v>
      </c>
      <c r="D580" s="10"/>
      <c r="E580" s="10"/>
      <c r="F580" s="30"/>
      <c r="G580" s="7">
        <f t="shared" si="169"/>
        <v>1</v>
      </c>
      <c r="H580" s="58">
        <v>42856</v>
      </c>
      <c r="I580" s="16"/>
      <c r="J580" s="8"/>
      <c r="K580" s="10"/>
      <c r="L580" s="10"/>
      <c r="M580" s="10"/>
      <c r="N580" s="30"/>
      <c r="O580" s="7">
        <f t="shared" si="170"/>
        <v>0</v>
      </c>
    </row>
    <row r="581" spans="1:16" x14ac:dyDescent="0.15">
      <c r="A581" s="16" t="s">
        <v>329</v>
      </c>
      <c r="B581" s="8">
        <v>3</v>
      </c>
      <c r="C581" s="10"/>
      <c r="D581" s="10"/>
      <c r="E581" s="10"/>
      <c r="F581" s="30">
        <v>2</v>
      </c>
      <c r="G581" s="7">
        <f t="shared" si="169"/>
        <v>5</v>
      </c>
      <c r="H581" s="58">
        <v>42863</v>
      </c>
      <c r="I581" s="16"/>
      <c r="J581" s="8"/>
      <c r="K581" s="10"/>
      <c r="L581" s="10"/>
      <c r="M581" s="10"/>
      <c r="N581" s="30"/>
      <c r="O581" s="7">
        <f t="shared" si="170"/>
        <v>0</v>
      </c>
    </row>
    <row r="582" spans="1:16" x14ac:dyDescent="0.15">
      <c r="A582" s="14" t="s">
        <v>33</v>
      </c>
      <c r="B582" s="8"/>
      <c r="C582" s="10"/>
      <c r="D582" s="10"/>
      <c r="E582" s="10"/>
      <c r="F582" s="30">
        <v>1</v>
      </c>
      <c r="G582" s="7">
        <f t="shared" si="169"/>
        <v>1</v>
      </c>
      <c r="H582" s="58">
        <v>42865</v>
      </c>
      <c r="I582" s="39"/>
      <c r="J582" s="8"/>
      <c r="K582" s="10"/>
      <c r="L582" s="10"/>
      <c r="M582" s="10"/>
      <c r="N582" s="30"/>
      <c r="O582" s="7">
        <f t="shared" si="170"/>
        <v>0</v>
      </c>
    </row>
    <row r="583" spans="1:16" x14ac:dyDescent="0.15">
      <c r="A583" s="50" t="s">
        <v>434</v>
      </c>
      <c r="B583" s="11"/>
      <c r="C583" s="12">
        <v>2</v>
      </c>
      <c r="D583" s="12"/>
      <c r="E583" s="12"/>
      <c r="F583" s="31"/>
      <c r="G583" s="7">
        <f t="shared" si="169"/>
        <v>2</v>
      </c>
      <c r="H583" s="58">
        <v>42863</v>
      </c>
      <c r="I583" s="16"/>
      <c r="J583" s="11"/>
      <c r="K583" s="12"/>
      <c r="L583" s="12"/>
      <c r="M583" s="12"/>
      <c r="N583" s="31"/>
      <c r="O583" s="7">
        <f t="shared" si="170"/>
        <v>0</v>
      </c>
    </row>
    <row r="584" spans="1:16" x14ac:dyDescent="0.15">
      <c r="A584" s="14" t="s">
        <v>110</v>
      </c>
      <c r="B584" s="11">
        <v>5</v>
      </c>
      <c r="C584" s="12"/>
      <c r="D584" s="12"/>
      <c r="E584" s="12"/>
      <c r="F584" s="31"/>
      <c r="G584" s="7">
        <f t="shared" si="169"/>
        <v>5</v>
      </c>
      <c r="H584" s="58">
        <v>42867</v>
      </c>
      <c r="I584" s="16"/>
      <c r="J584" s="8"/>
      <c r="K584" s="10"/>
      <c r="L584" s="10"/>
      <c r="M584" s="10"/>
      <c r="N584" s="30"/>
      <c r="O584" s="7">
        <f t="shared" si="170"/>
        <v>0</v>
      </c>
    </row>
    <row r="585" spans="1:16" x14ac:dyDescent="0.15">
      <c r="A585" s="16" t="s">
        <v>437</v>
      </c>
      <c r="B585" s="8"/>
      <c r="C585" s="10">
        <v>1</v>
      </c>
      <c r="D585" s="10"/>
      <c r="E585" s="10"/>
      <c r="F585" s="30"/>
      <c r="G585" s="7">
        <f t="shared" si="169"/>
        <v>1</v>
      </c>
      <c r="H585" s="58">
        <v>42863</v>
      </c>
      <c r="I585" s="39"/>
      <c r="J585" s="8"/>
      <c r="K585" s="10"/>
      <c r="L585" s="10"/>
      <c r="M585" s="10"/>
      <c r="N585" s="30"/>
      <c r="O585" s="7">
        <f t="shared" si="170"/>
        <v>0</v>
      </c>
    </row>
    <row r="586" spans="1:16" x14ac:dyDescent="0.15">
      <c r="A586" s="39" t="s">
        <v>22</v>
      </c>
      <c r="B586" s="8"/>
      <c r="C586" s="10"/>
      <c r="D586" s="10"/>
      <c r="E586" s="10">
        <v>10</v>
      </c>
      <c r="F586" s="30">
        <v>10</v>
      </c>
      <c r="G586" s="7">
        <f t="shared" si="169"/>
        <v>20</v>
      </c>
      <c r="H586" s="58">
        <v>42870</v>
      </c>
      <c r="I586" s="16"/>
      <c r="J586" s="8"/>
      <c r="K586" s="10"/>
      <c r="L586" s="10"/>
      <c r="M586" s="10"/>
      <c r="N586" s="30"/>
      <c r="O586" s="7">
        <f t="shared" si="170"/>
        <v>0</v>
      </c>
    </row>
    <row r="587" spans="1:16" x14ac:dyDescent="0.15">
      <c r="A587" s="16" t="s">
        <v>29</v>
      </c>
      <c r="B587" s="8"/>
      <c r="C587" s="10"/>
      <c r="D587" s="10"/>
      <c r="E587" s="10"/>
      <c r="F587" s="30">
        <v>1</v>
      </c>
      <c r="G587" s="7">
        <f t="shared" si="169"/>
        <v>1</v>
      </c>
      <c r="H587" s="58">
        <v>42864</v>
      </c>
      <c r="I587" s="16"/>
      <c r="J587" s="8"/>
      <c r="K587" s="10"/>
      <c r="L587" s="10"/>
      <c r="M587" s="10"/>
      <c r="N587" s="30"/>
      <c r="O587" s="7">
        <f t="shared" si="170"/>
        <v>0</v>
      </c>
    </row>
    <row r="588" spans="1:16" x14ac:dyDescent="0.15">
      <c r="A588" s="16" t="s">
        <v>25</v>
      </c>
      <c r="B588" s="8"/>
      <c r="C588" s="10">
        <v>1</v>
      </c>
      <c r="D588" s="10"/>
      <c r="E588" s="10"/>
      <c r="F588" s="30"/>
      <c r="G588" s="7">
        <f t="shared" si="169"/>
        <v>1</v>
      </c>
      <c r="H588" s="58">
        <v>42866</v>
      </c>
      <c r="I588" s="16"/>
      <c r="J588" s="8"/>
      <c r="K588" s="10"/>
      <c r="L588" s="10"/>
      <c r="M588" s="10"/>
      <c r="N588" s="30"/>
      <c r="O588" s="7">
        <f t="shared" si="170"/>
        <v>0</v>
      </c>
    </row>
    <row r="589" spans="1:16" x14ac:dyDescent="0.15">
      <c r="A589" s="16" t="s">
        <v>25</v>
      </c>
      <c r="B589" s="8"/>
      <c r="C589" s="10">
        <v>1</v>
      </c>
      <c r="D589" s="10"/>
      <c r="E589" s="10"/>
      <c r="F589" s="30"/>
      <c r="G589" s="7">
        <f t="shared" si="169"/>
        <v>1</v>
      </c>
      <c r="H589" s="58">
        <v>42871</v>
      </c>
      <c r="I589" s="16"/>
      <c r="J589" s="8"/>
      <c r="K589" s="10"/>
      <c r="L589" s="10"/>
      <c r="M589" s="10"/>
      <c r="N589" s="30"/>
      <c r="O589" s="7">
        <f t="shared" si="170"/>
        <v>0</v>
      </c>
    </row>
    <row r="590" spans="1:16" x14ac:dyDescent="0.15">
      <c r="A590" s="14" t="s">
        <v>458</v>
      </c>
      <c r="B590" s="8"/>
      <c r="C590" s="10"/>
      <c r="D590" s="10">
        <v>1</v>
      </c>
      <c r="E590" s="10"/>
      <c r="F590" s="30"/>
      <c r="G590" s="7">
        <f t="shared" si="169"/>
        <v>1</v>
      </c>
      <c r="H590" s="58">
        <v>42870</v>
      </c>
      <c r="I590" s="14"/>
      <c r="J590" s="8"/>
      <c r="K590" s="10"/>
      <c r="L590" s="10"/>
      <c r="M590" s="10"/>
      <c r="N590" s="30"/>
      <c r="O590" s="7">
        <f t="shared" si="170"/>
        <v>0</v>
      </c>
    </row>
    <row r="591" spans="1:16" x14ac:dyDescent="0.15">
      <c r="A591" s="39" t="s">
        <v>22</v>
      </c>
      <c r="B591" s="8"/>
      <c r="C591" s="10">
        <v>10</v>
      </c>
      <c r="D591" s="10"/>
      <c r="E591" s="10"/>
      <c r="F591" s="30"/>
      <c r="G591" s="7">
        <f t="shared" si="169"/>
        <v>10</v>
      </c>
      <c r="H591" s="58">
        <v>42877</v>
      </c>
      <c r="I591" s="16"/>
      <c r="J591" s="8"/>
      <c r="K591" s="10"/>
      <c r="L591" s="10"/>
      <c r="M591" s="10"/>
      <c r="N591" s="30"/>
      <c r="O591" s="7">
        <f t="shared" si="170"/>
        <v>0</v>
      </c>
    </row>
    <row r="592" spans="1:16" x14ac:dyDescent="0.15">
      <c r="A592" s="19" t="s">
        <v>440</v>
      </c>
      <c r="B592" s="8"/>
      <c r="C592" s="10"/>
      <c r="D592" s="10"/>
      <c r="E592" s="10">
        <v>1</v>
      </c>
      <c r="F592" s="30"/>
      <c r="G592" s="7">
        <f t="shared" si="169"/>
        <v>1</v>
      </c>
      <c r="H592" s="58">
        <v>42871</v>
      </c>
      <c r="I592" s="14"/>
      <c r="J592" s="8"/>
      <c r="K592" s="10"/>
      <c r="L592" s="10"/>
      <c r="M592" s="10"/>
      <c r="N592" s="30"/>
      <c r="O592" s="7">
        <f t="shared" si="170"/>
        <v>0</v>
      </c>
      <c r="P592" s="56"/>
    </row>
    <row r="593" spans="1:16" x14ac:dyDescent="0.15">
      <c r="A593" s="14" t="s">
        <v>110</v>
      </c>
      <c r="B593" s="8"/>
      <c r="C593" s="10"/>
      <c r="D593" s="10"/>
      <c r="E593" s="10">
        <v>5</v>
      </c>
      <c r="F593" s="30"/>
      <c r="G593" s="7">
        <f t="shared" si="169"/>
        <v>5</v>
      </c>
      <c r="H593" s="58">
        <v>42878</v>
      </c>
      <c r="I593" s="16"/>
      <c r="J593" s="11"/>
      <c r="K593" s="12"/>
      <c r="L593" s="12"/>
      <c r="M593" s="12"/>
      <c r="N593" s="31"/>
      <c r="O593" s="7">
        <f t="shared" si="170"/>
        <v>0</v>
      </c>
      <c r="P593" s="56"/>
    </row>
    <row r="594" spans="1:16" x14ac:dyDescent="0.15">
      <c r="A594" s="16" t="s">
        <v>29</v>
      </c>
      <c r="B594" s="8"/>
      <c r="C594" s="10"/>
      <c r="D594" s="10"/>
      <c r="E594" s="10"/>
      <c r="F594" s="30">
        <v>1</v>
      </c>
      <c r="G594" s="7">
        <f t="shared" si="169"/>
        <v>1</v>
      </c>
      <c r="H594" s="58">
        <v>42872</v>
      </c>
      <c r="I594" s="16"/>
      <c r="J594" s="8"/>
      <c r="K594" s="10"/>
      <c r="L594" s="10"/>
      <c r="M594" s="10"/>
      <c r="N594" s="30"/>
      <c r="O594" s="7">
        <f t="shared" si="170"/>
        <v>0</v>
      </c>
      <c r="P594" s="56"/>
    </row>
    <row r="595" spans="1:16" x14ac:dyDescent="0.15">
      <c r="A595" s="14" t="s">
        <v>110</v>
      </c>
      <c r="B595" s="11"/>
      <c r="C595" s="12"/>
      <c r="D595" s="12"/>
      <c r="E595" s="12"/>
      <c r="F595" s="31">
        <v>6</v>
      </c>
      <c r="G595" s="7">
        <f t="shared" si="169"/>
        <v>6</v>
      </c>
      <c r="H595" s="58">
        <v>42881</v>
      </c>
      <c r="I595" s="16"/>
      <c r="J595" s="8"/>
      <c r="K595" s="10"/>
      <c r="L595" s="10"/>
      <c r="M595" s="10"/>
      <c r="N595" s="30"/>
      <c r="O595" s="7">
        <f t="shared" si="170"/>
        <v>0</v>
      </c>
      <c r="P595" s="56"/>
    </row>
    <row r="596" spans="1:16" x14ac:dyDescent="0.15">
      <c r="A596" s="39" t="s">
        <v>447</v>
      </c>
      <c r="B596" s="8"/>
      <c r="C596" s="10"/>
      <c r="D596" s="10"/>
      <c r="E596" s="10"/>
      <c r="F596" s="30">
        <v>1</v>
      </c>
      <c r="G596" s="7">
        <f t="shared" si="169"/>
        <v>1</v>
      </c>
      <c r="H596" s="58">
        <v>42879</v>
      </c>
      <c r="I596" s="16"/>
      <c r="J596" s="8"/>
      <c r="K596" s="10"/>
      <c r="L596" s="10"/>
      <c r="M596" s="10"/>
      <c r="N596" s="30"/>
      <c r="O596" s="7">
        <f t="shared" si="170"/>
        <v>0</v>
      </c>
      <c r="P596" s="36"/>
    </row>
    <row r="597" spans="1:16" x14ac:dyDescent="0.15">
      <c r="A597" s="14" t="s">
        <v>450</v>
      </c>
      <c r="B597" s="8">
        <v>1</v>
      </c>
      <c r="C597" s="10"/>
      <c r="D597" s="10"/>
      <c r="E597" s="10"/>
      <c r="F597" s="30"/>
      <c r="G597" s="7">
        <f t="shared" si="169"/>
        <v>1</v>
      </c>
      <c r="H597" s="58">
        <v>42881</v>
      </c>
      <c r="I597" s="16"/>
      <c r="J597" s="8"/>
      <c r="K597" s="10"/>
      <c r="L597" s="10"/>
      <c r="M597" s="10"/>
      <c r="N597" s="30"/>
      <c r="O597" s="7">
        <f t="shared" si="170"/>
        <v>0</v>
      </c>
      <c r="P597" s="36"/>
    </row>
    <row r="598" spans="1:16" x14ac:dyDescent="0.15">
      <c r="A598" s="14" t="s">
        <v>10</v>
      </c>
      <c r="B598" s="8"/>
      <c r="C598" s="10">
        <v>1</v>
      </c>
      <c r="D598" s="10"/>
      <c r="E598" s="10"/>
      <c r="F598" s="30"/>
      <c r="G598" s="7">
        <f t="shared" si="169"/>
        <v>1</v>
      </c>
      <c r="H598" s="58">
        <v>42884</v>
      </c>
      <c r="I598" s="16"/>
      <c r="J598" s="8"/>
      <c r="K598" s="10"/>
      <c r="L598" s="10"/>
      <c r="M598" s="10"/>
      <c r="N598" s="30"/>
      <c r="O598" s="7">
        <f t="shared" ref="O598" si="171">SUM(J598:N598)</f>
        <v>0</v>
      </c>
      <c r="P598" s="36"/>
    </row>
    <row r="599" spans="1:16" ht="14.25" thickBot="1" x14ac:dyDescent="0.2">
      <c r="A599" s="14" t="s">
        <v>10</v>
      </c>
      <c r="B599" s="11"/>
      <c r="C599" s="12"/>
      <c r="D599" s="12">
        <v>1</v>
      </c>
      <c r="E599" s="12"/>
      <c r="F599" s="31"/>
      <c r="G599" s="7">
        <f t="shared" si="169"/>
        <v>1</v>
      </c>
      <c r="H599" s="58">
        <v>42887</v>
      </c>
      <c r="I599" s="14"/>
      <c r="J599" s="8"/>
      <c r="K599" s="10"/>
      <c r="L599" s="10"/>
      <c r="M599" s="10"/>
      <c r="N599" s="30"/>
      <c r="O599" s="7">
        <f t="shared" si="170"/>
        <v>0</v>
      </c>
      <c r="P599" s="56"/>
    </row>
    <row r="600" spans="1:16" ht="14.25" thickBot="1" x14ac:dyDescent="0.2">
      <c r="A600" s="3" t="s">
        <v>11</v>
      </c>
      <c r="B600" s="23">
        <f>SUM(B574:B599)</f>
        <v>10</v>
      </c>
      <c r="C600" s="4">
        <f>SUM(C574:C599)</f>
        <v>25</v>
      </c>
      <c r="D600" s="4">
        <f>SUM(D574:D599)</f>
        <v>2</v>
      </c>
      <c r="E600" s="6">
        <f>SUM(E574:E599)</f>
        <v>16</v>
      </c>
      <c r="F600" s="32">
        <f>SUM(F574:F599)</f>
        <v>25</v>
      </c>
      <c r="G600" s="5">
        <f>SUM(B600:F600)</f>
        <v>78</v>
      </c>
      <c r="H600" s="56"/>
      <c r="I600" s="3" t="s">
        <v>11</v>
      </c>
      <c r="J600" s="23">
        <f>SUM(J574:J599)</f>
        <v>10</v>
      </c>
      <c r="K600" s="4">
        <f>SUM(K574:K599)</f>
        <v>20</v>
      </c>
      <c r="L600" s="4">
        <f>SUM(L574:L599)</f>
        <v>0</v>
      </c>
      <c r="M600" s="6">
        <f>SUM(M574:M599)</f>
        <v>20</v>
      </c>
      <c r="N600" s="32">
        <f>SUM(N574:N599)</f>
        <v>20</v>
      </c>
      <c r="O600" s="5">
        <f>SUM(J600:N600)</f>
        <v>70</v>
      </c>
    </row>
    <row r="601" spans="1:16" ht="14.25" thickBot="1" x14ac:dyDescent="0.2">
      <c r="A601" s="25" t="s">
        <v>12</v>
      </c>
      <c r="B601" s="63">
        <f>B573-B600</f>
        <v>11</v>
      </c>
      <c r="C601" s="26">
        <f t="shared" ref="C601:G601" si="172">C573-C600</f>
        <v>15</v>
      </c>
      <c r="D601" s="71">
        <f t="shared" si="172"/>
        <v>13</v>
      </c>
      <c r="E601" s="26">
        <f t="shared" si="172"/>
        <v>15</v>
      </c>
      <c r="F601" s="70">
        <f t="shared" si="172"/>
        <v>11</v>
      </c>
      <c r="G601" s="27">
        <f t="shared" si="172"/>
        <v>65</v>
      </c>
      <c r="H601" s="56"/>
      <c r="I601" s="25" t="s">
        <v>12</v>
      </c>
      <c r="J601" s="63">
        <f>J573-J600</f>
        <v>150</v>
      </c>
      <c r="K601" s="26">
        <f t="shared" ref="K601:O601" si="173">K573-K600</f>
        <v>30</v>
      </c>
      <c r="L601" s="71">
        <f t="shared" si="173"/>
        <v>69</v>
      </c>
      <c r="M601" s="26">
        <f t="shared" si="173"/>
        <v>112</v>
      </c>
      <c r="N601" s="70">
        <f t="shared" si="173"/>
        <v>124</v>
      </c>
      <c r="O601" s="27">
        <f t="shared" si="173"/>
        <v>485</v>
      </c>
    </row>
    <row r="602" spans="1:16" ht="17.25" x14ac:dyDescent="0.2">
      <c r="A602" s="79" t="s">
        <v>56</v>
      </c>
      <c r="B602" s="80"/>
      <c r="C602" s="80"/>
      <c r="D602" s="80"/>
      <c r="E602" s="80"/>
      <c r="F602" s="80"/>
      <c r="G602" s="80"/>
      <c r="H602" s="56"/>
      <c r="I602" s="79" t="s">
        <v>56</v>
      </c>
      <c r="J602" s="80"/>
      <c r="K602" s="80"/>
      <c r="L602" s="80"/>
      <c r="M602" s="80"/>
      <c r="N602" s="80"/>
      <c r="O602" s="1"/>
    </row>
    <row r="603" spans="1:16" ht="21.75" thickBot="1" x14ac:dyDescent="0.25">
      <c r="A603" s="82" t="s">
        <v>55</v>
      </c>
      <c r="B603" s="80"/>
      <c r="C603" s="80"/>
      <c r="D603" s="80"/>
      <c r="E603" s="81" t="s">
        <v>53</v>
      </c>
      <c r="F603" s="80"/>
      <c r="G603" s="80"/>
      <c r="H603" s="56"/>
      <c r="I603" s="82" t="s">
        <v>55</v>
      </c>
      <c r="J603" s="80"/>
      <c r="K603" s="80"/>
      <c r="L603" s="80"/>
      <c r="M603" s="81" t="s">
        <v>54</v>
      </c>
      <c r="N603" s="80"/>
      <c r="O603" s="1"/>
    </row>
    <row r="604" spans="1:16" ht="14.25" thickBot="1" x14ac:dyDescent="0.2">
      <c r="A604" s="13" t="s">
        <v>0</v>
      </c>
      <c r="B604" s="228" t="s">
        <v>57</v>
      </c>
      <c r="C604" s="229"/>
      <c r="D604" s="229"/>
      <c r="E604" s="229"/>
      <c r="F604" s="230"/>
      <c r="G604" s="231"/>
      <c r="H604" s="56"/>
      <c r="I604" s="13" t="s">
        <v>0</v>
      </c>
      <c r="J604" s="232" t="s">
        <v>57</v>
      </c>
      <c r="K604" s="233"/>
      <c r="L604" s="233"/>
      <c r="M604" s="233"/>
      <c r="N604" s="233"/>
      <c r="O604" s="234"/>
    </row>
    <row r="605" spans="1:16" ht="14.25" thickBot="1" x14ac:dyDescent="0.2">
      <c r="A605" s="3" t="s">
        <v>1</v>
      </c>
      <c r="B605" s="2" t="s">
        <v>42</v>
      </c>
      <c r="C605" s="21" t="s">
        <v>43</v>
      </c>
      <c r="D605" s="21" t="s">
        <v>44</v>
      </c>
      <c r="E605" s="24" t="s">
        <v>45</v>
      </c>
      <c r="F605" s="33" t="s">
        <v>46</v>
      </c>
      <c r="G605" s="3" t="s">
        <v>2</v>
      </c>
      <c r="H605" s="56"/>
      <c r="I605" s="3" t="s">
        <v>1</v>
      </c>
      <c r="J605" s="2" t="s">
        <v>42</v>
      </c>
      <c r="K605" s="21" t="s">
        <v>43</v>
      </c>
      <c r="L605" s="21" t="s">
        <v>44</v>
      </c>
      <c r="M605" s="24" t="s">
        <v>45</v>
      </c>
      <c r="N605" s="33" t="s">
        <v>46</v>
      </c>
      <c r="O605" s="3" t="s">
        <v>2</v>
      </c>
    </row>
    <row r="606" spans="1:16" ht="14.25" thickBot="1" x14ac:dyDescent="0.2">
      <c r="A606" s="72" t="s">
        <v>79</v>
      </c>
      <c r="B606" s="73">
        <f>B601</f>
        <v>11</v>
      </c>
      <c r="C606" s="74">
        <f t="shared" ref="C606:F606" si="174">C601</f>
        <v>15</v>
      </c>
      <c r="D606" s="107">
        <f t="shared" si="174"/>
        <v>13</v>
      </c>
      <c r="E606" s="75">
        <f t="shared" si="174"/>
        <v>15</v>
      </c>
      <c r="F606" s="75">
        <f t="shared" si="174"/>
        <v>11</v>
      </c>
      <c r="G606" s="76">
        <f t="shared" ref="G606:G615" si="175">SUM(B606:F606)</f>
        <v>65</v>
      </c>
      <c r="H606" s="56"/>
      <c r="I606" s="72" t="s">
        <v>79</v>
      </c>
      <c r="J606" s="73">
        <f>J601</f>
        <v>150</v>
      </c>
      <c r="K606" s="74">
        <f t="shared" ref="K606:N606" si="176">K601</f>
        <v>30</v>
      </c>
      <c r="L606" s="107">
        <f t="shared" si="176"/>
        <v>69</v>
      </c>
      <c r="M606" s="75">
        <f t="shared" si="176"/>
        <v>112</v>
      </c>
      <c r="N606" s="75">
        <f t="shared" si="176"/>
        <v>124</v>
      </c>
      <c r="O606" s="76">
        <f t="shared" ref="O606:O615" si="177">SUM(J606:N606)</f>
        <v>485</v>
      </c>
    </row>
    <row r="607" spans="1:16" x14ac:dyDescent="0.15">
      <c r="A607" s="38" t="s">
        <v>15</v>
      </c>
      <c r="B607" s="37"/>
      <c r="C607" s="35"/>
      <c r="D607" s="35"/>
      <c r="E607" s="35">
        <v>10</v>
      </c>
      <c r="F607" s="28">
        <v>15</v>
      </c>
      <c r="G607" s="7">
        <f t="shared" si="175"/>
        <v>25</v>
      </c>
      <c r="H607" s="58">
        <v>42886</v>
      </c>
      <c r="I607" s="38" t="s">
        <v>15</v>
      </c>
      <c r="J607" s="37"/>
      <c r="K607" s="35"/>
      <c r="L607" s="35"/>
      <c r="M607" s="35"/>
      <c r="N607" s="28"/>
      <c r="O607" s="7">
        <f t="shared" si="177"/>
        <v>0</v>
      </c>
    </row>
    <row r="608" spans="1:16" x14ac:dyDescent="0.15">
      <c r="A608" s="38" t="s">
        <v>16</v>
      </c>
      <c r="B608" s="8"/>
      <c r="C608" s="10"/>
      <c r="D608" s="10">
        <v>10</v>
      </c>
      <c r="E608" s="10"/>
      <c r="F608" s="28"/>
      <c r="G608" s="9">
        <f t="shared" si="175"/>
        <v>10</v>
      </c>
      <c r="H608" s="58">
        <v>42895</v>
      </c>
      <c r="I608" s="15" t="s">
        <v>3</v>
      </c>
      <c r="J608" s="8"/>
      <c r="K608" s="10"/>
      <c r="L608" s="10"/>
      <c r="M608" s="10"/>
      <c r="N608" s="28"/>
      <c r="O608" s="9">
        <f t="shared" si="177"/>
        <v>0</v>
      </c>
    </row>
    <row r="609" spans="1:17" x14ac:dyDescent="0.15">
      <c r="A609" s="38" t="s">
        <v>18</v>
      </c>
      <c r="B609" s="8">
        <v>10</v>
      </c>
      <c r="C609" s="10">
        <v>15</v>
      </c>
      <c r="D609" s="10">
        <v>10</v>
      </c>
      <c r="E609" s="10">
        <v>10</v>
      </c>
      <c r="F609" s="28">
        <v>15</v>
      </c>
      <c r="G609" s="9">
        <f t="shared" si="175"/>
        <v>60</v>
      </c>
      <c r="H609" s="58">
        <v>42900</v>
      </c>
      <c r="I609" s="15" t="s">
        <v>18</v>
      </c>
      <c r="J609" s="8"/>
      <c r="K609" s="10"/>
      <c r="L609" s="10"/>
      <c r="M609" s="10"/>
      <c r="N609" s="28"/>
      <c r="O609" s="9">
        <f t="shared" si="177"/>
        <v>0</v>
      </c>
    </row>
    <row r="610" spans="1:17" x14ac:dyDescent="0.15">
      <c r="A610" s="38" t="s">
        <v>20</v>
      </c>
      <c r="B610" s="8"/>
      <c r="C610" s="10">
        <v>2</v>
      </c>
      <c r="D610" s="10"/>
      <c r="E610" s="10"/>
      <c r="F610" s="28"/>
      <c r="G610" s="9">
        <f t="shared" si="175"/>
        <v>2</v>
      </c>
      <c r="H610" s="58">
        <v>42900</v>
      </c>
      <c r="I610" s="15" t="s">
        <v>20</v>
      </c>
      <c r="J610" s="8"/>
      <c r="K610" s="10"/>
      <c r="L610" s="10"/>
      <c r="M610" s="10"/>
      <c r="N610" s="28"/>
      <c r="O610" s="9">
        <f t="shared" si="177"/>
        <v>0</v>
      </c>
    </row>
    <row r="611" spans="1:17" x14ac:dyDescent="0.15">
      <c r="A611" s="38" t="s">
        <v>19</v>
      </c>
      <c r="B611" s="8">
        <v>1</v>
      </c>
      <c r="C611" s="10">
        <v>1</v>
      </c>
      <c r="D611" s="10"/>
      <c r="E611" s="10">
        <v>1</v>
      </c>
      <c r="F611" s="28">
        <v>1</v>
      </c>
      <c r="G611" s="9">
        <f t="shared" si="175"/>
        <v>4</v>
      </c>
      <c r="H611" s="58">
        <v>42908</v>
      </c>
      <c r="I611" s="15" t="s">
        <v>80</v>
      </c>
      <c r="J611" s="8"/>
      <c r="K611" s="10"/>
      <c r="L611" s="10"/>
      <c r="M611" s="10"/>
      <c r="N611" s="28"/>
      <c r="O611" s="9">
        <f t="shared" si="177"/>
        <v>0</v>
      </c>
    </row>
    <row r="612" spans="1:17" x14ac:dyDescent="0.15">
      <c r="A612" s="38" t="s">
        <v>81</v>
      </c>
      <c r="B612" s="8">
        <v>10</v>
      </c>
      <c r="C612" s="10"/>
      <c r="D612" s="10">
        <v>10</v>
      </c>
      <c r="E612" s="10"/>
      <c r="F612" s="28"/>
      <c r="G612" s="9">
        <f t="shared" si="175"/>
        <v>20</v>
      </c>
      <c r="H612" s="58">
        <v>42914</v>
      </c>
      <c r="I612" s="15" t="s">
        <v>81</v>
      </c>
      <c r="J612" s="8"/>
      <c r="K612" s="10"/>
      <c r="L612" s="10"/>
      <c r="M612" s="10"/>
      <c r="N612" s="28"/>
      <c r="O612" s="9">
        <f t="shared" si="177"/>
        <v>0</v>
      </c>
    </row>
    <row r="613" spans="1:17" x14ac:dyDescent="0.15">
      <c r="A613" s="38" t="s">
        <v>82</v>
      </c>
      <c r="B613" s="8"/>
      <c r="C613" s="10"/>
      <c r="D613" s="10"/>
      <c r="E613" s="10"/>
      <c r="F613" s="30">
        <v>15</v>
      </c>
      <c r="G613" s="7">
        <f t="shared" si="175"/>
        <v>15</v>
      </c>
      <c r="H613" s="58">
        <v>42923</v>
      </c>
      <c r="I613" s="15" t="s">
        <v>82</v>
      </c>
      <c r="J613" s="8">
        <v>100</v>
      </c>
      <c r="K613" s="10">
        <v>278</v>
      </c>
      <c r="L613" s="10">
        <v>200</v>
      </c>
      <c r="M613" s="10">
        <v>120</v>
      </c>
      <c r="N613" s="28">
        <v>100</v>
      </c>
      <c r="O613" s="9">
        <f t="shared" si="177"/>
        <v>798</v>
      </c>
      <c r="P613" s="58">
        <v>42892</v>
      </c>
      <c r="Q613" s="56"/>
    </row>
    <row r="614" spans="1:17" x14ac:dyDescent="0.15">
      <c r="A614" s="38" t="s">
        <v>83</v>
      </c>
      <c r="B614" s="11"/>
      <c r="C614" s="100">
        <v>10</v>
      </c>
      <c r="D614" s="100"/>
      <c r="E614" s="100">
        <v>5</v>
      </c>
      <c r="F614" s="101"/>
      <c r="G614" s="102">
        <f t="shared" si="175"/>
        <v>15</v>
      </c>
      <c r="H614" s="58">
        <v>42926</v>
      </c>
      <c r="I614" s="15" t="s">
        <v>83</v>
      </c>
      <c r="J614" s="8"/>
      <c r="K614" s="10"/>
      <c r="L614" s="10"/>
      <c r="M614" s="10"/>
      <c r="N614" s="30"/>
      <c r="O614" s="7">
        <f t="shared" si="177"/>
        <v>0</v>
      </c>
    </row>
    <row r="615" spans="1:17" ht="14.25" thickBot="1" x14ac:dyDescent="0.2">
      <c r="A615" s="38" t="s">
        <v>159</v>
      </c>
      <c r="B615" s="11"/>
      <c r="C615" s="100">
        <v>1</v>
      </c>
      <c r="D615" s="100"/>
      <c r="E615" s="100"/>
      <c r="F615" s="101"/>
      <c r="G615" s="102">
        <f t="shared" si="175"/>
        <v>1</v>
      </c>
      <c r="H615" s="58">
        <v>42927</v>
      </c>
      <c r="I615" s="15" t="s">
        <v>87</v>
      </c>
      <c r="J615" s="11"/>
      <c r="K615" s="100"/>
      <c r="L615" s="100"/>
      <c r="M615" s="100"/>
      <c r="N615" s="101"/>
      <c r="O615" s="102">
        <f t="shared" si="177"/>
        <v>0</v>
      </c>
    </row>
    <row r="616" spans="1:17" ht="14.25" thickBot="1" x14ac:dyDescent="0.2">
      <c r="A616" s="72" t="s">
        <v>7</v>
      </c>
      <c r="B616" s="73">
        <f>SUM(B606:B615)</f>
        <v>32</v>
      </c>
      <c r="C616" s="74">
        <f t="shared" ref="C616:G616" si="178">SUM(C606:C615)</f>
        <v>44</v>
      </c>
      <c r="D616" s="74">
        <f t="shared" si="178"/>
        <v>43</v>
      </c>
      <c r="E616" s="74">
        <f t="shared" si="178"/>
        <v>41</v>
      </c>
      <c r="F616" s="105">
        <f t="shared" si="178"/>
        <v>57</v>
      </c>
      <c r="G616" s="76">
        <f t="shared" si="178"/>
        <v>217</v>
      </c>
      <c r="H616" s="56"/>
      <c r="I616" s="72" t="s">
        <v>7</v>
      </c>
      <c r="J616" s="73">
        <f>SUM(J606:J615)</f>
        <v>250</v>
      </c>
      <c r="K616" s="74">
        <f t="shared" ref="K616:O616" si="179">SUM(K606:K615)</f>
        <v>308</v>
      </c>
      <c r="L616" s="74">
        <f t="shared" si="179"/>
        <v>269</v>
      </c>
      <c r="M616" s="74">
        <f t="shared" si="179"/>
        <v>232</v>
      </c>
      <c r="N616" s="105">
        <f t="shared" si="179"/>
        <v>224</v>
      </c>
      <c r="O616" s="76">
        <f t="shared" si="179"/>
        <v>1283</v>
      </c>
    </row>
    <row r="617" spans="1:17" x14ac:dyDescent="0.15">
      <c r="A617" s="16" t="s">
        <v>443</v>
      </c>
      <c r="B617" s="8"/>
      <c r="C617" s="10"/>
      <c r="D617" s="10"/>
      <c r="E617" s="10">
        <v>10</v>
      </c>
      <c r="F617" s="30">
        <v>10</v>
      </c>
      <c r="G617" s="7">
        <f t="shared" ref="G617:G642" si="180">SUM(B617:F617)</f>
        <v>20</v>
      </c>
      <c r="H617" s="58">
        <v>42891</v>
      </c>
      <c r="I617" s="16" t="s">
        <v>455</v>
      </c>
      <c r="J617" s="17"/>
      <c r="K617" s="22"/>
      <c r="L617" s="22"/>
      <c r="M617" s="22">
        <v>10</v>
      </c>
      <c r="N617" s="29">
        <v>15</v>
      </c>
      <c r="O617" s="18">
        <f t="shared" ref="O617:O642" si="181">SUM(J617:N617)</f>
        <v>25</v>
      </c>
      <c r="P617" s="58">
        <v>42886</v>
      </c>
    </row>
    <row r="618" spans="1:17" x14ac:dyDescent="0.15">
      <c r="A618" s="16" t="s">
        <v>22</v>
      </c>
      <c r="B618" s="8"/>
      <c r="C618" s="10"/>
      <c r="D618" s="10">
        <v>10</v>
      </c>
      <c r="E618" s="10"/>
      <c r="F618" s="30"/>
      <c r="G618" s="7">
        <f t="shared" si="180"/>
        <v>10</v>
      </c>
      <c r="H618" s="58">
        <v>42898</v>
      </c>
      <c r="I618" s="16" t="s">
        <v>24</v>
      </c>
      <c r="J618" s="8"/>
      <c r="K618" s="10"/>
      <c r="L618" s="10">
        <v>10</v>
      </c>
      <c r="M618" s="10"/>
      <c r="N618" s="28"/>
      <c r="O618" s="9">
        <f t="shared" si="181"/>
        <v>10</v>
      </c>
      <c r="P618" s="58">
        <v>42895</v>
      </c>
    </row>
    <row r="619" spans="1:17" x14ac:dyDescent="0.15">
      <c r="A619" s="16" t="s">
        <v>22</v>
      </c>
      <c r="B619" s="8"/>
      <c r="C619" s="10"/>
      <c r="D619" s="10"/>
      <c r="E619" s="10"/>
      <c r="F619" s="30">
        <v>10</v>
      </c>
      <c r="G619" s="7">
        <f t="shared" si="180"/>
        <v>10</v>
      </c>
      <c r="H619" s="58">
        <v>42900</v>
      </c>
      <c r="I619" s="16" t="s">
        <v>24</v>
      </c>
      <c r="J619" s="8">
        <v>10</v>
      </c>
      <c r="K619" s="10">
        <v>15</v>
      </c>
      <c r="L619" s="10">
        <v>10</v>
      </c>
      <c r="M619" s="10">
        <v>10</v>
      </c>
      <c r="N619" s="30">
        <v>15</v>
      </c>
      <c r="O619" s="7">
        <f t="shared" si="181"/>
        <v>60</v>
      </c>
      <c r="P619" s="58">
        <v>42900</v>
      </c>
    </row>
    <row r="620" spans="1:17" x14ac:dyDescent="0.15">
      <c r="A620" s="14" t="s">
        <v>462</v>
      </c>
      <c r="B620" s="8"/>
      <c r="C620" s="10"/>
      <c r="D620" s="10"/>
      <c r="E620" s="10"/>
      <c r="F620" s="30">
        <v>1</v>
      </c>
      <c r="G620" s="7">
        <f t="shared" si="180"/>
        <v>1</v>
      </c>
      <c r="H620" s="58">
        <v>42898</v>
      </c>
      <c r="I620" s="16" t="s">
        <v>24</v>
      </c>
      <c r="J620" s="8">
        <v>10</v>
      </c>
      <c r="K620" s="10"/>
      <c r="L620" s="10">
        <v>10</v>
      </c>
      <c r="M620" s="10"/>
      <c r="N620" s="30"/>
      <c r="O620" s="7">
        <f t="shared" si="181"/>
        <v>20</v>
      </c>
      <c r="P620" s="58">
        <v>42914</v>
      </c>
    </row>
    <row r="621" spans="1:17" x14ac:dyDescent="0.15">
      <c r="A621" s="16" t="s">
        <v>22</v>
      </c>
      <c r="B621" s="8"/>
      <c r="C621" s="10">
        <v>10</v>
      </c>
      <c r="D621" s="10"/>
      <c r="E621" s="10"/>
      <c r="F621" s="30"/>
      <c r="G621" s="7">
        <f t="shared" si="180"/>
        <v>10</v>
      </c>
      <c r="H621" s="58">
        <v>42905</v>
      </c>
      <c r="I621" s="16" t="s">
        <v>24</v>
      </c>
      <c r="J621" s="8"/>
      <c r="K621" s="10"/>
      <c r="L621" s="10"/>
      <c r="M621" s="10"/>
      <c r="N621" s="30">
        <v>15</v>
      </c>
      <c r="O621" s="7">
        <f t="shared" si="181"/>
        <v>15</v>
      </c>
      <c r="P621" s="58">
        <v>42923</v>
      </c>
    </row>
    <row r="622" spans="1:17" x14ac:dyDescent="0.15">
      <c r="A622" s="14" t="s">
        <v>110</v>
      </c>
      <c r="B622" s="8"/>
      <c r="C622" s="10"/>
      <c r="D622" s="10">
        <v>3</v>
      </c>
      <c r="E622" s="10"/>
      <c r="F622" s="30"/>
      <c r="G622" s="7">
        <f t="shared" si="180"/>
        <v>3</v>
      </c>
      <c r="H622" s="58">
        <v>42905</v>
      </c>
      <c r="I622" s="16" t="s">
        <v>24</v>
      </c>
      <c r="J622" s="8"/>
      <c r="K622" s="10">
        <v>10</v>
      </c>
      <c r="L622" s="10"/>
      <c r="M622" s="10">
        <v>5</v>
      </c>
      <c r="N622" s="30"/>
      <c r="O622" s="7">
        <f t="shared" si="181"/>
        <v>15</v>
      </c>
      <c r="P622" s="58">
        <v>42926</v>
      </c>
    </row>
    <row r="623" spans="1:17" x14ac:dyDescent="0.15">
      <c r="A623" s="16" t="s">
        <v>22</v>
      </c>
      <c r="B623" s="8">
        <v>10</v>
      </c>
      <c r="C623" s="10">
        <v>10</v>
      </c>
      <c r="D623" s="10">
        <v>10</v>
      </c>
      <c r="E623" s="10">
        <v>10</v>
      </c>
      <c r="F623" s="30">
        <v>10</v>
      </c>
      <c r="G623" s="7">
        <f t="shared" si="180"/>
        <v>50</v>
      </c>
      <c r="H623" s="58">
        <v>42905</v>
      </c>
      <c r="I623" s="16" t="s">
        <v>24</v>
      </c>
      <c r="J623" s="8">
        <v>5</v>
      </c>
      <c r="K623" s="10"/>
      <c r="L623" s="10">
        <v>10</v>
      </c>
      <c r="M623" s="10"/>
      <c r="N623" s="30"/>
      <c r="O623" s="7">
        <f t="shared" si="181"/>
        <v>15</v>
      </c>
      <c r="P623" s="58">
        <v>42927</v>
      </c>
    </row>
    <row r="624" spans="1:17" x14ac:dyDescent="0.15">
      <c r="A624" s="134" t="s">
        <v>466</v>
      </c>
      <c r="B624" s="8"/>
      <c r="C624" s="10">
        <v>-2</v>
      </c>
      <c r="D624" s="10"/>
      <c r="E624" s="10"/>
      <c r="F624" s="30"/>
      <c r="G624" s="7">
        <f t="shared" si="180"/>
        <v>-2</v>
      </c>
      <c r="H624" s="58">
        <v>42901</v>
      </c>
      <c r="I624" s="16"/>
      <c r="J624" s="8"/>
      <c r="K624" s="10"/>
      <c r="L624" s="10"/>
      <c r="M624" s="10"/>
      <c r="N624" s="30"/>
      <c r="O624" s="7">
        <f t="shared" si="181"/>
        <v>0</v>
      </c>
    </row>
    <row r="625" spans="1:17" x14ac:dyDescent="0.15">
      <c r="A625" s="134" t="s">
        <v>468</v>
      </c>
      <c r="B625" s="8"/>
      <c r="C625" s="10">
        <v>-1</v>
      </c>
      <c r="D625" s="10"/>
      <c r="E625" s="10"/>
      <c r="F625" s="30"/>
      <c r="G625" s="7">
        <f t="shared" si="180"/>
        <v>-1</v>
      </c>
      <c r="H625" s="58">
        <v>42902</v>
      </c>
      <c r="I625" s="39"/>
      <c r="J625" s="8"/>
      <c r="K625" s="10"/>
      <c r="L625" s="10"/>
      <c r="M625" s="10"/>
      <c r="N625" s="30"/>
      <c r="O625" s="7">
        <f t="shared" si="181"/>
        <v>0</v>
      </c>
    </row>
    <row r="626" spans="1:17" x14ac:dyDescent="0.15">
      <c r="A626" s="14" t="s">
        <v>110</v>
      </c>
      <c r="B626" s="11"/>
      <c r="C626" s="12"/>
      <c r="D626" s="12">
        <v>3</v>
      </c>
      <c r="E626" s="12">
        <v>3</v>
      </c>
      <c r="F626" s="31"/>
      <c r="G626" s="7">
        <f t="shared" si="180"/>
        <v>6</v>
      </c>
      <c r="H626" s="58">
        <v>42912</v>
      </c>
      <c r="I626" s="16"/>
      <c r="J626" s="11"/>
      <c r="K626" s="12"/>
      <c r="L626" s="12"/>
      <c r="M626" s="12"/>
      <c r="N626" s="31"/>
      <c r="O626" s="7">
        <f t="shared" si="181"/>
        <v>0</v>
      </c>
    </row>
    <row r="627" spans="1:17" x14ac:dyDescent="0.15">
      <c r="A627" s="16" t="s">
        <v>469</v>
      </c>
      <c r="B627" s="11"/>
      <c r="C627" s="12"/>
      <c r="D627" s="12">
        <v>1</v>
      </c>
      <c r="E627" s="12"/>
      <c r="F627" s="31"/>
      <c r="G627" s="7">
        <f t="shared" si="180"/>
        <v>1</v>
      </c>
      <c r="H627" s="58">
        <v>42909</v>
      </c>
      <c r="I627" s="16"/>
      <c r="J627" s="8"/>
      <c r="K627" s="10"/>
      <c r="L627" s="10"/>
      <c r="M627" s="10"/>
      <c r="N627" s="30"/>
      <c r="O627" s="7">
        <f t="shared" si="181"/>
        <v>0</v>
      </c>
    </row>
    <row r="628" spans="1:17" x14ac:dyDescent="0.15">
      <c r="A628" s="16" t="s">
        <v>29</v>
      </c>
      <c r="B628" s="8"/>
      <c r="C628" s="10"/>
      <c r="D628" s="10"/>
      <c r="E628" s="10"/>
      <c r="F628" s="30">
        <v>1</v>
      </c>
      <c r="G628" s="7">
        <f t="shared" si="180"/>
        <v>1</v>
      </c>
      <c r="H628" s="58">
        <v>42912</v>
      </c>
      <c r="I628" s="39"/>
      <c r="J628" s="8"/>
      <c r="K628" s="10"/>
      <c r="L628" s="10"/>
      <c r="M628" s="10"/>
      <c r="N628" s="30"/>
      <c r="O628" s="7">
        <f t="shared" si="181"/>
        <v>0</v>
      </c>
    </row>
    <row r="629" spans="1:17" x14ac:dyDescent="0.15">
      <c r="A629" s="16" t="s">
        <v>22</v>
      </c>
      <c r="B629" s="8">
        <v>10</v>
      </c>
      <c r="C629" s="10"/>
      <c r="D629" s="10"/>
      <c r="E629" s="10"/>
      <c r="F629" s="30"/>
      <c r="G629" s="7">
        <f t="shared" si="180"/>
        <v>10</v>
      </c>
      <c r="H629" s="58">
        <v>42919</v>
      </c>
      <c r="I629" s="16"/>
      <c r="J629" s="8"/>
      <c r="K629" s="10"/>
      <c r="L629" s="10"/>
      <c r="M629" s="10"/>
      <c r="N629" s="30"/>
      <c r="O629" s="7">
        <f t="shared" si="181"/>
        <v>0</v>
      </c>
    </row>
    <row r="630" spans="1:17" x14ac:dyDescent="0.15">
      <c r="A630" s="39" t="s">
        <v>471</v>
      </c>
      <c r="B630" s="8">
        <v>-1</v>
      </c>
      <c r="C630" s="10"/>
      <c r="D630" s="10"/>
      <c r="E630" s="10"/>
      <c r="F630" s="30"/>
      <c r="G630" s="7">
        <f t="shared" si="180"/>
        <v>-1</v>
      </c>
      <c r="H630" s="58">
        <v>42919</v>
      </c>
      <c r="I630" s="16"/>
      <c r="J630" s="8"/>
      <c r="K630" s="10"/>
      <c r="L630" s="10"/>
      <c r="M630" s="10"/>
      <c r="N630" s="30"/>
      <c r="O630" s="7">
        <f t="shared" si="181"/>
        <v>0</v>
      </c>
    </row>
    <row r="631" spans="1:17" x14ac:dyDescent="0.15">
      <c r="A631" s="14" t="s">
        <v>472</v>
      </c>
      <c r="B631" s="8">
        <v>1</v>
      </c>
      <c r="C631" s="10"/>
      <c r="D631" s="10"/>
      <c r="E631" s="10"/>
      <c r="F631" s="30"/>
      <c r="G631" s="7">
        <f t="shared" si="180"/>
        <v>1</v>
      </c>
      <c r="H631" s="58">
        <v>42919</v>
      </c>
      <c r="I631" s="16"/>
      <c r="J631" s="8"/>
      <c r="K631" s="10"/>
      <c r="L631" s="10"/>
      <c r="M631" s="10"/>
      <c r="N631" s="30"/>
      <c r="O631" s="7">
        <f t="shared" si="181"/>
        <v>0</v>
      </c>
    </row>
    <row r="632" spans="1:17" x14ac:dyDescent="0.15">
      <c r="A632" s="39" t="s">
        <v>473</v>
      </c>
      <c r="B632" s="8">
        <v>-1</v>
      </c>
      <c r="C632" s="10"/>
      <c r="D632" s="10"/>
      <c r="E632" s="10"/>
      <c r="F632" s="30"/>
      <c r="G632" s="7">
        <f t="shared" si="180"/>
        <v>-1</v>
      </c>
      <c r="H632" s="58">
        <v>42920</v>
      </c>
      <c r="I632" s="16"/>
      <c r="J632" s="8"/>
      <c r="K632" s="10"/>
      <c r="L632" s="10"/>
      <c r="M632" s="10"/>
      <c r="N632" s="30"/>
      <c r="O632" s="7">
        <f t="shared" si="181"/>
        <v>0</v>
      </c>
    </row>
    <row r="633" spans="1:17" x14ac:dyDescent="0.15">
      <c r="A633" s="39" t="s">
        <v>476</v>
      </c>
      <c r="B633" s="8">
        <v>-1</v>
      </c>
      <c r="C633" s="10"/>
      <c r="D633" s="10"/>
      <c r="E633" s="10"/>
      <c r="F633" s="30"/>
      <c r="G633" s="7">
        <f t="shared" si="180"/>
        <v>-1</v>
      </c>
      <c r="H633" s="58">
        <v>42920</v>
      </c>
      <c r="I633" s="51"/>
      <c r="J633" s="8"/>
      <c r="K633" s="10"/>
      <c r="L633" s="10"/>
      <c r="M633" s="10"/>
      <c r="N633" s="30"/>
      <c r="O633" s="7">
        <f t="shared" si="181"/>
        <v>0</v>
      </c>
      <c r="P633" s="56"/>
      <c r="Q633" s="56"/>
    </row>
    <row r="634" spans="1:17" x14ac:dyDescent="0.15">
      <c r="A634" s="16" t="s">
        <v>22</v>
      </c>
      <c r="B634" s="8"/>
      <c r="C634" s="10"/>
      <c r="D634" s="10"/>
      <c r="E634" s="10"/>
      <c r="F634" s="30">
        <v>10</v>
      </c>
      <c r="G634" s="7">
        <f t="shared" si="180"/>
        <v>10</v>
      </c>
      <c r="H634" s="58">
        <v>42928</v>
      </c>
      <c r="I634" s="51"/>
      <c r="J634" s="8"/>
      <c r="K634" s="10"/>
      <c r="L634" s="10"/>
      <c r="M634" s="10"/>
      <c r="N634" s="30"/>
      <c r="O634" s="7">
        <f t="shared" si="181"/>
        <v>0</v>
      </c>
      <c r="P634" s="56"/>
      <c r="Q634" s="56"/>
    </row>
    <row r="635" spans="1:17" x14ac:dyDescent="0.15">
      <c r="A635" s="51" t="s">
        <v>477</v>
      </c>
      <c r="B635" s="8">
        <v>1</v>
      </c>
      <c r="C635" s="10">
        <v>1</v>
      </c>
      <c r="D635" s="10">
        <v>2</v>
      </c>
      <c r="E635" s="10">
        <v>2</v>
      </c>
      <c r="F635" s="30"/>
      <c r="G635" s="7">
        <f t="shared" si="180"/>
        <v>6</v>
      </c>
      <c r="H635" s="58">
        <v>42924</v>
      </c>
      <c r="I635" s="14"/>
      <c r="J635" s="8"/>
      <c r="K635" s="10"/>
      <c r="L635" s="10"/>
      <c r="M635" s="10"/>
      <c r="N635" s="30"/>
      <c r="O635" s="7">
        <f t="shared" si="181"/>
        <v>0</v>
      </c>
      <c r="P635" s="56"/>
    </row>
    <row r="636" spans="1:17" x14ac:dyDescent="0.15">
      <c r="A636" s="14" t="s">
        <v>110</v>
      </c>
      <c r="B636" s="8"/>
      <c r="C636" s="10">
        <v>2</v>
      </c>
      <c r="D636" s="10"/>
      <c r="E636" s="10"/>
      <c r="F636" s="30"/>
      <c r="G636" s="7">
        <f t="shared" si="180"/>
        <v>2</v>
      </c>
      <c r="H636" s="58">
        <v>42929</v>
      </c>
      <c r="I636" s="16"/>
      <c r="J636" s="11"/>
      <c r="K636" s="12"/>
      <c r="L636" s="12"/>
      <c r="M636" s="12"/>
      <c r="N636" s="31"/>
      <c r="O636" s="7">
        <f t="shared" si="181"/>
        <v>0</v>
      </c>
      <c r="P636" s="58"/>
    </row>
    <row r="637" spans="1:17" x14ac:dyDescent="0.15">
      <c r="A637" s="16" t="s">
        <v>29</v>
      </c>
      <c r="B637" s="8"/>
      <c r="C637" s="10"/>
      <c r="D637" s="10">
        <v>1</v>
      </c>
      <c r="E637" s="10"/>
      <c r="F637" s="30"/>
      <c r="G637" s="7">
        <f t="shared" si="180"/>
        <v>1</v>
      </c>
      <c r="H637" s="57">
        <v>42922</v>
      </c>
      <c r="I637" s="16"/>
      <c r="J637" s="8"/>
      <c r="K637" s="10"/>
      <c r="L637" s="10"/>
      <c r="M637" s="10"/>
      <c r="N637" s="30"/>
      <c r="O637" s="7">
        <f t="shared" si="181"/>
        <v>0</v>
      </c>
      <c r="P637" s="56"/>
      <c r="Q637" t="s">
        <v>465</v>
      </c>
    </row>
    <row r="638" spans="1:17" x14ac:dyDescent="0.15">
      <c r="A638" s="14" t="s">
        <v>110</v>
      </c>
      <c r="B638" s="11"/>
      <c r="C638" s="12">
        <v>5</v>
      </c>
      <c r="D638" s="12"/>
      <c r="E638" s="12"/>
      <c r="F638" s="31"/>
      <c r="G638" s="7">
        <f t="shared" si="180"/>
        <v>5</v>
      </c>
      <c r="H638" s="58">
        <v>42929</v>
      </c>
      <c r="I638" s="16"/>
      <c r="J638" s="8"/>
      <c r="K638" s="10"/>
      <c r="L638" s="10"/>
      <c r="M638" s="10"/>
      <c r="N638" s="30"/>
      <c r="O638" s="7">
        <f t="shared" si="181"/>
        <v>0</v>
      </c>
      <c r="P638" s="36"/>
      <c r="Q638" s="56"/>
    </row>
    <row r="639" spans="1:17" x14ac:dyDescent="0.15">
      <c r="A639" s="39" t="s">
        <v>480</v>
      </c>
      <c r="B639" s="8">
        <v>1</v>
      </c>
      <c r="C639" s="10">
        <v>2</v>
      </c>
      <c r="D639" s="10">
        <v>6</v>
      </c>
      <c r="E639" s="10">
        <v>1</v>
      </c>
      <c r="F639" s="30">
        <v>1</v>
      </c>
      <c r="G639" s="7">
        <f t="shared" si="180"/>
        <v>11</v>
      </c>
      <c r="H639" s="58">
        <v>42927</v>
      </c>
      <c r="I639" s="16"/>
      <c r="J639" s="11"/>
      <c r="K639" s="12"/>
      <c r="L639" s="12"/>
      <c r="M639" s="12"/>
      <c r="N639" s="31"/>
      <c r="O639" s="7">
        <f t="shared" ref="O639:O640" si="182">SUM(J639:N639)</f>
        <v>0</v>
      </c>
      <c r="P639" s="58"/>
      <c r="Q639" s="56"/>
    </row>
    <row r="640" spans="1:17" x14ac:dyDescent="0.15">
      <c r="A640" s="51" t="s">
        <v>482</v>
      </c>
      <c r="B640" s="8">
        <v>3</v>
      </c>
      <c r="C640" s="10">
        <v>2</v>
      </c>
      <c r="D640" s="10">
        <v>2</v>
      </c>
      <c r="E640" s="10">
        <v>4</v>
      </c>
      <c r="F640" s="30"/>
      <c r="G640" s="7">
        <f t="shared" si="180"/>
        <v>11</v>
      </c>
      <c r="H640" s="58">
        <v>42928</v>
      </c>
      <c r="I640" s="16"/>
      <c r="J640" s="8"/>
      <c r="K640" s="10"/>
      <c r="L640" s="10"/>
      <c r="M640" s="10"/>
      <c r="N640" s="30"/>
      <c r="O640" s="7">
        <f t="shared" si="182"/>
        <v>0</v>
      </c>
      <c r="P640" s="56"/>
      <c r="Q640" s="56"/>
    </row>
    <row r="641" spans="1:17" x14ac:dyDescent="0.15">
      <c r="A641" s="16" t="s">
        <v>483</v>
      </c>
      <c r="B641" s="8">
        <v>-5</v>
      </c>
      <c r="C641" s="10"/>
      <c r="D641" s="10">
        <v>-10</v>
      </c>
      <c r="E641" s="10"/>
      <c r="F641" s="30"/>
      <c r="G641" s="7">
        <f t="shared" ref="G641" si="183">SUM(B641:F641)</f>
        <v>-15</v>
      </c>
      <c r="H641" s="58">
        <v>42927</v>
      </c>
      <c r="I641" s="51"/>
      <c r="J641" s="11"/>
      <c r="K641" s="12"/>
      <c r="L641" s="12"/>
      <c r="M641" s="12"/>
      <c r="N641" s="31"/>
      <c r="O641" s="7">
        <f t="shared" si="181"/>
        <v>0</v>
      </c>
      <c r="P641" s="36"/>
      <c r="Q641" s="56"/>
    </row>
    <row r="642" spans="1:17" ht="14.25" thickBot="1" x14ac:dyDescent="0.2">
      <c r="A642" s="14" t="s">
        <v>110</v>
      </c>
      <c r="B642" s="11"/>
      <c r="C642" s="12"/>
      <c r="D642" s="12"/>
      <c r="E642" s="12"/>
      <c r="F642" s="31">
        <v>2</v>
      </c>
      <c r="G642" s="7">
        <f t="shared" si="180"/>
        <v>2</v>
      </c>
      <c r="H642" s="58">
        <v>42930</v>
      </c>
      <c r="I642" s="14"/>
      <c r="J642" s="8"/>
      <c r="K642" s="10"/>
      <c r="L642" s="10"/>
      <c r="M642" s="10"/>
      <c r="N642" s="30"/>
      <c r="O642" s="7">
        <f t="shared" si="181"/>
        <v>0</v>
      </c>
      <c r="P642" s="58"/>
      <c r="Q642" s="56"/>
    </row>
    <row r="643" spans="1:17" ht="14.25" thickBot="1" x14ac:dyDescent="0.2">
      <c r="A643" s="3" t="s">
        <v>11</v>
      </c>
      <c r="B643" s="23">
        <f>SUM(B617:B642)</f>
        <v>18</v>
      </c>
      <c r="C643" s="4">
        <f>SUM(C617:C642)</f>
        <v>29</v>
      </c>
      <c r="D643" s="4">
        <f>SUM(D617:D642)</f>
        <v>28</v>
      </c>
      <c r="E643" s="6">
        <f>SUM(E617:E642)</f>
        <v>30</v>
      </c>
      <c r="F643" s="32">
        <f>SUM(F617:F642)</f>
        <v>45</v>
      </c>
      <c r="G643" s="5">
        <f>SUM(B643:F643)</f>
        <v>150</v>
      </c>
      <c r="I643" s="3" t="s">
        <v>11</v>
      </c>
      <c r="J643" s="23">
        <f>SUM(J617:J642)</f>
        <v>25</v>
      </c>
      <c r="K643" s="4">
        <f>SUM(K617:K642)</f>
        <v>25</v>
      </c>
      <c r="L643" s="4">
        <f>SUM(L617:L642)</f>
        <v>40</v>
      </c>
      <c r="M643" s="6">
        <f>SUM(M617:M642)</f>
        <v>25</v>
      </c>
      <c r="N643" s="32">
        <f>SUM(N617:N642)</f>
        <v>45</v>
      </c>
      <c r="O643" s="5">
        <f>SUM(J643:N643)</f>
        <v>160</v>
      </c>
    </row>
    <row r="644" spans="1:17" ht="14.25" thickBot="1" x14ac:dyDescent="0.2">
      <c r="A644" s="25" t="s">
        <v>12</v>
      </c>
      <c r="B644" s="63">
        <f>B616-B643</f>
        <v>14</v>
      </c>
      <c r="C644" s="26">
        <f t="shared" ref="C644:G644" si="184">C616-C643</f>
        <v>15</v>
      </c>
      <c r="D644" s="71">
        <f t="shared" si="184"/>
        <v>15</v>
      </c>
      <c r="E644" s="26">
        <f t="shared" si="184"/>
        <v>11</v>
      </c>
      <c r="F644" s="70">
        <f t="shared" si="184"/>
        <v>12</v>
      </c>
      <c r="G644" s="27">
        <f t="shared" si="184"/>
        <v>67</v>
      </c>
      <c r="I644" s="25" t="s">
        <v>12</v>
      </c>
      <c r="J644" s="63">
        <f>J616-J643</f>
        <v>225</v>
      </c>
      <c r="K644" s="26">
        <f t="shared" ref="K644:O644" si="185">K616-K643</f>
        <v>283</v>
      </c>
      <c r="L644" s="71">
        <f t="shared" si="185"/>
        <v>229</v>
      </c>
      <c r="M644" s="26">
        <f t="shared" si="185"/>
        <v>207</v>
      </c>
      <c r="N644" s="70">
        <f t="shared" si="185"/>
        <v>179</v>
      </c>
      <c r="O644" s="27">
        <f t="shared" si="185"/>
        <v>1123</v>
      </c>
    </row>
    <row r="645" spans="1:17" ht="17.25" x14ac:dyDescent="0.2">
      <c r="A645" s="79" t="s">
        <v>56</v>
      </c>
      <c r="B645" s="80"/>
      <c r="C645" s="80"/>
      <c r="D645" s="80"/>
      <c r="E645" s="80"/>
      <c r="F645" s="80"/>
      <c r="G645" s="80"/>
      <c r="I645" s="79" t="s">
        <v>56</v>
      </c>
      <c r="J645" s="80"/>
      <c r="K645" s="80"/>
      <c r="L645" s="80"/>
      <c r="M645" s="80"/>
      <c r="N645" s="80"/>
      <c r="O645" s="1"/>
    </row>
    <row r="646" spans="1:17" ht="21.75" thickBot="1" x14ac:dyDescent="0.25">
      <c r="A646" s="82" t="s">
        <v>55</v>
      </c>
      <c r="B646" s="80"/>
      <c r="C646" s="80"/>
      <c r="D646" s="80"/>
      <c r="E646" s="81" t="s">
        <v>53</v>
      </c>
      <c r="F646" s="80"/>
      <c r="G646" s="80"/>
      <c r="I646" s="82" t="s">
        <v>55</v>
      </c>
      <c r="J646" s="80"/>
      <c r="K646" s="80"/>
      <c r="L646" s="80"/>
      <c r="M646" s="81" t="s">
        <v>54</v>
      </c>
      <c r="N646" s="80"/>
      <c r="O646" s="1"/>
    </row>
    <row r="647" spans="1:17" ht="14.25" thickBot="1" x14ac:dyDescent="0.2">
      <c r="A647" s="13" t="s">
        <v>0</v>
      </c>
      <c r="B647" s="228" t="s">
        <v>57</v>
      </c>
      <c r="C647" s="229"/>
      <c r="D647" s="229"/>
      <c r="E647" s="229"/>
      <c r="F647" s="230"/>
      <c r="G647" s="231"/>
      <c r="I647" s="13" t="s">
        <v>0</v>
      </c>
      <c r="J647" s="232" t="s">
        <v>57</v>
      </c>
      <c r="K647" s="233"/>
      <c r="L647" s="233"/>
      <c r="M647" s="233"/>
      <c r="N647" s="233"/>
      <c r="O647" s="234"/>
    </row>
    <row r="648" spans="1:17" ht="14.25" thickBot="1" x14ac:dyDescent="0.2">
      <c r="A648" s="3" t="s">
        <v>1</v>
      </c>
      <c r="B648" s="2" t="s">
        <v>42</v>
      </c>
      <c r="C648" s="21" t="s">
        <v>43</v>
      </c>
      <c r="D648" s="21" t="s">
        <v>44</v>
      </c>
      <c r="E648" s="24" t="s">
        <v>45</v>
      </c>
      <c r="F648" s="33" t="s">
        <v>46</v>
      </c>
      <c r="G648" s="3" t="s">
        <v>2</v>
      </c>
      <c r="I648" s="3" t="s">
        <v>1</v>
      </c>
      <c r="J648" s="2" t="s">
        <v>42</v>
      </c>
      <c r="K648" s="21" t="s">
        <v>43</v>
      </c>
      <c r="L648" s="21" t="s">
        <v>44</v>
      </c>
      <c r="M648" s="24" t="s">
        <v>45</v>
      </c>
      <c r="N648" s="33" t="s">
        <v>46</v>
      </c>
      <c r="O648" s="3" t="s">
        <v>2</v>
      </c>
    </row>
    <row r="649" spans="1:17" ht="14.25" thickBot="1" x14ac:dyDescent="0.2">
      <c r="A649" s="72" t="s">
        <v>79</v>
      </c>
      <c r="B649" s="73">
        <f>B644</f>
        <v>14</v>
      </c>
      <c r="C649" s="74">
        <f t="shared" ref="C649:F649" si="186">C644</f>
        <v>15</v>
      </c>
      <c r="D649" s="107">
        <f t="shared" si="186"/>
        <v>15</v>
      </c>
      <c r="E649" s="75">
        <f t="shared" si="186"/>
        <v>11</v>
      </c>
      <c r="F649" s="75">
        <f t="shared" si="186"/>
        <v>12</v>
      </c>
      <c r="G649" s="76">
        <f t="shared" ref="G649:G658" si="187">SUM(B649:F649)</f>
        <v>67</v>
      </c>
      <c r="I649" s="72" t="s">
        <v>79</v>
      </c>
      <c r="J649" s="73">
        <f>J644</f>
        <v>225</v>
      </c>
      <c r="K649" s="74">
        <f t="shared" ref="K649:N649" si="188">K644</f>
        <v>283</v>
      </c>
      <c r="L649" s="107">
        <f t="shared" si="188"/>
        <v>229</v>
      </c>
      <c r="M649" s="75">
        <f t="shared" si="188"/>
        <v>207</v>
      </c>
      <c r="N649" s="75">
        <f t="shared" si="188"/>
        <v>179</v>
      </c>
      <c r="O649" s="76">
        <f t="shared" ref="O649:O658" si="189">SUM(J649:N649)</f>
        <v>1123</v>
      </c>
    </row>
    <row r="650" spans="1:17" x14ac:dyDescent="0.15">
      <c r="A650" s="38" t="s">
        <v>40</v>
      </c>
      <c r="B650" s="37">
        <v>1</v>
      </c>
      <c r="C650" s="35">
        <v>1</v>
      </c>
      <c r="D650" s="35">
        <v>1</v>
      </c>
      <c r="E650" s="35">
        <v>1</v>
      </c>
      <c r="F650" s="28">
        <v>1</v>
      </c>
      <c r="G650" s="7">
        <f t="shared" si="187"/>
        <v>5</v>
      </c>
      <c r="H650" s="57">
        <v>42931</v>
      </c>
      <c r="I650" s="38" t="s">
        <v>15</v>
      </c>
      <c r="J650" s="37"/>
      <c r="K650" s="35"/>
      <c r="L650" s="35"/>
      <c r="M650" s="35"/>
      <c r="N650" s="28"/>
      <c r="O650" s="7">
        <f t="shared" si="189"/>
        <v>0</v>
      </c>
    </row>
    <row r="651" spans="1:17" x14ac:dyDescent="0.15">
      <c r="A651" s="38" t="s">
        <v>16</v>
      </c>
      <c r="B651" s="8">
        <v>10</v>
      </c>
      <c r="C651" s="10"/>
      <c r="D651" s="10"/>
      <c r="E651" s="10">
        <v>15</v>
      </c>
      <c r="F651" s="28">
        <v>10</v>
      </c>
      <c r="G651" s="9">
        <f t="shared" si="187"/>
        <v>35</v>
      </c>
      <c r="H651" s="58">
        <v>42936</v>
      </c>
      <c r="I651" s="15" t="s">
        <v>3</v>
      </c>
      <c r="J651" s="8"/>
      <c r="K651" s="10"/>
      <c r="L651" s="10"/>
      <c r="M651" s="10"/>
      <c r="N651" s="28"/>
      <c r="O651" s="9">
        <f t="shared" si="189"/>
        <v>0</v>
      </c>
    </row>
    <row r="652" spans="1:17" x14ac:dyDescent="0.15">
      <c r="A652" s="38" t="s">
        <v>18</v>
      </c>
      <c r="B652" s="8"/>
      <c r="C652" s="10">
        <v>15</v>
      </c>
      <c r="D652" s="10"/>
      <c r="E652" s="10"/>
      <c r="F652" s="28"/>
      <c r="G652" s="9">
        <f t="shared" si="187"/>
        <v>15</v>
      </c>
      <c r="H652" s="58">
        <v>42942</v>
      </c>
      <c r="I652" s="15" t="s">
        <v>18</v>
      </c>
      <c r="J652" s="8"/>
      <c r="K652" s="10"/>
      <c r="L652" s="10"/>
      <c r="M652" s="10"/>
      <c r="N652" s="28"/>
      <c r="O652" s="9">
        <f t="shared" si="189"/>
        <v>0</v>
      </c>
    </row>
    <row r="653" spans="1:17" x14ac:dyDescent="0.15">
      <c r="A653" s="38" t="s">
        <v>20</v>
      </c>
      <c r="B653" s="8"/>
      <c r="C653" s="10"/>
      <c r="D653" s="10">
        <v>10</v>
      </c>
      <c r="E653" s="10"/>
      <c r="F653" s="28"/>
      <c r="G653" s="9">
        <f t="shared" si="187"/>
        <v>10</v>
      </c>
      <c r="H653" s="58">
        <v>42944</v>
      </c>
      <c r="I653" s="15" t="s">
        <v>20</v>
      </c>
      <c r="J653" s="8"/>
      <c r="K653" s="10"/>
      <c r="L653" s="10"/>
      <c r="M653" s="10"/>
      <c r="N653" s="28"/>
      <c r="O653" s="9">
        <f t="shared" si="189"/>
        <v>0</v>
      </c>
    </row>
    <row r="654" spans="1:17" x14ac:dyDescent="0.15">
      <c r="A654" s="38" t="s">
        <v>175</v>
      </c>
      <c r="B654" s="8"/>
      <c r="C654" s="10">
        <v>1</v>
      </c>
      <c r="D654" s="10"/>
      <c r="E654" s="10"/>
      <c r="F654" s="28"/>
      <c r="G654" s="9">
        <f t="shared" si="187"/>
        <v>1</v>
      </c>
      <c r="H654" s="57">
        <v>42945</v>
      </c>
      <c r="I654" s="15" t="s">
        <v>80</v>
      </c>
      <c r="J654" s="8"/>
      <c r="K654" s="10"/>
      <c r="L654" s="10"/>
      <c r="M654" s="10"/>
      <c r="N654" s="28"/>
      <c r="O654" s="9">
        <f t="shared" si="189"/>
        <v>0</v>
      </c>
    </row>
    <row r="655" spans="1:17" x14ac:dyDescent="0.15">
      <c r="A655" s="38" t="s">
        <v>81</v>
      </c>
      <c r="B655" s="8"/>
      <c r="C655" s="10"/>
      <c r="D655" s="10"/>
      <c r="E655" s="10"/>
      <c r="F655" s="28"/>
      <c r="G655" s="9">
        <f t="shared" si="187"/>
        <v>0</v>
      </c>
      <c r="I655" s="15" t="s">
        <v>81</v>
      </c>
      <c r="J655" s="8"/>
      <c r="K655" s="10"/>
      <c r="L655" s="10"/>
      <c r="M655" s="10"/>
      <c r="N655" s="28"/>
      <c r="O655" s="9">
        <f t="shared" si="189"/>
        <v>0</v>
      </c>
    </row>
    <row r="656" spans="1:17" x14ac:dyDescent="0.15">
      <c r="A656" s="38" t="s">
        <v>82</v>
      </c>
      <c r="B656" s="8"/>
      <c r="C656" s="10"/>
      <c r="D656" s="10"/>
      <c r="E656" s="10"/>
      <c r="F656" s="30"/>
      <c r="G656" s="7">
        <f t="shared" si="187"/>
        <v>0</v>
      </c>
      <c r="I656" s="15" t="s">
        <v>82</v>
      </c>
      <c r="J656" s="8"/>
      <c r="K656" s="10"/>
      <c r="L656" s="10"/>
      <c r="M656" s="10"/>
      <c r="N656" s="28"/>
      <c r="O656" s="9">
        <f t="shared" si="189"/>
        <v>0</v>
      </c>
      <c r="P656" s="56"/>
    </row>
    <row r="657" spans="1:16" x14ac:dyDescent="0.15">
      <c r="A657" s="38" t="s">
        <v>83</v>
      </c>
      <c r="B657" s="11"/>
      <c r="C657" s="100"/>
      <c r="D657" s="100"/>
      <c r="E657" s="100"/>
      <c r="F657" s="101"/>
      <c r="G657" s="102">
        <f t="shared" si="187"/>
        <v>0</v>
      </c>
      <c r="I657" s="15" t="s">
        <v>83</v>
      </c>
      <c r="J657" s="8"/>
      <c r="K657" s="10"/>
      <c r="L657" s="10"/>
      <c r="M657" s="10"/>
      <c r="N657" s="30"/>
      <c r="O657" s="7">
        <f t="shared" si="189"/>
        <v>0</v>
      </c>
      <c r="P657" s="56"/>
    </row>
    <row r="658" spans="1:16" ht="14.25" thickBot="1" x14ac:dyDescent="0.2">
      <c r="A658" s="38" t="s">
        <v>159</v>
      </c>
      <c r="B658" s="11"/>
      <c r="C658" s="100"/>
      <c r="D658" s="100"/>
      <c r="E658" s="100"/>
      <c r="F658" s="101"/>
      <c r="G658" s="102">
        <f t="shared" si="187"/>
        <v>0</v>
      </c>
      <c r="I658" s="15" t="s">
        <v>87</v>
      </c>
      <c r="J658" s="11"/>
      <c r="K658" s="100"/>
      <c r="L658" s="100"/>
      <c r="M658" s="100"/>
      <c r="N658" s="101"/>
      <c r="O658" s="102">
        <f t="shared" si="189"/>
        <v>0</v>
      </c>
    </row>
    <row r="659" spans="1:16" ht="14.25" thickBot="1" x14ac:dyDescent="0.2">
      <c r="A659" s="72" t="s">
        <v>7</v>
      </c>
      <c r="B659" s="73">
        <f>SUM(B649:B658)</f>
        <v>25</v>
      </c>
      <c r="C659" s="74">
        <f t="shared" ref="C659:G659" si="190">SUM(C649:C658)</f>
        <v>32</v>
      </c>
      <c r="D659" s="74">
        <f t="shared" si="190"/>
        <v>26</v>
      </c>
      <c r="E659" s="74">
        <f t="shared" si="190"/>
        <v>27</v>
      </c>
      <c r="F659" s="105">
        <f t="shared" si="190"/>
        <v>23</v>
      </c>
      <c r="G659" s="76">
        <f t="shared" si="190"/>
        <v>133</v>
      </c>
      <c r="I659" s="72" t="s">
        <v>7</v>
      </c>
      <c r="J659" s="73">
        <f>SUM(J649:J658)</f>
        <v>225</v>
      </c>
      <c r="K659" s="74">
        <f t="shared" ref="K659:O659" si="191">SUM(K649:K658)</f>
        <v>283</v>
      </c>
      <c r="L659" s="74">
        <f t="shared" si="191"/>
        <v>229</v>
      </c>
      <c r="M659" s="74">
        <f t="shared" si="191"/>
        <v>207</v>
      </c>
      <c r="N659" s="105">
        <f t="shared" si="191"/>
        <v>179</v>
      </c>
      <c r="O659" s="76">
        <f t="shared" si="191"/>
        <v>1123</v>
      </c>
    </row>
    <row r="660" spans="1:16" x14ac:dyDescent="0.15">
      <c r="A660" s="16" t="s">
        <v>329</v>
      </c>
      <c r="B660" s="8"/>
      <c r="C660" s="10"/>
      <c r="D660" s="10"/>
      <c r="E660" s="10">
        <v>1</v>
      </c>
      <c r="F660" s="30">
        <v>2</v>
      </c>
      <c r="G660" s="7">
        <f t="shared" ref="G660:G685" si="192">SUM(B660:F660)</f>
        <v>3</v>
      </c>
      <c r="H660" s="58">
        <v>42928</v>
      </c>
      <c r="I660" s="16" t="s">
        <v>491</v>
      </c>
      <c r="J660" s="17">
        <v>10</v>
      </c>
      <c r="K660" s="22"/>
      <c r="L660" s="22"/>
      <c r="M660" s="22">
        <v>15</v>
      </c>
      <c r="N660" s="29">
        <v>10</v>
      </c>
      <c r="O660" s="18">
        <f t="shared" ref="O660:O685" si="193">SUM(J660:N660)</f>
        <v>35</v>
      </c>
      <c r="P660" s="58">
        <v>42936</v>
      </c>
    </row>
    <row r="661" spans="1:16" x14ac:dyDescent="0.15">
      <c r="A661" s="39" t="s">
        <v>25</v>
      </c>
      <c r="B661" s="8"/>
      <c r="C661" s="10">
        <v>2</v>
      </c>
      <c r="D661" s="10"/>
      <c r="E661" s="10"/>
      <c r="F661" s="30"/>
      <c r="G661" s="7">
        <f t="shared" si="192"/>
        <v>2</v>
      </c>
      <c r="H661" s="58">
        <v>42929</v>
      </c>
      <c r="I661" s="16" t="s">
        <v>24</v>
      </c>
      <c r="J661" s="8"/>
      <c r="K661" s="10">
        <v>15</v>
      </c>
      <c r="L661" s="10"/>
      <c r="M661" s="10"/>
      <c r="N661" s="28"/>
      <c r="O661" s="9">
        <f t="shared" si="193"/>
        <v>15</v>
      </c>
      <c r="P661" s="58">
        <v>42942</v>
      </c>
    </row>
    <row r="662" spans="1:16" x14ac:dyDescent="0.15">
      <c r="A662" s="16" t="s">
        <v>485</v>
      </c>
      <c r="B662" s="8"/>
      <c r="C662" s="10">
        <v>1</v>
      </c>
      <c r="D662" s="10">
        <v>-1</v>
      </c>
      <c r="E662" s="10"/>
      <c r="F662" s="30"/>
      <c r="G662" s="7">
        <f t="shared" si="192"/>
        <v>0</v>
      </c>
      <c r="H662" s="57">
        <v>42927</v>
      </c>
      <c r="I662" s="16" t="s">
        <v>24</v>
      </c>
      <c r="J662" s="8"/>
      <c r="K662" s="10"/>
      <c r="L662" s="10">
        <v>10</v>
      </c>
      <c r="M662" s="10"/>
      <c r="N662" s="30"/>
      <c r="O662" s="7">
        <f t="shared" si="193"/>
        <v>10</v>
      </c>
      <c r="P662" s="58">
        <v>42944</v>
      </c>
    </row>
    <row r="663" spans="1:16" x14ac:dyDescent="0.15">
      <c r="A663" s="14" t="s">
        <v>110</v>
      </c>
      <c r="B663" s="8"/>
      <c r="C663" s="10"/>
      <c r="D663" s="10"/>
      <c r="E663" s="10"/>
      <c r="F663" s="30">
        <v>3</v>
      </c>
      <c r="G663" s="7">
        <f t="shared" si="192"/>
        <v>3</v>
      </c>
      <c r="H663" s="58">
        <v>42936</v>
      </c>
      <c r="I663" s="16"/>
      <c r="J663" s="8"/>
      <c r="K663" s="10"/>
      <c r="L663" s="10"/>
      <c r="M663" s="10"/>
      <c r="N663" s="30"/>
      <c r="O663" s="7">
        <f t="shared" si="193"/>
        <v>0</v>
      </c>
    </row>
    <row r="664" spans="1:16" x14ac:dyDescent="0.15">
      <c r="A664" s="39" t="s">
        <v>25</v>
      </c>
      <c r="B664" s="8">
        <v>1</v>
      </c>
      <c r="C664" s="10">
        <v>3</v>
      </c>
      <c r="D664" s="10"/>
      <c r="E664" s="10"/>
      <c r="F664" s="30"/>
      <c r="G664" s="7">
        <f t="shared" si="192"/>
        <v>4</v>
      </c>
      <c r="H664" s="58">
        <v>42931</v>
      </c>
      <c r="I664" s="16"/>
      <c r="J664" s="8"/>
      <c r="K664" s="10"/>
      <c r="L664" s="10"/>
      <c r="M664" s="10"/>
      <c r="N664" s="30"/>
      <c r="O664" s="7">
        <f t="shared" si="193"/>
        <v>0</v>
      </c>
    </row>
    <row r="665" spans="1:16" x14ac:dyDescent="0.15">
      <c r="A665" s="14" t="s">
        <v>117</v>
      </c>
      <c r="B665" s="8"/>
      <c r="C665" s="10"/>
      <c r="D665" s="10"/>
      <c r="E665" s="10">
        <v>1</v>
      </c>
      <c r="F665" s="30"/>
      <c r="G665" s="7">
        <f t="shared" si="192"/>
        <v>1</v>
      </c>
      <c r="H665" s="58">
        <v>42931</v>
      </c>
      <c r="I665" s="16"/>
      <c r="J665" s="8"/>
      <c r="K665" s="10"/>
      <c r="L665" s="10"/>
      <c r="M665" s="10"/>
      <c r="N665" s="30"/>
      <c r="O665" s="7">
        <f t="shared" si="193"/>
        <v>0</v>
      </c>
    </row>
    <row r="666" spans="1:16" x14ac:dyDescent="0.15">
      <c r="A666" s="39" t="s">
        <v>25</v>
      </c>
      <c r="B666" s="8">
        <v>2</v>
      </c>
      <c r="C666" s="10"/>
      <c r="D666" s="10"/>
      <c r="E666" s="10"/>
      <c r="F666" s="30">
        <v>1</v>
      </c>
      <c r="G666" s="7">
        <f t="shared" si="192"/>
        <v>3</v>
      </c>
      <c r="H666" s="58">
        <v>42936</v>
      </c>
      <c r="I666" s="16"/>
      <c r="J666" s="8"/>
      <c r="K666" s="10"/>
      <c r="L666" s="10"/>
      <c r="M666" s="10"/>
      <c r="N666" s="30"/>
      <c r="O666" s="7">
        <f t="shared" si="193"/>
        <v>0</v>
      </c>
    </row>
    <row r="667" spans="1:16" x14ac:dyDescent="0.15">
      <c r="A667" s="39" t="s">
        <v>489</v>
      </c>
      <c r="B667" s="8"/>
      <c r="C667" s="10"/>
      <c r="D667" s="10"/>
      <c r="E667" s="10">
        <v>1</v>
      </c>
      <c r="F667" s="30"/>
      <c r="G667" s="7">
        <f t="shared" si="192"/>
        <v>1</v>
      </c>
      <c r="H667" s="58">
        <v>42936</v>
      </c>
      <c r="I667" s="16"/>
      <c r="J667" s="8"/>
      <c r="K667" s="10"/>
      <c r="L667" s="10"/>
      <c r="M667" s="10"/>
      <c r="N667" s="30"/>
      <c r="O667" s="7">
        <f t="shared" si="193"/>
        <v>0</v>
      </c>
    </row>
    <row r="668" spans="1:16" x14ac:dyDescent="0.15">
      <c r="A668" s="14" t="s">
        <v>490</v>
      </c>
      <c r="B668" s="8">
        <v>1</v>
      </c>
      <c r="C668" s="10"/>
      <c r="D668" s="10"/>
      <c r="E668" s="10">
        <v>2</v>
      </c>
      <c r="F668" s="30">
        <v>1</v>
      </c>
      <c r="G668" s="7">
        <f t="shared" si="192"/>
        <v>4</v>
      </c>
      <c r="H668" s="58">
        <v>42936</v>
      </c>
      <c r="I668" s="39"/>
      <c r="J668" s="8"/>
      <c r="K668" s="10"/>
      <c r="L668" s="10"/>
      <c r="M668" s="10"/>
      <c r="N668" s="30"/>
      <c r="O668" s="7">
        <f t="shared" si="193"/>
        <v>0</v>
      </c>
    </row>
    <row r="669" spans="1:16" x14ac:dyDescent="0.15">
      <c r="A669" s="16" t="s">
        <v>329</v>
      </c>
      <c r="B669" s="11">
        <v>3</v>
      </c>
      <c r="C669" s="12"/>
      <c r="D669" s="12"/>
      <c r="E669" s="12"/>
      <c r="F669" s="31"/>
      <c r="G669" s="7">
        <f t="shared" si="192"/>
        <v>3</v>
      </c>
      <c r="H669" s="58">
        <v>42936</v>
      </c>
      <c r="I669" s="16"/>
      <c r="J669" s="11"/>
      <c r="K669" s="12"/>
      <c r="L669" s="12"/>
      <c r="M669" s="12"/>
      <c r="N669" s="31"/>
      <c r="O669" s="7">
        <f t="shared" si="193"/>
        <v>0</v>
      </c>
    </row>
    <row r="670" spans="1:16" x14ac:dyDescent="0.15">
      <c r="A670" s="14" t="s">
        <v>110</v>
      </c>
      <c r="B670" s="11"/>
      <c r="C670" s="12"/>
      <c r="D670" s="12"/>
      <c r="E670" s="12">
        <v>5</v>
      </c>
      <c r="F670" s="31"/>
      <c r="G670" s="7">
        <f t="shared" si="192"/>
        <v>5</v>
      </c>
      <c r="H670" s="58">
        <v>42940</v>
      </c>
      <c r="I670" s="16"/>
      <c r="J670" s="8"/>
      <c r="K670" s="10"/>
      <c r="L670" s="10"/>
      <c r="M670" s="10"/>
      <c r="N670" s="30"/>
      <c r="O670" s="7">
        <f t="shared" si="193"/>
        <v>0</v>
      </c>
    </row>
    <row r="671" spans="1:16" x14ac:dyDescent="0.15">
      <c r="A671" s="16" t="s">
        <v>492</v>
      </c>
      <c r="B671" s="8">
        <v>1</v>
      </c>
      <c r="C671" s="10"/>
      <c r="D671" s="10">
        <v>1</v>
      </c>
      <c r="E671" s="10"/>
      <c r="F671" s="30"/>
      <c r="G671" s="7">
        <f t="shared" si="192"/>
        <v>2</v>
      </c>
      <c r="H671" s="57">
        <v>42935</v>
      </c>
      <c r="I671" s="39"/>
      <c r="J671" s="8"/>
      <c r="K671" s="10"/>
      <c r="L671" s="10"/>
      <c r="M671" s="10"/>
      <c r="N671" s="30"/>
      <c r="O671" s="7">
        <f t="shared" si="193"/>
        <v>0</v>
      </c>
    </row>
    <row r="672" spans="1:16" x14ac:dyDescent="0.15">
      <c r="A672" s="39" t="s">
        <v>25</v>
      </c>
      <c r="B672" s="8"/>
      <c r="C672" s="10"/>
      <c r="D672" s="10"/>
      <c r="E672" s="10">
        <v>1</v>
      </c>
      <c r="F672" s="30">
        <v>1</v>
      </c>
      <c r="G672" s="7">
        <f t="shared" si="192"/>
        <v>2</v>
      </c>
      <c r="H672" s="58">
        <v>42938</v>
      </c>
      <c r="I672" s="16"/>
      <c r="J672" s="8"/>
      <c r="K672" s="10"/>
      <c r="L672" s="10"/>
      <c r="M672" s="10"/>
      <c r="N672" s="30"/>
      <c r="O672" s="7">
        <f t="shared" si="193"/>
        <v>0</v>
      </c>
    </row>
    <row r="673" spans="1:16" x14ac:dyDescent="0.15">
      <c r="A673" s="39" t="s">
        <v>25</v>
      </c>
      <c r="B673" s="8">
        <v>1</v>
      </c>
      <c r="C673" s="10">
        <v>1</v>
      </c>
      <c r="D673" s="10"/>
      <c r="E673" s="10">
        <v>1</v>
      </c>
      <c r="F673" s="30">
        <v>1</v>
      </c>
      <c r="G673" s="7">
        <f t="shared" si="192"/>
        <v>4</v>
      </c>
      <c r="H673" s="58">
        <v>42941</v>
      </c>
      <c r="I673" s="16"/>
      <c r="J673" s="8"/>
      <c r="K673" s="10"/>
      <c r="L673" s="10"/>
      <c r="M673" s="10"/>
      <c r="N673" s="30"/>
      <c r="O673" s="7">
        <f t="shared" si="193"/>
        <v>0</v>
      </c>
    </row>
    <row r="674" spans="1:16" x14ac:dyDescent="0.15">
      <c r="A674" s="51" t="s">
        <v>494</v>
      </c>
      <c r="B674" s="8"/>
      <c r="C674" s="10"/>
      <c r="D674" s="10">
        <v>1</v>
      </c>
      <c r="E674" s="10"/>
      <c r="F674" s="30"/>
      <c r="G674" s="7">
        <f t="shared" si="192"/>
        <v>1</v>
      </c>
      <c r="H674" s="58">
        <v>42942</v>
      </c>
      <c r="I674" s="16"/>
      <c r="J674" s="8"/>
      <c r="K674" s="10"/>
      <c r="L674" s="10"/>
      <c r="M674" s="10"/>
      <c r="N674" s="30"/>
      <c r="O674" s="7">
        <f t="shared" si="193"/>
        <v>0</v>
      </c>
    </row>
    <row r="675" spans="1:16" x14ac:dyDescent="0.15">
      <c r="A675" s="14" t="s">
        <v>117</v>
      </c>
      <c r="B675" s="8"/>
      <c r="C675" s="10"/>
      <c r="D675" s="10">
        <v>1</v>
      </c>
      <c r="E675" s="10"/>
      <c r="F675" s="30"/>
      <c r="G675" s="7">
        <f t="shared" si="192"/>
        <v>1</v>
      </c>
      <c r="H675" s="58">
        <v>42941</v>
      </c>
      <c r="I675" s="16"/>
      <c r="J675" s="8"/>
      <c r="K675" s="10"/>
      <c r="L675" s="10"/>
      <c r="M675" s="10"/>
      <c r="N675" s="30"/>
      <c r="O675" s="7">
        <f t="shared" si="193"/>
        <v>0</v>
      </c>
    </row>
    <row r="676" spans="1:16" x14ac:dyDescent="0.15">
      <c r="A676" s="14" t="s">
        <v>182</v>
      </c>
      <c r="B676" s="8"/>
      <c r="C676" s="10"/>
      <c r="D676" s="10"/>
      <c r="E676" s="10"/>
      <c r="F676" s="30">
        <v>1</v>
      </c>
      <c r="G676" s="7">
        <f t="shared" si="192"/>
        <v>1</v>
      </c>
      <c r="H676" s="58">
        <v>42943</v>
      </c>
      <c r="I676" s="129"/>
      <c r="J676" s="8"/>
      <c r="K676" s="10"/>
      <c r="L676" s="10"/>
      <c r="M676" s="10"/>
      <c r="N676" s="30"/>
      <c r="O676" s="7">
        <f t="shared" si="193"/>
        <v>0</v>
      </c>
    </row>
    <row r="677" spans="1:16" x14ac:dyDescent="0.15">
      <c r="A677" s="14" t="s">
        <v>495</v>
      </c>
      <c r="B677" s="8"/>
      <c r="C677" s="10">
        <v>1</v>
      </c>
      <c r="D677" s="10"/>
      <c r="E677" s="10"/>
      <c r="F677" s="30"/>
      <c r="G677" s="7">
        <f t="shared" si="192"/>
        <v>1</v>
      </c>
      <c r="H677" s="57">
        <v>42940</v>
      </c>
      <c r="I677" s="129"/>
      <c r="J677" s="8"/>
      <c r="K677" s="10"/>
      <c r="L677" s="10"/>
      <c r="M677" s="10"/>
      <c r="N677" s="30"/>
      <c r="O677" s="7">
        <f t="shared" si="193"/>
        <v>0</v>
      </c>
    </row>
    <row r="678" spans="1:16" x14ac:dyDescent="0.15">
      <c r="A678" s="16" t="s">
        <v>329</v>
      </c>
      <c r="B678" s="8"/>
      <c r="C678" s="10">
        <v>4</v>
      </c>
      <c r="D678" s="10">
        <v>2</v>
      </c>
      <c r="E678" s="10">
        <v>1</v>
      </c>
      <c r="F678" s="30"/>
      <c r="G678" s="7">
        <f t="shared" si="192"/>
        <v>7</v>
      </c>
      <c r="H678" s="58">
        <v>42942</v>
      </c>
      <c r="I678" s="14"/>
      <c r="J678" s="8"/>
      <c r="K678" s="10"/>
      <c r="L678" s="10"/>
      <c r="M678" s="10"/>
      <c r="N678" s="30"/>
      <c r="O678" s="7">
        <f t="shared" si="193"/>
        <v>0</v>
      </c>
    </row>
    <row r="679" spans="1:16" x14ac:dyDescent="0.15">
      <c r="A679" s="14" t="s">
        <v>110</v>
      </c>
      <c r="B679" s="8"/>
      <c r="C679" s="10"/>
      <c r="D679" s="10">
        <v>3</v>
      </c>
      <c r="E679" s="10"/>
      <c r="F679" s="30"/>
      <c r="G679" s="7">
        <f t="shared" si="192"/>
        <v>3</v>
      </c>
      <c r="H679" s="58">
        <v>42948</v>
      </c>
      <c r="I679" s="16"/>
      <c r="J679" s="11"/>
      <c r="K679" s="12"/>
      <c r="L679" s="12"/>
      <c r="M679" s="12"/>
      <c r="N679" s="31"/>
      <c r="O679" s="7">
        <f t="shared" si="193"/>
        <v>0</v>
      </c>
      <c r="P679" s="56"/>
    </row>
    <row r="680" spans="1:16" x14ac:dyDescent="0.15">
      <c r="A680" s="14" t="s">
        <v>497</v>
      </c>
      <c r="B680" s="8"/>
      <c r="C680" s="10"/>
      <c r="D680" s="10">
        <v>1</v>
      </c>
      <c r="E680" s="10"/>
      <c r="F680" s="30"/>
      <c r="G680" s="7">
        <f t="shared" si="192"/>
        <v>1</v>
      </c>
      <c r="H680" s="58">
        <v>42942</v>
      </c>
      <c r="I680" s="16"/>
      <c r="J680" s="8"/>
      <c r="K680" s="10"/>
      <c r="L680" s="10"/>
      <c r="M680" s="10"/>
      <c r="N680" s="30"/>
      <c r="O680" s="7">
        <f t="shared" si="193"/>
        <v>0</v>
      </c>
      <c r="P680" s="56"/>
    </row>
    <row r="681" spans="1:16" x14ac:dyDescent="0.15">
      <c r="A681" s="14" t="s">
        <v>110</v>
      </c>
      <c r="B681" s="11"/>
      <c r="C681" s="12"/>
      <c r="D681" s="12">
        <v>2</v>
      </c>
      <c r="E681" s="12"/>
      <c r="F681" s="31"/>
      <c r="G681" s="7">
        <f t="shared" si="192"/>
        <v>2</v>
      </c>
      <c r="H681" s="58">
        <v>42954</v>
      </c>
      <c r="I681" s="16"/>
      <c r="J681" s="8"/>
      <c r="K681" s="10"/>
      <c r="L681" s="10"/>
      <c r="M681" s="10"/>
      <c r="N681" s="30"/>
      <c r="O681" s="7">
        <f t="shared" si="193"/>
        <v>0</v>
      </c>
      <c r="P681" s="56"/>
    </row>
    <row r="682" spans="1:16" x14ac:dyDescent="0.15">
      <c r="A682" s="16" t="s">
        <v>329</v>
      </c>
      <c r="B682" s="8"/>
      <c r="C682" s="10"/>
      <c r="D682" s="10">
        <v>2</v>
      </c>
      <c r="E682" s="10"/>
      <c r="F682" s="30">
        <v>1</v>
      </c>
      <c r="G682" s="7">
        <f t="shared" si="192"/>
        <v>3</v>
      </c>
      <c r="H682" s="58">
        <v>42947</v>
      </c>
      <c r="I682" s="16"/>
      <c r="J682" s="11"/>
      <c r="K682" s="12"/>
      <c r="L682" s="12"/>
      <c r="M682" s="12"/>
      <c r="N682" s="31"/>
      <c r="O682" s="7">
        <f t="shared" si="193"/>
        <v>0</v>
      </c>
      <c r="P682" s="56"/>
    </row>
    <row r="683" spans="1:16" x14ac:dyDescent="0.15">
      <c r="A683" s="14" t="s">
        <v>498</v>
      </c>
      <c r="B683" s="8">
        <v>3</v>
      </c>
      <c r="C683" s="10"/>
      <c r="D683" s="10"/>
      <c r="E683" s="10"/>
      <c r="F683" s="30"/>
      <c r="G683" s="7">
        <f t="shared" si="192"/>
        <v>3</v>
      </c>
      <c r="H683" s="57">
        <v>42944</v>
      </c>
      <c r="I683" s="16"/>
      <c r="J683" s="8"/>
      <c r="K683" s="10"/>
      <c r="L683" s="10"/>
      <c r="M683" s="10"/>
      <c r="N683" s="30"/>
      <c r="O683" s="7">
        <f t="shared" si="193"/>
        <v>0</v>
      </c>
      <c r="P683" s="56"/>
    </row>
    <row r="684" spans="1:16" x14ac:dyDescent="0.15">
      <c r="A684" s="14" t="s">
        <v>29</v>
      </c>
      <c r="B684" s="8"/>
      <c r="C684" s="10">
        <v>1</v>
      </c>
      <c r="D684" s="10"/>
      <c r="E684" s="10"/>
      <c r="F684" s="30"/>
      <c r="G684" s="7">
        <f t="shared" si="192"/>
        <v>1</v>
      </c>
      <c r="H684" s="58">
        <v>42945</v>
      </c>
      <c r="I684" s="51"/>
      <c r="J684" s="11"/>
      <c r="K684" s="12"/>
      <c r="L684" s="12"/>
      <c r="M684" s="12"/>
      <c r="N684" s="31"/>
      <c r="O684" s="7">
        <f t="shared" si="193"/>
        <v>0</v>
      </c>
      <c r="P684" s="56"/>
    </row>
    <row r="685" spans="1:16" ht="14.25" thickBot="1" x14ac:dyDescent="0.2">
      <c r="A685" s="14" t="s">
        <v>503</v>
      </c>
      <c r="B685" s="11"/>
      <c r="C685" s="12"/>
      <c r="D685" s="12">
        <v>-1</v>
      </c>
      <c r="E685" s="12"/>
      <c r="F685" s="31"/>
      <c r="G685" s="7">
        <f t="shared" si="192"/>
        <v>-1</v>
      </c>
      <c r="H685" s="57">
        <v>42947</v>
      </c>
      <c r="I685" s="129" t="s">
        <v>453</v>
      </c>
      <c r="J685" s="8"/>
      <c r="K685" s="10"/>
      <c r="L685" s="10"/>
      <c r="M685" s="10"/>
      <c r="N685" s="30"/>
      <c r="O685" s="7">
        <f t="shared" si="193"/>
        <v>0</v>
      </c>
      <c r="P685" s="130" t="s">
        <v>467</v>
      </c>
    </row>
    <row r="686" spans="1:16" ht="14.25" thickBot="1" x14ac:dyDescent="0.2">
      <c r="A686" s="3" t="s">
        <v>11</v>
      </c>
      <c r="B686" s="23">
        <f>SUM(B660:B685)</f>
        <v>12</v>
      </c>
      <c r="C686" s="4">
        <f>SUM(C660:C685)</f>
        <v>13</v>
      </c>
      <c r="D686" s="4">
        <f>SUM(D660:D685)</f>
        <v>11</v>
      </c>
      <c r="E686" s="6">
        <f>SUM(E660:E685)</f>
        <v>13</v>
      </c>
      <c r="F686" s="32">
        <f>SUM(F660:F685)</f>
        <v>11</v>
      </c>
      <c r="G686" s="5">
        <f>SUM(B686:F686)</f>
        <v>60</v>
      </c>
      <c r="I686" s="3" t="s">
        <v>11</v>
      </c>
      <c r="J686" s="23">
        <f>SUM(J660:J685)</f>
        <v>10</v>
      </c>
      <c r="K686" s="4">
        <f>SUM(K660:K685)</f>
        <v>15</v>
      </c>
      <c r="L686" s="4">
        <f>SUM(L660:L685)</f>
        <v>10</v>
      </c>
      <c r="M686" s="6">
        <f>SUM(M660:M685)</f>
        <v>15</v>
      </c>
      <c r="N686" s="32">
        <f>SUM(N660:N685)</f>
        <v>10</v>
      </c>
      <c r="O686" s="5">
        <f>SUM(J686:N686)</f>
        <v>60</v>
      </c>
    </row>
    <row r="687" spans="1:16" ht="14.25" thickBot="1" x14ac:dyDescent="0.2">
      <c r="A687" s="25" t="s">
        <v>12</v>
      </c>
      <c r="B687" s="63">
        <f>B659-B686</f>
        <v>13</v>
      </c>
      <c r="C687" s="26">
        <f t="shared" ref="C687:G687" si="194">C659-C686</f>
        <v>19</v>
      </c>
      <c r="D687" s="71">
        <f t="shared" si="194"/>
        <v>15</v>
      </c>
      <c r="E687" s="26">
        <f t="shared" si="194"/>
        <v>14</v>
      </c>
      <c r="F687" s="70">
        <f t="shared" si="194"/>
        <v>12</v>
      </c>
      <c r="G687" s="27">
        <f t="shared" si="194"/>
        <v>73</v>
      </c>
      <c r="I687" s="25" t="s">
        <v>12</v>
      </c>
      <c r="J687" s="63">
        <f>J659-J686</f>
        <v>215</v>
      </c>
      <c r="K687" s="26">
        <f t="shared" ref="K687:O687" si="195">K659-K686</f>
        <v>268</v>
      </c>
      <c r="L687" s="71">
        <f t="shared" si="195"/>
        <v>219</v>
      </c>
      <c r="M687" s="26">
        <f t="shared" si="195"/>
        <v>192</v>
      </c>
      <c r="N687" s="70">
        <f t="shared" si="195"/>
        <v>169</v>
      </c>
      <c r="O687" s="27">
        <f t="shared" si="195"/>
        <v>1063</v>
      </c>
    </row>
    <row r="688" spans="1:16" ht="17.25" x14ac:dyDescent="0.2">
      <c r="A688" s="79" t="s">
        <v>56</v>
      </c>
      <c r="B688" s="80"/>
      <c r="C688" s="80"/>
      <c r="D688" s="80"/>
      <c r="E688" s="80"/>
      <c r="F688" s="80"/>
      <c r="G688" s="80"/>
      <c r="I688" s="79" t="s">
        <v>56</v>
      </c>
      <c r="J688" s="80"/>
      <c r="K688" s="80"/>
      <c r="L688" s="80"/>
      <c r="M688" s="80"/>
      <c r="N688" s="80"/>
      <c r="O688" s="1"/>
    </row>
    <row r="689" spans="1:16" ht="21.75" thickBot="1" x14ac:dyDescent="0.25">
      <c r="A689" s="82" t="s">
        <v>55</v>
      </c>
      <c r="B689" s="80"/>
      <c r="C689" s="80"/>
      <c r="D689" s="80"/>
      <c r="E689" s="81" t="s">
        <v>53</v>
      </c>
      <c r="F689" s="80"/>
      <c r="G689" s="80"/>
      <c r="I689" s="82" t="s">
        <v>55</v>
      </c>
      <c r="J689" s="80"/>
      <c r="K689" s="80"/>
      <c r="L689" s="80"/>
      <c r="M689" s="81" t="s">
        <v>54</v>
      </c>
      <c r="N689" s="80"/>
      <c r="O689" s="1"/>
    </row>
    <row r="690" spans="1:16" ht="14.25" thickBot="1" x14ac:dyDescent="0.2">
      <c r="A690" s="13" t="s">
        <v>0</v>
      </c>
      <c r="B690" s="228" t="s">
        <v>57</v>
      </c>
      <c r="C690" s="229"/>
      <c r="D690" s="229"/>
      <c r="E690" s="229"/>
      <c r="F690" s="230"/>
      <c r="G690" s="231"/>
      <c r="I690" s="13" t="s">
        <v>0</v>
      </c>
      <c r="J690" s="232" t="s">
        <v>57</v>
      </c>
      <c r="K690" s="233"/>
      <c r="L690" s="233"/>
      <c r="M690" s="233"/>
      <c r="N690" s="233"/>
      <c r="O690" s="234"/>
    </row>
    <row r="691" spans="1:16" ht="14.25" thickBot="1" x14ac:dyDescent="0.2">
      <c r="A691" s="3" t="s">
        <v>1</v>
      </c>
      <c r="B691" s="2" t="s">
        <v>42</v>
      </c>
      <c r="C691" s="21" t="s">
        <v>43</v>
      </c>
      <c r="D691" s="21" t="s">
        <v>44</v>
      </c>
      <c r="E691" s="24" t="s">
        <v>45</v>
      </c>
      <c r="F691" s="33" t="s">
        <v>46</v>
      </c>
      <c r="G691" s="3" t="s">
        <v>2</v>
      </c>
      <c r="I691" s="3" t="s">
        <v>1</v>
      </c>
      <c r="J691" s="2" t="s">
        <v>42</v>
      </c>
      <c r="K691" s="21" t="s">
        <v>43</v>
      </c>
      <c r="L691" s="21" t="s">
        <v>44</v>
      </c>
      <c r="M691" s="24" t="s">
        <v>45</v>
      </c>
      <c r="N691" s="33" t="s">
        <v>46</v>
      </c>
      <c r="O691" s="3" t="s">
        <v>2</v>
      </c>
    </row>
    <row r="692" spans="1:16" ht="14.25" thickBot="1" x14ac:dyDescent="0.2">
      <c r="A692" s="72" t="s">
        <v>79</v>
      </c>
      <c r="B692" s="73">
        <f>B687</f>
        <v>13</v>
      </c>
      <c r="C692" s="74">
        <f t="shared" ref="C692:F692" si="196">C687</f>
        <v>19</v>
      </c>
      <c r="D692" s="107">
        <f t="shared" si="196"/>
        <v>15</v>
      </c>
      <c r="E692" s="75">
        <f t="shared" si="196"/>
        <v>14</v>
      </c>
      <c r="F692" s="75">
        <f t="shared" si="196"/>
        <v>12</v>
      </c>
      <c r="G692" s="76">
        <f t="shared" ref="G692:G701" si="197">SUM(B692:F692)</f>
        <v>73</v>
      </c>
      <c r="I692" s="72" t="s">
        <v>79</v>
      </c>
      <c r="J692" s="73">
        <f>J687</f>
        <v>215</v>
      </c>
      <c r="K692" s="74">
        <f t="shared" ref="K692:N692" si="198">K687</f>
        <v>268</v>
      </c>
      <c r="L692" s="107">
        <f t="shared" si="198"/>
        <v>219</v>
      </c>
      <c r="M692" s="75">
        <f t="shared" si="198"/>
        <v>192</v>
      </c>
      <c r="N692" s="75">
        <f t="shared" si="198"/>
        <v>169</v>
      </c>
      <c r="O692" s="76">
        <f t="shared" ref="O692:O701" si="199">SUM(J692:N692)</f>
        <v>1063</v>
      </c>
    </row>
    <row r="693" spans="1:16" x14ac:dyDescent="0.15">
      <c r="A693" s="38" t="s">
        <v>15</v>
      </c>
      <c r="B693" s="37"/>
      <c r="C693" s="35">
        <v>10</v>
      </c>
      <c r="D693" s="35"/>
      <c r="E693" s="35"/>
      <c r="F693" s="28">
        <v>10</v>
      </c>
      <c r="G693" s="7">
        <f t="shared" si="197"/>
        <v>20</v>
      </c>
      <c r="H693" s="58">
        <v>42949</v>
      </c>
      <c r="I693" s="38" t="s">
        <v>15</v>
      </c>
      <c r="J693" s="8"/>
      <c r="K693" s="10"/>
      <c r="L693" s="10"/>
      <c r="M693" s="10"/>
      <c r="N693" s="30"/>
      <c r="O693" s="7">
        <f t="shared" ref="O693" si="200">SUM(J693:N693)</f>
        <v>0</v>
      </c>
      <c r="P693" s="56"/>
    </row>
    <row r="694" spans="1:16" x14ac:dyDescent="0.15">
      <c r="A694" s="38" t="s">
        <v>16</v>
      </c>
      <c r="B694" s="8"/>
      <c r="C694" s="10"/>
      <c r="D694" s="10">
        <v>1</v>
      </c>
      <c r="E694" s="10"/>
      <c r="F694" s="28">
        <v>1</v>
      </c>
      <c r="G694" s="9">
        <f t="shared" si="197"/>
        <v>2</v>
      </c>
      <c r="H694" s="57">
        <v>42948</v>
      </c>
      <c r="I694" s="15" t="s">
        <v>3</v>
      </c>
      <c r="J694" s="8"/>
      <c r="K694" s="10"/>
      <c r="L694" s="10"/>
      <c r="M694" s="10"/>
      <c r="N694" s="28"/>
      <c r="O694" s="9">
        <f t="shared" si="199"/>
        <v>0</v>
      </c>
      <c r="P694" s="57"/>
    </row>
    <row r="695" spans="1:16" x14ac:dyDescent="0.15">
      <c r="A695" s="38" t="s">
        <v>19</v>
      </c>
      <c r="B695" s="8"/>
      <c r="C695" s="10"/>
      <c r="D695" s="10">
        <v>1</v>
      </c>
      <c r="E695" s="10"/>
      <c r="F695" s="28"/>
      <c r="G695" s="9">
        <f t="shared" si="197"/>
        <v>1</v>
      </c>
      <c r="H695" s="57">
        <v>42950</v>
      </c>
      <c r="I695" s="15" t="s">
        <v>18</v>
      </c>
      <c r="J695" s="8"/>
      <c r="K695" s="10"/>
      <c r="L695" s="10"/>
      <c r="M695" s="10"/>
      <c r="N695" s="28"/>
      <c r="O695" s="9">
        <f t="shared" si="199"/>
        <v>0</v>
      </c>
    </row>
    <row r="696" spans="1:16" x14ac:dyDescent="0.15">
      <c r="A696" s="38" t="s">
        <v>20</v>
      </c>
      <c r="B696" s="8">
        <v>10</v>
      </c>
      <c r="C696" s="10"/>
      <c r="D696" s="10"/>
      <c r="E696" s="10">
        <v>10</v>
      </c>
      <c r="F696" s="28">
        <v>10</v>
      </c>
      <c r="G696" s="9">
        <f t="shared" si="197"/>
        <v>30</v>
      </c>
      <c r="H696" s="58">
        <v>42952</v>
      </c>
      <c r="I696" s="15" t="s">
        <v>20</v>
      </c>
      <c r="J696" s="8"/>
      <c r="K696" s="10"/>
      <c r="L696" s="10"/>
      <c r="M696" s="10"/>
      <c r="N696" s="28"/>
      <c r="O696" s="9">
        <f t="shared" si="199"/>
        <v>0</v>
      </c>
    </row>
    <row r="697" spans="1:16" x14ac:dyDescent="0.15">
      <c r="A697" s="38" t="s">
        <v>17</v>
      </c>
      <c r="B697" s="8"/>
      <c r="C697" s="10"/>
      <c r="D697" s="10">
        <v>2</v>
      </c>
      <c r="E697" s="10"/>
      <c r="F697" s="28"/>
      <c r="G697" s="9">
        <f t="shared" si="197"/>
        <v>2</v>
      </c>
      <c r="H697" s="57">
        <v>42955</v>
      </c>
      <c r="I697" s="15" t="s">
        <v>80</v>
      </c>
      <c r="J697" s="8"/>
      <c r="K697" s="10"/>
      <c r="L697" s="10"/>
      <c r="M697" s="10"/>
      <c r="N697" s="28"/>
      <c r="O697" s="9">
        <f t="shared" si="199"/>
        <v>0</v>
      </c>
    </row>
    <row r="698" spans="1:16" x14ac:dyDescent="0.15">
      <c r="A698" s="38" t="s">
        <v>81</v>
      </c>
      <c r="B698" s="8">
        <v>5</v>
      </c>
      <c r="C698" s="10"/>
      <c r="D698" s="10">
        <v>10</v>
      </c>
      <c r="E698" s="10">
        <v>5</v>
      </c>
      <c r="F698" s="28"/>
      <c r="G698" s="9">
        <f t="shared" si="197"/>
        <v>20</v>
      </c>
      <c r="H698" s="58">
        <v>42963</v>
      </c>
      <c r="I698" s="15" t="s">
        <v>81</v>
      </c>
      <c r="J698" s="8"/>
      <c r="K698" s="10"/>
      <c r="L698" s="10"/>
      <c r="M698" s="10"/>
      <c r="N698" s="28"/>
      <c r="O698" s="9">
        <f t="shared" si="199"/>
        <v>0</v>
      </c>
    </row>
    <row r="699" spans="1:16" x14ac:dyDescent="0.15">
      <c r="A699" s="38" t="s">
        <v>17</v>
      </c>
      <c r="B699" s="8"/>
      <c r="C699" s="10"/>
      <c r="D699" s="10">
        <v>-1</v>
      </c>
      <c r="E699" s="10"/>
      <c r="F699" s="30"/>
      <c r="G699" s="7">
        <f t="shared" si="197"/>
        <v>-1</v>
      </c>
      <c r="H699" s="57">
        <v>42957</v>
      </c>
      <c r="I699" s="15" t="s">
        <v>82</v>
      </c>
      <c r="J699" s="8"/>
      <c r="K699" s="10"/>
      <c r="L699" s="10"/>
      <c r="M699" s="10"/>
      <c r="N699" s="28"/>
      <c r="O699" s="9">
        <f t="shared" si="199"/>
        <v>0</v>
      </c>
      <c r="P699" s="56"/>
    </row>
    <row r="700" spans="1:16" x14ac:dyDescent="0.15">
      <c r="A700" s="38" t="s">
        <v>83</v>
      </c>
      <c r="B700" s="11">
        <v>5</v>
      </c>
      <c r="C700" s="100">
        <v>5</v>
      </c>
      <c r="D700" s="100">
        <v>5</v>
      </c>
      <c r="E700" s="100">
        <v>5</v>
      </c>
      <c r="F700" s="101"/>
      <c r="G700" s="102">
        <f t="shared" si="197"/>
        <v>20</v>
      </c>
      <c r="H700" s="58">
        <v>42964</v>
      </c>
      <c r="I700" s="15" t="s">
        <v>83</v>
      </c>
      <c r="J700" s="8"/>
      <c r="K700" s="10"/>
      <c r="L700" s="10"/>
      <c r="M700" s="10"/>
      <c r="N700" s="30"/>
      <c r="O700" s="7">
        <f t="shared" si="199"/>
        <v>0</v>
      </c>
      <c r="P700" s="56"/>
    </row>
    <row r="701" spans="1:16" ht="14.25" thickBot="1" x14ac:dyDescent="0.2">
      <c r="A701" s="38" t="s">
        <v>159</v>
      </c>
      <c r="B701" s="11"/>
      <c r="C701" s="100"/>
      <c r="D701" s="100"/>
      <c r="E701" s="100">
        <v>10</v>
      </c>
      <c r="F701" s="101"/>
      <c r="G701" s="102">
        <f t="shared" si="197"/>
        <v>10</v>
      </c>
      <c r="H701" s="58">
        <v>42972</v>
      </c>
      <c r="I701" s="15" t="s">
        <v>87</v>
      </c>
      <c r="J701" s="11"/>
      <c r="K701" s="100"/>
      <c r="L701" s="100"/>
      <c r="M701" s="100"/>
      <c r="N701" s="101"/>
      <c r="O701" s="102">
        <f t="shared" si="199"/>
        <v>0</v>
      </c>
    </row>
    <row r="702" spans="1:16" ht="14.25" thickBot="1" x14ac:dyDescent="0.2">
      <c r="A702" s="72" t="s">
        <v>7</v>
      </c>
      <c r="B702" s="73">
        <f>SUM(B692:B701)</f>
        <v>33</v>
      </c>
      <c r="C702" s="74">
        <f t="shared" ref="C702:G702" si="201">SUM(C692:C701)</f>
        <v>34</v>
      </c>
      <c r="D702" s="74">
        <f t="shared" si="201"/>
        <v>33</v>
      </c>
      <c r="E702" s="74">
        <f t="shared" si="201"/>
        <v>44</v>
      </c>
      <c r="F702" s="105">
        <f t="shared" si="201"/>
        <v>33</v>
      </c>
      <c r="G702" s="76">
        <f t="shared" si="201"/>
        <v>177</v>
      </c>
      <c r="I702" s="72" t="s">
        <v>7</v>
      </c>
      <c r="J702" s="73">
        <f>SUM(J692:J701)</f>
        <v>215</v>
      </c>
      <c r="K702" s="74">
        <f t="shared" ref="K702:O702" si="202">SUM(K692:K701)</f>
        <v>268</v>
      </c>
      <c r="L702" s="74">
        <f t="shared" si="202"/>
        <v>219</v>
      </c>
      <c r="M702" s="74">
        <f t="shared" si="202"/>
        <v>192</v>
      </c>
      <c r="N702" s="105">
        <f t="shared" si="202"/>
        <v>169</v>
      </c>
      <c r="O702" s="76">
        <f t="shared" si="202"/>
        <v>1063</v>
      </c>
    </row>
    <row r="703" spans="1:16" x14ac:dyDescent="0.15">
      <c r="A703" s="16" t="s">
        <v>329</v>
      </c>
      <c r="B703" s="8"/>
      <c r="C703" s="10"/>
      <c r="D703" s="10">
        <v>2</v>
      </c>
      <c r="E703" s="10">
        <v>1</v>
      </c>
      <c r="F703" s="30"/>
      <c r="G703" s="7">
        <f t="shared" ref="G703:G728" si="203">SUM(B703:F703)</f>
        <v>3</v>
      </c>
      <c r="H703" s="58">
        <v>42948</v>
      </c>
      <c r="I703" s="16" t="s">
        <v>500</v>
      </c>
      <c r="J703" s="17"/>
      <c r="K703" s="22">
        <v>10</v>
      </c>
      <c r="L703" s="22"/>
      <c r="M703" s="22"/>
      <c r="N703" s="29">
        <v>10</v>
      </c>
      <c r="O703" s="18">
        <f t="shared" ref="O703:O728" si="204">SUM(J703:N703)</f>
        <v>20</v>
      </c>
      <c r="P703" s="58">
        <v>42949</v>
      </c>
    </row>
    <row r="704" spans="1:16" x14ac:dyDescent="0.15">
      <c r="A704" s="14" t="s">
        <v>110</v>
      </c>
      <c r="B704" s="8">
        <v>3</v>
      </c>
      <c r="C704" s="10">
        <v>3</v>
      </c>
      <c r="D704" s="10">
        <v>3</v>
      </c>
      <c r="E704" s="10"/>
      <c r="F704" s="30"/>
      <c r="G704" s="7">
        <f t="shared" si="203"/>
        <v>9</v>
      </c>
      <c r="H704" s="58">
        <v>42956</v>
      </c>
      <c r="I704" s="16" t="s">
        <v>24</v>
      </c>
      <c r="J704" s="8">
        <v>10</v>
      </c>
      <c r="K704" s="10"/>
      <c r="L704" s="10"/>
      <c r="M704" s="10">
        <v>10</v>
      </c>
      <c r="N704" s="28">
        <v>10</v>
      </c>
      <c r="O704" s="9">
        <f t="shared" si="204"/>
        <v>30</v>
      </c>
      <c r="P704" s="58">
        <v>42952</v>
      </c>
    </row>
    <row r="705" spans="1:16" x14ac:dyDescent="0.15">
      <c r="A705" s="16" t="s">
        <v>499</v>
      </c>
      <c r="B705" s="8"/>
      <c r="C705" s="10">
        <v>10</v>
      </c>
      <c r="D705" s="10"/>
      <c r="E705" s="10"/>
      <c r="F705" s="30">
        <v>10</v>
      </c>
      <c r="G705" s="7">
        <f t="shared" si="203"/>
        <v>20</v>
      </c>
      <c r="H705" s="58">
        <v>42954</v>
      </c>
      <c r="I705" s="16" t="s">
        <v>24</v>
      </c>
      <c r="J705" s="8">
        <v>5</v>
      </c>
      <c r="K705" s="10"/>
      <c r="L705" s="10">
        <v>10</v>
      </c>
      <c r="M705" s="10">
        <v>5</v>
      </c>
      <c r="N705" s="30"/>
      <c r="O705" s="7">
        <f t="shared" si="204"/>
        <v>20</v>
      </c>
      <c r="P705" s="58">
        <v>42963</v>
      </c>
    </row>
    <row r="706" spans="1:16" x14ac:dyDescent="0.15">
      <c r="A706" s="14" t="s">
        <v>504</v>
      </c>
      <c r="B706" s="8"/>
      <c r="C706" s="10">
        <v>1</v>
      </c>
      <c r="D706" s="10"/>
      <c r="E706" s="10"/>
      <c r="F706" s="30"/>
      <c r="G706" s="7">
        <f t="shared" si="203"/>
        <v>1</v>
      </c>
      <c r="H706" s="58">
        <v>42949</v>
      </c>
      <c r="I706" s="16" t="s">
        <v>24</v>
      </c>
      <c r="J706" s="8">
        <v>5</v>
      </c>
      <c r="K706" s="10">
        <v>5</v>
      </c>
      <c r="L706" s="10">
        <v>5</v>
      </c>
      <c r="M706" s="10">
        <v>5</v>
      </c>
      <c r="N706" s="30"/>
      <c r="O706" s="7">
        <f t="shared" si="204"/>
        <v>20</v>
      </c>
      <c r="P706" s="58">
        <v>42964</v>
      </c>
    </row>
    <row r="707" spans="1:16" x14ac:dyDescent="0.15">
      <c r="A707" s="16" t="s">
        <v>506</v>
      </c>
      <c r="B707" s="8"/>
      <c r="C707" s="10"/>
      <c r="D707" s="10"/>
      <c r="E707" s="10"/>
      <c r="F707" s="30">
        <v>1</v>
      </c>
      <c r="G707" s="7">
        <f t="shared" si="203"/>
        <v>1</v>
      </c>
      <c r="H707" s="58">
        <v>42951</v>
      </c>
      <c r="I707" s="16" t="s">
        <v>24</v>
      </c>
      <c r="J707" s="8"/>
      <c r="K707" s="10"/>
      <c r="L707" s="10"/>
      <c r="M707" s="10">
        <v>10</v>
      </c>
      <c r="N707" s="30"/>
      <c r="O707" s="7">
        <f t="shared" si="204"/>
        <v>10</v>
      </c>
      <c r="P707" s="58">
        <v>42972</v>
      </c>
    </row>
    <row r="708" spans="1:16" x14ac:dyDescent="0.15">
      <c r="A708" s="14" t="s">
        <v>110</v>
      </c>
      <c r="B708" s="8"/>
      <c r="C708" s="10"/>
      <c r="D708" s="10"/>
      <c r="E708" s="10">
        <v>3</v>
      </c>
      <c r="F708" s="30">
        <v>3</v>
      </c>
      <c r="G708" s="7">
        <f t="shared" si="203"/>
        <v>6</v>
      </c>
      <c r="H708" s="58">
        <v>42964</v>
      </c>
      <c r="I708" s="16"/>
      <c r="J708" s="8"/>
      <c r="K708" s="10"/>
      <c r="L708" s="10"/>
      <c r="M708" s="10"/>
      <c r="N708" s="30"/>
      <c r="O708" s="7">
        <f t="shared" si="204"/>
        <v>0</v>
      </c>
    </row>
    <row r="709" spans="1:16" x14ac:dyDescent="0.15">
      <c r="A709" s="14" t="s">
        <v>29</v>
      </c>
      <c r="B709" s="8"/>
      <c r="C709" s="10">
        <v>1</v>
      </c>
      <c r="D709" s="10"/>
      <c r="E709" s="10"/>
      <c r="F709" s="30"/>
      <c r="G709" s="7">
        <f t="shared" si="203"/>
        <v>1</v>
      </c>
      <c r="H709" s="57">
        <v>42950</v>
      </c>
      <c r="I709" s="16"/>
      <c r="J709" s="8"/>
      <c r="K709" s="10"/>
      <c r="L709" s="10"/>
      <c r="M709" s="10"/>
      <c r="N709" s="30"/>
      <c r="O709" s="7">
        <f t="shared" si="204"/>
        <v>0</v>
      </c>
    </row>
    <row r="710" spans="1:16" x14ac:dyDescent="0.15">
      <c r="A710" s="39" t="s">
        <v>507</v>
      </c>
      <c r="B710" s="8"/>
      <c r="C710" s="10">
        <v>1</v>
      </c>
      <c r="D710" s="10"/>
      <c r="E710" s="10"/>
      <c r="F710" s="30"/>
      <c r="G710" s="7">
        <f t="shared" si="203"/>
        <v>1</v>
      </c>
      <c r="H710" s="57">
        <v>42954</v>
      </c>
      <c r="I710" s="16"/>
      <c r="J710" s="8"/>
      <c r="K710" s="10"/>
      <c r="L710" s="10"/>
      <c r="M710" s="10"/>
      <c r="N710" s="30"/>
      <c r="O710" s="7">
        <f t="shared" si="204"/>
        <v>0</v>
      </c>
    </row>
    <row r="711" spans="1:16" x14ac:dyDescent="0.15">
      <c r="A711" s="14" t="s">
        <v>508</v>
      </c>
      <c r="B711" s="8"/>
      <c r="C711" s="10"/>
      <c r="D711" s="10"/>
      <c r="E711" s="10">
        <v>1</v>
      </c>
      <c r="F711" s="30"/>
      <c r="G711" s="7">
        <f t="shared" si="203"/>
        <v>1</v>
      </c>
      <c r="H711" s="57">
        <v>42954</v>
      </c>
      <c r="I711" s="39"/>
      <c r="J711" s="8"/>
      <c r="K711" s="10"/>
      <c r="L711" s="10"/>
      <c r="M711" s="10"/>
      <c r="N711" s="30"/>
      <c r="O711" s="7">
        <f t="shared" si="204"/>
        <v>0</v>
      </c>
    </row>
    <row r="712" spans="1:16" x14ac:dyDescent="0.15">
      <c r="A712" s="14" t="s">
        <v>29</v>
      </c>
      <c r="B712" s="11">
        <v>1</v>
      </c>
      <c r="C712" s="12"/>
      <c r="D712" s="12"/>
      <c r="E712" s="12"/>
      <c r="F712" s="31"/>
      <c r="G712" s="7">
        <f t="shared" si="203"/>
        <v>1</v>
      </c>
      <c r="H712" s="57">
        <v>42955</v>
      </c>
      <c r="I712" s="16"/>
      <c r="J712" s="11"/>
      <c r="K712" s="12"/>
      <c r="L712" s="12"/>
      <c r="M712" s="12"/>
      <c r="N712" s="31"/>
      <c r="O712" s="7">
        <f t="shared" si="204"/>
        <v>0</v>
      </c>
    </row>
    <row r="713" spans="1:16" x14ac:dyDescent="0.15">
      <c r="A713" s="39" t="s">
        <v>25</v>
      </c>
      <c r="B713" s="11"/>
      <c r="C713" s="12"/>
      <c r="D713" s="12"/>
      <c r="E713" s="12">
        <v>2</v>
      </c>
      <c r="F713" s="31"/>
      <c r="G713" s="7">
        <f t="shared" si="203"/>
        <v>2</v>
      </c>
      <c r="H713" s="58">
        <v>42957</v>
      </c>
      <c r="I713" s="16"/>
      <c r="J713" s="8"/>
      <c r="K713" s="10"/>
      <c r="L713" s="10"/>
      <c r="M713" s="10"/>
      <c r="N713" s="30"/>
      <c r="O713" s="7">
        <f t="shared" si="204"/>
        <v>0</v>
      </c>
    </row>
    <row r="714" spans="1:16" x14ac:dyDescent="0.15">
      <c r="A714" s="16" t="s">
        <v>243</v>
      </c>
      <c r="B714" s="8"/>
      <c r="C714" s="10"/>
      <c r="D714" s="10"/>
      <c r="E714" s="10">
        <v>-1</v>
      </c>
      <c r="F714" s="30"/>
      <c r="G714" s="7">
        <f t="shared" si="203"/>
        <v>-1</v>
      </c>
      <c r="H714" s="57">
        <v>42956</v>
      </c>
      <c r="I714" s="39"/>
      <c r="J714" s="8"/>
      <c r="K714" s="10"/>
      <c r="L714" s="10"/>
      <c r="M714" s="10"/>
      <c r="N714" s="30"/>
      <c r="O714" s="7">
        <f t="shared" si="204"/>
        <v>0</v>
      </c>
    </row>
    <row r="715" spans="1:16" x14ac:dyDescent="0.15">
      <c r="A715" s="16" t="s">
        <v>8</v>
      </c>
      <c r="B715" s="8">
        <v>10</v>
      </c>
      <c r="C715" s="10"/>
      <c r="D715" s="10">
        <v>10</v>
      </c>
      <c r="E715" s="10">
        <v>10</v>
      </c>
      <c r="F715" s="30"/>
      <c r="G715" s="7">
        <f t="shared" si="203"/>
        <v>30</v>
      </c>
      <c r="H715" s="58">
        <v>42968</v>
      </c>
      <c r="I715" s="16"/>
      <c r="J715" s="8"/>
      <c r="K715" s="10"/>
      <c r="L715" s="10"/>
      <c r="M715" s="10"/>
      <c r="N715" s="30"/>
      <c r="O715" s="7">
        <f t="shared" si="204"/>
        <v>0</v>
      </c>
    </row>
    <row r="716" spans="1:16" x14ac:dyDescent="0.15">
      <c r="A716" s="14" t="s">
        <v>29</v>
      </c>
      <c r="B716" s="8"/>
      <c r="C716" s="10"/>
      <c r="D716" s="10"/>
      <c r="E716" s="10">
        <v>1</v>
      </c>
      <c r="F716" s="30"/>
      <c r="G716" s="7">
        <f t="shared" si="203"/>
        <v>1</v>
      </c>
      <c r="H716" s="57">
        <v>42956</v>
      </c>
      <c r="I716" s="16"/>
      <c r="J716" s="8"/>
      <c r="K716" s="10"/>
      <c r="L716" s="10"/>
      <c r="M716" s="10"/>
      <c r="N716" s="30"/>
      <c r="O716" s="7">
        <f t="shared" si="204"/>
        <v>0</v>
      </c>
    </row>
    <row r="717" spans="1:16" x14ac:dyDescent="0.15">
      <c r="A717" s="14" t="s">
        <v>512</v>
      </c>
      <c r="B717" s="8"/>
      <c r="C717" s="10"/>
      <c r="D717" s="10"/>
      <c r="E717" s="10"/>
      <c r="F717" s="30">
        <v>1</v>
      </c>
      <c r="G717" s="7">
        <f t="shared" si="203"/>
        <v>1</v>
      </c>
      <c r="H717" s="58">
        <v>42964</v>
      </c>
      <c r="I717" s="16"/>
      <c r="J717" s="8"/>
      <c r="K717" s="10"/>
      <c r="L717" s="10"/>
      <c r="M717" s="10"/>
      <c r="N717" s="30"/>
      <c r="O717" s="7">
        <f t="shared" si="204"/>
        <v>0</v>
      </c>
    </row>
    <row r="718" spans="1:16" x14ac:dyDescent="0.15">
      <c r="A718" s="14" t="s">
        <v>513</v>
      </c>
      <c r="B718" s="8"/>
      <c r="C718" s="10"/>
      <c r="D718" s="10">
        <v>1</v>
      </c>
      <c r="E718" s="10"/>
      <c r="F718" s="30"/>
      <c r="G718" s="7">
        <f t="shared" si="203"/>
        <v>1</v>
      </c>
      <c r="H718" s="57">
        <v>42961</v>
      </c>
      <c r="I718" s="16"/>
      <c r="J718" s="8"/>
      <c r="K718" s="10"/>
      <c r="L718" s="10"/>
      <c r="M718" s="10"/>
      <c r="N718" s="30"/>
      <c r="O718" s="7">
        <f t="shared" si="204"/>
        <v>0</v>
      </c>
    </row>
    <row r="719" spans="1:16" x14ac:dyDescent="0.15">
      <c r="A719" s="14" t="s">
        <v>182</v>
      </c>
      <c r="B719" s="8"/>
      <c r="C719" s="10"/>
      <c r="D719" s="10"/>
      <c r="E719" s="10">
        <v>1</v>
      </c>
      <c r="F719" s="30"/>
      <c r="G719" s="7">
        <f t="shared" si="203"/>
        <v>1</v>
      </c>
      <c r="H719" s="58">
        <v>42964</v>
      </c>
      <c r="I719" s="129"/>
      <c r="J719" s="8"/>
      <c r="K719" s="10"/>
      <c r="L719" s="10"/>
      <c r="M719" s="10"/>
      <c r="N719" s="30"/>
      <c r="O719" s="7">
        <f t="shared" si="204"/>
        <v>0</v>
      </c>
    </row>
    <row r="720" spans="1:16" x14ac:dyDescent="0.15">
      <c r="A720" s="14" t="s">
        <v>29</v>
      </c>
      <c r="B720" s="8"/>
      <c r="C720" s="10"/>
      <c r="D720" s="10"/>
      <c r="E720" s="10"/>
      <c r="F720" s="30">
        <v>2</v>
      </c>
      <c r="G720" s="7">
        <f t="shared" si="203"/>
        <v>2</v>
      </c>
      <c r="H720" s="57">
        <v>42963</v>
      </c>
      <c r="I720" s="129"/>
      <c r="J720" s="8"/>
      <c r="K720" s="10"/>
      <c r="L720" s="10"/>
      <c r="M720" s="10"/>
      <c r="N720" s="30"/>
      <c r="O720" s="7">
        <f t="shared" si="204"/>
        <v>0</v>
      </c>
    </row>
    <row r="721" spans="1:16" x14ac:dyDescent="0.15">
      <c r="A721" s="38" t="s">
        <v>19</v>
      </c>
      <c r="B721" s="8">
        <v>-2</v>
      </c>
      <c r="C721" s="10">
        <v>-3</v>
      </c>
      <c r="D721" s="10"/>
      <c r="E721" s="10"/>
      <c r="F721" s="30">
        <v>-3</v>
      </c>
      <c r="G721" s="7">
        <f t="shared" si="203"/>
        <v>-8</v>
      </c>
      <c r="H721" s="58">
        <v>42963</v>
      </c>
      <c r="I721" s="14"/>
      <c r="J721" s="8"/>
      <c r="K721" s="10"/>
      <c r="L721" s="10"/>
      <c r="M721" s="10"/>
      <c r="N721" s="30"/>
      <c r="O721" s="7">
        <f t="shared" si="204"/>
        <v>0</v>
      </c>
    </row>
    <row r="722" spans="1:16" x14ac:dyDescent="0.15">
      <c r="A722" s="39" t="s">
        <v>25</v>
      </c>
      <c r="B722" s="8"/>
      <c r="C722" s="10"/>
      <c r="D722" s="10"/>
      <c r="E722" s="10"/>
      <c r="F722" s="30">
        <v>1</v>
      </c>
      <c r="G722" s="7">
        <f t="shared" si="203"/>
        <v>1</v>
      </c>
      <c r="H722" s="58">
        <v>42966</v>
      </c>
      <c r="I722" s="16"/>
      <c r="J722" s="11"/>
      <c r="K722" s="12"/>
      <c r="L722" s="12"/>
      <c r="M722" s="12"/>
      <c r="N722" s="31"/>
      <c r="O722" s="7">
        <f t="shared" si="204"/>
        <v>0</v>
      </c>
      <c r="P722" s="56"/>
    </row>
    <row r="723" spans="1:16" x14ac:dyDescent="0.15">
      <c r="A723" s="14" t="s">
        <v>182</v>
      </c>
      <c r="B723" s="8"/>
      <c r="C723" s="10">
        <v>1</v>
      </c>
      <c r="D723" s="10"/>
      <c r="E723" s="10"/>
      <c r="F723" s="30"/>
      <c r="G723" s="7">
        <f t="shared" si="203"/>
        <v>1</v>
      </c>
      <c r="H723" s="58">
        <v>42969</v>
      </c>
      <c r="I723" s="16"/>
      <c r="J723" s="8"/>
      <c r="K723" s="10"/>
      <c r="L723" s="10"/>
      <c r="M723" s="10"/>
      <c r="N723" s="30"/>
      <c r="O723" s="7">
        <f t="shared" si="204"/>
        <v>0</v>
      </c>
      <c r="P723" s="56"/>
    </row>
    <row r="724" spans="1:16" x14ac:dyDescent="0.15">
      <c r="A724" s="14" t="s">
        <v>29</v>
      </c>
      <c r="B724" s="11"/>
      <c r="C724" s="12">
        <v>1</v>
      </c>
      <c r="D724" s="12"/>
      <c r="E724" s="12"/>
      <c r="F724" s="31"/>
      <c r="G724" s="7">
        <f t="shared" si="203"/>
        <v>1</v>
      </c>
      <c r="H724" s="57">
        <v>42966</v>
      </c>
      <c r="I724" s="16"/>
      <c r="J724" s="8"/>
      <c r="K724" s="10"/>
      <c r="L724" s="10"/>
      <c r="M724" s="10"/>
      <c r="N724" s="30"/>
      <c r="O724" s="7">
        <f t="shared" si="204"/>
        <v>0</v>
      </c>
      <c r="P724" s="56"/>
    </row>
    <row r="725" spans="1:16" x14ac:dyDescent="0.15">
      <c r="A725" s="14" t="s">
        <v>29</v>
      </c>
      <c r="B725" s="8"/>
      <c r="C725" s="10">
        <v>1</v>
      </c>
      <c r="D725" s="10"/>
      <c r="E725" s="10"/>
      <c r="F725" s="30"/>
      <c r="G725" s="7">
        <f t="shared" si="203"/>
        <v>1</v>
      </c>
      <c r="H725" s="58">
        <v>42970</v>
      </c>
      <c r="I725" s="16"/>
      <c r="J725" s="11"/>
      <c r="K725" s="12"/>
      <c r="L725" s="12"/>
      <c r="M725" s="12"/>
      <c r="N725" s="31"/>
      <c r="O725" s="7">
        <f t="shared" si="204"/>
        <v>0</v>
      </c>
      <c r="P725" s="56"/>
    </row>
    <row r="726" spans="1:16" x14ac:dyDescent="0.15">
      <c r="A726" s="16" t="s">
        <v>8</v>
      </c>
      <c r="B726" s="8"/>
      <c r="C726" s="10"/>
      <c r="D726" s="10"/>
      <c r="E726" s="10">
        <v>10</v>
      </c>
      <c r="F726" s="30"/>
      <c r="G726" s="7">
        <f t="shared" si="203"/>
        <v>10</v>
      </c>
      <c r="H726" s="58">
        <v>42977</v>
      </c>
      <c r="I726" s="16"/>
      <c r="J726" s="8"/>
      <c r="K726" s="10"/>
      <c r="L726" s="10"/>
      <c r="M726" s="10"/>
      <c r="N726" s="30"/>
      <c r="O726" s="7">
        <f t="shared" si="204"/>
        <v>0</v>
      </c>
      <c r="P726" s="56"/>
    </row>
    <row r="727" spans="1:16" x14ac:dyDescent="0.15">
      <c r="A727" s="14" t="s">
        <v>29</v>
      </c>
      <c r="B727" s="8"/>
      <c r="C727" s="10"/>
      <c r="D727" s="10"/>
      <c r="E727" s="10">
        <v>1</v>
      </c>
      <c r="F727" s="30"/>
      <c r="G727" s="7">
        <f t="shared" si="203"/>
        <v>1</v>
      </c>
      <c r="H727" s="57">
        <v>42971</v>
      </c>
      <c r="I727" s="20"/>
      <c r="J727" s="11"/>
      <c r="K727" s="12"/>
      <c r="L727" s="12"/>
      <c r="M727" s="12"/>
      <c r="N727" s="31"/>
      <c r="O727" s="7">
        <f t="shared" si="204"/>
        <v>0</v>
      </c>
      <c r="P727" s="36"/>
    </row>
    <row r="728" spans="1:16" ht="14.25" thickBot="1" x14ac:dyDescent="0.2">
      <c r="A728" s="39" t="s">
        <v>25</v>
      </c>
      <c r="B728" s="11"/>
      <c r="C728" s="12"/>
      <c r="D728" s="12"/>
      <c r="E728" s="12"/>
      <c r="F728" s="31">
        <v>1</v>
      </c>
      <c r="G728" s="7">
        <f t="shared" si="203"/>
        <v>1</v>
      </c>
      <c r="H728" s="58">
        <v>42973</v>
      </c>
      <c r="I728" s="62"/>
      <c r="J728" s="8"/>
      <c r="K728" s="10"/>
      <c r="L728" s="10"/>
      <c r="M728" s="10"/>
      <c r="N728" s="30"/>
      <c r="O728" s="7">
        <f t="shared" si="204"/>
        <v>0</v>
      </c>
      <c r="P728" s="36"/>
    </row>
    <row r="729" spans="1:16" ht="14.25" thickBot="1" x14ac:dyDescent="0.2">
      <c r="A729" s="3" t="s">
        <v>11</v>
      </c>
      <c r="B729" s="23">
        <f>SUM(B703:B728)</f>
        <v>12</v>
      </c>
      <c r="C729" s="4">
        <f>SUM(C703:C728)</f>
        <v>16</v>
      </c>
      <c r="D729" s="4">
        <f>SUM(D703:D728)</f>
        <v>16</v>
      </c>
      <c r="E729" s="6">
        <f>SUM(E703:E728)</f>
        <v>29</v>
      </c>
      <c r="F729" s="32">
        <f>SUM(F703:F728)</f>
        <v>16</v>
      </c>
      <c r="G729" s="5">
        <f>SUM(B729:F729)</f>
        <v>89</v>
      </c>
      <c r="I729" s="3" t="s">
        <v>11</v>
      </c>
      <c r="J729" s="23">
        <f>SUM(J703:J728)</f>
        <v>20</v>
      </c>
      <c r="K729" s="4">
        <f>SUM(K703:K728)</f>
        <v>15</v>
      </c>
      <c r="L729" s="4">
        <f>SUM(L703:L728)</f>
        <v>15</v>
      </c>
      <c r="M729" s="6">
        <f>SUM(M703:M728)</f>
        <v>30</v>
      </c>
      <c r="N729" s="32">
        <f>SUM(N703:N728)</f>
        <v>20</v>
      </c>
      <c r="O729" s="5">
        <f>SUM(J729:N729)</f>
        <v>100</v>
      </c>
    </row>
    <row r="730" spans="1:16" ht="14.25" thickBot="1" x14ac:dyDescent="0.2">
      <c r="A730" s="25" t="s">
        <v>12</v>
      </c>
      <c r="B730" s="63">
        <f>B702-B729</f>
        <v>21</v>
      </c>
      <c r="C730" s="26">
        <f t="shared" ref="C730:G730" si="205">C702-C729</f>
        <v>18</v>
      </c>
      <c r="D730" s="71">
        <f t="shared" si="205"/>
        <v>17</v>
      </c>
      <c r="E730" s="26">
        <f t="shared" si="205"/>
        <v>15</v>
      </c>
      <c r="F730" s="70">
        <f t="shared" si="205"/>
        <v>17</v>
      </c>
      <c r="G730" s="27">
        <f t="shared" si="205"/>
        <v>88</v>
      </c>
      <c r="I730" s="25" t="s">
        <v>12</v>
      </c>
      <c r="J730" s="63">
        <f>J702-J729</f>
        <v>195</v>
      </c>
      <c r="K730" s="26">
        <f t="shared" ref="K730:O730" si="206">K702-K729</f>
        <v>253</v>
      </c>
      <c r="L730" s="71">
        <f t="shared" si="206"/>
        <v>204</v>
      </c>
      <c r="M730" s="26">
        <f t="shared" si="206"/>
        <v>162</v>
      </c>
      <c r="N730" s="70">
        <f t="shared" si="206"/>
        <v>149</v>
      </c>
      <c r="O730" s="27">
        <f t="shared" si="206"/>
        <v>963</v>
      </c>
    </row>
    <row r="731" spans="1:16" ht="17.25" x14ac:dyDescent="0.2">
      <c r="A731" s="79" t="s">
        <v>56</v>
      </c>
      <c r="B731" s="80"/>
      <c r="C731" s="80"/>
      <c r="D731" s="80"/>
      <c r="E731" s="80"/>
      <c r="F731" s="80"/>
      <c r="G731" s="80"/>
      <c r="I731" s="79" t="s">
        <v>56</v>
      </c>
      <c r="J731" s="80"/>
      <c r="K731" s="80"/>
      <c r="L731" s="80"/>
      <c r="M731" s="80"/>
      <c r="N731" s="80"/>
      <c r="O731" s="1"/>
    </row>
    <row r="732" spans="1:16" ht="21.75" thickBot="1" x14ac:dyDescent="0.25">
      <c r="A732" s="82" t="s">
        <v>55</v>
      </c>
      <c r="B732" s="80"/>
      <c r="C732" s="80"/>
      <c r="D732" s="80"/>
      <c r="E732" s="81" t="s">
        <v>53</v>
      </c>
      <c r="F732" s="80"/>
      <c r="G732" s="80"/>
      <c r="I732" s="82" t="s">
        <v>55</v>
      </c>
      <c r="J732" s="80"/>
      <c r="K732" s="80"/>
      <c r="L732" s="80"/>
      <c r="M732" s="81" t="s">
        <v>54</v>
      </c>
      <c r="N732" s="80"/>
      <c r="O732" s="1"/>
    </row>
    <row r="733" spans="1:16" ht="14.25" thickBot="1" x14ac:dyDescent="0.2">
      <c r="A733" s="13" t="s">
        <v>0</v>
      </c>
      <c r="B733" s="228" t="s">
        <v>57</v>
      </c>
      <c r="C733" s="229"/>
      <c r="D733" s="229"/>
      <c r="E733" s="229"/>
      <c r="F733" s="230"/>
      <c r="G733" s="231"/>
      <c r="I733" s="13" t="s">
        <v>0</v>
      </c>
      <c r="J733" s="232" t="s">
        <v>57</v>
      </c>
      <c r="K733" s="233"/>
      <c r="L733" s="233"/>
      <c r="M733" s="233"/>
      <c r="N733" s="233"/>
      <c r="O733" s="234"/>
    </row>
    <row r="734" spans="1:16" ht="14.25" thickBot="1" x14ac:dyDescent="0.2">
      <c r="A734" s="3" t="s">
        <v>1</v>
      </c>
      <c r="B734" s="2" t="s">
        <v>42</v>
      </c>
      <c r="C734" s="21" t="s">
        <v>43</v>
      </c>
      <c r="D734" s="21" t="s">
        <v>44</v>
      </c>
      <c r="E734" s="24" t="s">
        <v>45</v>
      </c>
      <c r="F734" s="33" t="s">
        <v>46</v>
      </c>
      <c r="G734" s="3" t="s">
        <v>2</v>
      </c>
      <c r="I734" s="3" t="s">
        <v>1</v>
      </c>
      <c r="J734" s="2" t="s">
        <v>42</v>
      </c>
      <c r="K734" s="21" t="s">
        <v>43</v>
      </c>
      <c r="L734" s="21" t="s">
        <v>44</v>
      </c>
      <c r="M734" s="24" t="s">
        <v>45</v>
      </c>
      <c r="N734" s="33" t="s">
        <v>46</v>
      </c>
      <c r="O734" s="3" t="s">
        <v>2</v>
      </c>
    </row>
    <row r="735" spans="1:16" ht="14.25" thickBot="1" x14ac:dyDescent="0.2">
      <c r="A735" s="72" t="s">
        <v>79</v>
      </c>
      <c r="B735" s="73">
        <f>B730</f>
        <v>21</v>
      </c>
      <c r="C735" s="74">
        <f t="shared" ref="C735:F735" si="207">C730</f>
        <v>18</v>
      </c>
      <c r="D735" s="107">
        <f t="shared" si="207"/>
        <v>17</v>
      </c>
      <c r="E735" s="75">
        <f t="shared" si="207"/>
        <v>15</v>
      </c>
      <c r="F735" s="75">
        <f t="shared" si="207"/>
        <v>17</v>
      </c>
      <c r="G735" s="76">
        <f t="shared" ref="G735:G744" si="208">SUM(B735:F735)</f>
        <v>88</v>
      </c>
      <c r="I735" s="72" t="s">
        <v>79</v>
      </c>
      <c r="J735" s="73">
        <f>J730</f>
        <v>195</v>
      </c>
      <c r="K735" s="74">
        <f t="shared" ref="K735:N735" si="209">K730</f>
        <v>253</v>
      </c>
      <c r="L735" s="107">
        <f t="shared" si="209"/>
        <v>204</v>
      </c>
      <c r="M735" s="75">
        <f t="shared" si="209"/>
        <v>162</v>
      </c>
      <c r="N735" s="75">
        <f t="shared" si="209"/>
        <v>149</v>
      </c>
      <c r="O735" s="76">
        <f t="shared" ref="O735:O744" si="210">SUM(J735:N735)</f>
        <v>963</v>
      </c>
    </row>
    <row r="736" spans="1:16" x14ac:dyDescent="0.15">
      <c r="A736" s="38" t="s">
        <v>383</v>
      </c>
      <c r="B736" s="37"/>
      <c r="C736" s="35">
        <v>1</v>
      </c>
      <c r="D736" s="35">
        <v>2</v>
      </c>
      <c r="E736" s="35"/>
      <c r="F736" s="28"/>
      <c r="G736" s="7">
        <f t="shared" si="208"/>
        <v>3</v>
      </c>
      <c r="H736" s="57">
        <v>42973</v>
      </c>
      <c r="I736" s="38" t="s">
        <v>15</v>
      </c>
      <c r="J736" s="8">
        <v>100</v>
      </c>
      <c r="K736" s="10">
        <v>100</v>
      </c>
      <c r="L736" s="10">
        <v>100</v>
      </c>
      <c r="M736" s="10">
        <v>100</v>
      </c>
      <c r="N736" s="30">
        <v>100</v>
      </c>
      <c r="O736" s="7">
        <f t="shared" si="210"/>
        <v>500</v>
      </c>
      <c r="P736" s="56" t="s">
        <v>501</v>
      </c>
    </row>
    <row r="737" spans="1:16" x14ac:dyDescent="0.15">
      <c r="A737" s="38" t="s">
        <v>411</v>
      </c>
      <c r="B737" s="8"/>
      <c r="C737" s="10"/>
      <c r="D737" s="10"/>
      <c r="E737" s="10"/>
      <c r="F737" s="28">
        <v>1</v>
      </c>
      <c r="G737" s="9">
        <f t="shared" si="208"/>
        <v>1</v>
      </c>
      <c r="H737" s="57">
        <v>42973</v>
      </c>
      <c r="I737" s="15" t="s">
        <v>3</v>
      </c>
      <c r="J737" s="8"/>
      <c r="K737" s="10"/>
      <c r="L737" s="10"/>
      <c r="M737" s="10"/>
      <c r="N737" s="28"/>
      <c r="O737" s="9">
        <f t="shared" si="210"/>
        <v>0</v>
      </c>
    </row>
    <row r="738" spans="1:16" x14ac:dyDescent="0.15">
      <c r="A738" s="38" t="s">
        <v>261</v>
      </c>
      <c r="B738" s="8"/>
      <c r="C738" s="10"/>
      <c r="D738" s="10">
        <v>1</v>
      </c>
      <c r="E738" s="10">
        <v>1</v>
      </c>
      <c r="F738" s="28"/>
      <c r="G738" s="9">
        <f t="shared" si="208"/>
        <v>2</v>
      </c>
      <c r="H738" s="57">
        <v>42977</v>
      </c>
      <c r="I738" s="15" t="s">
        <v>18</v>
      </c>
      <c r="J738" s="8"/>
      <c r="K738" s="10"/>
      <c r="L738" s="10"/>
      <c r="M738" s="10"/>
      <c r="N738" s="28"/>
      <c r="O738" s="9">
        <f t="shared" si="210"/>
        <v>0</v>
      </c>
    </row>
    <row r="739" spans="1:16" x14ac:dyDescent="0.15">
      <c r="A739" s="38" t="s">
        <v>20</v>
      </c>
      <c r="B739" s="8"/>
      <c r="C739" s="10"/>
      <c r="D739" s="10">
        <v>10</v>
      </c>
      <c r="E739" s="10"/>
      <c r="F739" s="28"/>
      <c r="G739" s="9">
        <f t="shared" si="208"/>
        <v>10</v>
      </c>
      <c r="H739" s="58">
        <v>42984</v>
      </c>
      <c r="I739" s="15" t="s">
        <v>20</v>
      </c>
      <c r="J739" s="8"/>
      <c r="K739" s="10"/>
      <c r="L739" s="10"/>
      <c r="M739" s="10"/>
      <c r="N739" s="28"/>
      <c r="O739" s="9">
        <f t="shared" si="210"/>
        <v>0</v>
      </c>
    </row>
    <row r="740" spans="1:16" x14ac:dyDescent="0.15">
      <c r="A740" s="38" t="s">
        <v>80</v>
      </c>
      <c r="B740" s="8"/>
      <c r="C740" s="10">
        <v>5</v>
      </c>
      <c r="D740" s="10"/>
      <c r="E740" s="10"/>
      <c r="F740" s="28">
        <v>15</v>
      </c>
      <c r="G740" s="9">
        <f t="shared" si="208"/>
        <v>20</v>
      </c>
      <c r="H740" s="58">
        <v>42991</v>
      </c>
      <c r="I740" s="15" t="s">
        <v>80</v>
      </c>
      <c r="J740" s="8"/>
      <c r="K740" s="10"/>
      <c r="L740" s="10"/>
      <c r="M740" s="10"/>
      <c r="N740" s="28"/>
      <c r="O740" s="9">
        <f t="shared" si="210"/>
        <v>0</v>
      </c>
    </row>
    <row r="741" spans="1:16" x14ac:dyDescent="0.15">
      <c r="A741" s="38" t="s">
        <v>81</v>
      </c>
      <c r="B741" s="8"/>
      <c r="C741" s="10">
        <v>10</v>
      </c>
      <c r="D741" s="10"/>
      <c r="E741" s="10"/>
      <c r="F741" s="28">
        <v>5</v>
      </c>
      <c r="G741" s="9">
        <f t="shared" si="208"/>
        <v>15</v>
      </c>
      <c r="H741" s="58">
        <v>42994</v>
      </c>
      <c r="I741" s="15" t="s">
        <v>81</v>
      </c>
      <c r="J741" s="8"/>
      <c r="K741" s="10"/>
      <c r="L741" s="10"/>
      <c r="M741" s="10"/>
      <c r="N741" s="28"/>
      <c r="O741" s="9">
        <f t="shared" si="210"/>
        <v>0</v>
      </c>
    </row>
    <row r="742" spans="1:16" x14ac:dyDescent="0.15">
      <c r="A742" s="38" t="s">
        <v>19</v>
      </c>
      <c r="B742" s="8"/>
      <c r="C742" s="10"/>
      <c r="D742" s="10"/>
      <c r="E742" s="10">
        <v>1</v>
      </c>
      <c r="F742" s="30">
        <v>2</v>
      </c>
      <c r="G742" s="7">
        <f t="shared" si="208"/>
        <v>3</v>
      </c>
      <c r="H742" s="57">
        <v>43003</v>
      </c>
      <c r="I742" s="15" t="s">
        <v>82</v>
      </c>
      <c r="J742" s="8"/>
      <c r="K742" s="10"/>
      <c r="L742" s="10"/>
      <c r="M742" s="10"/>
      <c r="N742" s="28"/>
      <c r="O742" s="9">
        <f t="shared" si="210"/>
        <v>0</v>
      </c>
    </row>
    <row r="743" spans="1:16" x14ac:dyDescent="0.15">
      <c r="A743" s="38" t="s">
        <v>83</v>
      </c>
      <c r="B743" s="11"/>
      <c r="C743" s="100">
        <v>15</v>
      </c>
      <c r="D743" s="100"/>
      <c r="E743" s="100"/>
      <c r="F743" s="101"/>
      <c r="G743" s="102">
        <f t="shared" si="208"/>
        <v>15</v>
      </c>
      <c r="H743" s="58">
        <v>43006</v>
      </c>
      <c r="I743" s="15" t="s">
        <v>83</v>
      </c>
      <c r="J743" s="8"/>
      <c r="K743" s="10"/>
      <c r="L743" s="10"/>
      <c r="M743" s="10"/>
      <c r="N743" s="30"/>
      <c r="O743" s="7">
        <f t="shared" si="210"/>
        <v>0</v>
      </c>
    </row>
    <row r="744" spans="1:16" ht="14.25" thickBot="1" x14ac:dyDescent="0.2">
      <c r="A744" s="38" t="s">
        <v>383</v>
      </c>
      <c r="B744" s="11"/>
      <c r="C744" s="100"/>
      <c r="D744" s="100"/>
      <c r="E744" s="100"/>
      <c r="F744" s="101">
        <v>1</v>
      </c>
      <c r="G744" s="102">
        <f t="shared" si="208"/>
        <v>1</v>
      </c>
      <c r="H744" s="57">
        <v>43004</v>
      </c>
      <c r="I744" s="15" t="s">
        <v>87</v>
      </c>
      <c r="J744" s="11"/>
      <c r="K744" s="100"/>
      <c r="L744" s="100"/>
      <c r="M744" s="100"/>
      <c r="N744" s="101"/>
      <c r="O744" s="102">
        <f t="shared" si="210"/>
        <v>0</v>
      </c>
    </row>
    <row r="745" spans="1:16" ht="14.25" thickBot="1" x14ac:dyDescent="0.2">
      <c r="A745" s="72" t="s">
        <v>7</v>
      </c>
      <c r="B745" s="73">
        <f>SUM(B735:B744)</f>
        <v>21</v>
      </c>
      <c r="C745" s="74">
        <f t="shared" ref="C745:G745" si="211">SUM(C735:C744)</f>
        <v>49</v>
      </c>
      <c r="D745" s="74">
        <f t="shared" si="211"/>
        <v>30</v>
      </c>
      <c r="E745" s="74">
        <f t="shared" si="211"/>
        <v>17</v>
      </c>
      <c r="F745" s="105">
        <f t="shared" si="211"/>
        <v>41</v>
      </c>
      <c r="G745" s="76">
        <f t="shared" si="211"/>
        <v>158</v>
      </c>
      <c r="I745" s="72" t="s">
        <v>7</v>
      </c>
      <c r="J745" s="73">
        <f>SUM(J735:J744)</f>
        <v>295</v>
      </c>
      <c r="K745" s="74">
        <f t="shared" ref="K745:O745" si="212">SUM(K735:K744)</f>
        <v>353</v>
      </c>
      <c r="L745" s="74">
        <f t="shared" si="212"/>
        <v>304</v>
      </c>
      <c r="M745" s="74">
        <f t="shared" si="212"/>
        <v>262</v>
      </c>
      <c r="N745" s="105">
        <f t="shared" si="212"/>
        <v>249</v>
      </c>
      <c r="O745" s="76">
        <f t="shared" si="212"/>
        <v>1463</v>
      </c>
    </row>
    <row r="746" spans="1:16" x14ac:dyDescent="0.15">
      <c r="A746" s="38" t="s">
        <v>19</v>
      </c>
      <c r="B746" s="8"/>
      <c r="C746" s="10"/>
      <c r="D746" s="10">
        <v>-1</v>
      </c>
      <c r="E746" s="10"/>
      <c r="F746" s="30">
        <v>-1</v>
      </c>
      <c r="G746" s="7">
        <f t="shared" ref="G746:G771" si="213">SUM(B746:F746)</f>
        <v>-2</v>
      </c>
      <c r="H746" s="57">
        <v>42975</v>
      </c>
      <c r="I746" s="16" t="s">
        <v>529</v>
      </c>
      <c r="J746" s="17"/>
      <c r="K746" s="22"/>
      <c r="L746" s="22">
        <v>10</v>
      </c>
      <c r="M746" s="22"/>
      <c r="N746" s="29"/>
      <c r="O746" s="18">
        <f t="shared" ref="O746:O771" si="214">SUM(J746:N746)</f>
        <v>10</v>
      </c>
      <c r="P746" s="58">
        <v>42984</v>
      </c>
    </row>
    <row r="747" spans="1:16" x14ac:dyDescent="0.15">
      <c r="A747" s="14" t="s">
        <v>522</v>
      </c>
      <c r="B747" s="8"/>
      <c r="C747" s="10"/>
      <c r="D747" s="10"/>
      <c r="E747" s="10"/>
      <c r="F747" s="30">
        <v>1</v>
      </c>
      <c r="G747" s="7">
        <f t="shared" si="213"/>
        <v>1</v>
      </c>
      <c r="H747" s="58">
        <v>42976</v>
      </c>
      <c r="I747" s="16" t="s">
        <v>24</v>
      </c>
      <c r="J747" s="8"/>
      <c r="K747" s="10">
        <v>5</v>
      </c>
      <c r="L747" s="10"/>
      <c r="M747" s="10"/>
      <c r="N747" s="28">
        <v>15</v>
      </c>
      <c r="O747" s="9">
        <f t="shared" si="214"/>
        <v>20</v>
      </c>
      <c r="P747" s="58">
        <v>42991</v>
      </c>
    </row>
    <row r="748" spans="1:16" x14ac:dyDescent="0.15">
      <c r="A748" s="14" t="s">
        <v>110</v>
      </c>
      <c r="B748" s="8">
        <v>2</v>
      </c>
      <c r="C748" s="10"/>
      <c r="D748" s="10"/>
      <c r="E748" s="10"/>
      <c r="F748" s="30">
        <v>2</v>
      </c>
      <c r="G748" s="7">
        <f t="shared" si="213"/>
        <v>4</v>
      </c>
      <c r="H748" s="58">
        <v>42985</v>
      </c>
      <c r="I748" s="16" t="s">
        <v>24</v>
      </c>
      <c r="J748" s="8"/>
      <c r="K748" s="10">
        <v>10</v>
      </c>
      <c r="L748" s="10"/>
      <c r="M748" s="10"/>
      <c r="N748" s="30">
        <v>5</v>
      </c>
      <c r="O748" s="7">
        <f t="shared" si="214"/>
        <v>15</v>
      </c>
      <c r="P748" s="58">
        <v>42994</v>
      </c>
    </row>
    <row r="749" spans="1:16" x14ac:dyDescent="0.15">
      <c r="A749" s="14" t="s">
        <v>524</v>
      </c>
      <c r="B749" s="8"/>
      <c r="C749" s="10"/>
      <c r="D749" s="10">
        <v>1</v>
      </c>
      <c r="E749" s="10"/>
      <c r="F749" s="30"/>
      <c r="G749" s="7">
        <f t="shared" si="213"/>
        <v>1</v>
      </c>
      <c r="H749" s="58">
        <v>42978</v>
      </c>
      <c r="I749" s="16" t="s">
        <v>24</v>
      </c>
      <c r="J749" s="8"/>
      <c r="K749" s="10">
        <v>15</v>
      </c>
      <c r="L749" s="10"/>
      <c r="M749" s="10"/>
      <c r="N749" s="30"/>
      <c r="O749" s="7">
        <f t="shared" si="214"/>
        <v>15</v>
      </c>
      <c r="P749" s="58">
        <v>43006</v>
      </c>
    </row>
    <row r="750" spans="1:16" x14ac:dyDescent="0.15">
      <c r="A750" s="16" t="s">
        <v>525</v>
      </c>
      <c r="B750" s="8"/>
      <c r="C750" s="10"/>
      <c r="D750" s="10">
        <v>10</v>
      </c>
      <c r="E750" s="10"/>
      <c r="F750" s="30"/>
      <c r="G750" s="7">
        <f t="shared" si="213"/>
        <v>10</v>
      </c>
      <c r="H750" s="58">
        <v>42989</v>
      </c>
      <c r="I750" s="16"/>
      <c r="J750" s="8"/>
      <c r="K750" s="10"/>
      <c r="L750" s="10"/>
      <c r="M750" s="10"/>
      <c r="N750" s="30"/>
      <c r="O750" s="7">
        <f t="shared" si="214"/>
        <v>0</v>
      </c>
    </row>
    <row r="751" spans="1:16" x14ac:dyDescent="0.15">
      <c r="A751" s="14" t="s">
        <v>110</v>
      </c>
      <c r="B751" s="8"/>
      <c r="C751" s="10"/>
      <c r="D751" s="10">
        <v>3</v>
      </c>
      <c r="E751" s="10"/>
      <c r="F751" s="30"/>
      <c r="G751" s="7">
        <f t="shared" si="213"/>
        <v>3</v>
      </c>
      <c r="H751" s="58">
        <v>42986</v>
      </c>
      <c r="I751" s="16"/>
      <c r="J751" s="8"/>
      <c r="K751" s="10"/>
      <c r="L751" s="10"/>
      <c r="M751" s="10"/>
      <c r="N751" s="30"/>
      <c r="O751" s="7">
        <f t="shared" si="214"/>
        <v>0</v>
      </c>
    </row>
    <row r="752" spans="1:16" x14ac:dyDescent="0.15">
      <c r="A752" s="14" t="s">
        <v>532</v>
      </c>
      <c r="B752" s="8"/>
      <c r="C752" s="10">
        <v>1</v>
      </c>
      <c r="D752" s="10"/>
      <c r="E752" s="10">
        <v>1</v>
      </c>
      <c r="F752" s="30"/>
      <c r="G752" s="7">
        <f t="shared" si="213"/>
        <v>2</v>
      </c>
      <c r="H752" s="57">
        <v>42982</v>
      </c>
      <c r="I752" s="16"/>
      <c r="J752" s="8"/>
      <c r="K752" s="10"/>
      <c r="L752" s="10"/>
      <c r="M752" s="10"/>
      <c r="N752" s="30"/>
      <c r="O752" s="7">
        <f t="shared" si="214"/>
        <v>0</v>
      </c>
    </row>
    <row r="753" spans="1:16" x14ac:dyDescent="0.15">
      <c r="A753" s="14" t="s">
        <v>29</v>
      </c>
      <c r="B753" s="8"/>
      <c r="C753" s="10">
        <v>1</v>
      </c>
      <c r="D753" s="10"/>
      <c r="E753" s="10"/>
      <c r="F753" s="30"/>
      <c r="G753" s="7">
        <f t="shared" si="213"/>
        <v>1</v>
      </c>
      <c r="H753" s="57">
        <v>42983</v>
      </c>
      <c r="I753" s="16"/>
      <c r="J753" s="8"/>
      <c r="K753" s="10"/>
      <c r="L753" s="10"/>
      <c r="M753" s="10"/>
      <c r="N753" s="30"/>
      <c r="O753" s="7">
        <f t="shared" si="214"/>
        <v>0</v>
      </c>
    </row>
    <row r="754" spans="1:16" x14ac:dyDescent="0.15">
      <c r="A754" s="14" t="s">
        <v>533</v>
      </c>
      <c r="B754" s="8"/>
      <c r="C754" s="10"/>
      <c r="D754" s="10"/>
      <c r="E754" s="10"/>
      <c r="F754" s="30">
        <v>10</v>
      </c>
      <c r="G754" s="7">
        <f t="shared" si="213"/>
        <v>10</v>
      </c>
      <c r="H754" s="58">
        <v>42992</v>
      </c>
      <c r="I754" s="39"/>
      <c r="J754" s="8"/>
      <c r="K754" s="10"/>
      <c r="L754" s="10"/>
      <c r="M754" s="10"/>
      <c r="N754" s="30"/>
      <c r="O754" s="7">
        <f t="shared" si="214"/>
        <v>0</v>
      </c>
    </row>
    <row r="755" spans="1:16" x14ac:dyDescent="0.15">
      <c r="A755" s="14" t="s">
        <v>110</v>
      </c>
      <c r="B755" s="11"/>
      <c r="C755" s="12">
        <v>3</v>
      </c>
      <c r="D755" s="12"/>
      <c r="E755" s="12"/>
      <c r="F755" s="31"/>
      <c r="G755" s="7">
        <f t="shared" si="213"/>
        <v>3</v>
      </c>
      <c r="H755" s="58">
        <v>42992</v>
      </c>
      <c r="I755" s="16"/>
      <c r="J755" s="11"/>
      <c r="K755" s="12"/>
      <c r="L755" s="12"/>
      <c r="M755" s="12"/>
      <c r="N755" s="31"/>
      <c r="O755" s="7">
        <f t="shared" si="214"/>
        <v>0</v>
      </c>
    </row>
    <row r="756" spans="1:16" x14ac:dyDescent="0.15">
      <c r="A756" s="14" t="s">
        <v>29</v>
      </c>
      <c r="B756" s="11">
        <v>1</v>
      </c>
      <c r="C756" s="12"/>
      <c r="D756" s="12"/>
      <c r="E756" s="12"/>
      <c r="F756" s="31"/>
      <c r="G756" s="7">
        <f t="shared" si="213"/>
        <v>1</v>
      </c>
      <c r="H756" s="57">
        <v>42986</v>
      </c>
      <c r="I756" s="16"/>
      <c r="J756" s="8"/>
      <c r="K756" s="10"/>
      <c r="L756" s="10"/>
      <c r="M756" s="10"/>
      <c r="N756" s="30"/>
      <c r="O756" s="7">
        <f t="shared" si="214"/>
        <v>0</v>
      </c>
    </row>
    <row r="757" spans="1:16" x14ac:dyDescent="0.15">
      <c r="A757" s="14" t="s">
        <v>110</v>
      </c>
      <c r="B757" s="8"/>
      <c r="C757" s="10"/>
      <c r="D757" s="10">
        <v>3</v>
      </c>
      <c r="E757" s="10"/>
      <c r="F757" s="30"/>
      <c r="G757" s="7">
        <f t="shared" si="213"/>
        <v>3</v>
      </c>
      <c r="H757" s="58">
        <v>42993</v>
      </c>
      <c r="I757" s="39"/>
      <c r="J757" s="8"/>
      <c r="K757" s="10"/>
      <c r="L757" s="10"/>
      <c r="M757" s="10"/>
      <c r="N757" s="30"/>
      <c r="O757" s="7">
        <f t="shared" si="214"/>
        <v>0</v>
      </c>
    </row>
    <row r="758" spans="1:16" x14ac:dyDescent="0.15">
      <c r="A758" s="14" t="s">
        <v>22</v>
      </c>
      <c r="B758" s="8"/>
      <c r="C758" s="10">
        <v>5</v>
      </c>
      <c r="D758" s="10"/>
      <c r="E758" s="10"/>
      <c r="F758" s="30">
        <v>10</v>
      </c>
      <c r="G758" s="7">
        <f t="shared" si="213"/>
        <v>15</v>
      </c>
      <c r="H758" s="58">
        <v>42997</v>
      </c>
      <c r="I758" s="16"/>
      <c r="J758" s="8"/>
      <c r="K758" s="10"/>
      <c r="L758" s="10"/>
      <c r="M758" s="10"/>
      <c r="N758" s="30"/>
      <c r="O758" s="7">
        <f t="shared" si="214"/>
        <v>0</v>
      </c>
    </row>
    <row r="759" spans="1:16" x14ac:dyDescent="0.15">
      <c r="A759" s="16" t="s">
        <v>534</v>
      </c>
      <c r="B759" s="8"/>
      <c r="C759" s="10"/>
      <c r="D759" s="10"/>
      <c r="E759" s="10"/>
      <c r="F759" s="30">
        <v>1</v>
      </c>
      <c r="G759" s="7">
        <f t="shared" si="213"/>
        <v>1</v>
      </c>
      <c r="H759" s="58">
        <v>42991</v>
      </c>
      <c r="I759" s="16"/>
      <c r="J759" s="8"/>
      <c r="K759" s="10"/>
      <c r="L759" s="10"/>
      <c r="M759" s="10"/>
      <c r="N759" s="30"/>
      <c r="O759" s="7">
        <f t="shared" si="214"/>
        <v>0</v>
      </c>
    </row>
    <row r="760" spans="1:16" x14ac:dyDescent="0.15">
      <c r="A760" s="14" t="s">
        <v>535</v>
      </c>
      <c r="B760" s="8"/>
      <c r="C760" s="10"/>
      <c r="D760" s="10">
        <v>2</v>
      </c>
      <c r="E760" s="10"/>
      <c r="F760" s="30"/>
      <c r="G760" s="7">
        <f t="shared" si="213"/>
        <v>2</v>
      </c>
      <c r="H760" s="57">
        <v>42990</v>
      </c>
      <c r="I760" s="16"/>
      <c r="J760" s="8"/>
      <c r="K760" s="10"/>
      <c r="L760" s="10"/>
      <c r="M760" s="10"/>
      <c r="N760" s="30"/>
      <c r="O760" s="7">
        <f t="shared" si="214"/>
        <v>0</v>
      </c>
    </row>
    <row r="761" spans="1:16" x14ac:dyDescent="0.15">
      <c r="A761" s="14" t="s">
        <v>29</v>
      </c>
      <c r="B761" s="8"/>
      <c r="C761" s="10"/>
      <c r="D761" s="10"/>
      <c r="E761" s="10"/>
      <c r="F761" s="30">
        <v>1</v>
      </c>
      <c r="G761" s="7">
        <f t="shared" si="213"/>
        <v>1</v>
      </c>
      <c r="H761" s="57">
        <v>42990</v>
      </c>
      <c r="I761" s="16"/>
      <c r="J761" s="8"/>
      <c r="K761" s="10"/>
      <c r="L761" s="10"/>
      <c r="M761" s="10"/>
      <c r="N761" s="30"/>
      <c r="O761" s="7">
        <f t="shared" si="214"/>
        <v>0</v>
      </c>
    </row>
    <row r="762" spans="1:16" x14ac:dyDescent="0.15">
      <c r="A762" s="14" t="s">
        <v>110</v>
      </c>
      <c r="B762" s="8"/>
      <c r="C762" s="10">
        <v>6</v>
      </c>
      <c r="D762" s="10"/>
      <c r="E762" s="10"/>
      <c r="F762" s="30"/>
      <c r="G762" s="7">
        <f t="shared" si="213"/>
        <v>6</v>
      </c>
      <c r="H762" s="58">
        <v>42997</v>
      </c>
      <c r="I762" s="129"/>
      <c r="J762" s="8"/>
      <c r="K762" s="10"/>
      <c r="L762" s="10"/>
      <c r="M762" s="10"/>
      <c r="N762" s="30"/>
      <c r="O762" s="7">
        <f t="shared" si="214"/>
        <v>0</v>
      </c>
    </row>
    <row r="763" spans="1:16" x14ac:dyDescent="0.15">
      <c r="A763" s="14" t="s">
        <v>110</v>
      </c>
      <c r="B763" s="8"/>
      <c r="C763" s="10"/>
      <c r="D763" s="10"/>
      <c r="E763" s="10">
        <v>2</v>
      </c>
      <c r="F763" s="30"/>
      <c r="G763" s="7">
        <f t="shared" si="213"/>
        <v>2</v>
      </c>
      <c r="H763" s="58">
        <v>42998</v>
      </c>
      <c r="I763" s="129"/>
      <c r="J763" s="8"/>
      <c r="K763" s="10"/>
      <c r="L763" s="10"/>
      <c r="M763" s="10"/>
      <c r="N763" s="30"/>
      <c r="O763" s="7">
        <f t="shared" si="214"/>
        <v>0</v>
      </c>
    </row>
    <row r="764" spans="1:16" x14ac:dyDescent="0.15">
      <c r="A764" s="14" t="s">
        <v>25</v>
      </c>
      <c r="B764" s="8"/>
      <c r="C764" s="10"/>
      <c r="D764" s="10"/>
      <c r="E764" s="10"/>
      <c r="F764" s="30">
        <v>1</v>
      </c>
      <c r="G764" s="7">
        <f t="shared" si="213"/>
        <v>1</v>
      </c>
      <c r="H764" s="58">
        <v>42994</v>
      </c>
      <c r="I764" s="14"/>
      <c r="J764" s="8"/>
      <c r="K764" s="10"/>
      <c r="L764" s="10"/>
      <c r="M764" s="10"/>
      <c r="N764" s="30"/>
      <c r="O764" s="7">
        <f t="shared" si="214"/>
        <v>0</v>
      </c>
      <c r="P764" s="56"/>
    </row>
    <row r="765" spans="1:16" x14ac:dyDescent="0.15">
      <c r="A765" s="14" t="s">
        <v>110</v>
      </c>
      <c r="B765" s="8"/>
      <c r="C765" s="10"/>
      <c r="D765" s="10"/>
      <c r="E765" s="10"/>
      <c r="F765" s="30">
        <v>2</v>
      </c>
      <c r="G765" s="7">
        <f t="shared" si="213"/>
        <v>2</v>
      </c>
      <c r="H765" s="58">
        <v>43003</v>
      </c>
      <c r="I765" s="39"/>
      <c r="J765" s="11"/>
      <c r="K765" s="12"/>
      <c r="L765" s="12"/>
      <c r="M765" s="12"/>
      <c r="N765" s="31"/>
      <c r="O765" s="7">
        <f t="shared" si="214"/>
        <v>0</v>
      </c>
      <c r="P765" s="56"/>
    </row>
    <row r="766" spans="1:16" x14ac:dyDescent="0.15">
      <c r="A766" s="16" t="s">
        <v>182</v>
      </c>
      <c r="B766" s="8"/>
      <c r="C766" s="10"/>
      <c r="D766" s="10"/>
      <c r="E766" s="10"/>
      <c r="F766" s="30">
        <v>1</v>
      </c>
      <c r="G766" s="7">
        <f t="shared" si="213"/>
        <v>1</v>
      </c>
      <c r="H766" s="58">
        <v>42998</v>
      </c>
      <c r="I766" s="16"/>
      <c r="J766" s="8"/>
      <c r="K766" s="10"/>
      <c r="L766" s="10"/>
      <c r="M766" s="10"/>
      <c r="N766" s="30"/>
      <c r="O766" s="7">
        <f t="shared" si="214"/>
        <v>0</v>
      </c>
      <c r="P766" s="56"/>
    </row>
    <row r="767" spans="1:16" x14ac:dyDescent="0.15">
      <c r="A767" s="14" t="s">
        <v>110</v>
      </c>
      <c r="B767" s="11">
        <v>2</v>
      </c>
      <c r="C767" s="12"/>
      <c r="D767" s="12"/>
      <c r="E767" s="12"/>
      <c r="F767" s="31"/>
      <c r="G767" s="7">
        <f t="shared" si="213"/>
        <v>2</v>
      </c>
      <c r="H767" s="58">
        <v>43003</v>
      </c>
      <c r="I767" s="16"/>
      <c r="J767" s="8"/>
      <c r="K767" s="10"/>
      <c r="L767" s="10"/>
      <c r="M767" s="10"/>
      <c r="N767" s="30"/>
      <c r="O767" s="7">
        <f t="shared" si="214"/>
        <v>0</v>
      </c>
      <c r="P767" s="58"/>
    </row>
    <row r="768" spans="1:16" x14ac:dyDescent="0.15">
      <c r="A768" s="16" t="s">
        <v>329</v>
      </c>
      <c r="B768" s="8">
        <v>1</v>
      </c>
      <c r="C768" s="10">
        <v>1</v>
      </c>
      <c r="D768" s="10"/>
      <c r="E768" s="10"/>
      <c r="F768" s="30"/>
      <c r="G768" s="7">
        <f t="shared" si="213"/>
        <v>2</v>
      </c>
      <c r="H768" s="58">
        <v>42999</v>
      </c>
      <c r="I768" s="16"/>
      <c r="J768" s="11"/>
      <c r="K768" s="12"/>
      <c r="L768" s="12"/>
      <c r="M768" s="12"/>
      <c r="N768" s="31"/>
      <c r="O768" s="7">
        <f t="shared" si="214"/>
        <v>0</v>
      </c>
      <c r="P768" s="58"/>
    </row>
    <row r="769" spans="1:16" x14ac:dyDescent="0.15">
      <c r="A769" s="14" t="s">
        <v>22</v>
      </c>
      <c r="B769" s="8"/>
      <c r="C769" s="10">
        <v>10</v>
      </c>
      <c r="D769" s="10"/>
      <c r="E769" s="10"/>
      <c r="F769" s="30"/>
      <c r="G769" s="7">
        <f t="shared" si="213"/>
        <v>10</v>
      </c>
      <c r="H769" s="58">
        <v>43005</v>
      </c>
      <c r="I769" s="16"/>
      <c r="J769" s="8"/>
      <c r="K769" s="10"/>
      <c r="L769" s="10"/>
      <c r="M769" s="10"/>
      <c r="N769" s="30"/>
      <c r="O769" s="7">
        <f t="shared" si="214"/>
        <v>0</v>
      </c>
      <c r="P769" s="58"/>
    </row>
    <row r="770" spans="1:16" x14ac:dyDescent="0.15">
      <c r="A770" s="14" t="s">
        <v>22</v>
      </c>
      <c r="B770" s="8"/>
      <c r="C770" s="10">
        <v>10</v>
      </c>
      <c r="D770" s="10"/>
      <c r="E770" s="10"/>
      <c r="F770" s="30"/>
      <c r="G770" s="7">
        <f t="shared" si="213"/>
        <v>10</v>
      </c>
      <c r="H770" s="58">
        <v>43011</v>
      </c>
      <c r="I770" s="20"/>
      <c r="J770" s="11"/>
      <c r="K770" s="12"/>
      <c r="L770" s="12"/>
      <c r="M770" s="12"/>
      <c r="N770" s="31"/>
      <c r="O770" s="7">
        <f t="shared" si="214"/>
        <v>0</v>
      </c>
      <c r="P770" s="58"/>
    </row>
    <row r="771" spans="1:16" ht="14.25" thickBot="1" x14ac:dyDescent="0.2">
      <c r="A771" s="14" t="s">
        <v>110</v>
      </c>
      <c r="B771" s="11"/>
      <c r="C771" s="12"/>
      <c r="D771" s="12"/>
      <c r="E771" s="12">
        <v>3</v>
      </c>
      <c r="F771" s="31">
        <v>3</v>
      </c>
      <c r="G771" s="7">
        <f t="shared" si="213"/>
        <v>6</v>
      </c>
      <c r="H771" s="58">
        <v>43014</v>
      </c>
      <c r="I771" s="62"/>
      <c r="J771" s="8"/>
      <c r="K771" s="10"/>
      <c r="L771" s="10"/>
      <c r="M771" s="10"/>
      <c r="N771" s="30"/>
      <c r="O771" s="7">
        <f t="shared" si="214"/>
        <v>0</v>
      </c>
      <c r="P771" s="58"/>
    </row>
    <row r="772" spans="1:16" ht="14.25" thickBot="1" x14ac:dyDescent="0.2">
      <c r="A772" s="3" t="s">
        <v>11</v>
      </c>
      <c r="B772" s="23">
        <f>SUM(B746:B771)</f>
        <v>6</v>
      </c>
      <c r="C772" s="4">
        <f>SUM(C746:C771)</f>
        <v>37</v>
      </c>
      <c r="D772" s="4">
        <f>SUM(D746:D771)</f>
        <v>18</v>
      </c>
      <c r="E772" s="6">
        <f>SUM(E746:E771)</f>
        <v>6</v>
      </c>
      <c r="F772" s="32">
        <f>SUM(F746:F771)</f>
        <v>31</v>
      </c>
      <c r="G772" s="5">
        <f>SUM(B772:F772)</f>
        <v>98</v>
      </c>
      <c r="I772" s="3" t="s">
        <v>11</v>
      </c>
      <c r="J772" s="23">
        <f>SUM(J746:J771)</f>
        <v>0</v>
      </c>
      <c r="K772" s="4">
        <f>SUM(K746:K771)</f>
        <v>30</v>
      </c>
      <c r="L772" s="4">
        <f>SUM(L746:L771)</f>
        <v>10</v>
      </c>
      <c r="M772" s="6">
        <f>SUM(M746:M771)</f>
        <v>0</v>
      </c>
      <c r="N772" s="32">
        <f>SUM(N746:N771)</f>
        <v>20</v>
      </c>
      <c r="O772" s="5">
        <f>SUM(J772:N772)</f>
        <v>60</v>
      </c>
    </row>
    <row r="773" spans="1:16" ht="14.25" thickBot="1" x14ac:dyDescent="0.2">
      <c r="A773" s="25" t="s">
        <v>12</v>
      </c>
      <c r="B773" s="63">
        <f>B745-B772</f>
        <v>15</v>
      </c>
      <c r="C773" s="26">
        <f t="shared" ref="C773:G773" si="215">C745-C772</f>
        <v>12</v>
      </c>
      <c r="D773" s="71">
        <f t="shared" si="215"/>
        <v>12</v>
      </c>
      <c r="E773" s="26">
        <f t="shared" si="215"/>
        <v>11</v>
      </c>
      <c r="F773" s="70">
        <f t="shared" si="215"/>
        <v>10</v>
      </c>
      <c r="G773" s="27">
        <f t="shared" si="215"/>
        <v>60</v>
      </c>
      <c r="I773" s="25" t="s">
        <v>12</v>
      </c>
      <c r="J773" s="63">
        <f>J745-J772</f>
        <v>295</v>
      </c>
      <c r="K773" s="26">
        <f t="shared" ref="K773:O773" si="216">K745-K772</f>
        <v>323</v>
      </c>
      <c r="L773" s="71">
        <f t="shared" si="216"/>
        <v>294</v>
      </c>
      <c r="M773" s="26">
        <f t="shared" si="216"/>
        <v>262</v>
      </c>
      <c r="N773" s="70">
        <f t="shared" si="216"/>
        <v>229</v>
      </c>
      <c r="O773" s="27">
        <f t="shared" si="216"/>
        <v>1403</v>
      </c>
    </row>
    <row r="774" spans="1:16" ht="17.25" x14ac:dyDescent="0.2">
      <c r="A774" s="79" t="s">
        <v>56</v>
      </c>
      <c r="B774" s="80"/>
      <c r="C774" s="80"/>
      <c r="D774" s="80"/>
      <c r="E774" s="80"/>
      <c r="F774" s="80"/>
      <c r="G774" s="80"/>
      <c r="I774" s="79" t="s">
        <v>56</v>
      </c>
      <c r="J774" s="80"/>
      <c r="K774" s="80"/>
      <c r="L774" s="80"/>
      <c r="M774" s="80"/>
      <c r="N774" s="80"/>
      <c r="O774" s="1"/>
    </row>
    <row r="775" spans="1:16" ht="21.75" thickBot="1" x14ac:dyDescent="0.25">
      <c r="A775" s="82" t="s">
        <v>55</v>
      </c>
      <c r="B775" s="80"/>
      <c r="C775" s="80"/>
      <c r="D775" s="80"/>
      <c r="E775" s="81" t="s">
        <v>53</v>
      </c>
      <c r="F775" s="80"/>
      <c r="G775" s="80"/>
      <c r="I775" s="82" t="s">
        <v>55</v>
      </c>
      <c r="J775" s="80"/>
      <c r="K775" s="80"/>
      <c r="L775" s="80"/>
      <c r="M775" s="81" t="s">
        <v>54</v>
      </c>
      <c r="N775" s="80"/>
      <c r="O775" s="1"/>
    </row>
    <row r="776" spans="1:16" ht="14.25" thickBot="1" x14ac:dyDescent="0.2">
      <c r="A776" s="13" t="s">
        <v>0</v>
      </c>
      <c r="B776" s="228" t="s">
        <v>57</v>
      </c>
      <c r="C776" s="229"/>
      <c r="D776" s="229"/>
      <c r="E776" s="229"/>
      <c r="F776" s="230"/>
      <c r="G776" s="231"/>
      <c r="I776" s="13" t="s">
        <v>0</v>
      </c>
      <c r="J776" s="232" t="s">
        <v>57</v>
      </c>
      <c r="K776" s="233"/>
      <c r="L776" s="233"/>
      <c r="M776" s="233"/>
      <c r="N776" s="233"/>
      <c r="O776" s="234"/>
    </row>
    <row r="777" spans="1:16" ht="14.25" thickBot="1" x14ac:dyDescent="0.2">
      <c r="A777" s="3" t="s">
        <v>1</v>
      </c>
      <c r="B777" s="2" t="s">
        <v>42</v>
      </c>
      <c r="C777" s="21" t="s">
        <v>43</v>
      </c>
      <c r="D777" s="21" t="s">
        <v>44</v>
      </c>
      <c r="E777" s="24" t="s">
        <v>45</v>
      </c>
      <c r="F777" s="33" t="s">
        <v>46</v>
      </c>
      <c r="G777" s="3" t="s">
        <v>2</v>
      </c>
      <c r="I777" s="3" t="s">
        <v>1</v>
      </c>
      <c r="J777" s="2" t="s">
        <v>42</v>
      </c>
      <c r="K777" s="21" t="s">
        <v>43</v>
      </c>
      <c r="L777" s="21" t="s">
        <v>44</v>
      </c>
      <c r="M777" s="24" t="s">
        <v>45</v>
      </c>
      <c r="N777" s="33" t="s">
        <v>46</v>
      </c>
      <c r="O777" s="3" t="s">
        <v>2</v>
      </c>
    </row>
    <row r="778" spans="1:16" ht="14.25" thickBot="1" x14ac:dyDescent="0.2">
      <c r="A778" s="72" t="s">
        <v>79</v>
      </c>
      <c r="B778" s="73">
        <f>B773</f>
        <v>15</v>
      </c>
      <c r="C778" s="74">
        <f t="shared" ref="C778:F778" si="217">C773</f>
        <v>12</v>
      </c>
      <c r="D778" s="107">
        <f t="shared" si="217"/>
        <v>12</v>
      </c>
      <c r="E778" s="75">
        <f t="shared" si="217"/>
        <v>11</v>
      </c>
      <c r="F778" s="75">
        <f t="shared" si="217"/>
        <v>10</v>
      </c>
      <c r="G778" s="76">
        <f t="shared" ref="G778:G787" si="218">SUM(B778:F778)</f>
        <v>60</v>
      </c>
      <c r="I778" s="72" t="s">
        <v>79</v>
      </c>
      <c r="J778" s="73">
        <f>J773</f>
        <v>295</v>
      </c>
      <c r="K778" s="74">
        <f t="shared" ref="K778:N778" si="219">K773</f>
        <v>323</v>
      </c>
      <c r="L778" s="107">
        <f t="shared" si="219"/>
        <v>294</v>
      </c>
      <c r="M778" s="75">
        <f t="shared" si="219"/>
        <v>262</v>
      </c>
      <c r="N778" s="75">
        <f t="shared" si="219"/>
        <v>229</v>
      </c>
      <c r="O778" s="76">
        <f t="shared" ref="O778:O787" si="220">SUM(J778:N778)</f>
        <v>1403</v>
      </c>
    </row>
    <row r="779" spans="1:16" x14ac:dyDescent="0.15">
      <c r="A779" s="38" t="s">
        <v>15</v>
      </c>
      <c r="B779" s="37"/>
      <c r="C779" s="35"/>
      <c r="D779" s="35"/>
      <c r="E779" s="35">
        <v>10</v>
      </c>
      <c r="F779" s="28">
        <v>10</v>
      </c>
      <c r="G779" s="7">
        <f t="shared" si="218"/>
        <v>20</v>
      </c>
      <c r="H779" s="58">
        <v>43013</v>
      </c>
      <c r="I779" s="38" t="s">
        <v>15</v>
      </c>
      <c r="J779" s="8"/>
      <c r="K779" s="10"/>
      <c r="L779" s="10"/>
      <c r="M779" s="10"/>
      <c r="N779" s="30"/>
      <c r="O779" s="7">
        <f t="shared" si="220"/>
        <v>0</v>
      </c>
    </row>
    <row r="780" spans="1:16" x14ac:dyDescent="0.15">
      <c r="A780" s="38" t="s">
        <v>16</v>
      </c>
      <c r="B780" s="8">
        <v>10</v>
      </c>
      <c r="C780" s="10"/>
      <c r="D780" s="10"/>
      <c r="E780" s="10"/>
      <c r="F780" s="28"/>
      <c r="G780" s="9">
        <f t="shared" si="218"/>
        <v>10</v>
      </c>
      <c r="H780" s="58">
        <v>43026</v>
      </c>
      <c r="I780" s="15" t="s">
        <v>3</v>
      </c>
      <c r="J780" s="8"/>
      <c r="K780" s="10"/>
      <c r="L780" s="10"/>
      <c r="M780" s="10"/>
      <c r="N780" s="28"/>
      <c r="O780" s="9">
        <f t="shared" si="220"/>
        <v>0</v>
      </c>
    </row>
    <row r="781" spans="1:16" x14ac:dyDescent="0.15">
      <c r="A781" s="38" t="s">
        <v>271</v>
      </c>
      <c r="B781" s="8"/>
      <c r="C781" s="10"/>
      <c r="D781" s="10">
        <v>1</v>
      </c>
      <c r="E781" s="10"/>
      <c r="F781" s="28"/>
      <c r="G781" s="9">
        <f t="shared" si="218"/>
        <v>1</v>
      </c>
      <c r="H781" s="57">
        <v>43026</v>
      </c>
      <c r="I781" s="15" t="s">
        <v>18</v>
      </c>
      <c r="J781" s="8"/>
      <c r="K781" s="10"/>
      <c r="L781" s="10"/>
      <c r="M781" s="10"/>
      <c r="N781" s="28"/>
      <c r="O781" s="9">
        <f t="shared" si="220"/>
        <v>0</v>
      </c>
    </row>
    <row r="782" spans="1:16" x14ac:dyDescent="0.15">
      <c r="A782" s="38" t="s">
        <v>19</v>
      </c>
      <c r="B782" s="8"/>
      <c r="C782" s="10">
        <v>1</v>
      </c>
      <c r="D782" s="10">
        <v>1</v>
      </c>
      <c r="E782" s="10"/>
      <c r="F782" s="28">
        <v>1</v>
      </c>
      <c r="G782" s="9">
        <f t="shared" si="218"/>
        <v>3</v>
      </c>
      <c r="H782" s="57">
        <v>43029</v>
      </c>
      <c r="I782" s="15" t="s">
        <v>20</v>
      </c>
      <c r="J782" s="8"/>
      <c r="K782" s="10"/>
      <c r="L782" s="10"/>
      <c r="M782" s="10"/>
      <c r="N782" s="28"/>
      <c r="O782" s="9">
        <f t="shared" si="220"/>
        <v>0</v>
      </c>
    </row>
    <row r="783" spans="1:16" x14ac:dyDescent="0.15">
      <c r="A783" s="38" t="s">
        <v>80</v>
      </c>
      <c r="B783" s="8"/>
      <c r="C783" s="10"/>
      <c r="D783" s="10"/>
      <c r="E783" s="10">
        <v>10</v>
      </c>
      <c r="F783" s="28"/>
      <c r="G783" s="9">
        <f t="shared" si="218"/>
        <v>10</v>
      </c>
      <c r="H783" s="58">
        <v>43040</v>
      </c>
      <c r="I783" s="15" t="s">
        <v>80</v>
      </c>
      <c r="J783" s="8"/>
      <c r="K783" s="10"/>
      <c r="L783" s="10"/>
      <c r="M783" s="10"/>
      <c r="N783" s="28"/>
      <c r="O783" s="9">
        <f t="shared" si="220"/>
        <v>0</v>
      </c>
    </row>
    <row r="784" spans="1:16" x14ac:dyDescent="0.15">
      <c r="A784" s="38" t="s">
        <v>81</v>
      </c>
      <c r="B784" s="8">
        <v>5</v>
      </c>
      <c r="C784" s="10">
        <v>10</v>
      </c>
      <c r="D784" s="10">
        <v>5</v>
      </c>
      <c r="E784" s="10">
        <v>5</v>
      </c>
      <c r="F784" s="28">
        <v>5</v>
      </c>
      <c r="G784" s="9">
        <f t="shared" si="218"/>
        <v>30</v>
      </c>
      <c r="H784" s="58">
        <v>43052</v>
      </c>
      <c r="I784" s="15" t="s">
        <v>81</v>
      </c>
      <c r="J784" s="8"/>
      <c r="K784" s="10"/>
      <c r="L784" s="10"/>
      <c r="M784" s="10"/>
      <c r="N784" s="28"/>
      <c r="O784" s="9">
        <f t="shared" si="220"/>
        <v>0</v>
      </c>
    </row>
    <row r="785" spans="1:20" x14ac:dyDescent="0.15">
      <c r="A785" s="38" t="s">
        <v>82</v>
      </c>
      <c r="B785" s="8"/>
      <c r="C785" s="10">
        <v>10</v>
      </c>
      <c r="D785" s="10">
        <v>10</v>
      </c>
      <c r="E785" s="10"/>
      <c r="F785" s="30">
        <v>10</v>
      </c>
      <c r="G785" s="7">
        <f t="shared" si="218"/>
        <v>30</v>
      </c>
      <c r="H785" s="58">
        <v>43059</v>
      </c>
      <c r="I785" s="15" t="s">
        <v>82</v>
      </c>
      <c r="J785" s="8"/>
      <c r="K785" s="10"/>
      <c r="L785" s="10"/>
      <c r="M785" s="10"/>
      <c r="N785" s="28"/>
      <c r="O785" s="9">
        <f t="shared" si="220"/>
        <v>0</v>
      </c>
    </row>
    <row r="786" spans="1:20" x14ac:dyDescent="0.15">
      <c r="A786" s="38" t="s">
        <v>83</v>
      </c>
      <c r="B786" s="11"/>
      <c r="C786" s="100"/>
      <c r="D786" s="100"/>
      <c r="E786" s="100"/>
      <c r="F786" s="101"/>
      <c r="G786" s="102">
        <f t="shared" si="218"/>
        <v>0</v>
      </c>
      <c r="I786" s="15" t="s">
        <v>83</v>
      </c>
      <c r="J786" s="8"/>
      <c r="K786" s="10"/>
      <c r="L786" s="10"/>
      <c r="M786" s="10"/>
      <c r="N786" s="30"/>
      <c r="O786" s="7">
        <f t="shared" si="220"/>
        <v>0</v>
      </c>
      <c r="P786" s="125"/>
      <c r="Q786" s="137"/>
      <c r="R786" s="68"/>
      <c r="S786" s="68"/>
      <c r="T786" s="68"/>
    </row>
    <row r="787" spans="1:20" ht="14.25" thickBot="1" x14ac:dyDescent="0.2">
      <c r="A787" s="38" t="s">
        <v>159</v>
      </c>
      <c r="B787" s="11"/>
      <c r="C787" s="100"/>
      <c r="D787" s="100"/>
      <c r="E787" s="100"/>
      <c r="F787" s="101"/>
      <c r="G787" s="102">
        <f t="shared" si="218"/>
        <v>0</v>
      </c>
      <c r="I787" s="15" t="s">
        <v>87</v>
      </c>
      <c r="J787" s="11"/>
      <c r="K787" s="100"/>
      <c r="L787" s="100"/>
      <c r="M787" s="100"/>
      <c r="N787" s="101"/>
      <c r="O787" s="102">
        <f t="shared" si="220"/>
        <v>0</v>
      </c>
    </row>
    <row r="788" spans="1:20" ht="14.25" thickBot="1" x14ac:dyDescent="0.2">
      <c r="A788" s="72" t="s">
        <v>7</v>
      </c>
      <c r="B788" s="73">
        <f>SUM(B778:B787)</f>
        <v>30</v>
      </c>
      <c r="C788" s="74">
        <f t="shared" ref="C788:G788" si="221">SUM(C778:C787)</f>
        <v>33</v>
      </c>
      <c r="D788" s="74">
        <f t="shared" si="221"/>
        <v>29</v>
      </c>
      <c r="E788" s="74">
        <f t="shared" si="221"/>
        <v>36</v>
      </c>
      <c r="F788" s="105">
        <f t="shared" si="221"/>
        <v>36</v>
      </c>
      <c r="G788" s="76">
        <f t="shared" si="221"/>
        <v>164</v>
      </c>
      <c r="I788" s="72" t="s">
        <v>7</v>
      </c>
      <c r="J788" s="73">
        <f>SUM(J778:J787)</f>
        <v>295</v>
      </c>
      <c r="K788" s="74">
        <f t="shared" ref="K788:O788" si="222">SUM(K778:K787)</f>
        <v>323</v>
      </c>
      <c r="L788" s="74">
        <f t="shared" si="222"/>
        <v>294</v>
      </c>
      <c r="M788" s="74">
        <f t="shared" si="222"/>
        <v>262</v>
      </c>
      <c r="N788" s="105">
        <f t="shared" si="222"/>
        <v>229</v>
      </c>
      <c r="O788" s="76">
        <f t="shared" si="222"/>
        <v>1403</v>
      </c>
    </row>
    <row r="789" spans="1:20" x14ac:dyDescent="0.15">
      <c r="A789" s="38" t="s">
        <v>548</v>
      </c>
      <c r="B789" s="8"/>
      <c r="C789" s="10"/>
      <c r="D789" s="10"/>
      <c r="E789" s="10"/>
      <c r="F789" s="30">
        <v>1</v>
      </c>
      <c r="G789" s="7">
        <f t="shared" ref="G789:G814" si="223">SUM(B789:F789)</f>
        <v>1</v>
      </c>
      <c r="H789" s="57">
        <v>43010</v>
      </c>
      <c r="I789" s="16" t="s">
        <v>550</v>
      </c>
      <c r="J789" s="17"/>
      <c r="K789" s="22"/>
      <c r="L789" s="22"/>
      <c r="M789" s="22">
        <v>10</v>
      </c>
      <c r="N789" s="29">
        <v>10</v>
      </c>
      <c r="O789" s="18">
        <f t="shared" ref="O789:O814" si="224">SUM(J789:N789)</f>
        <v>20</v>
      </c>
      <c r="P789" s="58">
        <v>43013</v>
      </c>
    </row>
    <row r="790" spans="1:20" x14ac:dyDescent="0.15">
      <c r="A790" s="14" t="s">
        <v>549</v>
      </c>
      <c r="B790" s="8"/>
      <c r="C790" s="10"/>
      <c r="D790" s="10"/>
      <c r="E790" s="10">
        <v>10</v>
      </c>
      <c r="F790" s="30"/>
      <c r="G790" s="7">
        <f t="shared" si="223"/>
        <v>10</v>
      </c>
      <c r="H790" s="58">
        <v>43018</v>
      </c>
      <c r="I790" s="16" t="s">
        <v>24</v>
      </c>
      <c r="J790" s="8">
        <v>10</v>
      </c>
      <c r="K790" s="10"/>
      <c r="L790" s="10"/>
      <c r="M790" s="10"/>
      <c r="N790" s="28"/>
      <c r="O790" s="9">
        <f t="shared" si="224"/>
        <v>10</v>
      </c>
      <c r="P790" s="58">
        <v>43026</v>
      </c>
    </row>
    <row r="791" spans="1:20" x14ac:dyDescent="0.15">
      <c r="A791" s="14" t="s">
        <v>110</v>
      </c>
      <c r="B791" s="8"/>
      <c r="C791" s="10"/>
      <c r="D791" s="10">
        <v>2</v>
      </c>
      <c r="E791" s="10">
        <v>3</v>
      </c>
      <c r="F791" s="30">
        <v>3</v>
      </c>
      <c r="G791" s="7">
        <f t="shared" si="223"/>
        <v>8</v>
      </c>
      <c r="H791" s="58">
        <v>43021</v>
      </c>
      <c r="I791" s="16" t="s">
        <v>24</v>
      </c>
      <c r="J791" s="8"/>
      <c r="K791" s="10"/>
      <c r="L791" s="10"/>
      <c r="M791" s="10">
        <v>10</v>
      </c>
      <c r="N791" s="30"/>
      <c r="O791" s="7">
        <f t="shared" si="224"/>
        <v>10</v>
      </c>
      <c r="P791" s="58">
        <v>43040</v>
      </c>
      <c r="Q791" s="56"/>
    </row>
    <row r="792" spans="1:20" x14ac:dyDescent="0.15">
      <c r="A792" s="38" t="s">
        <v>29</v>
      </c>
      <c r="B792" s="8">
        <v>1</v>
      </c>
      <c r="C792" s="10"/>
      <c r="D792" s="10"/>
      <c r="E792" s="10"/>
      <c r="F792" s="30"/>
      <c r="G792" s="7">
        <f t="shared" si="223"/>
        <v>1</v>
      </c>
      <c r="H792" s="58">
        <v>43018</v>
      </c>
      <c r="I792" s="16" t="s">
        <v>24</v>
      </c>
      <c r="J792" s="8">
        <v>5</v>
      </c>
      <c r="K792" s="10">
        <v>10</v>
      </c>
      <c r="L792" s="10">
        <v>5</v>
      </c>
      <c r="M792" s="10">
        <v>5</v>
      </c>
      <c r="N792" s="30">
        <v>5</v>
      </c>
      <c r="O792" s="7">
        <f t="shared" si="224"/>
        <v>30</v>
      </c>
      <c r="P792" s="58">
        <v>43052</v>
      </c>
      <c r="Q792" s="56"/>
    </row>
    <row r="793" spans="1:20" x14ac:dyDescent="0.15">
      <c r="A793" s="16" t="s">
        <v>117</v>
      </c>
      <c r="B793" s="8"/>
      <c r="C793" s="10">
        <v>1</v>
      </c>
      <c r="D793" s="10"/>
      <c r="E793" s="10"/>
      <c r="F793" s="30"/>
      <c r="G793" s="7">
        <f t="shared" si="223"/>
        <v>1</v>
      </c>
      <c r="H793" s="58">
        <v>43025</v>
      </c>
      <c r="I793" s="16" t="s">
        <v>24</v>
      </c>
      <c r="J793" s="8"/>
      <c r="K793" s="10">
        <v>10</v>
      </c>
      <c r="L793" s="10">
        <v>10</v>
      </c>
      <c r="M793" s="10"/>
      <c r="N793" s="30">
        <v>10</v>
      </c>
      <c r="O793" s="7">
        <f t="shared" si="224"/>
        <v>30</v>
      </c>
      <c r="P793" s="58">
        <v>43059</v>
      </c>
    </row>
    <row r="794" spans="1:20" x14ac:dyDescent="0.15">
      <c r="A794" s="14" t="s">
        <v>22</v>
      </c>
      <c r="B794" s="8">
        <v>10</v>
      </c>
      <c r="C794" s="10"/>
      <c r="D794" s="10"/>
      <c r="E794" s="10"/>
      <c r="F794" s="30"/>
      <c r="G794" s="7">
        <f t="shared" si="223"/>
        <v>10</v>
      </c>
      <c r="H794" s="58">
        <v>43031</v>
      </c>
      <c r="I794" s="16"/>
      <c r="J794" s="8"/>
      <c r="K794" s="10"/>
      <c r="L794" s="10"/>
      <c r="M794" s="10"/>
      <c r="N794" s="30"/>
      <c r="O794" s="7">
        <f t="shared" si="224"/>
        <v>0</v>
      </c>
    </row>
    <row r="795" spans="1:20" x14ac:dyDescent="0.15">
      <c r="A795" s="14" t="s">
        <v>29</v>
      </c>
      <c r="B795" s="8"/>
      <c r="C795" s="10"/>
      <c r="D795" s="10"/>
      <c r="E795" s="10">
        <v>1</v>
      </c>
      <c r="F795" s="30"/>
      <c r="G795" s="7">
        <f t="shared" si="223"/>
        <v>1</v>
      </c>
      <c r="H795" s="58">
        <v>43029</v>
      </c>
      <c r="I795" s="16"/>
      <c r="J795" s="8"/>
      <c r="K795" s="10"/>
      <c r="L795" s="10"/>
      <c r="M795" s="10"/>
      <c r="N795" s="30"/>
      <c r="O795" s="7">
        <f t="shared" si="224"/>
        <v>0</v>
      </c>
    </row>
    <row r="796" spans="1:20" x14ac:dyDescent="0.15">
      <c r="A796" s="14" t="s">
        <v>110</v>
      </c>
      <c r="B796" s="8">
        <v>2</v>
      </c>
      <c r="C796" s="10"/>
      <c r="D796" s="10"/>
      <c r="E796" s="10"/>
      <c r="F796" s="30"/>
      <c r="G796" s="7">
        <f t="shared" ref="G796" si="225">SUM(B796:F796)</f>
        <v>2</v>
      </c>
      <c r="H796" s="58">
        <v>43035</v>
      </c>
      <c r="I796" s="16"/>
      <c r="J796" s="8"/>
      <c r="K796" s="10"/>
      <c r="L796" s="10"/>
      <c r="M796" s="10"/>
      <c r="N796" s="30"/>
      <c r="O796" s="7">
        <f t="shared" si="224"/>
        <v>0</v>
      </c>
    </row>
    <row r="797" spans="1:20" x14ac:dyDescent="0.15">
      <c r="A797" s="14" t="s">
        <v>110</v>
      </c>
      <c r="B797" s="8">
        <v>2</v>
      </c>
      <c r="C797" s="10"/>
      <c r="D797" s="10"/>
      <c r="E797" s="10">
        <v>3</v>
      </c>
      <c r="F797" s="30"/>
      <c r="G797" s="7">
        <f t="shared" si="223"/>
        <v>5</v>
      </c>
      <c r="H797" s="58">
        <v>43040</v>
      </c>
      <c r="I797" s="39"/>
      <c r="J797" s="8"/>
      <c r="K797" s="10"/>
      <c r="L797" s="10"/>
      <c r="M797" s="10"/>
      <c r="N797" s="30"/>
      <c r="O797" s="7">
        <f t="shared" si="224"/>
        <v>0</v>
      </c>
    </row>
    <row r="798" spans="1:20" x14ac:dyDescent="0.15">
      <c r="A798" s="14" t="s">
        <v>557</v>
      </c>
      <c r="B798" s="11"/>
      <c r="C798" s="12">
        <v>1</v>
      </c>
      <c r="D798" s="12">
        <v>1</v>
      </c>
      <c r="E798" s="12"/>
      <c r="F798" s="31"/>
      <c r="G798" s="7">
        <f t="shared" si="223"/>
        <v>2</v>
      </c>
      <c r="H798" s="58">
        <v>43036</v>
      </c>
      <c r="I798" s="16"/>
      <c r="J798" s="11"/>
      <c r="K798" s="12"/>
      <c r="L798" s="12"/>
      <c r="M798" s="12"/>
      <c r="N798" s="31"/>
      <c r="O798" s="7">
        <f t="shared" si="224"/>
        <v>0</v>
      </c>
    </row>
    <row r="799" spans="1:20" x14ac:dyDescent="0.15">
      <c r="A799" s="14" t="s">
        <v>25</v>
      </c>
      <c r="B799" s="11"/>
      <c r="C799" s="12"/>
      <c r="D799" s="12"/>
      <c r="E799" s="12"/>
      <c r="F799" s="31">
        <v>2</v>
      </c>
      <c r="G799" s="7">
        <f t="shared" si="223"/>
        <v>2</v>
      </c>
      <c r="H799" s="58">
        <v>43043</v>
      </c>
      <c r="I799" s="16"/>
      <c r="J799" s="8"/>
      <c r="K799" s="10"/>
      <c r="L799" s="10"/>
      <c r="M799" s="10"/>
      <c r="N799" s="30"/>
      <c r="O799" s="7">
        <f t="shared" si="224"/>
        <v>0</v>
      </c>
    </row>
    <row r="800" spans="1:20" x14ac:dyDescent="0.15">
      <c r="A800" s="14" t="s">
        <v>25</v>
      </c>
      <c r="B800" s="8">
        <v>1</v>
      </c>
      <c r="C800" s="10">
        <v>2</v>
      </c>
      <c r="D800" s="10"/>
      <c r="E800" s="10"/>
      <c r="F800" s="30"/>
      <c r="G800" s="7">
        <f t="shared" si="223"/>
        <v>3</v>
      </c>
      <c r="H800" s="58">
        <v>43046</v>
      </c>
      <c r="I800" s="39"/>
      <c r="J800" s="8"/>
      <c r="K800" s="10"/>
      <c r="L800" s="10"/>
      <c r="M800" s="10"/>
      <c r="N800" s="30"/>
      <c r="O800" s="7">
        <f t="shared" si="224"/>
        <v>0</v>
      </c>
    </row>
    <row r="801" spans="1:19" x14ac:dyDescent="0.15">
      <c r="A801" s="14" t="s">
        <v>25</v>
      </c>
      <c r="B801" s="8">
        <v>1</v>
      </c>
      <c r="C801" s="10">
        <v>6</v>
      </c>
      <c r="D801" s="10">
        <v>2</v>
      </c>
      <c r="E801" s="10">
        <v>5</v>
      </c>
      <c r="F801" s="30">
        <v>2</v>
      </c>
      <c r="G801" s="7">
        <f t="shared" si="223"/>
        <v>16</v>
      </c>
      <c r="H801" s="58">
        <v>43048</v>
      </c>
      <c r="I801" s="16"/>
      <c r="J801" s="8"/>
      <c r="K801" s="10"/>
      <c r="L801" s="10"/>
      <c r="M801" s="10"/>
      <c r="N801" s="30"/>
      <c r="O801" s="7">
        <f t="shared" si="224"/>
        <v>0</v>
      </c>
    </row>
    <row r="802" spans="1:19" x14ac:dyDescent="0.15">
      <c r="A802" s="16" t="s">
        <v>570</v>
      </c>
      <c r="B802" s="8">
        <v>1</v>
      </c>
      <c r="C802" s="10"/>
      <c r="D802" s="10"/>
      <c r="E802" s="10"/>
      <c r="F802" s="30"/>
      <c r="G802" s="7">
        <f t="shared" si="223"/>
        <v>1</v>
      </c>
      <c r="H802" s="57">
        <v>43048</v>
      </c>
      <c r="I802" s="16"/>
      <c r="J802" s="8"/>
      <c r="K802" s="10"/>
      <c r="L802" s="10"/>
      <c r="M802" s="10"/>
      <c r="N802" s="30"/>
      <c r="O802" s="7">
        <f t="shared" si="224"/>
        <v>0</v>
      </c>
    </row>
    <row r="803" spans="1:19" x14ac:dyDescent="0.15">
      <c r="A803" s="14" t="s">
        <v>25</v>
      </c>
      <c r="B803" s="8"/>
      <c r="C803" s="10"/>
      <c r="D803" s="10">
        <v>2</v>
      </c>
      <c r="E803" s="10">
        <v>2</v>
      </c>
      <c r="F803" s="30">
        <v>2</v>
      </c>
      <c r="G803" s="7">
        <f t="shared" si="223"/>
        <v>6</v>
      </c>
      <c r="H803" s="58">
        <v>43050</v>
      </c>
      <c r="I803" s="16"/>
      <c r="J803" s="8"/>
      <c r="K803" s="10"/>
      <c r="L803" s="10"/>
      <c r="M803" s="10"/>
      <c r="N803" s="30"/>
      <c r="O803" s="7">
        <f t="shared" si="224"/>
        <v>0</v>
      </c>
    </row>
    <row r="804" spans="1:19" x14ac:dyDescent="0.15">
      <c r="A804" s="14" t="s">
        <v>110</v>
      </c>
      <c r="B804" s="8"/>
      <c r="C804" s="10"/>
      <c r="D804" s="10">
        <v>3</v>
      </c>
      <c r="E804" s="10"/>
      <c r="F804" s="30"/>
      <c r="G804" s="7">
        <f t="shared" si="223"/>
        <v>3</v>
      </c>
      <c r="H804" s="58">
        <v>43059</v>
      </c>
      <c r="I804" s="16"/>
      <c r="J804" s="8"/>
      <c r="K804" s="10"/>
      <c r="L804" s="10"/>
      <c r="M804" s="10"/>
      <c r="N804" s="30"/>
      <c r="O804" s="7">
        <f t="shared" si="224"/>
        <v>0</v>
      </c>
    </row>
    <row r="805" spans="1:19" x14ac:dyDescent="0.15">
      <c r="A805" s="14" t="s">
        <v>25</v>
      </c>
      <c r="B805" s="8"/>
      <c r="C805" s="10"/>
      <c r="D805" s="10">
        <v>1</v>
      </c>
      <c r="E805" s="10"/>
      <c r="F805" s="30">
        <v>1</v>
      </c>
      <c r="G805" s="7">
        <f t="shared" si="223"/>
        <v>2</v>
      </c>
      <c r="H805" s="58">
        <v>43055</v>
      </c>
      <c r="I805" s="129"/>
      <c r="J805" s="8"/>
      <c r="K805" s="10"/>
      <c r="L805" s="10"/>
      <c r="M805" s="10"/>
      <c r="N805" s="30"/>
      <c r="O805" s="7">
        <f t="shared" si="224"/>
        <v>0</v>
      </c>
    </row>
    <row r="806" spans="1:19" x14ac:dyDescent="0.15">
      <c r="A806" s="14" t="s">
        <v>572</v>
      </c>
      <c r="B806" s="8"/>
      <c r="C806" s="10">
        <v>1</v>
      </c>
      <c r="D806" s="10"/>
      <c r="E806" s="10"/>
      <c r="F806" s="30"/>
      <c r="G806" s="7">
        <f t="shared" si="223"/>
        <v>1</v>
      </c>
      <c r="H806" s="57">
        <v>43054</v>
      </c>
      <c r="I806" s="129"/>
      <c r="J806" s="8"/>
      <c r="K806" s="10"/>
      <c r="L806" s="10"/>
      <c r="M806" s="10"/>
      <c r="N806" s="30"/>
      <c r="O806" s="7">
        <f t="shared" si="224"/>
        <v>0</v>
      </c>
    </row>
    <row r="807" spans="1:19" x14ac:dyDescent="0.15">
      <c r="A807" s="14" t="s">
        <v>22</v>
      </c>
      <c r="B807" s="8"/>
      <c r="C807" s="10">
        <v>10</v>
      </c>
      <c r="D807" s="10"/>
      <c r="E807" s="10"/>
      <c r="F807" s="30">
        <v>10</v>
      </c>
      <c r="G807" s="7">
        <f t="shared" si="223"/>
        <v>20</v>
      </c>
      <c r="H807" s="58">
        <v>43063</v>
      </c>
      <c r="I807" s="14"/>
      <c r="J807" s="8"/>
      <c r="K807" s="10"/>
      <c r="L807" s="10"/>
      <c r="M807" s="10"/>
      <c r="N807" s="30"/>
      <c r="O807" s="7">
        <f t="shared" si="224"/>
        <v>0</v>
      </c>
    </row>
    <row r="808" spans="1:19" x14ac:dyDescent="0.15">
      <c r="A808" s="14" t="s">
        <v>25</v>
      </c>
      <c r="B808" s="8"/>
      <c r="C808" s="10">
        <v>1</v>
      </c>
      <c r="D808" s="10"/>
      <c r="E808" s="10"/>
      <c r="F808" s="30"/>
      <c r="G808" s="7">
        <f t="shared" si="223"/>
        <v>1</v>
      </c>
      <c r="H808" s="58">
        <v>43060</v>
      </c>
      <c r="I808" s="16"/>
      <c r="J808" s="11"/>
      <c r="K808" s="12"/>
      <c r="L808" s="12"/>
      <c r="M808" s="12"/>
      <c r="N808" s="31"/>
      <c r="O808" s="7">
        <f t="shared" si="224"/>
        <v>0</v>
      </c>
    </row>
    <row r="809" spans="1:19" x14ac:dyDescent="0.15">
      <c r="A809" s="14" t="s">
        <v>29</v>
      </c>
      <c r="B809" s="8"/>
      <c r="C809" s="10"/>
      <c r="D809" s="10"/>
      <c r="E809" s="10"/>
      <c r="F809" s="30">
        <v>1</v>
      </c>
      <c r="G809" s="7">
        <f t="shared" si="223"/>
        <v>1</v>
      </c>
      <c r="H809" s="57">
        <v>43057</v>
      </c>
      <c r="I809" s="16"/>
      <c r="J809" s="8"/>
      <c r="K809" s="10"/>
      <c r="L809" s="10"/>
      <c r="M809" s="10"/>
      <c r="N809" s="30"/>
      <c r="O809" s="7">
        <f t="shared" si="224"/>
        <v>0</v>
      </c>
    </row>
    <row r="810" spans="1:19" x14ac:dyDescent="0.15">
      <c r="A810" s="14" t="s">
        <v>29</v>
      </c>
      <c r="B810" s="8"/>
      <c r="C810" s="10"/>
      <c r="D810" s="10"/>
      <c r="E810" s="10"/>
      <c r="F810" s="30">
        <v>1</v>
      </c>
      <c r="G810" s="7">
        <f t="shared" ref="G810" si="226">SUM(B810:F810)</f>
        <v>1</v>
      </c>
      <c r="H810" s="57">
        <v>43059</v>
      </c>
      <c r="I810" s="16"/>
      <c r="J810" s="8"/>
      <c r="K810" s="10"/>
      <c r="L810" s="10"/>
      <c r="M810" s="10"/>
      <c r="N810" s="30"/>
      <c r="O810" s="7">
        <f t="shared" si="224"/>
        <v>0</v>
      </c>
    </row>
    <row r="811" spans="1:19" x14ac:dyDescent="0.15">
      <c r="A811" s="14" t="s">
        <v>25</v>
      </c>
      <c r="B811" s="8"/>
      <c r="C811" s="10">
        <v>2</v>
      </c>
      <c r="D811" s="10">
        <v>1</v>
      </c>
      <c r="E811" s="10"/>
      <c r="F811" s="30"/>
      <c r="G811" s="7">
        <f t="shared" si="223"/>
        <v>3</v>
      </c>
      <c r="H811" s="58">
        <v>43061</v>
      </c>
      <c r="I811" s="16"/>
      <c r="J811" s="11"/>
      <c r="K811" s="12"/>
      <c r="L811" s="12"/>
      <c r="M811" s="12"/>
      <c r="N811" s="31"/>
      <c r="O811" s="7">
        <f t="shared" si="224"/>
        <v>0</v>
      </c>
    </row>
    <row r="812" spans="1:19" x14ac:dyDescent="0.15">
      <c r="A812" s="14" t="s">
        <v>22</v>
      </c>
      <c r="B812" s="8"/>
      <c r="C812" s="10"/>
      <c r="D812" s="10">
        <v>10</v>
      </c>
      <c r="E812" s="10">
        <v>10</v>
      </c>
      <c r="F812" s="30"/>
      <c r="G812" s="7">
        <f t="shared" si="223"/>
        <v>20</v>
      </c>
      <c r="H812" s="58">
        <v>43066</v>
      </c>
      <c r="I812" s="16"/>
      <c r="J812" s="8"/>
      <c r="K812" s="10"/>
      <c r="L812" s="10"/>
      <c r="M812" s="10"/>
      <c r="N812" s="30"/>
      <c r="O812" s="7">
        <f t="shared" si="224"/>
        <v>0</v>
      </c>
    </row>
    <row r="813" spans="1:19" x14ac:dyDescent="0.15">
      <c r="A813" s="16" t="s">
        <v>182</v>
      </c>
      <c r="B813" s="8">
        <v>1</v>
      </c>
      <c r="C813" s="10"/>
      <c r="D813" s="10"/>
      <c r="E813" s="10"/>
      <c r="F813" s="30"/>
      <c r="G813" s="7">
        <f t="shared" si="223"/>
        <v>1</v>
      </c>
      <c r="H813" s="58">
        <v>43066</v>
      </c>
      <c r="I813" s="20"/>
      <c r="J813" s="11"/>
      <c r="K813" s="12"/>
      <c r="L813" s="12"/>
      <c r="M813" s="12"/>
      <c r="N813" s="31"/>
      <c r="O813" s="7">
        <f t="shared" si="224"/>
        <v>0</v>
      </c>
    </row>
    <row r="814" spans="1:19" ht="14.25" thickBot="1" x14ac:dyDescent="0.2">
      <c r="A814" s="14" t="s">
        <v>25</v>
      </c>
      <c r="B814" s="11">
        <v>1</v>
      </c>
      <c r="C814" s="12"/>
      <c r="D814" s="12">
        <v>1</v>
      </c>
      <c r="E814" s="12"/>
      <c r="F814" s="31"/>
      <c r="G814" s="7">
        <f t="shared" si="223"/>
        <v>2</v>
      </c>
      <c r="H814" s="58">
        <v>43067</v>
      </c>
      <c r="I814" s="62"/>
      <c r="J814" s="8"/>
      <c r="K814" s="10"/>
      <c r="L814" s="10"/>
      <c r="M814" s="10"/>
      <c r="N814" s="30"/>
      <c r="O814" s="7">
        <f t="shared" si="224"/>
        <v>0</v>
      </c>
      <c r="P814" s="58"/>
      <c r="Q814" s="138"/>
      <c r="R814" s="138"/>
      <c r="S814" s="138"/>
    </row>
    <row r="815" spans="1:19" ht="14.25" thickBot="1" x14ac:dyDescent="0.2">
      <c r="A815" s="3" t="s">
        <v>11</v>
      </c>
      <c r="B815" s="23">
        <f>SUM(B789:B814)</f>
        <v>20</v>
      </c>
      <c r="C815" s="4">
        <f>SUM(C789:C814)</f>
        <v>24</v>
      </c>
      <c r="D815" s="4">
        <f>SUM(D789:D814)</f>
        <v>23</v>
      </c>
      <c r="E815" s="6">
        <f>SUM(E789:E814)</f>
        <v>34</v>
      </c>
      <c r="F815" s="32">
        <f>SUM(F789:F814)</f>
        <v>23</v>
      </c>
      <c r="G815" s="5">
        <f>SUM(B815:F815)</f>
        <v>124</v>
      </c>
      <c r="I815" s="3" t="s">
        <v>11</v>
      </c>
      <c r="J815" s="23">
        <f>SUM(J789:J814)</f>
        <v>15</v>
      </c>
      <c r="K815" s="4">
        <f>SUM(K789:K814)</f>
        <v>20</v>
      </c>
      <c r="L815" s="4">
        <f>SUM(L789:L814)</f>
        <v>15</v>
      </c>
      <c r="M815" s="6">
        <f>SUM(M789:M814)</f>
        <v>25</v>
      </c>
      <c r="N815" s="6">
        <f>SUM(N789:N814)</f>
        <v>25</v>
      </c>
      <c r="O815" s="5">
        <f>SUM(J815:N815)</f>
        <v>100</v>
      </c>
    </row>
    <row r="816" spans="1:19" ht="14.25" thickBot="1" x14ac:dyDescent="0.2">
      <c r="A816" s="25" t="s">
        <v>12</v>
      </c>
      <c r="B816" s="63">
        <f>B788-B815</f>
        <v>10</v>
      </c>
      <c r="C816" s="26">
        <f t="shared" ref="C816:G816" si="227">C788-C815</f>
        <v>9</v>
      </c>
      <c r="D816" s="71">
        <f t="shared" si="227"/>
        <v>6</v>
      </c>
      <c r="E816" s="26">
        <f t="shared" si="227"/>
        <v>2</v>
      </c>
      <c r="F816" s="70">
        <f t="shared" si="227"/>
        <v>13</v>
      </c>
      <c r="G816" s="27">
        <f t="shared" si="227"/>
        <v>40</v>
      </c>
      <c r="I816" s="25" t="s">
        <v>12</v>
      </c>
      <c r="J816" s="63">
        <f>J788-J815</f>
        <v>280</v>
      </c>
      <c r="K816" s="26">
        <f t="shared" ref="K816:O816" si="228">K788-K815</f>
        <v>303</v>
      </c>
      <c r="L816" s="71">
        <f t="shared" si="228"/>
        <v>279</v>
      </c>
      <c r="M816" s="26">
        <f t="shared" si="228"/>
        <v>237</v>
      </c>
      <c r="N816" s="70">
        <f t="shared" si="228"/>
        <v>204</v>
      </c>
      <c r="O816" s="27">
        <f t="shared" si="228"/>
        <v>1303</v>
      </c>
    </row>
    <row r="817" spans="1:20" ht="17.25" x14ac:dyDescent="0.2">
      <c r="A817" s="79" t="s">
        <v>56</v>
      </c>
      <c r="B817" s="80"/>
      <c r="C817" s="80"/>
      <c r="D817" s="80"/>
      <c r="E817" s="80"/>
      <c r="F817" s="80"/>
      <c r="G817" s="80"/>
      <c r="I817" s="79" t="s">
        <v>56</v>
      </c>
      <c r="J817" s="80"/>
      <c r="K817" s="80"/>
      <c r="L817" s="80"/>
      <c r="M817" s="80"/>
      <c r="N817" s="80"/>
      <c r="O817" s="1"/>
    </row>
    <row r="818" spans="1:20" ht="21.75" thickBot="1" x14ac:dyDescent="0.25">
      <c r="A818" s="82" t="s">
        <v>55</v>
      </c>
      <c r="B818" s="80"/>
      <c r="C818" s="80"/>
      <c r="D818" s="80"/>
      <c r="E818" s="81" t="s">
        <v>53</v>
      </c>
      <c r="F818" s="80"/>
      <c r="G818" s="80"/>
      <c r="I818" s="82" t="s">
        <v>55</v>
      </c>
      <c r="J818" s="80"/>
      <c r="K818" s="80"/>
      <c r="L818" s="80"/>
      <c r="M818" s="81" t="s">
        <v>54</v>
      </c>
      <c r="N818" s="80"/>
      <c r="O818" s="1"/>
    </row>
    <row r="819" spans="1:20" ht="14.25" thickBot="1" x14ac:dyDescent="0.2">
      <c r="A819" s="13" t="s">
        <v>0</v>
      </c>
      <c r="B819" s="228" t="s">
        <v>57</v>
      </c>
      <c r="C819" s="229"/>
      <c r="D819" s="229"/>
      <c r="E819" s="229"/>
      <c r="F819" s="230"/>
      <c r="G819" s="231"/>
      <c r="I819" s="13" t="s">
        <v>0</v>
      </c>
      <c r="J819" s="232" t="s">
        <v>57</v>
      </c>
      <c r="K819" s="233"/>
      <c r="L819" s="233"/>
      <c r="M819" s="233"/>
      <c r="N819" s="233"/>
      <c r="O819" s="234"/>
    </row>
    <row r="820" spans="1:20" ht="14.25" thickBot="1" x14ac:dyDescent="0.2">
      <c r="A820" s="3" t="s">
        <v>1</v>
      </c>
      <c r="B820" s="2" t="s">
        <v>42</v>
      </c>
      <c r="C820" s="21" t="s">
        <v>43</v>
      </c>
      <c r="D820" s="21" t="s">
        <v>44</v>
      </c>
      <c r="E820" s="24" t="s">
        <v>45</v>
      </c>
      <c r="F820" s="33" t="s">
        <v>46</v>
      </c>
      <c r="G820" s="3" t="s">
        <v>2</v>
      </c>
      <c r="I820" s="3" t="s">
        <v>1</v>
      </c>
      <c r="J820" s="2" t="s">
        <v>42</v>
      </c>
      <c r="K820" s="21" t="s">
        <v>43</v>
      </c>
      <c r="L820" s="21" t="s">
        <v>44</v>
      </c>
      <c r="M820" s="24" t="s">
        <v>45</v>
      </c>
      <c r="N820" s="33" t="s">
        <v>46</v>
      </c>
      <c r="O820" s="3" t="s">
        <v>2</v>
      </c>
    </row>
    <row r="821" spans="1:20" ht="14.25" thickBot="1" x14ac:dyDescent="0.2">
      <c r="A821" s="72" t="s">
        <v>79</v>
      </c>
      <c r="B821" s="73">
        <f>B816</f>
        <v>10</v>
      </c>
      <c r="C821" s="74">
        <f t="shared" ref="C821:F821" si="229">C816</f>
        <v>9</v>
      </c>
      <c r="D821" s="107">
        <f t="shared" si="229"/>
        <v>6</v>
      </c>
      <c r="E821" s="75">
        <f t="shared" si="229"/>
        <v>2</v>
      </c>
      <c r="F821" s="75">
        <f t="shared" si="229"/>
        <v>13</v>
      </c>
      <c r="G821" s="76">
        <f t="shared" ref="G821:G830" si="230">SUM(B821:F821)</f>
        <v>40</v>
      </c>
      <c r="I821" s="72" t="s">
        <v>79</v>
      </c>
      <c r="J821" s="73">
        <f>J816</f>
        <v>280</v>
      </c>
      <c r="K821" s="74">
        <f t="shared" ref="K821:N821" si="231">K816</f>
        <v>303</v>
      </c>
      <c r="L821" s="107">
        <f t="shared" si="231"/>
        <v>279</v>
      </c>
      <c r="M821" s="75">
        <f t="shared" si="231"/>
        <v>237</v>
      </c>
      <c r="N821" s="75">
        <f t="shared" si="231"/>
        <v>204</v>
      </c>
      <c r="O821" s="76">
        <f t="shared" ref="O821:O830" si="232">SUM(J821:N821)</f>
        <v>1303</v>
      </c>
    </row>
    <row r="822" spans="1:20" x14ac:dyDescent="0.15">
      <c r="A822" s="38" t="s">
        <v>15</v>
      </c>
      <c r="B822" s="37">
        <v>5</v>
      </c>
      <c r="C822" s="35">
        <v>5</v>
      </c>
      <c r="D822" s="35">
        <v>10</v>
      </c>
      <c r="E822" s="35">
        <v>10</v>
      </c>
      <c r="F822" s="28">
        <v>0</v>
      </c>
      <c r="G822" s="7">
        <f t="shared" si="230"/>
        <v>30</v>
      </c>
      <c r="H822" s="58">
        <v>43068</v>
      </c>
      <c r="I822" s="38" t="s">
        <v>15</v>
      </c>
      <c r="J822" s="8"/>
      <c r="K822" s="10"/>
      <c r="L822" s="10"/>
      <c r="M822" s="10"/>
      <c r="N822" s="30"/>
      <c r="O822" s="7">
        <f t="shared" si="232"/>
        <v>0</v>
      </c>
    </row>
    <row r="823" spans="1:20" x14ac:dyDescent="0.15">
      <c r="A823" s="38" t="s">
        <v>17</v>
      </c>
      <c r="B823" s="8"/>
      <c r="C823" s="10">
        <v>3</v>
      </c>
      <c r="D823" s="10"/>
      <c r="E823" s="10"/>
      <c r="F823" s="28"/>
      <c r="G823" s="9">
        <f t="shared" si="230"/>
        <v>3</v>
      </c>
      <c r="H823" s="58">
        <v>43067</v>
      </c>
      <c r="I823" s="15" t="s">
        <v>3</v>
      </c>
      <c r="J823" s="8"/>
      <c r="K823" s="10"/>
      <c r="L823" s="10"/>
      <c r="M823" s="10"/>
      <c r="N823" s="28"/>
      <c r="O823" s="9">
        <f t="shared" si="232"/>
        <v>0</v>
      </c>
    </row>
    <row r="824" spans="1:20" x14ac:dyDescent="0.15">
      <c r="A824" s="38" t="s">
        <v>19</v>
      </c>
      <c r="B824" s="8"/>
      <c r="C824" s="10">
        <v>1</v>
      </c>
      <c r="D824" s="10">
        <v>1</v>
      </c>
      <c r="E824" s="10"/>
      <c r="F824" s="28">
        <v>3</v>
      </c>
      <c r="G824" s="9">
        <f t="shared" si="230"/>
        <v>5</v>
      </c>
      <c r="H824" s="57">
        <v>43070</v>
      </c>
      <c r="I824" s="15" t="s">
        <v>18</v>
      </c>
      <c r="J824" s="8"/>
      <c r="K824" s="10"/>
      <c r="L824" s="10"/>
      <c r="M824" s="10"/>
      <c r="N824" s="28"/>
      <c r="O824" s="9">
        <f t="shared" si="232"/>
        <v>0</v>
      </c>
    </row>
    <row r="825" spans="1:20" x14ac:dyDescent="0.15">
      <c r="A825" s="38" t="s">
        <v>20</v>
      </c>
      <c r="B825" s="8"/>
      <c r="C825" s="10"/>
      <c r="D825" s="10">
        <v>5</v>
      </c>
      <c r="E825" s="10"/>
      <c r="F825" s="28">
        <v>5</v>
      </c>
      <c r="G825" s="9">
        <f t="shared" si="230"/>
        <v>10</v>
      </c>
      <c r="H825" s="58">
        <v>43075</v>
      </c>
      <c r="I825" s="15" t="s">
        <v>20</v>
      </c>
      <c r="J825" s="8"/>
      <c r="K825" s="10"/>
      <c r="L825" s="10"/>
      <c r="M825" s="10"/>
      <c r="N825" s="28"/>
      <c r="O825" s="9">
        <f t="shared" si="232"/>
        <v>0</v>
      </c>
    </row>
    <row r="826" spans="1:20" x14ac:dyDescent="0.15">
      <c r="A826" s="38" t="s">
        <v>17</v>
      </c>
      <c r="B826" s="8"/>
      <c r="C826" s="10"/>
      <c r="D826" s="10"/>
      <c r="E826" s="10"/>
      <c r="F826" s="28">
        <v>1</v>
      </c>
      <c r="G826" s="9">
        <f t="shared" si="230"/>
        <v>1</v>
      </c>
      <c r="H826" s="58">
        <v>43075</v>
      </c>
      <c r="I826" s="15" t="s">
        <v>80</v>
      </c>
      <c r="J826" s="8"/>
      <c r="K826" s="10"/>
      <c r="L826" s="10"/>
      <c r="M826" s="10"/>
      <c r="N826" s="28"/>
      <c r="O826" s="9">
        <f t="shared" si="232"/>
        <v>0</v>
      </c>
    </row>
    <row r="827" spans="1:20" x14ac:dyDescent="0.15">
      <c r="A827" s="38" t="s">
        <v>17</v>
      </c>
      <c r="B827" s="8"/>
      <c r="C827" s="10">
        <v>1</v>
      </c>
      <c r="D827" s="10">
        <v>1</v>
      </c>
      <c r="E827" s="10"/>
      <c r="F827" s="28"/>
      <c r="G827" s="9">
        <f t="shared" si="230"/>
        <v>2</v>
      </c>
      <c r="H827" s="57">
        <v>43083</v>
      </c>
      <c r="I827" s="15" t="s">
        <v>81</v>
      </c>
      <c r="J827" s="8"/>
      <c r="K827" s="10"/>
      <c r="L827" s="10"/>
      <c r="M827" s="10"/>
      <c r="N827" s="28"/>
      <c r="O827" s="9">
        <f t="shared" si="232"/>
        <v>0</v>
      </c>
    </row>
    <row r="828" spans="1:20" x14ac:dyDescent="0.15">
      <c r="A828" s="38" t="s">
        <v>82</v>
      </c>
      <c r="B828" s="8">
        <v>15</v>
      </c>
      <c r="C828" s="10"/>
      <c r="D828" s="10"/>
      <c r="E828" s="10"/>
      <c r="F828" s="30"/>
      <c r="G828" s="7">
        <f t="shared" si="230"/>
        <v>15</v>
      </c>
      <c r="H828" s="58">
        <v>43089</v>
      </c>
      <c r="I828" s="15" t="s">
        <v>82</v>
      </c>
      <c r="J828" s="8"/>
      <c r="K828" s="10"/>
      <c r="L828" s="10"/>
      <c r="M828" s="10"/>
      <c r="N828" s="28"/>
      <c r="O828" s="9">
        <f t="shared" si="232"/>
        <v>0</v>
      </c>
    </row>
    <row r="829" spans="1:20" x14ac:dyDescent="0.15">
      <c r="A829" s="38" t="s">
        <v>83</v>
      </c>
      <c r="B829" s="11"/>
      <c r="C829" s="100">
        <v>10</v>
      </c>
      <c r="D829" s="100">
        <v>15</v>
      </c>
      <c r="E829" s="100"/>
      <c r="F829" s="101"/>
      <c r="G829" s="102">
        <f t="shared" si="230"/>
        <v>25</v>
      </c>
      <c r="H829" s="58">
        <v>43094</v>
      </c>
      <c r="I829" s="15" t="s">
        <v>83</v>
      </c>
      <c r="J829" s="8"/>
      <c r="K829" s="10"/>
      <c r="L829" s="10"/>
      <c r="M829" s="10"/>
      <c r="N829" s="30"/>
      <c r="O829" s="7">
        <f t="shared" si="232"/>
        <v>0</v>
      </c>
      <c r="P829" s="125"/>
      <c r="Q829" s="58"/>
      <c r="R829" s="56"/>
      <c r="S829" s="56"/>
      <c r="T829" s="56"/>
    </row>
    <row r="830" spans="1:20" ht="14.25" thickBot="1" x14ac:dyDescent="0.2">
      <c r="A830" s="38" t="s">
        <v>159</v>
      </c>
      <c r="B830" s="11"/>
      <c r="C830" s="100"/>
      <c r="D830" s="100"/>
      <c r="E830" s="100"/>
      <c r="F830" s="101">
        <v>15</v>
      </c>
      <c r="G830" s="102">
        <f t="shared" si="230"/>
        <v>15</v>
      </c>
      <c r="H830" s="58">
        <v>43095</v>
      </c>
      <c r="I830" s="15" t="s">
        <v>87</v>
      </c>
      <c r="J830" s="11"/>
      <c r="K830" s="100"/>
      <c r="L830" s="100"/>
      <c r="M830" s="100"/>
      <c r="N830" s="101"/>
      <c r="O830" s="102">
        <f t="shared" si="232"/>
        <v>0</v>
      </c>
    </row>
    <row r="831" spans="1:20" ht="14.25" thickBot="1" x14ac:dyDescent="0.2">
      <c r="A831" s="72" t="s">
        <v>7</v>
      </c>
      <c r="B831" s="73">
        <f>SUM(B821:B830)</f>
        <v>30</v>
      </c>
      <c r="C831" s="74">
        <f t="shared" ref="C831:G831" si="233">SUM(C821:C830)</f>
        <v>29</v>
      </c>
      <c r="D831" s="74">
        <f t="shared" si="233"/>
        <v>38</v>
      </c>
      <c r="E831" s="74">
        <f t="shared" si="233"/>
        <v>12</v>
      </c>
      <c r="F831" s="105">
        <f t="shared" si="233"/>
        <v>37</v>
      </c>
      <c r="G831" s="76">
        <f t="shared" si="233"/>
        <v>146</v>
      </c>
      <c r="I831" s="72" t="s">
        <v>7</v>
      </c>
      <c r="J831" s="73">
        <f>SUM(J821:J830)</f>
        <v>280</v>
      </c>
      <c r="K831" s="74">
        <f t="shared" ref="K831:O831" si="234">SUM(K821:K830)</f>
        <v>303</v>
      </c>
      <c r="L831" s="74">
        <f t="shared" si="234"/>
        <v>279</v>
      </c>
      <c r="M831" s="74">
        <f t="shared" si="234"/>
        <v>237</v>
      </c>
      <c r="N831" s="105">
        <f t="shared" si="234"/>
        <v>204</v>
      </c>
      <c r="O831" s="76">
        <f t="shared" si="234"/>
        <v>1303</v>
      </c>
    </row>
    <row r="832" spans="1:20" x14ac:dyDescent="0.15">
      <c r="A832" s="14" t="s">
        <v>29</v>
      </c>
      <c r="B832" s="8"/>
      <c r="C832" s="10"/>
      <c r="D832" s="10"/>
      <c r="E832" s="10"/>
      <c r="F832" s="30">
        <v>1</v>
      </c>
      <c r="G832" s="7">
        <f t="shared" ref="G832:G857" si="235">SUM(B832:F832)</f>
        <v>1</v>
      </c>
      <c r="H832" s="58">
        <v>43063</v>
      </c>
      <c r="I832" s="16" t="s">
        <v>579</v>
      </c>
      <c r="J832" s="17">
        <v>5</v>
      </c>
      <c r="K832" s="22">
        <v>5</v>
      </c>
      <c r="L832" s="22">
        <v>10</v>
      </c>
      <c r="M832" s="22">
        <v>10</v>
      </c>
      <c r="N832" s="29">
        <v>0</v>
      </c>
      <c r="O832" s="18">
        <f t="shared" ref="O832:O857" si="236">SUM(J832:N832)</f>
        <v>30</v>
      </c>
      <c r="P832" s="58">
        <v>43068</v>
      </c>
    </row>
    <row r="833" spans="1:16" x14ac:dyDescent="0.15">
      <c r="A833" s="14" t="s">
        <v>580</v>
      </c>
      <c r="B833" s="8"/>
      <c r="C833" s="10"/>
      <c r="D833" s="10"/>
      <c r="E833" s="10">
        <v>2</v>
      </c>
      <c r="F833" s="30"/>
      <c r="G833" s="7">
        <f t="shared" si="235"/>
        <v>2</v>
      </c>
      <c r="H833" s="58">
        <v>43073</v>
      </c>
      <c r="I833" s="16" t="s">
        <v>24</v>
      </c>
      <c r="J833" s="8"/>
      <c r="K833" s="10"/>
      <c r="L833" s="10">
        <v>5</v>
      </c>
      <c r="M833" s="10"/>
      <c r="N833" s="28">
        <v>5</v>
      </c>
      <c r="O833" s="9">
        <f t="shared" si="236"/>
        <v>10</v>
      </c>
      <c r="P833" s="58">
        <v>43075</v>
      </c>
    </row>
    <row r="834" spans="1:16" x14ac:dyDescent="0.15">
      <c r="A834" s="14" t="s">
        <v>25</v>
      </c>
      <c r="B834" s="8"/>
      <c r="C834" s="10"/>
      <c r="D834" s="10"/>
      <c r="E834" s="10"/>
      <c r="F834" s="30">
        <v>1</v>
      </c>
      <c r="G834" s="7">
        <f t="shared" si="235"/>
        <v>1</v>
      </c>
      <c r="H834" s="58">
        <v>43068</v>
      </c>
      <c r="I834" s="16" t="s">
        <v>24</v>
      </c>
      <c r="J834" s="8">
        <v>15</v>
      </c>
      <c r="K834" s="10"/>
      <c r="L834" s="10"/>
      <c r="M834" s="10"/>
      <c r="N834" s="30"/>
      <c r="O834" s="7">
        <f t="shared" si="236"/>
        <v>15</v>
      </c>
      <c r="P834" s="58">
        <v>43089</v>
      </c>
    </row>
    <row r="835" spans="1:16" x14ac:dyDescent="0.15">
      <c r="A835" s="14" t="s">
        <v>25</v>
      </c>
      <c r="B835" s="8"/>
      <c r="C835" s="10">
        <v>1</v>
      </c>
      <c r="D835" s="10">
        <v>2</v>
      </c>
      <c r="E835" s="10"/>
      <c r="F835" s="30"/>
      <c r="G835" s="7">
        <f t="shared" si="235"/>
        <v>3</v>
      </c>
      <c r="H835" s="58">
        <v>43069</v>
      </c>
      <c r="I835" s="16" t="s">
        <v>24</v>
      </c>
      <c r="J835" s="8"/>
      <c r="K835" s="10">
        <v>10</v>
      </c>
      <c r="L835" s="10">
        <v>15</v>
      </c>
      <c r="M835" s="10"/>
      <c r="N835" s="30"/>
      <c r="O835" s="7">
        <f t="shared" si="236"/>
        <v>25</v>
      </c>
      <c r="P835" s="58">
        <v>43094</v>
      </c>
    </row>
    <row r="836" spans="1:16" x14ac:dyDescent="0.15">
      <c r="A836" s="14" t="s">
        <v>110</v>
      </c>
      <c r="B836" s="8"/>
      <c r="C836" s="10"/>
      <c r="D836" s="10">
        <v>2</v>
      </c>
      <c r="E836" s="10"/>
      <c r="F836" s="30"/>
      <c r="G836" s="7">
        <f t="shared" si="235"/>
        <v>2</v>
      </c>
      <c r="H836" s="58">
        <v>43080</v>
      </c>
      <c r="I836" s="16" t="s">
        <v>24</v>
      </c>
      <c r="J836" s="8"/>
      <c r="K836" s="10"/>
      <c r="L836" s="10"/>
      <c r="M836" s="10"/>
      <c r="N836" s="30">
        <v>15</v>
      </c>
      <c r="O836" s="7">
        <f t="shared" si="236"/>
        <v>15</v>
      </c>
      <c r="P836" s="58">
        <v>43095</v>
      </c>
    </row>
    <row r="837" spans="1:16" x14ac:dyDescent="0.15">
      <c r="A837" s="14" t="s">
        <v>25</v>
      </c>
      <c r="B837" s="8">
        <v>1</v>
      </c>
      <c r="C837" s="10">
        <v>3</v>
      </c>
      <c r="D837" s="10">
        <v>4</v>
      </c>
      <c r="E837" s="10"/>
      <c r="F837" s="30">
        <v>2</v>
      </c>
      <c r="G837" s="7">
        <f t="shared" si="235"/>
        <v>10</v>
      </c>
      <c r="H837" s="58">
        <v>43073</v>
      </c>
      <c r="I837" s="16" t="s">
        <v>24</v>
      </c>
      <c r="J837" s="8"/>
      <c r="K837" s="10"/>
      <c r="L837" s="10"/>
      <c r="M837" s="10">
        <v>15</v>
      </c>
      <c r="N837" s="30"/>
      <c r="O837" s="7">
        <f t="shared" si="236"/>
        <v>15</v>
      </c>
      <c r="P837" s="58">
        <v>42740</v>
      </c>
    </row>
    <row r="838" spans="1:16" x14ac:dyDescent="0.15">
      <c r="A838" s="14" t="s">
        <v>25</v>
      </c>
      <c r="B838" s="8"/>
      <c r="C838" s="10"/>
      <c r="D838" s="10">
        <v>2</v>
      </c>
      <c r="E838" s="10"/>
      <c r="F838" s="30">
        <v>1</v>
      </c>
      <c r="G838" s="7">
        <f t="shared" si="235"/>
        <v>3</v>
      </c>
      <c r="H838" s="58">
        <v>43075</v>
      </c>
      <c r="I838" s="16" t="s">
        <v>24</v>
      </c>
      <c r="J838" s="8"/>
      <c r="K838" s="10"/>
      <c r="L838" s="10"/>
      <c r="M838" s="10">
        <v>10</v>
      </c>
      <c r="N838" s="30">
        <v>10</v>
      </c>
      <c r="O838" s="7">
        <f t="shared" si="236"/>
        <v>20</v>
      </c>
      <c r="P838" s="58">
        <v>43109</v>
      </c>
    </row>
    <row r="839" spans="1:16" x14ac:dyDescent="0.15">
      <c r="A839" s="14" t="s">
        <v>25</v>
      </c>
      <c r="B839" s="8">
        <v>2</v>
      </c>
      <c r="C839" s="10"/>
      <c r="D839" s="10"/>
      <c r="E839" s="10"/>
      <c r="F839" s="30">
        <v>3</v>
      </c>
      <c r="G839" s="7">
        <f t="shared" si="235"/>
        <v>5</v>
      </c>
      <c r="H839" s="58">
        <v>43077</v>
      </c>
      <c r="I839" s="16"/>
      <c r="J839" s="8"/>
      <c r="K839" s="10"/>
      <c r="L839" s="10"/>
      <c r="M839" s="10"/>
      <c r="N839" s="30"/>
      <c r="O839" s="7">
        <f t="shared" si="236"/>
        <v>0</v>
      </c>
    </row>
    <row r="840" spans="1:16" x14ac:dyDescent="0.15">
      <c r="A840" s="14" t="s">
        <v>110</v>
      </c>
      <c r="B840" s="8"/>
      <c r="C840" s="10"/>
      <c r="D840" s="10">
        <v>2</v>
      </c>
      <c r="E840" s="10"/>
      <c r="F840" s="30"/>
      <c r="G840" s="7">
        <f t="shared" si="235"/>
        <v>2</v>
      </c>
      <c r="H840" s="58">
        <v>43082</v>
      </c>
      <c r="I840" s="39"/>
      <c r="J840" s="8"/>
      <c r="K840" s="10"/>
      <c r="L840" s="10"/>
      <c r="M840" s="10"/>
      <c r="N840" s="30"/>
      <c r="O840" s="7">
        <f t="shared" si="236"/>
        <v>0</v>
      </c>
    </row>
    <row r="841" spans="1:16" x14ac:dyDescent="0.15">
      <c r="A841" s="14" t="s">
        <v>25</v>
      </c>
      <c r="B841" s="11"/>
      <c r="C841" s="12"/>
      <c r="D841" s="12"/>
      <c r="E841" s="12">
        <v>1</v>
      </c>
      <c r="F841" s="31">
        <v>2</v>
      </c>
      <c r="G841" s="7">
        <f t="shared" si="235"/>
        <v>3</v>
      </c>
      <c r="H841" s="58">
        <v>43081</v>
      </c>
      <c r="I841" s="16"/>
      <c r="J841" s="11"/>
      <c r="K841" s="12"/>
      <c r="L841" s="12"/>
      <c r="M841" s="12"/>
      <c r="N841" s="31"/>
      <c r="O841" s="7">
        <f t="shared" si="236"/>
        <v>0</v>
      </c>
    </row>
    <row r="842" spans="1:16" x14ac:dyDescent="0.15">
      <c r="A842" s="14" t="s">
        <v>25</v>
      </c>
      <c r="B842" s="11"/>
      <c r="C842" s="12"/>
      <c r="D842" s="12"/>
      <c r="E842" s="12">
        <v>1</v>
      </c>
      <c r="F842" s="31"/>
      <c r="G842" s="7">
        <f t="shared" si="235"/>
        <v>1</v>
      </c>
      <c r="H842" s="58">
        <v>43088</v>
      </c>
      <c r="I842" s="16"/>
      <c r="J842" s="8"/>
      <c r="K842" s="10"/>
      <c r="L842" s="10"/>
      <c r="M842" s="10"/>
      <c r="N842" s="30"/>
      <c r="O842" s="7">
        <f t="shared" si="236"/>
        <v>0</v>
      </c>
    </row>
    <row r="843" spans="1:16" x14ac:dyDescent="0.15">
      <c r="A843" s="14" t="s">
        <v>591</v>
      </c>
      <c r="B843" s="8">
        <v>10</v>
      </c>
      <c r="C843" s="10"/>
      <c r="D843" s="10"/>
      <c r="E843" s="10"/>
      <c r="F843" s="30"/>
      <c r="G843" s="7">
        <f t="shared" si="235"/>
        <v>10</v>
      </c>
      <c r="H843" s="58">
        <v>43094</v>
      </c>
      <c r="I843" s="39"/>
      <c r="J843" s="8"/>
      <c r="K843" s="10"/>
      <c r="L843" s="10"/>
      <c r="M843" s="10"/>
      <c r="N843" s="30"/>
      <c r="O843" s="7">
        <f t="shared" si="236"/>
        <v>0</v>
      </c>
    </row>
    <row r="844" spans="1:16" x14ac:dyDescent="0.15">
      <c r="A844" s="14" t="s">
        <v>110</v>
      </c>
      <c r="B844" s="8"/>
      <c r="C844" s="10"/>
      <c r="D844" s="10"/>
      <c r="E844" s="10">
        <v>5</v>
      </c>
      <c r="F844" s="30"/>
      <c r="G844" s="7">
        <f t="shared" si="235"/>
        <v>5</v>
      </c>
      <c r="H844" s="58">
        <v>43091</v>
      </c>
      <c r="I844" s="16"/>
      <c r="J844" s="8"/>
      <c r="K844" s="10"/>
      <c r="L844" s="10"/>
      <c r="M844" s="10"/>
      <c r="N844" s="30"/>
      <c r="O844" s="7">
        <f t="shared" si="236"/>
        <v>0</v>
      </c>
    </row>
    <row r="845" spans="1:16" x14ac:dyDescent="0.15">
      <c r="A845" s="14" t="s">
        <v>25</v>
      </c>
      <c r="B845" s="8"/>
      <c r="C845" s="10">
        <v>1</v>
      </c>
      <c r="D845" s="10">
        <v>3</v>
      </c>
      <c r="E845" s="10"/>
      <c r="F845" s="30"/>
      <c r="G845" s="7">
        <f t="shared" si="235"/>
        <v>4</v>
      </c>
      <c r="H845" s="58">
        <v>43089</v>
      </c>
      <c r="I845" s="16"/>
      <c r="J845" s="8"/>
      <c r="K845" s="10"/>
      <c r="L845" s="10"/>
      <c r="M845" s="10"/>
      <c r="N845" s="30"/>
      <c r="O845" s="7">
        <f t="shared" si="236"/>
        <v>0</v>
      </c>
    </row>
    <row r="846" spans="1:16" x14ac:dyDescent="0.15">
      <c r="A846" s="14" t="s">
        <v>25</v>
      </c>
      <c r="B846" s="8">
        <v>1</v>
      </c>
      <c r="C846" s="10"/>
      <c r="D846" s="10">
        <v>1</v>
      </c>
      <c r="E846" s="10">
        <v>5</v>
      </c>
      <c r="F846" s="30">
        <v>1</v>
      </c>
      <c r="G846" s="7">
        <f t="shared" si="235"/>
        <v>8</v>
      </c>
      <c r="H846" s="58">
        <v>43091</v>
      </c>
      <c r="I846" s="16"/>
      <c r="J846" s="8"/>
      <c r="K846" s="10"/>
      <c r="L846" s="10"/>
      <c r="M846" s="10"/>
      <c r="N846" s="30"/>
      <c r="O846" s="7">
        <f t="shared" si="236"/>
        <v>0</v>
      </c>
    </row>
    <row r="847" spans="1:16" x14ac:dyDescent="0.15">
      <c r="A847" s="14" t="s">
        <v>598</v>
      </c>
      <c r="B847" s="8"/>
      <c r="C847" s="10"/>
      <c r="D847" s="10"/>
      <c r="E847" s="10">
        <v>1</v>
      </c>
      <c r="F847" s="30"/>
      <c r="G847" s="7">
        <f t="shared" si="235"/>
        <v>1</v>
      </c>
      <c r="H847" s="58">
        <v>43090</v>
      </c>
      <c r="I847" s="16"/>
      <c r="J847" s="8"/>
      <c r="K847" s="10"/>
      <c r="L847" s="10"/>
      <c r="M847" s="10"/>
      <c r="N847" s="30"/>
      <c r="O847" s="7">
        <f t="shared" si="236"/>
        <v>0</v>
      </c>
    </row>
    <row r="848" spans="1:16" x14ac:dyDescent="0.15">
      <c r="A848" s="14" t="s">
        <v>22</v>
      </c>
      <c r="B848" s="8"/>
      <c r="C848" s="10"/>
      <c r="D848" s="10"/>
      <c r="E848" s="10"/>
      <c r="F848" s="30">
        <v>10</v>
      </c>
      <c r="G848" s="7">
        <f t="shared" si="235"/>
        <v>10</v>
      </c>
      <c r="H848" s="58">
        <v>42739</v>
      </c>
      <c r="I848" s="129"/>
      <c r="J848" s="8"/>
      <c r="K848" s="10"/>
      <c r="L848" s="10"/>
      <c r="M848" s="10"/>
      <c r="N848" s="30"/>
      <c r="O848" s="7">
        <f t="shared" si="236"/>
        <v>0</v>
      </c>
    </row>
    <row r="849" spans="1:19" x14ac:dyDescent="0.15">
      <c r="A849" s="14" t="s">
        <v>25</v>
      </c>
      <c r="B849" s="8"/>
      <c r="C849" s="10">
        <v>2</v>
      </c>
      <c r="D849" s="10">
        <v>1</v>
      </c>
      <c r="E849" s="10"/>
      <c r="F849" s="30">
        <v>1</v>
      </c>
      <c r="G849" s="7">
        <f t="shared" si="235"/>
        <v>4</v>
      </c>
      <c r="H849" s="58">
        <v>43095</v>
      </c>
      <c r="I849" s="129"/>
      <c r="J849" s="8"/>
      <c r="K849" s="10"/>
      <c r="L849" s="10"/>
      <c r="M849" s="10"/>
      <c r="N849" s="30"/>
      <c r="O849" s="7">
        <f t="shared" si="236"/>
        <v>0</v>
      </c>
    </row>
    <row r="850" spans="1:19" x14ac:dyDescent="0.15">
      <c r="A850" s="14" t="s">
        <v>602</v>
      </c>
      <c r="B850" s="8"/>
      <c r="C850" s="10">
        <v>1</v>
      </c>
      <c r="D850" s="10"/>
      <c r="E850" s="10"/>
      <c r="F850" s="30"/>
      <c r="G850" s="7">
        <f t="shared" si="235"/>
        <v>1</v>
      </c>
      <c r="H850" s="58">
        <v>43096</v>
      </c>
      <c r="I850" s="14"/>
      <c r="J850" s="8"/>
      <c r="K850" s="10"/>
      <c r="L850" s="10"/>
      <c r="M850" s="10"/>
      <c r="N850" s="30"/>
      <c r="O850" s="7">
        <f t="shared" si="236"/>
        <v>0</v>
      </c>
    </row>
    <row r="851" spans="1:19" x14ac:dyDescent="0.15">
      <c r="A851" s="14" t="s">
        <v>110</v>
      </c>
      <c r="B851" s="8"/>
      <c r="C851" s="10">
        <v>2</v>
      </c>
      <c r="D851" s="10"/>
      <c r="E851" s="10"/>
      <c r="F851" s="30"/>
      <c r="G851" s="7">
        <f t="shared" si="235"/>
        <v>2</v>
      </c>
      <c r="H851" s="58">
        <v>42750</v>
      </c>
      <c r="I851" s="16"/>
      <c r="J851" s="11"/>
      <c r="K851" s="12"/>
      <c r="L851" s="12"/>
      <c r="M851" s="12"/>
      <c r="N851" s="31"/>
      <c r="O851" s="7">
        <f t="shared" si="236"/>
        <v>0</v>
      </c>
    </row>
    <row r="852" spans="1:19" x14ac:dyDescent="0.15">
      <c r="A852" s="14" t="s">
        <v>25</v>
      </c>
      <c r="B852" s="8"/>
      <c r="C852" s="10"/>
      <c r="D852" s="10">
        <v>1</v>
      </c>
      <c r="E852" s="10"/>
      <c r="F852" s="30"/>
      <c r="G852" s="7">
        <f t="shared" si="235"/>
        <v>1</v>
      </c>
      <c r="H852" s="58">
        <v>43097</v>
      </c>
      <c r="I852" s="16"/>
      <c r="J852" s="8"/>
      <c r="K852" s="10"/>
      <c r="L852" s="10"/>
      <c r="M852" s="10"/>
      <c r="N852" s="30"/>
      <c r="O852" s="7">
        <f t="shared" si="236"/>
        <v>0</v>
      </c>
    </row>
    <row r="853" spans="1:19" x14ac:dyDescent="0.15">
      <c r="A853" s="14" t="s">
        <v>603</v>
      </c>
      <c r="B853" s="11"/>
      <c r="C853" s="12"/>
      <c r="D853" s="12">
        <v>-1</v>
      </c>
      <c r="E853" s="12"/>
      <c r="F853" s="31">
        <v>-2</v>
      </c>
      <c r="G853" s="7">
        <f t="shared" si="235"/>
        <v>-3</v>
      </c>
      <c r="H853" s="57">
        <v>43097</v>
      </c>
      <c r="I853" s="16"/>
      <c r="J853" s="8"/>
      <c r="K853" s="10"/>
      <c r="L853" s="10"/>
      <c r="M853" s="10"/>
      <c r="N853" s="30"/>
      <c r="O853" s="7">
        <f t="shared" si="236"/>
        <v>0</v>
      </c>
    </row>
    <row r="854" spans="1:19" x14ac:dyDescent="0.15">
      <c r="A854" s="16" t="s">
        <v>604</v>
      </c>
      <c r="B854" s="8"/>
      <c r="C854" s="10"/>
      <c r="D854" s="10"/>
      <c r="E854" s="10">
        <v>1</v>
      </c>
      <c r="F854" s="30"/>
      <c r="G854" s="7">
        <f t="shared" si="235"/>
        <v>1</v>
      </c>
      <c r="H854" s="58">
        <v>43097</v>
      </c>
      <c r="I854" s="16"/>
      <c r="J854" s="11"/>
      <c r="K854" s="12"/>
      <c r="L854" s="12"/>
      <c r="M854" s="12"/>
      <c r="N854" s="31"/>
      <c r="O854" s="7">
        <f t="shared" si="236"/>
        <v>0</v>
      </c>
    </row>
    <row r="855" spans="1:19" x14ac:dyDescent="0.15">
      <c r="A855" s="14" t="s">
        <v>605</v>
      </c>
      <c r="B855" s="8"/>
      <c r="C855" s="10"/>
      <c r="D855" s="10"/>
      <c r="E855" s="10">
        <v>-15</v>
      </c>
      <c r="F855" s="30"/>
      <c r="G855" s="7">
        <f t="shared" si="235"/>
        <v>-15</v>
      </c>
      <c r="H855" s="58">
        <v>42740</v>
      </c>
      <c r="I855" s="16"/>
      <c r="J855" s="8"/>
      <c r="K855" s="10"/>
      <c r="L855" s="10"/>
      <c r="M855" s="10"/>
      <c r="N855" s="30"/>
      <c r="O855" s="7">
        <f t="shared" si="236"/>
        <v>0</v>
      </c>
    </row>
    <row r="856" spans="1:19" x14ac:dyDescent="0.15">
      <c r="A856" s="14" t="s">
        <v>22</v>
      </c>
      <c r="B856" s="8"/>
      <c r="C856" s="10"/>
      <c r="D856" s="10"/>
      <c r="E856" s="10">
        <v>10</v>
      </c>
      <c r="F856" s="30">
        <v>10</v>
      </c>
      <c r="G856" s="7">
        <f t="shared" si="235"/>
        <v>20</v>
      </c>
      <c r="H856" s="58">
        <v>43115</v>
      </c>
      <c r="I856" s="20"/>
      <c r="J856" s="11"/>
      <c r="K856" s="12"/>
      <c r="L856" s="12"/>
      <c r="M856" s="12"/>
      <c r="N856" s="31"/>
      <c r="O856" s="7">
        <f t="shared" si="236"/>
        <v>0</v>
      </c>
    </row>
    <row r="857" spans="1:19" ht="14.25" thickBot="1" x14ac:dyDescent="0.2">
      <c r="A857" s="14" t="s">
        <v>606</v>
      </c>
      <c r="B857" s="11"/>
      <c r="C857" s="12"/>
      <c r="D857" s="12"/>
      <c r="E857" s="12">
        <v>-10</v>
      </c>
      <c r="F857" s="31">
        <v>-10</v>
      </c>
      <c r="G857" s="7">
        <f t="shared" si="235"/>
        <v>-20</v>
      </c>
      <c r="H857" s="58">
        <v>43109</v>
      </c>
      <c r="I857" s="62"/>
      <c r="J857" s="8"/>
      <c r="K857" s="10"/>
      <c r="L857" s="10"/>
      <c r="M857" s="10"/>
      <c r="N857" s="30"/>
      <c r="O857" s="7">
        <f t="shared" si="236"/>
        <v>0</v>
      </c>
      <c r="P857" s="58"/>
      <c r="Q857" s="56"/>
      <c r="R857" s="56"/>
      <c r="S857" s="56"/>
    </row>
    <row r="858" spans="1:19" ht="14.25" thickBot="1" x14ac:dyDescent="0.2">
      <c r="A858" s="3" t="s">
        <v>11</v>
      </c>
      <c r="B858" s="23">
        <f>SUM(B832:B857)</f>
        <v>14</v>
      </c>
      <c r="C858" s="4">
        <f>SUM(C832:C857)</f>
        <v>10</v>
      </c>
      <c r="D858" s="4">
        <f>SUM(D832:D857)</f>
        <v>17</v>
      </c>
      <c r="E858" s="6">
        <f>SUM(E832:E857)</f>
        <v>1</v>
      </c>
      <c r="F858" s="32">
        <f>SUM(F832:F857)</f>
        <v>20</v>
      </c>
      <c r="G858" s="5">
        <f>SUM(B858:F858)</f>
        <v>62</v>
      </c>
      <c r="I858" s="3" t="s">
        <v>11</v>
      </c>
      <c r="J858" s="23">
        <f>SUM(J832:J857)</f>
        <v>20</v>
      </c>
      <c r="K858" s="4">
        <f>SUM(K832:K857)</f>
        <v>15</v>
      </c>
      <c r="L858" s="4">
        <f>SUM(L832:L857)</f>
        <v>30</v>
      </c>
      <c r="M858" s="6">
        <f>SUM(M832:M857)</f>
        <v>35</v>
      </c>
      <c r="N858" s="6">
        <f>SUM(N832:N857)</f>
        <v>30</v>
      </c>
      <c r="O858" s="5">
        <f>SUM(J858:N858)</f>
        <v>130</v>
      </c>
    </row>
    <row r="859" spans="1:19" ht="14.25" thickBot="1" x14ac:dyDescent="0.2">
      <c r="A859" s="25" t="s">
        <v>12</v>
      </c>
      <c r="B859" s="63">
        <f>B831-B858</f>
        <v>16</v>
      </c>
      <c r="C859" s="26">
        <f t="shared" ref="C859:G859" si="237">C831-C858</f>
        <v>19</v>
      </c>
      <c r="D859" s="71">
        <f t="shared" si="237"/>
        <v>21</v>
      </c>
      <c r="E859" s="26">
        <f t="shared" si="237"/>
        <v>11</v>
      </c>
      <c r="F859" s="70">
        <f t="shared" si="237"/>
        <v>17</v>
      </c>
      <c r="G859" s="27">
        <f t="shared" si="237"/>
        <v>84</v>
      </c>
      <c r="I859" s="25" t="s">
        <v>12</v>
      </c>
      <c r="J859" s="63">
        <f>J831-J858</f>
        <v>260</v>
      </c>
      <c r="K859" s="26">
        <f t="shared" ref="K859:O859" si="238">K831-K858</f>
        <v>288</v>
      </c>
      <c r="L859" s="71">
        <f t="shared" si="238"/>
        <v>249</v>
      </c>
      <c r="M859" s="26">
        <f t="shared" si="238"/>
        <v>202</v>
      </c>
      <c r="N859" s="70">
        <f t="shared" si="238"/>
        <v>174</v>
      </c>
      <c r="O859" s="27">
        <f t="shared" si="238"/>
        <v>1173</v>
      </c>
    </row>
    <row r="860" spans="1:19" ht="17.25" x14ac:dyDescent="0.2">
      <c r="A860" s="79" t="s">
        <v>56</v>
      </c>
      <c r="B860" s="80"/>
      <c r="C860" s="80"/>
      <c r="D860" s="80"/>
      <c r="E860" s="80"/>
      <c r="F860" s="80"/>
      <c r="G860" s="80"/>
      <c r="I860" s="79" t="s">
        <v>56</v>
      </c>
      <c r="J860" s="80"/>
      <c r="K860" s="80"/>
      <c r="L860" s="80"/>
      <c r="M860" s="80"/>
      <c r="N860" s="80"/>
      <c r="O860" s="1"/>
    </row>
    <row r="861" spans="1:19" ht="21.75" thickBot="1" x14ac:dyDescent="0.25">
      <c r="A861" s="82" t="s">
        <v>55</v>
      </c>
      <c r="B861" s="80"/>
      <c r="C861" s="80"/>
      <c r="D861" s="80"/>
      <c r="E861" s="81" t="s">
        <v>53</v>
      </c>
      <c r="F861" s="80"/>
      <c r="G861" s="80"/>
      <c r="I861" s="82" t="s">
        <v>55</v>
      </c>
      <c r="J861" s="80"/>
      <c r="K861" s="80"/>
      <c r="L861" s="80"/>
      <c r="M861" s="81" t="s">
        <v>54</v>
      </c>
      <c r="N861" s="80"/>
      <c r="O861" s="1"/>
    </row>
    <row r="862" spans="1:19" ht="14.25" thickBot="1" x14ac:dyDescent="0.2">
      <c r="A862" s="13" t="s">
        <v>0</v>
      </c>
      <c r="B862" s="228" t="s">
        <v>57</v>
      </c>
      <c r="C862" s="229"/>
      <c r="D862" s="229"/>
      <c r="E862" s="229"/>
      <c r="F862" s="230"/>
      <c r="G862" s="231"/>
      <c r="I862" s="13" t="s">
        <v>0</v>
      </c>
      <c r="J862" s="232" t="s">
        <v>57</v>
      </c>
      <c r="K862" s="233"/>
      <c r="L862" s="233"/>
      <c r="M862" s="233"/>
      <c r="N862" s="233"/>
      <c r="O862" s="234"/>
    </row>
    <row r="863" spans="1:19" ht="14.25" thickBot="1" x14ac:dyDescent="0.2">
      <c r="A863" s="3" t="s">
        <v>1</v>
      </c>
      <c r="B863" s="2" t="s">
        <v>42</v>
      </c>
      <c r="C863" s="21" t="s">
        <v>43</v>
      </c>
      <c r="D863" s="21" t="s">
        <v>44</v>
      </c>
      <c r="E863" s="24" t="s">
        <v>45</v>
      </c>
      <c r="F863" s="33" t="s">
        <v>46</v>
      </c>
      <c r="G863" s="3" t="s">
        <v>2</v>
      </c>
      <c r="I863" s="3" t="s">
        <v>1</v>
      </c>
      <c r="J863" s="2" t="s">
        <v>42</v>
      </c>
      <c r="K863" s="21" t="s">
        <v>43</v>
      </c>
      <c r="L863" s="21" t="s">
        <v>44</v>
      </c>
      <c r="M863" s="24" t="s">
        <v>45</v>
      </c>
      <c r="N863" s="33" t="s">
        <v>46</v>
      </c>
      <c r="O863" s="3" t="s">
        <v>2</v>
      </c>
    </row>
    <row r="864" spans="1:19" ht="14.25" thickBot="1" x14ac:dyDescent="0.2">
      <c r="A864" s="72" t="s">
        <v>79</v>
      </c>
      <c r="B864" s="73">
        <f>B859</f>
        <v>16</v>
      </c>
      <c r="C864" s="74">
        <f t="shared" ref="C864:F864" si="239">C859</f>
        <v>19</v>
      </c>
      <c r="D864" s="107">
        <f t="shared" si="239"/>
        <v>21</v>
      </c>
      <c r="E864" s="75">
        <f t="shared" si="239"/>
        <v>11</v>
      </c>
      <c r="F864" s="75">
        <f t="shared" si="239"/>
        <v>17</v>
      </c>
      <c r="G864" s="76">
        <f t="shared" ref="G864:G873" si="240">SUM(B864:F864)</f>
        <v>84</v>
      </c>
      <c r="I864" s="72" t="s">
        <v>79</v>
      </c>
      <c r="J864" s="73">
        <f>J859</f>
        <v>260</v>
      </c>
      <c r="K864" s="74">
        <f t="shared" ref="K864:N864" si="241">K859</f>
        <v>288</v>
      </c>
      <c r="L864" s="107">
        <f t="shared" si="241"/>
        <v>249</v>
      </c>
      <c r="M864" s="75">
        <f t="shared" si="241"/>
        <v>202</v>
      </c>
      <c r="N864" s="75">
        <f t="shared" si="241"/>
        <v>174</v>
      </c>
      <c r="O864" s="76">
        <f t="shared" ref="O864:O873" si="242">SUM(J864:N864)</f>
        <v>1173</v>
      </c>
    </row>
    <row r="865" spans="1:20" x14ac:dyDescent="0.15">
      <c r="A865" s="38" t="s">
        <v>17</v>
      </c>
      <c r="B865" s="37">
        <v>1</v>
      </c>
      <c r="C865" s="35">
        <v>1</v>
      </c>
      <c r="D865" s="35">
        <v>1</v>
      </c>
      <c r="E865" s="35"/>
      <c r="F865" s="28">
        <v>2</v>
      </c>
      <c r="G865" s="7">
        <f t="shared" si="240"/>
        <v>5</v>
      </c>
      <c r="H865" s="58">
        <v>43110</v>
      </c>
      <c r="I865" s="38" t="s">
        <v>15</v>
      </c>
      <c r="J865" s="8"/>
      <c r="K865" s="10"/>
      <c r="L865" s="10"/>
      <c r="M865" s="10"/>
      <c r="N865" s="30"/>
      <c r="O865" s="7">
        <f t="shared" si="242"/>
        <v>0</v>
      </c>
    </row>
    <row r="866" spans="1:20" x14ac:dyDescent="0.15">
      <c r="A866" s="38" t="s">
        <v>16</v>
      </c>
      <c r="B866" s="8"/>
      <c r="C866" s="10">
        <v>10</v>
      </c>
      <c r="D866" s="10"/>
      <c r="E866" s="10"/>
      <c r="F866" s="28"/>
      <c r="G866" s="9">
        <f t="shared" si="240"/>
        <v>10</v>
      </c>
      <c r="H866" s="58">
        <v>43118</v>
      </c>
      <c r="I866" s="15" t="s">
        <v>3</v>
      </c>
      <c r="J866" s="8"/>
      <c r="K866" s="10"/>
      <c r="L866" s="10"/>
      <c r="M866" s="10"/>
      <c r="N866" s="28"/>
      <c r="O866" s="9">
        <f t="shared" si="242"/>
        <v>0</v>
      </c>
    </row>
    <row r="867" spans="1:20" x14ac:dyDescent="0.15">
      <c r="A867" s="38" t="s">
        <v>19</v>
      </c>
      <c r="B867" s="8"/>
      <c r="C867" s="10"/>
      <c r="D867" s="10">
        <v>2</v>
      </c>
      <c r="E867" s="10"/>
      <c r="F867" s="28"/>
      <c r="G867" s="9">
        <f t="shared" si="240"/>
        <v>2</v>
      </c>
      <c r="H867" s="57">
        <v>43118</v>
      </c>
      <c r="I867" s="15" t="s">
        <v>18</v>
      </c>
      <c r="J867" s="8"/>
      <c r="K867" s="10"/>
      <c r="L867" s="10"/>
      <c r="M867" s="10"/>
      <c r="N867" s="28"/>
      <c r="O867" s="9">
        <f t="shared" si="242"/>
        <v>0</v>
      </c>
    </row>
    <row r="868" spans="1:20" x14ac:dyDescent="0.15">
      <c r="A868" s="38" t="s">
        <v>20</v>
      </c>
      <c r="B868" s="8"/>
      <c r="C868" s="10"/>
      <c r="D868" s="10"/>
      <c r="E868" s="10">
        <v>10</v>
      </c>
      <c r="F868" s="28"/>
      <c r="G868" s="9">
        <f t="shared" si="240"/>
        <v>10</v>
      </c>
      <c r="H868" s="58">
        <v>43125</v>
      </c>
      <c r="I868" s="15" t="s">
        <v>20</v>
      </c>
      <c r="J868" s="8"/>
      <c r="K868" s="10"/>
      <c r="L868" s="10"/>
      <c r="M868" s="10"/>
      <c r="N868" s="28"/>
      <c r="O868" s="9">
        <f t="shared" si="242"/>
        <v>0</v>
      </c>
    </row>
    <row r="869" spans="1:20" x14ac:dyDescent="0.15">
      <c r="A869" s="38" t="s">
        <v>17</v>
      </c>
      <c r="B869" s="8">
        <v>1</v>
      </c>
      <c r="C869" s="10"/>
      <c r="D869" s="10"/>
      <c r="E869" s="10"/>
      <c r="F869" s="28">
        <v>1</v>
      </c>
      <c r="G869" s="9">
        <f t="shared" si="240"/>
        <v>2</v>
      </c>
      <c r="H869" s="57">
        <v>43131</v>
      </c>
      <c r="I869" s="15" t="s">
        <v>80</v>
      </c>
      <c r="J869" s="8"/>
      <c r="K869" s="10"/>
      <c r="L869" s="10"/>
      <c r="M869" s="10"/>
      <c r="N869" s="28"/>
      <c r="O869" s="9">
        <f t="shared" si="242"/>
        <v>0</v>
      </c>
    </row>
    <row r="870" spans="1:20" x14ac:dyDescent="0.15">
      <c r="A870" s="38" t="s">
        <v>81</v>
      </c>
      <c r="B870" s="8"/>
      <c r="C870" s="10">
        <v>5</v>
      </c>
      <c r="D870" s="10">
        <v>10</v>
      </c>
      <c r="E870" s="10"/>
      <c r="F870" s="28"/>
      <c r="G870" s="9">
        <f t="shared" si="240"/>
        <v>15</v>
      </c>
      <c r="H870" s="58">
        <v>43137</v>
      </c>
      <c r="I870" s="15" t="s">
        <v>81</v>
      </c>
      <c r="J870" s="8"/>
      <c r="K870" s="10"/>
      <c r="L870" s="10"/>
      <c r="M870" s="10"/>
      <c r="N870" s="28"/>
      <c r="O870" s="9">
        <f t="shared" si="242"/>
        <v>0</v>
      </c>
    </row>
    <row r="871" spans="1:20" x14ac:dyDescent="0.15">
      <c r="A871" s="38" t="s">
        <v>82</v>
      </c>
      <c r="B871" s="8"/>
      <c r="C871" s="10"/>
      <c r="D871" s="10"/>
      <c r="E871" s="10"/>
      <c r="F871" s="30"/>
      <c r="G871" s="7">
        <f t="shared" si="240"/>
        <v>0</v>
      </c>
      <c r="I871" s="15" t="s">
        <v>82</v>
      </c>
      <c r="J871" s="8"/>
      <c r="K871" s="10"/>
      <c r="L871" s="10"/>
      <c r="M871" s="10"/>
      <c r="N871" s="28"/>
      <c r="O871" s="9">
        <f t="shared" si="242"/>
        <v>0</v>
      </c>
    </row>
    <row r="872" spans="1:20" x14ac:dyDescent="0.15">
      <c r="A872" s="38" t="s">
        <v>83</v>
      </c>
      <c r="B872" s="11"/>
      <c r="C872" s="100"/>
      <c r="D872" s="100"/>
      <c r="E872" s="100"/>
      <c r="F872" s="101"/>
      <c r="G872" s="102">
        <f t="shared" si="240"/>
        <v>0</v>
      </c>
      <c r="I872" s="15" t="s">
        <v>83</v>
      </c>
      <c r="J872" s="8"/>
      <c r="K872" s="10"/>
      <c r="L872" s="10"/>
      <c r="M872" s="10"/>
      <c r="N872" s="30"/>
      <c r="O872" s="7">
        <f t="shared" si="242"/>
        <v>0</v>
      </c>
      <c r="P872" s="125"/>
      <c r="Q872" s="58"/>
      <c r="R872" s="56"/>
      <c r="S872" s="56"/>
      <c r="T872" s="56"/>
    </row>
    <row r="873" spans="1:20" ht="14.25" thickBot="1" x14ac:dyDescent="0.2">
      <c r="A873" s="38" t="s">
        <v>159</v>
      </c>
      <c r="B873" s="11"/>
      <c r="C873" s="100"/>
      <c r="D873" s="100"/>
      <c r="E873" s="100"/>
      <c r="F873" s="101"/>
      <c r="G873" s="102">
        <f t="shared" si="240"/>
        <v>0</v>
      </c>
      <c r="I873" s="15" t="s">
        <v>87</v>
      </c>
      <c r="J873" s="11"/>
      <c r="K873" s="100"/>
      <c r="L873" s="100"/>
      <c r="M873" s="100"/>
      <c r="N873" s="101"/>
      <c r="O873" s="102">
        <f t="shared" si="242"/>
        <v>0</v>
      </c>
    </row>
    <row r="874" spans="1:20" ht="14.25" thickBot="1" x14ac:dyDescent="0.2">
      <c r="A874" s="72" t="s">
        <v>7</v>
      </c>
      <c r="B874" s="73">
        <f>SUM(B864:B873)</f>
        <v>18</v>
      </c>
      <c r="C874" s="74">
        <f t="shared" ref="C874:G874" si="243">SUM(C864:C873)</f>
        <v>35</v>
      </c>
      <c r="D874" s="74">
        <f t="shared" si="243"/>
        <v>34</v>
      </c>
      <c r="E874" s="74">
        <f t="shared" si="243"/>
        <v>21</v>
      </c>
      <c r="F874" s="105">
        <f t="shared" si="243"/>
        <v>20</v>
      </c>
      <c r="G874" s="76">
        <f t="shared" si="243"/>
        <v>128</v>
      </c>
      <c r="I874" s="72" t="s">
        <v>7</v>
      </c>
      <c r="J874" s="73">
        <f>SUM(J864:J873)</f>
        <v>260</v>
      </c>
      <c r="K874" s="74">
        <f t="shared" ref="K874:O874" si="244">SUM(K864:K873)</f>
        <v>288</v>
      </c>
      <c r="L874" s="74">
        <f t="shared" si="244"/>
        <v>249</v>
      </c>
      <c r="M874" s="74">
        <f t="shared" si="244"/>
        <v>202</v>
      </c>
      <c r="N874" s="105">
        <f t="shared" si="244"/>
        <v>174</v>
      </c>
      <c r="O874" s="76">
        <f t="shared" si="244"/>
        <v>1173</v>
      </c>
    </row>
    <row r="875" spans="1:20" x14ac:dyDescent="0.15">
      <c r="A875" s="16" t="s">
        <v>29</v>
      </c>
      <c r="B875" s="8"/>
      <c r="C875" s="10"/>
      <c r="D875" s="10"/>
      <c r="E875" s="10"/>
      <c r="F875" s="30">
        <v>2</v>
      </c>
      <c r="G875" s="7">
        <f t="shared" ref="G875:G900" si="245">SUM(B875:F875)</f>
        <v>2</v>
      </c>
      <c r="H875" s="58">
        <v>43105</v>
      </c>
      <c r="I875" s="16" t="s">
        <v>614</v>
      </c>
      <c r="J875" s="17"/>
      <c r="K875" s="22">
        <v>10</v>
      </c>
      <c r="L875" s="22"/>
      <c r="M875" s="22"/>
      <c r="N875" s="29"/>
      <c r="O875" s="18">
        <f t="shared" ref="O875:O900" si="246">SUM(J875:N875)</f>
        <v>10</v>
      </c>
      <c r="P875" s="58">
        <v>43118</v>
      </c>
    </row>
    <row r="876" spans="1:20" x14ac:dyDescent="0.15">
      <c r="A876" s="14" t="s">
        <v>25</v>
      </c>
      <c r="B876" s="8">
        <v>1</v>
      </c>
      <c r="C876" s="10"/>
      <c r="D876" s="10">
        <v>1</v>
      </c>
      <c r="E876" s="10"/>
      <c r="F876" s="30">
        <v>1</v>
      </c>
      <c r="G876" s="7">
        <f t="shared" si="245"/>
        <v>3</v>
      </c>
      <c r="H876" s="58">
        <v>43111</v>
      </c>
      <c r="I876" s="16" t="s">
        <v>24</v>
      </c>
      <c r="J876" s="8"/>
      <c r="K876" s="10"/>
      <c r="L876" s="10"/>
      <c r="M876" s="10">
        <v>10</v>
      </c>
      <c r="N876" s="28"/>
      <c r="O876" s="9">
        <f t="shared" si="246"/>
        <v>10</v>
      </c>
      <c r="P876" s="58">
        <v>43125</v>
      </c>
    </row>
    <row r="877" spans="1:20" x14ac:dyDescent="0.15">
      <c r="A877" s="14" t="s">
        <v>609</v>
      </c>
      <c r="B877" s="8"/>
      <c r="C877" s="10"/>
      <c r="D877" s="10"/>
      <c r="E877" s="10">
        <v>1</v>
      </c>
      <c r="F877" s="30"/>
      <c r="G877" s="7">
        <f t="shared" si="245"/>
        <v>1</v>
      </c>
      <c r="H877" s="58">
        <v>43110</v>
      </c>
      <c r="I877" s="16" t="s">
        <v>24</v>
      </c>
      <c r="J877" s="8"/>
      <c r="K877" s="10">
        <v>5</v>
      </c>
      <c r="L877" s="10">
        <v>10</v>
      </c>
      <c r="M877" s="10"/>
      <c r="N877" s="30"/>
      <c r="O877" s="7">
        <f t="shared" si="246"/>
        <v>15</v>
      </c>
      <c r="P877" s="58">
        <v>43137</v>
      </c>
    </row>
    <row r="878" spans="1:20" x14ac:dyDescent="0.15">
      <c r="A878" s="14" t="s">
        <v>25</v>
      </c>
      <c r="B878" s="8">
        <v>1</v>
      </c>
      <c r="C878" s="10">
        <v>1</v>
      </c>
      <c r="D878" s="10"/>
      <c r="E878" s="10"/>
      <c r="F878" s="30"/>
      <c r="G878" s="7">
        <f t="shared" si="245"/>
        <v>2</v>
      </c>
      <c r="H878" s="58">
        <v>43111</v>
      </c>
      <c r="I878" s="16"/>
      <c r="J878" s="8"/>
      <c r="K878" s="10"/>
      <c r="L878" s="10"/>
      <c r="M878" s="10"/>
      <c r="N878" s="30"/>
      <c r="O878" s="7">
        <f t="shared" si="246"/>
        <v>0</v>
      </c>
    </row>
    <row r="879" spans="1:20" x14ac:dyDescent="0.15">
      <c r="A879" s="14" t="s">
        <v>25</v>
      </c>
      <c r="B879" s="8"/>
      <c r="C879" s="10">
        <v>2</v>
      </c>
      <c r="D879" s="10"/>
      <c r="E879" s="10"/>
      <c r="F879" s="30"/>
      <c r="G879" s="7">
        <f t="shared" si="245"/>
        <v>2</v>
      </c>
      <c r="H879" s="58">
        <v>43115</v>
      </c>
      <c r="I879" s="16"/>
      <c r="J879" s="8"/>
      <c r="K879" s="10"/>
      <c r="L879" s="10"/>
      <c r="M879" s="10"/>
      <c r="N879" s="30"/>
      <c r="O879" s="7">
        <f t="shared" si="246"/>
        <v>0</v>
      </c>
    </row>
    <row r="880" spans="1:20" x14ac:dyDescent="0.15">
      <c r="A880" s="14" t="s">
        <v>25</v>
      </c>
      <c r="B880" s="8"/>
      <c r="C880" s="10">
        <v>1</v>
      </c>
      <c r="D880" s="10">
        <v>2</v>
      </c>
      <c r="E880" s="10"/>
      <c r="F880" s="30"/>
      <c r="G880" s="7">
        <f t="shared" si="245"/>
        <v>3</v>
      </c>
      <c r="H880" s="58">
        <v>43117</v>
      </c>
      <c r="I880" s="16"/>
      <c r="J880" s="8"/>
      <c r="K880" s="10"/>
      <c r="L880" s="10"/>
      <c r="M880" s="10"/>
      <c r="N880" s="30"/>
      <c r="O880" s="7">
        <f t="shared" si="246"/>
        <v>0</v>
      </c>
    </row>
    <row r="881" spans="1:17" x14ac:dyDescent="0.15">
      <c r="A881" s="14" t="s">
        <v>613</v>
      </c>
      <c r="B881" s="8"/>
      <c r="C881" s="10">
        <v>10</v>
      </c>
      <c r="D881" s="10"/>
      <c r="E881" s="10"/>
      <c r="F881" s="30"/>
      <c r="G881" s="7">
        <f t="shared" si="245"/>
        <v>10</v>
      </c>
      <c r="H881" s="58">
        <v>43122</v>
      </c>
      <c r="I881" s="16"/>
      <c r="J881" s="8"/>
      <c r="K881" s="10"/>
      <c r="L881" s="10"/>
      <c r="M881" s="10"/>
      <c r="N881" s="30"/>
      <c r="O881" s="7">
        <f t="shared" si="246"/>
        <v>0</v>
      </c>
    </row>
    <row r="882" spans="1:17" x14ac:dyDescent="0.15">
      <c r="A882" s="14" t="s">
        <v>25</v>
      </c>
      <c r="B882" s="8">
        <v>2</v>
      </c>
      <c r="C882" s="10"/>
      <c r="D882" s="10">
        <v>2</v>
      </c>
      <c r="E882" s="10"/>
      <c r="F882" s="30"/>
      <c r="G882" s="7">
        <f t="shared" si="245"/>
        <v>4</v>
      </c>
      <c r="H882" s="58">
        <v>43120</v>
      </c>
      <c r="I882" s="16"/>
      <c r="J882" s="8"/>
      <c r="K882" s="10"/>
      <c r="L882" s="10"/>
      <c r="M882" s="10"/>
      <c r="N882" s="30"/>
      <c r="O882" s="7">
        <f t="shared" si="246"/>
        <v>0</v>
      </c>
    </row>
    <row r="883" spans="1:17" x14ac:dyDescent="0.15">
      <c r="A883" s="51" t="s">
        <v>615</v>
      </c>
      <c r="B883" s="8">
        <v>1</v>
      </c>
      <c r="C883" s="10"/>
      <c r="D883" s="10"/>
      <c r="E883" s="10"/>
      <c r="F883" s="30"/>
      <c r="G883" s="7">
        <f t="shared" si="245"/>
        <v>1</v>
      </c>
      <c r="H883" s="57">
        <v>43119</v>
      </c>
      <c r="I883" s="39"/>
      <c r="J883" s="8"/>
      <c r="K883" s="10"/>
      <c r="L883" s="10"/>
      <c r="M883" s="10"/>
      <c r="N883" s="30"/>
      <c r="O883" s="7">
        <f t="shared" si="246"/>
        <v>0</v>
      </c>
    </row>
    <row r="884" spans="1:17" x14ac:dyDescent="0.15">
      <c r="A884" s="14" t="s">
        <v>25</v>
      </c>
      <c r="B884" s="11"/>
      <c r="C884" s="12"/>
      <c r="D884" s="12">
        <v>1</v>
      </c>
      <c r="E884" s="12"/>
      <c r="F884" s="31"/>
      <c r="G884" s="7">
        <f t="shared" si="245"/>
        <v>1</v>
      </c>
      <c r="H884" s="58">
        <v>43122</v>
      </c>
      <c r="I884" s="16"/>
      <c r="J884" s="11"/>
      <c r="K884" s="12"/>
      <c r="L884" s="12"/>
      <c r="M884" s="12"/>
      <c r="N884" s="31"/>
      <c r="O884" s="7">
        <f t="shared" si="246"/>
        <v>0</v>
      </c>
    </row>
    <row r="885" spans="1:17" x14ac:dyDescent="0.15">
      <c r="A885" s="14" t="s">
        <v>25</v>
      </c>
      <c r="B885" s="11"/>
      <c r="C885" s="12"/>
      <c r="D885" s="12"/>
      <c r="E885" s="12">
        <v>1</v>
      </c>
      <c r="F885" s="31"/>
      <c r="G885" s="7">
        <f t="shared" si="245"/>
        <v>1</v>
      </c>
      <c r="H885" s="58">
        <v>43124</v>
      </c>
      <c r="I885" s="16"/>
      <c r="J885" s="8"/>
      <c r="K885" s="10"/>
      <c r="L885" s="10"/>
      <c r="M885" s="10"/>
      <c r="N885" s="30"/>
      <c r="O885" s="7">
        <f t="shared" si="246"/>
        <v>0</v>
      </c>
    </row>
    <row r="886" spans="1:17" x14ac:dyDescent="0.15">
      <c r="A886" s="14" t="s">
        <v>22</v>
      </c>
      <c r="B886" s="8"/>
      <c r="C886" s="10"/>
      <c r="D886" s="10"/>
      <c r="E886" s="10">
        <v>10</v>
      </c>
      <c r="F886" s="30"/>
      <c r="G886" s="7">
        <f t="shared" si="245"/>
        <v>10</v>
      </c>
      <c r="H886" s="58">
        <v>43129</v>
      </c>
      <c r="I886" s="39"/>
      <c r="J886" s="8"/>
      <c r="K886" s="10"/>
      <c r="L886" s="10"/>
      <c r="M886" s="10"/>
      <c r="N886" s="30"/>
      <c r="O886" s="7">
        <f t="shared" si="246"/>
        <v>0</v>
      </c>
    </row>
    <row r="887" spans="1:17" x14ac:dyDescent="0.15">
      <c r="A887" s="14" t="s">
        <v>29</v>
      </c>
      <c r="B887" s="8"/>
      <c r="C887" s="10">
        <v>1</v>
      </c>
      <c r="D887" s="10"/>
      <c r="E887" s="10"/>
      <c r="F887" s="30"/>
      <c r="G887" s="7">
        <f t="shared" si="245"/>
        <v>1</v>
      </c>
      <c r="H887" s="57">
        <v>43123</v>
      </c>
      <c r="I887" s="16"/>
      <c r="J887" s="8"/>
      <c r="K887" s="10"/>
      <c r="L887" s="10"/>
      <c r="M887" s="10"/>
      <c r="N887" s="30"/>
      <c r="O887" s="7">
        <f t="shared" si="246"/>
        <v>0</v>
      </c>
    </row>
    <row r="888" spans="1:17" x14ac:dyDescent="0.15">
      <c r="A888" s="14" t="s">
        <v>25</v>
      </c>
      <c r="B888" s="8"/>
      <c r="C888" s="10">
        <v>1</v>
      </c>
      <c r="D888" s="10"/>
      <c r="E888" s="10">
        <v>1</v>
      </c>
      <c r="F888" s="30">
        <v>1</v>
      </c>
      <c r="G888" s="7">
        <f t="shared" si="245"/>
        <v>3</v>
      </c>
      <c r="H888" s="58">
        <v>43126</v>
      </c>
      <c r="I888" s="16"/>
      <c r="J888" s="8"/>
      <c r="K888" s="10"/>
      <c r="L888" s="10"/>
      <c r="M888" s="10"/>
      <c r="N888" s="30"/>
      <c r="O888" s="7">
        <f t="shared" si="246"/>
        <v>0</v>
      </c>
    </row>
    <row r="889" spans="1:17" x14ac:dyDescent="0.15">
      <c r="A889" s="14" t="s">
        <v>25</v>
      </c>
      <c r="B889" s="8"/>
      <c r="C889" s="10">
        <v>2</v>
      </c>
      <c r="D889" s="10"/>
      <c r="E889" s="10"/>
      <c r="F889" s="30"/>
      <c r="G889" s="7">
        <f t="shared" si="245"/>
        <v>2</v>
      </c>
      <c r="H889" s="58">
        <v>43130</v>
      </c>
      <c r="I889" s="16"/>
      <c r="J889" s="8"/>
      <c r="K889" s="10"/>
      <c r="L889" s="10"/>
      <c r="M889" s="10"/>
      <c r="N889" s="30"/>
      <c r="O889" s="7">
        <f t="shared" si="246"/>
        <v>0</v>
      </c>
    </row>
    <row r="890" spans="1:17" x14ac:dyDescent="0.15">
      <c r="A890" s="14" t="s">
        <v>110</v>
      </c>
      <c r="B890" s="8"/>
      <c r="C890" s="10">
        <v>2</v>
      </c>
      <c r="D890" s="10"/>
      <c r="E890" s="10"/>
      <c r="F890" s="30"/>
      <c r="G890" s="7">
        <f t="shared" si="245"/>
        <v>2</v>
      </c>
      <c r="H890" s="58">
        <v>43137</v>
      </c>
      <c r="I890" s="16"/>
      <c r="J890" s="8"/>
      <c r="K890" s="10"/>
      <c r="L890" s="10"/>
      <c r="M890" s="10"/>
      <c r="N890" s="30"/>
      <c r="O890" s="7">
        <f t="shared" si="246"/>
        <v>0</v>
      </c>
    </row>
    <row r="891" spans="1:17" x14ac:dyDescent="0.15">
      <c r="A891" s="14" t="s">
        <v>29</v>
      </c>
      <c r="B891" s="8"/>
      <c r="C891" s="10"/>
      <c r="D891" s="10"/>
      <c r="E891" s="10"/>
      <c r="F891" s="30">
        <v>1</v>
      </c>
      <c r="G891" s="7">
        <f t="shared" si="245"/>
        <v>1</v>
      </c>
      <c r="H891" s="57">
        <v>43129</v>
      </c>
      <c r="I891" s="129"/>
      <c r="J891" s="8"/>
      <c r="K891" s="10"/>
      <c r="L891" s="10"/>
      <c r="M891" s="10"/>
      <c r="N891" s="30"/>
      <c r="O891" s="7">
        <f t="shared" si="246"/>
        <v>0</v>
      </c>
    </row>
    <row r="892" spans="1:17" x14ac:dyDescent="0.15">
      <c r="A892" s="14" t="s">
        <v>22</v>
      </c>
      <c r="B892" s="8"/>
      <c r="C892" s="10"/>
      <c r="D892" s="10">
        <v>10</v>
      </c>
      <c r="E892" s="10"/>
      <c r="F892" s="30"/>
      <c r="G892" s="7">
        <f t="shared" si="245"/>
        <v>10</v>
      </c>
      <c r="H892" s="58">
        <v>43137</v>
      </c>
      <c r="I892" s="129"/>
      <c r="J892" s="8"/>
      <c r="K892" s="10"/>
      <c r="L892" s="10"/>
      <c r="M892" s="10"/>
      <c r="N892" s="30"/>
      <c r="O892" s="7">
        <f t="shared" si="246"/>
        <v>0</v>
      </c>
    </row>
    <row r="893" spans="1:17" x14ac:dyDescent="0.15">
      <c r="A893" s="14" t="s">
        <v>25</v>
      </c>
      <c r="B893" s="8"/>
      <c r="C893" s="10"/>
      <c r="D893" s="10"/>
      <c r="E893" s="10"/>
      <c r="F893" s="30">
        <v>1</v>
      </c>
      <c r="G893" s="7">
        <f t="shared" si="245"/>
        <v>1</v>
      </c>
      <c r="H893" s="58">
        <v>43134</v>
      </c>
      <c r="I893" s="14"/>
      <c r="J893" s="8"/>
      <c r="K893" s="10"/>
      <c r="L893" s="10"/>
      <c r="M893" s="10"/>
      <c r="N893" s="30"/>
      <c r="O893" s="7">
        <f t="shared" si="246"/>
        <v>0</v>
      </c>
      <c r="P893" s="56"/>
      <c r="Q893" s="56"/>
    </row>
    <row r="894" spans="1:17" x14ac:dyDescent="0.15">
      <c r="A894" s="14" t="s">
        <v>619</v>
      </c>
      <c r="B894" s="8"/>
      <c r="C894" s="10"/>
      <c r="D894" s="10">
        <v>2</v>
      </c>
      <c r="E894" s="10"/>
      <c r="F894" s="30"/>
      <c r="G894" s="7">
        <f t="shared" si="245"/>
        <v>2</v>
      </c>
      <c r="H894" s="58">
        <v>43145</v>
      </c>
      <c r="I894" s="16"/>
      <c r="J894" s="11"/>
      <c r="K894" s="12"/>
      <c r="L894" s="12"/>
      <c r="M894" s="12"/>
      <c r="N894" s="31"/>
      <c r="O894" s="7">
        <f t="shared" si="246"/>
        <v>0</v>
      </c>
      <c r="P894" s="58"/>
      <c r="Q894" s="56"/>
    </row>
    <row r="895" spans="1:17" x14ac:dyDescent="0.15">
      <c r="A895" s="14" t="s">
        <v>25</v>
      </c>
      <c r="B895" s="8">
        <v>1</v>
      </c>
      <c r="C895" s="10"/>
      <c r="D895" s="10"/>
      <c r="E895" s="10">
        <v>2</v>
      </c>
      <c r="F895" s="30">
        <v>1</v>
      </c>
      <c r="G895" s="7">
        <f t="shared" si="245"/>
        <v>4</v>
      </c>
      <c r="H895" s="58">
        <v>43138</v>
      </c>
      <c r="I895" s="51"/>
      <c r="J895" s="11"/>
      <c r="K895" s="12"/>
      <c r="L895" s="12"/>
      <c r="M895" s="12"/>
      <c r="N895" s="31"/>
      <c r="O895" s="7">
        <f t="shared" si="246"/>
        <v>0</v>
      </c>
      <c r="P895" s="58"/>
      <c r="Q895" s="56"/>
    </row>
    <row r="896" spans="1:17" x14ac:dyDescent="0.15">
      <c r="A896" s="14" t="s">
        <v>25</v>
      </c>
      <c r="B896" s="11"/>
      <c r="C896" s="12"/>
      <c r="D896" s="12"/>
      <c r="E896" s="12">
        <v>1</v>
      </c>
      <c r="F896" s="31">
        <v>1</v>
      </c>
      <c r="G896" s="7">
        <f t="shared" si="245"/>
        <v>2</v>
      </c>
      <c r="H896" s="58">
        <v>43145</v>
      </c>
      <c r="I896" s="14"/>
      <c r="J896" s="11"/>
      <c r="K896" s="12"/>
      <c r="L896" s="12"/>
      <c r="M896" s="12"/>
      <c r="N896" s="31"/>
      <c r="O896" s="7">
        <f t="shared" si="246"/>
        <v>0</v>
      </c>
      <c r="P896" s="58"/>
      <c r="Q896" s="56"/>
    </row>
    <row r="897" spans="1:19" x14ac:dyDescent="0.15">
      <c r="A897" s="14" t="s">
        <v>29</v>
      </c>
      <c r="B897" s="8"/>
      <c r="C897" s="10"/>
      <c r="D897" s="10"/>
      <c r="E897" s="10"/>
      <c r="F897" s="30">
        <v>1</v>
      </c>
      <c r="G897" s="7">
        <f t="shared" si="245"/>
        <v>1</v>
      </c>
      <c r="H897" s="57">
        <v>43144</v>
      </c>
      <c r="I897" s="16"/>
      <c r="J897" s="8"/>
      <c r="K897" s="10"/>
      <c r="L897" s="10"/>
      <c r="M897" s="10"/>
      <c r="N897" s="30"/>
      <c r="O897" s="7">
        <f t="shared" si="246"/>
        <v>0</v>
      </c>
      <c r="P897" s="58"/>
      <c r="Q897" s="56"/>
    </row>
    <row r="898" spans="1:19" x14ac:dyDescent="0.15">
      <c r="A898" s="14" t="s">
        <v>25</v>
      </c>
      <c r="B898" s="8"/>
      <c r="C898" s="10">
        <v>1</v>
      </c>
      <c r="D898" s="10"/>
      <c r="E898" s="10"/>
      <c r="F898" s="30"/>
      <c r="G898" s="7">
        <f t="shared" si="245"/>
        <v>1</v>
      </c>
      <c r="H898" s="58">
        <v>43147</v>
      </c>
      <c r="I898" s="16"/>
      <c r="J898" s="8"/>
      <c r="K898" s="10"/>
      <c r="L898" s="10"/>
      <c r="M898" s="10"/>
      <c r="N898" s="30"/>
      <c r="O898" s="7">
        <f t="shared" si="246"/>
        <v>0</v>
      </c>
      <c r="P898" s="58"/>
      <c r="Q898" s="56"/>
    </row>
    <row r="899" spans="1:19" x14ac:dyDescent="0.15">
      <c r="A899" s="14" t="s">
        <v>29</v>
      </c>
      <c r="B899" s="8"/>
      <c r="C899" s="10"/>
      <c r="D899" s="10">
        <v>1</v>
      </c>
      <c r="E899" s="10"/>
      <c r="F899" s="30"/>
      <c r="G899" s="7">
        <f t="shared" si="245"/>
        <v>1</v>
      </c>
      <c r="H899" s="57">
        <v>43145</v>
      </c>
      <c r="I899" s="20"/>
      <c r="J899" s="11"/>
      <c r="K899" s="12"/>
      <c r="L899" s="12"/>
      <c r="M899" s="12"/>
      <c r="N899" s="31"/>
      <c r="O899" s="7">
        <f t="shared" si="246"/>
        <v>0</v>
      </c>
      <c r="P899" s="56"/>
      <c r="Q899" s="56"/>
    </row>
    <row r="900" spans="1:19" ht="14.25" thickBot="1" x14ac:dyDescent="0.2">
      <c r="A900" s="14"/>
      <c r="B900" s="11"/>
      <c r="C900" s="12"/>
      <c r="D900" s="12"/>
      <c r="E900" s="12"/>
      <c r="F900" s="31"/>
      <c r="G900" s="7">
        <f t="shared" si="245"/>
        <v>0</v>
      </c>
      <c r="I900" s="62"/>
      <c r="J900" s="8"/>
      <c r="K900" s="10"/>
      <c r="L900" s="10"/>
      <c r="M900" s="10"/>
      <c r="N900" s="30"/>
      <c r="O900" s="7">
        <f t="shared" si="246"/>
        <v>0</v>
      </c>
      <c r="P900" s="58"/>
      <c r="Q900" s="56"/>
      <c r="R900" s="138"/>
      <c r="S900" s="138"/>
    </row>
    <row r="901" spans="1:19" ht="14.25" thickBot="1" x14ac:dyDescent="0.2">
      <c r="A901" s="3" t="s">
        <v>11</v>
      </c>
      <c r="B901" s="23">
        <f>SUM(B875:B900)</f>
        <v>6</v>
      </c>
      <c r="C901" s="4">
        <f>SUM(C875:C900)</f>
        <v>21</v>
      </c>
      <c r="D901" s="4">
        <f>SUM(D875:D900)</f>
        <v>19</v>
      </c>
      <c r="E901" s="6">
        <f>SUM(E875:E900)</f>
        <v>16</v>
      </c>
      <c r="F901" s="32">
        <f>SUM(F875:F900)</f>
        <v>9</v>
      </c>
      <c r="G901" s="5">
        <f>SUM(B901:F901)</f>
        <v>71</v>
      </c>
      <c r="I901" s="3" t="s">
        <v>11</v>
      </c>
      <c r="J901" s="23">
        <f>SUM(J875:J900)</f>
        <v>0</v>
      </c>
      <c r="K901" s="4">
        <f>SUM(K875:K900)</f>
        <v>15</v>
      </c>
      <c r="L901" s="4">
        <f>SUM(L875:L900)</f>
        <v>10</v>
      </c>
      <c r="M901" s="6">
        <f>SUM(M875:M900)</f>
        <v>10</v>
      </c>
      <c r="N901" s="6">
        <f>SUM(N875:N900)</f>
        <v>0</v>
      </c>
      <c r="O901" s="5">
        <f>SUM(J901:N901)</f>
        <v>35</v>
      </c>
    </row>
    <row r="902" spans="1:19" ht="14.25" thickBot="1" x14ac:dyDescent="0.2">
      <c r="A902" s="25" t="s">
        <v>12</v>
      </c>
      <c r="B902" s="63">
        <f>B874-B901</f>
        <v>12</v>
      </c>
      <c r="C902" s="26">
        <f t="shared" ref="C902:G902" si="247">C874-C901</f>
        <v>14</v>
      </c>
      <c r="D902" s="71">
        <f t="shared" si="247"/>
        <v>15</v>
      </c>
      <c r="E902" s="26">
        <f t="shared" si="247"/>
        <v>5</v>
      </c>
      <c r="F902" s="70">
        <f t="shared" si="247"/>
        <v>11</v>
      </c>
      <c r="G902" s="27">
        <f t="shared" si="247"/>
        <v>57</v>
      </c>
      <c r="I902" s="25" t="s">
        <v>12</v>
      </c>
      <c r="J902" s="63">
        <f>J874-J901</f>
        <v>260</v>
      </c>
      <c r="K902" s="26">
        <f t="shared" ref="K902:O902" si="248">K874-K901</f>
        <v>273</v>
      </c>
      <c r="L902" s="71">
        <f t="shared" si="248"/>
        <v>239</v>
      </c>
      <c r="M902" s="26">
        <f t="shared" si="248"/>
        <v>192</v>
      </c>
      <c r="N902" s="70">
        <f t="shared" si="248"/>
        <v>174</v>
      </c>
      <c r="O902" s="27">
        <f t="shared" si="248"/>
        <v>1138</v>
      </c>
    </row>
    <row r="903" spans="1:19" ht="17.25" x14ac:dyDescent="0.2">
      <c r="A903" s="79" t="s">
        <v>56</v>
      </c>
      <c r="B903" s="80"/>
      <c r="C903" s="80"/>
      <c r="D903" s="80"/>
      <c r="E903" s="80"/>
      <c r="F903" s="80"/>
      <c r="G903" s="80"/>
      <c r="I903" s="79" t="s">
        <v>56</v>
      </c>
      <c r="J903" s="80"/>
      <c r="K903" s="80"/>
      <c r="L903" s="80"/>
      <c r="M903" s="80"/>
      <c r="N903" s="80"/>
      <c r="O903" s="1"/>
    </row>
    <row r="904" spans="1:19" ht="21.75" thickBot="1" x14ac:dyDescent="0.25">
      <c r="A904" s="82" t="s">
        <v>55</v>
      </c>
      <c r="B904" s="80"/>
      <c r="C904" s="80"/>
      <c r="D904" s="80"/>
      <c r="E904" s="81" t="s">
        <v>53</v>
      </c>
      <c r="F904" s="80"/>
      <c r="G904" s="80"/>
      <c r="I904" s="82" t="s">
        <v>55</v>
      </c>
      <c r="J904" s="80"/>
      <c r="K904" s="80"/>
      <c r="L904" s="80"/>
      <c r="M904" s="81" t="s">
        <v>54</v>
      </c>
      <c r="N904" s="80"/>
      <c r="O904" s="1"/>
    </row>
    <row r="905" spans="1:19" ht="14.25" thickBot="1" x14ac:dyDescent="0.2">
      <c r="A905" s="13" t="s">
        <v>0</v>
      </c>
      <c r="B905" s="228" t="s">
        <v>57</v>
      </c>
      <c r="C905" s="229"/>
      <c r="D905" s="229"/>
      <c r="E905" s="229"/>
      <c r="F905" s="230"/>
      <c r="G905" s="231"/>
      <c r="I905" s="13" t="s">
        <v>0</v>
      </c>
      <c r="J905" s="232" t="s">
        <v>57</v>
      </c>
      <c r="K905" s="233"/>
      <c r="L905" s="233"/>
      <c r="M905" s="233"/>
      <c r="N905" s="233"/>
      <c r="O905" s="234"/>
    </row>
    <row r="906" spans="1:19" ht="14.25" thickBot="1" x14ac:dyDescent="0.2">
      <c r="A906" s="3" t="s">
        <v>1</v>
      </c>
      <c r="B906" s="2" t="s">
        <v>42</v>
      </c>
      <c r="C906" s="21" t="s">
        <v>43</v>
      </c>
      <c r="D906" s="21" t="s">
        <v>44</v>
      </c>
      <c r="E906" s="24" t="s">
        <v>45</v>
      </c>
      <c r="F906" s="33" t="s">
        <v>46</v>
      </c>
      <c r="G906" s="3" t="s">
        <v>2</v>
      </c>
      <c r="I906" s="3" t="s">
        <v>1</v>
      </c>
      <c r="J906" s="2" t="s">
        <v>42</v>
      </c>
      <c r="K906" s="21" t="s">
        <v>43</v>
      </c>
      <c r="L906" s="21" t="s">
        <v>44</v>
      </c>
      <c r="M906" s="24" t="s">
        <v>45</v>
      </c>
      <c r="N906" s="33" t="s">
        <v>46</v>
      </c>
      <c r="O906" s="3" t="s">
        <v>2</v>
      </c>
    </row>
    <row r="907" spans="1:19" ht="14.25" thickBot="1" x14ac:dyDescent="0.2">
      <c r="A907" s="72" t="s">
        <v>79</v>
      </c>
      <c r="B907" s="73">
        <f>B902</f>
        <v>12</v>
      </c>
      <c r="C907" s="74">
        <f t="shared" ref="C907:F907" si="249">C902</f>
        <v>14</v>
      </c>
      <c r="D907" s="107">
        <f t="shared" si="249"/>
        <v>15</v>
      </c>
      <c r="E907" s="75">
        <f t="shared" si="249"/>
        <v>5</v>
      </c>
      <c r="F907" s="75">
        <f t="shared" si="249"/>
        <v>11</v>
      </c>
      <c r="G907" s="76">
        <f t="shared" ref="G907:G916" si="250">SUM(B907:F907)</f>
        <v>57</v>
      </c>
      <c r="I907" s="72" t="s">
        <v>79</v>
      </c>
      <c r="J907" s="73">
        <f>J902</f>
        <v>260</v>
      </c>
      <c r="K907" s="74">
        <f t="shared" ref="K907:N907" si="251">K902</f>
        <v>273</v>
      </c>
      <c r="L907" s="107">
        <f t="shared" si="251"/>
        <v>239</v>
      </c>
      <c r="M907" s="75">
        <f t="shared" si="251"/>
        <v>192</v>
      </c>
      <c r="N907" s="75">
        <f t="shared" si="251"/>
        <v>174</v>
      </c>
      <c r="O907" s="76">
        <f t="shared" ref="O907:O916" si="252">SUM(J907:N907)</f>
        <v>1138</v>
      </c>
    </row>
    <row r="908" spans="1:19" x14ac:dyDescent="0.15">
      <c r="A908" s="38" t="s">
        <v>15</v>
      </c>
      <c r="B908" s="37">
        <v>5</v>
      </c>
      <c r="C908" s="35">
        <v>5</v>
      </c>
      <c r="D908" s="35"/>
      <c r="E908" s="35">
        <v>10</v>
      </c>
      <c r="F908" s="28">
        <v>5</v>
      </c>
      <c r="G908" s="7">
        <f t="shared" si="250"/>
        <v>25</v>
      </c>
      <c r="H908" s="58">
        <v>43152</v>
      </c>
      <c r="I908" s="38" t="s">
        <v>15</v>
      </c>
      <c r="J908" s="8"/>
      <c r="K908" s="10"/>
      <c r="L908" s="10"/>
      <c r="M908" s="10"/>
      <c r="N908" s="30"/>
      <c r="O908" s="7">
        <f t="shared" si="252"/>
        <v>0</v>
      </c>
    </row>
    <row r="909" spans="1:19" x14ac:dyDescent="0.15">
      <c r="A909" s="38" t="s">
        <v>633</v>
      </c>
      <c r="B909" s="8"/>
      <c r="C909" s="10"/>
      <c r="D909" s="10">
        <v>1</v>
      </c>
      <c r="E909" s="10"/>
      <c r="F909" s="28">
        <v>1</v>
      </c>
      <c r="G909" s="9">
        <f t="shared" si="250"/>
        <v>2</v>
      </c>
      <c r="H909" s="58">
        <v>43157</v>
      </c>
      <c r="I909" s="15" t="s">
        <v>3</v>
      </c>
      <c r="J909" s="8"/>
      <c r="K909" s="10"/>
      <c r="L909" s="10"/>
      <c r="M909" s="10"/>
      <c r="N909" s="28"/>
      <c r="O909" s="9">
        <f t="shared" si="252"/>
        <v>0</v>
      </c>
    </row>
    <row r="910" spans="1:19" x14ac:dyDescent="0.15">
      <c r="A910" s="38" t="s">
        <v>18</v>
      </c>
      <c r="B910" s="8">
        <v>20</v>
      </c>
      <c r="C910" s="10"/>
      <c r="D910" s="10"/>
      <c r="E910" s="10"/>
      <c r="F910" s="28"/>
      <c r="G910" s="9">
        <f t="shared" si="250"/>
        <v>20</v>
      </c>
      <c r="H910" s="58">
        <v>43160</v>
      </c>
      <c r="I910" s="15" t="s">
        <v>18</v>
      </c>
      <c r="J910" s="8"/>
      <c r="K910" s="10"/>
      <c r="L910" s="10"/>
      <c r="M910" s="10"/>
      <c r="N910" s="28"/>
      <c r="O910" s="9">
        <f t="shared" si="252"/>
        <v>0</v>
      </c>
    </row>
    <row r="911" spans="1:19" x14ac:dyDescent="0.15">
      <c r="A911" s="38" t="s">
        <v>20</v>
      </c>
      <c r="B911" s="8">
        <v>10</v>
      </c>
      <c r="C911" s="10">
        <v>5</v>
      </c>
      <c r="D911" s="10">
        <v>10</v>
      </c>
      <c r="E911" s="10">
        <v>5</v>
      </c>
      <c r="F911" s="28">
        <v>20</v>
      </c>
      <c r="G911" s="9">
        <f t="shared" si="250"/>
        <v>50</v>
      </c>
      <c r="H911" s="58">
        <v>43165</v>
      </c>
      <c r="I911" s="15" t="s">
        <v>20</v>
      </c>
      <c r="J911" s="8"/>
      <c r="K911" s="10"/>
      <c r="L911" s="10"/>
      <c r="M911" s="10"/>
      <c r="N911" s="28"/>
      <c r="O911" s="9">
        <f t="shared" si="252"/>
        <v>0</v>
      </c>
    </row>
    <row r="912" spans="1:19" x14ac:dyDescent="0.15">
      <c r="A912" s="38" t="s">
        <v>80</v>
      </c>
      <c r="B912" s="8"/>
      <c r="C912" s="10">
        <v>10</v>
      </c>
      <c r="D912" s="10"/>
      <c r="E912" s="10"/>
      <c r="F912" s="28">
        <v>5</v>
      </c>
      <c r="G912" s="9">
        <f t="shared" si="250"/>
        <v>15</v>
      </c>
      <c r="H912" s="58">
        <v>43167</v>
      </c>
      <c r="I912" s="15" t="s">
        <v>80</v>
      </c>
      <c r="J912" s="8"/>
      <c r="K912" s="10"/>
      <c r="L912" s="10"/>
      <c r="M912" s="10"/>
      <c r="N912" s="28"/>
      <c r="O912" s="9">
        <f t="shared" si="252"/>
        <v>0</v>
      </c>
    </row>
    <row r="913" spans="1:20" x14ac:dyDescent="0.15">
      <c r="A913" s="38" t="s">
        <v>411</v>
      </c>
      <c r="B913" s="8"/>
      <c r="C913" s="10">
        <v>1</v>
      </c>
      <c r="D913" s="10"/>
      <c r="E913" s="10"/>
      <c r="F913" s="28">
        <v>1</v>
      </c>
      <c r="G913" s="9">
        <f t="shared" si="250"/>
        <v>2</v>
      </c>
      <c r="H913" s="58">
        <v>43167</v>
      </c>
      <c r="I913" s="15" t="s">
        <v>81</v>
      </c>
      <c r="J913" s="8"/>
      <c r="K913" s="10"/>
      <c r="L913" s="10"/>
      <c r="M913" s="10"/>
      <c r="N913" s="28"/>
      <c r="O913" s="9">
        <f t="shared" si="252"/>
        <v>0</v>
      </c>
    </row>
    <row r="914" spans="1:20" x14ac:dyDescent="0.15">
      <c r="A914" s="38" t="s">
        <v>633</v>
      </c>
      <c r="B914" s="8">
        <v>1</v>
      </c>
      <c r="C914" s="10">
        <v>1</v>
      </c>
      <c r="D914" s="10">
        <v>3</v>
      </c>
      <c r="E914" s="10"/>
      <c r="F914" s="30">
        <v>1</v>
      </c>
      <c r="G914" s="7">
        <f t="shared" si="250"/>
        <v>6</v>
      </c>
      <c r="H914" s="57">
        <v>43174</v>
      </c>
      <c r="I914" s="15" t="s">
        <v>82</v>
      </c>
      <c r="J914" s="8"/>
      <c r="K914" s="10"/>
      <c r="L914" s="10"/>
      <c r="M914" s="10"/>
      <c r="N914" s="28"/>
      <c r="O914" s="9">
        <f t="shared" si="252"/>
        <v>0</v>
      </c>
    </row>
    <row r="915" spans="1:20" x14ac:dyDescent="0.15">
      <c r="A915" s="38" t="s">
        <v>83</v>
      </c>
      <c r="B915" s="11"/>
      <c r="C915" s="100"/>
      <c r="D915" s="100"/>
      <c r="E915" s="100"/>
      <c r="F915" s="101"/>
      <c r="G915" s="102">
        <f t="shared" si="250"/>
        <v>0</v>
      </c>
      <c r="I915" s="15" t="s">
        <v>83</v>
      </c>
      <c r="J915" s="8">
        <v>100</v>
      </c>
      <c r="K915" s="10">
        <v>95</v>
      </c>
      <c r="L915" s="10">
        <v>95</v>
      </c>
      <c r="M915" s="10">
        <v>120</v>
      </c>
      <c r="N915" s="30">
        <v>130</v>
      </c>
      <c r="O915" s="7">
        <f t="shared" si="252"/>
        <v>540</v>
      </c>
      <c r="P915" s="125">
        <v>42782</v>
      </c>
      <c r="Q915" s="58" t="s">
        <v>542</v>
      </c>
      <c r="R915" s="56" t="s">
        <v>543</v>
      </c>
      <c r="S915" s="56" t="s">
        <v>544</v>
      </c>
      <c r="T915" s="56" t="s">
        <v>538</v>
      </c>
    </row>
    <row r="916" spans="1:20" ht="14.25" thickBot="1" x14ac:dyDescent="0.2">
      <c r="A916" s="38" t="s">
        <v>159</v>
      </c>
      <c r="B916" s="11">
        <v>5</v>
      </c>
      <c r="C916" s="100">
        <v>10</v>
      </c>
      <c r="D916" s="100">
        <v>10</v>
      </c>
      <c r="E916" s="100">
        <v>5</v>
      </c>
      <c r="F916" s="101"/>
      <c r="G916" s="102">
        <f t="shared" si="250"/>
        <v>30</v>
      </c>
      <c r="H916" s="58">
        <v>43179</v>
      </c>
      <c r="I916" s="15" t="s">
        <v>87</v>
      </c>
      <c r="J916" s="11"/>
      <c r="K916" s="100"/>
      <c r="L916" s="100"/>
      <c r="M916" s="100"/>
      <c r="N916" s="101"/>
      <c r="O916" s="102">
        <f t="shared" si="252"/>
        <v>0</v>
      </c>
    </row>
    <row r="917" spans="1:20" ht="14.25" thickBot="1" x14ac:dyDescent="0.2">
      <c r="A917" s="72" t="s">
        <v>7</v>
      </c>
      <c r="B917" s="73">
        <f>SUM(B907:B916)</f>
        <v>53</v>
      </c>
      <c r="C917" s="74">
        <f t="shared" ref="C917:G917" si="253">SUM(C907:C916)</f>
        <v>46</v>
      </c>
      <c r="D917" s="74">
        <f t="shared" si="253"/>
        <v>39</v>
      </c>
      <c r="E917" s="74">
        <f t="shared" si="253"/>
        <v>25</v>
      </c>
      <c r="F917" s="105">
        <f t="shared" si="253"/>
        <v>44</v>
      </c>
      <c r="G917" s="76">
        <f t="shared" si="253"/>
        <v>207</v>
      </c>
      <c r="I917" s="72" t="s">
        <v>7</v>
      </c>
      <c r="J917" s="73">
        <f>SUM(J907:J916)</f>
        <v>360</v>
      </c>
      <c r="K917" s="74">
        <f t="shared" ref="K917:O917" si="254">SUM(K907:K916)</f>
        <v>368</v>
      </c>
      <c r="L917" s="74">
        <f t="shared" si="254"/>
        <v>334</v>
      </c>
      <c r="M917" s="74">
        <f t="shared" si="254"/>
        <v>312</v>
      </c>
      <c r="N917" s="105">
        <f t="shared" si="254"/>
        <v>304</v>
      </c>
      <c r="O917" s="76">
        <f t="shared" si="254"/>
        <v>1678</v>
      </c>
    </row>
    <row r="918" spans="1:20" x14ac:dyDescent="0.15">
      <c r="A918" s="16" t="s">
        <v>589</v>
      </c>
      <c r="B918" s="8">
        <v>3</v>
      </c>
      <c r="C918" s="10">
        <v>3</v>
      </c>
      <c r="D918" s="10">
        <v>3</v>
      </c>
      <c r="E918" s="10">
        <v>3</v>
      </c>
      <c r="F918" s="30">
        <v>3</v>
      </c>
      <c r="G918" s="7">
        <f t="shared" ref="G918:G943" si="255">SUM(B918:F918)</f>
        <v>15</v>
      </c>
      <c r="H918" s="58">
        <v>43152</v>
      </c>
      <c r="I918" s="16" t="s">
        <v>625</v>
      </c>
      <c r="J918" s="17">
        <v>5</v>
      </c>
      <c r="K918" s="22">
        <v>5</v>
      </c>
      <c r="L918" s="22"/>
      <c r="M918" s="22">
        <v>10</v>
      </c>
      <c r="N918" s="29">
        <v>5</v>
      </c>
      <c r="O918" s="18">
        <f t="shared" ref="O918:O943" si="256">SUM(J918:N918)</f>
        <v>25</v>
      </c>
      <c r="P918" s="58">
        <v>43152</v>
      </c>
      <c r="Q918" s="56"/>
    </row>
    <row r="919" spans="1:20" x14ac:dyDescent="0.15">
      <c r="A919" s="14" t="s">
        <v>25</v>
      </c>
      <c r="B919" s="8"/>
      <c r="C919" s="10"/>
      <c r="D919" s="10"/>
      <c r="E919" s="10"/>
      <c r="F919" s="30">
        <v>2</v>
      </c>
      <c r="G919" s="7">
        <f t="shared" si="255"/>
        <v>2</v>
      </c>
      <c r="H919" s="58">
        <v>43152</v>
      </c>
      <c r="I919" s="16" t="s">
        <v>24</v>
      </c>
      <c r="J919" s="8">
        <v>20</v>
      </c>
      <c r="K919" s="10"/>
      <c r="L919" s="10"/>
      <c r="M919" s="10"/>
      <c r="N919" s="28"/>
      <c r="O919" s="9">
        <f t="shared" si="256"/>
        <v>20</v>
      </c>
      <c r="P919" s="58">
        <v>43160</v>
      </c>
    </row>
    <row r="920" spans="1:20" x14ac:dyDescent="0.15">
      <c r="A920" s="14" t="s">
        <v>632</v>
      </c>
      <c r="B920" s="8">
        <v>2</v>
      </c>
      <c r="C920" s="10">
        <v>2</v>
      </c>
      <c r="D920" s="10">
        <v>2</v>
      </c>
      <c r="E920" s="10">
        <v>2</v>
      </c>
      <c r="F920" s="30">
        <v>2</v>
      </c>
      <c r="G920" s="7">
        <f t="shared" si="255"/>
        <v>10</v>
      </c>
      <c r="H920" s="58">
        <v>43165</v>
      </c>
      <c r="I920" s="16" t="s">
        <v>24</v>
      </c>
      <c r="J920" s="8">
        <v>10</v>
      </c>
      <c r="K920" s="10">
        <v>5</v>
      </c>
      <c r="L920" s="10">
        <v>10</v>
      </c>
      <c r="M920" s="10">
        <v>5</v>
      </c>
      <c r="N920" s="30">
        <v>20</v>
      </c>
      <c r="O920" s="7">
        <f t="shared" si="256"/>
        <v>50</v>
      </c>
      <c r="P920" s="58">
        <v>43165</v>
      </c>
    </row>
    <row r="921" spans="1:20" x14ac:dyDescent="0.15">
      <c r="A921" s="14" t="s">
        <v>25</v>
      </c>
      <c r="B921" s="8"/>
      <c r="C921" s="10"/>
      <c r="D921" s="10"/>
      <c r="E921" s="10">
        <v>1</v>
      </c>
      <c r="F921" s="30"/>
      <c r="G921" s="7">
        <f t="shared" si="255"/>
        <v>1</v>
      </c>
      <c r="H921" s="58">
        <v>43154</v>
      </c>
      <c r="I921" s="16" t="s">
        <v>24</v>
      </c>
      <c r="J921" s="8"/>
      <c r="K921" s="10">
        <v>10</v>
      </c>
      <c r="L921" s="10"/>
      <c r="M921" s="10"/>
      <c r="N921" s="30">
        <v>5</v>
      </c>
      <c r="O921" s="7">
        <f t="shared" si="256"/>
        <v>15</v>
      </c>
      <c r="P921" s="58">
        <v>43167</v>
      </c>
      <c r="Q921" s="56"/>
    </row>
    <row r="922" spans="1:20" x14ac:dyDescent="0.15">
      <c r="A922" s="14" t="s">
        <v>22</v>
      </c>
      <c r="B922" s="8">
        <v>10</v>
      </c>
      <c r="C922" s="10"/>
      <c r="D922" s="10"/>
      <c r="E922" s="10"/>
      <c r="F922" s="30"/>
      <c r="G922" s="7">
        <f t="shared" si="255"/>
        <v>10</v>
      </c>
      <c r="H922" s="58">
        <v>43161</v>
      </c>
      <c r="I922" s="16" t="s">
        <v>24</v>
      </c>
      <c r="J922" s="8">
        <v>5</v>
      </c>
      <c r="K922" s="10">
        <v>10</v>
      </c>
      <c r="L922" s="10">
        <v>10</v>
      </c>
      <c r="M922" s="10">
        <v>5</v>
      </c>
      <c r="N922" s="30"/>
      <c r="O922" s="7">
        <f t="shared" si="256"/>
        <v>30</v>
      </c>
      <c r="P922" s="58">
        <v>43179</v>
      </c>
      <c r="Q922" s="56"/>
    </row>
    <row r="923" spans="1:20" x14ac:dyDescent="0.15">
      <c r="A923" s="14" t="s">
        <v>29</v>
      </c>
      <c r="B923" s="8"/>
      <c r="C923" s="10"/>
      <c r="D923" s="10"/>
      <c r="E923" s="10">
        <v>1</v>
      </c>
      <c r="F923" s="30"/>
      <c r="G923" s="7">
        <f t="shared" si="255"/>
        <v>1</v>
      </c>
      <c r="H923" s="58">
        <v>43157</v>
      </c>
      <c r="I923" s="16"/>
      <c r="J923" s="8"/>
      <c r="K923" s="10"/>
      <c r="L923" s="10"/>
      <c r="M923" s="10"/>
      <c r="N923" s="30"/>
      <c r="O923" s="7">
        <f t="shared" si="256"/>
        <v>0</v>
      </c>
    </row>
    <row r="924" spans="1:20" x14ac:dyDescent="0.15">
      <c r="A924" s="14" t="s">
        <v>22</v>
      </c>
      <c r="B924" s="8">
        <v>10</v>
      </c>
      <c r="C924" s="10"/>
      <c r="D924" s="10"/>
      <c r="E924" s="10"/>
      <c r="F924" s="30"/>
      <c r="G924" s="7">
        <f t="shared" si="255"/>
        <v>10</v>
      </c>
      <c r="H924" s="58">
        <v>43165</v>
      </c>
      <c r="I924" s="16"/>
      <c r="J924" s="8"/>
      <c r="K924" s="10"/>
      <c r="L924" s="10"/>
      <c r="M924" s="10"/>
      <c r="N924" s="30"/>
      <c r="O924" s="7">
        <f t="shared" si="256"/>
        <v>0</v>
      </c>
    </row>
    <row r="925" spans="1:20" x14ac:dyDescent="0.15">
      <c r="A925" s="14" t="s">
        <v>110</v>
      </c>
      <c r="B925" s="8">
        <v>2</v>
      </c>
      <c r="C925" s="10"/>
      <c r="D925" s="10"/>
      <c r="E925" s="10"/>
      <c r="F925" s="30">
        <v>2</v>
      </c>
      <c r="G925" s="7">
        <f t="shared" si="255"/>
        <v>4</v>
      </c>
      <c r="H925" s="58">
        <v>43165</v>
      </c>
      <c r="I925" s="16"/>
      <c r="J925" s="8"/>
      <c r="K925" s="10"/>
      <c r="L925" s="10"/>
      <c r="M925" s="10"/>
      <c r="N925" s="30"/>
      <c r="O925" s="7">
        <f t="shared" si="256"/>
        <v>0</v>
      </c>
    </row>
    <row r="926" spans="1:20" x14ac:dyDescent="0.15">
      <c r="A926" s="14" t="s">
        <v>22</v>
      </c>
      <c r="B926" s="8"/>
      <c r="C926" s="10"/>
      <c r="D926" s="10"/>
      <c r="E926" s="10"/>
      <c r="F926" s="30">
        <v>10</v>
      </c>
      <c r="G926" s="7">
        <f t="shared" si="255"/>
        <v>10</v>
      </c>
      <c r="H926" s="58">
        <v>43168</v>
      </c>
      <c r="I926" s="39"/>
      <c r="J926" s="8"/>
      <c r="K926" s="10"/>
      <c r="L926" s="10"/>
      <c r="M926" s="10"/>
      <c r="N926" s="30"/>
      <c r="O926" s="7">
        <f t="shared" si="256"/>
        <v>0</v>
      </c>
    </row>
    <row r="927" spans="1:20" x14ac:dyDescent="0.15">
      <c r="A927" s="20" t="s">
        <v>593</v>
      </c>
      <c r="B927" s="11">
        <v>5</v>
      </c>
      <c r="C927" s="12">
        <v>5</v>
      </c>
      <c r="D927" s="12">
        <v>5</v>
      </c>
      <c r="E927" s="12">
        <v>5</v>
      </c>
      <c r="F927" s="31">
        <v>5</v>
      </c>
      <c r="G927" s="7">
        <f t="shared" si="255"/>
        <v>25</v>
      </c>
      <c r="H927" s="58">
        <v>43166</v>
      </c>
      <c r="I927" s="16"/>
      <c r="J927" s="11"/>
      <c r="K927" s="12"/>
      <c r="L927" s="12"/>
      <c r="M927" s="12"/>
      <c r="N927" s="31"/>
      <c r="O927" s="7">
        <f t="shared" si="256"/>
        <v>0</v>
      </c>
    </row>
    <row r="928" spans="1:20" x14ac:dyDescent="0.15">
      <c r="A928" s="51" t="s">
        <v>638</v>
      </c>
      <c r="B928" s="11"/>
      <c r="C928" s="12">
        <v>1</v>
      </c>
      <c r="D928" s="12"/>
      <c r="E928" s="12"/>
      <c r="F928" s="31"/>
      <c r="G928" s="7">
        <f t="shared" si="255"/>
        <v>1</v>
      </c>
      <c r="H928" s="58">
        <v>43162</v>
      </c>
      <c r="I928" s="16"/>
      <c r="J928" s="8"/>
      <c r="K928" s="10"/>
      <c r="L928" s="10"/>
      <c r="M928" s="10"/>
      <c r="N928" s="30"/>
      <c r="O928" s="7">
        <f t="shared" si="256"/>
        <v>0</v>
      </c>
    </row>
    <row r="929" spans="1:19" x14ac:dyDescent="0.15">
      <c r="A929" s="14" t="s">
        <v>110</v>
      </c>
      <c r="B929" s="8"/>
      <c r="C929" s="10"/>
      <c r="D929" s="10"/>
      <c r="E929" s="10"/>
      <c r="F929" s="30">
        <v>5</v>
      </c>
      <c r="G929" s="7">
        <f t="shared" si="255"/>
        <v>5</v>
      </c>
      <c r="H929" s="58">
        <v>43171</v>
      </c>
      <c r="I929" s="39"/>
      <c r="J929" s="8"/>
      <c r="K929" s="10"/>
      <c r="L929" s="10"/>
      <c r="M929" s="10"/>
      <c r="N929" s="30"/>
      <c r="O929" s="7">
        <f t="shared" si="256"/>
        <v>0</v>
      </c>
    </row>
    <row r="930" spans="1:19" x14ac:dyDescent="0.15">
      <c r="A930" s="14" t="s">
        <v>22</v>
      </c>
      <c r="B930" s="8"/>
      <c r="C930" s="10">
        <v>10</v>
      </c>
      <c r="D930" s="10"/>
      <c r="E930" s="10"/>
      <c r="F930" s="30"/>
      <c r="G930" s="7">
        <f t="shared" si="255"/>
        <v>10</v>
      </c>
      <c r="H930" s="58">
        <v>43172</v>
      </c>
      <c r="I930" s="16"/>
      <c r="J930" s="8"/>
      <c r="K930" s="10"/>
      <c r="L930" s="10"/>
      <c r="M930" s="10"/>
      <c r="N930" s="30"/>
      <c r="O930" s="7">
        <f t="shared" si="256"/>
        <v>0</v>
      </c>
    </row>
    <row r="931" spans="1:19" x14ac:dyDescent="0.15">
      <c r="A931" s="14" t="s">
        <v>110</v>
      </c>
      <c r="B931" s="8"/>
      <c r="C931" s="10">
        <v>3</v>
      </c>
      <c r="D931" s="10"/>
      <c r="E931" s="10"/>
      <c r="F931" s="30">
        <v>4</v>
      </c>
      <c r="G931" s="7">
        <f t="shared" si="255"/>
        <v>7</v>
      </c>
      <c r="H931" s="58">
        <v>43174</v>
      </c>
      <c r="I931" s="16"/>
      <c r="J931" s="8"/>
      <c r="K931" s="10"/>
      <c r="L931" s="10"/>
      <c r="M931" s="10"/>
      <c r="N931" s="30"/>
      <c r="O931" s="7">
        <f t="shared" si="256"/>
        <v>0</v>
      </c>
    </row>
    <row r="932" spans="1:19" x14ac:dyDescent="0.15">
      <c r="A932" s="16" t="s">
        <v>640</v>
      </c>
      <c r="B932" s="8">
        <v>1</v>
      </c>
      <c r="C932" s="10"/>
      <c r="D932" s="10"/>
      <c r="E932" s="10"/>
      <c r="F932" s="30"/>
      <c r="G932" s="7">
        <f t="shared" si="255"/>
        <v>1</v>
      </c>
      <c r="H932" s="58">
        <v>43169</v>
      </c>
      <c r="I932" s="16"/>
      <c r="J932" s="8"/>
      <c r="K932" s="10"/>
      <c r="L932" s="10"/>
      <c r="M932" s="10"/>
      <c r="N932" s="30"/>
      <c r="O932" s="7">
        <f t="shared" si="256"/>
        <v>0</v>
      </c>
    </row>
    <row r="933" spans="1:19" x14ac:dyDescent="0.15">
      <c r="A933" s="14" t="s">
        <v>25</v>
      </c>
      <c r="B933" s="8"/>
      <c r="C933" s="10"/>
      <c r="D933" s="10">
        <v>2</v>
      </c>
      <c r="E933" s="10">
        <v>1</v>
      </c>
      <c r="F933" s="30"/>
      <c r="G933" s="7">
        <f t="shared" si="255"/>
        <v>3</v>
      </c>
      <c r="H933" s="58">
        <v>43172</v>
      </c>
      <c r="I933" s="16"/>
      <c r="J933" s="8"/>
      <c r="K933" s="10"/>
      <c r="L933" s="10"/>
      <c r="M933" s="10"/>
      <c r="N933" s="30"/>
      <c r="O933" s="7">
        <f t="shared" si="256"/>
        <v>0</v>
      </c>
    </row>
    <row r="934" spans="1:19" x14ac:dyDescent="0.15">
      <c r="A934" s="16" t="s">
        <v>644</v>
      </c>
      <c r="B934" s="8"/>
      <c r="C934" s="10">
        <v>1</v>
      </c>
      <c r="D934" s="10"/>
      <c r="E934" s="10"/>
      <c r="F934" s="30"/>
      <c r="G934" s="7">
        <f t="shared" si="255"/>
        <v>1</v>
      </c>
      <c r="H934" s="58">
        <v>43174</v>
      </c>
      <c r="I934" s="14"/>
      <c r="J934" s="8"/>
      <c r="K934" s="10"/>
      <c r="L934" s="10"/>
      <c r="M934" s="10"/>
      <c r="N934" s="30"/>
      <c r="O934" s="7">
        <f t="shared" si="256"/>
        <v>0</v>
      </c>
      <c r="P934" s="58"/>
    </row>
    <row r="935" spans="1:19" x14ac:dyDescent="0.15">
      <c r="A935" s="14" t="s">
        <v>25</v>
      </c>
      <c r="B935" s="8"/>
      <c r="C935" s="10">
        <v>1</v>
      </c>
      <c r="D935" s="10"/>
      <c r="E935" s="10"/>
      <c r="F935" s="30"/>
      <c r="G935" s="7">
        <f t="shared" si="255"/>
        <v>1</v>
      </c>
      <c r="H935" s="58">
        <v>43174</v>
      </c>
      <c r="I935" s="14"/>
      <c r="J935" s="8"/>
      <c r="K935" s="10"/>
      <c r="L935" s="10"/>
      <c r="M935" s="10"/>
      <c r="N935" s="30"/>
      <c r="O935" s="7">
        <f t="shared" si="256"/>
        <v>0</v>
      </c>
      <c r="P935" s="58"/>
    </row>
    <row r="936" spans="1:19" x14ac:dyDescent="0.15">
      <c r="A936" s="16" t="s">
        <v>646</v>
      </c>
      <c r="B936" s="8"/>
      <c r="C936" s="10">
        <v>2</v>
      </c>
      <c r="D936" s="10"/>
      <c r="E936" s="10"/>
      <c r="F936" s="30"/>
      <c r="G936" s="7">
        <f t="shared" si="255"/>
        <v>2</v>
      </c>
      <c r="H936" s="58">
        <v>43178</v>
      </c>
      <c r="I936" s="14"/>
      <c r="J936" s="8"/>
      <c r="K936" s="10"/>
      <c r="L936" s="10"/>
      <c r="M936" s="10"/>
      <c r="N936" s="30"/>
      <c r="O936" s="7">
        <f t="shared" si="256"/>
        <v>0</v>
      </c>
      <c r="P936" s="58"/>
    </row>
    <row r="937" spans="1:19" x14ac:dyDescent="0.15">
      <c r="A937" s="20" t="s">
        <v>650</v>
      </c>
      <c r="B937" s="8">
        <v>2</v>
      </c>
      <c r="C937" s="10"/>
      <c r="D937" s="10">
        <v>4</v>
      </c>
      <c r="E937" s="10"/>
      <c r="F937" s="30"/>
      <c r="G937" s="7">
        <f t="shared" si="255"/>
        <v>6</v>
      </c>
      <c r="H937" s="58">
        <v>43178</v>
      </c>
      <c r="I937" s="16"/>
      <c r="J937" s="11"/>
      <c r="K937" s="12"/>
      <c r="L937" s="12"/>
      <c r="M937" s="12"/>
      <c r="N937" s="31"/>
      <c r="O937" s="7">
        <f t="shared" si="256"/>
        <v>0</v>
      </c>
      <c r="P937" s="58"/>
    </row>
    <row r="938" spans="1:19" x14ac:dyDescent="0.15">
      <c r="A938" s="14" t="s">
        <v>25</v>
      </c>
      <c r="B938" s="8">
        <v>1</v>
      </c>
      <c r="C938" s="10">
        <v>1</v>
      </c>
      <c r="D938" s="10"/>
      <c r="E938" s="10"/>
      <c r="F938" s="30"/>
      <c r="G938" s="7">
        <f t="shared" si="255"/>
        <v>2</v>
      </c>
      <c r="H938" s="58">
        <v>43176</v>
      </c>
      <c r="I938" s="14"/>
      <c r="J938" s="11"/>
      <c r="K938" s="12"/>
      <c r="L938" s="12"/>
      <c r="M938" s="12"/>
      <c r="N938" s="31"/>
      <c r="O938" s="7">
        <f t="shared" si="256"/>
        <v>0</v>
      </c>
      <c r="P938" s="58"/>
    </row>
    <row r="939" spans="1:19" x14ac:dyDescent="0.15">
      <c r="A939" s="14" t="s">
        <v>25</v>
      </c>
      <c r="B939" s="11">
        <v>1</v>
      </c>
      <c r="C939" s="12"/>
      <c r="D939" s="12"/>
      <c r="E939" s="12"/>
      <c r="F939" s="31"/>
      <c r="G939" s="7">
        <f t="shared" si="255"/>
        <v>1</v>
      </c>
      <c r="H939" s="58">
        <v>43179</v>
      </c>
      <c r="I939" s="14"/>
      <c r="J939" s="8"/>
      <c r="K939" s="10"/>
      <c r="L939" s="10"/>
      <c r="M939" s="10"/>
      <c r="N939" s="30"/>
      <c r="O939" s="7">
        <f t="shared" ref="O939:O941" si="257">SUM(J939:N939)</f>
        <v>0</v>
      </c>
      <c r="P939" s="58"/>
    </row>
    <row r="940" spans="1:19" x14ac:dyDescent="0.15">
      <c r="A940" s="14" t="s">
        <v>652</v>
      </c>
      <c r="B940" s="8">
        <v>3</v>
      </c>
      <c r="C940" s="10">
        <v>2</v>
      </c>
      <c r="D940" s="10">
        <v>7</v>
      </c>
      <c r="E940" s="10">
        <v>3</v>
      </c>
      <c r="F940" s="30"/>
      <c r="G940" s="7">
        <f t="shared" si="255"/>
        <v>15</v>
      </c>
      <c r="H940" s="58">
        <v>43180</v>
      </c>
      <c r="I940" s="16"/>
      <c r="J940" s="11"/>
      <c r="K940" s="12"/>
      <c r="L940" s="12"/>
      <c r="M940" s="12"/>
      <c r="N940" s="31"/>
      <c r="O940" s="7">
        <f t="shared" si="257"/>
        <v>0</v>
      </c>
      <c r="P940" s="58"/>
    </row>
    <row r="941" spans="1:19" x14ac:dyDescent="0.15">
      <c r="A941" s="16" t="s">
        <v>649</v>
      </c>
      <c r="B941" s="8"/>
      <c r="C941" s="10">
        <v>2</v>
      </c>
      <c r="D941" s="10"/>
      <c r="E941" s="10"/>
      <c r="F941" s="30"/>
      <c r="G941" s="7">
        <f t="shared" si="255"/>
        <v>2</v>
      </c>
      <c r="H941" s="58">
        <v>43181</v>
      </c>
      <c r="I941" s="14"/>
      <c r="J941" s="11"/>
      <c r="K941" s="12"/>
      <c r="L941" s="12"/>
      <c r="M941" s="12"/>
      <c r="N941" s="31"/>
      <c r="O941" s="7">
        <f t="shared" si="257"/>
        <v>0</v>
      </c>
      <c r="P941" s="58"/>
    </row>
    <row r="942" spans="1:19" x14ac:dyDescent="0.15">
      <c r="A942" s="14" t="s">
        <v>117</v>
      </c>
      <c r="B942" s="8"/>
      <c r="C942" s="10"/>
      <c r="D942" s="10"/>
      <c r="E942" s="10">
        <v>1</v>
      </c>
      <c r="F942" s="30"/>
      <c r="G942" s="7">
        <f t="shared" si="255"/>
        <v>1</v>
      </c>
      <c r="H942" s="58">
        <v>43179</v>
      </c>
      <c r="I942" s="20"/>
      <c r="J942" s="11"/>
      <c r="K942" s="12"/>
      <c r="L942" s="12"/>
      <c r="M942" s="12"/>
      <c r="N942" s="31"/>
      <c r="O942" s="7">
        <f t="shared" si="256"/>
        <v>0</v>
      </c>
      <c r="P942" s="56"/>
    </row>
    <row r="943" spans="1:19" ht="14.25" thickBot="1" x14ac:dyDescent="0.2">
      <c r="A943" s="14" t="s">
        <v>29</v>
      </c>
      <c r="B943" s="11"/>
      <c r="C943" s="12"/>
      <c r="D943" s="12"/>
      <c r="E943" s="12"/>
      <c r="F943" s="31">
        <v>1</v>
      </c>
      <c r="G943" s="7">
        <f t="shared" si="255"/>
        <v>1</v>
      </c>
      <c r="H943" s="57">
        <v>43179</v>
      </c>
      <c r="I943" s="120" t="s">
        <v>563</v>
      </c>
      <c r="J943" s="142">
        <v>10</v>
      </c>
      <c r="K943" s="143">
        <v>10</v>
      </c>
      <c r="L943" s="143">
        <v>0</v>
      </c>
      <c r="M943" s="143">
        <v>25</v>
      </c>
      <c r="N943" s="144">
        <v>20</v>
      </c>
      <c r="O943" s="124">
        <f t="shared" si="256"/>
        <v>65</v>
      </c>
      <c r="P943" s="125" t="s">
        <v>542</v>
      </c>
      <c r="Q943" s="145" t="s">
        <v>543</v>
      </c>
      <c r="R943" s="145" t="s">
        <v>544</v>
      </c>
      <c r="S943" s="145" t="s">
        <v>538</v>
      </c>
    </row>
    <row r="944" spans="1:19" ht="14.25" thickBot="1" x14ac:dyDescent="0.2">
      <c r="A944" s="3" t="s">
        <v>11</v>
      </c>
      <c r="B944" s="23">
        <f>SUM(B918:B943)</f>
        <v>40</v>
      </c>
      <c r="C944" s="4">
        <f>SUM(C918:C943)</f>
        <v>33</v>
      </c>
      <c r="D944" s="4">
        <f>SUM(D918:D943)</f>
        <v>23</v>
      </c>
      <c r="E944" s="6">
        <f>SUM(E918:E943)</f>
        <v>17</v>
      </c>
      <c r="F944" s="32">
        <f>SUM(F918:F943)</f>
        <v>34</v>
      </c>
      <c r="G944" s="5">
        <f>SUM(B944:F944)</f>
        <v>147</v>
      </c>
      <c r="I944" s="3" t="s">
        <v>11</v>
      </c>
      <c r="J944" s="23">
        <f>SUM(J918:J943)</f>
        <v>50</v>
      </c>
      <c r="K944" s="4">
        <f>SUM(K918:K943)</f>
        <v>40</v>
      </c>
      <c r="L944" s="4">
        <f>SUM(L918:L943)</f>
        <v>20</v>
      </c>
      <c r="M944" s="6">
        <f>SUM(M918:M943)</f>
        <v>45</v>
      </c>
      <c r="N944" s="6">
        <f>SUM(N918:N943)</f>
        <v>50</v>
      </c>
      <c r="O944" s="5">
        <f>SUM(J944:N944)</f>
        <v>205</v>
      </c>
    </row>
    <row r="945" spans="1:15" ht="14.25" thickBot="1" x14ac:dyDescent="0.2">
      <c r="A945" s="25" t="s">
        <v>12</v>
      </c>
      <c r="B945" s="63">
        <f>B917-B944</f>
        <v>13</v>
      </c>
      <c r="C945" s="26">
        <f t="shared" ref="C945:G945" si="258">C917-C944</f>
        <v>13</v>
      </c>
      <c r="D945" s="71">
        <f t="shared" si="258"/>
        <v>16</v>
      </c>
      <c r="E945" s="26">
        <f t="shared" si="258"/>
        <v>8</v>
      </c>
      <c r="F945" s="70">
        <f t="shared" si="258"/>
        <v>10</v>
      </c>
      <c r="G945" s="27">
        <f t="shared" si="258"/>
        <v>60</v>
      </c>
      <c r="I945" s="25" t="s">
        <v>12</v>
      </c>
      <c r="J945" s="63">
        <f>J917-J944</f>
        <v>310</v>
      </c>
      <c r="K945" s="26">
        <f t="shared" ref="K945:O945" si="259">K917-K944</f>
        <v>328</v>
      </c>
      <c r="L945" s="71">
        <f t="shared" si="259"/>
        <v>314</v>
      </c>
      <c r="M945" s="26">
        <f t="shared" si="259"/>
        <v>267</v>
      </c>
      <c r="N945" s="70">
        <f t="shared" si="259"/>
        <v>254</v>
      </c>
      <c r="O945" s="27">
        <f t="shared" si="259"/>
        <v>1473</v>
      </c>
    </row>
    <row r="946" spans="1:15" ht="17.25" x14ac:dyDescent="0.2">
      <c r="A946" s="79" t="s">
        <v>56</v>
      </c>
      <c r="B946" s="80"/>
      <c r="C946" s="80"/>
      <c r="D946" s="80"/>
      <c r="E946" s="80"/>
      <c r="F946" s="80"/>
      <c r="G946" s="80"/>
      <c r="I946" s="79" t="s">
        <v>56</v>
      </c>
      <c r="J946" s="80"/>
      <c r="K946" s="80"/>
      <c r="L946" s="80"/>
      <c r="M946" s="80"/>
      <c r="N946" s="80"/>
      <c r="O946" s="1"/>
    </row>
    <row r="947" spans="1:15" ht="21.75" thickBot="1" x14ac:dyDescent="0.25">
      <c r="A947" s="82" t="s">
        <v>55</v>
      </c>
      <c r="B947" s="80"/>
      <c r="C947" s="80"/>
      <c r="D947" s="80"/>
      <c r="E947" s="81" t="s">
        <v>53</v>
      </c>
      <c r="F947" s="80"/>
      <c r="G947" s="80"/>
      <c r="I947" s="82" t="s">
        <v>55</v>
      </c>
      <c r="J947" s="80"/>
      <c r="K947" s="80"/>
      <c r="L947" s="80"/>
      <c r="M947" s="81" t="s">
        <v>54</v>
      </c>
      <c r="N947" s="80"/>
      <c r="O947" s="1"/>
    </row>
    <row r="948" spans="1:15" ht="14.25" thickBot="1" x14ac:dyDescent="0.2">
      <c r="A948" s="13" t="s">
        <v>0</v>
      </c>
      <c r="B948" s="228" t="s">
        <v>57</v>
      </c>
      <c r="C948" s="229"/>
      <c r="D948" s="229"/>
      <c r="E948" s="229"/>
      <c r="F948" s="230"/>
      <c r="G948" s="231"/>
      <c r="I948" s="13" t="s">
        <v>0</v>
      </c>
      <c r="J948" s="232" t="s">
        <v>57</v>
      </c>
      <c r="K948" s="233"/>
      <c r="L948" s="233"/>
      <c r="M948" s="233"/>
      <c r="N948" s="233"/>
      <c r="O948" s="234"/>
    </row>
    <row r="949" spans="1:15" ht="14.25" thickBot="1" x14ac:dyDescent="0.2">
      <c r="A949" s="3" t="s">
        <v>1</v>
      </c>
      <c r="B949" s="2" t="s">
        <v>42</v>
      </c>
      <c r="C949" s="21" t="s">
        <v>43</v>
      </c>
      <c r="D949" s="21" t="s">
        <v>44</v>
      </c>
      <c r="E949" s="24" t="s">
        <v>45</v>
      </c>
      <c r="F949" s="33" t="s">
        <v>46</v>
      </c>
      <c r="G949" s="3" t="s">
        <v>2</v>
      </c>
      <c r="I949" s="3" t="s">
        <v>1</v>
      </c>
      <c r="J949" s="2" t="s">
        <v>42</v>
      </c>
      <c r="K949" s="21" t="s">
        <v>43</v>
      </c>
      <c r="L949" s="21" t="s">
        <v>44</v>
      </c>
      <c r="M949" s="24" t="s">
        <v>45</v>
      </c>
      <c r="N949" s="33" t="s">
        <v>46</v>
      </c>
      <c r="O949" s="3" t="s">
        <v>2</v>
      </c>
    </row>
    <row r="950" spans="1:15" ht="14.25" thickBot="1" x14ac:dyDescent="0.2">
      <c r="A950" s="72" t="s">
        <v>79</v>
      </c>
      <c r="B950" s="73">
        <f>B945</f>
        <v>13</v>
      </c>
      <c r="C950" s="74">
        <f t="shared" ref="C950:F950" si="260">C945</f>
        <v>13</v>
      </c>
      <c r="D950" s="107">
        <f t="shared" si="260"/>
        <v>16</v>
      </c>
      <c r="E950" s="75">
        <f t="shared" si="260"/>
        <v>8</v>
      </c>
      <c r="F950" s="75">
        <f t="shared" si="260"/>
        <v>10</v>
      </c>
      <c r="G950" s="76">
        <f t="shared" ref="G950:G959" si="261">SUM(B950:F950)</f>
        <v>60</v>
      </c>
      <c r="I950" s="72" t="s">
        <v>79</v>
      </c>
      <c r="J950" s="73">
        <f>J945</f>
        <v>310</v>
      </c>
      <c r="K950" s="74">
        <f t="shared" ref="K950:N950" si="262">K945</f>
        <v>328</v>
      </c>
      <c r="L950" s="107">
        <f t="shared" si="262"/>
        <v>314</v>
      </c>
      <c r="M950" s="75">
        <f t="shared" si="262"/>
        <v>267</v>
      </c>
      <c r="N950" s="75">
        <f t="shared" si="262"/>
        <v>254</v>
      </c>
      <c r="O950" s="76">
        <f t="shared" ref="O950:O959" si="263">SUM(J950:N950)</f>
        <v>1473</v>
      </c>
    </row>
    <row r="951" spans="1:15" x14ac:dyDescent="0.15">
      <c r="A951" s="38" t="s">
        <v>15</v>
      </c>
      <c r="B951" s="37"/>
      <c r="C951" s="35">
        <v>10</v>
      </c>
      <c r="D951" s="35">
        <v>10</v>
      </c>
      <c r="E951" s="35">
        <v>5</v>
      </c>
      <c r="F951" s="28">
        <v>5</v>
      </c>
      <c r="G951" s="7">
        <f t="shared" si="261"/>
        <v>30</v>
      </c>
      <c r="H951" s="58">
        <v>43188</v>
      </c>
      <c r="I951" s="38" t="s">
        <v>15</v>
      </c>
      <c r="J951" s="8"/>
      <c r="K951" s="10"/>
      <c r="L951" s="10"/>
      <c r="M951" s="10"/>
      <c r="N951" s="30"/>
      <c r="O951" s="7">
        <f t="shared" si="263"/>
        <v>0</v>
      </c>
    </row>
    <row r="952" spans="1:15" x14ac:dyDescent="0.15">
      <c r="A952" s="38" t="s">
        <v>19</v>
      </c>
      <c r="B952" s="8"/>
      <c r="C952" s="10">
        <v>4</v>
      </c>
      <c r="D952" s="10">
        <v>3</v>
      </c>
      <c r="E952" s="10"/>
      <c r="F952" s="28"/>
      <c r="G952" s="9">
        <f t="shared" si="261"/>
        <v>7</v>
      </c>
      <c r="H952" s="58">
        <v>43190</v>
      </c>
      <c r="I952" s="15" t="s">
        <v>3</v>
      </c>
      <c r="J952" s="8"/>
      <c r="K952" s="10"/>
      <c r="L952" s="10"/>
      <c r="M952" s="10"/>
      <c r="N952" s="28"/>
      <c r="O952" s="9">
        <f t="shared" si="263"/>
        <v>0</v>
      </c>
    </row>
    <row r="953" spans="1:15" x14ac:dyDescent="0.15">
      <c r="A953" s="38" t="s">
        <v>18</v>
      </c>
      <c r="B953" s="8">
        <v>15</v>
      </c>
      <c r="C953" s="10">
        <v>5</v>
      </c>
      <c r="D953" s="10"/>
      <c r="E953" s="10">
        <v>10</v>
      </c>
      <c r="F953" s="28"/>
      <c r="G953" s="9">
        <f t="shared" si="261"/>
        <v>30</v>
      </c>
      <c r="H953" s="58">
        <v>43190</v>
      </c>
      <c r="I953" s="15" t="s">
        <v>18</v>
      </c>
      <c r="J953" s="8"/>
      <c r="K953" s="10"/>
      <c r="L953" s="10"/>
      <c r="M953" s="10"/>
      <c r="N953" s="28"/>
      <c r="O953" s="9">
        <f t="shared" si="263"/>
        <v>0</v>
      </c>
    </row>
    <row r="954" spans="1:15" x14ac:dyDescent="0.15">
      <c r="A954" s="38" t="s">
        <v>685</v>
      </c>
      <c r="B954" s="8"/>
      <c r="C954" s="10"/>
      <c r="D954" s="10"/>
      <c r="E954" s="10"/>
      <c r="F954" s="28">
        <v>1</v>
      </c>
      <c r="G954" s="9">
        <f t="shared" si="261"/>
        <v>1</v>
      </c>
      <c r="H954" s="58">
        <v>43202</v>
      </c>
      <c r="I954" s="15" t="s">
        <v>20</v>
      </c>
      <c r="J954" s="8"/>
      <c r="K954" s="10"/>
      <c r="L954" s="10"/>
      <c r="M954" s="10"/>
      <c r="N954" s="28"/>
      <c r="O954" s="9">
        <f t="shared" si="263"/>
        <v>0</v>
      </c>
    </row>
    <row r="955" spans="1:15" x14ac:dyDescent="0.15">
      <c r="A955" s="38" t="s">
        <v>17</v>
      </c>
      <c r="B955" s="8"/>
      <c r="C955" s="10">
        <v>3</v>
      </c>
      <c r="D955" s="10">
        <v>3</v>
      </c>
      <c r="E955" s="10"/>
      <c r="F955" s="28"/>
      <c r="G955" s="9">
        <f t="shared" si="261"/>
        <v>6</v>
      </c>
      <c r="H955" s="57">
        <v>43197</v>
      </c>
      <c r="I955" s="15" t="s">
        <v>80</v>
      </c>
      <c r="J955" s="8"/>
      <c r="K955" s="10"/>
      <c r="L955" s="10"/>
      <c r="M955" s="10"/>
      <c r="N955" s="28"/>
      <c r="O955" s="9">
        <f t="shared" si="263"/>
        <v>0</v>
      </c>
    </row>
    <row r="956" spans="1:15" x14ac:dyDescent="0.15">
      <c r="A956" s="38" t="s">
        <v>81</v>
      </c>
      <c r="B956" s="8"/>
      <c r="C956" s="10">
        <v>10</v>
      </c>
      <c r="D956" s="10">
        <v>5</v>
      </c>
      <c r="E956" s="10">
        <v>15</v>
      </c>
      <c r="F956" s="28">
        <v>10</v>
      </c>
      <c r="G956" s="9">
        <f t="shared" si="261"/>
        <v>40</v>
      </c>
      <c r="H956" s="58">
        <v>43201</v>
      </c>
      <c r="I956" s="15" t="s">
        <v>81</v>
      </c>
      <c r="J956" s="8"/>
      <c r="K956" s="10"/>
      <c r="L956" s="10"/>
      <c r="M956" s="10"/>
      <c r="N956" s="28"/>
      <c r="O956" s="9">
        <f t="shared" si="263"/>
        <v>0</v>
      </c>
    </row>
    <row r="957" spans="1:15" x14ac:dyDescent="0.15">
      <c r="A957" s="38" t="s">
        <v>82</v>
      </c>
      <c r="B957" s="8"/>
      <c r="C957" s="10">
        <v>5</v>
      </c>
      <c r="D957" s="10"/>
      <c r="E957" s="10">
        <v>5</v>
      </c>
      <c r="F957" s="30">
        <v>5</v>
      </c>
      <c r="G957" s="7">
        <f t="shared" si="261"/>
        <v>15</v>
      </c>
      <c r="H957" s="58">
        <v>43206</v>
      </c>
      <c r="I957" s="15" t="s">
        <v>82</v>
      </c>
      <c r="J957" s="8"/>
      <c r="K957" s="10"/>
      <c r="L957" s="10"/>
      <c r="M957" s="10"/>
      <c r="N957" s="28"/>
      <c r="O957" s="9">
        <f t="shared" si="263"/>
        <v>0</v>
      </c>
    </row>
    <row r="958" spans="1:15" x14ac:dyDescent="0.15">
      <c r="A958" s="38" t="s">
        <v>17</v>
      </c>
      <c r="B958" s="11">
        <v>1</v>
      </c>
      <c r="C958" s="100"/>
      <c r="D958" s="100"/>
      <c r="E958" s="100">
        <v>1</v>
      </c>
      <c r="F958" s="101"/>
      <c r="G958" s="102">
        <f t="shared" si="261"/>
        <v>2</v>
      </c>
      <c r="H958" s="58">
        <v>43208</v>
      </c>
      <c r="I958" s="15" t="s">
        <v>83</v>
      </c>
      <c r="J958" s="8"/>
      <c r="K958" s="10"/>
      <c r="L958" s="10"/>
      <c r="M958" s="10"/>
      <c r="N958" s="30"/>
      <c r="O958" s="7">
        <f t="shared" si="263"/>
        <v>0</v>
      </c>
    </row>
    <row r="959" spans="1:15" ht="14.25" thickBot="1" x14ac:dyDescent="0.2">
      <c r="A959" s="38" t="s">
        <v>159</v>
      </c>
      <c r="B959" s="11">
        <v>10</v>
      </c>
      <c r="C959" s="100">
        <v>10</v>
      </c>
      <c r="D959" s="100"/>
      <c r="E959" s="100"/>
      <c r="F959" s="101">
        <v>10</v>
      </c>
      <c r="G959" s="102">
        <f t="shared" si="261"/>
        <v>30</v>
      </c>
      <c r="H959" s="58">
        <v>43213</v>
      </c>
      <c r="I959" s="15" t="s">
        <v>87</v>
      </c>
      <c r="J959" s="11"/>
      <c r="K959" s="100"/>
      <c r="L959" s="100"/>
      <c r="M959" s="100"/>
      <c r="N959" s="101"/>
      <c r="O959" s="102">
        <f t="shared" si="263"/>
        <v>0</v>
      </c>
    </row>
    <row r="960" spans="1:15" ht="14.25" thickBot="1" x14ac:dyDescent="0.2">
      <c r="A960" s="72" t="s">
        <v>7</v>
      </c>
      <c r="B960" s="73">
        <f>SUM(B950:B959)</f>
        <v>39</v>
      </c>
      <c r="C960" s="74">
        <f t="shared" ref="C960:G960" si="264">SUM(C950:C959)</f>
        <v>60</v>
      </c>
      <c r="D960" s="74">
        <f t="shared" si="264"/>
        <v>37</v>
      </c>
      <c r="E960" s="74">
        <f t="shared" si="264"/>
        <v>44</v>
      </c>
      <c r="F960" s="105">
        <f t="shared" si="264"/>
        <v>41</v>
      </c>
      <c r="G960" s="76">
        <f t="shared" si="264"/>
        <v>221</v>
      </c>
      <c r="I960" s="72" t="s">
        <v>7</v>
      </c>
      <c r="J960" s="73">
        <f>SUM(J950:J959)</f>
        <v>310</v>
      </c>
      <c r="K960" s="74">
        <f t="shared" ref="K960:O960" si="265">SUM(K950:K959)</f>
        <v>328</v>
      </c>
      <c r="L960" s="74">
        <f t="shared" si="265"/>
        <v>314</v>
      </c>
      <c r="M960" s="74">
        <f t="shared" si="265"/>
        <v>267</v>
      </c>
      <c r="N960" s="105">
        <f t="shared" si="265"/>
        <v>254</v>
      </c>
      <c r="O960" s="76">
        <f t="shared" si="265"/>
        <v>1473</v>
      </c>
    </row>
    <row r="961" spans="1:16" x14ac:dyDescent="0.15">
      <c r="A961" s="14" t="s">
        <v>25</v>
      </c>
      <c r="B961" s="8"/>
      <c r="C961" s="10">
        <v>1</v>
      </c>
      <c r="D961" s="10"/>
      <c r="E961" s="10"/>
      <c r="F961" s="30"/>
      <c r="G961" s="7">
        <f t="shared" ref="G961:G986" si="266">SUM(B961:F961)</f>
        <v>1</v>
      </c>
      <c r="H961" s="58">
        <v>43182</v>
      </c>
      <c r="I961" s="16" t="s">
        <v>666</v>
      </c>
      <c r="J961" s="17"/>
      <c r="K961" s="22">
        <v>10</v>
      </c>
      <c r="L961" s="22">
        <v>10</v>
      </c>
      <c r="M961" s="22">
        <v>5</v>
      </c>
      <c r="N961" s="29">
        <v>5</v>
      </c>
      <c r="O961" s="18">
        <f t="shared" ref="O961:O986" si="267">SUM(J961:N961)</f>
        <v>30</v>
      </c>
      <c r="P961" s="58">
        <v>43188</v>
      </c>
    </row>
    <row r="962" spans="1:16" x14ac:dyDescent="0.15">
      <c r="A962" s="14" t="s">
        <v>660</v>
      </c>
      <c r="B962" s="8"/>
      <c r="C962" s="10"/>
      <c r="D962" s="10">
        <v>3</v>
      </c>
      <c r="E962" s="10"/>
      <c r="F962" s="30"/>
      <c r="G962" s="7">
        <f t="shared" si="266"/>
        <v>3</v>
      </c>
      <c r="H962" s="58">
        <v>43188</v>
      </c>
      <c r="I962" s="16" t="s">
        <v>24</v>
      </c>
      <c r="J962" s="8">
        <v>15</v>
      </c>
      <c r="K962" s="10">
        <v>5</v>
      </c>
      <c r="L962" s="10">
        <v>0</v>
      </c>
      <c r="M962" s="10">
        <v>10</v>
      </c>
      <c r="N962" s="28">
        <v>0</v>
      </c>
      <c r="O962" s="9">
        <f t="shared" si="267"/>
        <v>30</v>
      </c>
      <c r="P962" s="58">
        <v>43190</v>
      </c>
    </row>
    <row r="963" spans="1:16" x14ac:dyDescent="0.15">
      <c r="A963" s="14" t="s">
        <v>29</v>
      </c>
      <c r="B963" s="8"/>
      <c r="C963" s="10"/>
      <c r="D963" s="10"/>
      <c r="E963" s="10">
        <v>1</v>
      </c>
      <c r="F963" s="30"/>
      <c r="G963" s="7">
        <f t="shared" si="266"/>
        <v>1</v>
      </c>
      <c r="H963" s="58">
        <v>43182</v>
      </c>
      <c r="I963" s="16" t="s">
        <v>24</v>
      </c>
      <c r="J963" s="8"/>
      <c r="K963" s="10">
        <v>10</v>
      </c>
      <c r="L963" s="10">
        <v>5</v>
      </c>
      <c r="M963" s="10">
        <v>15</v>
      </c>
      <c r="N963" s="30">
        <v>10</v>
      </c>
      <c r="O963" s="7">
        <f t="shared" si="267"/>
        <v>40</v>
      </c>
      <c r="P963" s="58">
        <v>43201</v>
      </c>
    </row>
    <row r="964" spans="1:16" x14ac:dyDescent="0.15">
      <c r="A964" s="14" t="s">
        <v>25</v>
      </c>
      <c r="B964" s="8">
        <v>1</v>
      </c>
      <c r="C964" s="10"/>
      <c r="D964" s="10"/>
      <c r="E964" s="10">
        <v>2</v>
      </c>
      <c r="F964" s="30">
        <v>1</v>
      </c>
      <c r="G964" s="7">
        <f t="shared" si="266"/>
        <v>4</v>
      </c>
      <c r="H964" s="58">
        <v>43186</v>
      </c>
      <c r="I964" s="16" t="s">
        <v>24</v>
      </c>
      <c r="J964" s="8"/>
      <c r="K964" s="10">
        <v>5</v>
      </c>
      <c r="L964" s="10"/>
      <c r="M964" s="10">
        <v>5</v>
      </c>
      <c r="N964" s="30">
        <v>5</v>
      </c>
      <c r="O964" s="7">
        <f t="shared" si="267"/>
        <v>15</v>
      </c>
      <c r="P964" s="58">
        <v>43206</v>
      </c>
    </row>
    <row r="965" spans="1:16" x14ac:dyDescent="0.15">
      <c r="A965" s="16" t="s">
        <v>654</v>
      </c>
      <c r="B965" s="8">
        <v>1</v>
      </c>
      <c r="C965" s="10"/>
      <c r="D965" s="10"/>
      <c r="E965" s="10"/>
      <c r="F965" s="30">
        <v>1</v>
      </c>
      <c r="G965" s="7">
        <f t="shared" si="266"/>
        <v>2</v>
      </c>
      <c r="H965" s="58">
        <v>43188</v>
      </c>
      <c r="I965" s="16" t="s">
        <v>24</v>
      </c>
      <c r="J965" s="8">
        <v>10</v>
      </c>
      <c r="K965" s="10">
        <v>10</v>
      </c>
      <c r="L965" s="10"/>
      <c r="M965" s="10"/>
      <c r="N965" s="30">
        <v>10</v>
      </c>
      <c r="O965" s="7">
        <f t="shared" si="267"/>
        <v>30</v>
      </c>
      <c r="P965" s="58">
        <v>43213</v>
      </c>
    </row>
    <row r="966" spans="1:16" x14ac:dyDescent="0.15">
      <c r="A966" s="14" t="s">
        <v>665</v>
      </c>
      <c r="B966" s="8"/>
      <c r="C966" s="10">
        <v>10</v>
      </c>
      <c r="D966" s="10"/>
      <c r="E966" s="10"/>
      <c r="F966" s="30"/>
      <c r="G966" s="7">
        <f t="shared" si="266"/>
        <v>10</v>
      </c>
      <c r="H966" s="58">
        <v>43193</v>
      </c>
      <c r="I966" s="16"/>
      <c r="J966" s="8"/>
      <c r="K966" s="10"/>
      <c r="L966" s="10"/>
      <c r="M966" s="10"/>
      <c r="N966" s="30"/>
      <c r="O966" s="7">
        <f t="shared" si="267"/>
        <v>0</v>
      </c>
    </row>
    <row r="967" spans="1:16" x14ac:dyDescent="0.15">
      <c r="A967" s="14" t="s">
        <v>25</v>
      </c>
      <c r="B967" s="8"/>
      <c r="C967" s="10">
        <v>2</v>
      </c>
      <c r="D967" s="10"/>
      <c r="E967" s="10">
        <v>2</v>
      </c>
      <c r="F967" s="30">
        <v>1</v>
      </c>
      <c r="G967" s="7">
        <f t="shared" si="266"/>
        <v>5</v>
      </c>
      <c r="H967" s="58">
        <v>43189</v>
      </c>
      <c r="I967" s="16"/>
      <c r="J967" s="8"/>
      <c r="K967" s="10"/>
      <c r="L967" s="10"/>
      <c r="M967" s="10"/>
      <c r="N967" s="30"/>
      <c r="O967" s="7">
        <f t="shared" si="267"/>
        <v>0</v>
      </c>
    </row>
    <row r="968" spans="1:16" x14ac:dyDescent="0.15">
      <c r="A968" s="16" t="s">
        <v>663</v>
      </c>
      <c r="B968" s="8">
        <v>1</v>
      </c>
      <c r="C968" s="10">
        <v>3</v>
      </c>
      <c r="D968" s="10"/>
      <c r="E968" s="10"/>
      <c r="F968" s="30"/>
      <c r="G968" s="7">
        <f t="shared" si="266"/>
        <v>4</v>
      </c>
      <c r="H968" s="58">
        <v>43192</v>
      </c>
      <c r="I968" s="16"/>
      <c r="J968" s="8"/>
      <c r="K968" s="10"/>
      <c r="L968" s="10"/>
      <c r="M968" s="10"/>
      <c r="N968" s="30"/>
      <c r="O968" s="7">
        <f t="shared" si="267"/>
        <v>0</v>
      </c>
    </row>
    <row r="969" spans="1:16" x14ac:dyDescent="0.15">
      <c r="A969" s="51" t="s">
        <v>670</v>
      </c>
      <c r="B969" s="8">
        <v>10</v>
      </c>
      <c r="C969" s="10"/>
      <c r="D969" s="10"/>
      <c r="E969" s="10">
        <v>10</v>
      </c>
      <c r="F969" s="30"/>
      <c r="G969" s="7">
        <f t="shared" si="266"/>
        <v>20</v>
      </c>
      <c r="H969" s="58">
        <v>43196</v>
      </c>
      <c r="I969" s="39"/>
      <c r="J969" s="8"/>
      <c r="K969" s="10"/>
      <c r="L969" s="10"/>
      <c r="M969" s="10"/>
      <c r="N969" s="30"/>
      <c r="O969" s="7">
        <f t="shared" si="267"/>
        <v>0</v>
      </c>
    </row>
    <row r="970" spans="1:16" x14ac:dyDescent="0.15">
      <c r="A970" s="14" t="s">
        <v>25</v>
      </c>
      <c r="B970" s="11">
        <v>1</v>
      </c>
      <c r="C970" s="12">
        <v>3</v>
      </c>
      <c r="D970" s="12"/>
      <c r="E970" s="12"/>
      <c r="F970" s="31"/>
      <c r="G970" s="7">
        <f t="shared" si="266"/>
        <v>4</v>
      </c>
      <c r="H970" s="58">
        <v>43193</v>
      </c>
      <c r="I970" s="16"/>
      <c r="J970" s="11"/>
      <c r="K970" s="12"/>
      <c r="L970" s="12"/>
      <c r="M970" s="12"/>
      <c r="N970" s="31"/>
      <c r="O970" s="7">
        <f t="shared" si="267"/>
        <v>0</v>
      </c>
    </row>
    <row r="971" spans="1:16" x14ac:dyDescent="0.15">
      <c r="A971" s="16" t="s">
        <v>668</v>
      </c>
      <c r="B971" s="11"/>
      <c r="C971" s="12">
        <v>2</v>
      </c>
      <c r="D971" s="12"/>
      <c r="E971" s="12"/>
      <c r="F971" s="31"/>
      <c r="G971" s="7">
        <f t="shared" si="266"/>
        <v>2</v>
      </c>
      <c r="H971" s="58">
        <v>43196</v>
      </c>
      <c r="I971" s="16"/>
      <c r="J971" s="8"/>
      <c r="K971" s="10"/>
      <c r="L971" s="10"/>
      <c r="M971" s="10"/>
      <c r="N971" s="30"/>
      <c r="O971" s="7">
        <f t="shared" si="267"/>
        <v>0</v>
      </c>
    </row>
    <row r="972" spans="1:16" x14ac:dyDescent="0.15">
      <c r="A972" s="14" t="s">
        <v>25</v>
      </c>
      <c r="B972" s="8"/>
      <c r="C972" s="10"/>
      <c r="D972" s="10"/>
      <c r="E972" s="10">
        <v>2</v>
      </c>
      <c r="F972" s="30"/>
      <c r="G972" s="7">
        <f t="shared" si="266"/>
        <v>2</v>
      </c>
      <c r="H972" s="58">
        <v>43195</v>
      </c>
      <c r="I972" s="39"/>
      <c r="J972" s="8"/>
      <c r="K972" s="10"/>
      <c r="L972" s="10"/>
      <c r="M972" s="10"/>
      <c r="N972" s="30"/>
      <c r="O972" s="7">
        <f t="shared" si="267"/>
        <v>0</v>
      </c>
    </row>
    <row r="973" spans="1:16" x14ac:dyDescent="0.15">
      <c r="A973" s="14" t="s">
        <v>110</v>
      </c>
      <c r="B973" s="8"/>
      <c r="C973" s="10"/>
      <c r="D973" s="10">
        <v>2</v>
      </c>
      <c r="E973" s="10"/>
      <c r="F973" s="30"/>
      <c r="G973" s="7">
        <f t="shared" si="266"/>
        <v>2</v>
      </c>
      <c r="H973" s="58">
        <v>43202</v>
      </c>
      <c r="I973" s="16"/>
      <c r="J973" s="8"/>
      <c r="K973" s="10"/>
      <c r="L973" s="10"/>
      <c r="M973" s="10"/>
      <c r="N973" s="30"/>
      <c r="O973" s="7">
        <f t="shared" si="267"/>
        <v>0</v>
      </c>
    </row>
    <row r="974" spans="1:16" x14ac:dyDescent="0.15">
      <c r="A974" s="14" t="s">
        <v>25</v>
      </c>
      <c r="B974" s="8"/>
      <c r="C974" s="10">
        <v>2</v>
      </c>
      <c r="D974" s="10">
        <v>1</v>
      </c>
      <c r="E974" s="10">
        <v>4</v>
      </c>
      <c r="F974" s="30">
        <v>1</v>
      </c>
      <c r="G974" s="7">
        <f t="shared" si="266"/>
        <v>8</v>
      </c>
      <c r="H974" s="58">
        <v>43200</v>
      </c>
      <c r="I974" s="16"/>
      <c r="J974" s="8"/>
      <c r="K974" s="10"/>
      <c r="L974" s="10"/>
      <c r="M974" s="10"/>
      <c r="N974" s="30"/>
      <c r="O974" s="7">
        <f t="shared" si="267"/>
        <v>0</v>
      </c>
    </row>
    <row r="975" spans="1:16" x14ac:dyDescent="0.15">
      <c r="A975" s="14" t="s">
        <v>686</v>
      </c>
      <c r="B975" s="8">
        <v>1</v>
      </c>
      <c r="C975" s="10">
        <v>1</v>
      </c>
      <c r="D975" s="10"/>
      <c r="E975" s="10"/>
      <c r="F975" s="30"/>
      <c r="G975" s="7">
        <f t="shared" si="266"/>
        <v>2</v>
      </c>
      <c r="H975" s="58">
        <v>43199</v>
      </c>
      <c r="I975" s="16"/>
      <c r="J975" s="8"/>
      <c r="K975" s="10"/>
      <c r="L975" s="10"/>
      <c r="M975" s="10"/>
      <c r="N975" s="30"/>
      <c r="O975" s="7">
        <f t="shared" si="267"/>
        <v>0</v>
      </c>
    </row>
    <row r="976" spans="1:16" x14ac:dyDescent="0.15">
      <c r="A976" s="14" t="s">
        <v>110</v>
      </c>
      <c r="B976" s="8"/>
      <c r="C976" s="10">
        <v>3</v>
      </c>
      <c r="D976" s="10"/>
      <c r="E976" s="10">
        <v>3</v>
      </c>
      <c r="F976" s="30"/>
      <c r="G976" s="7">
        <f t="shared" si="266"/>
        <v>6</v>
      </c>
      <c r="H976" s="58">
        <v>43206</v>
      </c>
      <c r="I976" s="16"/>
      <c r="J976" s="8"/>
      <c r="K976" s="10"/>
      <c r="L976" s="10"/>
      <c r="M976" s="10"/>
      <c r="N976" s="30"/>
      <c r="O976" s="7">
        <f t="shared" si="267"/>
        <v>0</v>
      </c>
    </row>
    <row r="977" spans="1:16" x14ac:dyDescent="0.15">
      <c r="A977" s="51" t="s">
        <v>22</v>
      </c>
      <c r="B977" s="8"/>
      <c r="C977" s="10"/>
      <c r="D977" s="10">
        <v>10</v>
      </c>
      <c r="E977" s="10"/>
      <c r="F977" s="30">
        <v>10</v>
      </c>
      <c r="G977" s="7">
        <f t="shared" si="266"/>
        <v>20</v>
      </c>
      <c r="H977" s="58">
        <v>43206</v>
      </c>
      <c r="I977" s="16"/>
      <c r="J977" s="11"/>
      <c r="K977" s="12"/>
      <c r="L977" s="12"/>
      <c r="M977" s="12"/>
      <c r="N977" s="31"/>
      <c r="O977" s="7">
        <f t="shared" si="267"/>
        <v>0</v>
      </c>
      <c r="P977" s="58"/>
    </row>
    <row r="978" spans="1:16" x14ac:dyDescent="0.15">
      <c r="A978" s="14" t="s">
        <v>25</v>
      </c>
      <c r="B978" s="8"/>
      <c r="C978" s="10">
        <v>3</v>
      </c>
      <c r="D978" s="10">
        <v>1</v>
      </c>
      <c r="E978" s="10"/>
      <c r="F978" s="30">
        <v>1</v>
      </c>
      <c r="G978" s="7">
        <f t="shared" si="266"/>
        <v>5</v>
      </c>
      <c r="H978" s="58">
        <v>43202</v>
      </c>
      <c r="I978" s="14"/>
      <c r="J978" s="11"/>
      <c r="K978" s="12"/>
      <c r="L978" s="12"/>
      <c r="M978" s="12"/>
      <c r="N978" s="31"/>
      <c r="O978" s="7">
        <f t="shared" si="267"/>
        <v>0</v>
      </c>
      <c r="P978" s="58"/>
    </row>
    <row r="979" spans="1:16" x14ac:dyDescent="0.15">
      <c r="A979" s="16" t="s">
        <v>673</v>
      </c>
      <c r="B979" s="8"/>
      <c r="C979" s="10">
        <v>1</v>
      </c>
      <c r="D979" s="10"/>
      <c r="E979" s="10"/>
      <c r="F979" s="30"/>
      <c r="G979" s="7">
        <f t="shared" si="266"/>
        <v>1</v>
      </c>
      <c r="H979" s="58">
        <v>43204</v>
      </c>
      <c r="I979" s="14"/>
      <c r="J979" s="8"/>
      <c r="K979" s="10"/>
      <c r="L979" s="10"/>
      <c r="M979" s="10"/>
      <c r="N979" s="30"/>
      <c r="O979" s="7">
        <f t="shared" si="267"/>
        <v>0</v>
      </c>
      <c r="P979" s="58"/>
    </row>
    <row r="980" spans="1:16" x14ac:dyDescent="0.15">
      <c r="A980" s="14" t="s">
        <v>110</v>
      </c>
      <c r="B980" s="8"/>
      <c r="C980" s="10">
        <v>3</v>
      </c>
      <c r="D980" s="10">
        <v>5</v>
      </c>
      <c r="E980" s="10">
        <v>6</v>
      </c>
      <c r="F980" s="30"/>
      <c r="G980" s="7">
        <f t="shared" si="266"/>
        <v>14</v>
      </c>
      <c r="H980" s="58">
        <v>43210</v>
      </c>
      <c r="I980" s="14"/>
      <c r="J980" s="8"/>
      <c r="K980" s="10"/>
      <c r="L980" s="10"/>
      <c r="M980" s="10"/>
      <c r="N980" s="30"/>
      <c r="O980" s="7">
        <f>SUM(J980:N980)</f>
        <v>0</v>
      </c>
      <c r="P980" s="58"/>
    </row>
    <row r="981" spans="1:16" x14ac:dyDescent="0.15">
      <c r="A981" s="14" t="s">
        <v>25</v>
      </c>
      <c r="B981" s="8"/>
      <c r="C981" s="10">
        <v>1</v>
      </c>
      <c r="D981" s="10">
        <v>1</v>
      </c>
      <c r="E981" s="10"/>
      <c r="F981" s="30">
        <v>2</v>
      </c>
      <c r="G981" s="7">
        <f t="shared" si="266"/>
        <v>4</v>
      </c>
      <c r="H981" s="58">
        <v>43204</v>
      </c>
      <c r="I981" s="14"/>
      <c r="J981" s="8"/>
      <c r="K981" s="10"/>
      <c r="L981" s="10"/>
      <c r="M981" s="10"/>
      <c r="N981" s="30"/>
      <c r="O981" s="7">
        <f>SUM(J981:N981)</f>
        <v>0</v>
      </c>
      <c r="P981" s="58"/>
    </row>
    <row r="982" spans="1:16" x14ac:dyDescent="0.15">
      <c r="A982" s="14" t="s">
        <v>25</v>
      </c>
      <c r="B982" s="11"/>
      <c r="C982" s="12">
        <v>1</v>
      </c>
      <c r="D982" s="12">
        <v>1</v>
      </c>
      <c r="E982" s="12">
        <v>1</v>
      </c>
      <c r="F982" s="31"/>
      <c r="G982" s="7">
        <f t="shared" si="266"/>
        <v>3</v>
      </c>
      <c r="H982" s="58">
        <v>43207</v>
      </c>
      <c r="I982" s="14"/>
      <c r="J982" s="8"/>
      <c r="K982" s="10"/>
      <c r="L982" s="10"/>
      <c r="M982" s="10"/>
      <c r="N982" s="30"/>
      <c r="O982" s="7">
        <f t="shared" si="267"/>
        <v>0</v>
      </c>
      <c r="P982" s="58"/>
    </row>
    <row r="983" spans="1:16" x14ac:dyDescent="0.15">
      <c r="A983" s="14" t="s">
        <v>29</v>
      </c>
      <c r="B983" s="8">
        <v>1</v>
      </c>
      <c r="C983" s="10"/>
      <c r="D983" s="10"/>
      <c r="E983" s="10"/>
      <c r="F983" s="30"/>
      <c r="G983" s="7">
        <f t="shared" si="266"/>
        <v>1</v>
      </c>
      <c r="H983" s="58">
        <v>43207</v>
      </c>
      <c r="I983" s="16"/>
      <c r="J983" s="8"/>
      <c r="K983" s="10"/>
      <c r="L983" s="10"/>
      <c r="M983" s="10"/>
      <c r="N983" s="30"/>
      <c r="O983" s="7">
        <f t="shared" si="267"/>
        <v>0</v>
      </c>
      <c r="P983" s="56"/>
    </row>
    <row r="984" spans="1:16" x14ac:dyDescent="0.15">
      <c r="A984" s="14" t="s">
        <v>25</v>
      </c>
      <c r="B984" s="8">
        <v>2</v>
      </c>
      <c r="C984" s="10">
        <v>3</v>
      </c>
      <c r="D984" s="10">
        <v>1</v>
      </c>
      <c r="E984" s="10"/>
      <c r="F984" s="30"/>
      <c r="G984" s="7">
        <f t="shared" si="266"/>
        <v>6</v>
      </c>
      <c r="H984" s="58">
        <v>43209</v>
      </c>
      <c r="I984" s="16"/>
      <c r="J984" s="8"/>
      <c r="K984" s="10"/>
      <c r="L984" s="10"/>
      <c r="M984" s="10"/>
      <c r="N984" s="30"/>
      <c r="O984" s="7">
        <f t="shared" si="267"/>
        <v>0</v>
      </c>
      <c r="P984" s="58"/>
    </row>
    <row r="985" spans="1:16" x14ac:dyDescent="0.15">
      <c r="A985" s="14" t="s">
        <v>29</v>
      </c>
      <c r="B985" s="8"/>
      <c r="C985" s="10">
        <v>1</v>
      </c>
      <c r="D985" s="10"/>
      <c r="E985" s="10"/>
      <c r="F985" s="30"/>
      <c r="G985" s="7">
        <f t="shared" si="266"/>
        <v>1</v>
      </c>
      <c r="H985" s="58">
        <v>43210</v>
      </c>
      <c r="I985" s="141"/>
      <c r="J985" s="8"/>
      <c r="K985" s="10"/>
      <c r="L985" s="10"/>
      <c r="M985" s="10"/>
      <c r="N985" s="30"/>
      <c r="O985" s="7">
        <f t="shared" si="267"/>
        <v>0</v>
      </c>
      <c r="P985" s="56"/>
    </row>
    <row r="986" spans="1:16" ht="14.25" thickBot="1" x14ac:dyDescent="0.2">
      <c r="A986" s="51" t="s">
        <v>22</v>
      </c>
      <c r="B986" s="11">
        <v>10</v>
      </c>
      <c r="C986" s="12">
        <v>10</v>
      </c>
      <c r="D986" s="12"/>
      <c r="E986" s="12"/>
      <c r="F986" s="31">
        <v>10</v>
      </c>
      <c r="G986" s="7">
        <f t="shared" si="266"/>
        <v>30</v>
      </c>
      <c r="H986" s="58">
        <v>43216</v>
      </c>
      <c r="I986" s="62"/>
      <c r="J986" s="8"/>
      <c r="K986" s="10"/>
      <c r="L986" s="10"/>
      <c r="M986" s="10"/>
      <c r="N986" s="30"/>
      <c r="O986" s="7">
        <f t="shared" si="267"/>
        <v>0</v>
      </c>
      <c r="P986" s="56"/>
    </row>
    <row r="987" spans="1:16" ht="14.25" thickBot="1" x14ac:dyDescent="0.2">
      <c r="A987" s="3" t="s">
        <v>11</v>
      </c>
      <c r="B987" s="23">
        <f>SUM(B961:B986)</f>
        <v>28</v>
      </c>
      <c r="C987" s="4">
        <f>SUM(C961:C986)</f>
        <v>50</v>
      </c>
      <c r="D987" s="4">
        <f>SUM(D961:D986)</f>
        <v>25</v>
      </c>
      <c r="E987" s="6">
        <f>SUM(E961:E986)</f>
        <v>31</v>
      </c>
      <c r="F987" s="32">
        <f>SUM(F961:F986)</f>
        <v>27</v>
      </c>
      <c r="G987" s="5">
        <f>SUM(B987:F987)</f>
        <v>161</v>
      </c>
      <c r="I987" s="3" t="s">
        <v>11</v>
      </c>
      <c r="J987" s="23">
        <f>SUM(J961:J986)</f>
        <v>25</v>
      </c>
      <c r="K987" s="4">
        <f>SUM(K961:K986)</f>
        <v>40</v>
      </c>
      <c r="L987" s="4">
        <f>SUM(L961:L986)</f>
        <v>15</v>
      </c>
      <c r="M987" s="6">
        <f>SUM(M961:M986)</f>
        <v>35</v>
      </c>
      <c r="N987" s="6">
        <f>SUM(N961:N986)</f>
        <v>30</v>
      </c>
      <c r="O987" s="5">
        <f>SUM(J987:N987)</f>
        <v>145</v>
      </c>
    </row>
    <row r="988" spans="1:16" ht="14.25" thickBot="1" x14ac:dyDescent="0.2">
      <c r="A988" s="25" t="s">
        <v>12</v>
      </c>
      <c r="B988" s="63">
        <f>B960-B987</f>
        <v>11</v>
      </c>
      <c r="C988" s="26">
        <f t="shared" ref="C988:G988" si="268">C960-C987</f>
        <v>10</v>
      </c>
      <c r="D988" s="71">
        <f t="shared" si="268"/>
        <v>12</v>
      </c>
      <c r="E988" s="26">
        <f t="shared" si="268"/>
        <v>13</v>
      </c>
      <c r="F988" s="70">
        <f t="shared" si="268"/>
        <v>14</v>
      </c>
      <c r="G988" s="27">
        <f t="shared" si="268"/>
        <v>60</v>
      </c>
      <c r="I988" s="25" t="s">
        <v>12</v>
      </c>
      <c r="J988" s="63">
        <f>J960-J987</f>
        <v>285</v>
      </c>
      <c r="K988" s="26">
        <f t="shared" ref="K988:O988" si="269">K960-K987</f>
        <v>288</v>
      </c>
      <c r="L988" s="71">
        <f t="shared" si="269"/>
        <v>299</v>
      </c>
      <c r="M988" s="26">
        <f t="shared" si="269"/>
        <v>232</v>
      </c>
      <c r="N988" s="70">
        <f t="shared" si="269"/>
        <v>224</v>
      </c>
      <c r="O988" s="27">
        <f t="shared" si="269"/>
        <v>1328</v>
      </c>
    </row>
    <row r="989" spans="1:16" ht="17.25" x14ac:dyDescent="0.2">
      <c r="A989" s="79" t="s">
        <v>56</v>
      </c>
      <c r="B989" s="80"/>
      <c r="C989" s="80"/>
      <c r="D989" s="80"/>
      <c r="E989" s="80"/>
      <c r="F989" s="80"/>
      <c r="G989" s="80"/>
      <c r="I989" s="79" t="s">
        <v>56</v>
      </c>
      <c r="J989" s="80"/>
      <c r="K989" s="80"/>
      <c r="L989" s="80"/>
      <c r="M989" s="80"/>
      <c r="N989" s="80"/>
      <c r="O989" s="1"/>
    </row>
    <row r="990" spans="1:16" ht="21.75" thickBot="1" x14ac:dyDescent="0.25">
      <c r="A990" s="82" t="s">
        <v>55</v>
      </c>
      <c r="B990" s="80"/>
      <c r="C990" s="80"/>
      <c r="D990" s="80"/>
      <c r="E990" s="81" t="s">
        <v>53</v>
      </c>
      <c r="F990" s="80"/>
      <c r="G990" s="80"/>
      <c r="I990" s="82" t="s">
        <v>55</v>
      </c>
      <c r="J990" s="80"/>
      <c r="K990" s="80"/>
      <c r="L990" s="80"/>
      <c r="M990" s="81" t="s">
        <v>54</v>
      </c>
      <c r="N990" s="80"/>
      <c r="O990" s="1"/>
    </row>
    <row r="991" spans="1:16" ht="14.25" thickBot="1" x14ac:dyDescent="0.2">
      <c r="A991" s="13" t="s">
        <v>0</v>
      </c>
      <c r="B991" s="228" t="s">
        <v>57</v>
      </c>
      <c r="C991" s="229"/>
      <c r="D991" s="229"/>
      <c r="E991" s="229"/>
      <c r="F991" s="230"/>
      <c r="G991" s="231"/>
      <c r="I991" s="13" t="s">
        <v>0</v>
      </c>
      <c r="J991" s="232" t="s">
        <v>57</v>
      </c>
      <c r="K991" s="233"/>
      <c r="L991" s="233"/>
      <c r="M991" s="233"/>
      <c r="N991" s="233"/>
      <c r="O991" s="234"/>
    </row>
    <row r="992" spans="1:16" ht="14.25" thickBot="1" x14ac:dyDescent="0.2">
      <c r="A992" s="3" t="s">
        <v>1</v>
      </c>
      <c r="B992" s="2" t="s">
        <v>42</v>
      </c>
      <c r="C992" s="21" t="s">
        <v>43</v>
      </c>
      <c r="D992" s="21" t="s">
        <v>44</v>
      </c>
      <c r="E992" s="24" t="s">
        <v>45</v>
      </c>
      <c r="F992" s="33" t="s">
        <v>46</v>
      </c>
      <c r="G992" s="3" t="s">
        <v>2</v>
      </c>
      <c r="I992" s="3" t="s">
        <v>1</v>
      </c>
      <c r="J992" s="2" t="s">
        <v>42</v>
      </c>
      <c r="K992" s="21" t="s">
        <v>43</v>
      </c>
      <c r="L992" s="21" t="s">
        <v>44</v>
      </c>
      <c r="M992" s="24" t="s">
        <v>45</v>
      </c>
      <c r="N992" s="33" t="s">
        <v>46</v>
      </c>
      <c r="O992" s="3" t="s">
        <v>2</v>
      </c>
    </row>
    <row r="993" spans="1:16" ht="14.25" thickBot="1" x14ac:dyDescent="0.2">
      <c r="A993" s="72" t="s">
        <v>79</v>
      </c>
      <c r="B993" s="73">
        <f>B988</f>
        <v>11</v>
      </c>
      <c r="C993" s="74">
        <f t="shared" ref="C993:F993" si="270">C988</f>
        <v>10</v>
      </c>
      <c r="D993" s="107">
        <f t="shared" si="270"/>
        <v>12</v>
      </c>
      <c r="E993" s="75">
        <f t="shared" si="270"/>
        <v>13</v>
      </c>
      <c r="F993" s="75">
        <f t="shared" si="270"/>
        <v>14</v>
      </c>
      <c r="G993" s="76">
        <f t="shared" ref="G993:G1002" si="271">SUM(B993:F993)</f>
        <v>60</v>
      </c>
      <c r="I993" s="72" t="s">
        <v>79</v>
      </c>
      <c r="J993" s="73">
        <f>J988</f>
        <v>285</v>
      </c>
      <c r="K993" s="74">
        <f t="shared" ref="K993:N993" si="272">K988</f>
        <v>288</v>
      </c>
      <c r="L993" s="107">
        <f t="shared" si="272"/>
        <v>299</v>
      </c>
      <c r="M993" s="75">
        <f t="shared" si="272"/>
        <v>232</v>
      </c>
      <c r="N993" s="75">
        <f t="shared" si="272"/>
        <v>224</v>
      </c>
      <c r="O993" s="76">
        <f t="shared" ref="O993:O1002" si="273">SUM(J993:N993)</f>
        <v>1328</v>
      </c>
    </row>
    <row r="994" spans="1:16" x14ac:dyDescent="0.15">
      <c r="A994" s="38" t="s">
        <v>17</v>
      </c>
      <c r="B994" s="37"/>
      <c r="C994" s="35">
        <v>1</v>
      </c>
      <c r="D994" s="35"/>
      <c r="E994" s="35"/>
      <c r="F994" s="28"/>
      <c r="G994" s="7">
        <f t="shared" si="271"/>
        <v>1</v>
      </c>
      <c r="H994" s="58">
        <v>43215</v>
      </c>
      <c r="I994" s="38" t="s">
        <v>15</v>
      </c>
      <c r="J994" s="8"/>
      <c r="K994" s="10"/>
      <c r="L994" s="10"/>
      <c r="M994" s="10"/>
      <c r="N994" s="30"/>
      <c r="O994" s="7">
        <f t="shared" si="273"/>
        <v>0</v>
      </c>
    </row>
    <row r="995" spans="1:16" x14ac:dyDescent="0.15">
      <c r="A995" s="38" t="s">
        <v>16</v>
      </c>
      <c r="B995" s="8">
        <v>5</v>
      </c>
      <c r="C995" s="10">
        <v>5</v>
      </c>
      <c r="D995" s="10">
        <v>15</v>
      </c>
      <c r="E995" s="10"/>
      <c r="F995" s="28">
        <v>5</v>
      </c>
      <c r="G995" s="9">
        <f t="shared" si="271"/>
        <v>30</v>
      </c>
      <c r="H995" s="58">
        <v>43221</v>
      </c>
      <c r="I995" s="15" t="s">
        <v>3</v>
      </c>
      <c r="J995" s="8"/>
      <c r="K995" s="10"/>
      <c r="L995" s="10"/>
      <c r="M995" s="10"/>
      <c r="N995" s="28"/>
      <c r="O995" s="9">
        <f t="shared" si="273"/>
        <v>0</v>
      </c>
    </row>
    <row r="996" spans="1:16" x14ac:dyDescent="0.15">
      <c r="A996" s="38" t="s">
        <v>616</v>
      </c>
      <c r="B996" s="8"/>
      <c r="C996" s="10">
        <v>1</v>
      </c>
      <c r="D996" s="10"/>
      <c r="E996" s="10"/>
      <c r="F996" s="28"/>
      <c r="G996" s="9">
        <f t="shared" si="271"/>
        <v>1</v>
      </c>
      <c r="H996" s="58">
        <v>43216</v>
      </c>
      <c r="I996" s="15" t="s">
        <v>18</v>
      </c>
      <c r="J996" s="8"/>
      <c r="K996" s="10"/>
      <c r="L996" s="10"/>
      <c r="M996" s="10"/>
      <c r="N996" s="28"/>
      <c r="O996" s="9">
        <f t="shared" si="273"/>
        <v>0</v>
      </c>
    </row>
    <row r="997" spans="1:16" x14ac:dyDescent="0.15">
      <c r="A997" s="38" t="s">
        <v>20</v>
      </c>
      <c r="B997" s="8">
        <v>10</v>
      </c>
      <c r="C997" s="10"/>
      <c r="D997" s="10"/>
      <c r="E997" s="10">
        <v>10</v>
      </c>
      <c r="F997" s="28"/>
      <c r="G997" s="9">
        <f t="shared" si="271"/>
        <v>20</v>
      </c>
      <c r="H997" s="58">
        <v>43229</v>
      </c>
      <c r="I997" s="15" t="s">
        <v>20</v>
      </c>
      <c r="J997" s="8"/>
      <c r="K997" s="10"/>
      <c r="L997" s="10"/>
      <c r="M997" s="10"/>
      <c r="N997" s="28"/>
      <c r="O997" s="9">
        <f t="shared" si="273"/>
        <v>0</v>
      </c>
    </row>
    <row r="998" spans="1:16" x14ac:dyDescent="0.15">
      <c r="A998" s="38" t="s">
        <v>80</v>
      </c>
      <c r="B998" s="8"/>
      <c r="C998" s="10"/>
      <c r="D998" s="10">
        <v>5</v>
      </c>
      <c r="E998" s="10">
        <v>5</v>
      </c>
      <c r="F998" s="28"/>
      <c r="G998" s="9">
        <f t="shared" si="271"/>
        <v>10</v>
      </c>
      <c r="H998" s="58">
        <v>43231</v>
      </c>
      <c r="I998" s="15" t="s">
        <v>80</v>
      </c>
      <c r="J998" s="8"/>
      <c r="K998" s="10"/>
      <c r="L998" s="10"/>
      <c r="M998" s="10"/>
      <c r="N998" s="28"/>
      <c r="O998" s="9">
        <f t="shared" si="273"/>
        <v>0</v>
      </c>
    </row>
    <row r="999" spans="1:16" x14ac:dyDescent="0.15">
      <c r="A999" s="38" t="s">
        <v>17</v>
      </c>
      <c r="B999" s="8"/>
      <c r="C999" s="10">
        <v>1</v>
      </c>
      <c r="D999" s="10"/>
      <c r="E999" s="10"/>
      <c r="F999" s="28"/>
      <c r="G999" s="9">
        <f t="shared" si="271"/>
        <v>1</v>
      </c>
      <c r="H999" s="58">
        <v>43230</v>
      </c>
      <c r="I999" s="15" t="s">
        <v>81</v>
      </c>
      <c r="J999" s="8"/>
      <c r="K999" s="10"/>
      <c r="L999" s="10"/>
      <c r="M999" s="10"/>
      <c r="N999" s="28"/>
      <c r="O999" s="9">
        <f t="shared" si="273"/>
        <v>0</v>
      </c>
    </row>
    <row r="1000" spans="1:16" x14ac:dyDescent="0.15">
      <c r="A1000" s="38" t="s">
        <v>707</v>
      </c>
      <c r="B1000" s="8">
        <v>1</v>
      </c>
      <c r="C1000" s="10"/>
      <c r="D1000" s="10"/>
      <c r="E1000" s="10">
        <v>3</v>
      </c>
      <c r="F1000" s="30">
        <v>3</v>
      </c>
      <c r="G1000" s="7">
        <f t="shared" si="271"/>
        <v>7</v>
      </c>
      <c r="H1000" s="57">
        <v>43234</v>
      </c>
      <c r="I1000" s="15" t="s">
        <v>82</v>
      </c>
      <c r="J1000" s="8"/>
      <c r="K1000" s="10"/>
      <c r="L1000" s="10"/>
      <c r="M1000" s="10"/>
      <c r="N1000" s="28"/>
      <c r="O1000" s="9">
        <f t="shared" si="273"/>
        <v>0</v>
      </c>
    </row>
    <row r="1001" spans="1:16" x14ac:dyDescent="0.15">
      <c r="A1001" s="38" t="s">
        <v>685</v>
      </c>
      <c r="B1001" s="11"/>
      <c r="C1001" s="100"/>
      <c r="D1001" s="100">
        <v>1</v>
      </c>
      <c r="E1001" s="100"/>
      <c r="F1001" s="101">
        <v>1</v>
      </c>
      <c r="G1001" s="102">
        <f t="shared" si="271"/>
        <v>2</v>
      </c>
      <c r="H1001" s="58">
        <v>43236</v>
      </c>
      <c r="I1001" s="15" t="s">
        <v>83</v>
      </c>
      <c r="J1001" s="8"/>
      <c r="K1001" s="10"/>
      <c r="L1001" s="10"/>
      <c r="M1001" s="10"/>
      <c r="N1001" s="30"/>
      <c r="O1001" s="7">
        <f t="shared" si="273"/>
        <v>0</v>
      </c>
    </row>
    <row r="1002" spans="1:16" ht="14.25" thickBot="1" x14ac:dyDescent="0.2">
      <c r="A1002" s="38" t="s">
        <v>159</v>
      </c>
      <c r="B1002" s="11">
        <v>5</v>
      </c>
      <c r="C1002" s="100">
        <v>5</v>
      </c>
      <c r="D1002" s="100">
        <v>15</v>
      </c>
      <c r="E1002" s="100">
        <v>5</v>
      </c>
      <c r="F1002" s="101">
        <v>5</v>
      </c>
      <c r="G1002" s="102">
        <f t="shared" si="271"/>
        <v>35</v>
      </c>
      <c r="H1002" s="58">
        <v>43241</v>
      </c>
      <c r="I1002" s="15" t="s">
        <v>87</v>
      </c>
      <c r="J1002" s="11"/>
      <c r="K1002" s="100"/>
      <c r="L1002" s="100"/>
      <c r="M1002" s="100"/>
      <c r="N1002" s="101"/>
      <c r="O1002" s="102">
        <f t="shared" si="273"/>
        <v>0</v>
      </c>
    </row>
    <row r="1003" spans="1:16" ht="14.25" thickBot="1" x14ac:dyDescent="0.2">
      <c r="A1003" s="72" t="s">
        <v>7</v>
      </c>
      <c r="B1003" s="73">
        <f>SUM(B993:B1002)</f>
        <v>32</v>
      </c>
      <c r="C1003" s="74">
        <f t="shared" ref="C1003:G1003" si="274">SUM(C993:C1002)</f>
        <v>23</v>
      </c>
      <c r="D1003" s="74">
        <f t="shared" si="274"/>
        <v>48</v>
      </c>
      <c r="E1003" s="74">
        <f t="shared" si="274"/>
        <v>36</v>
      </c>
      <c r="F1003" s="105">
        <f t="shared" si="274"/>
        <v>28</v>
      </c>
      <c r="G1003" s="76">
        <f t="shared" si="274"/>
        <v>167</v>
      </c>
      <c r="I1003" s="72" t="s">
        <v>7</v>
      </c>
      <c r="J1003" s="73">
        <f>SUM(J993:J1002)</f>
        <v>285</v>
      </c>
      <c r="K1003" s="74">
        <f t="shared" ref="K1003:O1003" si="275">SUM(K993:K1002)</f>
        <v>288</v>
      </c>
      <c r="L1003" s="74">
        <f t="shared" si="275"/>
        <v>299</v>
      </c>
      <c r="M1003" s="74">
        <f t="shared" si="275"/>
        <v>232</v>
      </c>
      <c r="N1003" s="105">
        <f t="shared" si="275"/>
        <v>224</v>
      </c>
      <c r="O1003" s="76">
        <f t="shared" si="275"/>
        <v>1328</v>
      </c>
    </row>
    <row r="1004" spans="1:16" x14ac:dyDescent="0.15">
      <c r="A1004" s="14" t="s">
        <v>25</v>
      </c>
      <c r="B1004" s="8"/>
      <c r="C1004" s="10"/>
      <c r="D1004" s="10">
        <v>2</v>
      </c>
      <c r="E1004" s="10"/>
      <c r="F1004" s="30">
        <v>1</v>
      </c>
      <c r="G1004" s="7">
        <f t="shared" ref="G1004:G1029" si="276">SUM(B1004:F1004)</f>
        <v>3</v>
      </c>
      <c r="H1004" s="58">
        <v>43214</v>
      </c>
      <c r="I1004" s="16" t="s">
        <v>695</v>
      </c>
      <c r="J1004" s="17">
        <v>5</v>
      </c>
      <c r="K1004" s="22">
        <v>5</v>
      </c>
      <c r="L1004" s="22">
        <v>15</v>
      </c>
      <c r="M1004" s="22"/>
      <c r="N1004" s="29">
        <v>5</v>
      </c>
      <c r="O1004" s="18">
        <f t="shared" ref="O1004:O1029" si="277">SUM(J1004:N1004)</f>
        <v>30</v>
      </c>
      <c r="P1004" s="58">
        <v>43221</v>
      </c>
    </row>
    <row r="1005" spans="1:16" x14ac:dyDescent="0.15">
      <c r="A1005" s="14" t="s">
        <v>29</v>
      </c>
      <c r="B1005" s="8"/>
      <c r="C1005" s="10"/>
      <c r="D1005" s="10"/>
      <c r="E1005" s="10"/>
      <c r="F1005" s="30">
        <v>2</v>
      </c>
      <c r="G1005" s="7">
        <f t="shared" si="276"/>
        <v>2</v>
      </c>
      <c r="H1005" s="58">
        <v>43213</v>
      </c>
      <c r="I1005" s="16" t="s">
        <v>24</v>
      </c>
      <c r="J1005" s="8">
        <v>10</v>
      </c>
      <c r="K1005" s="10"/>
      <c r="L1005" s="10"/>
      <c r="M1005" s="10">
        <v>10</v>
      </c>
      <c r="N1005" s="28"/>
      <c r="O1005" s="9">
        <f t="shared" si="277"/>
        <v>20</v>
      </c>
      <c r="P1005" s="58">
        <v>43229</v>
      </c>
    </row>
    <row r="1006" spans="1:16" x14ac:dyDescent="0.15">
      <c r="A1006" s="14" t="s">
        <v>25</v>
      </c>
      <c r="B1006" s="8"/>
      <c r="C1006" s="10"/>
      <c r="D1006" s="10">
        <v>2</v>
      </c>
      <c r="E1006" s="10"/>
      <c r="F1006" s="30">
        <v>1</v>
      </c>
      <c r="G1006" s="7">
        <f t="shared" si="276"/>
        <v>3</v>
      </c>
      <c r="H1006" s="58">
        <v>43215</v>
      </c>
      <c r="I1006" s="16" t="s">
        <v>24</v>
      </c>
      <c r="J1006" s="8"/>
      <c r="K1006" s="10"/>
      <c r="L1006" s="10">
        <v>5</v>
      </c>
      <c r="M1006" s="10">
        <v>5</v>
      </c>
      <c r="N1006" s="30"/>
      <c r="O1006" s="7">
        <f t="shared" si="277"/>
        <v>10</v>
      </c>
      <c r="P1006" s="58">
        <v>43231</v>
      </c>
    </row>
    <row r="1007" spans="1:16" x14ac:dyDescent="0.15">
      <c r="A1007" s="51" t="s">
        <v>22</v>
      </c>
      <c r="B1007" s="8"/>
      <c r="C1007" s="10"/>
      <c r="D1007" s="10">
        <v>10</v>
      </c>
      <c r="E1007" s="10"/>
      <c r="F1007" s="30"/>
      <c r="G1007" s="7">
        <f t="shared" si="276"/>
        <v>10</v>
      </c>
      <c r="H1007" s="58">
        <v>43228</v>
      </c>
      <c r="I1007" s="16" t="s">
        <v>24</v>
      </c>
      <c r="J1007" s="8">
        <v>5</v>
      </c>
      <c r="K1007" s="10">
        <v>5</v>
      </c>
      <c r="L1007" s="10">
        <v>15</v>
      </c>
      <c r="M1007" s="10">
        <v>5</v>
      </c>
      <c r="N1007" s="30">
        <v>5</v>
      </c>
      <c r="O1007" s="7">
        <f t="shared" si="277"/>
        <v>35</v>
      </c>
      <c r="P1007" s="58">
        <v>43241</v>
      </c>
    </row>
    <row r="1008" spans="1:16" x14ac:dyDescent="0.15">
      <c r="A1008" s="14" t="s">
        <v>110</v>
      </c>
      <c r="B1008" s="8">
        <v>3</v>
      </c>
      <c r="C1008" s="10"/>
      <c r="D1008" s="10"/>
      <c r="E1008" s="10"/>
      <c r="F1008" s="30"/>
      <c r="G1008" s="7">
        <f t="shared" si="276"/>
        <v>3</v>
      </c>
      <c r="H1008" s="58">
        <v>43230</v>
      </c>
      <c r="I1008" s="16"/>
      <c r="J1008" s="8"/>
      <c r="K1008" s="10"/>
      <c r="L1008" s="10"/>
      <c r="M1008" s="10"/>
      <c r="N1008" s="30"/>
      <c r="O1008" s="7">
        <f t="shared" si="277"/>
        <v>0</v>
      </c>
      <c r="P1008" s="58"/>
    </row>
    <row r="1009" spans="1:16" x14ac:dyDescent="0.15">
      <c r="A1009" s="14" t="s">
        <v>25</v>
      </c>
      <c r="B1009" s="8"/>
      <c r="C1009" s="10">
        <v>2</v>
      </c>
      <c r="D1009" s="10"/>
      <c r="E1009" s="10"/>
      <c r="F1009" s="30"/>
      <c r="G1009" s="7">
        <f t="shared" si="276"/>
        <v>2</v>
      </c>
      <c r="H1009" s="58">
        <v>43218</v>
      </c>
      <c r="I1009" s="16"/>
      <c r="J1009" s="8"/>
      <c r="K1009" s="10"/>
      <c r="L1009" s="10"/>
      <c r="M1009" s="10"/>
      <c r="N1009" s="30"/>
      <c r="O1009" s="7">
        <f t="shared" si="277"/>
        <v>0</v>
      </c>
    </row>
    <row r="1010" spans="1:16" x14ac:dyDescent="0.15">
      <c r="A1010" s="14" t="s">
        <v>697</v>
      </c>
      <c r="B1010" s="8"/>
      <c r="C1010" s="10"/>
      <c r="D1010" s="10">
        <v>1</v>
      </c>
      <c r="E1010" s="10"/>
      <c r="F1010" s="30"/>
      <c r="G1010" s="7">
        <f t="shared" si="276"/>
        <v>1</v>
      </c>
      <c r="H1010" s="58">
        <v>43216</v>
      </c>
      <c r="I1010" s="16"/>
      <c r="J1010" s="8"/>
      <c r="K1010" s="10"/>
      <c r="L1010" s="10"/>
      <c r="M1010" s="10"/>
      <c r="N1010" s="30"/>
      <c r="O1010" s="7">
        <f t="shared" si="277"/>
        <v>0</v>
      </c>
    </row>
    <row r="1011" spans="1:16" x14ac:dyDescent="0.15">
      <c r="A1011" s="16" t="s">
        <v>674</v>
      </c>
      <c r="B1011" s="8">
        <v>1</v>
      </c>
      <c r="C1011" s="10"/>
      <c r="D1011" s="10"/>
      <c r="E1011" s="10"/>
      <c r="F1011" s="30"/>
      <c r="G1011" s="7">
        <f t="shared" si="276"/>
        <v>1</v>
      </c>
      <c r="H1011" s="58">
        <v>43224</v>
      </c>
      <c r="I1011" s="16"/>
      <c r="J1011" s="8"/>
      <c r="K1011" s="10"/>
      <c r="L1011" s="10"/>
      <c r="M1011" s="10"/>
      <c r="N1011" s="30"/>
      <c r="O1011" s="7">
        <f t="shared" si="277"/>
        <v>0</v>
      </c>
    </row>
    <row r="1012" spans="1:16" x14ac:dyDescent="0.15">
      <c r="A1012" s="14" t="s">
        <v>25</v>
      </c>
      <c r="B1012" s="8"/>
      <c r="C1012" s="10"/>
      <c r="D1012" s="10">
        <v>1</v>
      </c>
      <c r="E1012" s="10"/>
      <c r="F1012" s="30"/>
      <c r="G1012" s="7">
        <f t="shared" si="276"/>
        <v>1</v>
      </c>
      <c r="H1012" s="58">
        <v>43222</v>
      </c>
      <c r="I1012" s="39"/>
      <c r="J1012" s="8"/>
      <c r="K1012" s="10"/>
      <c r="L1012" s="10"/>
      <c r="M1012" s="10"/>
      <c r="N1012" s="30"/>
      <c r="O1012" s="7">
        <f t="shared" si="277"/>
        <v>0</v>
      </c>
    </row>
    <row r="1013" spans="1:16" x14ac:dyDescent="0.15">
      <c r="A1013" s="14" t="s">
        <v>29</v>
      </c>
      <c r="B1013" s="11">
        <v>1</v>
      </c>
      <c r="C1013" s="12"/>
      <c r="D1013" s="12"/>
      <c r="E1013" s="12"/>
      <c r="F1013" s="31"/>
      <c r="G1013" s="7">
        <f t="shared" si="276"/>
        <v>1</v>
      </c>
      <c r="H1013" s="58">
        <v>43221</v>
      </c>
      <c r="I1013" s="16"/>
      <c r="J1013" s="11"/>
      <c r="K1013" s="12"/>
      <c r="L1013" s="12"/>
      <c r="M1013" s="12"/>
      <c r="N1013" s="31"/>
      <c r="O1013" s="7">
        <f t="shared" si="277"/>
        <v>0</v>
      </c>
    </row>
    <row r="1014" spans="1:16" x14ac:dyDescent="0.15">
      <c r="A1014" s="14" t="s">
        <v>110</v>
      </c>
      <c r="B1014" s="11">
        <v>6</v>
      </c>
      <c r="C1014" s="12"/>
      <c r="D1014" s="12"/>
      <c r="E1014" s="12">
        <v>2</v>
      </c>
      <c r="F1014" s="31"/>
      <c r="G1014" s="7">
        <f t="shared" si="276"/>
        <v>8</v>
      </c>
      <c r="H1014" s="58">
        <v>43231</v>
      </c>
      <c r="I1014" s="16"/>
      <c r="J1014" s="8"/>
      <c r="K1014" s="10"/>
      <c r="L1014" s="10"/>
      <c r="M1014" s="10"/>
      <c r="N1014" s="30"/>
      <c r="O1014" s="7">
        <f t="shared" si="277"/>
        <v>0</v>
      </c>
    </row>
    <row r="1015" spans="1:16" x14ac:dyDescent="0.15">
      <c r="A1015" s="14" t="s">
        <v>25</v>
      </c>
      <c r="B1015" s="8">
        <v>1</v>
      </c>
      <c r="C1015" s="10"/>
      <c r="D1015" s="10">
        <v>1</v>
      </c>
      <c r="E1015" s="10">
        <v>1</v>
      </c>
      <c r="F1015" s="30"/>
      <c r="G1015" s="7">
        <f t="shared" si="276"/>
        <v>3</v>
      </c>
      <c r="H1015" s="58">
        <v>43228</v>
      </c>
      <c r="I1015" s="39"/>
      <c r="J1015" s="8"/>
      <c r="K1015" s="10"/>
      <c r="L1015" s="10"/>
      <c r="M1015" s="10"/>
      <c r="N1015" s="30"/>
      <c r="O1015" s="7">
        <f t="shared" si="277"/>
        <v>0</v>
      </c>
    </row>
    <row r="1016" spans="1:16" x14ac:dyDescent="0.15">
      <c r="A1016" s="51" t="s">
        <v>22</v>
      </c>
      <c r="B1016" s="8"/>
      <c r="C1016" s="10"/>
      <c r="D1016" s="10"/>
      <c r="E1016" s="10">
        <v>10</v>
      </c>
      <c r="F1016" s="30"/>
      <c r="G1016" s="7">
        <f t="shared" si="276"/>
        <v>10</v>
      </c>
      <c r="H1016" s="58">
        <v>43234</v>
      </c>
      <c r="I1016" s="16"/>
      <c r="J1016" s="8"/>
      <c r="K1016" s="10"/>
      <c r="L1016" s="10"/>
      <c r="M1016" s="10"/>
      <c r="N1016" s="30"/>
      <c r="O1016" s="7">
        <f t="shared" si="277"/>
        <v>0</v>
      </c>
    </row>
    <row r="1017" spans="1:16" x14ac:dyDescent="0.15">
      <c r="A1017" s="14" t="s">
        <v>29</v>
      </c>
      <c r="B1017" s="8"/>
      <c r="C1017" s="10">
        <v>1</v>
      </c>
      <c r="D1017" s="10">
        <v>1</v>
      </c>
      <c r="E1017" s="10"/>
      <c r="F1017" s="30">
        <v>1</v>
      </c>
      <c r="G1017" s="7">
        <f t="shared" si="276"/>
        <v>3</v>
      </c>
      <c r="H1017" s="58">
        <v>43227</v>
      </c>
      <c r="I1017" s="14"/>
      <c r="J1017" s="8"/>
      <c r="K1017" s="10"/>
      <c r="L1017" s="10"/>
      <c r="M1017" s="10"/>
      <c r="N1017" s="30"/>
      <c r="O1017" s="7">
        <f>SUM(J1017:N1017)</f>
        <v>0</v>
      </c>
      <c r="P1017" s="58"/>
    </row>
    <row r="1018" spans="1:16" x14ac:dyDescent="0.15">
      <c r="A1018" s="14" t="s">
        <v>25</v>
      </c>
      <c r="B1018" s="8"/>
      <c r="C1018" s="10"/>
      <c r="D1018" s="10">
        <v>1</v>
      </c>
      <c r="E1018" s="10">
        <v>1</v>
      </c>
      <c r="F1018" s="30"/>
      <c r="G1018" s="7">
        <f t="shared" si="276"/>
        <v>2</v>
      </c>
      <c r="H1018" s="58">
        <v>43230</v>
      </c>
      <c r="I1018" s="14"/>
      <c r="J1018" s="8"/>
      <c r="K1018" s="10"/>
      <c r="L1018" s="10"/>
      <c r="M1018" s="10"/>
      <c r="N1018" s="30"/>
      <c r="O1018" s="7">
        <f>SUM(J1018:N1018)</f>
        <v>0</v>
      </c>
      <c r="P1018" s="58"/>
    </row>
    <row r="1019" spans="1:16" x14ac:dyDescent="0.15">
      <c r="A1019" s="14" t="s">
        <v>25</v>
      </c>
      <c r="B1019" s="8">
        <v>2</v>
      </c>
      <c r="C1019" s="10"/>
      <c r="D1019" s="10"/>
      <c r="E1019" s="10">
        <v>1</v>
      </c>
      <c r="F1019" s="30"/>
      <c r="G1019" s="7">
        <f t="shared" si="276"/>
        <v>3</v>
      </c>
      <c r="H1019" s="58">
        <v>43232</v>
      </c>
      <c r="I1019" s="14"/>
      <c r="J1019" s="8"/>
      <c r="K1019" s="10"/>
      <c r="L1019" s="10"/>
      <c r="M1019" s="10"/>
      <c r="N1019" s="30"/>
      <c r="O1019" s="7">
        <f t="shared" si="277"/>
        <v>0</v>
      </c>
      <c r="P1019" s="58"/>
    </row>
    <row r="1020" spans="1:16" x14ac:dyDescent="0.15">
      <c r="A1020" s="14" t="s">
        <v>25</v>
      </c>
      <c r="B1020" s="8"/>
      <c r="C1020" s="10"/>
      <c r="D1020" s="10"/>
      <c r="E1020" s="10"/>
      <c r="F1020" s="30">
        <v>1</v>
      </c>
      <c r="G1020" s="7">
        <f t="shared" si="276"/>
        <v>1</v>
      </c>
      <c r="H1020" s="58">
        <v>43235</v>
      </c>
      <c r="I1020" s="14"/>
      <c r="J1020" s="8"/>
      <c r="K1020" s="10"/>
      <c r="L1020" s="10"/>
      <c r="M1020" s="10"/>
      <c r="N1020" s="30"/>
      <c r="O1020" s="7">
        <f t="shared" si="277"/>
        <v>0</v>
      </c>
      <c r="P1020" s="58"/>
    </row>
    <row r="1021" spans="1:16" x14ac:dyDescent="0.15">
      <c r="A1021" s="14" t="s">
        <v>25</v>
      </c>
      <c r="B1021" s="8"/>
      <c r="C1021" s="10"/>
      <c r="D1021" s="10"/>
      <c r="E1021" s="10"/>
      <c r="F1021" s="30">
        <v>4</v>
      </c>
      <c r="G1021" s="7">
        <f t="shared" si="276"/>
        <v>4</v>
      </c>
      <c r="H1021" s="58">
        <v>43237</v>
      </c>
      <c r="I1021" s="14"/>
      <c r="J1021" s="8"/>
      <c r="K1021" s="10"/>
      <c r="L1021" s="10"/>
      <c r="M1021" s="10"/>
      <c r="N1021" s="30"/>
      <c r="O1021" s="7">
        <f t="shared" si="277"/>
        <v>0</v>
      </c>
      <c r="P1021" s="58"/>
    </row>
    <row r="1022" spans="1:16" x14ac:dyDescent="0.15">
      <c r="A1022" s="14" t="s">
        <v>38</v>
      </c>
      <c r="B1022" s="8">
        <v>2</v>
      </c>
      <c r="C1022" s="10"/>
      <c r="D1022" s="10">
        <v>2</v>
      </c>
      <c r="E1022" s="10"/>
      <c r="F1022" s="30"/>
      <c r="G1022" s="7">
        <f t="shared" si="276"/>
        <v>4</v>
      </c>
      <c r="H1022" s="58">
        <v>43238</v>
      </c>
      <c r="I1022" s="14"/>
      <c r="J1022" s="8"/>
      <c r="K1022" s="10"/>
      <c r="L1022" s="10"/>
      <c r="M1022" s="10"/>
      <c r="N1022" s="30"/>
      <c r="O1022" s="7">
        <f t="shared" si="277"/>
        <v>0</v>
      </c>
      <c r="P1022" s="58"/>
    </row>
    <row r="1023" spans="1:16" x14ac:dyDescent="0.15">
      <c r="A1023" s="14" t="s">
        <v>25</v>
      </c>
      <c r="B1023" s="8">
        <v>1</v>
      </c>
      <c r="C1023" s="10">
        <v>2</v>
      </c>
      <c r="D1023" s="10"/>
      <c r="E1023" s="10"/>
      <c r="F1023" s="30"/>
      <c r="G1023" s="7">
        <f t="shared" si="276"/>
        <v>3</v>
      </c>
      <c r="H1023" s="58">
        <v>43239</v>
      </c>
      <c r="I1023" s="14"/>
      <c r="J1023" s="8"/>
      <c r="K1023" s="10"/>
      <c r="L1023" s="10"/>
      <c r="M1023" s="10"/>
      <c r="N1023" s="30"/>
      <c r="O1023" s="7">
        <f t="shared" si="277"/>
        <v>0</v>
      </c>
      <c r="P1023" s="56"/>
    </row>
    <row r="1024" spans="1:16" x14ac:dyDescent="0.15">
      <c r="A1024" s="14" t="s">
        <v>110</v>
      </c>
      <c r="B1024" s="8"/>
      <c r="C1024" s="10"/>
      <c r="D1024" s="10"/>
      <c r="E1024" s="10">
        <v>3</v>
      </c>
      <c r="F1024" s="30"/>
      <c r="G1024" s="7">
        <f t="shared" si="276"/>
        <v>3</v>
      </c>
      <c r="H1024" s="58">
        <v>43241</v>
      </c>
      <c r="I1024" s="14"/>
      <c r="J1024" s="8"/>
      <c r="K1024" s="10"/>
      <c r="L1024" s="10"/>
      <c r="M1024" s="10"/>
      <c r="N1024" s="30"/>
      <c r="O1024" s="7">
        <f t="shared" si="277"/>
        <v>0</v>
      </c>
      <c r="P1024" s="58"/>
    </row>
    <row r="1025" spans="1:16" x14ac:dyDescent="0.15">
      <c r="A1025" s="14" t="s">
        <v>712</v>
      </c>
      <c r="B1025" s="11"/>
      <c r="C1025" s="12"/>
      <c r="D1025" s="12">
        <v>10</v>
      </c>
      <c r="E1025" s="12"/>
      <c r="F1025" s="31"/>
      <c r="G1025" s="7">
        <f t="shared" si="276"/>
        <v>10</v>
      </c>
      <c r="H1025" s="58">
        <v>43245</v>
      </c>
      <c r="I1025" s="16"/>
      <c r="J1025" s="8"/>
      <c r="K1025" s="10"/>
      <c r="L1025" s="10"/>
      <c r="M1025" s="10"/>
      <c r="N1025" s="30"/>
      <c r="O1025" s="7">
        <f t="shared" si="277"/>
        <v>0</v>
      </c>
      <c r="P1025" s="58"/>
    </row>
    <row r="1026" spans="1:16" x14ac:dyDescent="0.15">
      <c r="A1026" s="14" t="s">
        <v>713</v>
      </c>
      <c r="B1026" s="8"/>
      <c r="C1026" s="10">
        <v>1</v>
      </c>
      <c r="D1026" s="10"/>
      <c r="E1026" s="10"/>
      <c r="F1026" s="30"/>
      <c r="G1026" s="7">
        <f t="shared" si="276"/>
        <v>1</v>
      </c>
      <c r="H1026" s="57">
        <v>43238</v>
      </c>
      <c r="I1026" s="16"/>
      <c r="J1026" s="8"/>
      <c r="K1026" s="10"/>
      <c r="L1026" s="10"/>
      <c r="M1026" s="10"/>
      <c r="N1026" s="30"/>
      <c r="O1026" s="7">
        <f t="shared" si="277"/>
        <v>0</v>
      </c>
      <c r="P1026" s="58"/>
    </row>
    <row r="1027" spans="1:16" x14ac:dyDescent="0.15">
      <c r="A1027" s="14" t="s">
        <v>110</v>
      </c>
      <c r="B1027" s="8"/>
      <c r="C1027" s="10"/>
      <c r="D1027" s="10"/>
      <c r="E1027" s="10"/>
      <c r="F1027" s="30">
        <v>2</v>
      </c>
      <c r="G1027" s="7">
        <f t="shared" ref="G1027:G1028" si="278">SUM(B1027:F1027)</f>
        <v>2</v>
      </c>
      <c r="H1027" s="58">
        <v>43248</v>
      </c>
      <c r="I1027" s="16"/>
      <c r="J1027" s="8"/>
      <c r="K1027" s="10"/>
      <c r="L1027" s="10"/>
      <c r="M1027" s="10"/>
      <c r="N1027" s="30"/>
      <c r="O1027" s="7">
        <f t="shared" si="277"/>
        <v>0</v>
      </c>
      <c r="P1027" s="58"/>
    </row>
    <row r="1028" spans="1:16" x14ac:dyDescent="0.15">
      <c r="A1028" s="16" t="s">
        <v>710</v>
      </c>
      <c r="B1028" s="8">
        <v>5</v>
      </c>
      <c r="C1028" s="10">
        <v>5</v>
      </c>
      <c r="D1028" s="10">
        <v>5</v>
      </c>
      <c r="E1028" s="10">
        <v>5</v>
      </c>
      <c r="F1028" s="30">
        <v>5</v>
      </c>
      <c r="G1028" s="7">
        <f t="shared" si="278"/>
        <v>25</v>
      </c>
      <c r="H1028" s="58">
        <v>43248</v>
      </c>
      <c r="I1028" s="141"/>
      <c r="J1028" s="8"/>
      <c r="K1028" s="10"/>
      <c r="L1028" s="10"/>
      <c r="M1028" s="10"/>
      <c r="N1028" s="30"/>
      <c r="O1028" s="7">
        <f t="shared" si="277"/>
        <v>0</v>
      </c>
      <c r="P1028" s="56"/>
    </row>
    <row r="1029" spans="1:16" ht="14.25" thickBot="1" x14ac:dyDescent="0.2">
      <c r="A1029" s="14" t="s">
        <v>25</v>
      </c>
      <c r="B1029" s="11">
        <v>3</v>
      </c>
      <c r="C1029" s="12"/>
      <c r="D1029" s="12">
        <v>1</v>
      </c>
      <c r="E1029" s="12">
        <v>1</v>
      </c>
      <c r="F1029" s="31"/>
      <c r="G1029" s="7">
        <f t="shared" si="276"/>
        <v>5</v>
      </c>
      <c r="H1029" s="58">
        <v>43242</v>
      </c>
      <c r="I1029" s="62"/>
      <c r="J1029" s="8"/>
      <c r="K1029" s="10"/>
      <c r="L1029" s="10"/>
      <c r="M1029" s="10"/>
      <c r="N1029" s="30"/>
      <c r="O1029" s="7">
        <f t="shared" si="277"/>
        <v>0</v>
      </c>
      <c r="P1029" s="56"/>
    </row>
    <row r="1030" spans="1:16" ht="14.25" thickBot="1" x14ac:dyDescent="0.2">
      <c r="A1030" s="3" t="s">
        <v>11</v>
      </c>
      <c r="B1030" s="23">
        <f>SUM(B1004:B1029)</f>
        <v>25</v>
      </c>
      <c r="C1030" s="4">
        <f>SUM(C1004:C1029)</f>
        <v>11</v>
      </c>
      <c r="D1030" s="4">
        <f>SUM(D1004:D1029)</f>
        <v>37</v>
      </c>
      <c r="E1030" s="6">
        <f>SUM(E1004:E1029)</f>
        <v>24</v>
      </c>
      <c r="F1030" s="32">
        <f>SUM(F1004:F1029)</f>
        <v>17</v>
      </c>
      <c r="G1030" s="5">
        <f>SUM(B1030:F1030)</f>
        <v>114</v>
      </c>
      <c r="I1030" s="3" t="s">
        <v>11</v>
      </c>
      <c r="J1030" s="23">
        <f>SUM(J1004:J1029)</f>
        <v>20</v>
      </c>
      <c r="K1030" s="4">
        <f>SUM(K1004:K1029)</f>
        <v>10</v>
      </c>
      <c r="L1030" s="4">
        <f>SUM(L1004:L1029)</f>
        <v>35</v>
      </c>
      <c r="M1030" s="6">
        <f>SUM(M1004:M1029)</f>
        <v>20</v>
      </c>
      <c r="N1030" s="6">
        <f>SUM(N1004:N1029)</f>
        <v>10</v>
      </c>
      <c r="O1030" s="5">
        <f>SUM(J1030:N1030)</f>
        <v>95</v>
      </c>
    </row>
    <row r="1031" spans="1:16" ht="14.25" thickBot="1" x14ac:dyDescent="0.2">
      <c r="A1031" s="25" t="s">
        <v>12</v>
      </c>
      <c r="B1031" s="63">
        <f>B1003-B1030</f>
        <v>7</v>
      </c>
      <c r="C1031" s="26">
        <f t="shared" ref="C1031:G1031" si="279">C1003-C1030</f>
        <v>12</v>
      </c>
      <c r="D1031" s="71">
        <f t="shared" si="279"/>
        <v>11</v>
      </c>
      <c r="E1031" s="26">
        <f t="shared" si="279"/>
        <v>12</v>
      </c>
      <c r="F1031" s="70">
        <f t="shared" si="279"/>
        <v>11</v>
      </c>
      <c r="G1031" s="27">
        <f t="shared" si="279"/>
        <v>53</v>
      </c>
      <c r="I1031" s="25" t="s">
        <v>12</v>
      </c>
      <c r="J1031" s="63">
        <f>J1003-J1030</f>
        <v>265</v>
      </c>
      <c r="K1031" s="26">
        <f t="shared" ref="K1031:O1031" si="280">K1003-K1030</f>
        <v>278</v>
      </c>
      <c r="L1031" s="71">
        <f t="shared" si="280"/>
        <v>264</v>
      </c>
      <c r="M1031" s="26">
        <f t="shared" si="280"/>
        <v>212</v>
      </c>
      <c r="N1031" s="70">
        <f t="shared" si="280"/>
        <v>214</v>
      </c>
      <c r="O1031" s="27">
        <f t="shared" si="280"/>
        <v>1233</v>
      </c>
    </row>
    <row r="1032" spans="1:16" ht="17.25" x14ac:dyDescent="0.2">
      <c r="A1032" s="79" t="s">
        <v>56</v>
      </c>
      <c r="B1032" s="80"/>
      <c r="C1032" s="80"/>
      <c r="D1032" s="80"/>
      <c r="E1032" s="80"/>
      <c r="F1032" s="80"/>
      <c r="G1032" s="80"/>
      <c r="I1032" s="79" t="s">
        <v>56</v>
      </c>
      <c r="J1032" s="80"/>
      <c r="K1032" s="80"/>
      <c r="L1032" s="80"/>
      <c r="M1032" s="80"/>
      <c r="N1032" s="80"/>
      <c r="O1032" s="1"/>
    </row>
    <row r="1033" spans="1:16" ht="21.75" thickBot="1" x14ac:dyDescent="0.25">
      <c r="A1033" s="82" t="s">
        <v>55</v>
      </c>
      <c r="B1033" s="80"/>
      <c r="C1033" s="80"/>
      <c r="D1033" s="80"/>
      <c r="E1033" s="81" t="s">
        <v>53</v>
      </c>
      <c r="F1033" s="80"/>
      <c r="G1033" s="80"/>
      <c r="I1033" s="82" t="s">
        <v>55</v>
      </c>
      <c r="J1033" s="80"/>
      <c r="K1033" s="80"/>
      <c r="L1033" s="80"/>
      <c r="M1033" s="81" t="s">
        <v>54</v>
      </c>
      <c r="N1033" s="80"/>
      <c r="O1033" s="1"/>
    </row>
    <row r="1034" spans="1:16" ht="14.25" thickBot="1" x14ac:dyDescent="0.2">
      <c r="A1034" s="13" t="s">
        <v>0</v>
      </c>
      <c r="B1034" s="228" t="s">
        <v>57</v>
      </c>
      <c r="C1034" s="229"/>
      <c r="D1034" s="229"/>
      <c r="E1034" s="229"/>
      <c r="F1034" s="230"/>
      <c r="G1034" s="231"/>
      <c r="I1034" s="13" t="s">
        <v>0</v>
      </c>
      <c r="J1034" s="232" t="s">
        <v>57</v>
      </c>
      <c r="K1034" s="233"/>
      <c r="L1034" s="233"/>
      <c r="M1034" s="233"/>
      <c r="N1034" s="233"/>
      <c r="O1034" s="234"/>
    </row>
    <row r="1035" spans="1:16" ht="14.25" thickBot="1" x14ac:dyDescent="0.2">
      <c r="A1035" s="3" t="s">
        <v>1</v>
      </c>
      <c r="B1035" s="2" t="s">
        <v>42</v>
      </c>
      <c r="C1035" s="21" t="s">
        <v>43</v>
      </c>
      <c r="D1035" s="21" t="s">
        <v>44</v>
      </c>
      <c r="E1035" s="24" t="s">
        <v>45</v>
      </c>
      <c r="F1035" s="33" t="s">
        <v>46</v>
      </c>
      <c r="G1035" s="3" t="s">
        <v>2</v>
      </c>
      <c r="I1035" s="3" t="s">
        <v>1</v>
      </c>
      <c r="J1035" s="2" t="s">
        <v>42</v>
      </c>
      <c r="K1035" s="21" t="s">
        <v>43</v>
      </c>
      <c r="L1035" s="21" t="s">
        <v>44</v>
      </c>
      <c r="M1035" s="24" t="s">
        <v>45</v>
      </c>
      <c r="N1035" s="33" t="s">
        <v>46</v>
      </c>
      <c r="O1035" s="3" t="s">
        <v>2</v>
      </c>
    </row>
    <row r="1036" spans="1:16" ht="14.25" thickBot="1" x14ac:dyDescent="0.2">
      <c r="A1036" s="72" t="s">
        <v>79</v>
      </c>
      <c r="B1036" s="73">
        <f>B1031</f>
        <v>7</v>
      </c>
      <c r="C1036" s="74">
        <f t="shared" ref="C1036:F1036" si="281">C1031</f>
        <v>12</v>
      </c>
      <c r="D1036" s="107">
        <f t="shared" si="281"/>
        <v>11</v>
      </c>
      <c r="E1036" s="75">
        <f t="shared" si="281"/>
        <v>12</v>
      </c>
      <c r="F1036" s="75">
        <f t="shared" si="281"/>
        <v>11</v>
      </c>
      <c r="G1036" s="76">
        <f t="shared" ref="G1036:G1045" si="282">SUM(B1036:F1036)</f>
        <v>53</v>
      </c>
      <c r="I1036" s="72" t="s">
        <v>79</v>
      </c>
      <c r="J1036" s="73">
        <f>J1031</f>
        <v>265</v>
      </c>
      <c r="K1036" s="74">
        <f t="shared" ref="K1036:N1036" si="283">K1031</f>
        <v>278</v>
      </c>
      <c r="L1036" s="107">
        <f t="shared" si="283"/>
        <v>264</v>
      </c>
      <c r="M1036" s="75">
        <f t="shared" si="283"/>
        <v>212</v>
      </c>
      <c r="N1036" s="75">
        <f t="shared" si="283"/>
        <v>214</v>
      </c>
      <c r="O1036" s="76">
        <f t="shared" ref="O1036:O1045" si="284">SUM(J1036:N1036)</f>
        <v>1233</v>
      </c>
    </row>
    <row r="1037" spans="1:16" x14ac:dyDescent="0.15">
      <c r="A1037" s="38" t="s">
        <v>137</v>
      </c>
      <c r="B1037" s="37"/>
      <c r="C1037" s="35"/>
      <c r="D1037" s="35">
        <v>3</v>
      </c>
      <c r="E1037" s="35">
        <v>2</v>
      </c>
      <c r="F1037" s="28"/>
      <c r="G1037" s="7">
        <f t="shared" si="282"/>
        <v>5</v>
      </c>
      <c r="H1037" s="58">
        <v>43244</v>
      </c>
      <c r="I1037" s="38" t="s">
        <v>15</v>
      </c>
      <c r="J1037" s="8"/>
      <c r="K1037" s="10"/>
      <c r="L1037" s="10"/>
      <c r="M1037" s="10"/>
      <c r="N1037" s="30"/>
      <c r="O1037" s="7">
        <f t="shared" si="284"/>
        <v>0</v>
      </c>
    </row>
    <row r="1038" spans="1:16" x14ac:dyDescent="0.15">
      <c r="A1038" s="38" t="s">
        <v>16</v>
      </c>
      <c r="B1038" s="8">
        <v>5</v>
      </c>
      <c r="C1038" s="10">
        <v>10</v>
      </c>
      <c r="D1038" s="10"/>
      <c r="E1038" s="10">
        <v>10</v>
      </c>
      <c r="F1038" s="28">
        <v>5</v>
      </c>
      <c r="G1038" s="9">
        <f t="shared" si="282"/>
        <v>30</v>
      </c>
      <c r="H1038" s="58">
        <v>43249</v>
      </c>
      <c r="I1038" s="15" t="s">
        <v>3</v>
      </c>
      <c r="J1038" s="8"/>
      <c r="K1038" s="10"/>
      <c r="L1038" s="10"/>
      <c r="M1038" s="10"/>
      <c r="N1038" s="28"/>
      <c r="O1038" s="9">
        <f t="shared" si="284"/>
        <v>0</v>
      </c>
    </row>
    <row r="1039" spans="1:16" x14ac:dyDescent="0.15">
      <c r="A1039" s="38" t="s">
        <v>18</v>
      </c>
      <c r="B1039" s="8">
        <v>3</v>
      </c>
      <c r="C1039" s="10">
        <v>7</v>
      </c>
      <c r="D1039" s="10">
        <v>10</v>
      </c>
      <c r="E1039" s="10">
        <v>7</v>
      </c>
      <c r="F1039" s="28">
        <v>7</v>
      </c>
      <c r="G1039" s="9">
        <f t="shared" si="282"/>
        <v>34</v>
      </c>
      <c r="H1039" s="58">
        <v>43255</v>
      </c>
      <c r="I1039" s="15" t="s">
        <v>18</v>
      </c>
      <c r="J1039" s="8"/>
      <c r="K1039" s="10"/>
      <c r="L1039" s="10"/>
      <c r="M1039" s="10"/>
      <c r="N1039" s="28"/>
      <c r="O1039" s="9">
        <f t="shared" si="284"/>
        <v>0</v>
      </c>
    </row>
    <row r="1040" spans="1:16" x14ac:dyDescent="0.15">
      <c r="A1040" s="39" t="s">
        <v>35</v>
      </c>
      <c r="B1040" s="8">
        <v>1</v>
      </c>
      <c r="C1040" s="10"/>
      <c r="D1040" s="10"/>
      <c r="E1040" s="10"/>
      <c r="F1040" s="28"/>
      <c r="G1040" s="9">
        <f t="shared" si="282"/>
        <v>1</v>
      </c>
      <c r="H1040" s="58">
        <v>43252</v>
      </c>
      <c r="I1040" s="15" t="s">
        <v>20</v>
      </c>
      <c r="J1040" s="8"/>
      <c r="K1040" s="10"/>
      <c r="L1040" s="10"/>
      <c r="M1040" s="10"/>
      <c r="N1040" s="28"/>
      <c r="O1040" s="9">
        <f t="shared" si="284"/>
        <v>0</v>
      </c>
    </row>
    <row r="1041" spans="1:19" x14ac:dyDescent="0.15">
      <c r="A1041" s="38" t="s">
        <v>411</v>
      </c>
      <c r="B1041" s="8"/>
      <c r="C1041" s="10">
        <v>1</v>
      </c>
      <c r="D1041" s="10"/>
      <c r="E1041" s="10">
        <v>1</v>
      </c>
      <c r="F1041" s="28">
        <v>2</v>
      </c>
      <c r="G1041" s="9">
        <f t="shared" si="282"/>
        <v>4</v>
      </c>
      <c r="H1041" s="57">
        <v>43259</v>
      </c>
      <c r="I1041" s="15" t="s">
        <v>80</v>
      </c>
      <c r="J1041" s="8"/>
      <c r="K1041" s="10"/>
      <c r="L1041" s="10"/>
      <c r="M1041" s="10"/>
      <c r="N1041" s="28"/>
      <c r="O1041" s="9">
        <f t="shared" si="284"/>
        <v>0</v>
      </c>
    </row>
    <row r="1042" spans="1:19" x14ac:dyDescent="0.15">
      <c r="A1042" s="38" t="s">
        <v>81</v>
      </c>
      <c r="B1042" s="8"/>
      <c r="C1042" s="10"/>
      <c r="D1042" s="10">
        <v>10</v>
      </c>
      <c r="E1042" s="10"/>
      <c r="F1042" s="28"/>
      <c r="G1042" s="9">
        <f t="shared" si="282"/>
        <v>10</v>
      </c>
      <c r="H1042" s="58">
        <v>43264</v>
      </c>
      <c r="I1042" s="15" t="s">
        <v>81</v>
      </c>
      <c r="J1042" s="8"/>
      <c r="K1042" s="10"/>
      <c r="L1042" s="10"/>
      <c r="M1042" s="10"/>
      <c r="N1042" s="28"/>
      <c r="O1042" s="9">
        <f t="shared" si="284"/>
        <v>0</v>
      </c>
    </row>
    <row r="1043" spans="1:19" x14ac:dyDescent="0.15">
      <c r="A1043" s="38" t="s">
        <v>82</v>
      </c>
      <c r="B1043" s="8">
        <v>10</v>
      </c>
      <c r="C1043" s="10">
        <v>15</v>
      </c>
      <c r="D1043" s="10"/>
      <c r="E1043" s="10"/>
      <c r="F1043" s="30">
        <v>5</v>
      </c>
      <c r="G1043" s="7">
        <f t="shared" si="282"/>
        <v>30</v>
      </c>
      <c r="H1043" s="58">
        <v>43265</v>
      </c>
      <c r="I1043" s="15" t="s">
        <v>82</v>
      </c>
      <c r="J1043" s="8"/>
      <c r="K1043" s="10"/>
      <c r="L1043" s="10"/>
      <c r="M1043" s="10"/>
      <c r="N1043" s="30"/>
      <c r="O1043" s="7">
        <f t="shared" si="284"/>
        <v>0</v>
      </c>
      <c r="P1043" s="58"/>
      <c r="Q1043" s="68"/>
      <c r="R1043" s="138"/>
      <c r="S1043" s="138"/>
    </row>
    <row r="1044" spans="1:19" x14ac:dyDescent="0.15">
      <c r="A1044" s="38" t="s">
        <v>83</v>
      </c>
      <c r="B1044" s="11"/>
      <c r="C1044" s="100">
        <v>10</v>
      </c>
      <c r="D1044" s="100"/>
      <c r="E1044" s="100"/>
      <c r="F1044" s="101"/>
      <c r="G1044" s="102">
        <f t="shared" si="282"/>
        <v>10</v>
      </c>
      <c r="H1044" s="58">
        <v>43269</v>
      </c>
      <c r="I1044" s="15" t="s">
        <v>83</v>
      </c>
      <c r="J1044" s="8"/>
      <c r="K1044" s="10"/>
      <c r="L1044" s="10"/>
      <c r="M1044" s="10"/>
      <c r="N1044" s="30"/>
      <c r="O1044" s="7">
        <f t="shared" si="284"/>
        <v>0</v>
      </c>
      <c r="P1044" s="68"/>
      <c r="Q1044" s="148"/>
    </row>
    <row r="1045" spans="1:19" ht="14.25" thickBot="1" x14ac:dyDescent="0.2">
      <c r="A1045" s="38" t="s">
        <v>159</v>
      </c>
      <c r="B1045" s="11"/>
      <c r="C1045" s="100"/>
      <c r="D1045" s="100"/>
      <c r="E1045" s="100"/>
      <c r="F1045" s="101"/>
      <c r="G1045" s="102">
        <f t="shared" si="282"/>
        <v>0</v>
      </c>
      <c r="I1045" s="15" t="s">
        <v>87</v>
      </c>
      <c r="J1045" s="11"/>
      <c r="K1045" s="100"/>
      <c r="L1045" s="100"/>
      <c r="M1045" s="100"/>
      <c r="N1045" s="101"/>
      <c r="O1045" s="102">
        <f t="shared" si="284"/>
        <v>0</v>
      </c>
    </row>
    <row r="1046" spans="1:19" ht="14.25" thickBot="1" x14ac:dyDescent="0.2">
      <c r="A1046" s="72" t="s">
        <v>7</v>
      </c>
      <c r="B1046" s="73">
        <f>SUM(B1036:B1045)</f>
        <v>26</v>
      </c>
      <c r="C1046" s="74">
        <f t="shared" ref="C1046:G1046" si="285">SUM(C1036:C1045)</f>
        <v>55</v>
      </c>
      <c r="D1046" s="74">
        <f t="shared" si="285"/>
        <v>34</v>
      </c>
      <c r="E1046" s="74">
        <f t="shared" si="285"/>
        <v>32</v>
      </c>
      <c r="F1046" s="105">
        <f t="shared" si="285"/>
        <v>30</v>
      </c>
      <c r="G1046" s="76">
        <f t="shared" si="285"/>
        <v>177</v>
      </c>
      <c r="I1046" s="72" t="s">
        <v>7</v>
      </c>
      <c r="J1046" s="73">
        <f>SUM(J1036:J1045)</f>
        <v>265</v>
      </c>
      <c r="K1046" s="74">
        <f t="shared" ref="K1046:O1046" si="286">SUM(K1036:K1045)</f>
        <v>278</v>
      </c>
      <c r="L1046" s="74">
        <f t="shared" si="286"/>
        <v>264</v>
      </c>
      <c r="M1046" s="74">
        <f t="shared" si="286"/>
        <v>212</v>
      </c>
      <c r="N1046" s="105">
        <f t="shared" si="286"/>
        <v>214</v>
      </c>
      <c r="O1046" s="76">
        <f t="shared" si="286"/>
        <v>1233</v>
      </c>
    </row>
    <row r="1047" spans="1:19" x14ac:dyDescent="0.15">
      <c r="A1047" s="14" t="s">
        <v>25</v>
      </c>
      <c r="B1047" s="8"/>
      <c r="C1047" s="10">
        <v>3</v>
      </c>
      <c r="D1047" s="10">
        <v>1</v>
      </c>
      <c r="E1047" s="10"/>
      <c r="F1047" s="30"/>
      <c r="G1047" s="7">
        <f t="shared" ref="G1047:G1072" si="287">SUM(B1047:F1047)</f>
        <v>4</v>
      </c>
      <c r="H1047" s="58">
        <v>43244</v>
      </c>
      <c r="I1047" s="16" t="s">
        <v>715</v>
      </c>
      <c r="J1047" s="150">
        <v>5</v>
      </c>
      <c r="K1047" s="151">
        <v>10</v>
      </c>
      <c r="L1047" s="151"/>
      <c r="M1047" s="151">
        <v>10</v>
      </c>
      <c r="N1047" s="152">
        <v>5</v>
      </c>
      <c r="O1047" s="153">
        <f t="shared" ref="O1047:O1069" si="288">SUM(J1047:N1047)</f>
        <v>30</v>
      </c>
      <c r="P1047" s="154">
        <v>43249</v>
      </c>
      <c r="Q1047" s="155"/>
    </row>
    <row r="1048" spans="1:19" x14ac:dyDescent="0.15">
      <c r="A1048" s="14" t="s">
        <v>713</v>
      </c>
      <c r="B1048" s="8"/>
      <c r="C1048" s="10"/>
      <c r="D1048" s="10"/>
      <c r="E1048" s="10">
        <v>1</v>
      </c>
      <c r="F1048" s="30"/>
      <c r="G1048" s="7">
        <f t="shared" si="287"/>
        <v>1</v>
      </c>
      <c r="H1048" s="58">
        <v>43243</v>
      </c>
      <c r="I1048" s="16" t="s">
        <v>24</v>
      </c>
      <c r="J1048" s="8">
        <v>3</v>
      </c>
      <c r="K1048" s="10">
        <v>7</v>
      </c>
      <c r="L1048" s="10">
        <v>10</v>
      </c>
      <c r="M1048" s="10">
        <v>7</v>
      </c>
      <c r="N1048" s="28">
        <v>7</v>
      </c>
      <c r="O1048" s="9">
        <f t="shared" si="288"/>
        <v>34</v>
      </c>
      <c r="P1048" s="58">
        <v>43255</v>
      </c>
      <c r="Q1048" s="56"/>
    </row>
    <row r="1049" spans="1:19" x14ac:dyDescent="0.15">
      <c r="A1049" s="14" t="s">
        <v>25</v>
      </c>
      <c r="B1049" s="8"/>
      <c r="C1049" s="10">
        <v>1</v>
      </c>
      <c r="D1049" s="10"/>
      <c r="E1049" s="10">
        <v>1</v>
      </c>
      <c r="F1049" s="30">
        <v>1</v>
      </c>
      <c r="G1049" s="7">
        <f t="shared" si="287"/>
        <v>3</v>
      </c>
      <c r="H1049" s="58">
        <v>43246</v>
      </c>
      <c r="I1049" s="16" t="s">
        <v>24</v>
      </c>
      <c r="J1049" s="8"/>
      <c r="K1049" s="10"/>
      <c r="L1049" s="10">
        <v>10</v>
      </c>
      <c r="M1049" s="10"/>
      <c r="N1049" s="30"/>
      <c r="O1049" s="7">
        <f t="shared" si="288"/>
        <v>10</v>
      </c>
      <c r="P1049" s="58">
        <v>43264</v>
      </c>
    </row>
    <row r="1050" spans="1:19" x14ac:dyDescent="0.15">
      <c r="A1050" s="14" t="s">
        <v>110</v>
      </c>
      <c r="B1050" s="8"/>
      <c r="C1050" s="10"/>
      <c r="D1050" s="10"/>
      <c r="E1050" s="10"/>
      <c r="F1050" s="30">
        <v>4</v>
      </c>
      <c r="G1050" s="7">
        <f t="shared" si="287"/>
        <v>4</v>
      </c>
      <c r="H1050" s="58">
        <v>43252</v>
      </c>
      <c r="I1050" s="16" t="s">
        <v>24</v>
      </c>
      <c r="J1050" s="8">
        <v>10</v>
      </c>
      <c r="K1050" s="10">
        <v>15</v>
      </c>
      <c r="L1050" s="10"/>
      <c r="M1050" s="10"/>
      <c r="N1050" s="30">
        <v>5</v>
      </c>
      <c r="O1050" s="7">
        <f t="shared" si="288"/>
        <v>30</v>
      </c>
      <c r="P1050" s="58">
        <v>43265</v>
      </c>
    </row>
    <row r="1051" spans="1:19" x14ac:dyDescent="0.15">
      <c r="A1051" s="14" t="s">
        <v>25</v>
      </c>
      <c r="B1051" s="8"/>
      <c r="C1051" s="10">
        <v>5</v>
      </c>
      <c r="D1051" s="10"/>
      <c r="E1051" s="10">
        <v>1</v>
      </c>
      <c r="F1051" s="30">
        <v>1</v>
      </c>
      <c r="G1051" s="7">
        <f t="shared" si="287"/>
        <v>7</v>
      </c>
      <c r="H1051" s="58">
        <v>43249</v>
      </c>
      <c r="I1051" s="16" t="s">
        <v>24</v>
      </c>
      <c r="J1051" s="8"/>
      <c r="K1051" s="10">
        <v>10</v>
      </c>
      <c r="L1051" s="10"/>
      <c r="M1051" s="10"/>
      <c r="N1051" s="30"/>
      <c r="O1051" s="7">
        <f t="shared" si="288"/>
        <v>10</v>
      </c>
      <c r="P1051" s="58">
        <v>43269</v>
      </c>
    </row>
    <row r="1052" spans="1:19" x14ac:dyDescent="0.15">
      <c r="A1052" s="14" t="s">
        <v>110</v>
      </c>
      <c r="B1052" s="8">
        <v>2</v>
      </c>
      <c r="C1052" s="10"/>
      <c r="D1052" s="10"/>
      <c r="E1052" s="10"/>
      <c r="F1052" s="30"/>
      <c r="G1052" s="7">
        <f t="shared" si="287"/>
        <v>2</v>
      </c>
      <c r="H1052" s="58">
        <v>43256</v>
      </c>
      <c r="I1052" s="16"/>
      <c r="J1052" s="8"/>
      <c r="K1052" s="10"/>
      <c r="L1052" s="10"/>
      <c r="M1052" s="10"/>
      <c r="N1052" s="30"/>
      <c r="O1052" s="7">
        <f t="shared" si="288"/>
        <v>0</v>
      </c>
    </row>
    <row r="1053" spans="1:19" x14ac:dyDescent="0.15">
      <c r="A1053" s="14" t="s">
        <v>713</v>
      </c>
      <c r="B1053" s="8"/>
      <c r="C1053" s="10">
        <v>1</v>
      </c>
      <c r="D1053" s="10"/>
      <c r="E1053" s="10"/>
      <c r="F1053" s="30"/>
      <c r="G1053" s="7">
        <f t="shared" si="287"/>
        <v>1</v>
      </c>
      <c r="H1053" s="58">
        <v>43249</v>
      </c>
      <c r="I1053" s="16"/>
      <c r="J1053" s="8"/>
      <c r="K1053" s="10"/>
      <c r="L1053" s="10"/>
      <c r="M1053" s="10"/>
      <c r="N1053" s="30"/>
      <c r="O1053" s="7">
        <f t="shared" si="288"/>
        <v>0</v>
      </c>
    </row>
    <row r="1054" spans="1:19" x14ac:dyDescent="0.15">
      <c r="A1054" s="14" t="s">
        <v>25</v>
      </c>
      <c r="B1054" s="8"/>
      <c r="C1054" s="10"/>
      <c r="D1054" s="10"/>
      <c r="E1054" s="10">
        <v>1</v>
      </c>
      <c r="F1054" s="30"/>
      <c r="G1054" s="7">
        <f t="shared" si="287"/>
        <v>1</v>
      </c>
      <c r="H1054" s="58">
        <v>43251</v>
      </c>
      <c r="I1054" s="16"/>
      <c r="J1054" s="8"/>
      <c r="K1054" s="10"/>
      <c r="L1054" s="10"/>
      <c r="M1054" s="10"/>
      <c r="N1054" s="30"/>
      <c r="O1054" s="7">
        <f t="shared" si="288"/>
        <v>0</v>
      </c>
    </row>
    <row r="1055" spans="1:19" x14ac:dyDescent="0.15">
      <c r="A1055" s="64" t="s">
        <v>688</v>
      </c>
      <c r="B1055" s="8">
        <v>3</v>
      </c>
      <c r="C1055" s="10">
        <v>7</v>
      </c>
      <c r="D1055" s="10">
        <v>10</v>
      </c>
      <c r="E1055" s="10">
        <v>7</v>
      </c>
      <c r="F1055" s="30">
        <v>7</v>
      </c>
      <c r="G1055" s="7">
        <f t="shared" si="287"/>
        <v>34</v>
      </c>
      <c r="H1055" s="58">
        <v>43258</v>
      </c>
      <c r="I1055" s="39"/>
      <c r="J1055" s="8"/>
      <c r="K1055" s="10"/>
      <c r="L1055" s="10"/>
      <c r="M1055" s="10"/>
      <c r="N1055" s="30"/>
      <c r="O1055" s="7">
        <f t="shared" si="288"/>
        <v>0</v>
      </c>
    </row>
    <row r="1056" spans="1:19" x14ac:dyDescent="0.15">
      <c r="A1056" s="14" t="s">
        <v>713</v>
      </c>
      <c r="B1056" s="11"/>
      <c r="C1056" s="12">
        <v>1</v>
      </c>
      <c r="D1056" s="12"/>
      <c r="E1056" s="12"/>
      <c r="F1056" s="31"/>
      <c r="G1056" s="7">
        <f t="shared" si="287"/>
        <v>1</v>
      </c>
      <c r="H1056" s="58">
        <v>43255</v>
      </c>
      <c r="I1056" s="16"/>
      <c r="J1056" s="11"/>
      <c r="K1056" s="12"/>
      <c r="L1056" s="12"/>
      <c r="M1056" s="12"/>
      <c r="N1056" s="31"/>
      <c r="O1056" s="7">
        <f t="shared" si="288"/>
        <v>0</v>
      </c>
    </row>
    <row r="1057" spans="1:19" x14ac:dyDescent="0.15">
      <c r="A1057" s="14" t="s">
        <v>25</v>
      </c>
      <c r="B1057" s="11"/>
      <c r="C1057" s="12"/>
      <c r="D1057" s="12"/>
      <c r="E1057" s="12"/>
      <c r="F1057" s="31">
        <v>1</v>
      </c>
      <c r="G1057" s="7">
        <f t="shared" si="287"/>
        <v>1</v>
      </c>
      <c r="H1057" s="58">
        <v>43257</v>
      </c>
      <c r="I1057" s="16"/>
      <c r="J1057" s="8"/>
      <c r="K1057" s="10"/>
      <c r="L1057" s="10"/>
      <c r="M1057" s="10"/>
      <c r="N1057" s="30"/>
      <c r="O1057" s="7">
        <f t="shared" si="288"/>
        <v>0</v>
      </c>
    </row>
    <row r="1058" spans="1:19" x14ac:dyDescent="0.15">
      <c r="A1058" s="14" t="s">
        <v>713</v>
      </c>
      <c r="B1058" s="8"/>
      <c r="C1058" s="10"/>
      <c r="D1058" s="10">
        <v>1</v>
      </c>
      <c r="E1058" s="10"/>
      <c r="F1058" s="30"/>
      <c r="G1058" s="7">
        <f t="shared" si="287"/>
        <v>1</v>
      </c>
      <c r="H1058" s="58">
        <v>43257</v>
      </c>
      <c r="I1058" s="39"/>
      <c r="J1058" s="8"/>
      <c r="K1058" s="10"/>
      <c r="L1058" s="10"/>
      <c r="M1058" s="10"/>
      <c r="N1058" s="30"/>
      <c r="O1058" s="7">
        <f t="shared" si="288"/>
        <v>0</v>
      </c>
    </row>
    <row r="1059" spans="1:19" x14ac:dyDescent="0.15">
      <c r="A1059" s="14" t="s">
        <v>25</v>
      </c>
      <c r="B1059" s="8"/>
      <c r="C1059" s="10"/>
      <c r="D1059" s="10">
        <v>1</v>
      </c>
      <c r="E1059" s="10"/>
      <c r="F1059" s="30"/>
      <c r="G1059" s="7">
        <f t="shared" si="287"/>
        <v>1</v>
      </c>
      <c r="H1059" s="58">
        <v>43259</v>
      </c>
      <c r="I1059" s="16"/>
      <c r="J1059" s="8"/>
      <c r="K1059" s="10"/>
      <c r="L1059" s="10"/>
      <c r="M1059" s="10"/>
      <c r="N1059" s="30"/>
      <c r="O1059" s="7">
        <f t="shared" si="288"/>
        <v>0</v>
      </c>
    </row>
    <row r="1060" spans="1:19" x14ac:dyDescent="0.15">
      <c r="A1060" s="14" t="s">
        <v>25</v>
      </c>
      <c r="B1060" s="8"/>
      <c r="C1060" s="10"/>
      <c r="D1060" s="10"/>
      <c r="E1060" s="10"/>
      <c r="F1060" s="30">
        <v>1</v>
      </c>
      <c r="G1060" s="7">
        <f t="shared" si="287"/>
        <v>1</v>
      </c>
      <c r="H1060" s="58">
        <v>43263</v>
      </c>
      <c r="I1060" s="16"/>
      <c r="J1060" s="8"/>
      <c r="K1060" s="10"/>
      <c r="L1060" s="10"/>
      <c r="M1060" s="10"/>
      <c r="N1060" s="30"/>
      <c r="O1060" s="7">
        <f t="shared" si="288"/>
        <v>0</v>
      </c>
    </row>
    <row r="1061" spans="1:19" x14ac:dyDescent="0.15">
      <c r="A1061" s="14" t="s">
        <v>110</v>
      </c>
      <c r="B1061" s="8"/>
      <c r="C1061" s="10"/>
      <c r="D1061" s="10">
        <v>7</v>
      </c>
      <c r="E1061" s="10"/>
      <c r="F1061" s="30"/>
      <c r="G1061" s="7">
        <f t="shared" si="287"/>
        <v>7</v>
      </c>
      <c r="H1061" s="58">
        <v>43266</v>
      </c>
      <c r="I1061" s="14"/>
      <c r="J1061" s="8"/>
      <c r="K1061" s="10"/>
      <c r="L1061" s="10"/>
      <c r="M1061" s="10"/>
      <c r="N1061" s="30"/>
      <c r="O1061" s="7">
        <f t="shared" si="288"/>
        <v>0</v>
      </c>
      <c r="P1061" s="58"/>
    </row>
    <row r="1062" spans="1:19" x14ac:dyDescent="0.15">
      <c r="A1062" s="14" t="s">
        <v>728</v>
      </c>
      <c r="B1062" s="8"/>
      <c r="C1062" s="10"/>
      <c r="D1062" s="10">
        <v>1</v>
      </c>
      <c r="E1062" s="10"/>
      <c r="F1062" s="30">
        <v>1</v>
      </c>
      <c r="G1062" s="7">
        <f t="shared" si="287"/>
        <v>2</v>
      </c>
      <c r="H1062" s="58">
        <v>43262</v>
      </c>
      <c r="I1062" s="14"/>
      <c r="J1062" s="8"/>
      <c r="K1062" s="10"/>
      <c r="L1062" s="10"/>
      <c r="M1062" s="10"/>
      <c r="N1062" s="30"/>
      <c r="O1062" s="7">
        <f t="shared" si="288"/>
        <v>0</v>
      </c>
      <c r="P1062" s="58"/>
    </row>
    <row r="1063" spans="1:19" x14ac:dyDescent="0.15">
      <c r="A1063" s="14" t="s">
        <v>730</v>
      </c>
      <c r="B1063" s="8">
        <v>4</v>
      </c>
      <c r="C1063" s="10">
        <v>1</v>
      </c>
      <c r="D1063" s="10">
        <v>1</v>
      </c>
      <c r="E1063" s="10">
        <v>1</v>
      </c>
      <c r="F1063" s="30">
        <v>1</v>
      </c>
      <c r="G1063" s="7">
        <f t="shared" si="287"/>
        <v>8</v>
      </c>
      <c r="H1063" s="58">
        <v>43266</v>
      </c>
      <c r="I1063" s="14"/>
      <c r="J1063" s="8"/>
      <c r="K1063" s="10"/>
      <c r="L1063" s="10"/>
      <c r="M1063" s="10"/>
      <c r="N1063" s="30"/>
      <c r="O1063" s="7">
        <f t="shared" si="288"/>
        <v>0</v>
      </c>
      <c r="P1063" s="58"/>
    </row>
    <row r="1064" spans="1:19" x14ac:dyDescent="0.15">
      <c r="A1064" s="14" t="s">
        <v>29</v>
      </c>
      <c r="B1064" s="8"/>
      <c r="C1064" s="10"/>
      <c r="D1064" s="10"/>
      <c r="E1064" s="10">
        <v>1</v>
      </c>
      <c r="F1064" s="30"/>
      <c r="G1064" s="7">
        <f t="shared" si="287"/>
        <v>1</v>
      </c>
      <c r="H1064" s="58">
        <v>43263</v>
      </c>
      <c r="I1064" s="14"/>
      <c r="J1064" s="11"/>
      <c r="K1064" s="12"/>
      <c r="L1064" s="12"/>
      <c r="M1064" s="12"/>
      <c r="N1064" s="31"/>
      <c r="O1064" s="7">
        <f t="shared" si="288"/>
        <v>0</v>
      </c>
      <c r="P1064" s="56"/>
    </row>
    <row r="1065" spans="1:19" x14ac:dyDescent="0.15">
      <c r="A1065" s="51" t="s">
        <v>22</v>
      </c>
      <c r="B1065" s="8"/>
      <c r="C1065" s="10">
        <v>10</v>
      </c>
      <c r="D1065" s="10"/>
      <c r="E1065" s="10"/>
      <c r="F1065" s="30"/>
      <c r="G1065" s="7">
        <f t="shared" si="287"/>
        <v>10</v>
      </c>
      <c r="H1065" s="58">
        <v>43269</v>
      </c>
      <c r="I1065" s="14"/>
      <c r="J1065" s="8"/>
      <c r="K1065" s="10"/>
      <c r="L1065" s="10"/>
      <c r="M1065" s="10"/>
      <c r="N1065" s="30"/>
      <c r="O1065" s="7">
        <f t="shared" si="288"/>
        <v>0</v>
      </c>
      <c r="P1065" s="58"/>
    </row>
    <row r="1066" spans="1:19" x14ac:dyDescent="0.15">
      <c r="A1066" s="14" t="s">
        <v>25</v>
      </c>
      <c r="B1066" s="8"/>
      <c r="C1066" s="10"/>
      <c r="D1066" s="10"/>
      <c r="E1066" s="10"/>
      <c r="F1066" s="30">
        <v>1</v>
      </c>
      <c r="G1066" s="7">
        <f t="shared" si="287"/>
        <v>1</v>
      </c>
      <c r="H1066" s="58">
        <v>43265</v>
      </c>
      <c r="I1066" s="14"/>
      <c r="J1066" s="8"/>
      <c r="K1066" s="10"/>
      <c r="L1066" s="10"/>
      <c r="M1066" s="10"/>
      <c r="N1066" s="30"/>
      <c r="O1066" s="7">
        <f t="shared" si="288"/>
        <v>0</v>
      </c>
      <c r="P1066" s="56"/>
    </row>
    <row r="1067" spans="1:19" x14ac:dyDescent="0.15">
      <c r="A1067" s="14" t="s">
        <v>110</v>
      </c>
      <c r="B1067" s="8"/>
      <c r="C1067" s="10"/>
      <c r="D1067" s="10"/>
      <c r="E1067" s="10">
        <v>5</v>
      </c>
      <c r="F1067" s="30"/>
      <c r="G1067" s="7">
        <f t="shared" si="287"/>
        <v>5</v>
      </c>
      <c r="H1067" s="58">
        <v>43270</v>
      </c>
      <c r="I1067" s="16"/>
      <c r="J1067" s="8"/>
      <c r="K1067" s="10"/>
      <c r="L1067" s="10"/>
      <c r="M1067" s="10"/>
      <c r="N1067" s="30"/>
      <c r="O1067" s="7">
        <f t="shared" si="288"/>
        <v>0</v>
      </c>
      <c r="P1067" s="58"/>
    </row>
    <row r="1068" spans="1:19" x14ac:dyDescent="0.15">
      <c r="A1068" s="14" t="s">
        <v>735</v>
      </c>
      <c r="B1068" s="11">
        <v>1</v>
      </c>
      <c r="C1068" s="12"/>
      <c r="D1068" s="12"/>
      <c r="E1068" s="12"/>
      <c r="F1068" s="31"/>
      <c r="G1068" s="7">
        <f t="shared" si="287"/>
        <v>1</v>
      </c>
      <c r="H1068" s="58">
        <v>43266</v>
      </c>
      <c r="I1068" s="16"/>
      <c r="J1068" s="8"/>
      <c r="K1068" s="10"/>
      <c r="L1068" s="10"/>
      <c r="M1068" s="10"/>
      <c r="N1068" s="30"/>
      <c r="O1068" s="7">
        <f t="shared" si="288"/>
        <v>0</v>
      </c>
      <c r="P1068" s="58"/>
    </row>
    <row r="1069" spans="1:19" x14ac:dyDescent="0.15">
      <c r="A1069" s="14" t="s">
        <v>30</v>
      </c>
      <c r="B1069" s="8">
        <v>1</v>
      </c>
      <c r="C1069" s="10">
        <v>1</v>
      </c>
      <c r="D1069" s="10">
        <v>1</v>
      </c>
      <c r="E1069" s="10">
        <v>1</v>
      </c>
      <c r="F1069" s="30"/>
      <c r="G1069" s="7">
        <f t="shared" si="287"/>
        <v>4</v>
      </c>
      <c r="H1069" s="58">
        <v>43271</v>
      </c>
      <c r="I1069" s="16"/>
      <c r="J1069" s="8"/>
      <c r="K1069" s="10"/>
      <c r="L1069" s="10"/>
      <c r="M1069" s="10"/>
      <c r="N1069" s="30"/>
      <c r="O1069" s="7">
        <f t="shared" si="288"/>
        <v>0</v>
      </c>
      <c r="P1069" s="58"/>
    </row>
    <row r="1070" spans="1:19" x14ac:dyDescent="0.15">
      <c r="A1070" s="14" t="s">
        <v>25</v>
      </c>
      <c r="B1070" s="8"/>
      <c r="C1070" s="10"/>
      <c r="D1070" s="10">
        <v>1</v>
      </c>
      <c r="E1070" s="10"/>
      <c r="F1070" s="30"/>
      <c r="G1070" s="7">
        <f t="shared" si="287"/>
        <v>1</v>
      </c>
      <c r="H1070" s="58">
        <v>43267</v>
      </c>
      <c r="I1070" s="14"/>
      <c r="J1070" s="8"/>
      <c r="K1070" s="10"/>
      <c r="L1070" s="10"/>
      <c r="M1070" s="10"/>
      <c r="N1070" s="30"/>
      <c r="O1070" s="7">
        <f t="shared" ref="O1070:O1072" si="289">SUM(J1070:N1070)</f>
        <v>0</v>
      </c>
      <c r="P1070" s="58"/>
    </row>
    <row r="1071" spans="1:19" x14ac:dyDescent="0.15">
      <c r="A1071" s="14" t="s">
        <v>741</v>
      </c>
      <c r="B1071" s="8"/>
      <c r="C1071" s="10"/>
      <c r="D1071" s="10">
        <v>4</v>
      </c>
      <c r="E1071" s="10"/>
      <c r="F1071" s="30"/>
      <c r="G1071" s="7">
        <f t="shared" si="287"/>
        <v>4</v>
      </c>
      <c r="H1071" s="58">
        <v>43270</v>
      </c>
      <c r="I1071" s="14"/>
      <c r="J1071" s="8"/>
      <c r="K1071" s="10"/>
      <c r="L1071" s="10"/>
      <c r="M1071" s="10"/>
      <c r="N1071" s="30"/>
      <c r="O1071" s="7">
        <f t="shared" si="289"/>
        <v>0</v>
      </c>
      <c r="P1071" s="58"/>
    </row>
    <row r="1072" spans="1:19" ht="14.25" thickBot="1" x14ac:dyDescent="0.2">
      <c r="A1072" s="14" t="s">
        <v>29</v>
      </c>
      <c r="B1072" s="11"/>
      <c r="C1072" s="12"/>
      <c r="D1072" s="12"/>
      <c r="E1072" s="12">
        <v>1</v>
      </c>
      <c r="F1072" s="31"/>
      <c r="G1072" s="7">
        <f t="shared" si="287"/>
        <v>1</v>
      </c>
      <c r="H1072" s="58">
        <v>43269</v>
      </c>
      <c r="I1072" s="14"/>
      <c r="J1072" s="8"/>
      <c r="K1072" s="10"/>
      <c r="L1072" s="10"/>
      <c r="M1072" s="10"/>
      <c r="N1072" s="30"/>
      <c r="O1072" s="7">
        <f t="shared" si="289"/>
        <v>0</v>
      </c>
      <c r="P1072" s="58"/>
      <c r="Q1072" s="138"/>
      <c r="R1072" s="138"/>
      <c r="S1072" s="138"/>
    </row>
    <row r="1073" spans="1:19" ht="14.25" thickBot="1" x14ac:dyDescent="0.2">
      <c r="A1073" s="3" t="s">
        <v>11</v>
      </c>
      <c r="B1073" s="23">
        <f>SUM(B1047:B1072)</f>
        <v>11</v>
      </c>
      <c r="C1073" s="4">
        <f>SUM(C1047:C1072)</f>
        <v>30</v>
      </c>
      <c r="D1073" s="4">
        <f>SUM(D1047:D1072)</f>
        <v>28</v>
      </c>
      <c r="E1073" s="6">
        <f>SUM(E1047:E1072)</f>
        <v>20</v>
      </c>
      <c r="F1073" s="32">
        <f>SUM(F1047:F1072)</f>
        <v>18</v>
      </c>
      <c r="G1073" s="5">
        <f>SUM(B1073:F1073)</f>
        <v>107</v>
      </c>
      <c r="I1073" s="3" t="s">
        <v>11</v>
      </c>
      <c r="J1073" s="23">
        <f>SUM(J1047:J1072)</f>
        <v>18</v>
      </c>
      <c r="K1073" s="4">
        <f>SUM(K1047:K1072)</f>
        <v>42</v>
      </c>
      <c r="L1073" s="4">
        <f>SUM(L1047:L1072)</f>
        <v>20</v>
      </c>
      <c r="M1073" s="6">
        <f>SUM(M1047:M1072)</f>
        <v>17</v>
      </c>
      <c r="N1073" s="6">
        <f>SUM(N1047:N1072)</f>
        <v>17</v>
      </c>
      <c r="O1073" s="5">
        <f>SUM(J1073:N1073)</f>
        <v>114</v>
      </c>
    </row>
    <row r="1074" spans="1:19" ht="14.25" thickBot="1" x14ac:dyDescent="0.2">
      <c r="A1074" s="25" t="s">
        <v>12</v>
      </c>
      <c r="B1074" s="63">
        <f>B1046-B1073</f>
        <v>15</v>
      </c>
      <c r="C1074" s="26">
        <f t="shared" ref="C1074:G1074" si="290">C1046-C1073</f>
        <v>25</v>
      </c>
      <c r="D1074" s="71">
        <f t="shared" si="290"/>
        <v>6</v>
      </c>
      <c r="E1074" s="26">
        <f t="shared" si="290"/>
        <v>12</v>
      </c>
      <c r="F1074" s="70">
        <f t="shared" si="290"/>
        <v>12</v>
      </c>
      <c r="G1074" s="27">
        <f t="shared" si="290"/>
        <v>70</v>
      </c>
      <c r="I1074" s="25" t="s">
        <v>12</v>
      </c>
      <c r="J1074" s="63">
        <f>J1046-J1073</f>
        <v>247</v>
      </c>
      <c r="K1074" s="26">
        <f t="shared" ref="K1074:O1074" si="291">K1046-K1073</f>
        <v>236</v>
      </c>
      <c r="L1074" s="71">
        <f t="shared" si="291"/>
        <v>244</v>
      </c>
      <c r="M1074" s="26">
        <f t="shared" si="291"/>
        <v>195</v>
      </c>
      <c r="N1074" s="70">
        <f t="shared" si="291"/>
        <v>197</v>
      </c>
      <c r="O1074" s="27">
        <f t="shared" si="291"/>
        <v>1119</v>
      </c>
    </row>
    <row r="1075" spans="1:19" ht="17.25" x14ac:dyDescent="0.2">
      <c r="A1075" s="79" t="s">
        <v>56</v>
      </c>
      <c r="B1075" s="80"/>
      <c r="C1075" s="80"/>
      <c r="D1075" s="80"/>
      <c r="E1075" s="80"/>
      <c r="F1075" s="80"/>
      <c r="G1075" s="80"/>
      <c r="I1075" s="79" t="s">
        <v>56</v>
      </c>
      <c r="J1075" s="80"/>
      <c r="K1075" s="80"/>
      <c r="L1075" s="80"/>
      <c r="M1075" s="80"/>
      <c r="N1075" s="80"/>
      <c r="O1075" s="1"/>
    </row>
    <row r="1076" spans="1:19" ht="21.75" thickBot="1" x14ac:dyDescent="0.25">
      <c r="A1076" s="82" t="s">
        <v>55</v>
      </c>
      <c r="B1076" s="80"/>
      <c r="C1076" s="80"/>
      <c r="D1076" s="80"/>
      <c r="E1076" s="81" t="s">
        <v>53</v>
      </c>
      <c r="F1076" s="80"/>
      <c r="G1076" s="80"/>
      <c r="I1076" s="82" t="s">
        <v>55</v>
      </c>
      <c r="J1076" s="80"/>
      <c r="K1076" s="80"/>
      <c r="L1076" s="80"/>
      <c r="M1076" s="81" t="s">
        <v>54</v>
      </c>
      <c r="N1076" s="80"/>
      <c r="O1076" s="1"/>
    </row>
    <row r="1077" spans="1:19" ht="14.25" thickBot="1" x14ac:dyDescent="0.2">
      <c r="A1077" s="13" t="s">
        <v>0</v>
      </c>
      <c r="B1077" s="228" t="s">
        <v>57</v>
      </c>
      <c r="C1077" s="229"/>
      <c r="D1077" s="229"/>
      <c r="E1077" s="229"/>
      <c r="F1077" s="230"/>
      <c r="G1077" s="231"/>
      <c r="I1077" s="13" t="s">
        <v>0</v>
      </c>
      <c r="J1077" s="232" t="s">
        <v>57</v>
      </c>
      <c r="K1077" s="233"/>
      <c r="L1077" s="233"/>
      <c r="M1077" s="233"/>
      <c r="N1077" s="233"/>
      <c r="O1077" s="234"/>
    </row>
    <row r="1078" spans="1:19" ht="14.25" thickBot="1" x14ac:dyDescent="0.2">
      <c r="A1078" s="3" t="s">
        <v>1</v>
      </c>
      <c r="B1078" s="2" t="s">
        <v>42</v>
      </c>
      <c r="C1078" s="21" t="s">
        <v>43</v>
      </c>
      <c r="D1078" s="21" t="s">
        <v>44</v>
      </c>
      <c r="E1078" s="24" t="s">
        <v>45</v>
      </c>
      <c r="F1078" s="33" t="s">
        <v>46</v>
      </c>
      <c r="G1078" s="3" t="s">
        <v>2</v>
      </c>
      <c r="I1078" s="3" t="s">
        <v>1</v>
      </c>
      <c r="J1078" s="2" t="s">
        <v>42</v>
      </c>
      <c r="K1078" s="21" t="s">
        <v>43</v>
      </c>
      <c r="L1078" s="21" t="s">
        <v>44</v>
      </c>
      <c r="M1078" s="24" t="s">
        <v>45</v>
      </c>
      <c r="N1078" s="33" t="s">
        <v>46</v>
      </c>
      <c r="O1078" s="3" t="s">
        <v>2</v>
      </c>
    </row>
    <row r="1079" spans="1:19" ht="14.25" thickBot="1" x14ac:dyDescent="0.2">
      <c r="A1079" s="72" t="s">
        <v>79</v>
      </c>
      <c r="B1079" s="73">
        <f>B1074</f>
        <v>15</v>
      </c>
      <c r="C1079" s="74">
        <f t="shared" ref="C1079:F1079" si="292">C1074</f>
        <v>25</v>
      </c>
      <c r="D1079" s="107">
        <f t="shared" si="292"/>
        <v>6</v>
      </c>
      <c r="E1079" s="75">
        <f t="shared" si="292"/>
        <v>12</v>
      </c>
      <c r="F1079" s="75">
        <f t="shared" si="292"/>
        <v>12</v>
      </c>
      <c r="G1079" s="76">
        <f t="shared" ref="G1079:G1088" si="293">SUM(B1079:F1079)</f>
        <v>70</v>
      </c>
      <c r="I1079" s="72" t="s">
        <v>79</v>
      </c>
      <c r="J1079" s="73">
        <f>J1074</f>
        <v>247</v>
      </c>
      <c r="K1079" s="74">
        <f t="shared" ref="K1079:N1079" si="294">K1074</f>
        <v>236</v>
      </c>
      <c r="L1079" s="107">
        <f t="shared" si="294"/>
        <v>244</v>
      </c>
      <c r="M1079" s="75">
        <f t="shared" si="294"/>
        <v>195</v>
      </c>
      <c r="N1079" s="75">
        <f t="shared" si="294"/>
        <v>197</v>
      </c>
      <c r="O1079" s="76">
        <f t="shared" ref="O1079:O1088" si="295">SUM(J1079:N1079)</f>
        <v>1119</v>
      </c>
    </row>
    <row r="1080" spans="1:19" x14ac:dyDescent="0.15">
      <c r="A1080" s="38" t="s">
        <v>17</v>
      </c>
      <c r="B1080" s="37"/>
      <c r="C1080" s="35">
        <v>1</v>
      </c>
      <c r="D1080" s="35"/>
      <c r="E1080" s="35">
        <v>1</v>
      </c>
      <c r="F1080" s="28"/>
      <c r="G1080" s="7">
        <f t="shared" si="293"/>
        <v>2</v>
      </c>
      <c r="H1080" s="58">
        <v>43271</v>
      </c>
      <c r="I1080" s="38" t="s">
        <v>15</v>
      </c>
      <c r="J1080" s="8"/>
      <c r="K1080" s="10"/>
      <c r="L1080" s="10"/>
      <c r="M1080" s="10"/>
      <c r="N1080" s="30"/>
      <c r="O1080" s="7">
        <f t="shared" si="295"/>
        <v>0</v>
      </c>
    </row>
    <row r="1081" spans="1:19" x14ac:dyDescent="0.15">
      <c r="A1081" s="38" t="s">
        <v>16</v>
      </c>
      <c r="B1081" s="8"/>
      <c r="C1081" s="10"/>
      <c r="D1081" s="10">
        <v>10</v>
      </c>
      <c r="E1081" s="10"/>
      <c r="F1081" s="28"/>
      <c r="G1081" s="9">
        <f t="shared" si="293"/>
        <v>10</v>
      </c>
      <c r="H1081" s="58">
        <v>43274</v>
      </c>
      <c r="I1081" s="15" t="s">
        <v>3</v>
      </c>
      <c r="J1081" s="8"/>
      <c r="K1081" s="10"/>
      <c r="L1081" s="10"/>
      <c r="M1081" s="10"/>
      <c r="N1081" s="28"/>
      <c r="O1081" s="9">
        <f t="shared" si="295"/>
        <v>0</v>
      </c>
    </row>
    <row r="1082" spans="1:19" x14ac:dyDescent="0.15">
      <c r="A1082" s="38" t="s">
        <v>19</v>
      </c>
      <c r="B1082" s="8"/>
      <c r="C1082" s="10">
        <v>2</v>
      </c>
      <c r="D1082" s="10"/>
      <c r="E1082" s="10"/>
      <c r="F1082" s="28">
        <v>3</v>
      </c>
      <c r="G1082" s="9">
        <f t="shared" si="293"/>
        <v>5</v>
      </c>
      <c r="H1082" s="58">
        <v>43273</v>
      </c>
      <c r="I1082" s="15" t="s">
        <v>18</v>
      </c>
      <c r="J1082" s="8"/>
      <c r="K1082" s="10"/>
      <c r="L1082" s="10"/>
      <c r="M1082" s="10"/>
      <c r="N1082" s="28"/>
      <c r="O1082" s="9">
        <f t="shared" si="295"/>
        <v>0</v>
      </c>
    </row>
    <row r="1083" spans="1:19" x14ac:dyDescent="0.15">
      <c r="A1083" s="38" t="s">
        <v>17</v>
      </c>
      <c r="B1083" s="8"/>
      <c r="C1083" s="10"/>
      <c r="D1083" s="10"/>
      <c r="E1083" s="10"/>
      <c r="F1083" s="28">
        <v>1</v>
      </c>
      <c r="G1083" s="9">
        <f t="shared" si="293"/>
        <v>1</v>
      </c>
      <c r="H1083" s="58">
        <v>43279</v>
      </c>
      <c r="I1083" s="15" t="s">
        <v>20</v>
      </c>
      <c r="J1083" s="8"/>
      <c r="K1083" s="10"/>
      <c r="L1083" s="10"/>
      <c r="M1083" s="10"/>
      <c r="N1083" s="28"/>
      <c r="O1083" s="9">
        <f t="shared" si="295"/>
        <v>0</v>
      </c>
    </row>
    <row r="1084" spans="1:19" x14ac:dyDescent="0.15">
      <c r="A1084" s="38" t="s">
        <v>80</v>
      </c>
      <c r="B1084" s="8">
        <v>5</v>
      </c>
      <c r="C1084" s="10"/>
      <c r="D1084" s="10">
        <v>5</v>
      </c>
      <c r="E1084" s="10">
        <v>10</v>
      </c>
      <c r="F1084" s="28">
        <v>5</v>
      </c>
      <c r="G1084" s="9">
        <f t="shared" si="293"/>
        <v>25</v>
      </c>
      <c r="H1084" s="58">
        <v>43281</v>
      </c>
      <c r="I1084" s="15" t="s">
        <v>80</v>
      </c>
      <c r="J1084" s="8"/>
      <c r="K1084" s="10"/>
      <c r="L1084" s="10"/>
      <c r="M1084" s="10"/>
      <c r="N1084" s="28"/>
      <c r="O1084" s="9">
        <f t="shared" si="295"/>
        <v>0</v>
      </c>
    </row>
    <row r="1085" spans="1:19" x14ac:dyDescent="0.15">
      <c r="A1085" s="38" t="s">
        <v>81</v>
      </c>
      <c r="B1085" s="8"/>
      <c r="C1085" s="10"/>
      <c r="D1085" s="10"/>
      <c r="E1085" s="10">
        <v>5</v>
      </c>
      <c r="F1085" s="28">
        <v>5</v>
      </c>
      <c r="G1085" s="9">
        <f t="shared" si="293"/>
        <v>10</v>
      </c>
      <c r="H1085" s="58">
        <v>43287</v>
      </c>
      <c r="I1085" s="15" t="s">
        <v>81</v>
      </c>
      <c r="J1085" s="8"/>
      <c r="K1085" s="10"/>
      <c r="L1085" s="10"/>
      <c r="M1085" s="10"/>
      <c r="N1085" s="28"/>
      <c r="O1085" s="9">
        <f t="shared" si="295"/>
        <v>0</v>
      </c>
    </row>
    <row r="1086" spans="1:19" x14ac:dyDescent="0.15">
      <c r="A1086" s="38" t="s">
        <v>82</v>
      </c>
      <c r="B1086" s="8">
        <v>5</v>
      </c>
      <c r="C1086" s="10"/>
      <c r="D1086" s="10"/>
      <c r="E1086" s="10"/>
      <c r="F1086" s="30">
        <v>10</v>
      </c>
      <c r="G1086" s="7">
        <f t="shared" si="293"/>
        <v>15</v>
      </c>
      <c r="H1086" s="58">
        <v>43290</v>
      </c>
      <c r="I1086" s="20" t="s">
        <v>676</v>
      </c>
      <c r="J1086" s="8">
        <v>51</v>
      </c>
      <c r="K1086" s="10">
        <v>90</v>
      </c>
      <c r="L1086" s="10">
        <v>80</v>
      </c>
      <c r="M1086" s="10">
        <v>180</v>
      </c>
      <c r="N1086" s="30">
        <v>109</v>
      </c>
      <c r="O1086" s="7">
        <f t="shared" si="295"/>
        <v>510</v>
      </c>
      <c r="P1086" s="58" t="s">
        <v>677</v>
      </c>
      <c r="Q1086" s="56" t="s">
        <v>678</v>
      </c>
      <c r="R1086" s="56" t="s">
        <v>679</v>
      </c>
      <c r="S1086" s="56" t="s">
        <v>680</v>
      </c>
    </row>
    <row r="1087" spans="1:19" x14ac:dyDescent="0.15">
      <c r="A1087" s="38" t="s">
        <v>83</v>
      </c>
      <c r="B1087" s="11"/>
      <c r="C1087" s="100"/>
      <c r="D1087" s="100"/>
      <c r="E1087" s="100">
        <v>10</v>
      </c>
      <c r="F1087" s="101"/>
      <c r="G1087" s="102">
        <f t="shared" si="293"/>
        <v>10</v>
      </c>
      <c r="H1087" s="58">
        <v>43291</v>
      </c>
      <c r="I1087" s="15" t="s">
        <v>83</v>
      </c>
      <c r="J1087" s="8"/>
      <c r="K1087" s="10"/>
      <c r="L1087" s="10"/>
      <c r="M1087" s="10"/>
      <c r="N1087" s="30"/>
      <c r="O1087" s="7">
        <f t="shared" si="295"/>
        <v>0</v>
      </c>
      <c r="P1087" s="164"/>
    </row>
    <row r="1088" spans="1:19" ht="14.25" thickBot="1" x14ac:dyDescent="0.2">
      <c r="A1088" s="38" t="s">
        <v>159</v>
      </c>
      <c r="B1088" s="11"/>
      <c r="C1088" s="100"/>
      <c r="D1088" s="100"/>
      <c r="E1088" s="100"/>
      <c r="F1088" s="101"/>
      <c r="G1088" s="102">
        <f t="shared" si="293"/>
        <v>0</v>
      </c>
      <c r="I1088" s="15" t="s">
        <v>87</v>
      </c>
      <c r="J1088" s="11"/>
      <c r="K1088" s="100"/>
      <c r="L1088" s="100"/>
      <c r="M1088" s="100"/>
      <c r="N1088" s="101"/>
      <c r="O1088" s="102">
        <f t="shared" si="295"/>
        <v>0</v>
      </c>
    </row>
    <row r="1089" spans="1:19" ht="14.25" thickBot="1" x14ac:dyDescent="0.2">
      <c r="A1089" s="72" t="s">
        <v>7</v>
      </c>
      <c r="B1089" s="73">
        <f>SUM(B1079:B1088)</f>
        <v>25</v>
      </c>
      <c r="C1089" s="74">
        <f t="shared" ref="C1089:G1089" si="296">SUM(C1079:C1088)</f>
        <v>28</v>
      </c>
      <c r="D1089" s="74">
        <f t="shared" si="296"/>
        <v>21</v>
      </c>
      <c r="E1089" s="74">
        <f t="shared" si="296"/>
        <v>38</v>
      </c>
      <c r="F1089" s="105">
        <f t="shared" si="296"/>
        <v>36</v>
      </c>
      <c r="G1089" s="76">
        <f t="shared" si="296"/>
        <v>148</v>
      </c>
      <c r="I1089" s="72" t="s">
        <v>7</v>
      </c>
      <c r="J1089" s="73">
        <f>SUM(J1079:J1088)</f>
        <v>298</v>
      </c>
      <c r="K1089" s="74">
        <f t="shared" ref="K1089:O1089" si="297">SUM(K1079:K1088)</f>
        <v>326</v>
      </c>
      <c r="L1089" s="74">
        <f t="shared" si="297"/>
        <v>324</v>
      </c>
      <c r="M1089" s="74">
        <f t="shared" si="297"/>
        <v>375</v>
      </c>
      <c r="N1089" s="105">
        <f t="shared" si="297"/>
        <v>306</v>
      </c>
      <c r="O1089" s="76">
        <f t="shared" si="297"/>
        <v>1629</v>
      </c>
    </row>
    <row r="1090" spans="1:19" x14ac:dyDescent="0.15">
      <c r="A1090" s="14" t="s">
        <v>25</v>
      </c>
      <c r="B1090" s="8"/>
      <c r="C1090" s="10"/>
      <c r="D1090" s="10">
        <v>1</v>
      </c>
      <c r="E1090" s="10">
        <v>1</v>
      </c>
      <c r="F1090" s="30">
        <v>1</v>
      </c>
      <c r="G1090" s="7">
        <f t="shared" ref="G1090:G1115" si="298">SUM(B1090:F1090)</f>
        <v>3</v>
      </c>
      <c r="H1090" s="58">
        <v>43272</v>
      </c>
      <c r="I1090" s="16" t="s">
        <v>743</v>
      </c>
      <c r="J1090" s="17"/>
      <c r="K1090" s="22"/>
      <c r="L1090" s="22">
        <v>10</v>
      </c>
      <c r="M1090" s="22"/>
      <c r="N1090" s="29"/>
      <c r="O1090" s="18">
        <f t="shared" ref="O1090:O1115" si="299">SUM(J1090:N1090)</f>
        <v>10</v>
      </c>
      <c r="P1090" s="58">
        <v>43274</v>
      </c>
      <c r="Q1090" s="56"/>
    </row>
    <row r="1091" spans="1:19" x14ac:dyDescent="0.15">
      <c r="A1091" s="14" t="s">
        <v>29</v>
      </c>
      <c r="B1091" s="8">
        <v>1</v>
      </c>
      <c r="C1091" s="10"/>
      <c r="D1091" s="10"/>
      <c r="E1091" s="10"/>
      <c r="F1091" s="30"/>
      <c r="G1091" s="7">
        <f t="shared" si="298"/>
        <v>1</v>
      </c>
      <c r="H1091" s="58">
        <v>43271</v>
      </c>
      <c r="I1091" s="16" t="s">
        <v>743</v>
      </c>
      <c r="J1091" s="8">
        <v>5</v>
      </c>
      <c r="K1091" s="10"/>
      <c r="L1091" s="10">
        <v>5</v>
      </c>
      <c r="M1091" s="10">
        <v>10</v>
      </c>
      <c r="N1091" s="28">
        <v>5</v>
      </c>
      <c r="O1091" s="9">
        <f t="shared" si="299"/>
        <v>25</v>
      </c>
      <c r="P1091" s="58">
        <v>43281</v>
      </c>
      <c r="Q1091" s="56"/>
    </row>
    <row r="1092" spans="1:19" x14ac:dyDescent="0.15">
      <c r="A1092" s="14" t="s">
        <v>29</v>
      </c>
      <c r="B1092" s="8"/>
      <c r="C1092" s="10"/>
      <c r="D1092" s="10"/>
      <c r="E1092" s="10"/>
      <c r="F1092" s="30">
        <v>1</v>
      </c>
      <c r="G1092" s="7">
        <f t="shared" si="298"/>
        <v>1</v>
      </c>
      <c r="H1092" s="58">
        <v>43272</v>
      </c>
      <c r="I1092" s="16" t="s">
        <v>753</v>
      </c>
      <c r="J1092" s="8"/>
      <c r="K1092" s="10"/>
      <c r="L1092" s="10"/>
      <c r="M1092" s="10">
        <v>5</v>
      </c>
      <c r="N1092" s="30">
        <v>5</v>
      </c>
      <c r="O1092" s="7">
        <f t="shared" si="299"/>
        <v>10</v>
      </c>
      <c r="P1092" s="58">
        <v>43287</v>
      </c>
    </row>
    <row r="1093" spans="1:19" x14ac:dyDescent="0.15">
      <c r="A1093" s="14" t="s">
        <v>745</v>
      </c>
      <c r="B1093" s="8">
        <v>2</v>
      </c>
      <c r="C1093" s="10">
        <v>2</v>
      </c>
      <c r="D1093" s="10">
        <v>2</v>
      </c>
      <c r="E1093" s="10">
        <v>1</v>
      </c>
      <c r="F1093" s="30">
        <v>2</v>
      </c>
      <c r="G1093" s="7">
        <f t="shared" si="298"/>
        <v>9</v>
      </c>
      <c r="H1093" s="58">
        <v>43278</v>
      </c>
      <c r="I1093" s="16" t="s">
        <v>24</v>
      </c>
      <c r="J1093" s="8">
        <v>5</v>
      </c>
      <c r="K1093" s="10"/>
      <c r="L1093" s="10"/>
      <c r="M1093" s="10"/>
      <c r="N1093" s="30">
        <v>10</v>
      </c>
      <c r="O1093" s="7">
        <f t="shared" si="299"/>
        <v>15</v>
      </c>
      <c r="P1093" s="58">
        <v>43290</v>
      </c>
    </row>
    <row r="1094" spans="1:19" x14ac:dyDescent="0.15">
      <c r="A1094" s="14" t="s">
        <v>25</v>
      </c>
      <c r="B1094" s="8"/>
      <c r="C1094" s="10">
        <v>1</v>
      </c>
      <c r="D1094" s="10"/>
      <c r="E1094" s="10"/>
      <c r="F1094" s="30"/>
      <c r="G1094" s="7">
        <f t="shared" ref="G1094:G1099" si="300">SUM(B1094:F1094)</f>
        <v>1</v>
      </c>
      <c r="H1094" s="58">
        <v>43277</v>
      </c>
      <c r="I1094" s="16" t="s">
        <v>24</v>
      </c>
      <c r="J1094" s="8"/>
      <c r="K1094" s="10"/>
      <c r="L1094" s="10"/>
      <c r="M1094" s="10">
        <v>10</v>
      </c>
      <c r="N1094" s="30"/>
      <c r="O1094" s="7">
        <f t="shared" si="299"/>
        <v>10</v>
      </c>
      <c r="P1094" s="58">
        <v>43291</v>
      </c>
    </row>
    <row r="1095" spans="1:19" x14ac:dyDescent="0.15">
      <c r="A1095" s="16" t="s">
        <v>117</v>
      </c>
      <c r="B1095" s="8">
        <v>1</v>
      </c>
      <c r="C1095" s="10"/>
      <c r="D1095" s="10"/>
      <c r="E1095" s="10"/>
      <c r="F1095" s="30"/>
      <c r="G1095" s="7">
        <f t="shared" si="300"/>
        <v>1</v>
      </c>
      <c r="H1095" s="58">
        <v>43277</v>
      </c>
      <c r="I1095" s="14" t="s">
        <v>676</v>
      </c>
      <c r="J1095" s="8">
        <v>0</v>
      </c>
      <c r="K1095" s="10">
        <v>10</v>
      </c>
      <c r="L1095" s="10">
        <v>23</v>
      </c>
      <c r="M1095" s="10">
        <v>61</v>
      </c>
      <c r="N1095" s="30">
        <v>43</v>
      </c>
      <c r="O1095" s="9">
        <f t="shared" ref="O1095" si="301">SUM(J1095:N1095)</f>
        <v>137</v>
      </c>
      <c r="P1095" s="58" t="s">
        <v>677</v>
      </c>
      <c r="Q1095" s="56" t="s">
        <v>678</v>
      </c>
      <c r="R1095" s="56" t="s">
        <v>679</v>
      </c>
      <c r="S1095" s="56" t="s">
        <v>680</v>
      </c>
    </row>
    <row r="1096" spans="1:19" x14ac:dyDescent="0.15">
      <c r="A1096" s="14" t="s">
        <v>110</v>
      </c>
      <c r="B1096" s="8">
        <v>2</v>
      </c>
      <c r="C1096" s="10">
        <v>2</v>
      </c>
      <c r="D1096" s="10"/>
      <c r="E1096" s="10"/>
      <c r="F1096" s="30">
        <v>4</v>
      </c>
      <c r="G1096" s="7">
        <f t="shared" si="300"/>
        <v>8</v>
      </c>
      <c r="H1096" s="58">
        <v>43284</v>
      </c>
      <c r="I1096" s="16"/>
      <c r="J1096" s="37"/>
      <c r="K1096" s="35"/>
      <c r="L1096" s="35"/>
      <c r="M1096" s="35"/>
      <c r="N1096" s="28"/>
      <c r="O1096" s="7">
        <f t="shared" si="299"/>
        <v>0</v>
      </c>
    </row>
    <row r="1097" spans="1:19" x14ac:dyDescent="0.15">
      <c r="A1097" s="14" t="s">
        <v>30</v>
      </c>
      <c r="B1097" s="8"/>
      <c r="C1097" s="10"/>
      <c r="D1097" s="10">
        <v>2</v>
      </c>
      <c r="E1097" s="10">
        <v>1</v>
      </c>
      <c r="F1097" s="30"/>
      <c r="G1097" s="7">
        <f t="shared" si="300"/>
        <v>3</v>
      </c>
      <c r="H1097" s="58">
        <v>43279</v>
      </c>
      <c r="I1097" s="16"/>
      <c r="J1097" s="8"/>
      <c r="K1097" s="10"/>
      <c r="L1097" s="10"/>
      <c r="M1097" s="10"/>
      <c r="N1097" s="30"/>
      <c r="O1097" s="7">
        <f t="shared" si="299"/>
        <v>0</v>
      </c>
    </row>
    <row r="1098" spans="1:19" x14ac:dyDescent="0.15">
      <c r="A1098" s="51" t="s">
        <v>22</v>
      </c>
      <c r="B1098" s="8"/>
      <c r="C1098" s="10"/>
      <c r="D1098" s="10"/>
      <c r="E1098" s="10">
        <v>3</v>
      </c>
      <c r="F1098" s="30"/>
      <c r="G1098" s="7">
        <f t="shared" si="300"/>
        <v>3</v>
      </c>
      <c r="H1098" s="58">
        <v>43283</v>
      </c>
      <c r="I1098" s="39"/>
      <c r="J1098" s="8"/>
      <c r="K1098" s="10"/>
      <c r="L1098" s="10"/>
      <c r="M1098" s="10"/>
      <c r="N1098" s="30"/>
      <c r="O1098" s="7">
        <f t="shared" si="299"/>
        <v>0</v>
      </c>
    </row>
    <row r="1099" spans="1:19" x14ac:dyDescent="0.15">
      <c r="A1099" s="51" t="s">
        <v>29</v>
      </c>
      <c r="B1099" s="8">
        <v>1</v>
      </c>
      <c r="C1099" s="10"/>
      <c r="D1099" s="10"/>
      <c r="E1099" s="10"/>
      <c r="F1099" s="30"/>
      <c r="G1099" s="7">
        <f t="shared" si="300"/>
        <v>1</v>
      </c>
      <c r="H1099" s="58">
        <v>43277</v>
      </c>
      <c r="I1099" s="16"/>
      <c r="J1099" s="11"/>
      <c r="K1099" s="12"/>
      <c r="L1099" s="12"/>
      <c r="M1099" s="12"/>
      <c r="N1099" s="31"/>
      <c r="O1099" s="7">
        <f t="shared" si="299"/>
        <v>0</v>
      </c>
    </row>
    <row r="1100" spans="1:19" x14ac:dyDescent="0.15">
      <c r="A1100" s="14" t="s">
        <v>25</v>
      </c>
      <c r="B1100" s="11"/>
      <c r="C1100" s="12"/>
      <c r="D1100" s="12">
        <v>1</v>
      </c>
      <c r="E1100" s="12">
        <v>1</v>
      </c>
      <c r="F1100" s="31"/>
      <c r="G1100" s="7">
        <f t="shared" si="298"/>
        <v>2</v>
      </c>
      <c r="H1100" s="58">
        <v>43279</v>
      </c>
      <c r="I1100" s="16"/>
      <c r="J1100" s="8"/>
      <c r="K1100" s="10"/>
      <c r="L1100" s="10"/>
      <c r="M1100" s="10"/>
      <c r="N1100" s="30"/>
      <c r="O1100" s="7">
        <f t="shared" si="299"/>
        <v>0</v>
      </c>
    </row>
    <row r="1101" spans="1:19" x14ac:dyDescent="0.15">
      <c r="A1101" s="14" t="s">
        <v>748</v>
      </c>
      <c r="B1101" s="8"/>
      <c r="C1101" s="10">
        <v>1</v>
      </c>
      <c r="D1101" s="10"/>
      <c r="E1101" s="10">
        <v>1</v>
      </c>
      <c r="F1101" s="30"/>
      <c r="G1101" s="7">
        <f t="shared" si="298"/>
        <v>2</v>
      </c>
      <c r="H1101" s="58">
        <v>43280</v>
      </c>
      <c r="I1101" s="39"/>
      <c r="J1101" s="8"/>
      <c r="K1101" s="10"/>
      <c r="L1101" s="10"/>
      <c r="M1101" s="10"/>
      <c r="N1101" s="30"/>
      <c r="O1101" s="7">
        <f t="shared" si="299"/>
        <v>0</v>
      </c>
    </row>
    <row r="1102" spans="1:19" x14ac:dyDescent="0.15">
      <c r="A1102" s="51" t="s">
        <v>29</v>
      </c>
      <c r="B1102" s="8"/>
      <c r="C1102" s="10"/>
      <c r="D1102" s="10">
        <v>1</v>
      </c>
      <c r="E1102" s="10"/>
      <c r="F1102" s="30"/>
      <c r="G1102" s="7">
        <f t="shared" si="298"/>
        <v>1</v>
      </c>
      <c r="H1102" s="58">
        <v>43279</v>
      </c>
      <c r="I1102" s="16"/>
      <c r="J1102" s="8"/>
      <c r="K1102" s="10"/>
      <c r="L1102" s="10"/>
      <c r="M1102" s="10"/>
      <c r="N1102" s="30"/>
      <c r="O1102" s="7">
        <f t="shared" si="299"/>
        <v>0</v>
      </c>
    </row>
    <row r="1103" spans="1:19" x14ac:dyDescent="0.15">
      <c r="A1103" s="14" t="s">
        <v>749</v>
      </c>
      <c r="B1103" s="8">
        <v>1</v>
      </c>
      <c r="C1103" s="10"/>
      <c r="D1103" s="10"/>
      <c r="E1103" s="10"/>
      <c r="F1103" s="30"/>
      <c r="G1103" s="7">
        <f t="shared" si="298"/>
        <v>1</v>
      </c>
      <c r="H1103" s="58">
        <v>43280</v>
      </c>
      <c r="I1103" s="16"/>
      <c r="J1103" s="8"/>
      <c r="K1103" s="10"/>
      <c r="L1103" s="10"/>
      <c r="M1103" s="10"/>
      <c r="N1103" s="30"/>
      <c r="O1103" s="7">
        <f t="shared" si="299"/>
        <v>0</v>
      </c>
    </row>
    <row r="1104" spans="1:19" x14ac:dyDescent="0.15">
      <c r="A1104" s="14" t="s">
        <v>110</v>
      </c>
      <c r="B1104" s="8"/>
      <c r="C1104" s="10"/>
      <c r="D1104" s="10"/>
      <c r="E1104" s="10">
        <v>6</v>
      </c>
      <c r="F1104" s="30">
        <v>5</v>
      </c>
      <c r="G1104" s="7">
        <f t="shared" si="298"/>
        <v>11</v>
      </c>
      <c r="H1104" s="58">
        <v>43287</v>
      </c>
      <c r="I1104" s="141"/>
      <c r="J1104" s="8"/>
      <c r="K1104" s="10"/>
      <c r="L1104" s="10"/>
      <c r="M1104" s="10"/>
      <c r="N1104" s="30"/>
      <c r="O1104" s="7">
        <f t="shared" si="299"/>
        <v>0</v>
      </c>
      <c r="P1104" s="56"/>
    </row>
    <row r="1105" spans="1:19" x14ac:dyDescent="0.15">
      <c r="A1105" s="14" t="s">
        <v>751</v>
      </c>
      <c r="B1105" s="8"/>
      <c r="C1105" s="10">
        <v>1</v>
      </c>
      <c r="D1105" s="10"/>
      <c r="E1105" s="10"/>
      <c r="F1105" s="30"/>
      <c r="G1105" s="7">
        <f t="shared" si="298"/>
        <v>1</v>
      </c>
      <c r="H1105" s="58">
        <v>43283</v>
      </c>
      <c r="I1105" s="14"/>
      <c r="J1105" s="8"/>
      <c r="K1105" s="10"/>
      <c r="L1105" s="10"/>
      <c r="M1105" s="10"/>
      <c r="N1105" s="30"/>
      <c r="O1105" s="7">
        <f t="shared" si="299"/>
        <v>0</v>
      </c>
      <c r="P1105" s="56"/>
    </row>
    <row r="1106" spans="1:19" x14ac:dyDescent="0.15">
      <c r="A1106" s="14" t="s">
        <v>141</v>
      </c>
      <c r="B1106" s="8">
        <v>1</v>
      </c>
      <c r="C1106" s="10"/>
      <c r="D1106" s="10"/>
      <c r="E1106" s="10"/>
      <c r="F1106" s="30"/>
      <c r="G1106" s="7">
        <f t="shared" si="298"/>
        <v>1</v>
      </c>
      <c r="H1106" s="58">
        <v>43285</v>
      </c>
      <c r="I1106" s="16"/>
      <c r="J1106" s="11"/>
      <c r="K1106" s="12"/>
      <c r="L1106" s="12"/>
      <c r="M1106" s="12"/>
      <c r="N1106" s="31"/>
      <c r="O1106" s="7">
        <f t="shared" si="299"/>
        <v>0</v>
      </c>
      <c r="P1106" s="56"/>
    </row>
    <row r="1107" spans="1:19" x14ac:dyDescent="0.15">
      <c r="A1107" s="14" t="s">
        <v>141</v>
      </c>
      <c r="B1107" s="8"/>
      <c r="C1107" s="10">
        <v>1</v>
      </c>
      <c r="D1107" s="10"/>
      <c r="E1107" s="10"/>
      <c r="F1107" s="30"/>
      <c r="G1107" s="7">
        <f t="shared" si="298"/>
        <v>1</v>
      </c>
      <c r="H1107" s="58">
        <v>43286</v>
      </c>
      <c r="I1107" s="14"/>
      <c r="J1107" s="8"/>
      <c r="K1107" s="10"/>
      <c r="L1107" s="10"/>
      <c r="M1107" s="10"/>
      <c r="N1107" s="30"/>
      <c r="O1107" s="7">
        <f t="shared" si="299"/>
        <v>0</v>
      </c>
      <c r="P1107" s="56"/>
    </row>
    <row r="1108" spans="1:19" x14ac:dyDescent="0.15">
      <c r="A1108" s="64" t="s">
        <v>688</v>
      </c>
      <c r="B1108" s="8">
        <v>2</v>
      </c>
      <c r="C1108" s="10"/>
      <c r="D1108" s="10"/>
      <c r="E1108" s="10"/>
      <c r="F1108" s="30"/>
      <c r="G1108" s="7">
        <f t="shared" si="298"/>
        <v>2</v>
      </c>
      <c r="H1108" s="58">
        <v>43290</v>
      </c>
      <c r="I1108" s="14"/>
      <c r="J1108" s="8"/>
      <c r="K1108" s="10"/>
      <c r="L1108" s="10"/>
      <c r="M1108" s="10"/>
      <c r="N1108" s="30"/>
      <c r="O1108" s="7">
        <f t="shared" si="299"/>
        <v>0</v>
      </c>
      <c r="P1108" s="58"/>
    </row>
    <row r="1109" spans="1:19" x14ac:dyDescent="0.15">
      <c r="A1109" s="14" t="s">
        <v>754</v>
      </c>
      <c r="B1109" s="8"/>
      <c r="C1109" s="10"/>
      <c r="D1109" s="10"/>
      <c r="E1109" s="10">
        <v>1</v>
      </c>
      <c r="F1109" s="30"/>
      <c r="G1109" s="7">
        <f t="shared" si="298"/>
        <v>1</v>
      </c>
      <c r="H1109" s="58">
        <v>43285</v>
      </c>
      <c r="I1109" s="16"/>
      <c r="J1109" s="8"/>
      <c r="K1109" s="10"/>
      <c r="L1109" s="10"/>
      <c r="M1109" s="10"/>
      <c r="N1109" s="30"/>
      <c r="O1109" s="7">
        <f t="shared" si="299"/>
        <v>0</v>
      </c>
      <c r="P1109" s="58"/>
    </row>
    <row r="1110" spans="1:19" x14ac:dyDescent="0.15">
      <c r="A1110" s="14" t="s">
        <v>110</v>
      </c>
      <c r="B1110" s="8"/>
      <c r="C1110" s="10"/>
      <c r="D1110" s="10">
        <v>2</v>
      </c>
      <c r="E1110" s="10"/>
      <c r="F1110" s="30"/>
      <c r="G1110" s="7">
        <f t="shared" si="298"/>
        <v>2</v>
      </c>
      <c r="H1110" s="58">
        <v>43291</v>
      </c>
      <c r="I1110" s="16"/>
      <c r="J1110" s="8"/>
      <c r="K1110" s="10"/>
      <c r="L1110" s="10"/>
      <c r="M1110" s="10"/>
      <c r="N1110" s="30"/>
      <c r="O1110" s="7">
        <f t="shared" si="299"/>
        <v>0</v>
      </c>
      <c r="P1110" s="58"/>
    </row>
    <row r="1111" spans="1:19" x14ac:dyDescent="0.15">
      <c r="A1111" s="14" t="s">
        <v>182</v>
      </c>
      <c r="B1111" s="11"/>
      <c r="C1111" s="12"/>
      <c r="D1111" s="12"/>
      <c r="E1111" s="12">
        <v>3</v>
      </c>
      <c r="F1111" s="31"/>
      <c r="G1111" s="7">
        <f t="shared" si="298"/>
        <v>3</v>
      </c>
      <c r="H1111" s="58">
        <v>43287</v>
      </c>
      <c r="I1111" s="16"/>
      <c r="J1111" s="8"/>
      <c r="K1111" s="10"/>
      <c r="L1111" s="10"/>
      <c r="M1111" s="10"/>
      <c r="N1111" s="30"/>
      <c r="O1111" s="7">
        <f t="shared" si="299"/>
        <v>0</v>
      </c>
      <c r="P1111" s="58"/>
    </row>
    <row r="1112" spans="1:19" x14ac:dyDescent="0.15">
      <c r="A1112" s="14" t="s">
        <v>30</v>
      </c>
      <c r="B1112" s="8"/>
      <c r="C1112" s="10">
        <v>1</v>
      </c>
      <c r="D1112" s="10"/>
      <c r="E1112" s="10"/>
      <c r="F1112" s="30">
        <v>1</v>
      </c>
      <c r="G1112" s="7">
        <f t="shared" si="298"/>
        <v>2</v>
      </c>
      <c r="H1112" s="58">
        <v>43290</v>
      </c>
      <c r="I1112" s="16"/>
      <c r="J1112" s="8"/>
      <c r="K1112" s="10"/>
      <c r="L1112" s="10"/>
      <c r="M1112" s="10"/>
      <c r="N1112" s="30"/>
      <c r="O1112" s="7">
        <f t="shared" si="299"/>
        <v>0</v>
      </c>
      <c r="P1112" s="58"/>
    </row>
    <row r="1113" spans="1:19" x14ac:dyDescent="0.15">
      <c r="A1113" s="51" t="s">
        <v>22</v>
      </c>
      <c r="B1113" s="8"/>
      <c r="C1113" s="10"/>
      <c r="D1113" s="10"/>
      <c r="E1113" s="10"/>
      <c r="F1113" s="30">
        <v>10</v>
      </c>
      <c r="G1113" s="7">
        <f t="shared" si="298"/>
        <v>10</v>
      </c>
      <c r="H1113" s="58">
        <v>43294</v>
      </c>
      <c r="I1113" s="141"/>
      <c r="J1113" s="8"/>
      <c r="K1113" s="10"/>
      <c r="L1113" s="10"/>
      <c r="M1113" s="10"/>
      <c r="N1113" s="30"/>
      <c r="O1113" s="7">
        <f t="shared" si="299"/>
        <v>0</v>
      </c>
      <c r="P1113" s="56"/>
    </row>
    <row r="1114" spans="1:19" x14ac:dyDescent="0.15">
      <c r="A1114" s="14" t="s">
        <v>182</v>
      </c>
      <c r="B1114" s="8"/>
      <c r="C1114" s="10"/>
      <c r="D1114" s="10"/>
      <c r="E1114" s="10">
        <v>5</v>
      </c>
      <c r="F1114" s="30"/>
      <c r="G1114" s="7">
        <f t="shared" si="298"/>
        <v>5</v>
      </c>
      <c r="H1114" s="58">
        <v>43291</v>
      </c>
      <c r="I1114" s="62"/>
      <c r="J1114" s="8"/>
      <c r="K1114" s="10"/>
      <c r="L1114" s="10"/>
      <c r="M1114" s="10"/>
      <c r="N1114" s="30"/>
      <c r="O1114" s="7">
        <f t="shared" si="299"/>
        <v>0</v>
      </c>
      <c r="P1114" s="56"/>
    </row>
    <row r="1115" spans="1:19" ht="14.25" thickBot="1" x14ac:dyDescent="0.2">
      <c r="A1115" s="14" t="s">
        <v>25</v>
      </c>
      <c r="B1115" s="11">
        <v>2</v>
      </c>
      <c r="C1115" s="12">
        <v>3</v>
      </c>
      <c r="D1115" s="12">
        <v>2</v>
      </c>
      <c r="E1115" s="12">
        <v>2</v>
      </c>
      <c r="F1115" s="31"/>
      <c r="G1115" s="7">
        <f t="shared" si="298"/>
        <v>9</v>
      </c>
      <c r="H1115" s="58">
        <v>43291</v>
      </c>
      <c r="I1115" s="20"/>
      <c r="J1115" s="8"/>
      <c r="K1115" s="10"/>
      <c r="L1115" s="10"/>
      <c r="M1115" s="10"/>
      <c r="N1115" s="30"/>
      <c r="O1115" s="7">
        <f t="shared" si="299"/>
        <v>0</v>
      </c>
      <c r="P1115" s="58"/>
      <c r="Q1115" s="145"/>
      <c r="R1115" s="145"/>
      <c r="S1115" s="145"/>
    </row>
    <row r="1116" spans="1:19" ht="14.25" thickBot="1" x14ac:dyDescent="0.2">
      <c r="A1116" s="3" t="s">
        <v>11</v>
      </c>
      <c r="B1116" s="23">
        <f>SUM(B1090:B1115)</f>
        <v>13</v>
      </c>
      <c r="C1116" s="4">
        <f>SUM(C1090:C1115)</f>
        <v>12</v>
      </c>
      <c r="D1116" s="4">
        <f>SUM(D1090:D1115)</f>
        <v>11</v>
      </c>
      <c r="E1116" s="6">
        <f>SUM(E1090:E1115)</f>
        <v>25</v>
      </c>
      <c r="F1116" s="32">
        <f>SUM(F1090:F1115)</f>
        <v>24</v>
      </c>
      <c r="G1116" s="5">
        <f>SUM(B1116:F1116)</f>
        <v>85</v>
      </c>
      <c r="I1116" s="3" t="s">
        <v>11</v>
      </c>
      <c r="J1116" s="23">
        <f>SUM(J1090:J1115)</f>
        <v>10</v>
      </c>
      <c r="K1116" s="4">
        <f>SUM(K1090:K1115)</f>
        <v>10</v>
      </c>
      <c r="L1116" s="4">
        <f>SUM(L1090:L1115)</f>
        <v>38</v>
      </c>
      <c r="M1116" s="6">
        <f>SUM(M1090:M1115)</f>
        <v>86</v>
      </c>
      <c r="N1116" s="6">
        <f>SUM(N1090:N1115)</f>
        <v>63</v>
      </c>
      <c r="O1116" s="5">
        <f>SUM(J1116:N1116)</f>
        <v>207</v>
      </c>
    </row>
    <row r="1117" spans="1:19" ht="14.25" thickBot="1" x14ac:dyDescent="0.2">
      <c r="A1117" s="25" t="s">
        <v>12</v>
      </c>
      <c r="B1117" s="63">
        <f>B1089-B1116</f>
        <v>12</v>
      </c>
      <c r="C1117" s="26">
        <f t="shared" ref="C1117:G1117" si="302">C1089-C1116</f>
        <v>16</v>
      </c>
      <c r="D1117" s="71">
        <f t="shared" si="302"/>
        <v>10</v>
      </c>
      <c r="E1117" s="26">
        <f t="shared" si="302"/>
        <v>13</v>
      </c>
      <c r="F1117" s="70">
        <f t="shared" si="302"/>
        <v>12</v>
      </c>
      <c r="G1117" s="27">
        <f t="shared" si="302"/>
        <v>63</v>
      </c>
      <c r="I1117" s="25" t="s">
        <v>12</v>
      </c>
      <c r="J1117" s="63">
        <f>J1089-J1116</f>
        <v>288</v>
      </c>
      <c r="K1117" s="26">
        <f t="shared" ref="K1117:O1117" si="303">K1089-K1116</f>
        <v>316</v>
      </c>
      <c r="L1117" s="71">
        <f t="shared" si="303"/>
        <v>286</v>
      </c>
      <c r="M1117" s="26">
        <f t="shared" si="303"/>
        <v>289</v>
      </c>
      <c r="N1117" s="70">
        <f t="shared" si="303"/>
        <v>243</v>
      </c>
      <c r="O1117" s="27">
        <f t="shared" si="303"/>
        <v>1422</v>
      </c>
    </row>
    <row r="1118" spans="1:19" ht="17.25" x14ac:dyDescent="0.2">
      <c r="A1118" s="79" t="s">
        <v>56</v>
      </c>
      <c r="B1118" s="80"/>
      <c r="C1118" s="80"/>
      <c r="D1118" s="80"/>
      <c r="E1118" s="80"/>
      <c r="F1118" s="80"/>
      <c r="G1118" s="80"/>
      <c r="I1118" s="79" t="s">
        <v>56</v>
      </c>
      <c r="J1118" s="80"/>
      <c r="K1118" s="80"/>
      <c r="L1118" s="80"/>
      <c r="M1118" s="80"/>
      <c r="N1118" s="80"/>
      <c r="O1118" s="1"/>
    </row>
    <row r="1119" spans="1:19" ht="21.75" thickBot="1" x14ac:dyDescent="0.25">
      <c r="A1119" s="82" t="s">
        <v>55</v>
      </c>
      <c r="B1119" s="80"/>
      <c r="C1119" s="80"/>
      <c r="D1119" s="80"/>
      <c r="E1119" s="81" t="s">
        <v>53</v>
      </c>
      <c r="F1119" s="80"/>
      <c r="G1119" s="80"/>
      <c r="I1119" s="82" t="s">
        <v>55</v>
      </c>
      <c r="J1119" s="80"/>
      <c r="K1119" s="80"/>
      <c r="L1119" s="80"/>
      <c r="M1119" s="81" t="s">
        <v>54</v>
      </c>
      <c r="N1119" s="80"/>
      <c r="O1119" s="1"/>
    </row>
    <row r="1120" spans="1:19" ht="14.25" thickBot="1" x14ac:dyDescent="0.2">
      <c r="A1120" s="13" t="s">
        <v>0</v>
      </c>
      <c r="B1120" s="228" t="s">
        <v>57</v>
      </c>
      <c r="C1120" s="229"/>
      <c r="D1120" s="229"/>
      <c r="E1120" s="229"/>
      <c r="F1120" s="230"/>
      <c r="G1120" s="231"/>
      <c r="I1120" s="13" t="s">
        <v>0</v>
      </c>
      <c r="J1120" s="232" t="s">
        <v>57</v>
      </c>
      <c r="K1120" s="233"/>
      <c r="L1120" s="233"/>
      <c r="M1120" s="233"/>
      <c r="N1120" s="233"/>
      <c r="O1120" s="234"/>
    </row>
    <row r="1121" spans="1:16" ht="14.25" thickBot="1" x14ac:dyDescent="0.2">
      <c r="A1121" s="3" t="s">
        <v>1</v>
      </c>
      <c r="B1121" s="2" t="s">
        <v>42</v>
      </c>
      <c r="C1121" s="21" t="s">
        <v>43</v>
      </c>
      <c r="D1121" s="21" t="s">
        <v>44</v>
      </c>
      <c r="E1121" s="24" t="s">
        <v>45</v>
      </c>
      <c r="F1121" s="33" t="s">
        <v>46</v>
      </c>
      <c r="G1121" s="3" t="s">
        <v>2</v>
      </c>
      <c r="I1121" s="3" t="s">
        <v>1</v>
      </c>
      <c r="J1121" s="2" t="s">
        <v>42</v>
      </c>
      <c r="K1121" s="21" t="s">
        <v>43</v>
      </c>
      <c r="L1121" s="21" t="s">
        <v>44</v>
      </c>
      <c r="M1121" s="24" t="s">
        <v>45</v>
      </c>
      <c r="N1121" s="33" t="s">
        <v>46</v>
      </c>
      <c r="O1121" s="3" t="s">
        <v>2</v>
      </c>
    </row>
    <row r="1122" spans="1:16" ht="14.25" thickBot="1" x14ac:dyDescent="0.2">
      <c r="A1122" s="72" t="s">
        <v>79</v>
      </c>
      <c r="B1122" s="73">
        <f>B1117</f>
        <v>12</v>
      </c>
      <c r="C1122" s="74">
        <f t="shared" ref="C1122:F1122" si="304">C1117</f>
        <v>16</v>
      </c>
      <c r="D1122" s="107">
        <f t="shared" si="304"/>
        <v>10</v>
      </c>
      <c r="E1122" s="75">
        <f t="shared" si="304"/>
        <v>13</v>
      </c>
      <c r="F1122" s="75">
        <f t="shared" si="304"/>
        <v>12</v>
      </c>
      <c r="G1122" s="76">
        <f t="shared" ref="G1122:G1131" si="305">SUM(B1122:F1122)</f>
        <v>63</v>
      </c>
      <c r="I1122" s="72" t="s">
        <v>79</v>
      </c>
      <c r="J1122" s="73">
        <f>J1117</f>
        <v>288</v>
      </c>
      <c r="K1122" s="74">
        <f t="shared" ref="K1122:N1122" si="306">K1117</f>
        <v>316</v>
      </c>
      <c r="L1122" s="107">
        <f t="shared" si="306"/>
        <v>286</v>
      </c>
      <c r="M1122" s="75">
        <f t="shared" si="306"/>
        <v>289</v>
      </c>
      <c r="N1122" s="75">
        <f t="shared" si="306"/>
        <v>243</v>
      </c>
      <c r="O1122" s="76">
        <f t="shared" ref="O1122:O1131" si="307">SUM(J1122:N1122)</f>
        <v>1422</v>
      </c>
    </row>
    <row r="1123" spans="1:16" x14ac:dyDescent="0.15">
      <c r="A1123" s="38" t="s">
        <v>17</v>
      </c>
      <c r="B1123" s="37"/>
      <c r="C1123" s="35"/>
      <c r="D1123" s="35"/>
      <c r="E1123" s="35"/>
      <c r="F1123" s="28">
        <v>1</v>
      </c>
      <c r="G1123" s="7">
        <f t="shared" si="305"/>
        <v>1</v>
      </c>
      <c r="H1123" s="58">
        <v>43290</v>
      </c>
      <c r="I1123" s="38" t="s">
        <v>15</v>
      </c>
      <c r="J1123" s="8"/>
      <c r="K1123" s="10"/>
      <c r="L1123" s="10"/>
      <c r="M1123" s="10"/>
      <c r="N1123" s="30"/>
      <c r="O1123" s="7">
        <f t="shared" si="307"/>
        <v>0</v>
      </c>
    </row>
    <row r="1124" spans="1:16" x14ac:dyDescent="0.15">
      <c r="A1124" s="38" t="s">
        <v>16</v>
      </c>
      <c r="B1124" s="8">
        <v>5</v>
      </c>
      <c r="C1124" s="10"/>
      <c r="D1124" s="10">
        <v>5</v>
      </c>
      <c r="E1124" s="10">
        <v>5</v>
      </c>
      <c r="F1124" s="28">
        <v>5</v>
      </c>
      <c r="G1124" s="9">
        <f t="shared" si="305"/>
        <v>20</v>
      </c>
      <c r="H1124" s="58">
        <v>43295</v>
      </c>
      <c r="I1124" s="15" t="s">
        <v>3</v>
      </c>
      <c r="J1124" s="8"/>
      <c r="K1124" s="10"/>
      <c r="L1124" s="10"/>
      <c r="M1124" s="10"/>
      <c r="N1124" s="28"/>
      <c r="O1124" s="9">
        <f t="shared" si="307"/>
        <v>0</v>
      </c>
    </row>
    <row r="1125" spans="1:16" x14ac:dyDescent="0.15">
      <c r="A1125" s="38" t="s">
        <v>18</v>
      </c>
      <c r="B1125" s="8"/>
      <c r="C1125" s="10">
        <v>10</v>
      </c>
      <c r="D1125" s="10">
        <v>5</v>
      </c>
      <c r="E1125" s="10">
        <v>10</v>
      </c>
      <c r="F1125" s="28"/>
      <c r="G1125" s="9">
        <f t="shared" si="305"/>
        <v>25</v>
      </c>
      <c r="H1125" s="58">
        <v>43298</v>
      </c>
      <c r="I1125" s="15" t="s">
        <v>18</v>
      </c>
      <c r="J1125" s="8"/>
      <c r="K1125" s="10"/>
      <c r="L1125" s="10"/>
      <c r="M1125" s="10"/>
      <c r="N1125" s="28"/>
      <c r="O1125" s="9">
        <f t="shared" si="307"/>
        <v>0</v>
      </c>
    </row>
    <row r="1126" spans="1:16" x14ac:dyDescent="0.15">
      <c r="A1126" s="38" t="s">
        <v>20</v>
      </c>
      <c r="B1126" s="8"/>
      <c r="C1126" s="10">
        <v>15</v>
      </c>
      <c r="D1126" s="10"/>
      <c r="E1126" s="10"/>
      <c r="F1126" s="28"/>
      <c r="G1126" s="9">
        <f t="shared" si="305"/>
        <v>15</v>
      </c>
      <c r="H1126" s="58">
        <v>43300</v>
      </c>
      <c r="I1126" s="15" t="s">
        <v>20</v>
      </c>
      <c r="J1126" s="8"/>
      <c r="K1126" s="10"/>
      <c r="L1126" s="10"/>
      <c r="M1126" s="10"/>
      <c r="N1126" s="28"/>
      <c r="O1126" s="9">
        <f t="shared" si="307"/>
        <v>0</v>
      </c>
    </row>
    <row r="1127" spans="1:16" x14ac:dyDescent="0.15">
      <c r="A1127" s="38" t="s">
        <v>271</v>
      </c>
      <c r="B1127" s="8"/>
      <c r="C1127" s="10"/>
      <c r="D1127" s="10">
        <v>1</v>
      </c>
      <c r="E1127" s="10"/>
      <c r="F1127" s="28"/>
      <c r="G1127" s="9">
        <f t="shared" si="305"/>
        <v>1</v>
      </c>
      <c r="H1127" s="57">
        <v>43300</v>
      </c>
      <c r="I1127" s="15" t="s">
        <v>80</v>
      </c>
      <c r="J1127" s="8"/>
      <c r="K1127" s="10"/>
      <c r="L1127" s="10"/>
      <c r="M1127" s="10"/>
      <c r="N1127" s="28"/>
      <c r="O1127" s="9">
        <f t="shared" si="307"/>
        <v>0</v>
      </c>
    </row>
    <row r="1128" spans="1:16" x14ac:dyDescent="0.15">
      <c r="A1128" s="38" t="s">
        <v>81</v>
      </c>
      <c r="B1128" s="8"/>
      <c r="C1128" s="10"/>
      <c r="D1128" s="10">
        <v>10</v>
      </c>
      <c r="E1128" s="10">
        <v>10</v>
      </c>
      <c r="F1128" s="28"/>
      <c r="G1128" s="9">
        <f t="shared" si="305"/>
        <v>20</v>
      </c>
      <c r="H1128" s="58">
        <v>43302</v>
      </c>
      <c r="I1128" s="15" t="s">
        <v>81</v>
      </c>
      <c r="J1128" s="8"/>
      <c r="K1128" s="10"/>
      <c r="L1128" s="10"/>
      <c r="M1128" s="10"/>
      <c r="N1128" s="28"/>
      <c r="O1128" s="9">
        <f t="shared" si="307"/>
        <v>0</v>
      </c>
    </row>
    <row r="1129" spans="1:16" x14ac:dyDescent="0.15">
      <c r="A1129" s="38" t="s">
        <v>19</v>
      </c>
      <c r="B1129" s="8"/>
      <c r="C1129" s="10"/>
      <c r="D1129" s="10"/>
      <c r="E1129" s="10"/>
      <c r="F1129" s="30">
        <v>2</v>
      </c>
      <c r="G1129" s="7">
        <f t="shared" si="305"/>
        <v>2</v>
      </c>
      <c r="H1129" s="57">
        <v>43301</v>
      </c>
      <c r="I1129" s="15" t="s">
        <v>82</v>
      </c>
      <c r="J1129" s="8"/>
      <c r="K1129" s="10"/>
      <c r="L1129" s="10"/>
      <c r="M1129" s="10"/>
      <c r="N1129" s="30"/>
      <c r="O1129" s="7">
        <f t="shared" si="307"/>
        <v>0</v>
      </c>
      <c r="P1129" s="58"/>
    </row>
    <row r="1130" spans="1:16" x14ac:dyDescent="0.15">
      <c r="A1130" s="38" t="s">
        <v>83</v>
      </c>
      <c r="B1130" s="11"/>
      <c r="C1130" s="100">
        <v>5</v>
      </c>
      <c r="D1130" s="100">
        <v>5</v>
      </c>
      <c r="E1130" s="100"/>
      <c r="F1130" s="101">
        <v>5</v>
      </c>
      <c r="G1130" s="102">
        <f t="shared" si="305"/>
        <v>15</v>
      </c>
      <c r="H1130" s="58">
        <v>43306</v>
      </c>
      <c r="I1130" s="15" t="s">
        <v>83</v>
      </c>
      <c r="J1130" s="8"/>
      <c r="K1130" s="10"/>
      <c r="L1130" s="10"/>
      <c r="M1130" s="10"/>
      <c r="N1130" s="30"/>
      <c r="O1130" s="7">
        <f t="shared" si="307"/>
        <v>0</v>
      </c>
      <c r="P1130" s="56"/>
    </row>
    <row r="1131" spans="1:16" ht="14.25" thickBot="1" x14ac:dyDescent="0.2">
      <c r="A1131" s="38" t="s">
        <v>159</v>
      </c>
      <c r="B1131" s="11"/>
      <c r="C1131" s="100"/>
      <c r="D1131" s="100"/>
      <c r="E1131" s="100"/>
      <c r="F1131" s="101"/>
      <c r="G1131" s="102">
        <f t="shared" si="305"/>
        <v>0</v>
      </c>
      <c r="I1131" s="15" t="s">
        <v>87</v>
      </c>
      <c r="J1131" s="11"/>
      <c r="K1131" s="100"/>
      <c r="L1131" s="100"/>
      <c r="M1131" s="100"/>
      <c r="N1131" s="101"/>
      <c r="O1131" s="102">
        <f t="shared" si="307"/>
        <v>0</v>
      </c>
    </row>
    <row r="1132" spans="1:16" ht="14.25" thickBot="1" x14ac:dyDescent="0.2">
      <c r="A1132" s="72" t="s">
        <v>7</v>
      </c>
      <c r="B1132" s="73">
        <f>SUM(B1122:B1131)</f>
        <v>17</v>
      </c>
      <c r="C1132" s="74">
        <f t="shared" ref="C1132:G1132" si="308">SUM(C1122:C1131)</f>
        <v>46</v>
      </c>
      <c r="D1132" s="74">
        <f t="shared" si="308"/>
        <v>36</v>
      </c>
      <c r="E1132" s="74">
        <f t="shared" si="308"/>
        <v>38</v>
      </c>
      <c r="F1132" s="105">
        <f t="shared" si="308"/>
        <v>25</v>
      </c>
      <c r="G1132" s="76">
        <f t="shared" si="308"/>
        <v>162</v>
      </c>
      <c r="I1132" s="72" t="s">
        <v>7</v>
      </c>
      <c r="J1132" s="73">
        <f>SUM(J1122:J1131)</f>
        <v>288</v>
      </c>
      <c r="K1132" s="74">
        <f t="shared" ref="K1132:O1132" si="309">SUM(K1122:K1131)</f>
        <v>316</v>
      </c>
      <c r="L1132" s="74">
        <f t="shared" si="309"/>
        <v>286</v>
      </c>
      <c r="M1132" s="74">
        <f t="shared" si="309"/>
        <v>289</v>
      </c>
      <c r="N1132" s="105">
        <f t="shared" si="309"/>
        <v>243</v>
      </c>
      <c r="O1132" s="76">
        <f t="shared" si="309"/>
        <v>1422</v>
      </c>
    </row>
    <row r="1133" spans="1:16" x14ac:dyDescent="0.15">
      <c r="A1133" s="14" t="s">
        <v>30</v>
      </c>
      <c r="B1133" s="8"/>
      <c r="C1133" s="10"/>
      <c r="D1133" s="10">
        <v>1</v>
      </c>
      <c r="E1133" s="10"/>
      <c r="F1133" s="30">
        <v>1</v>
      </c>
      <c r="G1133" s="7">
        <f t="shared" ref="G1133:G1158" si="310">SUM(B1133:F1133)</f>
        <v>2</v>
      </c>
      <c r="H1133" s="58">
        <v>43293</v>
      </c>
      <c r="I1133" s="16" t="s">
        <v>767</v>
      </c>
      <c r="J1133" s="17">
        <v>5</v>
      </c>
      <c r="K1133" s="22"/>
      <c r="L1133" s="22">
        <v>5</v>
      </c>
      <c r="M1133" s="22">
        <v>5</v>
      </c>
      <c r="N1133" s="29">
        <v>5</v>
      </c>
      <c r="O1133" s="18">
        <f t="shared" ref="O1133:O1157" si="311">SUM(J1133:N1133)</f>
        <v>20</v>
      </c>
      <c r="P1133" s="58">
        <v>43295</v>
      </c>
    </row>
    <row r="1134" spans="1:16" x14ac:dyDescent="0.15">
      <c r="A1134" s="64" t="s">
        <v>688</v>
      </c>
      <c r="B1134" s="8">
        <v>1</v>
      </c>
      <c r="C1134" s="10"/>
      <c r="D1134" s="10"/>
      <c r="E1134" s="10">
        <v>4</v>
      </c>
      <c r="F1134" s="30">
        <v>2</v>
      </c>
      <c r="G1134" s="7">
        <f t="shared" si="310"/>
        <v>7</v>
      </c>
      <c r="H1134" s="58">
        <v>43293</v>
      </c>
      <c r="I1134" s="16" t="s">
        <v>24</v>
      </c>
      <c r="J1134" s="8"/>
      <c r="K1134" s="10">
        <v>10</v>
      </c>
      <c r="L1134" s="10">
        <v>5</v>
      </c>
      <c r="M1134" s="10">
        <v>10</v>
      </c>
      <c r="N1134" s="28"/>
      <c r="O1134" s="9">
        <f t="shared" si="311"/>
        <v>25</v>
      </c>
      <c r="P1134" s="58">
        <v>43298</v>
      </c>
    </row>
    <row r="1135" spans="1:16" x14ac:dyDescent="0.15">
      <c r="A1135" s="14" t="s">
        <v>25</v>
      </c>
      <c r="B1135" s="8"/>
      <c r="C1135" s="10"/>
      <c r="D1135" s="10"/>
      <c r="E1135" s="10">
        <v>1</v>
      </c>
      <c r="F1135" s="30"/>
      <c r="G1135" s="7">
        <f t="shared" si="310"/>
        <v>1</v>
      </c>
      <c r="H1135" s="58">
        <v>43293</v>
      </c>
      <c r="I1135" s="16" t="s">
        <v>24</v>
      </c>
      <c r="J1135" s="8"/>
      <c r="K1135" s="10">
        <v>15</v>
      </c>
      <c r="L1135" s="10"/>
      <c r="M1135" s="10"/>
      <c r="N1135" s="30"/>
      <c r="O1135" s="7">
        <f t="shared" si="311"/>
        <v>15</v>
      </c>
      <c r="P1135" s="58">
        <v>43300</v>
      </c>
    </row>
    <row r="1136" spans="1:16" x14ac:dyDescent="0.15">
      <c r="A1136" s="14" t="s">
        <v>30</v>
      </c>
      <c r="B1136" s="8"/>
      <c r="C1136" s="10">
        <v>1</v>
      </c>
      <c r="D1136" s="10">
        <v>1</v>
      </c>
      <c r="E1136" s="10"/>
      <c r="F1136" s="30"/>
      <c r="G1136" s="7">
        <f t="shared" si="310"/>
        <v>2</v>
      </c>
      <c r="H1136" s="58">
        <v>43294</v>
      </c>
      <c r="I1136" s="16" t="s">
        <v>743</v>
      </c>
      <c r="J1136" s="8"/>
      <c r="K1136" s="10"/>
      <c r="L1136" s="10">
        <v>10</v>
      </c>
      <c r="M1136" s="10">
        <v>10</v>
      </c>
      <c r="N1136" s="30"/>
      <c r="O1136" s="7">
        <f t="shared" si="311"/>
        <v>20</v>
      </c>
      <c r="P1136" s="58">
        <v>43302</v>
      </c>
    </row>
    <row r="1137" spans="1:16" x14ac:dyDescent="0.15">
      <c r="A1137" s="14" t="s">
        <v>29</v>
      </c>
      <c r="B1137" s="8">
        <v>1</v>
      </c>
      <c r="C1137" s="10">
        <v>1</v>
      </c>
      <c r="D1137" s="10"/>
      <c r="E1137" s="10"/>
      <c r="F1137" s="30"/>
      <c r="G1137" s="7">
        <f t="shared" si="310"/>
        <v>2</v>
      </c>
      <c r="H1137" s="58">
        <v>43292</v>
      </c>
      <c r="I1137" s="16" t="s">
        <v>775</v>
      </c>
      <c r="J1137" s="8"/>
      <c r="K1137" s="10">
        <v>2</v>
      </c>
      <c r="L1137" s="10">
        <v>3</v>
      </c>
      <c r="M1137" s="10"/>
      <c r="N1137" s="30"/>
      <c r="O1137" s="7">
        <f t="shared" si="311"/>
        <v>5</v>
      </c>
      <c r="P1137" s="58">
        <v>43311</v>
      </c>
    </row>
    <row r="1138" spans="1:16" x14ac:dyDescent="0.15">
      <c r="A1138" s="14" t="s">
        <v>30</v>
      </c>
      <c r="B1138" s="8"/>
      <c r="C1138" s="10"/>
      <c r="D1138" s="10"/>
      <c r="E1138" s="10">
        <v>1</v>
      </c>
      <c r="F1138" s="30">
        <v>1</v>
      </c>
      <c r="G1138" s="7">
        <f t="shared" si="310"/>
        <v>2</v>
      </c>
      <c r="H1138" s="58">
        <v>43294</v>
      </c>
      <c r="I1138" s="16" t="s">
        <v>24</v>
      </c>
      <c r="J1138" s="8"/>
      <c r="K1138" s="10">
        <v>5</v>
      </c>
      <c r="L1138" s="10">
        <v>5</v>
      </c>
      <c r="M1138" s="10"/>
      <c r="N1138" s="30">
        <v>5</v>
      </c>
      <c r="O1138" s="7">
        <f t="shared" si="311"/>
        <v>15</v>
      </c>
      <c r="P1138" s="58">
        <v>43306</v>
      </c>
    </row>
    <row r="1139" spans="1:16" x14ac:dyDescent="0.15">
      <c r="A1139" s="14" t="s">
        <v>182</v>
      </c>
      <c r="B1139" s="8"/>
      <c r="C1139" s="10">
        <v>2</v>
      </c>
      <c r="D1139" s="10"/>
      <c r="E1139" s="10"/>
      <c r="F1139" s="30"/>
      <c r="G1139" s="7">
        <f t="shared" si="310"/>
        <v>2</v>
      </c>
      <c r="H1139" s="58">
        <v>43298</v>
      </c>
      <c r="I1139" s="16"/>
      <c r="J1139" s="8"/>
      <c r="K1139" s="10"/>
      <c r="L1139" s="10"/>
      <c r="M1139" s="10"/>
      <c r="N1139" s="30"/>
      <c r="O1139" s="7">
        <f t="shared" si="311"/>
        <v>0</v>
      </c>
    </row>
    <row r="1140" spans="1:16" x14ac:dyDescent="0.15">
      <c r="A1140" s="64" t="s">
        <v>688</v>
      </c>
      <c r="B1140" s="8">
        <v>2</v>
      </c>
      <c r="C1140" s="10"/>
      <c r="D1140" s="10"/>
      <c r="E1140" s="10"/>
      <c r="F1140" s="30"/>
      <c r="G1140" s="7">
        <f t="shared" si="310"/>
        <v>2</v>
      </c>
      <c r="H1140" s="58">
        <v>43300</v>
      </c>
      <c r="I1140" s="16"/>
      <c r="J1140" s="8"/>
      <c r="K1140" s="10"/>
      <c r="L1140" s="10"/>
      <c r="M1140" s="10"/>
      <c r="N1140" s="30"/>
      <c r="O1140" s="7">
        <f t="shared" si="311"/>
        <v>0</v>
      </c>
    </row>
    <row r="1141" spans="1:16" x14ac:dyDescent="0.15">
      <c r="A1141" s="14" t="s">
        <v>25</v>
      </c>
      <c r="B1141" s="8"/>
      <c r="C1141" s="10"/>
      <c r="D1141" s="10"/>
      <c r="E1141" s="10">
        <v>1</v>
      </c>
      <c r="F1141" s="30"/>
      <c r="G1141" s="7">
        <f t="shared" si="310"/>
        <v>1</v>
      </c>
      <c r="H1141" s="58">
        <v>43295</v>
      </c>
      <c r="I1141" s="39"/>
      <c r="J1141" s="8"/>
      <c r="K1141" s="10"/>
      <c r="L1141" s="10"/>
      <c r="M1141" s="10"/>
      <c r="N1141" s="30"/>
      <c r="O1141" s="7">
        <f t="shared" si="311"/>
        <v>0</v>
      </c>
    </row>
    <row r="1142" spans="1:16" x14ac:dyDescent="0.15">
      <c r="A1142" s="14" t="s">
        <v>182</v>
      </c>
      <c r="B1142" s="11"/>
      <c r="C1142" s="12">
        <v>5</v>
      </c>
      <c r="D1142" s="12">
        <v>5</v>
      </c>
      <c r="E1142" s="12">
        <v>8</v>
      </c>
      <c r="F1142" s="31"/>
      <c r="G1142" s="7">
        <f t="shared" si="310"/>
        <v>18</v>
      </c>
      <c r="H1142" s="58">
        <v>43299</v>
      </c>
      <c r="I1142" s="16"/>
      <c r="J1142" s="11"/>
      <c r="K1142" s="12"/>
      <c r="L1142" s="12"/>
      <c r="M1142" s="12"/>
      <c r="N1142" s="31"/>
      <c r="O1142" s="7">
        <f t="shared" si="311"/>
        <v>0</v>
      </c>
    </row>
    <row r="1143" spans="1:16" x14ac:dyDescent="0.15">
      <c r="A1143" s="14" t="s">
        <v>25</v>
      </c>
      <c r="B1143" s="11"/>
      <c r="C1143" s="12"/>
      <c r="D1143" s="12">
        <v>1</v>
      </c>
      <c r="E1143" s="12">
        <v>1</v>
      </c>
      <c r="F1143" s="31">
        <v>1</v>
      </c>
      <c r="G1143" s="7">
        <f t="shared" si="310"/>
        <v>3</v>
      </c>
      <c r="H1143" s="58">
        <v>43299</v>
      </c>
      <c r="I1143" s="16"/>
      <c r="J1143" s="8"/>
      <c r="K1143" s="10"/>
      <c r="L1143" s="10"/>
      <c r="M1143" s="10"/>
      <c r="N1143" s="30"/>
      <c r="O1143" s="7">
        <f t="shared" si="311"/>
        <v>0</v>
      </c>
    </row>
    <row r="1144" spans="1:16" x14ac:dyDescent="0.15">
      <c r="A1144" s="64" t="s">
        <v>688</v>
      </c>
      <c r="B1144" s="8"/>
      <c r="C1144" s="10">
        <v>2</v>
      </c>
      <c r="D1144" s="10">
        <v>2</v>
      </c>
      <c r="E1144" s="10"/>
      <c r="F1144" s="30"/>
      <c r="G1144" s="7">
        <f t="shared" si="310"/>
        <v>4</v>
      </c>
      <c r="H1144" s="58">
        <v>43301</v>
      </c>
      <c r="I1144" s="39"/>
      <c r="J1144" s="8"/>
      <c r="K1144" s="10"/>
      <c r="L1144" s="10"/>
      <c r="M1144" s="10"/>
      <c r="N1144" s="30"/>
      <c r="O1144" s="7">
        <f t="shared" si="311"/>
        <v>0</v>
      </c>
    </row>
    <row r="1145" spans="1:16" x14ac:dyDescent="0.15">
      <c r="A1145" s="14" t="s">
        <v>30</v>
      </c>
      <c r="B1145" s="8">
        <v>1</v>
      </c>
      <c r="C1145" s="10"/>
      <c r="D1145" s="10">
        <v>1</v>
      </c>
      <c r="E1145" s="10"/>
      <c r="F1145" s="30"/>
      <c r="G1145" s="7">
        <f t="shared" si="310"/>
        <v>2</v>
      </c>
      <c r="H1145" s="58">
        <v>43301</v>
      </c>
      <c r="I1145" s="16"/>
      <c r="J1145" s="8"/>
      <c r="K1145" s="10"/>
      <c r="L1145" s="10"/>
      <c r="M1145" s="10"/>
      <c r="N1145" s="30"/>
      <c r="O1145" s="7">
        <f t="shared" si="311"/>
        <v>0</v>
      </c>
    </row>
    <row r="1146" spans="1:16" x14ac:dyDescent="0.15">
      <c r="A1146" s="14" t="s">
        <v>29</v>
      </c>
      <c r="B1146" s="8"/>
      <c r="C1146" s="10">
        <v>1</v>
      </c>
      <c r="D1146" s="10"/>
      <c r="E1146" s="10">
        <v>1</v>
      </c>
      <c r="F1146" s="30"/>
      <c r="G1146" s="7">
        <f t="shared" si="310"/>
        <v>2</v>
      </c>
      <c r="H1146" s="58">
        <v>43298</v>
      </c>
      <c r="I1146" s="16"/>
      <c r="J1146" s="8"/>
      <c r="K1146" s="10"/>
      <c r="L1146" s="10"/>
      <c r="M1146" s="10"/>
      <c r="N1146" s="30"/>
      <c r="O1146" s="7">
        <f t="shared" si="311"/>
        <v>0</v>
      </c>
    </row>
    <row r="1147" spans="1:16" x14ac:dyDescent="0.15">
      <c r="A1147" s="14" t="s">
        <v>771</v>
      </c>
      <c r="B1147" s="8"/>
      <c r="C1147" s="10">
        <v>10</v>
      </c>
      <c r="D1147" s="10"/>
      <c r="E1147" s="10"/>
      <c r="F1147" s="30"/>
      <c r="G1147" s="7">
        <f t="shared" si="310"/>
        <v>10</v>
      </c>
      <c r="H1147" s="58">
        <v>43304</v>
      </c>
      <c r="I1147" s="62"/>
      <c r="J1147" s="8"/>
      <c r="K1147" s="10"/>
      <c r="L1147" s="10"/>
      <c r="M1147" s="10"/>
      <c r="N1147" s="30"/>
      <c r="O1147" s="7">
        <f t="shared" si="311"/>
        <v>0</v>
      </c>
      <c r="P1147" s="56"/>
    </row>
    <row r="1148" spans="1:16" x14ac:dyDescent="0.15">
      <c r="A1148" s="14" t="s">
        <v>182</v>
      </c>
      <c r="B1148" s="8"/>
      <c r="C1148" s="10"/>
      <c r="D1148" s="10"/>
      <c r="E1148" s="10">
        <v>1</v>
      </c>
      <c r="F1148" s="30"/>
      <c r="G1148" s="7">
        <f t="shared" si="310"/>
        <v>1</v>
      </c>
      <c r="H1148" s="58">
        <v>43301</v>
      </c>
      <c r="I1148" s="14"/>
      <c r="J1148" s="8"/>
      <c r="K1148" s="10"/>
      <c r="L1148" s="10"/>
      <c r="M1148" s="10"/>
      <c r="N1148" s="30"/>
      <c r="O1148" s="7">
        <f t="shared" si="311"/>
        <v>0</v>
      </c>
      <c r="P1148" s="56"/>
    </row>
    <row r="1149" spans="1:16" x14ac:dyDescent="0.15">
      <c r="A1149" s="14" t="s">
        <v>141</v>
      </c>
      <c r="B1149" s="8"/>
      <c r="C1149" s="10"/>
      <c r="D1149" s="10">
        <v>1</v>
      </c>
      <c r="E1149" s="10"/>
      <c r="F1149" s="30"/>
      <c r="G1149" s="7">
        <f t="shared" si="310"/>
        <v>1</v>
      </c>
      <c r="H1149" s="58">
        <v>43300</v>
      </c>
      <c r="I1149" s="16"/>
      <c r="J1149" s="11"/>
      <c r="K1149" s="12"/>
      <c r="L1149" s="12"/>
      <c r="M1149" s="12"/>
      <c r="N1149" s="31"/>
      <c r="O1149" s="7">
        <f t="shared" si="311"/>
        <v>0</v>
      </c>
      <c r="P1149" s="56"/>
    </row>
    <row r="1150" spans="1:16" x14ac:dyDescent="0.15">
      <c r="A1150" s="14" t="s">
        <v>25</v>
      </c>
      <c r="B1150" s="8"/>
      <c r="C1150" s="10">
        <v>5</v>
      </c>
      <c r="D1150" s="10">
        <v>2</v>
      </c>
      <c r="E1150" s="10">
        <v>3</v>
      </c>
      <c r="F1150" s="30">
        <v>1</v>
      </c>
      <c r="G1150" s="7">
        <f t="shared" si="310"/>
        <v>11</v>
      </c>
      <c r="H1150" s="58">
        <v>43301</v>
      </c>
      <c r="I1150" s="14"/>
      <c r="J1150" s="8"/>
      <c r="K1150" s="10"/>
      <c r="L1150" s="10"/>
      <c r="M1150" s="10"/>
      <c r="N1150" s="30"/>
      <c r="O1150" s="7">
        <f t="shared" si="311"/>
        <v>0</v>
      </c>
      <c r="P1150" s="56"/>
    </row>
    <row r="1151" spans="1:16" x14ac:dyDescent="0.15">
      <c r="A1151" s="14" t="s">
        <v>30</v>
      </c>
      <c r="B1151" s="8"/>
      <c r="C1151" s="10">
        <v>1</v>
      </c>
      <c r="D1151" s="10">
        <v>1</v>
      </c>
      <c r="E1151" s="10"/>
      <c r="F1151" s="30"/>
      <c r="G1151" s="7">
        <f t="shared" si="310"/>
        <v>2</v>
      </c>
      <c r="H1151" s="58">
        <v>43304</v>
      </c>
      <c r="I1151" s="14"/>
      <c r="J1151" s="8"/>
      <c r="K1151" s="10"/>
      <c r="L1151" s="10"/>
      <c r="M1151" s="10"/>
      <c r="N1151" s="30"/>
      <c r="O1151" s="7">
        <f t="shared" si="311"/>
        <v>0</v>
      </c>
      <c r="P1151" s="58"/>
    </row>
    <row r="1152" spans="1:16" x14ac:dyDescent="0.15">
      <c r="A1152" s="14" t="s">
        <v>29</v>
      </c>
      <c r="B1152" s="8"/>
      <c r="C1152" s="10"/>
      <c r="D1152" s="10"/>
      <c r="E1152" s="10">
        <v>1</v>
      </c>
      <c r="F1152" s="30"/>
      <c r="G1152" s="7">
        <f t="shared" si="310"/>
        <v>1</v>
      </c>
      <c r="H1152" s="58">
        <v>43300</v>
      </c>
      <c r="I1152" s="51"/>
      <c r="J1152" s="8"/>
      <c r="K1152" s="10"/>
      <c r="L1152" s="10"/>
      <c r="M1152" s="10"/>
      <c r="N1152" s="30"/>
      <c r="O1152" s="9">
        <f t="shared" si="311"/>
        <v>0</v>
      </c>
      <c r="P1152" s="56"/>
    </row>
    <row r="1153" spans="1:16" x14ac:dyDescent="0.15">
      <c r="A1153" s="14" t="s">
        <v>29</v>
      </c>
      <c r="B1153" s="8"/>
      <c r="C1153" s="10"/>
      <c r="D1153" s="10"/>
      <c r="E1153" s="10"/>
      <c r="F1153" s="30">
        <v>1</v>
      </c>
      <c r="G1153" s="7">
        <f t="shared" si="310"/>
        <v>1</v>
      </c>
      <c r="H1153" s="58">
        <v>43302</v>
      </c>
      <c r="I1153" s="16"/>
      <c r="J1153" s="37"/>
      <c r="K1153" s="35"/>
      <c r="L1153" s="35"/>
      <c r="M1153" s="35"/>
      <c r="N1153" s="28"/>
      <c r="O1153" s="7">
        <f t="shared" si="311"/>
        <v>0</v>
      </c>
      <c r="P1153" s="58"/>
    </row>
    <row r="1154" spans="1:16" x14ac:dyDescent="0.15">
      <c r="A1154" s="14" t="s">
        <v>25</v>
      </c>
      <c r="B1154" s="11"/>
      <c r="C1154" s="12"/>
      <c r="D1154" s="12">
        <v>4</v>
      </c>
      <c r="E1154" s="12">
        <v>5</v>
      </c>
      <c r="F1154" s="31">
        <v>2</v>
      </c>
      <c r="G1154" s="7">
        <f t="shared" si="310"/>
        <v>11</v>
      </c>
      <c r="H1154" s="58">
        <v>43305</v>
      </c>
      <c r="I1154" s="16"/>
      <c r="J1154" s="8"/>
      <c r="K1154" s="10"/>
      <c r="L1154" s="10"/>
      <c r="M1154" s="10"/>
      <c r="N1154" s="30"/>
      <c r="O1154" s="7">
        <f t="shared" si="311"/>
        <v>0</v>
      </c>
      <c r="P1154" s="58"/>
    </row>
    <row r="1155" spans="1:16" x14ac:dyDescent="0.15">
      <c r="A1155" s="14" t="s">
        <v>182</v>
      </c>
      <c r="B1155" s="8"/>
      <c r="C1155" s="10">
        <v>2</v>
      </c>
      <c r="D1155" s="10">
        <v>2</v>
      </c>
      <c r="E1155" s="10"/>
      <c r="F1155" s="30">
        <v>1</v>
      </c>
      <c r="G1155" s="7">
        <f t="shared" si="310"/>
        <v>5</v>
      </c>
      <c r="H1155" s="58">
        <v>43307</v>
      </c>
      <c r="I1155" s="16"/>
      <c r="J1155" s="8"/>
      <c r="K1155" s="10"/>
      <c r="L1155" s="10"/>
      <c r="M1155" s="10"/>
      <c r="N1155" s="30"/>
      <c r="O1155" s="7">
        <v>8</v>
      </c>
      <c r="P1155" s="58"/>
    </row>
    <row r="1156" spans="1:16" x14ac:dyDescent="0.15">
      <c r="A1156" s="64" t="s">
        <v>688</v>
      </c>
      <c r="B1156" s="8"/>
      <c r="C1156" s="10">
        <v>2</v>
      </c>
      <c r="D1156" s="10">
        <v>2</v>
      </c>
      <c r="E1156" s="10"/>
      <c r="F1156" s="30"/>
      <c r="G1156" s="7">
        <f t="shared" si="310"/>
        <v>4</v>
      </c>
      <c r="H1156" s="58">
        <v>43308</v>
      </c>
      <c r="I1156" s="141"/>
      <c r="J1156" s="8"/>
      <c r="K1156" s="10"/>
      <c r="L1156" s="10"/>
      <c r="M1156" s="10"/>
      <c r="N1156" s="30"/>
      <c r="O1156" s="7">
        <f t="shared" si="311"/>
        <v>0</v>
      </c>
      <c r="P1156" s="56"/>
    </row>
    <row r="1157" spans="1:16" x14ac:dyDescent="0.15">
      <c r="A1157" s="14" t="s">
        <v>182</v>
      </c>
      <c r="B1157" s="8"/>
      <c r="C1157" s="10">
        <v>2</v>
      </c>
      <c r="D1157" s="10"/>
      <c r="E1157" s="10"/>
      <c r="F1157" s="30">
        <v>2</v>
      </c>
      <c r="G1157" s="7">
        <f t="shared" si="310"/>
        <v>4</v>
      </c>
      <c r="H1157" s="58">
        <v>43307</v>
      </c>
      <c r="I1157" s="141"/>
      <c r="J1157" s="8"/>
      <c r="K1157" s="10"/>
      <c r="L1157" s="10"/>
      <c r="M1157" s="10"/>
      <c r="N1157" s="30"/>
      <c r="O1157" s="7">
        <f t="shared" si="311"/>
        <v>0</v>
      </c>
      <c r="P1157" s="56"/>
    </row>
    <row r="1158" spans="1:16" ht="14.25" thickBot="1" x14ac:dyDescent="0.2">
      <c r="A1158" s="14" t="s">
        <v>25</v>
      </c>
      <c r="B1158" s="11">
        <v>1</v>
      </c>
      <c r="C1158" s="12">
        <v>1</v>
      </c>
      <c r="D1158" s="12">
        <v>1</v>
      </c>
      <c r="E1158" s="12"/>
      <c r="F1158" s="31"/>
      <c r="G1158" s="7">
        <f t="shared" si="310"/>
        <v>3</v>
      </c>
      <c r="H1158" s="58">
        <v>43307</v>
      </c>
      <c r="I1158" s="141"/>
      <c r="J1158" s="8"/>
      <c r="K1158" s="10"/>
      <c r="L1158" s="10"/>
      <c r="M1158" s="10"/>
      <c r="N1158" s="30"/>
      <c r="O1158" s="7">
        <f t="shared" ref="O1158" si="312">SUM(J1158:N1158)</f>
        <v>0</v>
      </c>
      <c r="P1158" s="56"/>
    </row>
    <row r="1159" spans="1:16" ht="14.25" thickBot="1" x14ac:dyDescent="0.2">
      <c r="A1159" s="3" t="s">
        <v>11</v>
      </c>
      <c r="B1159" s="23">
        <f>SUM(B1133:B1158)</f>
        <v>6</v>
      </c>
      <c r="C1159" s="4">
        <f>SUM(C1133:C1158)</f>
        <v>35</v>
      </c>
      <c r="D1159" s="4">
        <f>SUM(D1133:D1158)</f>
        <v>24</v>
      </c>
      <c r="E1159" s="6">
        <f>SUM(E1133:E1158)</f>
        <v>27</v>
      </c>
      <c r="F1159" s="32">
        <f>SUM(F1133:F1158)</f>
        <v>12</v>
      </c>
      <c r="G1159" s="5">
        <f>SUM(B1159:F1159)</f>
        <v>104</v>
      </c>
      <c r="I1159" s="3" t="s">
        <v>11</v>
      </c>
      <c r="J1159" s="23">
        <f>SUM(J1133:J1158)</f>
        <v>5</v>
      </c>
      <c r="K1159" s="4">
        <f>SUM(K1133:K1158)</f>
        <v>32</v>
      </c>
      <c r="L1159" s="4">
        <f>SUM(L1133:L1158)</f>
        <v>28</v>
      </c>
      <c r="M1159" s="6">
        <f>SUM(M1133:M1158)</f>
        <v>25</v>
      </c>
      <c r="N1159" s="6">
        <f>SUM(N1133:N1158)</f>
        <v>10</v>
      </c>
      <c r="O1159" s="5">
        <f>SUM(J1159:N1159)</f>
        <v>100</v>
      </c>
    </row>
    <row r="1160" spans="1:16" ht="14.25" thickBot="1" x14ac:dyDescent="0.2">
      <c r="A1160" s="25" t="s">
        <v>12</v>
      </c>
      <c r="B1160" s="63">
        <f>B1132-B1159</f>
        <v>11</v>
      </c>
      <c r="C1160" s="26">
        <f t="shared" ref="C1160:G1160" si="313">C1132-C1159</f>
        <v>11</v>
      </c>
      <c r="D1160" s="71">
        <f t="shared" si="313"/>
        <v>12</v>
      </c>
      <c r="E1160" s="26">
        <f t="shared" si="313"/>
        <v>11</v>
      </c>
      <c r="F1160" s="70">
        <f t="shared" si="313"/>
        <v>13</v>
      </c>
      <c r="G1160" s="27">
        <f t="shared" si="313"/>
        <v>58</v>
      </c>
      <c r="I1160" s="25" t="s">
        <v>12</v>
      </c>
      <c r="J1160" s="63">
        <f>J1132-J1159</f>
        <v>283</v>
      </c>
      <c r="K1160" s="26">
        <f t="shared" ref="K1160:O1160" si="314">K1132-K1159</f>
        <v>284</v>
      </c>
      <c r="L1160" s="71">
        <f t="shared" si="314"/>
        <v>258</v>
      </c>
      <c r="M1160" s="26">
        <f t="shared" si="314"/>
        <v>264</v>
      </c>
      <c r="N1160" s="70">
        <f t="shared" si="314"/>
        <v>233</v>
      </c>
      <c r="O1160" s="27">
        <f t="shared" si="314"/>
        <v>1322</v>
      </c>
    </row>
    <row r="1161" spans="1:16" ht="17.25" x14ac:dyDescent="0.2">
      <c r="A1161" s="79" t="s">
        <v>56</v>
      </c>
      <c r="B1161" s="80"/>
      <c r="C1161" s="80"/>
      <c r="D1161" s="80"/>
      <c r="E1161" s="80"/>
      <c r="F1161" s="80"/>
      <c r="G1161" s="80"/>
      <c r="I1161" s="79" t="s">
        <v>56</v>
      </c>
      <c r="J1161" s="80"/>
      <c r="K1161" s="80"/>
      <c r="L1161" s="80"/>
      <c r="M1161" s="80"/>
      <c r="N1161" s="80"/>
      <c r="O1161" s="1"/>
    </row>
    <row r="1162" spans="1:16" ht="21.75" thickBot="1" x14ac:dyDescent="0.25">
      <c r="A1162" s="82" t="s">
        <v>55</v>
      </c>
      <c r="B1162" s="80"/>
      <c r="C1162" s="80"/>
      <c r="D1162" s="80"/>
      <c r="E1162" s="81" t="s">
        <v>53</v>
      </c>
      <c r="F1162" s="80"/>
      <c r="G1162" s="80"/>
      <c r="I1162" s="82" t="s">
        <v>55</v>
      </c>
      <c r="J1162" s="80"/>
      <c r="K1162" s="80"/>
      <c r="L1162" s="80"/>
      <c r="M1162" s="81" t="s">
        <v>54</v>
      </c>
      <c r="N1162" s="80"/>
      <c r="O1162" s="1"/>
    </row>
    <row r="1163" spans="1:16" ht="14.25" thickBot="1" x14ac:dyDescent="0.2">
      <c r="A1163" s="13" t="s">
        <v>0</v>
      </c>
      <c r="B1163" s="228" t="s">
        <v>57</v>
      </c>
      <c r="C1163" s="229"/>
      <c r="D1163" s="229"/>
      <c r="E1163" s="229"/>
      <c r="F1163" s="230"/>
      <c r="G1163" s="231"/>
      <c r="I1163" s="13" t="s">
        <v>0</v>
      </c>
      <c r="J1163" s="232" t="s">
        <v>57</v>
      </c>
      <c r="K1163" s="233"/>
      <c r="L1163" s="233"/>
      <c r="M1163" s="233"/>
      <c r="N1163" s="233"/>
      <c r="O1163" s="234"/>
    </row>
    <row r="1164" spans="1:16" ht="14.25" thickBot="1" x14ac:dyDescent="0.2">
      <c r="A1164" s="3" t="s">
        <v>1</v>
      </c>
      <c r="B1164" s="2" t="s">
        <v>42</v>
      </c>
      <c r="C1164" s="21" t="s">
        <v>43</v>
      </c>
      <c r="D1164" s="21" t="s">
        <v>44</v>
      </c>
      <c r="E1164" s="24" t="s">
        <v>45</v>
      </c>
      <c r="F1164" s="33" t="s">
        <v>46</v>
      </c>
      <c r="G1164" s="3" t="s">
        <v>2</v>
      </c>
      <c r="I1164" s="3" t="s">
        <v>1</v>
      </c>
      <c r="J1164" s="2" t="s">
        <v>42</v>
      </c>
      <c r="K1164" s="21" t="s">
        <v>43</v>
      </c>
      <c r="L1164" s="21" t="s">
        <v>44</v>
      </c>
      <c r="M1164" s="24" t="s">
        <v>45</v>
      </c>
      <c r="N1164" s="33" t="s">
        <v>46</v>
      </c>
      <c r="O1164" s="3" t="s">
        <v>2</v>
      </c>
    </row>
    <row r="1165" spans="1:16" ht="14.25" thickBot="1" x14ac:dyDescent="0.2">
      <c r="A1165" s="72" t="s">
        <v>79</v>
      </c>
      <c r="B1165" s="73">
        <f>B1160</f>
        <v>11</v>
      </c>
      <c r="C1165" s="74">
        <f t="shared" ref="C1165:F1165" si="315">C1160</f>
        <v>11</v>
      </c>
      <c r="D1165" s="107">
        <f t="shared" si="315"/>
        <v>12</v>
      </c>
      <c r="E1165" s="75">
        <f t="shared" si="315"/>
        <v>11</v>
      </c>
      <c r="F1165" s="75">
        <f t="shared" si="315"/>
        <v>13</v>
      </c>
      <c r="G1165" s="76">
        <f t="shared" ref="G1165:G1174" si="316">SUM(B1165:F1165)</f>
        <v>58</v>
      </c>
      <c r="I1165" s="72" t="s">
        <v>79</v>
      </c>
      <c r="J1165" s="73">
        <f>J1160</f>
        <v>283</v>
      </c>
      <c r="K1165" s="74">
        <f t="shared" ref="K1165:N1165" si="317">K1160</f>
        <v>284</v>
      </c>
      <c r="L1165" s="107">
        <f t="shared" si="317"/>
        <v>258</v>
      </c>
      <c r="M1165" s="75">
        <f t="shared" si="317"/>
        <v>264</v>
      </c>
      <c r="N1165" s="75">
        <f t="shared" si="317"/>
        <v>233</v>
      </c>
      <c r="O1165" s="76">
        <f t="shared" ref="O1165:O1174" si="318">SUM(J1165:N1165)</f>
        <v>1322</v>
      </c>
    </row>
    <row r="1166" spans="1:16" x14ac:dyDescent="0.15">
      <c r="A1166" s="38" t="s">
        <v>15</v>
      </c>
      <c r="B1166" s="37">
        <v>5</v>
      </c>
      <c r="C1166" s="35">
        <v>5</v>
      </c>
      <c r="D1166" s="35"/>
      <c r="E1166" s="35">
        <v>15</v>
      </c>
      <c r="F1166" s="28">
        <v>5</v>
      </c>
      <c r="G1166" s="7">
        <f t="shared" si="316"/>
        <v>30</v>
      </c>
      <c r="H1166" s="58">
        <v>43307</v>
      </c>
      <c r="I1166" s="38" t="s">
        <v>15</v>
      </c>
      <c r="J1166" s="8"/>
      <c r="K1166" s="10"/>
      <c r="L1166" s="10"/>
      <c r="M1166" s="10"/>
      <c r="N1166" s="30"/>
      <c r="O1166" s="7">
        <f t="shared" si="318"/>
        <v>0</v>
      </c>
    </row>
    <row r="1167" spans="1:16" x14ac:dyDescent="0.15">
      <c r="A1167" s="38" t="s">
        <v>16</v>
      </c>
      <c r="B1167" s="8">
        <v>10</v>
      </c>
      <c r="C1167" s="10">
        <v>10</v>
      </c>
      <c r="D1167" s="10">
        <v>15</v>
      </c>
      <c r="E1167" s="10"/>
      <c r="F1167" s="28">
        <v>5</v>
      </c>
      <c r="G1167" s="9">
        <f t="shared" si="316"/>
        <v>40</v>
      </c>
      <c r="H1167" s="58">
        <v>43313</v>
      </c>
      <c r="I1167" s="15" t="s">
        <v>3</v>
      </c>
      <c r="J1167" s="8"/>
      <c r="K1167" s="10"/>
      <c r="L1167" s="10"/>
      <c r="M1167" s="10"/>
      <c r="N1167" s="28"/>
      <c r="O1167" s="9">
        <f t="shared" si="318"/>
        <v>0</v>
      </c>
    </row>
    <row r="1168" spans="1:16" x14ac:dyDescent="0.15">
      <c r="A1168" s="15" t="s">
        <v>787</v>
      </c>
      <c r="B1168" s="8">
        <v>1</v>
      </c>
      <c r="C1168" s="10"/>
      <c r="D1168" s="10">
        <v>1</v>
      </c>
      <c r="E1168" s="10"/>
      <c r="F1168" s="28"/>
      <c r="G1168" s="9">
        <f t="shared" si="316"/>
        <v>2</v>
      </c>
      <c r="H1168" s="58">
        <v>43313</v>
      </c>
      <c r="I1168" s="15" t="s">
        <v>18</v>
      </c>
      <c r="J1168" s="8"/>
      <c r="K1168" s="10"/>
      <c r="L1168" s="10"/>
      <c r="M1168" s="10"/>
      <c r="N1168" s="28"/>
      <c r="O1168" s="9">
        <f t="shared" si="318"/>
        <v>0</v>
      </c>
    </row>
    <row r="1169" spans="1:17" x14ac:dyDescent="0.15">
      <c r="A1169" s="19" t="s">
        <v>789</v>
      </c>
      <c r="B1169" s="8"/>
      <c r="C1169" s="10">
        <v>1</v>
      </c>
      <c r="D1169" s="10"/>
      <c r="E1169" s="10"/>
      <c r="F1169" s="28"/>
      <c r="G1169" s="9">
        <f t="shared" si="316"/>
        <v>1</v>
      </c>
      <c r="H1169" s="58">
        <v>43314</v>
      </c>
      <c r="I1169" s="15" t="s">
        <v>20</v>
      </c>
      <c r="J1169" s="8"/>
      <c r="K1169" s="10"/>
      <c r="L1169" s="10"/>
      <c r="M1169" s="10"/>
      <c r="N1169" s="28"/>
      <c r="O1169" s="9">
        <f t="shared" si="318"/>
        <v>0</v>
      </c>
    </row>
    <row r="1170" spans="1:17" x14ac:dyDescent="0.15">
      <c r="A1170" s="38" t="s">
        <v>383</v>
      </c>
      <c r="B1170" s="8"/>
      <c r="C1170" s="10"/>
      <c r="D1170" s="10"/>
      <c r="E1170" s="10"/>
      <c r="F1170" s="28">
        <v>1</v>
      </c>
      <c r="G1170" s="9">
        <f t="shared" si="316"/>
        <v>1</v>
      </c>
      <c r="H1170" s="57">
        <v>43319</v>
      </c>
      <c r="I1170" s="15" t="s">
        <v>80</v>
      </c>
      <c r="J1170" s="8"/>
      <c r="K1170" s="10"/>
      <c r="L1170" s="10"/>
      <c r="M1170" s="10"/>
      <c r="N1170" s="28"/>
      <c r="O1170" s="9">
        <f t="shared" si="318"/>
        <v>0</v>
      </c>
    </row>
    <row r="1171" spans="1:17" x14ac:dyDescent="0.15">
      <c r="A1171" s="38" t="s">
        <v>81</v>
      </c>
      <c r="B1171" s="8"/>
      <c r="C1171" s="10">
        <v>10</v>
      </c>
      <c r="D1171" s="10"/>
      <c r="E1171" s="10"/>
      <c r="F1171" s="28"/>
      <c r="G1171" s="9">
        <f t="shared" si="316"/>
        <v>10</v>
      </c>
      <c r="H1171" s="58">
        <v>43321</v>
      </c>
      <c r="I1171" s="15" t="s">
        <v>81</v>
      </c>
      <c r="J1171" s="8"/>
      <c r="K1171" s="10"/>
      <c r="L1171" s="10"/>
      <c r="M1171" s="10"/>
      <c r="N1171" s="28"/>
      <c r="O1171" s="9">
        <f t="shared" si="318"/>
        <v>0</v>
      </c>
    </row>
    <row r="1172" spans="1:17" x14ac:dyDescent="0.15">
      <c r="A1172" s="38" t="s">
        <v>17</v>
      </c>
      <c r="B1172" s="8"/>
      <c r="C1172" s="10">
        <v>2</v>
      </c>
      <c r="D1172" s="10"/>
      <c r="E1172" s="10"/>
      <c r="F1172" s="30"/>
      <c r="G1172" s="7">
        <f t="shared" si="316"/>
        <v>2</v>
      </c>
      <c r="H1172" s="57">
        <v>43321</v>
      </c>
      <c r="I1172" s="15" t="s">
        <v>82</v>
      </c>
      <c r="J1172" s="8"/>
      <c r="K1172" s="10"/>
      <c r="L1172" s="10"/>
      <c r="M1172" s="10"/>
      <c r="N1172" s="30"/>
      <c r="O1172" s="7">
        <f t="shared" si="318"/>
        <v>0</v>
      </c>
      <c r="P1172" s="58"/>
    </row>
    <row r="1173" spans="1:17" x14ac:dyDescent="0.15">
      <c r="A1173" s="38" t="s">
        <v>83</v>
      </c>
      <c r="B1173" s="11"/>
      <c r="C1173" s="100"/>
      <c r="D1173" s="100"/>
      <c r="E1173" s="100"/>
      <c r="F1173" s="101"/>
      <c r="G1173" s="102">
        <f t="shared" si="316"/>
        <v>0</v>
      </c>
      <c r="H1173" s="58"/>
      <c r="I1173" s="15" t="s">
        <v>83</v>
      </c>
      <c r="J1173" s="8"/>
      <c r="K1173" s="10"/>
      <c r="L1173" s="10"/>
      <c r="M1173" s="10"/>
      <c r="N1173" s="30"/>
      <c r="O1173" s="7">
        <f t="shared" si="318"/>
        <v>0</v>
      </c>
      <c r="P1173" s="56"/>
    </row>
    <row r="1174" spans="1:17" ht="14.25" thickBot="1" x14ac:dyDescent="0.2">
      <c r="A1174" s="38" t="s">
        <v>159</v>
      </c>
      <c r="B1174" s="11"/>
      <c r="C1174" s="100"/>
      <c r="D1174" s="100"/>
      <c r="E1174" s="100"/>
      <c r="F1174" s="101"/>
      <c r="G1174" s="102">
        <f t="shared" si="316"/>
        <v>0</v>
      </c>
      <c r="I1174" s="15" t="s">
        <v>87</v>
      </c>
      <c r="J1174" s="11"/>
      <c r="K1174" s="100"/>
      <c r="L1174" s="100"/>
      <c r="M1174" s="100"/>
      <c r="N1174" s="101"/>
      <c r="O1174" s="102">
        <f t="shared" si="318"/>
        <v>0</v>
      </c>
    </row>
    <row r="1175" spans="1:17" ht="14.25" thickBot="1" x14ac:dyDescent="0.2">
      <c r="A1175" s="72" t="s">
        <v>7</v>
      </c>
      <c r="B1175" s="73">
        <f>SUM(B1165:B1174)</f>
        <v>27</v>
      </c>
      <c r="C1175" s="74">
        <f t="shared" ref="C1175:G1175" si="319">SUM(C1165:C1174)</f>
        <v>39</v>
      </c>
      <c r="D1175" s="74">
        <f t="shared" si="319"/>
        <v>28</v>
      </c>
      <c r="E1175" s="74">
        <f t="shared" si="319"/>
        <v>26</v>
      </c>
      <c r="F1175" s="105">
        <f t="shared" si="319"/>
        <v>24</v>
      </c>
      <c r="G1175" s="76">
        <f t="shared" si="319"/>
        <v>144</v>
      </c>
      <c r="I1175" s="72" t="s">
        <v>7</v>
      </c>
      <c r="J1175" s="73">
        <f>SUM(J1165:J1174)</f>
        <v>283</v>
      </c>
      <c r="K1175" s="74">
        <f t="shared" ref="K1175:O1175" si="320">SUM(K1165:K1174)</f>
        <v>284</v>
      </c>
      <c r="L1175" s="74">
        <f t="shared" si="320"/>
        <v>258</v>
      </c>
      <c r="M1175" s="74">
        <f t="shared" si="320"/>
        <v>264</v>
      </c>
      <c r="N1175" s="105">
        <f t="shared" si="320"/>
        <v>233</v>
      </c>
      <c r="O1175" s="76">
        <f t="shared" si="320"/>
        <v>1322</v>
      </c>
    </row>
    <row r="1176" spans="1:17" x14ac:dyDescent="0.15">
      <c r="A1176" s="14" t="s">
        <v>22</v>
      </c>
      <c r="B1176" s="8"/>
      <c r="C1176" s="10"/>
      <c r="D1176" s="10"/>
      <c r="E1176" s="10">
        <v>10</v>
      </c>
      <c r="F1176" s="30"/>
      <c r="G1176" s="7">
        <f t="shared" ref="G1176:G1201" si="321">SUM(B1176:F1176)</f>
        <v>10</v>
      </c>
      <c r="H1176" s="58">
        <v>43311</v>
      </c>
      <c r="I1176" s="16" t="s">
        <v>779</v>
      </c>
      <c r="J1176" s="17">
        <v>5</v>
      </c>
      <c r="K1176" s="22">
        <v>5</v>
      </c>
      <c r="L1176" s="22"/>
      <c r="M1176" s="22">
        <v>15</v>
      </c>
      <c r="N1176" s="29">
        <v>5</v>
      </c>
      <c r="O1176" s="18">
        <f t="shared" ref="O1176:O1194" si="322">SUM(J1176:N1176)</f>
        <v>30</v>
      </c>
      <c r="P1176" s="58">
        <v>43307</v>
      </c>
      <c r="Q1176" s="56"/>
    </row>
    <row r="1177" spans="1:17" x14ac:dyDescent="0.15">
      <c r="A1177" s="14" t="s">
        <v>182</v>
      </c>
      <c r="B1177" s="8">
        <v>5</v>
      </c>
      <c r="C1177" s="10"/>
      <c r="D1177" s="10"/>
      <c r="E1177" s="10"/>
      <c r="F1177" s="30"/>
      <c r="G1177" s="7">
        <f t="shared" si="321"/>
        <v>5</v>
      </c>
      <c r="H1177" s="58">
        <v>43308</v>
      </c>
      <c r="I1177" s="16" t="s">
        <v>110</v>
      </c>
      <c r="J1177" s="8"/>
      <c r="K1177" s="10">
        <v>2</v>
      </c>
      <c r="L1177" s="10"/>
      <c r="M1177" s="10"/>
      <c r="N1177" s="28">
        <v>3</v>
      </c>
      <c r="O1177" s="9">
        <f t="shared" si="322"/>
        <v>5</v>
      </c>
      <c r="P1177" s="58">
        <v>43315</v>
      </c>
      <c r="Q1177" s="56"/>
    </row>
    <row r="1178" spans="1:17" x14ac:dyDescent="0.15">
      <c r="A1178" s="14" t="s">
        <v>782</v>
      </c>
      <c r="B1178" s="8">
        <v>1</v>
      </c>
      <c r="C1178" s="10"/>
      <c r="D1178" s="10"/>
      <c r="E1178" s="10"/>
      <c r="F1178" s="30"/>
      <c r="G1178" s="7">
        <f t="shared" si="321"/>
        <v>1</v>
      </c>
      <c r="H1178" s="58">
        <v>43306</v>
      </c>
      <c r="I1178" s="16" t="s">
        <v>24</v>
      </c>
      <c r="J1178" s="8">
        <v>10</v>
      </c>
      <c r="K1178" s="10">
        <v>10</v>
      </c>
      <c r="L1178" s="10">
        <v>15</v>
      </c>
      <c r="M1178" s="10"/>
      <c r="N1178" s="30">
        <v>5</v>
      </c>
      <c r="O1178" s="7">
        <f t="shared" si="322"/>
        <v>40</v>
      </c>
      <c r="P1178" s="58">
        <v>43313</v>
      </c>
      <c r="Q1178" s="56"/>
    </row>
    <row r="1179" spans="1:17" x14ac:dyDescent="0.15">
      <c r="A1179" s="14" t="s">
        <v>25</v>
      </c>
      <c r="B1179" s="8">
        <v>1</v>
      </c>
      <c r="C1179" s="10">
        <v>1</v>
      </c>
      <c r="D1179" s="10"/>
      <c r="E1179" s="10"/>
      <c r="F1179" s="30">
        <v>1</v>
      </c>
      <c r="G1179" s="7">
        <f t="shared" si="321"/>
        <v>3</v>
      </c>
      <c r="H1179" s="58">
        <v>43309</v>
      </c>
      <c r="I1179" s="16" t="s">
        <v>110</v>
      </c>
      <c r="J1179" s="8"/>
      <c r="K1179" s="10"/>
      <c r="L1179" s="10"/>
      <c r="M1179" s="10">
        <v>2</v>
      </c>
      <c r="N1179" s="30">
        <v>2</v>
      </c>
      <c r="O1179" s="7">
        <f t="shared" si="322"/>
        <v>4</v>
      </c>
      <c r="P1179" s="58">
        <v>43322</v>
      </c>
      <c r="Q1179" s="56"/>
    </row>
    <row r="1180" spans="1:17" x14ac:dyDescent="0.15">
      <c r="A1180" s="14" t="s">
        <v>182</v>
      </c>
      <c r="B1180" s="8"/>
      <c r="C1180" s="10">
        <v>5</v>
      </c>
      <c r="D1180" s="10"/>
      <c r="E1180" s="10"/>
      <c r="F1180" s="30"/>
      <c r="G1180" s="7">
        <f t="shared" si="321"/>
        <v>5</v>
      </c>
      <c r="H1180" s="58">
        <v>43311</v>
      </c>
      <c r="I1180" s="16" t="s">
        <v>24</v>
      </c>
      <c r="J1180" s="8"/>
      <c r="K1180" s="10">
        <v>10</v>
      </c>
      <c r="L1180" s="10"/>
      <c r="M1180" s="10"/>
      <c r="N1180" s="30"/>
      <c r="O1180" s="7">
        <f t="shared" si="322"/>
        <v>10</v>
      </c>
      <c r="P1180" s="58">
        <v>43321</v>
      </c>
      <c r="Q1180" s="56"/>
    </row>
    <row r="1181" spans="1:17" x14ac:dyDescent="0.15">
      <c r="A1181" s="14" t="s">
        <v>783</v>
      </c>
      <c r="B1181" s="8"/>
      <c r="C1181" s="10">
        <v>1</v>
      </c>
      <c r="D1181" s="10"/>
      <c r="E1181" s="10"/>
      <c r="F1181" s="30"/>
      <c r="G1181" s="7">
        <f t="shared" si="321"/>
        <v>1</v>
      </c>
      <c r="H1181" s="58">
        <v>43308</v>
      </c>
      <c r="I1181" s="16"/>
      <c r="J1181" s="8"/>
      <c r="K1181" s="10"/>
      <c r="L1181" s="10"/>
      <c r="M1181" s="10"/>
      <c r="N1181" s="30"/>
      <c r="O1181" s="7">
        <f t="shared" si="322"/>
        <v>0</v>
      </c>
      <c r="P1181" s="58"/>
      <c r="Q1181" s="56"/>
    </row>
    <row r="1182" spans="1:17" x14ac:dyDescent="0.15">
      <c r="A1182" s="14" t="s">
        <v>25</v>
      </c>
      <c r="B1182" s="8">
        <v>3</v>
      </c>
      <c r="C1182" s="10">
        <v>4</v>
      </c>
      <c r="D1182" s="10"/>
      <c r="E1182" s="10"/>
      <c r="F1182" s="30">
        <v>1</v>
      </c>
      <c r="G1182" s="7">
        <f t="shared" si="321"/>
        <v>8</v>
      </c>
      <c r="H1182" s="58">
        <v>43312</v>
      </c>
      <c r="I1182" s="16"/>
      <c r="J1182" s="8"/>
      <c r="K1182" s="10"/>
      <c r="L1182" s="10"/>
      <c r="M1182" s="10"/>
      <c r="N1182" s="30"/>
      <c r="O1182" s="7">
        <f t="shared" si="322"/>
        <v>0</v>
      </c>
      <c r="P1182" s="56"/>
      <c r="Q1182" s="56"/>
    </row>
    <row r="1183" spans="1:17" x14ac:dyDescent="0.15">
      <c r="A1183" s="64" t="s">
        <v>795</v>
      </c>
      <c r="B1183" s="8"/>
      <c r="C1183" s="10"/>
      <c r="D1183" s="10"/>
      <c r="E1183" s="10"/>
      <c r="F1183" s="30">
        <v>1</v>
      </c>
      <c r="G1183" s="7">
        <f t="shared" si="321"/>
        <v>1</v>
      </c>
      <c r="H1183" s="58">
        <v>43311</v>
      </c>
      <c r="I1183" s="16"/>
      <c r="J1183" s="8"/>
      <c r="K1183" s="10"/>
      <c r="L1183" s="10"/>
      <c r="M1183" s="10"/>
      <c r="N1183" s="30"/>
      <c r="O1183" s="7">
        <f t="shared" si="322"/>
        <v>0</v>
      </c>
      <c r="P1183" s="56"/>
      <c r="Q1183" s="56"/>
    </row>
    <row r="1184" spans="1:17" x14ac:dyDescent="0.15">
      <c r="A1184" s="14" t="s">
        <v>22</v>
      </c>
      <c r="B1184" s="8"/>
      <c r="C1184" s="10"/>
      <c r="D1184" s="10">
        <v>10</v>
      </c>
      <c r="E1184" s="10"/>
      <c r="F1184" s="30"/>
      <c r="G1184" s="7">
        <f t="shared" si="321"/>
        <v>10</v>
      </c>
      <c r="H1184" s="58">
        <v>43315</v>
      </c>
      <c r="I1184" s="39"/>
      <c r="J1184" s="8"/>
      <c r="K1184" s="10"/>
      <c r="L1184" s="10"/>
      <c r="M1184" s="10"/>
      <c r="N1184" s="30"/>
      <c r="O1184" s="7">
        <f t="shared" si="322"/>
        <v>0</v>
      </c>
    </row>
    <row r="1185" spans="1:16" x14ac:dyDescent="0.15">
      <c r="A1185" s="14" t="s">
        <v>25</v>
      </c>
      <c r="B1185" s="11"/>
      <c r="C1185" s="12"/>
      <c r="D1185" s="12"/>
      <c r="E1185" s="12"/>
      <c r="F1185" s="31">
        <v>1</v>
      </c>
      <c r="G1185" s="7">
        <f t="shared" si="321"/>
        <v>1</v>
      </c>
      <c r="H1185" s="58">
        <v>43314</v>
      </c>
      <c r="I1185" s="16"/>
      <c r="J1185" s="11"/>
      <c r="K1185" s="12"/>
      <c r="L1185" s="12"/>
      <c r="M1185" s="12"/>
      <c r="N1185" s="31"/>
      <c r="O1185" s="7">
        <f t="shared" si="322"/>
        <v>0</v>
      </c>
    </row>
    <row r="1186" spans="1:16" x14ac:dyDescent="0.15">
      <c r="A1186" s="14" t="s">
        <v>182</v>
      </c>
      <c r="B1186" s="11"/>
      <c r="C1186" s="12"/>
      <c r="D1186" s="12"/>
      <c r="E1186" s="12"/>
      <c r="F1186" s="31">
        <v>2</v>
      </c>
      <c r="G1186" s="7">
        <f t="shared" si="321"/>
        <v>2</v>
      </c>
      <c r="H1186" s="58">
        <v>43319</v>
      </c>
      <c r="I1186" s="16"/>
      <c r="J1186" s="8"/>
      <c r="K1186" s="10"/>
      <c r="L1186" s="10"/>
      <c r="M1186" s="10"/>
      <c r="N1186" s="30"/>
      <c r="O1186" s="7">
        <f t="shared" si="322"/>
        <v>0</v>
      </c>
    </row>
    <row r="1187" spans="1:16" x14ac:dyDescent="0.15">
      <c r="A1187" s="14" t="s">
        <v>30</v>
      </c>
      <c r="B1187" s="8">
        <v>2</v>
      </c>
      <c r="C1187" s="10"/>
      <c r="D1187" s="10"/>
      <c r="E1187" s="10"/>
      <c r="F1187" s="30"/>
      <c r="G1187" s="7">
        <f t="shared" si="321"/>
        <v>2</v>
      </c>
      <c r="H1187" s="58">
        <v>43314</v>
      </c>
      <c r="I1187" s="39"/>
      <c r="J1187" s="8"/>
      <c r="K1187" s="10"/>
      <c r="L1187" s="10"/>
      <c r="M1187" s="10"/>
      <c r="N1187" s="30"/>
      <c r="O1187" s="7">
        <f t="shared" si="322"/>
        <v>0</v>
      </c>
    </row>
    <row r="1188" spans="1:16" x14ac:dyDescent="0.15">
      <c r="A1188" s="14" t="s">
        <v>25</v>
      </c>
      <c r="B1188" s="8"/>
      <c r="C1188" s="10">
        <v>4</v>
      </c>
      <c r="D1188" s="10">
        <v>1</v>
      </c>
      <c r="E1188" s="10"/>
      <c r="F1188" s="30"/>
      <c r="G1188" s="7">
        <f t="shared" si="321"/>
        <v>5</v>
      </c>
      <c r="H1188" s="58">
        <v>43314</v>
      </c>
      <c r="I1188" s="16"/>
      <c r="J1188" s="8"/>
      <c r="K1188" s="10"/>
      <c r="L1188" s="10"/>
      <c r="M1188" s="10"/>
      <c r="N1188" s="30"/>
      <c r="O1188" s="7">
        <f t="shared" si="322"/>
        <v>0</v>
      </c>
      <c r="P1188" s="56"/>
    </row>
    <row r="1189" spans="1:16" x14ac:dyDescent="0.15">
      <c r="A1189" s="14" t="s">
        <v>182</v>
      </c>
      <c r="B1189" s="8"/>
      <c r="C1189" s="10"/>
      <c r="D1189" s="10"/>
      <c r="E1189" s="10"/>
      <c r="F1189" s="30">
        <v>1</v>
      </c>
      <c r="G1189" s="7">
        <f t="shared" si="321"/>
        <v>1</v>
      </c>
      <c r="H1189" s="58">
        <v>43319</v>
      </c>
      <c r="I1189" s="16"/>
      <c r="J1189" s="8"/>
      <c r="K1189" s="10"/>
      <c r="L1189" s="10"/>
      <c r="M1189" s="10"/>
      <c r="N1189" s="30"/>
      <c r="O1189" s="7">
        <f t="shared" si="322"/>
        <v>0</v>
      </c>
      <c r="P1189" s="56"/>
    </row>
    <row r="1190" spans="1:16" x14ac:dyDescent="0.15">
      <c r="A1190" s="64" t="s">
        <v>688</v>
      </c>
      <c r="B1190" s="8"/>
      <c r="C1190" s="10"/>
      <c r="D1190" s="10"/>
      <c r="E1190" s="10"/>
      <c r="F1190" s="30">
        <v>2</v>
      </c>
      <c r="G1190" s="7">
        <f t="shared" si="321"/>
        <v>2</v>
      </c>
      <c r="H1190" s="58">
        <v>43315</v>
      </c>
      <c r="I1190" s="62"/>
      <c r="J1190" s="8"/>
      <c r="K1190" s="10"/>
      <c r="L1190" s="10"/>
      <c r="M1190" s="10"/>
      <c r="N1190" s="30"/>
      <c r="O1190" s="7">
        <f t="shared" si="322"/>
        <v>0</v>
      </c>
      <c r="P1190" s="56"/>
    </row>
    <row r="1191" spans="1:16" x14ac:dyDescent="0.15">
      <c r="A1191" s="14" t="s">
        <v>25</v>
      </c>
      <c r="B1191" s="8">
        <v>1</v>
      </c>
      <c r="C1191" s="10"/>
      <c r="D1191" s="10">
        <v>3</v>
      </c>
      <c r="E1191" s="10"/>
      <c r="F1191" s="30"/>
      <c r="G1191" s="7">
        <f t="shared" si="321"/>
        <v>4</v>
      </c>
      <c r="H1191" s="58">
        <v>43316</v>
      </c>
      <c r="I1191" s="14"/>
      <c r="J1191" s="8"/>
      <c r="K1191" s="10"/>
      <c r="L1191" s="10"/>
      <c r="M1191" s="10"/>
      <c r="N1191" s="30"/>
      <c r="O1191" s="7">
        <f t="shared" si="322"/>
        <v>0</v>
      </c>
      <c r="P1191" s="56"/>
    </row>
    <row r="1192" spans="1:16" x14ac:dyDescent="0.15">
      <c r="A1192" s="14" t="s">
        <v>25</v>
      </c>
      <c r="B1192" s="8"/>
      <c r="C1192" s="10"/>
      <c r="D1192" s="10">
        <v>1</v>
      </c>
      <c r="E1192" s="10"/>
      <c r="F1192" s="30"/>
      <c r="G1192" s="7">
        <f t="shared" si="321"/>
        <v>1</v>
      </c>
      <c r="H1192" s="58">
        <v>43319</v>
      </c>
      <c r="I1192" s="14"/>
      <c r="J1192" s="11"/>
      <c r="K1192" s="12"/>
      <c r="L1192" s="12"/>
      <c r="M1192" s="12"/>
      <c r="N1192" s="31"/>
      <c r="O1192" s="7">
        <f t="shared" si="322"/>
        <v>0</v>
      </c>
      <c r="P1192" s="56"/>
    </row>
    <row r="1193" spans="1:16" x14ac:dyDescent="0.15">
      <c r="A1193" s="14" t="s">
        <v>790</v>
      </c>
      <c r="B1193" s="8"/>
      <c r="C1193" s="10"/>
      <c r="D1193" s="10">
        <v>1</v>
      </c>
      <c r="E1193" s="10"/>
      <c r="F1193" s="30"/>
      <c r="G1193" s="7">
        <f t="shared" si="321"/>
        <v>1</v>
      </c>
      <c r="H1193" s="58">
        <v>43320</v>
      </c>
      <c r="I1193" s="14"/>
      <c r="J1193" s="8"/>
      <c r="K1193" s="10"/>
      <c r="L1193" s="10"/>
      <c r="M1193" s="10"/>
      <c r="N1193" s="30"/>
      <c r="O1193" s="7">
        <f t="shared" si="322"/>
        <v>0</v>
      </c>
      <c r="P1193" s="56"/>
    </row>
    <row r="1194" spans="1:16" x14ac:dyDescent="0.15">
      <c r="A1194" s="14" t="s">
        <v>182</v>
      </c>
      <c r="B1194" s="8"/>
      <c r="C1194" s="10">
        <v>3</v>
      </c>
      <c r="D1194" s="10"/>
      <c r="E1194" s="10"/>
      <c r="F1194" s="30">
        <v>2</v>
      </c>
      <c r="G1194" s="7">
        <f t="shared" si="321"/>
        <v>5</v>
      </c>
      <c r="H1194" s="58">
        <v>43321</v>
      </c>
      <c r="I1194" s="14"/>
      <c r="J1194" s="8"/>
      <c r="K1194" s="10"/>
      <c r="L1194" s="10"/>
      <c r="M1194" s="10"/>
      <c r="N1194" s="30"/>
      <c r="O1194" s="7">
        <f t="shared" si="322"/>
        <v>0</v>
      </c>
      <c r="P1194" s="58"/>
    </row>
    <row r="1195" spans="1:16" x14ac:dyDescent="0.15">
      <c r="A1195" s="14" t="s">
        <v>793</v>
      </c>
      <c r="B1195" s="8"/>
      <c r="C1195" s="10">
        <v>10</v>
      </c>
      <c r="D1195" s="10"/>
      <c r="E1195" s="10"/>
      <c r="F1195" s="30"/>
      <c r="G1195" s="7">
        <f t="shared" si="321"/>
        <v>10</v>
      </c>
      <c r="H1195" s="58">
        <v>43325</v>
      </c>
      <c r="I1195" s="16"/>
      <c r="J1195" s="8"/>
      <c r="K1195" s="10"/>
      <c r="L1195" s="10"/>
      <c r="M1195" s="10"/>
      <c r="N1195" s="30"/>
      <c r="O1195" s="7">
        <v>8</v>
      </c>
      <c r="P1195" s="58"/>
    </row>
    <row r="1196" spans="1:16" x14ac:dyDescent="0.15">
      <c r="A1196" s="14" t="s">
        <v>802</v>
      </c>
      <c r="B1196" s="8"/>
      <c r="C1196" s="10"/>
      <c r="D1196" s="10"/>
      <c r="E1196" s="10">
        <v>1</v>
      </c>
      <c r="F1196" s="30"/>
      <c r="G1196" s="7">
        <f t="shared" si="321"/>
        <v>1</v>
      </c>
      <c r="H1196" s="58">
        <v>43318</v>
      </c>
      <c r="I1196" s="14"/>
      <c r="J1196" s="8"/>
      <c r="K1196" s="10"/>
      <c r="L1196" s="10"/>
      <c r="M1196" s="10"/>
      <c r="N1196" s="30"/>
      <c r="O1196" s="7">
        <f t="shared" ref="O1196:O1197" si="323">SUM(J1196:N1196)</f>
        <v>0</v>
      </c>
      <c r="P1196" s="56"/>
    </row>
    <row r="1197" spans="1:16" x14ac:dyDescent="0.15">
      <c r="A1197" s="14" t="s">
        <v>25</v>
      </c>
      <c r="B1197" s="11"/>
      <c r="C1197" s="12"/>
      <c r="D1197" s="12">
        <v>1</v>
      </c>
      <c r="E1197" s="12"/>
      <c r="F1197" s="31">
        <v>1</v>
      </c>
      <c r="G1197" s="7">
        <f t="shared" si="321"/>
        <v>2</v>
      </c>
      <c r="H1197" s="58">
        <v>43323</v>
      </c>
      <c r="I1197" s="14"/>
      <c r="J1197" s="8"/>
      <c r="K1197" s="10"/>
      <c r="L1197" s="10"/>
      <c r="M1197" s="10"/>
      <c r="N1197" s="30"/>
      <c r="O1197" s="7">
        <f t="shared" si="323"/>
        <v>0</v>
      </c>
      <c r="P1197" s="58"/>
    </row>
    <row r="1198" spans="1:16" x14ac:dyDescent="0.15">
      <c r="A1198" s="14" t="s">
        <v>801</v>
      </c>
      <c r="B1198" s="8"/>
      <c r="C1198" s="10"/>
      <c r="D1198" s="10">
        <v>1</v>
      </c>
      <c r="E1198" s="10"/>
      <c r="F1198" s="30"/>
      <c r="G1198" s="7">
        <f t="shared" si="321"/>
        <v>1</v>
      </c>
      <c r="H1198" s="58">
        <v>43322</v>
      </c>
      <c r="I1198" s="14"/>
      <c r="J1198" s="11"/>
      <c r="K1198" s="12"/>
      <c r="L1198" s="12"/>
      <c r="M1198" s="12"/>
      <c r="N1198" s="31"/>
      <c r="O1198" s="7">
        <f t="shared" ref="O1198" si="324">SUM(J1198:N1198)</f>
        <v>0</v>
      </c>
      <c r="P1198" s="56"/>
    </row>
    <row r="1199" spans="1:16" x14ac:dyDescent="0.15">
      <c r="A1199" s="64" t="s">
        <v>809</v>
      </c>
      <c r="B1199" s="8"/>
      <c r="C1199" s="10"/>
      <c r="D1199" s="10">
        <v>5</v>
      </c>
      <c r="E1199" s="10"/>
      <c r="F1199" s="30"/>
      <c r="G1199" s="7">
        <f t="shared" si="321"/>
        <v>5</v>
      </c>
      <c r="H1199" s="58">
        <v>43339</v>
      </c>
      <c r="I1199" s="141"/>
      <c r="J1199" s="8"/>
      <c r="K1199" s="10"/>
      <c r="L1199" s="10"/>
      <c r="M1199" s="10"/>
      <c r="N1199" s="30"/>
      <c r="O1199" s="7">
        <f t="shared" ref="O1199:O1201" si="325">SUM(J1199:N1199)</f>
        <v>0</v>
      </c>
      <c r="P1199" s="56"/>
    </row>
    <row r="1200" spans="1:16" x14ac:dyDescent="0.15">
      <c r="A1200" s="14" t="s">
        <v>25</v>
      </c>
      <c r="B1200" s="8"/>
      <c r="C1200" s="10">
        <v>2</v>
      </c>
      <c r="D1200" s="10">
        <v>1</v>
      </c>
      <c r="E1200" s="10">
        <v>2</v>
      </c>
      <c r="F1200" s="30"/>
      <c r="G1200" s="7">
        <f t="shared" si="321"/>
        <v>5</v>
      </c>
      <c r="H1200" s="58">
        <v>43330</v>
      </c>
      <c r="I1200" s="141"/>
      <c r="J1200" s="8"/>
      <c r="K1200" s="10"/>
      <c r="L1200" s="10"/>
      <c r="M1200" s="10"/>
      <c r="N1200" s="30"/>
      <c r="O1200" s="7">
        <f t="shared" si="325"/>
        <v>0</v>
      </c>
      <c r="P1200" s="56"/>
    </row>
    <row r="1201" spans="1:16" ht="14.25" thickBot="1" x14ac:dyDescent="0.2">
      <c r="A1201" s="14" t="s">
        <v>182</v>
      </c>
      <c r="B1201" s="11">
        <v>1</v>
      </c>
      <c r="C1201" s="12"/>
      <c r="D1201" s="12"/>
      <c r="E1201" s="12"/>
      <c r="F1201" s="31"/>
      <c r="G1201" s="7">
        <f t="shared" si="321"/>
        <v>1</v>
      </c>
      <c r="H1201" s="58">
        <v>43332</v>
      </c>
      <c r="I1201" s="141"/>
      <c r="J1201" s="8"/>
      <c r="K1201" s="10"/>
      <c r="L1201" s="10"/>
      <c r="M1201" s="10"/>
      <c r="N1201" s="30"/>
      <c r="O1201" s="7">
        <f t="shared" si="325"/>
        <v>0</v>
      </c>
      <c r="P1201" s="56"/>
    </row>
    <row r="1202" spans="1:16" ht="14.25" thickBot="1" x14ac:dyDescent="0.2">
      <c r="A1202" s="3" t="s">
        <v>11</v>
      </c>
      <c r="B1202" s="23">
        <f>SUM(B1176:B1201)</f>
        <v>14</v>
      </c>
      <c r="C1202" s="4">
        <f>SUM(C1176:C1201)</f>
        <v>30</v>
      </c>
      <c r="D1202" s="4">
        <f>SUM(D1176:D1201)</f>
        <v>24</v>
      </c>
      <c r="E1202" s="6">
        <f>SUM(E1176:E1201)</f>
        <v>13</v>
      </c>
      <c r="F1202" s="32">
        <f>SUM(F1176:F1201)</f>
        <v>12</v>
      </c>
      <c r="G1202" s="5">
        <f>SUM(B1202:F1202)</f>
        <v>93</v>
      </c>
      <c r="I1202" s="3" t="s">
        <v>11</v>
      </c>
      <c r="J1202" s="23">
        <f>SUM(J1176:J1201)</f>
        <v>15</v>
      </c>
      <c r="K1202" s="4">
        <f>SUM(K1176:K1201)</f>
        <v>27</v>
      </c>
      <c r="L1202" s="4">
        <f>SUM(L1176:L1201)</f>
        <v>15</v>
      </c>
      <c r="M1202" s="6">
        <f>SUM(M1176:M1201)</f>
        <v>17</v>
      </c>
      <c r="N1202" s="6">
        <f>SUM(N1176:N1201)</f>
        <v>15</v>
      </c>
      <c r="O1202" s="5">
        <f>SUM(J1202:N1202)</f>
        <v>89</v>
      </c>
    </row>
    <row r="1203" spans="1:16" ht="14.25" thickBot="1" x14ac:dyDescent="0.2">
      <c r="A1203" s="25" t="s">
        <v>12</v>
      </c>
      <c r="B1203" s="63">
        <f>B1175-B1202</f>
        <v>13</v>
      </c>
      <c r="C1203" s="26">
        <f t="shared" ref="C1203:G1203" si="326">C1175-C1202</f>
        <v>9</v>
      </c>
      <c r="D1203" s="71">
        <f t="shared" si="326"/>
        <v>4</v>
      </c>
      <c r="E1203" s="26">
        <f t="shared" si="326"/>
        <v>13</v>
      </c>
      <c r="F1203" s="70">
        <f t="shared" si="326"/>
        <v>12</v>
      </c>
      <c r="G1203" s="27">
        <f t="shared" si="326"/>
        <v>51</v>
      </c>
      <c r="I1203" s="25" t="s">
        <v>12</v>
      </c>
      <c r="J1203" s="63">
        <f>J1175-J1202</f>
        <v>268</v>
      </c>
      <c r="K1203" s="26">
        <f t="shared" ref="K1203:O1203" si="327">K1175-K1202</f>
        <v>257</v>
      </c>
      <c r="L1203" s="71">
        <f t="shared" si="327"/>
        <v>243</v>
      </c>
      <c r="M1203" s="26">
        <f t="shared" si="327"/>
        <v>247</v>
      </c>
      <c r="N1203" s="70">
        <f t="shared" si="327"/>
        <v>218</v>
      </c>
      <c r="O1203" s="27">
        <f t="shared" si="327"/>
        <v>1233</v>
      </c>
    </row>
    <row r="1204" spans="1:16" ht="17.25" x14ac:dyDescent="0.2">
      <c r="A1204" s="79" t="s">
        <v>56</v>
      </c>
      <c r="B1204" s="80"/>
      <c r="C1204" s="80"/>
      <c r="D1204" s="80"/>
      <c r="E1204" s="80"/>
      <c r="F1204" s="80"/>
      <c r="G1204" s="80"/>
      <c r="I1204" s="79" t="s">
        <v>56</v>
      </c>
      <c r="J1204" s="80"/>
      <c r="K1204" s="80"/>
      <c r="L1204" s="80"/>
      <c r="M1204" s="80"/>
      <c r="N1204" s="80"/>
      <c r="O1204" s="1"/>
    </row>
    <row r="1205" spans="1:16" ht="21.75" thickBot="1" x14ac:dyDescent="0.25">
      <c r="A1205" s="82" t="s">
        <v>55</v>
      </c>
      <c r="B1205" s="80"/>
      <c r="C1205" s="80"/>
      <c r="D1205" s="80"/>
      <c r="E1205" s="81" t="s">
        <v>53</v>
      </c>
      <c r="F1205" s="80"/>
      <c r="G1205" s="80"/>
      <c r="I1205" s="82" t="s">
        <v>55</v>
      </c>
      <c r="J1205" s="80"/>
      <c r="K1205" s="80"/>
      <c r="L1205" s="80"/>
      <c r="M1205" s="81" t="s">
        <v>54</v>
      </c>
      <c r="N1205" s="80"/>
      <c r="O1205" s="1"/>
    </row>
    <row r="1206" spans="1:16" ht="14.25" thickBot="1" x14ac:dyDescent="0.2">
      <c r="A1206" s="13" t="s">
        <v>0</v>
      </c>
      <c r="B1206" s="228" t="s">
        <v>57</v>
      </c>
      <c r="C1206" s="229"/>
      <c r="D1206" s="229"/>
      <c r="E1206" s="229"/>
      <c r="F1206" s="230"/>
      <c r="G1206" s="231"/>
      <c r="I1206" s="13" t="s">
        <v>0</v>
      </c>
      <c r="J1206" s="232" t="s">
        <v>57</v>
      </c>
      <c r="K1206" s="233"/>
      <c r="L1206" s="233"/>
      <c r="M1206" s="233"/>
      <c r="N1206" s="233"/>
      <c r="O1206" s="234"/>
    </row>
    <row r="1207" spans="1:16" ht="14.25" thickBot="1" x14ac:dyDescent="0.2">
      <c r="A1207" s="3" t="s">
        <v>1</v>
      </c>
      <c r="B1207" s="2" t="s">
        <v>42</v>
      </c>
      <c r="C1207" s="21" t="s">
        <v>43</v>
      </c>
      <c r="D1207" s="21" t="s">
        <v>44</v>
      </c>
      <c r="E1207" s="24" t="s">
        <v>45</v>
      </c>
      <c r="F1207" s="33" t="s">
        <v>46</v>
      </c>
      <c r="G1207" s="3" t="s">
        <v>2</v>
      </c>
      <c r="I1207" s="3" t="s">
        <v>1</v>
      </c>
      <c r="J1207" s="2" t="s">
        <v>42</v>
      </c>
      <c r="K1207" s="21" t="s">
        <v>43</v>
      </c>
      <c r="L1207" s="21" t="s">
        <v>44</v>
      </c>
      <c r="M1207" s="24" t="s">
        <v>45</v>
      </c>
      <c r="N1207" s="33" t="s">
        <v>46</v>
      </c>
      <c r="O1207" s="3" t="s">
        <v>2</v>
      </c>
    </row>
    <row r="1208" spans="1:16" ht="14.25" thickBot="1" x14ac:dyDescent="0.2">
      <c r="A1208" s="72" t="s">
        <v>79</v>
      </c>
      <c r="B1208" s="73">
        <f>B1203</f>
        <v>13</v>
      </c>
      <c r="C1208" s="74">
        <f t="shared" ref="C1208:F1208" si="328">C1203</f>
        <v>9</v>
      </c>
      <c r="D1208" s="107">
        <f t="shared" si="328"/>
        <v>4</v>
      </c>
      <c r="E1208" s="75">
        <f t="shared" si="328"/>
        <v>13</v>
      </c>
      <c r="F1208" s="75">
        <f t="shared" si="328"/>
        <v>12</v>
      </c>
      <c r="G1208" s="76">
        <f t="shared" ref="G1208:G1217" si="329">SUM(B1208:F1208)</f>
        <v>51</v>
      </c>
      <c r="I1208" s="72" t="s">
        <v>79</v>
      </c>
      <c r="J1208" s="73">
        <f>J1203</f>
        <v>268</v>
      </c>
      <c r="K1208" s="74">
        <f t="shared" ref="K1208:N1208" si="330">K1203</f>
        <v>257</v>
      </c>
      <c r="L1208" s="107">
        <f t="shared" si="330"/>
        <v>243</v>
      </c>
      <c r="M1208" s="75">
        <f t="shared" si="330"/>
        <v>247</v>
      </c>
      <c r="N1208" s="75">
        <f t="shared" si="330"/>
        <v>218</v>
      </c>
      <c r="O1208" s="76">
        <f t="shared" ref="O1208:O1217" si="331">SUM(J1208:N1208)</f>
        <v>1233</v>
      </c>
    </row>
    <row r="1209" spans="1:16" x14ac:dyDescent="0.15">
      <c r="A1209" s="38" t="s">
        <v>15</v>
      </c>
      <c r="B1209" s="37"/>
      <c r="C1209" s="35"/>
      <c r="D1209" s="35">
        <v>10</v>
      </c>
      <c r="E1209" s="35"/>
      <c r="F1209" s="28">
        <v>5</v>
      </c>
      <c r="G1209" s="7">
        <f t="shared" si="329"/>
        <v>15</v>
      </c>
      <c r="H1209" s="58">
        <v>43333</v>
      </c>
      <c r="I1209" s="38" t="s">
        <v>15</v>
      </c>
      <c r="J1209" s="8">
        <v>2</v>
      </c>
      <c r="K1209" s="10"/>
      <c r="L1209" s="10"/>
      <c r="M1209" s="10">
        <v>2</v>
      </c>
      <c r="N1209" s="30"/>
      <c r="O1209" s="7">
        <f t="shared" si="331"/>
        <v>4</v>
      </c>
      <c r="P1209" s="57">
        <v>43351</v>
      </c>
    </row>
    <row r="1210" spans="1:16" x14ac:dyDescent="0.15">
      <c r="A1210" s="38" t="s">
        <v>707</v>
      </c>
      <c r="B1210" s="8"/>
      <c r="C1210" s="10"/>
      <c r="D1210" s="10"/>
      <c r="E1210" s="10">
        <v>8</v>
      </c>
      <c r="F1210" s="28">
        <v>1</v>
      </c>
      <c r="G1210" s="9">
        <f t="shared" si="329"/>
        <v>9</v>
      </c>
      <c r="H1210" s="58">
        <v>43333</v>
      </c>
      <c r="I1210" s="15" t="s">
        <v>3</v>
      </c>
      <c r="J1210" s="8"/>
      <c r="K1210" s="10"/>
      <c r="L1210" s="10"/>
      <c r="M1210" s="10"/>
      <c r="N1210" s="28"/>
      <c r="O1210" s="9">
        <f t="shared" si="331"/>
        <v>0</v>
      </c>
    </row>
    <row r="1211" spans="1:16" x14ac:dyDescent="0.15">
      <c r="A1211" s="38" t="s">
        <v>16</v>
      </c>
      <c r="B1211" s="8"/>
      <c r="C1211" s="10">
        <v>10</v>
      </c>
      <c r="D1211" s="10"/>
      <c r="E1211" s="10"/>
      <c r="F1211" s="28">
        <v>5</v>
      </c>
      <c r="G1211" s="9">
        <f t="shared" ref="G1211" si="332">SUM(B1211:F1211)</f>
        <v>15</v>
      </c>
      <c r="H1211" s="58">
        <v>43336</v>
      </c>
      <c r="I1211" s="15" t="s">
        <v>18</v>
      </c>
      <c r="J1211" s="8"/>
      <c r="K1211" s="10"/>
      <c r="L1211" s="10"/>
      <c r="M1211" s="10"/>
      <c r="N1211" s="28"/>
      <c r="O1211" s="9">
        <f t="shared" si="331"/>
        <v>0</v>
      </c>
    </row>
    <row r="1212" spans="1:16" x14ac:dyDescent="0.15">
      <c r="A1212" s="38" t="s">
        <v>20</v>
      </c>
      <c r="B1212" s="8">
        <v>5</v>
      </c>
      <c r="C1212" s="10">
        <v>5</v>
      </c>
      <c r="D1212" s="10">
        <v>5</v>
      </c>
      <c r="E1212" s="10">
        <v>5</v>
      </c>
      <c r="F1212" s="28">
        <v>10</v>
      </c>
      <c r="G1212" s="9">
        <f t="shared" si="329"/>
        <v>30</v>
      </c>
      <c r="H1212" s="58">
        <v>43341</v>
      </c>
      <c r="I1212" s="15" t="s">
        <v>20</v>
      </c>
      <c r="J1212" s="8"/>
      <c r="K1212" s="10"/>
      <c r="L1212" s="10"/>
      <c r="M1212" s="10"/>
      <c r="N1212" s="28"/>
      <c r="O1212" s="9">
        <f t="shared" si="331"/>
        <v>0</v>
      </c>
    </row>
    <row r="1213" spans="1:16" x14ac:dyDescent="0.15">
      <c r="A1213" s="38" t="s">
        <v>80</v>
      </c>
      <c r="B1213" s="8"/>
      <c r="C1213" s="10"/>
      <c r="D1213" s="10">
        <v>1</v>
      </c>
      <c r="E1213" s="10"/>
      <c r="F1213" s="28"/>
      <c r="G1213" s="9">
        <f t="shared" si="329"/>
        <v>1</v>
      </c>
      <c r="H1213" s="57">
        <v>43336</v>
      </c>
      <c r="I1213" s="15" t="s">
        <v>80</v>
      </c>
      <c r="J1213" s="8"/>
      <c r="K1213" s="10"/>
      <c r="L1213" s="10"/>
      <c r="M1213" s="10"/>
      <c r="N1213" s="28"/>
      <c r="O1213" s="9">
        <f t="shared" si="331"/>
        <v>0</v>
      </c>
    </row>
    <row r="1214" spans="1:16" x14ac:dyDescent="0.15">
      <c r="A1214" s="38" t="s">
        <v>17</v>
      </c>
      <c r="B1214" s="8"/>
      <c r="C1214" s="10"/>
      <c r="D1214" s="10"/>
      <c r="E1214" s="10">
        <v>1</v>
      </c>
      <c r="F1214" s="28"/>
      <c r="G1214" s="9">
        <f t="shared" si="329"/>
        <v>1</v>
      </c>
      <c r="H1214" s="58">
        <v>43341</v>
      </c>
      <c r="I1214" s="15" t="s">
        <v>81</v>
      </c>
      <c r="J1214" s="8"/>
      <c r="K1214" s="10"/>
      <c r="L1214" s="10"/>
      <c r="M1214" s="10"/>
      <c r="N1214" s="28"/>
      <c r="O1214" s="9">
        <f t="shared" si="331"/>
        <v>0</v>
      </c>
    </row>
    <row r="1215" spans="1:16" x14ac:dyDescent="0.15">
      <c r="A1215" s="38" t="s">
        <v>271</v>
      </c>
      <c r="B1215" s="8">
        <v>1</v>
      </c>
      <c r="C1215" s="10"/>
      <c r="D1215" s="10"/>
      <c r="E1215" s="10"/>
      <c r="F1215" s="30"/>
      <c r="G1215" s="7">
        <f t="shared" si="329"/>
        <v>1</v>
      </c>
      <c r="H1215" s="57">
        <v>43341</v>
      </c>
      <c r="I1215" s="15" t="s">
        <v>82</v>
      </c>
      <c r="J1215" s="8"/>
      <c r="K1215" s="10"/>
      <c r="L1215" s="10"/>
      <c r="M1215" s="10"/>
      <c r="N1215" s="30"/>
      <c r="O1215" s="7">
        <f t="shared" si="331"/>
        <v>0</v>
      </c>
      <c r="P1215" s="58"/>
    </row>
    <row r="1216" spans="1:16" x14ac:dyDescent="0.15">
      <c r="A1216" s="38" t="s">
        <v>83</v>
      </c>
      <c r="B1216" s="11"/>
      <c r="C1216" s="100"/>
      <c r="D1216" s="100">
        <v>20</v>
      </c>
      <c r="E1216" s="100"/>
      <c r="F1216" s="101"/>
      <c r="G1216" s="102">
        <f t="shared" si="329"/>
        <v>20</v>
      </c>
      <c r="H1216" s="58">
        <v>43344</v>
      </c>
      <c r="I1216" s="15" t="s">
        <v>83</v>
      </c>
      <c r="J1216" s="8"/>
      <c r="K1216" s="10"/>
      <c r="L1216" s="10"/>
      <c r="M1216" s="10"/>
      <c r="N1216" s="30"/>
      <c r="O1216" s="7">
        <f t="shared" si="331"/>
        <v>0</v>
      </c>
      <c r="P1216" s="56"/>
    </row>
    <row r="1217" spans="1:17" ht="14.25" thickBot="1" x14ac:dyDescent="0.2">
      <c r="A1217" s="38" t="s">
        <v>159</v>
      </c>
      <c r="B1217" s="11"/>
      <c r="C1217" s="100"/>
      <c r="D1217" s="100"/>
      <c r="E1217" s="100"/>
      <c r="F1217" s="101">
        <v>10</v>
      </c>
      <c r="G1217" s="102">
        <f t="shared" si="329"/>
        <v>10</v>
      </c>
      <c r="H1217" s="58">
        <v>43347</v>
      </c>
      <c r="I1217" s="15" t="s">
        <v>87</v>
      </c>
      <c r="J1217" s="11"/>
      <c r="K1217" s="100"/>
      <c r="L1217" s="100"/>
      <c r="M1217" s="100"/>
      <c r="N1217" s="101"/>
      <c r="O1217" s="102">
        <f t="shared" si="331"/>
        <v>0</v>
      </c>
    </row>
    <row r="1218" spans="1:17" ht="14.25" thickBot="1" x14ac:dyDescent="0.2">
      <c r="A1218" s="72" t="s">
        <v>7</v>
      </c>
      <c r="B1218" s="73">
        <f>SUM(B1208:B1217)</f>
        <v>19</v>
      </c>
      <c r="C1218" s="74">
        <f t="shared" ref="C1218:G1218" si="333">SUM(C1208:C1217)</f>
        <v>24</v>
      </c>
      <c r="D1218" s="74">
        <f t="shared" si="333"/>
        <v>40</v>
      </c>
      <c r="E1218" s="74">
        <f t="shared" si="333"/>
        <v>27</v>
      </c>
      <c r="F1218" s="105">
        <f t="shared" si="333"/>
        <v>43</v>
      </c>
      <c r="G1218" s="76">
        <f t="shared" si="333"/>
        <v>153</v>
      </c>
      <c r="I1218" s="72" t="s">
        <v>7</v>
      </c>
      <c r="J1218" s="73">
        <f>SUM(J1208:J1217)</f>
        <v>270</v>
      </c>
      <c r="K1218" s="74">
        <f t="shared" ref="K1218:O1218" si="334">SUM(K1208:K1217)</f>
        <v>257</v>
      </c>
      <c r="L1218" s="74">
        <f t="shared" si="334"/>
        <v>243</v>
      </c>
      <c r="M1218" s="74">
        <f t="shared" si="334"/>
        <v>249</v>
      </c>
      <c r="N1218" s="105">
        <f t="shared" si="334"/>
        <v>218</v>
      </c>
      <c r="O1218" s="76">
        <f t="shared" si="334"/>
        <v>1237</v>
      </c>
    </row>
    <row r="1219" spans="1:17" x14ac:dyDescent="0.15">
      <c r="A1219" s="16" t="s">
        <v>110</v>
      </c>
      <c r="B1219" s="8"/>
      <c r="C1219" s="10">
        <v>2</v>
      </c>
      <c r="D1219" s="10"/>
      <c r="E1219" s="10"/>
      <c r="F1219" s="30"/>
      <c r="G1219" s="7">
        <f t="shared" ref="G1219" si="335">SUM(B1219:F1219)</f>
        <v>2</v>
      </c>
      <c r="H1219" s="58">
        <v>43332</v>
      </c>
      <c r="I1219" s="16" t="s">
        <v>810</v>
      </c>
      <c r="J1219" s="17"/>
      <c r="K1219" s="22"/>
      <c r="L1219" s="22">
        <v>10</v>
      </c>
      <c r="M1219" s="22"/>
      <c r="N1219" s="29">
        <v>5</v>
      </c>
      <c r="O1219" s="18">
        <f t="shared" ref="O1219:O1238" si="336">SUM(J1219:N1219)</f>
        <v>15</v>
      </c>
      <c r="P1219" s="58">
        <v>43333</v>
      </c>
    </row>
    <row r="1220" spans="1:17" x14ac:dyDescent="0.15">
      <c r="A1220" s="14" t="s">
        <v>25</v>
      </c>
      <c r="B1220" s="8"/>
      <c r="C1220" s="10">
        <v>4</v>
      </c>
      <c r="D1220" s="10"/>
      <c r="E1220" s="10"/>
      <c r="F1220" s="30">
        <v>1</v>
      </c>
      <c r="G1220" s="7">
        <f t="shared" ref="G1220:G1244" si="337">SUM(B1220:F1220)</f>
        <v>5</v>
      </c>
      <c r="H1220" s="58">
        <v>43333</v>
      </c>
      <c r="I1220" s="16" t="s">
        <v>110</v>
      </c>
      <c r="J1220" s="8"/>
      <c r="K1220" s="10"/>
      <c r="L1220" s="10"/>
      <c r="M1220" s="10"/>
      <c r="N1220" s="28">
        <v>4</v>
      </c>
      <c r="O1220" s="9">
        <f t="shared" si="336"/>
        <v>4</v>
      </c>
      <c r="P1220" s="58">
        <v>43339</v>
      </c>
    </row>
    <row r="1221" spans="1:17" x14ac:dyDescent="0.15">
      <c r="A1221" s="14" t="s">
        <v>182</v>
      </c>
      <c r="B1221" s="8">
        <v>3</v>
      </c>
      <c r="C1221" s="10">
        <v>5</v>
      </c>
      <c r="D1221" s="10"/>
      <c r="E1221" s="10"/>
      <c r="F1221" s="30">
        <v>2</v>
      </c>
      <c r="G1221" s="7">
        <f t="shared" si="337"/>
        <v>10</v>
      </c>
      <c r="H1221" s="58">
        <v>43334</v>
      </c>
      <c r="I1221" s="16" t="s">
        <v>24</v>
      </c>
      <c r="J1221" s="8"/>
      <c r="K1221" s="10">
        <v>10</v>
      </c>
      <c r="L1221" s="10"/>
      <c r="M1221" s="10"/>
      <c r="N1221" s="30">
        <v>5</v>
      </c>
      <c r="O1221" s="7">
        <f t="shared" si="336"/>
        <v>15</v>
      </c>
      <c r="P1221" s="58">
        <v>43336</v>
      </c>
    </row>
    <row r="1222" spans="1:17" x14ac:dyDescent="0.15">
      <c r="A1222" s="14" t="s">
        <v>141</v>
      </c>
      <c r="B1222" s="8"/>
      <c r="C1222" s="10"/>
      <c r="D1222" s="10"/>
      <c r="E1222" s="10"/>
      <c r="F1222" s="30">
        <v>1</v>
      </c>
      <c r="G1222" s="7">
        <f t="shared" si="337"/>
        <v>1</v>
      </c>
      <c r="H1222" s="58">
        <v>43334</v>
      </c>
      <c r="I1222" s="16" t="s">
        <v>24</v>
      </c>
      <c r="J1222" s="8">
        <v>5</v>
      </c>
      <c r="K1222" s="10">
        <v>5</v>
      </c>
      <c r="L1222" s="10">
        <v>5</v>
      </c>
      <c r="M1222" s="10">
        <v>5</v>
      </c>
      <c r="N1222" s="30">
        <v>10</v>
      </c>
      <c r="O1222" s="7">
        <f t="shared" si="336"/>
        <v>30</v>
      </c>
      <c r="P1222" s="58">
        <v>43341</v>
      </c>
    </row>
    <row r="1223" spans="1:17" x14ac:dyDescent="0.15">
      <c r="A1223" s="14" t="s">
        <v>25</v>
      </c>
      <c r="B1223" s="8">
        <v>1</v>
      </c>
      <c r="C1223" s="10"/>
      <c r="D1223" s="10">
        <v>3</v>
      </c>
      <c r="E1223" s="10">
        <v>1</v>
      </c>
      <c r="F1223" s="30"/>
      <c r="G1223" s="7">
        <f t="shared" si="337"/>
        <v>5</v>
      </c>
      <c r="H1223" s="58">
        <v>43335</v>
      </c>
      <c r="I1223" s="16" t="s">
        <v>819</v>
      </c>
      <c r="J1223" s="8"/>
      <c r="K1223" s="10"/>
      <c r="L1223" s="10">
        <v>20</v>
      </c>
      <c r="M1223" s="10"/>
      <c r="N1223" s="30"/>
      <c r="O1223" s="7">
        <f t="shared" si="336"/>
        <v>20</v>
      </c>
      <c r="P1223" s="58">
        <v>43344</v>
      </c>
      <c r="Q1223" s="56"/>
    </row>
    <row r="1224" spans="1:17" x14ac:dyDescent="0.15">
      <c r="A1224" s="14" t="s">
        <v>182</v>
      </c>
      <c r="B1224" s="8"/>
      <c r="C1224" s="10"/>
      <c r="D1224" s="10"/>
      <c r="E1224" s="10">
        <v>1</v>
      </c>
      <c r="F1224" s="30"/>
      <c r="G1224" s="7">
        <f t="shared" si="337"/>
        <v>1</v>
      </c>
      <c r="H1224" s="58">
        <v>43336</v>
      </c>
      <c r="I1224" s="16" t="s">
        <v>110</v>
      </c>
      <c r="J1224" s="8"/>
      <c r="K1224" s="10">
        <v>2</v>
      </c>
      <c r="L1224" s="10">
        <v>3</v>
      </c>
      <c r="M1224" s="10">
        <v>2</v>
      </c>
      <c r="N1224" s="30">
        <v>2</v>
      </c>
      <c r="O1224" s="7">
        <f t="shared" si="336"/>
        <v>9</v>
      </c>
      <c r="P1224" s="58">
        <v>43350</v>
      </c>
    </row>
    <row r="1225" spans="1:17" x14ac:dyDescent="0.15">
      <c r="A1225" s="14" t="s">
        <v>141</v>
      </c>
      <c r="B1225" s="8"/>
      <c r="C1225" s="10"/>
      <c r="D1225" s="10"/>
      <c r="E1225" s="10">
        <v>1</v>
      </c>
      <c r="F1225" s="30"/>
      <c r="G1225" s="7">
        <f t="shared" si="337"/>
        <v>1</v>
      </c>
      <c r="H1225" s="58">
        <v>43335</v>
      </c>
      <c r="I1225" s="16" t="s">
        <v>24</v>
      </c>
      <c r="J1225" s="8"/>
      <c r="K1225" s="10"/>
      <c r="L1225" s="10"/>
      <c r="M1225" s="10"/>
      <c r="N1225" s="30">
        <v>10</v>
      </c>
      <c r="O1225" s="7">
        <f t="shared" si="336"/>
        <v>10</v>
      </c>
      <c r="P1225" s="58">
        <v>43347</v>
      </c>
    </row>
    <row r="1226" spans="1:17" x14ac:dyDescent="0.15">
      <c r="A1226" s="14" t="s">
        <v>182</v>
      </c>
      <c r="B1226" s="8">
        <v>3</v>
      </c>
      <c r="C1226" s="10">
        <v>7</v>
      </c>
      <c r="D1226" s="10"/>
      <c r="E1226" s="10"/>
      <c r="F1226" s="30">
        <v>3</v>
      </c>
      <c r="G1226" s="7">
        <f t="shared" si="337"/>
        <v>13</v>
      </c>
      <c r="H1226" s="58">
        <v>43339</v>
      </c>
      <c r="I1226" s="16" t="s">
        <v>24</v>
      </c>
      <c r="J1226" s="8"/>
      <c r="K1226" s="10">
        <v>10</v>
      </c>
      <c r="L1226" s="10"/>
      <c r="M1226" s="10">
        <v>10</v>
      </c>
      <c r="N1226" s="30"/>
      <c r="O1226" s="7">
        <f t="shared" si="336"/>
        <v>20</v>
      </c>
      <c r="P1226" s="58">
        <v>43349</v>
      </c>
    </row>
    <row r="1227" spans="1:17" x14ac:dyDescent="0.15">
      <c r="A1227" s="14" t="s">
        <v>813</v>
      </c>
      <c r="B1227" s="8"/>
      <c r="C1227" s="10"/>
      <c r="D1227" s="10"/>
      <c r="E1227" s="10"/>
      <c r="F1227" s="30">
        <v>10</v>
      </c>
      <c r="G1227" s="7">
        <f t="shared" si="337"/>
        <v>10</v>
      </c>
      <c r="H1227" s="58">
        <v>43342</v>
      </c>
      <c r="I1227" s="39"/>
      <c r="J1227" s="8"/>
      <c r="K1227" s="10"/>
      <c r="L1227" s="10"/>
      <c r="M1227" s="10"/>
      <c r="N1227" s="30"/>
      <c r="O1227" s="7">
        <f t="shared" si="336"/>
        <v>0</v>
      </c>
    </row>
    <row r="1228" spans="1:17" x14ac:dyDescent="0.15">
      <c r="A1228" s="14" t="s">
        <v>815</v>
      </c>
      <c r="B1228" s="11"/>
      <c r="C1228" s="12"/>
      <c r="D1228" s="12">
        <v>1</v>
      </c>
      <c r="E1228" s="12"/>
      <c r="F1228" s="31"/>
      <c r="G1228" s="7">
        <f t="shared" si="337"/>
        <v>1</v>
      </c>
      <c r="H1228" s="58">
        <v>43335</v>
      </c>
      <c r="I1228" s="16"/>
      <c r="J1228" s="11"/>
      <c r="K1228" s="12"/>
      <c r="L1228" s="12"/>
      <c r="M1228" s="12"/>
      <c r="N1228" s="31"/>
      <c r="O1228" s="7">
        <f t="shared" si="336"/>
        <v>0</v>
      </c>
    </row>
    <row r="1229" spans="1:17" x14ac:dyDescent="0.15">
      <c r="A1229" s="14" t="s">
        <v>790</v>
      </c>
      <c r="B1229" s="11"/>
      <c r="C1229" s="12">
        <v>2</v>
      </c>
      <c r="D1229" s="12"/>
      <c r="E1229" s="12"/>
      <c r="F1229" s="31"/>
      <c r="G1229" s="7">
        <f t="shared" si="337"/>
        <v>2</v>
      </c>
      <c r="H1229" s="58">
        <v>43340</v>
      </c>
      <c r="I1229" s="16"/>
      <c r="J1229" s="8"/>
      <c r="K1229" s="10"/>
      <c r="L1229" s="10"/>
      <c r="M1229" s="10"/>
      <c r="N1229" s="30"/>
      <c r="O1229" s="7">
        <f t="shared" si="336"/>
        <v>0</v>
      </c>
    </row>
    <row r="1230" spans="1:17" x14ac:dyDescent="0.15">
      <c r="A1230" s="14" t="s">
        <v>182</v>
      </c>
      <c r="B1230" s="8"/>
      <c r="C1230" s="10"/>
      <c r="D1230" s="10">
        <v>2</v>
      </c>
      <c r="E1230" s="10">
        <v>3</v>
      </c>
      <c r="F1230" s="30"/>
      <c r="G1230" s="7">
        <f t="shared" si="337"/>
        <v>5</v>
      </c>
      <c r="H1230" s="58">
        <v>43341</v>
      </c>
      <c r="I1230" s="39"/>
      <c r="J1230" s="8"/>
      <c r="K1230" s="10"/>
      <c r="L1230" s="10"/>
      <c r="M1230" s="10"/>
      <c r="N1230" s="30"/>
      <c r="O1230" s="7">
        <f t="shared" si="336"/>
        <v>0</v>
      </c>
    </row>
    <row r="1231" spans="1:17" x14ac:dyDescent="0.15">
      <c r="A1231" s="14" t="s">
        <v>814</v>
      </c>
      <c r="B1231" s="8"/>
      <c r="C1231" s="10"/>
      <c r="D1231" s="10">
        <v>1</v>
      </c>
      <c r="E1231" s="10"/>
      <c r="F1231" s="30">
        <v>1</v>
      </c>
      <c r="G1231" s="7">
        <f t="shared" si="337"/>
        <v>2</v>
      </c>
      <c r="H1231" s="58">
        <v>43339</v>
      </c>
      <c r="I1231" s="16"/>
      <c r="J1231" s="8"/>
      <c r="K1231" s="10"/>
      <c r="L1231" s="10"/>
      <c r="M1231" s="10"/>
      <c r="N1231" s="30"/>
      <c r="O1231" s="7">
        <f t="shared" si="336"/>
        <v>0</v>
      </c>
    </row>
    <row r="1232" spans="1:17" x14ac:dyDescent="0.15">
      <c r="A1232" s="14" t="s">
        <v>182</v>
      </c>
      <c r="B1232" s="8"/>
      <c r="C1232" s="10"/>
      <c r="D1232" s="10"/>
      <c r="E1232" s="10">
        <v>2</v>
      </c>
      <c r="F1232" s="30"/>
      <c r="G1232" s="7">
        <f t="shared" si="337"/>
        <v>2</v>
      </c>
      <c r="H1232" s="58">
        <v>43341</v>
      </c>
      <c r="I1232" s="16"/>
      <c r="J1232" s="8"/>
      <c r="K1232" s="10"/>
      <c r="L1232" s="10"/>
      <c r="M1232" s="10"/>
      <c r="N1232" s="30"/>
      <c r="O1232" s="7">
        <f t="shared" si="336"/>
        <v>0</v>
      </c>
      <c r="P1232" s="56"/>
    </row>
    <row r="1233" spans="1:16" x14ac:dyDescent="0.15">
      <c r="A1233" s="14" t="s">
        <v>29</v>
      </c>
      <c r="B1233" s="8"/>
      <c r="C1233" s="10"/>
      <c r="D1233" s="10"/>
      <c r="E1233" s="10"/>
      <c r="F1233" s="30">
        <v>1</v>
      </c>
      <c r="G1233" s="7">
        <f t="shared" si="337"/>
        <v>1</v>
      </c>
      <c r="H1233" s="58">
        <v>43340</v>
      </c>
      <c r="I1233" s="62"/>
      <c r="J1233" s="8"/>
      <c r="K1233" s="10"/>
      <c r="L1233" s="10"/>
      <c r="M1233" s="10"/>
      <c r="N1233" s="30"/>
      <c r="O1233" s="7">
        <f t="shared" si="336"/>
        <v>0</v>
      </c>
      <c r="P1233" s="56"/>
    </row>
    <row r="1234" spans="1:16" x14ac:dyDescent="0.15">
      <c r="A1234" s="14" t="s">
        <v>818</v>
      </c>
      <c r="B1234" s="8"/>
      <c r="C1234" s="10"/>
      <c r="D1234" s="10">
        <v>1</v>
      </c>
      <c r="E1234" s="10">
        <v>1</v>
      </c>
      <c r="F1234" s="30"/>
      <c r="G1234" s="7">
        <f t="shared" si="337"/>
        <v>2</v>
      </c>
      <c r="H1234" s="58">
        <v>43342</v>
      </c>
      <c r="I1234" s="14"/>
      <c r="J1234" s="8"/>
      <c r="K1234" s="10"/>
      <c r="L1234" s="10"/>
      <c r="M1234" s="10"/>
      <c r="N1234" s="30"/>
      <c r="O1234" s="7">
        <f t="shared" si="336"/>
        <v>0</v>
      </c>
      <c r="P1234" s="56"/>
    </row>
    <row r="1235" spans="1:16" x14ac:dyDescent="0.15">
      <c r="A1235" s="14" t="s">
        <v>182</v>
      </c>
      <c r="B1235" s="8"/>
      <c r="C1235" s="10"/>
      <c r="D1235" s="10">
        <v>2</v>
      </c>
      <c r="E1235" s="10"/>
      <c r="F1235" s="30"/>
      <c r="G1235" s="7">
        <f t="shared" si="337"/>
        <v>2</v>
      </c>
      <c r="H1235" s="58">
        <v>43343</v>
      </c>
      <c r="I1235" s="14"/>
      <c r="J1235" s="11"/>
      <c r="K1235" s="12"/>
      <c r="L1235" s="12"/>
      <c r="M1235" s="12"/>
      <c r="N1235" s="31"/>
      <c r="O1235" s="7">
        <f t="shared" si="336"/>
        <v>0</v>
      </c>
      <c r="P1235" s="56"/>
    </row>
    <row r="1236" spans="1:16" x14ac:dyDescent="0.15">
      <c r="A1236" s="14" t="s">
        <v>22</v>
      </c>
      <c r="B1236" s="8"/>
      <c r="C1236" s="10"/>
      <c r="D1236" s="10">
        <v>10</v>
      </c>
      <c r="E1236" s="10"/>
      <c r="F1236" s="30"/>
      <c r="G1236" s="7">
        <f t="shared" si="337"/>
        <v>10</v>
      </c>
      <c r="H1236" s="58">
        <v>43347</v>
      </c>
      <c r="I1236" s="39"/>
      <c r="J1236" s="8"/>
      <c r="K1236" s="10"/>
      <c r="L1236" s="10"/>
      <c r="M1236" s="10"/>
      <c r="N1236" s="30"/>
      <c r="O1236" s="7">
        <f t="shared" si="336"/>
        <v>0</v>
      </c>
      <c r="P1236" s="56"/>
    </row>
    <row r="1237" spans="1:16" x14ac:dyDescent="0.15">
      <c r="A1237" s="14" t="s">
        <v>182</v>
      </c>
      <c r="B1237" s="8"/>
      <c r="C1237" s="10"/>
      <c r="D1237" s="10"/>
      <c r="E1237" s="10">
        <v>3</v>
      </c>
      <c r="F1237" s="30">
        <v>2</v>
      </c>
      <c r="G1237" s="7">
        <f t="shared" si="337"/>
        <v>5</v>
      </c>
      <c r="H1237" s="58">
        <v>43343</v>
      </c>
      <c r="I1237" s="14"/>
      <c r="J1237" s="8"/>
      <c r="K1237" s="10"/>
      <c r="L1237" s="10"/>
      <c r="M1237" s="10"/>
      <c r="N1237" s="30"/>
      <c r="O1237" s="7">
        <f t="shared" si="336"/>
        <v>0</v>
      </c>
      <c r="P1237" s="58"/>
    </row>
    <row r="1238" spans="1:16" x14ac:dyDescent="0.15">
      <c r="A1238" s="14" t="s">
        <v>25</v>
      </c>
      <c r="B1238" s="8"/>
      <c r="C1238" s="10"/>
      <c r="D1238" s="10">
        <v>1</v>
      </c>
      <c r="E1238" s="10"/>
      <c r="F1238" s="30">
        <v>8</v>
      </c>
      <c r="G1238" s="7">
        <f t="shared" si="337"/>
        <v>9</v>
      </c>
      <c r="H1238" s="58">
        <v>43347</v>
      </c>
      <c r="I1238" s="94"/>
      <c r="J1238" s="65"/>
      <c r="K1238" s="66"/>
      <c r="L1238" s="66"/>
      <c r="M1238" s="66"/>
      <c r="N1238" s="67"/>
      <c r="O1238" s="7">
        <f t="shared" si="336"/>
        <v>0</v>
      </c>
      <c r="P1238" s="113"/>
    </row>
    <row r="1239" spans="1:16" x14ac:dyDescent="0.15">
      <c r="A1239" s="14" t="s">
        <v>824</v>
      </c>
      <c r="B1239" s="8"/>
      <c r="C1239" s="10"/>
      <c r="D1239" s="10"/>
      <c r="E1239" s="10">
        <v>1</v>
      </c>
      <c r="F1239" s="30"/>
      <c r="G1239" s="7">
        <f t="shared" si="337"/>
        <v>1</v>
      </c>
      <c r="H1239" s="58">
        <v>43347</v>
      </c>
      <c r="I1239" s="39"/>
      <c r="J1239" s="8"/>
      <c r="K1239" s="10"/>
      <c r="L1239" s="10"/>
      <c r="M1239" s="10"/>
      <c r="N1239" s="30"/>
      <c r="O1239" s="7">
        <f t="shared" ref="O1239:O1240" si="338">SUM(J1239:N1239)</f>
        <v>0</v>
      </c>
      <c r="P1239" s="56"/>
    </row>
    <row r="1240" spans="1:16" x14ac:dyDescent="0.15">
      <c r="A1240" s="14" t="s">
        <v>161</v>
      </c>
      <c r="B1240" s="11"/>
      <c r="C1240" s="12"/>
      <c r="D1240" s="12"/>
      <c r="E1240" s="12">
        <v>3</v>
      </c>
      <c r="F1240" s="31"/>
      <c r="G1240" s="7">
        <f t="shared" si="337"/>
        <v>3</v>
      </c>
      <c r="H1240" s="58">
        <v>43354</v>
      </c>
      <c r="I1240" s="16"/>
      <c r="J1240" s="8"/>
      <c r="K1240" s="10"/>
      <c r="L1240" s="10"/>
      <c r="M1240" s="10"/>
      <c r="N1240" s="30"/>
      <c r="O1240" s="7">
        <f t="shared" si="338"/>
        <v>0</v>
      </c>
      <c r="P1240" s="58"/>
    </row>
    <row r="1241" spans="1:16" x14ac:dyDescent="0.15">
      <c r="A1241" s="38" t="s">
        <v>17</v>
      </c>
      <c r="B1241" s="8"/>
      <c r="C1241" s="10">
        <v>-1</v>
      </c>
      <c r="D1241" s="10">
        <v>-1</v>
      </c>
      <c r="E1241" s="10"/>
      <c r="F1241" s="30"/>
      <c r="G1241" s="7">
        <f t="shared" si="337"/>
        <v>-2</v>
      </c>
      <c r="H1241" s="58">
        <v>43347</v>
      </c>
      <c r="I1241" s="14"/>
      <c r="J1241" s="11"/>
      <c r="K1241" s="12"/>
      <c r="L1241" s="12"/>
      <c r="M1241" s="12"/>
      <c r="N1241" s="31"/>
      <c r="O1241" s="7">
        <f t="shared" ref="O1241:O1242" si="339">SUM(J1241:N1241)</f>
        <v>0</v>
      </c>
      <c r="P1241" s="56"/>
    </row>
    <row r="1242" spans="1:16" x14ac:dyDescent="0.15">
      <c r="A1242" s="14" t="s">
        <v>22</v>
      </c>
      <c r="B1242" s="8"/>
      <c r="C1242" s="10"/>
      <c r="D1242" s="10"/>
      <c r="E1242" s="10">
        <v>10</v>
      </c>
      <c r="F1242" s="30"/>
      <c r="G1242" s="7">
        <f t="shared" si="337"/>
        <v>10</v>
      </c>
      <c r="H1242" s="58">
        <v>43353</v>
      </c>
      <c r="I1242" s="16"/>
      <c r="J1242" s="8"/>
      <c r="K1242" s="10"/>
      <c r="L1242" s="10"/>
      <c r="M1242" s="10"/>
      <c r="N1242" s="30"/>
      <c r="O1242" s="7">
        <f t="shared" si="339"/>
        <v>0</v>
      </c>
      <c r="P1242" s="56"/>
    </row>
    <row r="1243" spans="1:16" x14ac:dyDescent="0.15">
      <c r="A1243" s="14" t="s">
        <v>826</v>
      </c>
      <c r="B1243" s="8"/>
      <c r="C1243" s="10">
        <v>-10</v>
      </c>
      <c r="D1243" s="10"/>
      <c r="E1243" s="10">
        <v>-10</v>
      </c>
      <c r="F1243" s="30"/>
      <c r="G1243" s="7">
        <f t="shared" si="337"/>
        <v>-20</v>
      </c>
      <c r="H1243" s="58">
        <v>43349</v>
      </c>
      <c r="I1243" s="14"/>
      <c r="J1243" s="8"/>
      <c r="K1243" s="10"/>
      <c r="L1243" s="10"/>
      <c r="M1243" s="10"/>
      <c r="N1243" s="30"/>
      <c r="O1243" s="7">
        <f t="shared" ref="O1243:O1244" si="340">SUM(J1243:N1243)</f>
        <v>0</v>
      </c>
      <c r="P1243" s="58"/>
    </row>
    <row r="1244" spans="1:16" ht="14.25" thickBot="1" x14ac:dyDescent="0.2">
      <c r="A1244" s="14" t="s">
        <v>25</v>
      </c>
      <c r="B1244" s="11"/>
      <c r="C1244" s="12">
        <v>2</v>
      </c>
      <c r="D1244" s="12">
        <v>2</v>
      </c>
      <c r="E1244" s="12"/>
      <c r="F1244" s="31"/>
      <c r="G1244" s="7">
        <f t="shared" si="337"/>
        <v>4</v>
      </c>
      <c r="H1244" s="58">
        <v>43349</v>
      </c>
      <c r="I1244" s="14"/>
      <c r="J1244" s="11"/>
      <c r="K1244" s="12"/>
      <c r="L1244" s="12"/>
      <c r="M1244" s="12"/>
      <c r="N1244" s="31"/>
      <c r="O1244" s="7">
        <f t="shared" si="340"/>
        <v>0</v>
      </c>
      <c r="P1244" s="56"/>
    </row>
    <row r="1245" spans="1:16" ht="14.25" thickBot="1" x14ac:dyDescent="0.2">
      <c r="A1245" s="3" t="s">
        <v>11</v>
      </c>
      <c r="B1245" s="23">
        <f>SUM(B1219:B1244)</f>
        <v>7</v>
      </c>
      <c r="C1245" s="4">
        <f>SUM(C1219:C1244)</f>
        <v>11</v>
      </c>
      <c r="D1245" s="4">
        <f>SUM(D1219:D1244)</f>
        <v>22</v>
      </c>
      <c r="E1245" s="6">
        <f>SUM(E1219:E1244)</f>
        <v>16</v>
      </c>
      <c r="F1245" s="32">
        <f>SUM(F1219:F1244)</f>
        <v>29</v>
      </c>
      <c r="G1245" s="5">
        <f>SUM(B1245:F1245)</f>
        <v>85</v>
      </c>
      <c r="I1245" s="3" t="s">
        <v>11</v>
      </c>
      <c r="J1245" s="23">
        <f>SUM(J1219:J1244)</f>
        <v>5</v>
      </c>
      <c r="K1245" s="4">
        <f>SUM(K1219:K1244)</f>
        <v>27</v>
      </c>
      <c r="L1245" s="4">
        <f>SUM(L1219:L1244)</f>
        <v>38</v>
      </c>
      <c r="M1245" s="6">
        <f>SUM(M1219:M1244)</f>
        <v>17</v>
      </c>
      <c r="N1245" s="6">
        <f>SUM(N1219:N1244)</f>
        <v>36</v>
      </c>
      <c r="O1245" s="5">
        <f>SUM(J1245:N1245)</f>
        <v>123</v>
      </c>
    </row>
    <row r="1246" spans="1:16" ht="14.25" thickBot="1" x14ac:dyDescent="0.2">
      <c r="A1246" s="25" t="s">
        <v>12</v>
      </c>
      <c r="B1246" s="63">
        <f>B1218-B1245</f>
        <v>12</v>
      </c>
      <c r="C1246" s="26">
        <f t="shared" ref="C1246:G1246" si="341">C1218-C1245</f>
        <v>13</v>
      </c>
      <c r="D1246" s="71">
        <f t="shared" si="341"/>
        <v>18</v>
      </c>
      <c r="E1246" s="26">
        <f t="shared" si="341"/>
        <v>11</v>
      </c>
      <c r="F1246" s="70">
        <f t="shared" si="341"/>
        <v>14</v>
      </c>
      <c r="G1246" s="27">
        <f t="shared" si="341"/>
        <v>68</v>
      </c>
      <c r="I1246" s="25" t="s">
        <v>12</v>
      </c>
      <c r="J1246" s="63">
        <f>J1218-J1245</f>
        <v>265</v>
      </c>
      <c r="K1246" s="26">
        <f t="shared" ref="K1246:O1246" si="342">K1218-K1245</f>
        <v>230</v>
      </c>
      <c r="L1246" s="71">
        <f t="shared" si="342"/>
        <v>205</v>
      </c>
      <c r="M1246" s="26">
        <f t="shared" si="342"/>
        <v>232</v>
      </c>
      <c r="N1246" s="70">
        <f t="shared" si="342"/>
        <v>182</v>
      </c>
      <c r="O1246" s="27">
        <f t="shared" si="342"/>
        <v>1114</v>
      </c>
    </row>
    <row r="1247" spans="1:16" ht="17.25" x14ac:dyDescent="0.2">
      <c r="A1247" s="79" t="s">
        <v>56</v>
      </c>
      <c r="B1247" s="80"/>
      <c r="C1247" s="80"/>
      <c r="D1247" s="80"/>
      <c r="E1247" s="80"/>
      <c r="F1247" s="80"/>
      <c r="G1247" s="80"/>
      <c r="I1247" s="79" t="s">
        <v>56</v>
      </c>
      <c r="J1247" s="80"/>
      <c r="K1247" s="80"/>
      <c r="L1247" s="80"/>
      <c r="M1247" s="80"/>
      <c r="N1247" s="80"/>
      <c r="O1247" s="1"/>
    </row>
    <row r="1248" spans="1:16" ht="21.75" thickBot="1" x14ac:dyDescent="0.25">
      <c r="A1248" s="82" t="s">
        <v>55</v>
      </c>
      <c r="B1248" s="80"/>
      <c r="C1248" s="80"/>
      <c r="D1248" s="80"/>
      <c r="E1248" s="81" t="s">
        <v>53</v>
      </c>
      <c r="F1248" s="80"/>
      <c r="G1248" s="80"/>
      <c r="I1248" s="82" t="s">
        <v>55</v>
      </c>
      <c r="J1248" s="80"/>
      <c r="K1248" s="80"/>
      <c r="L1248" s="80"/>
      <c r="M1248" s="81" t="s">
        <v>54</v>
      </c>
      <c r="N1248" s="80"/>
      <c r="O1248" s="1"/>
    </row>
    <row r="1249" spans="1:16" ht="14.25" thickBot="1" x14ac:dyDescent="0.2">
      <c r="A1249" s="13" t="s">
        <v>0</v>
      </c>
      <c r="B1249" s="228" t="s">
        <v>57</v>
      </c>
      <c r="C1249" s="229"/>
      <c r="D1249" s="229"/>
      <c r="E1249" s="229"/>
      <c r="F1249" s="230"/>
      <c r="G1249" s="231"/>
      <c r="I1249" s="13" t="s">
        <v>0</v>
      </c>
      <c r="J1249" s="232" t="s">
        <v>57</v>
      </c>
      <c r="K1249" s="233"/>
      <c r="L1249" s="233"/>
      <c r="M1249" s="233"/>
      <c r="N1249" s="233"/>
      <c r="O1249" s="234"/>
    </row>
    <row r="1250" spans="1:16" ht="14.25" thickBot="1" x14ac:dyDescent="0.2">
      <c r="A1250" s="3" t="s">
        <v>1</v>
      </c>
      <c r="B1250" s="2" t="s">
        <v>42</v>
      </c>
      <c r="C1250" s="21" t="s">
        <v>43</v>
      </c>
      <c r="D1250" s="21" t="s">
        <v>44</v>
      </c>
      <c r="E1250" s="24" t="s">
        <v>45</v>
      </c>
      <c r="F1250" s="33" t="s">
        <v>46</v>
      </c>
      <c r="G1250" s="3" t="s">
        <v>2</v>
      </c>
      <c r="I1250" s="3" t="s">
        <v>1</v>
      </c>
      <c r="J1250" s="2" t="s">
        <v>42</v>
      </c>
      <c r="K1250" s="21" t="s">
        <v>43</v>
      </c>
      <c r="L1250" s="21" t="s">
        <v>44</v>
      </c>
      <c r="M1250" s="24" t="s">
        <v>45</v>
      </c>
      <c r="N1250" s="33" t="s">
        <v>46</v>
      </c>
      <c r="O1250" s="3" t="s">
        <v>2</v>
      </c>
    </row>
    <row r="1251" spans="1:16" ht="14.25" thickBot="1" x14ac:dyDescent="0.2">
      <c r="A1251" s="72" t="s">
        <v>79</v>
      </c>
      <c r="B1251" s="73">
        <f>B1246</f>
        <v>12</v>
      </c>
      <c r="C1251" s="74">
        <f t="shared" ref="C1251:F1251" si="343">C1246</f>
        <v>13</v>
      </c>
      <c r="D1251" s="107">
        <f t="shared" si="343"/>
        <v>18</v>
      </c>
      <c r="E1251" s="75">
        <f t="shared" si="343"/>
        <v>11</v>
      </c>
      <c r="F1251" s="75">
        <f t="shared" si="343"/>
        <v>14</v>
      </c>
      <c r="G1251" s="76">
        <f t="shared" ref="G1251:G1260" si="344">SUM(B1251:F1251)</f>
        <v>68</v>
      </c>
      <c r="I1251" s="72" t="s">
        <v>79</v>
      </c>
      <c r="J1251" s="73">
        <f>J1246</f>
        <v>265</v>
      </c>
      <c r="K1251" s="74">
        <f t="shared" ref="K1251:N1251" si="345">K1246</f>
        <v>230</v>
      </c>
      <c r="L1251" s="107">
        <f t="shared" si="345"/>
        <v>205</v>
      </c>
      <c r="M1251" s="75">
        <f t="shared" si="345"/>
        <v>232</v>
      </c>
      <c r="N1251" s="75">
        <f t="shared" si="345"/>
        <v>182</v>
      </c>
      <c r="O1251" s="76">
        <f t="shared" ref="O1251:O1260" si="346">SUM(J1251:N1251)</f>
        <v>1114</v>
      </c>
    </row>
    <row r="1252" spans="1:16" x14ac:dyDescent="0.15">
      <c r="A1252" s="38" t="s">
        <v>830</v>
      </c>
      <c r="B1252" s="37">
        <v>1</v>
      </c>
      <c r="C1252" s="35">
        <v>1</v>
      </c>
      <c r="D1252" s="35">
        <v>1</v>
      </c>
      <c r="E1252" s="35"/>
      <c r="F1252" s="28"/>
      <c r="G1252" s="7">
        <f t="shared" si="344"/>
        <v>3</v>
      </c>
      <c r="H1252" s="58">
        <v>43353</v>
      </c>
      <c r="I1252" s="38" t="s">
        <v>15</v>
      </c>
      <c r="J1252" s="8"/>
      <c r="K1252" s="10"/>
      <c r="L1252" s="10"/>
      <c r="M1252" s="10"/>
      <c r="N1252" s="30"/>
      <c r="O1252" s="7">
        <f t="shared" si="346"/>
        <v>0</v>
      </c>
    </row>
    <row r="1253" spans="1:16" x14ac:dyDescent="0.15">
      <c r="A1253" s="38" t="s">
        <v>16</v>
      </c>
      <c r="B1253" s="8"/>
      <c r="C1253" s="10">
        <v>10</v>
      </c>
      <c r="D1253" s="10"/>
      <c r="E1253" s="10"/>
      <c r="F1253" s="28"/>
      <c r="G1253" s="9">
        <f t="shared" si="344"/>
        <v>10</v>
      </c>
      <c r="H1253" s="58">
        <v>43358</v>
      </c>
      <c r="I1253" s="15" t="s">
        <v>3</v>
      </c>
      <c r="J1253" s="8"/>
      <c r="K1253" s="10"/>
      <c r="L1253" s="10"/>
      <c r="M1253" s="10"/>
      <c r="N1253" s="28"/>
      <c r="O1253" s="9">
        <f t="shared" si="346"/>
        <v>0</v>
      </c>
    </row>
    <row r="1254" spans="1:16" x14ac:dyDescent="0.15">
      <c r="A1254" s="38" t="s">
        <v>18</v>
      </c>
      <c r="B1254" s="8">
        <v>20</v>
      </c>
      <c r="C1254" s="10"/>
      <c r="D1254" s="10"/>
      <c r="E1254" s="10"/>
      <c r="F1254" s="28">
        <v>10</v>
      </c>
      <c r="G1254" s="9">
        <f t="shared" si="344"/>
        <v>30</v>
      </c>
      <c r="H1254" s="58">
        <v>43362</v>
      </c>
      <c r="I1254" s="15" t="s">
        <v>18</v>
      </c>
      <c r="J1254" s="8"/>
      <c r="K1254" s="10"/>
      <c r="L1254" s="10"/>
      <c r="M1254" s="10"/>
      <c r="N1254" s="28"/>
      <c r="O1254" s="9">
        <f t="shared" si="346"/>
        <v>0</v>
      </c>
    </row>
    <row r="1255" spans="1:16" x14ac:dyDescent="0.15">
      <c r="A1255" s="38" t="s">
        <v>20</v>
      </c>
      <c r="B1255" s="8"/>
      <c r="C1255" s="10">
        <v>10</v>
      </c>
      <c r="D1255" s="10"/>
      <c r="E1255" s="10"/>
      <c r="F1255" s="28"/>
      <c r="G1255" s="9">
        <f t="shared" si="344"/>
        <v>10</v>
      </c>
      <c r="H1255" s="58">
        <v>43363</v>
      </c>
      <c r="I1255" s="15" t="s">
        <v>20</v>
      </c>
      <c r="J1255" s="8"/>
      <c r="K1255" s="10"/>
      <c r="L1255" s="10"/>
      <c r="M1255" s="10"/>
      <c r="N1255" s="28"/>
      <c r="O1255" s="9">
        <f t="shared" si="346"/>
        <v>0</v>
      </c>
    </row>
    <row r="1256" spans="1:16" x14ac:dyDescent="0.15">
      <c r="A1256" s="38" t="s">
        <v>80</v>
      </c>
      <c r="B1256" s="8"/>
      <c r="C1256" s="10"/>
      <c r="D1256" s="10"/>
      <c r="E1256" s="10">
        <v>10</v>
      </c>
      <c r="F1256" s="28">
        <v>10</v>
      </c>
      <c r="G1256" s="9">
        <f t="shared" si="344"/>
        <v>20</v>
      </c>
      <c r="H1256" s="58">
        <v>43368</v>
      </c>
      <c r="I1256" s="15" t="s">
        <v>80</v>
      </c>
      <c r="J1256" s="8"/>
      <c r="K1256" s="10"/>
      <c r="L1256" s="10"/>
      <c r="M1256" s="10"/>
      <c r="N1256" s="28"/>
      <c r="O1256" s="9">
        <f t="shared" si="346"/>
        <v>0</v>
      </c>
    </row>
    <row r="1257" spans="1:16" x14ac:dyDescent="0.15">
      <c r="A1257" s="38" t="s">
        <v>19</v>
      </c>
      <c r="B1257" s="8">
        <v>1</v>
      </c>
      <c r="C1257" s="10"/>
      <c r="D1257" s="10">
        <v>1</v>
      </c>
      <c r="E1257" s="10"/>
      <c r="F1257" s="28">
        <v>1</v>
      </c>
      <c r="G1257" s="9">
        <f t="shared" si="344"/>
        <v>3</v>
      </c>
      <c r="H1257" s="58">
        <v>43370</v>
      </c>
      <c r="I1257" s="15" t="s">
        <v>81</v>
      </c>
      <c r="J1257" s="8"/>
      <c r="K1257" s="10"/>
      <c r="L1257" s="10"/>
      <c r="M1257" s="10"/>
      <c r="N1257" s="28"/>
      <c r="O1257" s="9">
        <f t="shared" si="346"/>
        <v>0</v>
      </c>
    </row>
    <row r="1258" spans="1:16" x14ac:dyDescent="0.15">
      <c r="A1258" s="38" t="s">
        <v>830</v>
      </c>
      <c r="B1258" s="8">
        <v>1</v>
      </c>
      <c r="C1258" s="10"/>
      <c r="D1258" s="10"/>
      <c r="E1258" s="10"/>
      <c r="F1258" s="30"/>
      <c r="G1258" s="7">
        <f t="shared" si="344"/>
        <v>1</v>
      </c>
      <c r="H1258" s="58">
        <v>43384</v>
      </c>
      <c r="I1258" s="15" t="s">
        <v>82</v>
      </c>
      <c r="J1258" s="8"/>
      <c r="K1258" s="10"/>
      <c r="L1258" s="10"/>
      <c r="M1258" s="10"/>
      <c r="N1258" s="30"/>
      <c r="O1258" s="7">
        <f t="shared" si="346"/>
        <v>0</v>
      </c>
      <c r="P1258" s="58"/>
    </row>
    <row r="1259" spans="1:16" x14ac:dyDescent="0.15">
      <c r="A1259" s="38" t="s">
        <v>83</v>
      </c>
      <c r="B1259" s="11"/>
      <c r="C1259" s="100"/>
      <c r="D1259" s="100">
        <v>15</v>
      </c>
      <c r="E1259" s="100"/>
      <c r="F1259" s="101"/>
      <c r="G1259" s="102">
        <f t="shared" si="344"/>
        <v>15</v>
      </c>
      <c r="H1259" s="58">
        <v>43386</v>
      </c>
      <c r="I1259" s="15" t="s">
        <v>83</v>
      </c>
      <c r="J1259" s="8"/>
      <c r="K1259" s="10"/>
      <c r="L1259" s="10"/>
      <c r="M1259" s="10"/>
      <c r="N1259" s="30"/>
      <c r="O1259" s="7">
        <f t="shared" si="346"/>
        <v>0</v>
      </c>
      <c r="P1259" s="56"/>
    </row>
    <row r="1260" spans="1:16" ht="14.25" thickBot="1" x14ac:dyDescent="0.2">
      <c r="A1260" s="38" t="s">
        <v>159</v>
      </c>
      <c r="B1260" s="11"/>
      <c r="C1260" s="100"/>
      <c r="D1260" s="100"/>
      <c r="E1260" s="100"/>
      <c r="F1260" s="101"/>
      <c r="G1260" s="102">
        <f t="shared" si="344"/>
        <v>0</v>
      </c>
      <c r="H1260" s="56"/>
      <c r="I1260" s="15" t="s">
        <v>87</v>
      </c>
      <c r="J1260" s="11"/>
      <c r="K1260" s="100"/>
      <c r="L1260" s="100"/>
      <c r="M1260" s="100"/>
      <c r="N1260" s="101"/>
      <c r="O1260" s="102">
        <f t="shared" si="346"/>
        <v>0</v>
      </c>
    </row>
    <row r="1261" spans="1:16" ht="14.25" thickBot="1" x14ac:dyDescent="0.2">
      <c r="A1261" s="72" t="s">
        <v>7</v>
      </c>
      <c r="B1261" s="73">
        <f>SUM(B1251:B1260)</f>
        <v>35</v>
      </c>
      <c r="C1261" s="74">
        <f t="shared" ref="C1261:G1261" si="347">SUM(C1251:C1260)</f>
        <v>34</v>
      </c>
      <c r="D1261" s="74">
        <f t="shared" si="347"/>
        <v>35</v>
      </c>
      <c r="E1261" s="74">
        <f t="shared" si="347"/>
        <v>21</v>
      </c>
      <c r="F1261" s="105">
        <f t="shared" si="347"/>
        <v>35</v>
      </c>
      <c r="G1261" s="76">
        <f t="shared" si="347"/>
        <v>160</v>
      </c>
      <c r="I1261" s="72" t="s">
        <v>7</v>
      </c>
      <c r="J1261" s="73">
        <f>SUM(J1251:J1260)</f>
        <v>265</v>
      </c>
      <c r="K1261" s="74">
        <f t="shared" ref="K1261:O1261" si="348">SUM(K1251:K1260)</f>
        <v>230</v>
      </c>
      <c r="L1261" s="74">
        <f t="shared" si="348"/>
        <v>205</v>
      </c>
      <c r="M1261" s="74">
        <f t="shared" si="348"/>
        <v>232</v>
      </c>
      <c r="N1261" s="105">
        <f t="shared" si="348"/>
        <v>182</v>
      </c>
      <c r="O1261" s="76">
        <f t="shared" si="348"/>
        <v>1114</v>
      </c>
    </row>
    <row r="1262" spans="1:16" x14ac:dyDescent="0.15">
      <c r="A1262" s="16" t="s">
        <v>828</v>
      </c>
      <c r="B1262" s="8"/>
      <c r="C1262" s="10">
        <v>1</v>
      </c>
      <c r="D1262" s="10"/>
      <c r="E1262" s="10"/>
      <c r="F1262" s="30"/>
      <c r="G1262" s="7">
        <f t="shared" ref="G1262:G1287" si="349">SUM(B1262:F1262)</f>
        <v>1</v>
      </c>
      <c r="H1262" s="58">
        <v>43348</v>
      </c>
      <c r="I1262" s="16" t="s">
        <v>834</v>
      </c>
      <c r="J1262" s="17"/>
      <c r="K1262" s="22">
        <v>10</v>
      </c>
      <c r="L1262" s="22"/>
      <c r="M1262" s="22"/>
      <c r="N1262" s="29"/>
      <c r="O1262" s="18">
        <f t="shared" ref="O1262:O1282" si="350">SUM(J1262:N1262)</f>
        <v>10</v>
      </c>
      <c r="P1262" s="58">
        <v>43358</v>
      </c>
    </row>
    <row r="1263" spans="1:16" x14ac:dyDescent="0.15">
      <c r="A1263" s="14" t="s">
        <v>182</v>
      </c>
      <c r="B1263" s="8"/>
      <c r="C1263" s="10"/>
      <c r="D1263" s="10"/>
      <c r="E1263" s="10"/>
      <c r="F1263" s="30">
        <v>2</v>
      </c>
      <c r="G1263" s="7">
        <f t="shared" si="349"/>
        <v>2</v>
      </c>
      <c r="H1263" s="58">
        <v>43350</v>
      </c>
      <c r="I1263" s="16" t="s">
        <v>24</v>
      </c>
      <c r="J1263" s="8">
        <v>20</v>
      </c>
      <c r="K1263" s="10"/>
      <c r="L1263" s="10"/>
      <c r="M1263" s="10"/>
      <c r="N1263" s="28">
        <v>10</v>
      </c>
      <c r="O1263" s="9">
        <f t="shared" si="350"/>
        <v>30</v>
      </c>
      <c r="P1263" s="58">
        <v>43362</v>
      </c>
    </row>
    <row r="1264" spans="1:16" x14ac:dyDescent="0.15">
      <c r="A1264" s="14" t="s">
        <v>25</v>
      </c>
      <c r="B1264" s="8"/>
      <c r="C1264" s="10">
        <v>1</v>
      </c>
      <c r="D1264" s="10"/>
      <c r="E1264" s="10"/>
      <c r="F1264" s="30"/>
      <c r="G1264" s="7">
        <f t="shared" si="349"/>
        <v>1</v>
      </c>
      <c r="H1264" s="58">
        <v>43351</v>
      </c>
      <c r="I1264" s="16" t="s">
        <v>24</v>
      </c>
      <c r="J1264" s="8"/>
      <c r="K1264" s="10">
        <v>10</v>
      </c>
      <c r="L1264" s="10"/>
      <c r="M1264" s="10"/>
      <c r="N1264" s="30"/>
      <c r="O1264" s="7">
        <f t="shared" si="350"/>
        <v>10</v>
      </c>
      <c r="P1264" s="58">
        <v>43363</v>
      </c>
    </row>
    <row r="1265" spans="1:16" x14ac:dyDescent="0.15">
      <c r="A1265" s="14" t="s">
        <v>25</v>
      </c>
      <c r="B1265" s="8"/>
      <c r="C1265" s="10">
        <v>1</v>
      </c>
      <c r="D1265" s="10"/>
      <c r="E1265" s="10"/>
      <c r="F1265" s="30"/>
      <c r="G1265" s="7">
        <f t="shared" si="349"/>
        <v>1</v>
      </c>
      <c r="H1265" s="58">
        <v>43354</v>
      </c>
      <c r="I1265" s="16" t="s">
        <v>24</v>
      </c>
      <c r="J1265" s="8"/>
      <c r="K1265" s="10"/>
      <c r="L1265" s="10"/>
      <c r="M1265" s="10">
        <v>10</v>
      </c>
      <c r="N1265" s="30">
        <v>10</v>
      </c>
      <c r="O1265" s="7">
        <f t="shared" si="350"/>
        <v>20</v>
      </c>
      <c r="P1265" s="58">
        <v>43368</v>
      </c>
    </row>
    <row r="1266" spans="1:16" x14ac:dyDescent="0.15">
      <c r="A1266" s="14" t="s">
        <v>831</v>
      </c>
      <c r="B1266" s="8"/>
      <c r="C1266" s="10"/>
      <c r="D1266" s="10">
        <v>1</v>
      </c>
      <c r="E1266" s="10">
        <v>-1</v>
      </c>
      <c r="F1266" s="30"/>
      <c r="G1266" s="7">
        <f t="shared" si="349"/>
        <v>0</v>
      </c>
      <c r="H1266" s="58">
        <v>43354</v>
      </c>
      <c r="I1266" s="16" t="s">
        <v>110</v>
      </c>
      <c r="J1266" s="8">
        <v>2</v>
      </c>
      <c r="K1266" s="10">
        <v>2</v>
      </c>
      <c r="L1266" s="10">
        <v>2</v>
      </c>
      <c r="M1266" s="10"/>
      <c r="N1266" s="30"/>
      <c r="O1266" s="7">
        <f t="shared" si="350"/>
        <v>6</v>
      </c>
      <c r="P1266" s="58">
        <v>43383</v>
      </c>
    </row>
    <row r="1267" spans="1:16" x14ac:dyDescent="0.15">
      <c r="A1267" s="14" t="s">
        <v>25</v>
      </c>
      <c r="B1267" s="8"/>
      <c r="C1267" s="10">
        <v>1</v>
      </c>
      <c r="D1267" s="10">
        <v>1</v>
      </c>
      <c r="E1267" s="10"/>
      <c r="F1267" s="30">
        <v>1</v>
      </c>
      <c r="G1267" s="7">
        <f t="shared" si="349"/>
        <v>3</v>
      </c>
      <c r="H1267" s="58">
        <v>43356</v>
      </c>
      <c r="I1267" s="16" t="s">
        <v>110</v>
      </c>
      <c r="J1267" s="8"/>
      <c r="K1267" s="10">
        <v>2</v>
      </c>
      <c r="L1267" s="10">
        <v>2</v>
      </c>
      <c r="M1267" s="10"/>
      <c r="N1267" s="30"/>
      <c r="O1267" s="7">
        <f t="shared" si="350"/>
        <v>4</v>
      </c>
      <c r="P1267" s="58">
        <v>43389</v>
      </c>
    </row>
    <row r="1268" spans="1:16" x14ac:dyDescent="0.15">
      <c r="A1268" s="14" t="s">
        <v>833</v>
      </c>
      <c r="B1268" s="8"/>
      <c r="C1268" s="10"/>
      <c r="D1268" s="10">
        <v>1</v>
      </c>
      <c r="E1268" s="10"/>
      <c r="F1268" s="30"/>
      <c r="G1268" s="7">
        <f t="shared" si="349"/>
        <v>1</v>
      </c>
      <c r="H1268" s="58">
        <v>43356</v>
      </c>
      <c r="I1268" s="16" t="s">
        <v>852</v>
      </c>
      <c r="J1268" s="8"/>
      <c r="K1268" s="10"/>
      <c r="L1268" s="10">
        <v>15</v>
      </c>
      <c r="M1268" s="10"/>
      <c r="N1268" s="30"/>
      <c r="O1268" s="7">
        <f t="shared" si="350"/>
        <v>15</v>
      </c>
      <c r="P1268" s="58">
        <v>43386</v>
      </c>
    </row>
    <row r="1269" spans="1:16" x14ac:dyDescent="0.15">
      <c r="A1269" s="14" t="s">
        <v>182</v>
      </c>
      <c r="B1269" s="8"/>
      <c r="C1269" s="10"/>
      <c r="D1269" s="10">
        <v>2</v>
      </c>
      <c r="E1269" s="10"/>
      <c r="F1269" s="30"/>
      <c r="G1269" s="7">
        <f t="shared" si="349"/>
        <v>2</v>
      </c>
      <c r="H1269" s="58">
        <v>43357</v>
      </c>
      <c r="I1269" s="16" t="s">
        <v>110</v>
      </c>
      <c r="J1269" s="8"/>
      <c r="K1269" s="10">
        <v>2</v>
      </c>
      <c r="L1269" s="10"/>
      <c r="M1269" s="10">
        <v>2</v>
      </c>
      <c r="N1269" s="30">
        <v>2</v>
      </c>
      <c r="O1269" s="7">
        <f t="shared" si="350"/>
        <v>6</v>
      </c>
      <c r="P1269" s="58">
        <v>43391</v>
      </c>
    </row>
    <row r="1270" spans="1:16" x14ac:dyDescent="0.15">
      <c r="A1270" s="14" t="s">
        <v>182</v>
      </c>
      <c r="B1270" s="8">
        <v>2</v>
      </c>
      <c r="C1270" s="10">
        <v>2</v>
      </c>
      <c r="D1270" s="10"/>
      <c r="E1270" s="10"/>
      <c r="F1270" s="30"/>
      <c r="G1270" s="7">
        <f t="shared" si="349"/>
        <v>4</v>
      </c>
      <c r="H1270" s="58">
        <v>43357</v>
      </c>
      <c r="I1270" s="39"/>
      <c r="J1270" s="8"/>
      <c r="K1270" s="10"/>
      <c r="L1270" s="10"/>
      <c r="M1270" s="10"/>
      <c r="N1270" s="30"/>
      <c r="O1270" s="7">
        <f t="shared" si="350"/>
        <v>0</v>
      </c>
    </row>
    <row r="1271" spans="1:16" x14ac:dyDescent="0.15">
      <c r="A1271" s="14" t="s">
        <v>25</v>
      </c>
      <c r="B1271" s="11"/>
      <c r="C1271" s="12">
        <v>3</v>
      </c>
      <c r="D1271" s="12"/>
      <c r="E1271" s="12">
        <v>1</v>
      </c>
      <c r="F1271" s="31"/>
      <c r="G1271" s="7">
        <f t="shared" si="349"/>
        <v>4</v>
      </c>
      <c r="H1271" s="58">
        <v>43358</v>
      </c>
      <c r="I1271" s="16"/>
      <c r="J1271" s="11"/>
      <c r="K1271" s="12"/>
      <c r="L1271" s="12"/>
      <c r="M1271" s="12"/>
      <c r="N1271" s="31"/>
      <c r="O1271" s="7">
        <f t="shared" si="350"/>
        <v>0</v>
      </c>
    </row>
    <row r="1272" spans="1:16" x14ac:dyDescent="0.15">
      <c r="A1272" s="14" t="s">
        <v>836</v>
      </c>
      <c r="B1272" s="11"/>
      <c r="C1272" s="12"/>
      <c r="D1272" s="12"/>
      <c r="E1272" s="12">
        <v>1</v>
      </c>
      <c r="F1272" s="31"/>
      <c r="G1272" s="7">
        <f t="shared" si="349"/>
        <v>1</v>
      </c>
      <c r="H1272" s="58">
        <v>43358</v>
      </c>
      <c r="I1272" s="16"/>
      <c r="J1272" s="8"/>
      <c r="K1272" s="10"/>
      <c r="L1272" s="10"/>
      <c r="M1272" s="10"/>
      <c r="N1272" s="30"/>
      <c r="O1272" s="7">
        <f t="shared" si="350"/>
        <v>0</v>
      </c>
    </row>
    <row r="1273" spans="1:16" x14ac:dyDescent="0.15">
      <c r="A1273" s="14" t="s">
        <v>837</v>
      </c>
      <c r="B1273" s="8">
        <v>20</v>
      </c>
      <c r="C1273" s="10"/>
      <c r="D1273" s="10"/>
      <c r="E1273" s="10"/>
      <c r="F1273" s="30">
        <v>10</v>
      </c>
      <c r="G1273" s="7">
        <f t="shared" si="349"/>
        <v>30</v>
      </c>
      <c r="H1273" s="58">
        <v>43364</v>
      </c>
      <c r="I1273" s="39"/>
      <c r="J1273" s="8"/>
      <c r="K1273" s="10"/>
      <c r="L1273" s="10"/>
      <c r="M1273" s="10"/>
      <c r="N1273" s="30"/>
      <c r="O1273" s="7">
        <f t="shared" si="350"/>
        <v>0</v>
      </c>
    </row>
    <row r="1274" spans="1:16" x14ac:dyDescent="0.15">
      <c r="A1274" s="14" t="s">
        <v>25</v>
      </c>
      <c r="B1274" s="8">
        <v>1</v>
      </c>
      <c r="C1274" s="10"/>
      <c r="D1274" s="10"/>
      <c r="E1274" s="10"/>
      <c r="F1274" s="30"/>
      <c r="G1274" s="7">
        <f t="shared" si="349"/>
        <v>1</v>
      </c>
      <c r="H1274" s="58">
        <v>43363</v>
      </c>
      <c r="I1274" s="16"/>
      <c r="J1274" s="8"/>
      <c r="K1274" s="10"/>
      <c r="L1274" s="10"/>
      <c r="M1274" s="10"/>
      <c r="N1274" s="30"/>
      <c r="O1274" s="7">
        <f t="shared" si="350"/>
        <v>0</v>
      </c>
    </row>
    <row r="1275" spans="1:16" x14ac:dyDescent="0.15">
      <c r="A1275" s="14" t="s">
        <v>22</v>
      </c>
      <c r="B1275" s="8"/>
      <c r="C1275" s="10">
        <v>10</v>
      </c>
      <c r="D1275" s="10"/>
      <c r="E1275" s="10"/>
      <c r="F1275" s="30"/>
      <c r="G1275" s="7">
        <f t="shared" si="349"/>
        <v>10</v>
      </c>
      <c r="H1275" s="58">
        <v>43368</v>
      </c>
      <c r="I1275" s="16"/>
      <c r="J1275" s="8"/>
      <c r="K1275" s="10"/>
      <c r="L1275" s="10"/>
      <c r="M1275" s="10"/>
      <c r="N1275" s="30"/>
      <c r="O1275" s="7">
        <f t="shared" si="350"/>
        <v>0</v>
      </c>
      <c r="P1275" s="56"/>
    </row>
    <row r="1276" spans="1:16" x14ac:dyDescent="0.15">
      <c r="A1276" s="14" t="s">
        <v>25</v>
      </c>
      <c r="B1276" s="8"/>
      <c r="C1276" s="10"/>
      <c r="D1276" s="10">
        <v>1</v>
      </c>
      <c r="E1276" s="10"/>
      <c r="F1276" s="30"/>
      <c r="G1276" s="7">
        <f t="shared" si="349"/>
        <v>1</v>
      </c>
      <c r="H1276" s="58">
        <v>43369</v>
      </c>
      <c r="I1276" s="62"/>
      <c r="J1276" s="8"/>
      <c r="K1276" s="10"/>
      <c r="L1276" s="10"/>
      <c r="M1276" s="10"/>
      <c r="N1276" s="30"/>
      <c r="O1276" s="7">
        <f t="shared" si="350"/>
        <v>0</v>
      </c>
      <c r="P1276" s="56"/>
    </row>
    <row r="1277" spans="1:16" x14ac:dyDescent="0.15">
      <c r="A1277" s="14" t="s">
        <v>842</v>
      </c>
      <c r="B1277" s="8"/>
      <c r="C1277" s="10"/>
      <c r="D1277" s="10">
        <v>1</v>
      </c>
      <c r="E1277" s="10"/>
      <c r="F1277" s="30"/>
      <c r="G1277" s="7">
        <f t="shared" si="349"/>
        <v>1</v>
      </c>
      <c r="H1277" s="58">
        <v>43369</v>
      </c>
      <c r="I1277" s="14"/>
      <c r="J1277" s="8"/>
      <c r="K1277" s="10"/>
      <c r="L1277" s="10"/>
      <c r="M1277" s="10"/>
      <c r="N1277" s="30"/>
      <c r="O1277" s="7">
        <f>SUM(J1277:N1277)</f>
        <v>0</v>
      </c>
      <c r="P1277" s="56"/>
    </row>
    <row r="1278" spans="1:16" x14ac:dyDescent="0.15">
      <c r="A1278" s="14" t="s">
        <v>182</v>
      </c>
      <c r="B1278" s="8"/>
      <c r="C1278" s="10"/>
      <c r="D1278" s="10"/>
      <c r="E1278" s="10"/>
      <c r="F1278" s="30">
        <v>3</v>
      </c>
      <c r="G1278" s="7">
        <f t="shared" si="349"/>
        <v>3</v>
      </c>
      <c r="H1278" s="58">
        <v>43371</v>
      </c>
      <c r="I1278" s="14"/>
      <c r="J1278" s="11"/>
      <c r="K1278" s="12"/>
      <c r="L1278" s="12"/>
      <c r="M1278" s="12"/>
      <c r="N1278" s="31"/>
      <c r="O1278" s="7">
        <f t="shared" si="350"/>
        <v>0</v>
      </c>
      <c r="P1278" s="56"/>
    </row>
    <row r="1279" spans="1:16" x14ac:dyDescent="0.15">
      <c r="A1279" s="14" t="s">
        <v>25</v>
      </c>
      <c r="B1279" s="8"/>
      <c r="C1279" s="10"/>
      <c r="D1279" s="10"/>
      <c r="E1279" s="10">
        <v>1</v>
      </c>
      <c r="F1279" s="30"/>
      <c r="G1279" s="7">
        <f t="shared" si="349"/>
        <v>1</v>
      </c>
      <c r="H1279" s="58">
        <v>43371</v>
      </c>
      <c r="I1279" s="39"/>
      <c r="J1279" s="8"/>
      <c r="K1279" s="10"/>
      <c r="L1279" s="10"/>
      <c r="M1279" s="10"/>
      <c r="N1279" s="30"/>
      <c r="O1279" s="7">
        <f t="shared" si="350"/>
        <v>0</v>
      </c>
      <c r="P1279" s="56"/>
    </row>
    <row r="1280" spans="1:16" x14ac:dyDescent="0.15">
      <c r="A1280" s="14" t="s">
        <v>22</v>
      </c>
      <c r="B1280" s="8"/>
      <c r="C1280" s="10"/>
      <c r="D1280" s="10"/>
      <c r="E1280" s="10">
        <v>5</v>
      </c>
      <c r="F1280" s="30"/>
      <c r="G1280" s="7">
        <f t="shared" si="349"/>
        <v>5</v>
      </c>
      <c r="H1280" s="58">
        <v>43382</v>
      </c>
      <c r="I1280" s="14"/>
      <c r="J1280" s="8"/>
      <c r="K1280" s="10"/>
      <c r="L1280" s="10"/>
      <c r="M1280" s="10"/>
      <c r="N1280" s="30"/>
      <c r="O1280" s="7">
        <f t="shared" si="350"/>
        <v>0</v>
      </c>
      <c r="P1280" s="58"/>
    </row>
    <row r="1281" spans="1:16" x14ac:dyDescent="0.15">
      <c r="A1281" s="14" t="s">
        <v>25</v>
      </c>
      <c r="B1281" s="8"/>
      <c r="C1281" s="10"/>
      <c r="D1281" s="10">
        <v>1</v>
      </c>
      <c r="E1281" s="10"/>
      <c r="F1281" s="30"/>
      <c r="G1281" s="7">
        <f t="shared" si="349"/>
        <v>1</v>
      </c>
      <c r="H1281" s="58">
        <v>43377</v>
      </c>
      <c r="I1281" s="14"/>
      <c r="J1281" s="11"/>
      <c r="K1281" s="12"/>
      <c r="L1281" s="12"/>
      <c r="M1281" s="12"/>
      <c r="N1281" s="31"/>
      <c r="O1281" s="7">
        <f t="shared" si="350"/>
        <v>0</v>
      </c>
      <c r="P1281" s="56"/>
    </row>
    <row r="1282" spans="1:16" x14ac:dyDescent="0.15">
      <c r="A1282" s="14" t="s">
        <v>25</v>
      </c>
      <c r="B1282" s="8"/>
      <c r="C1282" s="10"/>
      <c r="D1282" s="10">
        <v>5</v>
      </c>
      <c r="E1282" s="10">
        <v>1</v>
      </c>
      <c r="F1282" s="30"/>
      <c r="G1282" s="7">
        <f t="shared" si="349"/>
        <v>6</v>
      </c>
      <c r="H1282" s="58">
        <v>43379</v>
      </c>
      <c r="I1282" s="39"/>
      <c r="J1282" s="8"/>
      <c r="K1282" s="10"/>
      <c r="L1282" s="10"/>
      <c r="M1282" s="10"/>
      <c r="N1282" s="30"/>
      <c r="O1282" s="7">
        <f t="shared" si="350"/>
        <v>0</v>
      </c>
      <c r="P1282" s="56"/>
    </row>
    <row r="1283" spans="1:16" x14ac:dyDescent="0.15">
      <c r="A1283" s="14" t="s">
        <v>25</v>
      </c>
      <c r="B1283" s="11"/>
      <c r="C1283" s="12"/>
      <c r="D1283" s="12"/>
      <c r="E1283" s="12">
        <v>1</v>
      </c>
      <c r="F1283" s="31"/>
      <c r="G1283" s="7">
        <f t="shared" si="349"/>
        <v>1</v>
      </c>
      <c r="H1283" s="58">
        <v>43383</v>
      </c>
      <c r="I1283" s="16"/>
      <c r="J1283" s="8"/>
      <c r="K1283" s="10"/>
      <c r="L1283" s="10"/>
      <c r="M1283" s="10"/>
      <c r="N1283" s="30"/>
      <c r="O1283" s="7">
        <f t="shared" ref="O1283:O1287" si="351">SUM(J1283:N1283)</f>
        <v>0</v>
      </c>
      <c r="P1283" s="56"/>
    </row>
    <row r="1284" spans="1:16" x14ac:dyDescent="0.15">
      <c r="A1284" s="16" t="s">
        <v>29</v>
      </c>
      <c r="B1284" s="8"/>
      <c r="C1284" s="10">
        <v>1</v>
      </c>
      <c r="D1284" s="10">
        <v>1</v>
      </c>
      <c r="E1284" s="10"/>
      <c r="F1284" s="30"/>
      <c r="G1284" s="7">
        <f t="shared" si="349"/>
        <v>2</v>
      </c>
      <c r="H1284" s="58">
        <v>43382</v>
      </c>
      <c r="I1284" s="14"/>
      <c r="J1284" s="8"/>
      <c r="K1284" s="10"/>
      <c r="L1284" s="10"/>
      <c r="M1284" s="10"/>
      <c r="N1284" s="30"/>
      <c r="O1284" s="7">
        <f t="shared" si="351"/>
        <v>0</v>
      </c>
      <c r="P1284" s="58"/>
    </row>
    <row r="1285" spans="1:16" x14ac:dyDescent="0.15">
      <c r="A1285" s="16" t="s">
        <v>136</v>
      </c>
      <c r="B1285" s="8"/>
      <c r="C1285" s="10"/>
      <c r="D1285" s="10">
        <v>3</v>
      </c>
      <c r="E1285" s="10"/>
      <c r="F1285" s="30"/>
      <c r="G1285" s="7">
        <f t="shared" si="349"/>
        <v>3</v>
      </c>
      <c r="H1285" s="58">
        <v>43389</v>
      </c>
      <c r="I1285" s="14"/>
      <c r="J1285" s="8"/>
      <c r="K1285" s="10"/>
      <c r="L1285" s="10"/>
      <c r="M1285" s="10"/>
      <c r="N1285" s="30"/>
      <c r="O1285" s="7">
        <f t="shared" si="351"/>
        <v>0</v>
      </c>
      <c r="P1285" s="58"/>
    </row>
    <row r="1286" spans="1:16" x14ac:dyDescent="0.15">
      <c r="A1286" s="16" t="s">
        <v>29</v>
      </c>
      <c r="B1286" s="8">
        <v>1</v>
      </c>
      <c r="C1286" s="10"/>
      <c r="D1286" s="10"/>
      <c r="E1286" s="10"/>
      <c r="F1286" s="30"/>
      <c r="G1286" s="7">
        <f t="shared" si="349"/>
        <v>1</v>
      </c>
      <c r="H1286" s="58">
        <v>43384</v>
      </c>
      <c r="I1286" s="14"/>
      <c r="J1286" s="8"/>
      <c r="K1286" s="10"/>
      <c r="L1286" s="10"/>
      <c r="M1286" s="10"/>
      <c r="N1286" s="30"/>
      <c r="O1286" s="7">
        <f t="shared" ref="O1286" si="352">SUM(J1286:N1286)</f>
        <v>0</v>
      </c>
      <c r="P1286" s="58"/>
    </row>
    <row r="1287" spans="1:16" ht="14.25" thickBot="1" x14ac:dyDescent="0.2">
      <c r="A1287" s="157" t="s">
        <v>25</v>
      </c>
      <c r="B1287" s="166">
        <v>2</v>
      </c>
      <c r="C1287" s="167"/>
      <c r="D1287" s="167"/>
      <c r="E1287" s="167"/>
      <c r="F1287" s="168"/>
      <c r="G1287" s="161">
        <f t="shared" si="349"/>
        <v>2</v>
      </c>
      <c r="H1287" s="162">
        <v>43386</v>
      </c>
      <c r="I1287" s="141"/>
      <c r="J1287" s="8"/>
      <c r="K1287" s="10"/>
      <c r="L1287" s="10"/>
      <c r="M1287" s="10"/>
      <c r="N1287" s="30"/>
      <c r="O1287" s="7">
        <f t="shared" si="351"/>
        <v>0</v>
      </c>
      <c r="P1287" s="56"/>
    </row>
    <row r="1288" spans="1:16" ht="14.25" thickBot="1" x14ac:dyDescent="0.2">
      <c r="A1288" s="3" t="s">
        <v>11</v>
      </c>
      <c r="B1288" s="23">
        <f>SUM(B1262:B1287)</f>
        <v>26</v>
      </c>
      <c r="C1288" s="4">
        <f>SUM(C1262:C1287)</f>
        <v>20</v>
      </c>
      <c r="D1288" s="4">
        <f>SUM(D1262:D1287)</f>
        <v>17</v>
      </c>
      <c r="E1288" s="6">
        <f>SUM(E1262:E1287)</f>
        <v>9</v>
      </c>
      <c r="F1288" s="32">
        <f>SUM(F1262:F1287)</f>
        <v>16</v>
      </c>
      <c r="G1288" s="5">
        <f>SUM(B1288:F1288)</f>
        <v>88</v>
      </c>
      <c r="I1288" s="3" t="s">
        <v>11</v>
      </c>
      <c r="J1288" s="23">
        <f>SUM(J1262:J1287)</f>
        <v>22</v>
      </c>
      <c r="K1288" s="4">
        <f>SUM(K1262:K1287)</f>
        <v>26</v>
      </c>
      <c r="L1288" s="4">
        <f>SUM(L1262:L1287)</f>
        <v>19</v>
      </c>
      <c r="M1288" s="6">
        <f>SUM(M1262:M1287)</f>
        <v>12</v>
      </c>
      <c r="N1288" s="6">
        <f>SUM(N1262:N1287)</f>
        <v>22</v>
      </c>
      <c r="O1288" s="5">
        <f>SUM(J1288:N1288)</f>
        <v>101</v>
      </c>
    </row>
    <row r="1289" spans="1:16" ht="14.25" thickBot="1" x14ac:dyDescent="0.2">
      <c r="A1289" s="25" t="s">
        <v>12</v>
      </c>
      <c r="B1289" s="63">
        <f>B1261-B1288</f>
        <v>9</v>
      </c>
      <c r="C1289" s="26">
        <f t="shared" ref="C1289:G1289" si="353">C1261-C1288</f>
        <v>14</v>
      </c>
      <c r="D1289" s="71">
        <f t="shared" si="353"/>
        <v>18</v>
      </c>
      <c r="E1289" s="26">
        <f t="shared" si="353"/>
        <v>12</v>
      </c>
      <c r="F1289" s="70">
        <f t="shared" si="353"/>
        <v>19</v>
      </c>
      <c r="G1289" s="27">
        <f t="shared" si="353"/>
        <v>72</v>
      </c>
      <c r="I1289" s="25" t="s">
        <v>12</v>
      </c>
      <c r="J1289" s="63">
        <f>J1261-J1288</f>
        <v>243</v>
      </c>
      <c r="K1289" s="26">
        <f t="shared" ref="K1289:O1289" si="354">K1261-K1288</f>
        <v>204</v>
      </c>
      <c r="L1289" s="71">
        <f t="shared" si="354"/>
        <v>186</v>
      </c>
      <c r="M1289" s="26">
        <f t="shared" si="354"/>
        <v>220</v>
      </c>
      <c r="N1289" s="70">
        <f t="shared" si="354"/>
        <v>160</v>
      </c>
      <c r="O1289" s="27">
        <f t="shared" si="354"/>
        <v>1013</v>
      </c>
    </row>
    <row r="1290" spans="1:16" ht="17.25" x14ac:dyDescent="0.2">
      <c r="A1290" s="79" t="s">
        <v>56</v>
      </c>
      <c r="B1290" s="80"/>
      <c r="C1290" s="80"/>
      <c r="D1290" s="80"/>
      <c r="E1290" s="80"/>
      <c r="F1290" s="80"/>
      <c r="G1290" s="80"/>
      <c r="I1290" s="79" t="s">
        <v>56</v>
      </c>
      <c r="J1290" s="80"/>
      <c r="K1290" s="80"/>
      <c r="L1290" s="80"/>
      <c r="M1290" s="80"/>
      <c r="N1290" s="80"/>
      <c r="O1290" s="1"/>
    </row>
    <row r="1291" spans="1:16" ht="21.75" thickBot="1" x14ac:dyDescent="0.25">
      <c r="A1291" s="82" t="s">
        <v>55</v>
      </c>
      <c r="B1291" s="80"/>
      <c r="C1291" s="80"/>
      <c r="D1291" s="80"/>
      <c r="E1291" s="81" t="s">
        <v>53</v>
      </c>
      <c r="F1291" s="80"/>
      <c r="G1291" s="80"/>
      <c r="I1291" s="82" t="s">
        <v>55</v>
      </c>
      <c r="J1291" s="80"/>
      <c r="K1291" s="80"/>
      <c r="L1291" s="80"/>
      <c r="M1291" s="81" t="s">
        <v>54</v>
      </c>
      <c r="N1291" s="80"/>
      <c r="O1291" s="1"/>
    </row>
    <row r="1292" spans="1:16" ht="14.25" thickBot="1" x14ac:dyDescent="0.2">
      <c r="A1292" s="13" t="s">
        <v>0</v>
      </c>
      <c r="B1292" s="228" t="s">
        <v>57</v>
      </c>
      <c r="C1292" s="229"/>
      <c r="D1292" s="229"/>
      <c r="E1292" s="229"/>
      <c r="F1292" s="230"/>
      <c r="G1292" s="231"/>
      <c r="I1292" s="13" t="s">
        <v>0</v>
      </c>
      <c r="J1292" s="232" t="s">
        <v>57</v>
      </c>
      <c r="K1292" s="233"/>
      <c r="L1292" s="233"/>
      <c r="M1292" s="233"/>
      <c r="N1292" s="233"/>
      <c r="O1292" s="234"/>
    </row>
    <row r="1293" spans="1:16" ht="14.25" thickBot="1" x14ac:dyDescent="0.2">
      <c r="A1293" s="3" t="s">
        <v>1</v>
      </c>
      <c r="B1293" s="2" t="s">
        <v>42</v>
      </c>
      <c r="C1293" s="21" t="s">
        <v>43</v>
      </c>
      <c r="D1293" s="21" t="s">
        <v>44</v>
      </c>
      <c r="E1293" s="24" t="s">
        <v>45</v>
      </c>
      <c r="F1293" s="33" t="s">
        <v>46</v>
      </c>
      <c r="G1293" s="3" t="s">
        <v>2</v>
      </c>
      <c r="I1293" s="3" t="s">
        <v>1</v>
      </c>
      <c r="J1293" s="2" t="s">
        <v>42</v>
      </c>
      <c r="K1293" s="21" t="s">
        <v>43</v>
      </c>
      <c r="L1293" s="21" t="s">
        <v>44</v>
      </c>
      <c r="M1293" s="24" t="s">
        <v>45</v>
      </c>
      <c r="N1293" s="33" t="s">
        <v>46</v>
      </c>
      <c r="O1293" s="3" t="s">
        <v>2</v>
      </c>
    </row>
    <row r="1294" spans="1:16" ht="14.25" thickBot="1" x14ac:dyDescent="0.2">
      <c r="A1294" s="72" t="s">
        <v>79</v>
      </c>
      <c r="B1294" s="73">
        <f>B1289</f>
        <v>9</v>
      </c>
      <c r="C1294" s="74">
        <f t="shared" ref="C1294:F1294" si="355">C1289</f>
        <v>14</v>
      </c>
      <c r="D1294" s="107">
        <f t="shared" si="355"/>
        <v>18</v>
      </c>
      <c r="E1294" s="75">
        <f t="shared" si="355"/>
        <v>12</v>
      </c>
      <c r="F1294" s="75">
        <f t="shared" si="355"/>
        <v>19</v>
      </c>
      <c r="G1294" s="76">
        <f t="shared" ref="G1294:G1303" si="356">SUM(B1294:F1294)</f>
        <v>72</v>
      </c>
      <c r="I1294" s="72" t="s">
        <v>79</v>
      </c>
      <c r="J1294" s="73">
        <f>J1289</f>
        <v>243</v>
      </c>
      <c r="K1294" s="74">
        <f t="shared" ref="K1294:N1294" si="357">K1289</f>
        <v>204</v>
      </c>
      <c r="L1294" s="107">
        <f t="shared" si="357"/>
        <v>186</v>
      </c>
      <c r="M1294" s="75">
        <f t="shared" si="357"/>
        <v>220</v>
      </c>
      <c r="N1294" s="75">
        <f t="shared" si="357"/>
        <v>160</v>
      </c>
      <c r="O1294" s="76">
        <f t="shared" ref="O1294:O1303" si="358">SUM(J1294:N1294)</f>
        <v>1013</v>
      </c>
    </row>
    <row r="1295" spans="1:16" x14ac:dyDescent="0.15">
      <c r="A1295" s="38" t="s">
        <v>15</v>
      </c>
      <c r="B1295" s="37">
        <v>5</v>
      </c>
      <c r="C1295" s="35"/>
      <c r="D1295" s="35"/>
      <c r="E1295" s="35">
        <v>5</v>
      </c>
      <c r="F1295" s="28"/>
      <c r="G1295" s="7">
        <f t="shared" si="356"/>
        <v>10</v>
      </c>
      <c r="H1295" s="58">
        <v>43393</v>
      </c>
      <c r="I1295" s="38" t="s">
        <v>15</v>
      </c>
      <c r="J1295" s="8"/>
      <c r="K1295" s="10"/>
      <c r="L1295" s="10"/>
      <c r="M1295" s="10"/>
      <c r="N1295" s="30"/>
      <c r="O1295" s="7">
        <f t="shared" si="358"/>
        <v>0</v>
      </c>
    </row>
    <row r="1296" spans="1:16" x14ac:dyDescent="0.15">
      <c r="A1296" s="38" t="s">
        <v>19</v>
      </c>
      <c r="B1296" s="8">
        <v>1</v>
      </c>
      <c r="C1296" s="10">
        <v>2</v>
      </c>
      <c r="D1296" s="10">
        <v>1</v>
      </c>
      <c r="E1296" s="10"/>
      <c r="F1296" s="28"/>
      <c r="G1296" s="9">
        <f t="shared" si="356"/>
        <v>4</v>
      </c>
      <c r="H1296" s="58">
        <v>43395</v>
      </c>
      <c r="I1296" s="15" t="s">
        <v>3</v>
      </c>
      <c r="J1296" s="8"/>
      <c r="K1296" s="10"/>
      <c r="L1296" s="10"/>
      <c r="M1296" s="10"/>
      <c r="N1296" s="28"/>
      <c r="O1296" s="9">
        <f t="shared" si="358"/>
        <v>0</v>
      </c>
    </row>
    <row r="1297" spans="1:18" x14ac:dyDescent="0.15">
      <c r="A1297" s="38" t="s">
        <v>17</v>
      </c>
      <c r="B1297" s="8">
        <v>2</v>
      </c>
      <c r="C1297" s="10"/>
      <c r="D1297" s="10">
        <v>1</v>
      </c>
      <c r="E1297" s="10"/>
      <c r="F1297" s="28"/>
      <c r="G1297" s="9">
        <f t="shared" si="356"/>
        <v>3</v>
      </c>
      <c r="H1297" s="58">
        <v>43399</v>
      </c>
      <c r="I1297" s="15" t="s">
        <v>18</v>
      </c>
      <c r="J1297" s="8"/>
      <c r="K1297" s="10"/>
      <c r="L1297" s="10"/>
      <c r="M1297" s="10"/>
      <c r="N1297" s="28"/>
      <c r="O1297" s="9">
        <f t="shared" si="358"/>
        <v>0</v>
      </c>
    </row>
    <row r="1298" spans="1:18" x14ac:dyDescent="0.15">
      <c r="A1298" s="38" t="s">
        <v>830</v>
      </c>
      <c r="B1298" s="8"/>
      <c r="C1298" s="10">
        <v>1</v>
      </c>
      <c r="D1298" s="10">
        <v>1</v>
      </c>
      <c r="E1298" s="10">
        <v>2</v>
      </c>
      <c r="F1298" s="28"/>
      <c r="G1298" s="9">
        <f t="shared" si="356"/>
        <v>4</v>
      </c>
      <c r="H1298" s="58">
        <v>43404</v>
      </c>
      <c r="I1298" s="15" t="s">
        <v>20</v>
      </c>
      <c r="J1298" s="8"/>
      <c r="K1298" s="10"/>
      <c r="L1298" s="10"/>
      <c r="M1298" s="10"/>
      <c r="N1298" s="28"/>
      <c r="O1298" s="9">
        <f t="shared" si="358"/>
        <v>0</v>
      </c>
    </row>
    <row r="1299" spans="1:18" x14ac:dyDescent="0.15">
      <c r="A1299" s="38" t="s">
        <v>80</v>
      </c>
      <c r="B1299" s="8">
        <v>10</v>
      </c>
      <c r="C1299" s="10">
        <v>5</v>
      </c>
      <c r="D1299" s="10"/>
      <c r="E1299" s="10">
        <v>10</v>
      </c>
      <c r="F1299" s="28"/>
      <c r="G1299" s="9">
        <f t="shared" si="356"/>
        <v>25</v>
      </c>
      <c r="H1299" s="58">
        <v>43409</v>
      </c>
      <c r="I1299" s="15" t="s">
        <v>80</v>
      </c>
      <c r="J1299" s="8"/>
      <c r="K1299" s="10"/>
      <c r="L1299" s="10"/>
      <c r="M1299" s="10"/>
      <c r="N1299" s="28"/>
      <c r="O1299" s="9">
        <f t="shared" si="358"/>
        <v>0</v>
      </c>
    </row>
    <row r="1300" spans="1:18" x14ac:dyDescent="0.15">
      <c r="A1300" s="19" t="s">
        <v>867</v>
      </c>
      <c r="B1300" s="8">
        <v>1</v>
      </c>
      <c r="C1300" s="10"/>
      <c r="D1300" s="10"/>
      <c r="E1300" s="10"/>
      <c r="F1300" s="28"/>
      <c r="G1300" s="9">
        <f t="shared" si="356"/>
        <v>1</v>
      </c>
      <c r="H1300" s="58">
        <v>43409</v>
      </c>
      <c r="I1300" s="15" t="s">
        <v>81</v>
      </c>
      <c r="J1300" s="8"/>
      <c r="K1300" s="10"/>
      <c r="L1300" s="10"/>
      <c r="M1300" s="10"/>
      <c r="N1300" s="28"/>
      <c r="O1300" s="9">
        <f t="shared" si="358"/>
        <v>0</v>
      </c>
    </row>
    <row r="1301" spans="1:18" x14ac:dyDescent="0.15">
      <c r="A1301" s="38" t="s">
        <v>830</v>
      </c>
      <c r="B1301" s="8"/>
      <c r="C1301" s="10"/>
      <c r="D1301" s="10">
        <v>1</v>
      </c>
      <c r="E1301" s="10"/>
      <c r="F1301" s="30"/>
      <c r="G1301" s="7">
        <f t="shared" si="356"/>
        <v>1</v>
      </c>
      <c r="H1301" s="58">
        <v>43413</v>
      </c>
      <c r="I1301" s="15" t="s">
        <v>82</v>
      </c>
      <c r="J1301" s="8"/>
      <c r="K1301" s="10"/>
      <c r="L1301" s="10"/>
      <c r="M1301" s="10"/>
      <c r="N1301" s="30"/>
      <c r="O1301" s="7">
        <f t="shared" si="358"/>
        <v>0</v>
      </c>
      <c r="P1301" s="58"/>
    </row>
    <row r="1302" spans="1:18" x14ac:dyDescent="0.15">
      <c r="A1302" s="38" t="s">
        <v>83</v>
      </c>
      <c r="B1302" s="11"/>
      <c r="C1302" s="100">
        <v>5</v>
      </c>
      <c r="D1302" s="100"/>
      <c r="E1302" s="100"/>
      <c r="F1302" s="101"/>
      <c r="G1302" s="102">
        <f t="shared" si="356"/>
        <v>5</v>
      </c>
      <c r="H1302" s="58">
        <v>43421</v>
      </c>
      <c r="I1302" s="15" t="s">
        <v>83</v>
      </c>
      <c r="J1302" s="8"/>
      <c r="K1302" s="10"/>
      <c r="L1302" s="10"/>
      <c r="M1302" s="10"/>
      <c r="N1302" s="30"/>
      <c r="O1302" s="7">
        <f t="shared" si="358"/>
        <v>0</v>
      </c>
      <c r="P1302" s="56"/>
    </row>
    <row r="1303" spans="1:18" ht="14.25" thickBot="1" x14ac:dyDescent="0.2">
      <c r="A1303" s="38" t="s">
        <v>159</v>
      </c>
      <c r="B1303" s="11"/>
      <c r="C1303" s="100">
        <v>5</v>
      </c>
      <c r="D1303" s="100"/>
      <c r="E1303" s="100"/>
      <c r="F1303" s="101"/>
      <c r="G1303" s="102">
        <f t="shared" si="356"/>
        <v>5</v>
      </c>
      <c r="H1303" s="58">
        <v>43425</v>
      </c>
      <c r="I1303" s="15" t="s">
        <v>87</v>
      </c>
      <c r="J1303" s="11"/>
      <c r="K1303" s="100"/>
      <c r="L1303" s="100"/>
      <c r="M1303" s="100"/>
      <c r="N1303" s="101"/>
      <c r="O1303" s="102">
        <f t="shared" si="358"/>
        <v>0</v>
      </c>
    </row>
    <row r="1304" spans="1:18" ht="14.25" thickBot="1" x14ac:dyDescent="0.2">
      <c r="A1304" s="72" t="s">
        <v>7</v>
      </c>
      <c r="B1304" s="73">
        <f>SUM(B1294:B1303)</f>
        <v>28</v>
      </c>
      <c r="C1304" s="74">
        <f t="shared" ref="C1304:G1304" si="359">SUM(C1294:C1303)</f>
        <v>32</v>
      </c>
      <c r="D1304" s="74">
        <f t="shared" si="359"/>
        <v>22</v>
      </c>
      <c r="E1304" s="74">
        <f t="shared" si="359"/>
        <v>29</v>
      </c>
      <c r="F1304" s="105">
        <f t="shared" si="359"/>
        <v>19</v>
      </c>
      <c r="G1304" s="76">
        <f t="shared" si="359"/>
        <v>130</v>
      </c>
      <c r="I1304" s="72" t="s">
        <v>7</v>
      </c>
      <c r="J1304" s="73">
        <f>SUM(J1294:J1303)</f>
        <v>243</v>
      </c>
      <c r="K1304" s="74">
        <f t="shared" ref="K1304:O1304" si="360">SUM(K1294:K1303)</f>
        <v>204</v>
      </c>
      <c r="L1304" s="74">
        <f t="shared" si="360"/>
        <v>186</v>
      </c>
      <c r="M1304" s="74">
        <f t="shared" si="360"/>
        <v>220</v>
      </c>
      <c r="N1304" s="105">
        <f t="shared" si="360"/>
        <v>160</v>
      </c>
      <c r="O1304" s="76">
        <f t="shared" si="360"/>
        <v>1013</v>
      </c>
    </row>
    <row r="1305" spans="1:18" x14ac:dyDescent="0.15">
      <c r="A1305" s="14" t="s">
        <v>117</v>
      </c>
      <c r="B1305" s="8"/>
      <c r="C1305" s="10"/>
      <c r="D1305" s="10"/>
      <c r="E1305" s="10">
        <v>1</v>
      </c>
      <c r="F1305" s="30"/>
      <c r="G1305" s="7">
        <f t="shared" ref="G1305:G1330" si="361">SUM(B1305:F1305)</f>
        <v>1</v>
      </c>
      <c r="H1305" s="58">
        <v>43389</v>
      </c>
      <c r="I1305" s="16" t="s">
        <v>857</v>
      </c>
      <c r="J1305" s="17">
        <v>5</v>
      </c>
      <c r="K1305" s="22"/>
      <c r="L1305" s="22"/>
      <c r="M1305" s="22">
        <v>5</v>
      </c>
      <c r="N1305" s="29"/>
      <c r="O1305" s="18">
        <f t="shared" ref="O1305:O1319" si="362">SUM(J1305:N1305)</f>
        <v>10</v>
      </c>
      <c r="P1305" s="58">
        <v>43393</v>
      </c>
    </row>
    <row r="1306" spans="1:18" x14ac:dyDescent="0.15">
      <c r="A1306" s="16" t="s">
        <v>29</v>
      </c>
      <c r="B1306" s="8"/>
      <c r="C1306" s="10"/>
      <c r="D1306" s="10"/>
      <c r="E1306" s="10">
        <v>2</v>
      </c>
      <c r="F1306" s="30"/>
      <c r="G1306" s="7">
        <f t="shared" si="361"/>
        <v>2</v>
      </c>
      <c r="H1306" s="58">
        <v>43388</v>
      </c>
      <c r="I1306" s="16" t="s">
        <v>861</v>
      </c>
      <c r="J1306" s="8">
        <v>2</v>
      </c>
      <c r="K1306" s="10"/>
      <c r="L1306" s="10">
        <v>2</v>
      </c>
      <c r="M1306" s="10"/>
      <c r="N1306" s="28">
        <v>2</v>
      </c>
      <c r="O1306" s="9">
        <f t="shared" si="362"/>
        <v>6</v>
      </c>
      <c r="P1306" s="58">
        <v>43406</v>
      </c>
      <c r="Q1306" s="56"/>
      <c r="R1306" s="56"/>
    </row>
    <row r="1307" spans="1:18" x14ac:dyDescent="0.15">
      <c r="A1307" s="14" t="s">
        <v>117</v>
      </c>
      <c r="B1307" s="8"/>
      <c r="C1307" s="10"/>
      <c r="D1307" s="10"/>
      <c r="E1307" s="10">
        <v>1</v>
      </c>
      <c r="F1307" s="30"/>
      <c r="G1307" s="7">
        <f t="shared" si="361"/>
        <v>1</v>
      </c>
      <c r="H1307" s="58">
        <v>43390</v>
      </c>
      <c r="I1307" s="16" t="s">
        <v>24</v>
      </c>
      <c r="J1307" s="8">
        <v>10</v>
      </c>
      <c r="K1307" s="10">
        <v>5</v>
      </c>
      <c r="L1307" s="10"/>
      <c r="M1307" s="10">
        <v>10</v>
      </c>
      <c r="N1307" s="30"/>
      <c r="O1307" s="7">
        <f t="shared" si="362"/>
        <v>25</v>
      </c>
      <c r="P1307" s="58">
        <v>43409</v>
      </c>
      <c r="Q1307" s="56"/>
      <c r="R1307" s="56"/>
    </row>
    <row r="1308" spans="1:18" x14ac:dyDescent="0.15">
      <c r="A1308" s="14" t="s">
        <v>25</v>
      </c>
      <c r="B1308" s="8"/>
      <c r="C1308" s="10">
        <v>1</v>
      </c>
      <c r="D1308" s="10"/>
      <c r="E1308" s="10">
        <v>1</v>
      </c>
      <c r="F1308" s="30"/>
      <c r="G1308" s="7">
        <f t="shared" si="361"/>
        <v>2</v>
      </c>
      <c r="H1308" s="58">
        <v>43391</v>
      </c>
      <c r="I1308" s="16" t="s">
        <v>110</v>
      </c>
      <c r="J1308" s="8"/>
      <c r="K1308" s="10">
        <v>2</v>
      </c>
      <c r="L1308" s="10"/>
      <c r="M1308" s="10"/>
      <c r="N1308" s="30"/>
      <c r="O1308" s="7">
        <f t="shared" si="362"/>
        <v>2</v>
      </c>
      <c r="P1308" s="58">
        <v>43413</v>
      </c>
    </row>
    <row r="1309" spans="1:18" x14ac:dyDescent="0.15">
      <c r="A1309" s="14" t="s">
        <v>25</v>
      </c>
      <c r="B1309" s="8"/>
      <c r="C1309" s="10">
        <v>2</v>
      </c>
      <c r="D1309" s="10"/>
      <c r="E1309" s="10"/>
      <c r="F1309" s="30"/>
      <c r="G1309" s="7">
        <f t="shared" si="361"/>
        <v>2</v>
      </c>
      <c r="H1309" s="58">
        <v>43395</v>
      </c>
      <c r="I1309" s="16" t="s">
        <v>869</v>
      </c>
      <c r="J1309" s="8"/>
      <c r="K1309" s="10"/>
      <c r="L1309" s="10"/>
      <c r="M1309" s="10"/>
      <c r="N1309" s="30">
        <v>10</v>
      </c>
      <c r="O1309" s="7">
        <f t="shared" si="362"/>
        <v>10</v>
      </c>
      <c r="P1309" s="58">
        <v>43419</v>
      </c>
    </row>
    <row r="1310" spans="1:18" x14ac:dyDescent="0.15">
      <c r="A1310" s="14" t="s">
        <v>182</v>
      </c>
      <c r="B1310" s="8"/>
      <c r="C1310" s="10"/>
      <c r="D1310" s="10"/>
      <c r="E1310" s="10">
        <v>1</v>
      </c>
      <c r="F1310" s="30"/>
      <c r="G1310" s="7">
        <f t="shared" si="361"/>
        <v>1</v>
      </c>
      <c r="H1310" s="58">
        <v>43397</v>
      </c>
      <c r="I1310" s="16" t="s">
        <v>22</v>
      </c>
      <c r="J1310" s="8"/>
      <c r="K1310" s="10">
        <v>10</v>
      </c>
      <c r="L1310" s="10"/>
      <c r="M1310" s="10">
        <v>10</v>
      </c>
      <c r="N1310" s="30"/>
      <c r="O1310" s="7">
        <f t="shared" si="362"/>
        <v>20</v>
      </c>
      <c r="P1310" s="58">
        <v>43423</v>
      </c>
    </row>
    <row r="1311" spans="1:18" x14ac:dyDescent="0.15">
      <c r="A1311" s="39" t="s">
        <v>860</v>
      </c>
      <c r="B1311" s="8">
        <v>1</v>
      </c>
      <c r="C1311" s="10">
        <v>1</v>
      </c>
      <c r="D1311" s="10">
        <v>1</v>
      </c>
      <c r="E1311" s="10">
        <v>1</v>
      </c>
      <c r="F1311" s="30">
        <v>1</v>
      </c>
      <c r="G1311" s="7">
        <f t="shared" si="361"/>
        <v>5</v>
      </c>
      <c r="H1311" s="58">
        <v>43398</v>
      </c>
      <c r="I1311" s="16" t="s">
        <v>24</v>
      </c>
      <c r="J1311" s="8"/>
      <c r="K1311" s="10">
        <v>5</v>
      </c>
      <c r="L1311" s="10"/>
      <c r="M1311" s="10"/>
      <c r="N1311" s="30"/>
      <c r="O1311" s="7">
        <f t="shared" si="362"/>
        <v>5</v>
      </c>
      <c r="P1311" s="58">
        <v>43421</v>
      </c>
      <c r="Q1311" s="56"/>
    </row>
    <row r="1312" spans="1:18" x14ac:dyDescent="0.15">
      <c r="A1312" s="14" t="s">
        <v>182</v>
      </c>
      <c r="B1312" s="8">
        <v>1</v>
      </c>
      <c r="C1312" s="10"/>
      <c r="D1312" s="10">
        <v>1</v>
      </c>
      <c r="E1312" s="10"/>
      <c r="F1312" s="30"/>
      <c r="G1312" s="7">
        <f t="shared" si="361"/>
        <v>2</v>
      </c>
      <c r="H1312" s="58">
        <v>43398</v>
      </c>
      <c r="I1312" s="16" t="s">
        <v>22</v>
      </c>
      <c r="J1312" s="8"/>
      <c r="K1312" s="10"/>
      <c r="L1312" s="10"/>
      <c r="M1312" s="10"/>
      <c r="N1312" s="30">
        <v>10</v>
      </c>
      <c r="O1312" s="7">
        <f t="shared" si="362"/>
        <v>10</v>
      </c>
      <c r="P1312" s="58">
        <v>43426</v>
      </c>
    </row>
    <row r="1313" spans="1:17" x14ac:dyDescent="0.15">
      <c r="A1313" s="14" t="s">
        <v>117</v>
      </c>
      <c r="B1313" s="8"/>
      <c r="C1313" s="10"/>
      <c r="D1313" s="10"/>
      <c r="E1313" s="10">
        <v>1</v>
      </c>
      <c r="F1313" s="30"/>
      <c r="G1313" s="7">
        <f t="shared" si="361"/>
        <v>1</v>
      </c>
      <c r="H1313" s="58">
        <v>43398</v>
      </c>
      <c r="I1313" s="16" t="s">
        <v>24</v>
      </c>
      <c r="J1313" s="8"/>
      <c r="K1313" s="10">
        <v>5</v>
      </c>
      <c r="L1313" s="10"/>
      <c r="M1313" s="10"/>
      <c r="N1313" s="30"/>
      <c r="O1313" s="7">
        <f t="shared" si="362"/>
        <v>5</v>
      </c>
      <c r="P1313" s="57">
        <v>43425</v>
      </c>
    </row>
    <row r="1314" spans="1:17" x14ac:dyDescent="0.15">
      <c r="A1314" s="14" t="s">
        <v>182</v>
      </c>
      <c r="B1314" s="11">
        <v>2</v>
      </c>
      <c r="C1314" s="12"/>
      <c r="D1314" s="12"/>
      <c r="E1314" s="12">
        <v>2</v>
      </c>
      <c r="F1314" s="31"/>
      <c r="G1314" s="7">
        <f t="shared" si="361"/>
        <v>4</v>
      </c>
      <c r="H1314" s="58">
        <v>43403</v>
      </c>
      <c r="I1314" s="16"/>
      <c r="J1314" s="11"/>
      <c r="K1314" s="12"/>
      <c r="L1314" s="12"/>
      <c r="M1314" s="12"/>
      <c r="N1314" s="31"/>
      <c r="O1314" s="7">
        <f t="shared" si="362"/>
        <v>0</v>
      </c>
    </row>
    <row r="1315" spans="1:17" x14ac:dyDescent="0.15">
      <c r="A1315" s="14" t="s">
        <v>182</v>
      </c>
      <c r="B1315" s="11"/>
      <c r="C1315" s="12"/>
      <c r="D1315" s="12"/>
      <c r="E1315" s="12"/>
      <c r="F1315" s="31">
        <v>2</v>
      </c>
      <c r="G1315" s="7">
        <f t="shared" si="361"/>
        <v>2</v>
      </c>
      <c r="H1315" s="58">
        <v>43404</v>
      </c>
      <c r="I1315" s="16"/>
      <c r="J1315" s="8"/>
      <c r="K1315" s="10"/>
      <c r="L1315" s="10"/>
      <c r="M1315" s="10"/>
      <c r="N1315" s="30"/>
      <c r="O1315" s="7">
        <f t="shared" si="362"/>
        <v>0</v>
      </c>
    </row>
    <row r="1316" spans="1:17" x14ac:dyDescent="0.15">
      <c r="A1316" s="14" t="s">
        <v>182</v>
      </c>
      <c r="B1316" s="8">
        <v>1</v>
      </c>
      <c r="C1316" s="10"/>
      <c r="D1316" s="10">
        <v>2</v>
      </c>
      <c r="E1316" s="10"/>
      <c r="F1316" s="30"/>
      <c r="G1316" s="7">
        <f t="shared" si="361"/>
        <v>3</v>
      </c>
      <c r="H1316" s="58">
        <v>43406</v>
      </c>
      <c r="I1316" s="39"/>
      <c r="J1316" s="8"/>
      <c r="K1316" s="10"/>
      <c r="L1316" s="10"/>
      <c r="M1316" s="10"/>
      <c r="N1316" s="30"/>
      <c r="O1316" s="7">
        <f t="shared" si="362"/>
        <v>0</v>
      </c>
    </row>
    <row r="1317" spans="1:17" x14ac:dyDescent="0.15">
      <c r="A1317" s="14" t="s">
        <v>182</v>
      </c>
      <c r="B1317" s="8"/>
      <c r="C1317" s="10"/>
      <c r="D1317" s="10">
        <v>2</v>
      </c>
      <c r="E1317" s="10"/>
      <c r="F1317" s="30"/>
      <c r="G1317" s="7">
        <f t="shared" si="361"/>
        <v>2</v>
      </c>
      <c r="H1317" s="58">
        <v>43406</v>
      </c>
      <c r="I1317" s="16"/>
      <c r="J1317" s="8"/>
      <c r="K1317" s="10"/>
      <c r="L1317" s="10"/>
      <c r="M1317" s="10"/>
      <c r="N1317" s="30"/>
      <c r="O1317" s="7">
        <f t="shared" si="362"/>
        <v>0</v>
      </c>
    </row>
    <row r="1318" spans="1:17" x14ac:dyDescent="0.15">
      <c r="A1318" s="14" t="s">
        <v>865</v>
      </c>
      <c r="B1318" s="8"/>
      <c r="C1318" s="10"/>
      <c r="D1318" s="10">
        <v>1</v>
      </c>
      <c r="E1318" s="10"/>
      <c r="F1318" s="30"/>
      <c r="G1318" s="7">
        <f t="shared" si="361"/>
        <v>1</v>
      </c>
      <c r="H1318" s="58">
        <v>43406</v>
      </c>
      <c r="I1318" s="16"/>
      <c r="J1318" s="8"/>
      <c r="K1318" s="10"/>
      <c r="L1318" s="10"/>
      <c r="M1318" s="10"/>
      <c r="N1318" s="30"/>
      <c r="O1318" s="7">
        <f t="shared" si="362"/>
        <v>0</v>
      </c>
      <c r="P1318" s="56"/>
    </row>
    <row r="1319" spans="1:17" x14ac:dyDescent="0.15">
      <c r="A1319" s="14" t="s">
        <v>25</v>
      </c>
      <c r="B1319" s="8"/>
      <c r="C1319" s="10"/>
      <c r="D1319" s="10"/>
      <c r="E1319" s="10"/>
      <c r="F1319" s="30">
        <v>1</v>
      </c>
      <c r="G1319" s="7">
        <f t="shared" si="361"/>
        <v>1</v>
      </c>
      <c r="H1319" s="58">
        <v>43406</v>
      </c>
      <c r="I1319" s="62"/>
      <c r="J1319" s="8"/>
      <c r="K1319" s="10"/>
      <c r="L1319" s="10"/>
      <c r="M1319" s="10"/>
      <c r="N1319" s="30"/>
      <c r="O1319" s="7">
        <f t="shared" si="362"/>
        <v>0</v>
      </c>
      <c r="P1319" s="56"/>
      <c r="Q1319" s="56"/>
    </row>
    <row r="1320" spans="1:17" x14ac:dyDescent="0.15">
      <c r="A1320" s="16" t="s">
        <v>110</v>
      </c>
      <c r="B1320" s="8"/>
      <c r="C1320" s="10"/>
      <c r="D1320" s="10"/>
      <c r="E1320" s="10">
        <v>2</v>
      </c>
      <c r="F1320" s="30"/>
      <c r="G1320" s="7">
        <f t="shared" si="361"/>
        <v>2</v>
      </c>
      <c r="H1320" s="58">
        <v>43412</v>
      </c>
      <c r="I1320" s="14"/>
      <c r="J1320" s="8"/>
      <c r="K1320" s="10"/>
      <c r="L1320" s="10"/>
      <c r="M1320" s="10"/>
      <c r="N1320" s="30"/>
      <c r="O1320" s="7">
        <f>SUM(J1320:N1320)</f>
        <v>0</v>
      </c>
      <c r="P1320" s="56"/>
      <c r="Q1320" s="56"/>
    </row>
    <row r="1321" spans="1:17" x14ac:dyDescent="0.15">
      <c r="A1321" s="39" t="s">
        <v>866</v>
      </c>
      <c r="B1321" s="8">
        <v>2</v>
      </c>
      <c r="C1321" s="10">
        <v>7</v>
      </c>
      <c r="D1321" s="10">
        <v>1</v>
      </c>
      <c r="E1321" s="10">
        <v>1</v>
      </c>
      <c r="F1321" s="30"/>
      <c r="G1321" s="7">
        <f t="shared" si="361"/>
        <v>11</v>
      </c>
      <c r="H1321" s="58">
        <v>43411</v>
      </c>
      <c r="I1321" s="14"/>
      <c r="J1321" s="11"/>
      <c r="K1321" s="12"/>
      <c r="L1321" s="12"/>
      <c r="M1321" s="12"/>
      <c r="N1321" s="31"/>
      <c r="O1321" s="7">
        <f t="shared" ref="O1321:O1328" si="363">SUM(J1321:N1321)</f>
        <v>0</v>
      </c>
      <c r="P1321" s="56"/>
      <c r="Q1321" s="56"/>
    </row>
    <row r="1322" spans="1:17" x14ac:dyDescent="0.15">
      <c r="A1322" s="14" t="s">
        <v>25</v>
      </c>
      <c r="B1322" s="8"/>
      <c r="C1322" s="10">
        <v>1</v>
      </c>
      <c r="D1322" s="10"/>
      <c r="E1322" s="10"/>
      <c r="F1322" s="30"/>
      <c r="G1322" s="7">
        <f t="shared" si="361"/>
        <v>1</v>
      </c>
      <c r="H1322" s="58">
        <v>43412</v>
      </c>
      <c r="I1322" s="20"/>
      <c r="J1322" s="8"/>
      <c r="K1322" s="10"/>
      <c r="L1322" s="10"/>
      <c r="M1322" s="10"/>
      <c r="N1322" s="30"/>
      <c r="O1322" s="7">
        <f t="shared" si="363"/>
        <v>0</v>
      </c>
      <c r="P1322" s="58"/>
      <c r="Q1322" s="56"/>
    </row>
    <row r="1323" spans="1:17" x14ac:dyDescent="0.15">
      <c r="A1323" s="14" t="s">
        <v>871</v>
      </c>
      <c r="B1323" s="8">
        <v>1</v>
      </c>
      <c r="C1323" s="10"/>
      <c r="D1323" s="10"/>
      <c r="E1323" s="10"/>
      <c r="F1323" s="30"/>
      <c r="G1323" s="7">
        <f t="shared" si="361"/>
        <v>1</v>
      </c>
      <c r="H1323" s="58">
        <v>43417</v>
      </c>
      <c r="I1323" s="14"/>
      <c r="J1323" s="8"/>
      <c r="K1323" s="10"/>
      <c r="L1323" s="10"/>
      <c r="M1323" s="10"/>
      <c r="N1323" s="30"/>
      <c r="O1323" s="7">
        <f t="shared" si="363"/>
        <v>0</v>
      </c>
      <c r="P1323" s="58"/>
      <c r="Q1323" s="56"/>
    </row>
    <row r="1324" spans="1:17" x14ac:dyDescent="0.15">
      <c r="A1324" s="14" t="s">
        <v>25</v>
      </c>
      <c r="B1324" s="8"/>
      <c r="C1324" s="10">
        <v>1</v>
      </c>
      <c r="D1324" s="10"/>
      <c r="E1324" s="10"/>
      <c r="F1324" s="30"/>
      <c r="G1324" s="7">
        <f t="shared" si="361"/>
        <v>1</v>
      </c>
      <c r="H1324" s="58">
        <v>43417</v>
      </c>
      <c r="I1324" s="14"/>
      <c r="J1324" s="8"/>
      <c r="K1324" s="10"/>
      <c r="L1324" s="10"/>
      <c r="M1324" s="10"/>
      <c r="N1324" s="30"/>
      <c r="O1324" s="7">
        <f t="shared" si="363"/>
        <v>0</v>
      </c>
      <c r="P1324" s="58"/>
      <c r="Q1324" s="56"/>
    </row>
    <row r="1325" spans="1:17" x14ac:dyDescent="0.15">
      <c r="A1325" s="14" t="s">
        <v>182</v>
      </c>
      <c r="B1325" s="8"/>
      <c r="C1325" s="10"/>
      <c r="D1325" s="10"/>
      <c r="E1325" s="10"/>
      <c r="F1325" s="30">
        <v>2</v>
      </c>
      <c r="G1325" s="7">
        <f t="shared" si="361"/>
        <v>2</v>
      </c>
      <c r="H1325" s="58">
        <v>43419</v>
      </c>
      <c r="I1325" s="14"/>
      <c r="J1325" s="8"/>
      <c r="K1325" s="10"/>
      <c r="L1325" s="10"/>
      <c r="M1325" s="10"/>
      <c r="N1325" s="30"/>
      <c r="O1325" s="7">
        <f t="shared" si="363"/>
        <v>0</v>
      </c>
      <c r="P1325" s="58"/>
      <c r="Q1325" s="56"/>
    </row>
    <row r="1326" spans="1:17" x14ac:dyDescent="0.15">
      <c r="A1326" s="14" t="s">
        <v>25</v>
      </c>
      <c r="B1326" s="11"/>
      <c r="C1326" s="12">
        <v>1</v>
      </c>
      <c r="D1326" s="12"/>
      <c r="E1326" s="12"/>
      <c r="F1326" s="31">
        <v>1</v>
      </c>
      <c r="G1326" s="7">
        <f t="shared" si="361"/>
        <v>2</v>
      </c>
      <c r="H1326" s="58">
        <v>43419</v>
      </c>
      <c r="I1326" s="14"/>
      <c r="J1326" s="8"/>
      <c r="K1326" s="10"/>
      <c r="L1326" s="10"/>
      <c r="M1326" s="10"/>
      <c r="N1326" s="30"/>
      <c r="O1326" s="7">
        <f t="shared" si="363"/>
        <v>0</v>
      </c>
      <c r="P1326" s="58"/>
      <c r="Q1326" s="56"/>
    </row>
    <row r="1327" spans="1:17" x14ac:dyDescent="0.15">
      <c r="A1327" s="14" t="s">
        <v>182</v>
      </c>
      <c r="B1327" s="8"/>
      <c r="C1327" s="10"/>
      <c r="D1327" s="10"/>
      <c r="E1327" s="10"/>
      <c r="F1327" s="30">
        <v>1</v>
      </c>
      <c r="G1327" s="7">
        <f t="shared" si="361"/>
        <v>1</v>
      </c>
      <c r="H1327" s="58">
        <v>43420</v>
      </c>
      <c r="I1327" s="39"/>
      <c r="J1327" s="8"/>
      <c r="K1327" s="10"/>
      <c r="L1327" s="10"/>
      <c r="M1327" s="10"/>
      <c r="N1327" s="30"/>
      <c r="O1327" s="7">
        <f t="shared" si="363"/>
        <v>0</v>
      </c>
      <c r="P1327" s="56"/>
      <c r="Q1327" s="56"/>
    </row>
    <row r="1328" spans="1:17" x14ac:dyDescent="0.15">
      <c r="A1328" s="14" t="s">
        <v>25</v>
      </c>
      <c r="B1328" s="8">
        <v>1</v>
      </c>
      <c r="C1328" s="10"/>
      <c r="D1328" s="10"/>
      <c r="E1328" s="10"/>
      <c r="F1328" s="30"/>
      <c r="G1328" s="7">
        <f t="shared" si="361"/>
        <v>1</v>
      </c>
      <c r="H1328" s="58">
        <v>43421</v>
      </c>
      <c r="I1328" s="16"/>
      <c r="J1328" s="8"/>
      <c r="K1328" s="10"/>
      <c r="L1328" s="10"/>
      <c r="M1328" s="10"/>
      <c r="N1328" s="30"/>
      <c r="O1328" s="7">
        <f t="shared" si="363"/>
        <v>0</v>
      </c>
      <c r="P1328" s="56"/>
      <c r="Q1328" s="56"/>
    </row>
    <row r="1329" spans="1:17" x14ac:dyDescent="0.15">
      <c r="A1329" s="14" t="s">
        <v>25</v>
      </c>
      <c r="B1329" s="8">
        <v>1</v>
      </c>
      <c r="C1329" s="10"/>
      <c r="D1329" s="10"/>
      <c r="E1329" s="10"/>
      <c r="F1329" s="30"/>
      <c r="G1329" s="7">
        <f t="shared" si="361"/>
        <v>1</v>
      </c>
      <c r="H1329" s="58">
        <v>43424</v>
      </c>
      <c r="I1329" s="141"/>
      <c r="J1329" s="8"/>
      <c r="K1329" s="10"/>
      <c r="L1329" s="10"/>
      <c r="M1329" s="10"/>
      <c r="N1329" s="30"/>
      <c r="O1329" s="7">
        <f>SUM(J1329:N1329)</f>
        <v>0</v>
      </c>
      <c r="P1329" s="56"/>
      <c r="Q1329" s="56"/>
    </row>
    <row r="1330" spans="1:17" ht="14.25" thickBot="1" x14ac:dyDescent="0.2">
      <c r="A1330" s="14" t="s">
        <v>881</v>
      </c>
      <c r="B1330" s="11">
        <v>1</v>
      </c>
      <c r="C1330" s="12"/>
      <c r="D1330" s="12"/>
      <c r="E1330" s="12"/>
      <c r="F1330" s="31"/>
      <c r="G1330" s="7">
        <f t="shared" si="361"/>
        <v>1</v>
      </c>
      <c r="H1330" s="58">
        <v>43424</v>
      </c>
      <c r="I1330" s="39"/>
      <c r="J1330" s="8"/>
      <c r="K1330" s="10"/>
      <c r="L1330" s="10"/>
      <c r="M1330" s="10"/>
      <c r="N1330" s="30"/>
      <c r="O1330" s="7">
        <f t="shared" ref="O1330" si="364">SUM(J1330:N1330)</f>
        <v>0</v>
      </c>
      <c r="P1330" s="56"/>
    </row>
    <row r="1331" spans="1:17" ht="14.25" thickBot="1" x14ac:dyDescent="0.2">
      <c r="A1331" s="3" t="s">
        <v>11</v>
      </c>
      <c r="B1331" s="23">
        <f>SUM(B1305:B1330)</f>
        <v>11</v>
      </c>
      <c r="C1331" s="4">
        <f>SUM(C1305:C1330)</f>
        <v>14</v>
      </c>
      <c r="D1331" s="4">
        <f>SUM(D1305:D1330)</f>
        <v>8</v>
      </c>
      <c r="E1331" s="6">
        <f>SUM(E1305:E1330)</f>
        <v>13</v>
      </c>
      <c r="F1331" s="32">
        <f>SUM(F1305:F1330)</f>
        <v>8</v>
      </c>
      <c r="G1331" s="5">
        <f>SUM(B1331:F1331)</f>
        <v>54</v>
      </c>
      <c r="I1331" s="3" t="s">
        <v>11</v>
      </c>
      <c r="J1331" s="23">
        <f>SUM(J1305:J1330)</f>
        <v>17</v>
      </c>
      <c r="K1331" s="4">
        <f>SUM(K1305:K1330)</f>
        <v>27</v>
      </c>
      <c r="L1331" s="4">
        <f>SUM(L1305:L1330)</f>
        <v>2</v>
      </c>
      <c r="M1331" s="6">
        <f>SUM(M1305:M1330)</f>
        <v>25</v>
      </c>
      <c r="N1331" s="6">
        <f>SUM(N1305:N1330)</f>
        <v>22</v>
      </c>
      <c r="O1331" s="5">
        <f>SUM(J1331:N1331)</f>
        <v>93</v>
      </c>
    </row>
    <row r="1332" spans="1:17" ht="14.25" thickBot="1" x14ac:dyDescent="0.2">
      <c r="A1332" s="25" t="s">
        <v>12</v>
      </c>
      <c r="B1332" s="63">
        <f>B1304-B1331</f>
        <v>17</v>
      </c>
      <c r="C1332" s="26">
        <f t="shared" ref="C1332:G1332" si="365">C1304-C1331</f>
        <v>18</v>
      </c>
      <c r="D1332" s="71">
        <f t="shared" si="365"/>
        <v>14</v>
      </c>
      <c r="E1332" s="26">
        <f t="shared" si="365"/>
        <v>16</v>
      </c>
      <c r="F1332" s="70">
        <f t="shared" si="365"/>
        <v>11</v>
      </c>
      <c r="G1332" s="27">
        <f t="shared" si="365"/>
        <v>76</v>
      </c>
      <c r="I1332" s="25" t="s">
        <v>12</v>
      </c>
      <c r="J1332" s="63">
        <f>J1304-J1331</f>
        <v>226</v>
      </c>
      <c r="K1332" s="26">
        <f t="shared" ref="K1332:O1332" si="366">K1304-K1331</f>
        <v>177</v>
      </c>
      <c r="L1332" s="71">
        <f t="shared" si="366"/>
        <v>184</v>
      </c>
      <c r="M1332" s="26">
        <f t="shared" si="366"/>
        <v>195</v>
      </c>
      <c r="N1332" s="70">
        <f t="shared" si="366"/>
        <v>138</v>
      </c>
      <c r="O1332" s="27">
        <f t="shared" si="366"/>
        <v>920</v>
      </c>
    </row>
    <row r="1333" spans="1:17" ht="17.25" x14ac:dyDescent="0.2">
      <c r="A1333" s="79" t="s">
        <v>56</v>
      </c>
      <c r="B1333" s="80"/>
      <c r="C1333" s="80"/>
      <c r="D1333" s="80"/>
      <c r="E1333" s="80"/>
      <c r="F1333" s="80"/>
      <c r="G1333" s="80"/>
      <c r="I1333" s="79" t="s">
        <v>56</v>
      </c>
      <c r="J1333" s="80"/>
      <c r="K1333" s="80"/>
      <c r="L1333" s="80"/>
      <c r="M1333" s="80"/>
      <c r="N1333" s="80"/>
      <c r="O1333" s="1"/>
    </row>
    <row r="1334" spans="1:17" ht="21.75" thickBot="1" x14ac:dyDescent="0.25">
      <c r="A1334" s="82" t="s">
        <v>55</v>
      </c>
      <c r="B1334" s="80"/>
      <c r="C1334" s="80"/>
      <c r="D1334" s="80"/>
      <c r="E1334" s="81" t="s">
        <v>53</v>
      </c>
      <c r="F1334" s="80"/>
      <c r="G1334" s="80"/>
      <c r="I1334" s="82" t="s">
        <v>55</v>
      </c>
      <c r="J1334" s="80"/>
      <c r="K1334" s="80"/>
      <c r="L1334" s="80"/>
      <c r="M1334" s="81" t="s">
        <v>54</v>
      </c>
      <c r="N1334" s="80"/>
      <c r="O1334" s="1"/>
    </row>
    <row r="1335" spans="1:17" ht="14.25" thickBot="1" x14ac:dyDescent="0.2">
      <c r="A1335" s="13" t="s">
        <v>0</v>
      </c>
      <c r="B1335" s="228" t="s">
        <v>57</v>
      </c>
      <c r="C1335" s="229"/>
      <c r="D1335" s="229"/>
      <c r="E1335" s="229"/>
      <c r="F1335" s="230"/>
      <c r="G1335" s="231"/>
      <c r="I1335" s="13" t="s">
        <v>0</v>
      </c>
      <c r="J1335" s="232" t="s">
        <v>57</v>
      </c>
      <c r="K1335" s="233"/>
      <c r="L1335" s="233"/>
      <c r="M1335" s="233"/>
      <c r="N1335" s="233"/>
      <c r="O1335" s="234"/>
    </row>
    <row r="1336" spans="1:17" ht="14.25" thickBot="1" x14ac:dyDescent="0.2">
      <c r="A1336" s="3" t="s">
        <v>1</v>
      </c>
      <c r="B1336" s="2" t="s">
        <v>42</v>
      </c>
      <c r="C1336" s="21" t="s">
        <v>43</v>
      </c>
      <c r="D1336" s="21" t="s">
        <v>44</v>
      </c>
      <c r="E1336" s="24" t="s">
        <v>45</v>
      </c>
      <c r="F1336" s="33" t="s">
        <v>46</v>
      </c>
      <c r="G1336" s="3" t="s">
        <v>2</v>
      </c>
      <c r="I1336" s="3" t="s">
        <v>1</v>
      </c>
      <c r="J1336" s="2" t="s">
        <v>42</v>
      </c>
      <c r="K1336" s="21" t="s">
        <v>43</v>
      </c>
      <c r="L1336" s="21" t="s">
        <v>44</v>
      </c>
      <c r="M1336" s="24" t="s">
        <v>45</v>
      </c>
      <c r="N1336" s="33" t="s">
        <v>46</v>
      </c>
      <c r="O1336" s="3" t="s">
        <v>2</v>
      </c>
    </row>
    <row r="1337" spans="1:17" ht="14.25" thickBot="1" x14ac:dyDescent="0.2">
      <c r="A1337" s="72" t="s">
        <v>79</v>
      </c>
      <c r="B1337" s="73">
        <f>B1332</f>
        <v>17</v>
      </c>
      <c r="C1337" s="74">
        <f t="shared" ref="C1337:F1337" si="367">C1332</f>
        <v>18</v>
      </c>
      <c r="D1337" s="107">
        <f t="shared" si="367"/>
        <v>14</v>
      </c>
      <c r="E1337" s="75">
        <f t="shared" si="367"/>
        <v>16</v>
      </c>
      <c r="F1337" s="75">
        <f t="shared" si="367"/>
        <v>11</v>
      </c>
      <c r="G1337" s="76">
        <f t="shared" ref="G1337:G1346" si="368">SUM(B1337:F1337)</f>
        <v>76</v>
      </c>
      <c r="I1337" s="72" t="s">
        <v>79</v>
      </c>
      <c r="J1337" s="73">
        <f>J1332</f>
        <v>226</v>
      </c>
      <c r="K1337" s="74">
        <f t="shared" ref="K1337:N1337" si="369">K1332</f>
        <v>177</v>
      </c>
      <c r="L1337" s="107">
        <f t="shared" si="369"/>
        <v>184</v>
      </c>
      <c r="M1337" s="75">
        <f t="shared" si="369"/>
        <v>195</v>
      </c>
      <c r="N1337" s="75">
        <f t="shared" si="369"/>
        <v>138</v>
      </c>
      <c r="O1337" s="76">
        <f t="shared" ref="O1337:O1346" si="370">SUM(J1337:N1337)</f>
        <v>920</v>
      </c>
    </row>
    <row r="1338" spans="1:17" x14ac:dyDescent="0.15">
      <c r="A1338" s="38" t="s">
        <v>15</v>
      </c>
      <c r="B1338" s="37"/>
      <c r="C1338" s="35"/>
      <c r="D1338" s="35">
        <v>5</v>
      </c>
      <c r="E1338" s="35">
        <v>5</v>
      </c>
      <c r="F1338" s="28">
        <v>5</v>
      </c>
      <c r="G1338" s="7">
        <f t="shared" si="368"/>
        <v>15</v>
      </c>
      <c r="H1338" s="58">
        <v>43453</v>
      </c>
      <c r="I1338" s="38" t="s">
        <v>15</v>
      </c>
      <c r="J1338" s="8"/>
      <c r="K1338" s="10"/>
      <c r="L1338" s="10"/>
      <c r="M1338" s="10"/>
      <c r="N1338" s="30"/>
      <c r="O1338" s="7">
        <f t="shared" si="370"/>
        <v>0</v>
      </c>
    </row>
    <row r="1339" spans="1:17" x14ac:dyDescent="0.15">
      <c r="A1339" s="38" t="s">
        <v>19</v>
      </c>
      <c r="B1339" s="8">
        <v>1</v>
      </c>
      <c r="C1339" s="10"/>
      <c r="D1339" s="10">
        <v>2</v>
      </c>
      <c r="E1339" s="10">
        <v>1</v>
      </c>
      <c r="F1339" s="28">
        <v>1</v>
      </c>
      <c r="G1339" s="9">
        <f t="shared" si="368"/>
        <v>5</v>
      </c>
      <c r="H1339" s="58">
        <v>43480</v>
      </c>
      <c r="I1339" s="38" t="s">
        <v>16</v>
      </c>
      <c r="J1339" s="8"/>
      <c r="K1339" s="10"/>
      <c r="L1339" s="10"/>
      <c r="M1339" s="10"/>
      <c r="N1339" s="28"/>
      <c r="O1339" s="9">
        <f t="shared" si="370"/>
        <v>0</v>
      </c>
      <c r="P1339" s="56"/>
      <c r="Q1339" s="56"/>
    </row>
    <row r="1340" spans="1:17" x14ac:dyDescent="0.15">
      <c r="A1340" s="38" t="s">
        <v>322</v>
      </c>
      <c r="B1340" s="8"/>
      <c r="C1340" s="10"/>
      <c r="D1340" s="10">
        <v>3</v>
      </c>
      <c r="E1340" s="10"/>
      <c r="F1340" s="28"/>
      <c r="G1340" s="9">
        <f t="shared" si="368"/>
        <v>3</v>
      </c>
      <c r="H1340" s="58">
        <v>43483</v>
      </c>
      <c r="I1340" s="15" t="s">
        <v>18</v>
      </c>
      <c r="J1340" s="8"/>
      <c r="K1340" s="10"/>
      <c r="L1340" s="10"/>
      <c r="M1340" s="10"/>
      <c r="N1340" s="28"/>
      <c r="O1340" s="9">
        <f t="shared" si="370"/>
        <v>0</v>
      </c>
      <c r="P1340" s="56"/>
      <c r="Q1340" s="56"/>
    </row>
    <row r="1341" spans="1:17" x14ac:dyDescent="0.15">
      <c r="A1341" s="38" t="s">
        <v>17</v>
      </c>
      <c r="B1341" s="8">
        <v>1</v>
      </c>
      <c r="C1341" s="10">
        <v>1</v>
      </c>
      <c r="D1341" s="10"/>
      <c r="E1341" s="10"/>
      <c r="F1341" s="28">
        <v>1</v>
      </c>
      <c r="G1341" s="9">
        <f t="shared" si="368"/>
        <v>3</v>
      </c>
      <c r="H1341" s="58">
        <v>43511</v>
      </c>
      <c r="I1341" s="15" t="s">
        <v>20</v>
      </c>
      <c r="J1341" s="8"/>
      <c r="K1341" s="10"/>
      <c r="L1341" s="10"/>
      <c r="M1341" s="10"/>
      <c r="N1341" s="28"/>
      <c r="O1341" s="9">
        <f t="shared" si="370"/>
        <v>0</v>
      </c>
    </row>
    <row r="1342" spans="1:17" x14ac:dyDescent="0.15">
      <c r="A1342" s="38" t="s">
        <v>80</v>
      </c>
      <c r="B1342" s="8"/>
      <c r="C1342" s="10"/>
      <c r="D1342" s="10"/>
      <c r="E1342" s="10"/>
      <c r="F1342" s="28"/>
      <c r="G1342" s="9">
        <f t="shared" si="368"/>
        <v>0</v>
      </c>
      <c r="H1342" s="58"/>
      <c r="I1342" s="15" t="s">
        <v>80</v>
      </c>
      <c r="J1342" s="8"/>
      <c r="K1342" s="10"/>
      <c r="L1342" s="10"/>
      <c r="M1342" s="10"/>
      <c r="N1342" s="28"/>
      <c r="O1342" s="9">
        <f t="shared" si="370"/>
        <v>0</v>
      </c>
    </row>
    <row r="1343" spans="1:17" x14ac:dyDescent="0.15">
      <c r="A1343" s="38" t="s">
        <v>81</v>
      </c>
      <c r="B1343" s="8"/>
      <c r="C1343" s="10"/>
      <c r="D1343" s="10"/>
      <c r="E1343" s="10"/>
      <c r="F1343" s="28"/>
      <c r="G1343" s="9">
        <f t="shared" si="368"/>
        <v>0</v>
      </c>
      <c r="H1343" s="58"/>
      <c r="I1343" s="15" t="s">
        <v>81</v>
      </c>
      <c r="J1343" s="8"/>
      <c r="K1343" s="10"/>
      <c r="L1343" s="10"/>
      <c r="M1343" s="10"/>
      <c r="N1343" s="28"/>
      <c r="O1343" s="9">
        <f t="shared" si="370"/>
        <v>0</v>
      </c>
    </row>
    <row r="1344" spans="1:17" x14ac:dyDescent="0.15">
      <c r="A1344" s="38" t="s">
        <v>82</v>
      </c>
      <c r="B1344" s="8"/>
      <c r="C1344" s="10"/>
      <c r="D1344" s="10"/>
      <c r="E1344" s="10"/>
      <c r="F1344" s="30"/>
      <c r="G1344" s="7">
        <f t="shared" si="368"/>
        <v>0</v>
      </c>
      <c r="H1344" s="58"/>
      <c r="I1344" s="15" t="s">
        <v>82</v>
      </c>
      <c r="J1344" s="8"/>
      <c r="K1344" s="10"/>
      <c r="L1344" s="10"/>
      <c r="M1344" s="10"/>
      <c r="N1344" s="30"/>
      <c r="O1344" s="7">
        <f t="shared" si="370"/>
        <v>0</v>
      </c>
    </row>
    <row r="1345" spans="1:17" x14ac:dyDescent="0.15">
      <c r="A1345" s="38" t="s">
        <v>83</v>
      </c>
      <c r="B1345" s="11"/>
      <c r="C1345" s="100"/>
      <c r="D1345" s="100"/>
      <c r="E1345" s="100"/>
      <c r="F1345" s="101"/>
      <c r="G1345" s="102">
        <f t="shared" si="368"/>
        <v>0</v>
      </c>
      <c r="H1345" s="58"/>
      <c r="I1345" s="15" t="s">
        <v>83</v>
      </c>
      <c r="J1345" s="8"/>
      <c r="K1345" s="10"/>
      <c r="L1345" s="10"/>
      <c r="M1345" s="10"/>
      <c r="N1345" s="30"/>
      <c r="O1345" s="7">
        <f t="shared" si="370"/>
        <v>0</v>
      </c>
    </row>
    <row r="1346" spans="1:17" ht="14.25" thickBot="1" x14ac:dyDescent="0.2">
      <c r="A1346" s="38" t="s">
        <v>159</v>
      </c>
      <c r="B1346" s="11"/>
      <c r="C1346" s="100"/>
      <c r="D1346" s="100"/>
      <c r="E1346" s="100"/>
      <c r="F1346" s="101"/>
      <c r="G1346" s="102">
        <f t="shared" si="368"/>
        <v>0</v>
      </c>
      <c r="H1346" s="56"/>
      <c r="I1346" s="15" t="s">
        <v>87</v>
      </c>
      <c r="J1346" s="11"/>
      <c r="K1346" s="100"/>
      <c r="L1346" s="100"/>
      <c r="M1346" s="100"/>
      <c r="N1346" s="101"/>
      <c r="O1346" s="102">
        <f t="shared" si="370"/>
        <v>0</v>
      </c>
    </row>
    <row r="1347" spans="1:17" ht="14.25" thickBot="1" x14ac:dyDescent="0.2">
      <c r="A1347" s="72" t="s">
        <v>7</v>
      </c>
      <c r="B1347" s="73">
        <f>SUM(B1337:B1346)</f>
        <v>19</v>
      </c>
      <c r="C1347" s="74">
        <f t="shared" ref="C1347:G1347" si="371">SUM(C1337:C1346)</f>
        <v>19</v>
      </c>
      <c r="D1347" s="74">
        <f t="shared" si="371"/>
        <v>24</v>
      </c>
      <c r="E1347" s="74">
        <f t="shared" si="371"/>
        <v>22</v>
      </c>
      <c r="F1347" s="105">
        <f t="shared" si="371"/>
        <v>18</v>
      </c>
      <c r="G1347" s="76">
        <f t="shared" si="371"/>
        <v>102</v>
      </c>
      <c r="I1347" s="72" t="s">
        <v>7</v>
      </c>
      <c r="J1347" s="73">
        <f>SUM(J1337:J1346)</f>
        <v>226</v>
      </c>
      <c r="K1347" s="74">
        <f t="shared" ref="K1347:O1347" si="372">SUM(K1337:K1346)</f>
        <v>177</v>
      </c>
      <c r="L1347" s="74">
        <f t="shared" si="372"/>
        <v>184</v>
      </c>
      <c r="M1347" s="74">
        <f t="shared" si="372"/>
        <v>195</v>
      </c>
      <c r="N1347" s="105">
        <f t="shared" si="372"/>
        <v>138</v>
      </c>
      <c r="O1347" s="76">
        <f t="shared" si="372"/>
        <v>920</v>
      </c>
    </row>
    <row r="1348" spans="1:17" x14ac:dyDescent="0.15">
      <c r="A1348" s="14" t="s">
        <v>25</v>
      </c>
      <c r="B1348" s="8"/>
      <c r="C1348" s="10">
        <v>1</v>
      </c>
      <c r="D1348" s="10"/>
      <c r="E1348" s="10"/>
      <c r="F1348" s="30"/>
      <c r="G1348" s="7">
        <f t="shared" ref="G1348:G1373" si="373">SUM(B1348:F1348)</f>
        <v>1</v>
      </c>
      <c r="H1348" s="58">
        <v>43428</v>
      </c>
      <c r="I1348" s="16" t="s">
        <v>22</v>
      </c>
      <c r="J1348" s="17"/>
      <c r="K1348" s="22"/>
      <c r="L1348" s="22">
        <v>10</v>
      </c>
      <c r="M1348" s="22"/>
      <c r="N1348" s="29"/>
      <c r="O1348" s="18">
        <f t="shared" ref="O1348:O1361" si="374">SUM(J1348:N1348)</f>
        <v>10</v>
      </c>
      <c r="P1348" s="58">
        <v>43437</v>
      </c>
    </row>
    <row r="1349" spans="1:17" x14ac:dyDescent="0.15">
      <c r="A1349" s="14" t="s">
        <v>182</v>
      </c>
      <c r="B1349" s="8"/>
      <c r="C1349" s="10"/>
      <c r="D1349" s="10"/>
      <c r="E1349" s="10">
        <v>1</v>
      </c>
      <c r="F1349" s="30"/>
      <c r="G1349" s="7">
        <f t="shared" si="373"/>
        <v>1</v>
      </c>
      <c r="H1349" s="58">
        <v>43431</v>
      </c>
      <c r="I1349" s="16" t="s">
        <v>110</v>
      </c>
      <c r="J1349" s="8">
        <v>2</v>
      </c>
      <c r="K1349" s="10"/>
      <c r="L1349" s="10"/>
      <c r="M1349" s="10"/>
      <c r="N1349" s="28"/>
      <c r="O1349" s="9">
        <f t="shared" si="374"/>
        <v>2</v>
      </c>
      <c r="P1349" s="58">
        <v>43441</v>
      </c>
    </row>
    <row r="1350" spans="1:17" x14ac:dyDescent="0.15">
      <c r="A1350" s="14" t="s">
        <v>25</v>
      </c>
      <c r="B1350" s="8"/>
      <c r="C1350" s="10">
        <v>1</v>
      </c>
      <c r="D1350" s="10">
        <v>2</v>
      </c>
      <c r="E1350" s="10"/>
      <c r="F1350" s="30"/>
      <c r="G1350" s="7">
        <f t="shared" si="373"/>
        <v>3</v>
      </c>
      <c r="H1350" s="58">
        <v>43431</v>
      </c>
      <c r="I1350" s="16" t="s">
        <v>110</v>
      </c>
      <c r="J1350" s="8">
        <v>2</v>
      </c>
      <c r="K1350" s="10"/>
      <c r="L1350" s="10"/>
      <c r="M1350" s="10">
        <v>2</v>
      </c>
      <c r="N1350" s="30"/>
      <c r="O1350" s="7">
        <f t="shared" si="374"/>
        <v>4</v>
      </c>
      <c r="P1350" s="58">
        <v>43444</v>
      </c>
    </row>
    <row r="1351" spans="1:17" x14ac:dyDescent="0.15">
      <c r="A1351" s="14" t="s">
        <v>25</v>
      </c>
      <c r="B1351" s="8"/>
      <c r="C1351" s="10"/>
      <c r="D1351" s="10"/>
      <c r="E1351" s="10"/>
      <c r="F1351" s="30">
        <v>1</v>
      </c>
      <c r="G1351" s="7">
        <f t="shared" si="373"/>
        <v>1</v>
      </c>
      <c r="H1351" s="58">
        <v>43432</v>
      </c>
      <c r="I1351" s="16" t="s">
        <v>110</v>
      </c>
      <c r="J1351" s="8"/>
      <c r="K1351" s="10"/>
      <c r="L1351" s="10"/>
      <c r="M1351" s="10">
        <v>2</v>
      </c>
      <c r="N1351" s="30"/>
      <c r="O1351" s="7">
        <f t="shared" si="374"/>
        <v>2</v>
      </c>
      <c r="P1351" s="58">
        <v>43448</v>
      </c>
    </row>
    <row r="1352" spans="1:17" x14ac:dyDescent="0.15">
      <c r="A1352" s="14" t="s">
        <v>25</v>
      </c>
      <c r="B1352" s="8"/>
      <c r="C1352" s="10"/>
      <c r="D1352" s="10">
        <v>1</v>
      </c>
      <c r="E1352" s="10"/>
      <c r="F1352" s="30"/>
      <c r="G1352" s="7">
        <f t="shared" si="373"/>
        <v>1</v>
      </c>
      <c r="H1352" s="58">
        <v>43434</v>
      </c>
      <c r="I1352" s="16" t="s">
        <v>898</v>
      </c>
      <c r="J1352" s="8"/>
      <c r="K1352" s="10"/>
      <c r="L1352" s="10">
        <v>5</v>
      </c>
      <c r="M1352" s="10">
        <v>5</v>
      </c>
      <c r="N1352" s="30">
        <v>5</v>
      </c>
      <c r="O1352" s="7">
        <f t="shared" si="374"/>
        <v>15</v>
      </c>
      <c r="P1352" s="58">
        <v>43453</v>
      </c>
    </row>
    <row r="1353" spans="1:17" x14ac:dyDescent="0.15">
      <c r="A1353" s="14" t="s">
        <v>25</v>
      </c>
      <c r="B1353" s="8">
        <v>1</v>
      </c>
      <c r="C1353" s="10"/>
      <c r="D1353" s="10"/>
      <c r="E1353" s="10"/>
      <c r="F1353" s="30"/>
      <c r="G1353" s="7">
        <f t="shared" si="373"/>
        <v>1</v>
      </c>
      <c r="H1353" s="58">
        <v>43438</v>
      </c>
      <c r="I1353" s="16" t="s">
        <v>22</v>
      </c>
      <c r="J1353" s="8">
        <v>10</v>
      </c>
      <c r="K1353" s="10"/>
      <c r="L1353" s="10"/>
      <c r="M1353" s="10"/>
      <c r="N1353" s="30"/>
      <c r="O1353" s="7">
        <f t="shared" si="374"/>
        <v>10</v>
      </c>
      <c r="P1353" s="58">
        <v>43109</v>
      </c>
    </row>
    <row r="1354" spans="1:17" x14ac:dyDescent="0.15">
      <c r="A1354" s="14" t="s">
        <v>25</v>
      </c>
      <c r="B1354" s="8"/>
      <c r="C1354" s="10"/>
      <c r="D1354" s="10"/>
      <c r="E1354" s="10"/>
      <c r="F1354" s="30">
        <v>1</v>
      </c>
      <c r="G1354" s="7">
        <f t="shared" si="373"/>
        <v>1</v>
      </c>
      <c r="H1354" s="58">
        <v>43439</v>
      </c>
      <c r="I1354" s="16" t="s">
        <v>903</v>
      </c>
      <c r="J1354" s="8"/>
      <c r="K1354" s="10">
        <v>1</v>
      </c>
      <c r="L1354" s="10"/>
      <c r="M1354" s="10"/>
      <c r="N1354" s="30"/>
      <c r="O1354" s="7">
        <f t="shared" si="374"/>
        <v>1</v>
      </c>
      <c r="P1354" s="58">
        <v>43475</v>
      </c>
    </row>
    <row r="1355" spans="1:17" x14ac:dyDescent="0.15">
      <c r="A1355" s="14" t="s">
        <v>25</v>
      </c>
      <c r="B1355" s="8">
        <v>1</v>
      </c>
      <c r="C1355" s="10">
        <v>1</v>
      </c>
      <c r="D1355" s="10"/>
      <c r="E1355" s="10"/>
      <c r="F1355" s="30"/>
      <c r="G1355" s="7">
        <f t="shared" si="373"/>
        <v>2</v>
      </c>
      <c r="H1355" s="58">
        <v>43441</v>
      </c>
      <c r="I1355" s="16" t="s">
        <v>22</v>
      </c>
      <c r="J1355" s="8"/>
      <c r="K1355" s="10"/>
      <c r="L1355" s="10">
        <v>10</v>
      </c>
      <c r="M1355" s="10"/>
      <c r="N1355" s="30"/>
      <c r="O1355" s="7">
        <f t="shared" si="374"/>
        <v>10</v>
      </c>
      <c r="P1355" s="58">
        <v>43483</v>
      </c>
    </row>
    <row r="1356" spans="1:17" x14ac:dyDescent="0.15">
      <c r="A1356" s="14" t="s">
        <v>25</v>
      </c>
      <c r="B1356" s="8"/>
      <c r="C1356" s="10">
        <v>1</v>
      </c>
      <c r="D1356" s="10"/>
      <c r="E1356" s="10">
        <v>1</v>
      </c>
      <c r="F1356" s="30"/>
      <c r="G1356" s="7">
        <f t="shared" si="373"/>
        <v>2</v>
      </c>
      <c r="H1356" s="58">
        <v>43445</v>
      </c>
      <c r="I1356" s="16" t="s">
        <v>25</v>
      </c>
      <c r="J1356" s="8"/>
      <c r="K1356" s="10">
        <v>1</v>
      </c>
      <c r="L1356" s="10">
        <v>1</v>
      </c>
      <c r="M1356" s="10"/>
      <c r="N1356" s="30"/>
      <c r="O1356" s="7">
        <f t="shared" si="374"/>
        <v>2</v>
      </c>
      <c r="P1356" s="58">
        <v>43484</v>
      </c>
      <c r="Q1356" s="56"/>
    </row>
    <row r="1357" spans="1:17" x14ac:dyDescent="0.15">
      <c r="A1357" s="14" t="s">
        <v>25</v>
      </c>
      <c r="B1357" s="11"/>
      <c r="C1357" s="12"/>
      <c r="D1357" s="12"/>
      <c r="E1357" s="12">
        <v>1</v>
      </c>
      <c r="F1357" s="31"/>
      <c r="G1357" s="7">
        <f t="shared" si="373"/>
        <v>1</v>
      </c>
      <c r="H1357" s="58">
        <v>43447</v>
      </c>
      <c r="I1357" s="16" t="s">
        <v>110</v>
      </c>
      <c r="J1357" s="11"/>
      <c r="K1357" s="12"/>
      <c r="L1357" s="12">
        <v>4</v>
      </c>
      <c r="M1357" s="12"/>
      <c r="N1357" s="31"/>
      <c r="O1357" s="7">
        <f t="shared" si="374"/>
        <v>4</v>
      </c>
      <c r="P1357" s="58">
        <v>43497</v>
      </c>
    </row>
    <row r="1358" spans="1:17" x14ac:dyDescent="0.15">
      <c r="A1358" s="14" t="s">
        <v>25</v>
      </c>
      <c r="B1358" s="11"/>
      <c r="C1358" s="12">
        <v>1</v>
      </c>
      <c r="D1358" s="12"/>
      <c r="E1358" s="12"/>
      <c r="F1358" s="31"/>
      <c r="G1358" s="7">
        <f t="shared" si="373"/>
        <v>1</v>
      </c>
      <c r="H1358" s="58">
        <v>43448</v>
      </c>
      <c r="I1358" s="16" t="s">
        <v>22</v>
      </c>
      <c r="J1358" s="8"/>
      <c r="K1358" s="10">
        <v>10</v>
      </c>
      <c r="L1358" s="10"/>
      <c r="M1358" s="10"/>
      <c r="N1358" s="30"/>
      <c r="O1358" s="7">
        <f t="shared" si="374"/>
        <v>10</v>
      </c>
      <c r="P1358" s="58">
        <v>43493</v>
      </c>
    </row>
    <row r="1359" spans="1:17" x14ac:dyDescent="0.15">
      <c r="A1359" s="14" t="s">
        <v>25</v>
      </c>
      <c r="B1359" s="8">
        <v>1</v>
      </c>
      <c r="C1359" s="10"/>
      <c r="D1359" s="10"/>
      <c r="E1359" s="10"/>
      <c r="F1359" s="30"/>
      <c r="G1359" s="7">
        <f t="shared" si="373"/>
        <v>1</v>
      </c>
      <c r="H1359" s="58">
        <v>43451</v>
      </c>
      <c r="I1359" s="16" t="s">
        <v>25</v>
      </c>
      <c r="J1359" s="8"/>
      <c r="K1359" s="10"/>
      <c r="L1359" s="10">
        <v>1</v>
      </c>
      <c r="M1359" s="10"/>
      <c r="N1359" s="30">
        <v>1</v>
      </c>
      <c r="O1359" s="7">
        <f t="shared" si="374"/>
        <v>2</v>
      </c>
      <c r="P1359" s="58">
        <v>43488</v>
      </c>
    </row>
    <row r="1360" spans="1:17" x14ac:dyDescent="0.15">
      <c r="A1360" s="14" t="s">
        <v>25</v>
      </c>
      <c r="B1360" s="8"/>
      <c r="C1360" s="10">
        <v>1</v>
      </c>
      <c r="D1360" s="10"/>
      <c r="E1360" s="10"/>
      <c r="F1360" s="30"/>
      <c r="G1360" s="7">
        <f t="shared" si="373"/>
        <v>1</v>
      </c>
      <c r="H1360" s="58">
        <v>43452</v>
      </c>
      <c r="I1360" s="16" t="s">
        <v>25</v>
      </c>
      <c r="J1360" s="8"/>
      <c r="K1360" s="10">
        <v>1</v>
      </c>
      <c r="L1360" s="10"/>
      <c r="M1360" s="10"/>
      <c r="N1360" s="30"/>
      <c r="O1360" s="7">
        <f t="shared" si="374"/>
        <v>1</v>
      </c>
      <c r="P1360" s="58">
        <v>43489</v>
      </c>
    </row>
    <row r="1361" spans="1:17" x14ac:dyDescent="0.15">
      <c r="A1361" s="14" t="s">
        <v>897</v>
      </c>
      <c r="B1361" s="8"/>
      <c r="C1361" s="10"/>
      <c r="D1361" s="10"/>
      <c r="E1361" s="10">
        <v>1</v>
      </c>
      <c r="F1361" s="30"/>
      <c r="G1361" s="7">
        <f t="shared" si="373"/>
        <v>1</v>
      </c>
      <c r="H1361" s="58">
        <v>43452</v>
      </c>
      <c r="I1361" s="16" t="s">
        <v>110</v>
      </c>
      <c r="J1361" s="8"/>
      <c r="K1361" s="10">
        <v>3</v>
      </c>
      <c r="L1361" s="10"/>
      <c r="M1361" s="10"/>
      <c r="N1361" s="30">
        <v>2</v>
      </c>
      <c r="O1361" s="7">
        <f t="shared" si="374"/>
        <v>5</v>
      </c>
      <c r="P1361" s="58">
        <v>43495</v>
      </c>
    </row>
    <row r="1362" spans="1:17" x14ac:dyDescent="0.15">
      <c r="A1362" s="14" t="s">
        <v>25</v>
      </c>
      <c r="B1362" s="8"/>
      <c r="C1362" s="10"/>
      <c r="D1362" s="10"/>
      <c r="E1362" s="10">
        <v>1</v>
      </c>
      <c r="F1362" s="30"/>
      <c r="G1362" s="7">
        <f t="shared" si="373"/>
        <v>1</v>
      </c>
      <c r="H1362" s="58">
        <v>43453</v>
      </c>
      <c r="I1362" s="16" t="s">
        <v>25</v>
      </c>
      <c r="J1362" s="8"/>
      <c r="K1362" s="10"/>
      <c r="L1362" s="10"/>
      <c r="M1362" s="10">
        <v>1</v>
      </c>
      <c r="N1362" s="30"/>
      <c r="O1362" s="7">
        <f>SUM(J1362:N1362)</f>
        <v>1</v>
      </c>
      <c r="P1362" s="58">
        <v>43494</v>
      </c>
    </row>
    <row r="1363" spans="1:17" x14ac:dyDescent="0.15">
      <c r="A1363" s="14" t="s">
        <v>25</v>
      </c>
      <c r="B1363" s="8">
        <v>1</v>
      </c>
      <c r="C1363" s="10"/>
      <c r="D1363" s="10"/>
      <c r="E1363" s="10">
        <v>1</v>
      </c>
      <c r="F1363" s="30"/>
      <c r="G1363" s="7">
        <f t="shared" si="373"/>
        <v>2</v>
      </c>
      <c r="H1363" s="58">
        <v>43456</v>
      </c>
      <c r="I1363" s="14"/>
      <c r="J1363" s="11"/>
      <c r="K1363" s="12"/>
      <c r="L1363" s="12"/>
      <c r="M1363" s="12"/>
      <c r="N1363" s="31"/>
      <c r="O1363" s="7">
        <f t="shared" ref="O1363:O1370" si="375">SUM(J1363:N1363)</f>
        <v>0</v>
      </c>
      <c r="P1363" s="56"/>
    </row>
    <row r="1364" spans="1:17" x14ac:dyDescent="0.15">
      <c r="A1364" s="14" t="s">
        <v>25</v>
      </c>
      <c r="B1364" s="8"/>
      <c r="C1364" s="10"/>
      <c r="D1364" s="10">
        <v>1</v>
      </c>
      <c r="E1364" s="10"/>
      <c r="F1364" s="30"/>
      <c r="G1364" s="7">
        <f t="shared" si="373"/>
        <v>1</v>
      </c>
      <c r="H1364" s="58">
        <v>43460</v>
      </c>
      <c r="I1364" s="20"/>
      <c r="J1364" s="8"/>
      <c r="K1364" s="10"/>
      <c r="L1364" s="10"/>
      <c r="M1364" s="10"/>
      <c r="N1364" s="30"/>
      <c r="O1364" s="7">
        <f t="shared" si="375"/>
        <v>0</v>
      </c>
      <c r="P1364" s="58"/>
    </row>
    <row r="1365" spans="1:17" x14ac:dyDescent="0.15">
      <c r="A1365" s="14" t="s">
        <v>25</v>
      </c>
      <c r="B1365" s="8"/>
      <c r="C1365" s="10"/>
      <c r="D1365" s="10">
        <v>1</v>
      </c>
      <c r="E1365" s="10"/>
      <c r="F1365" s="30"/>
      <c r="G1365" s="7">
        <f t="shared" si="373"/>
        <v>1</v>
      </c>
      <c r="H1365" s="58">
        <v>43462</v>
      </c>
      <c r="I1365" s="14"/>
      <c r="J1365" s="8"/>
      <c r="K1365" s="10"/>
      <c r="L1365" s="10"/>
      <c r="M1365" s="10"/>
      <c r="N1365" s="30"/>
      <c r="O1365" s="7">
        <f t="shared" si="375"/>
        <v>0</v>
      </c>
      <c r="P1365" s="58"/>
    </row>
    <row r="1366" spans="1:17" x14ac:dyDescent="0.15">
      <c r="A1366" s="14" t="s">
        <v>899</v>
      </c>
      <c r="B1366" s="8"/>
      <c r="C1366" s="10">
        <v>1</v>
      </c>
      <c r="D1366" s="10"/>
      <c r="E1366" s="10"/>
      <c r="F1366" s="30"/>
      <c r="G1366" s="7">
        <f t="shared" si="373"/>
        <v>1</v>
      </c>
      <c r="H1366" s="58">
        <v>43461</v>
      </c>
      <c r="I1366" s="14"/>
      <c r="J1366" s="8"/>
      <c r="K1366" s="10"/>
      <c r="L1366" s="10"/>
      <c r="M1366" s="10"/>
      <c r="N1366" s="30"/>
      <c r="O1366" s="7">
        <f t="shared" si="375"/>
        <v>0</v>
      </c>
      <c r="P1366" s="58"/>
    </row>
    <row r="1367" spans="1:17" x14ac:dyDescent="0.15">
      <c r="A1367" s="14" t="s">
        <v>29</v>
      </c>
      <c r="B1367" s="8"/>
      <c r="C1367" s="10"/>
      <c r="D1367" s="10"/>
      <c r="E1367" s="10">
        <v>1</v>
      </c>
      <c r="F1367" s="30"/>
      <c r="G1367" s="7">
        <f t="shared" si="373"/>
        <v>1</v>
      </c>
      <c r="H1367" s="58">
        <v>43462</v>
      </c>
      <c r="I1367" s="14"/>
      <c r="J1367" s="8"/>
      <c r="K1367" s="10"/>
      <c r="L1367" s="10"/>
      <c r="M1367" s="10"/>
      <c r="N1367" s="30"/>
      <c r="O1367" s="7">
        <f t="shared" si="375"/>
        <v>0</v>
      </c>
      <c r="P1367" s="58"/>
      <c r="Q1367" s="56"/>
    </row>
    <row r="1368" spans="1:17" x14ac:dyDescent="0.15">
      <c r="A1368" s="14" t="s">
        <v>29</v>
      </c>
      <c r="B1368" s="8"/>
      <c r="C1368" s="10"/>
      <c r="D1368" s="10"/>
      <c r="E1368" s="10">
        <v>1</v>
      </c>
      <c r="F1368" s="30"/>
      <c r="G1368" s="7">
        <f t="shared" si="373"/>
        <v>1</v>
      </c>
      <c r="H1368" s="58">
        <v>43470</v>
      </c>
      <c r="I1368" s="14" t="s">
        <v>880</v>
      </c>
      <c r="J1368" s="8"/>
      <c r="K1368" s="10"/>
      <c r="L1368" s="10"/>
      <c r="M1368" s="10"/>
      <c r="N1368" s="30"/>
      <c r="O1368" s="7">
        <f>SUM(J1368:N1368)</f>
        <v>0</v>
      </c>
      <c r="P1368" s="56" t="s">
        <v>879</v>
      </c>
    </row>
    <row r="1369" spans="1:17" x14ac:dyDescent="0.15">
      <c r="A1369" s="14" t="s">
        <v>29</v>
      </c>
      <c r="B1369" s="11"/>
      <c r="C1369" s="12"/>
      <c r="D1369" s="12"/>
      <c r="E1369" s="12">
        <v>1</v>
      </c>
      <c r="F1369" s="31"/>
      <c r="G1369" s="7">
        <f t="shared" si="373"/>
        <v>1</v>
      </c>
      <c r="H1369" s="58">
        <v>43472</v>
      </c>
      <c r="I1369" s="14" t="s">
        <v>874</v>
      </c>
      <c r="J1369" s="11"/>
      <c r="K1369" s="12"/>
      <c r="L1369" s="12"/>
      <c r="M1369" s="12"/>
      <c r="N1369" s="31"/>
      <c r="O1369" s="7">
        <f t="shared" ref="O1369" si="376">SUM(J1369:N1369)</f>
        <v>0</v>
      </c>
      <c r="P1369" s="56" t="s">
        <v>873</v>
      </c>
    </row>
    <row r="1370" spans="1:17" x14ac:dyDescent="0.15">
      <c r="A1370" s="14" t="s">
        <v>29</v>
      </c>
      <c r="B1370" s="8"/>
      <c r="C1370" s="10">
        <v>1</v>
      </c>
      <c r="D1370" s="10"/>
      <c r="E1370" s="10"/>
      <c r="F1370" s="30"/>
      <c r="G1370" s="7">
        <f t="shared" si="373"/>
        <v>1</v>
      </c>
      <c r="H1370" s="58">
        <v>43474</v>
      </c>
      <c r="I1370" s="20" t="s">
        <v>773</v>
      </c>
      <c r="J1370" s="8"/>
      <c r="K1370" s="10"/>
      <c r="L1370" s="10"/>
      <c r="M1370" s="10"/>
      <c r="N1370" s="30"/>
      <c r="O1370" s="7">
        <f t="shared" si="375"/>
        <v>0</v>
      </c>
      <c r="P1370" s="56" t="s">
        <v>774</v>
      </c>
      <c r="Q1370" s="56"/>
    </row>
    <row r="1371" spans="1:17" x14ac:dyDescent="0.15">
      <c r="A1371" s="14" t="s">
        <v>29</v>
      </c>
      <c r="B1371" s="8"/>
      <c r="C1371" s="10"/>
      <c r="D1371" s="10"/>
      <c r="E1371" s="10">
        <v>1</v>
      </c>
      <c r="F1371" s="30"/>
      <c r="G1371" s="7">
        <f t="shared" si="373"/>
        <v>1</v>
      </c>
      <c r="H1371" s="58">
        <v>43475</v>
      </c>
      <c r="I1371" s="14"/>
      <c r="J1371" s="8"/>
      <c r="K1371" s="10"/>
      <c r="L1371" s="10"/>
      <c r="M1371" s="10"/>
      <c r="N1371" s="30"/>
      <c r="O1371" s="7">
        <f>SUM(J1371:N1371)</f>
        <v>0</v>
      </c>
      <c r="P1371" s="56"/>
      <c r="Q1371" s="56"/>
    </row>
    <row r="1372" spans="1:17" x14ac:dyDescent="0.15">
      <c r="A1372" s="14" t="s">
        <v>117</v>
      </c>
      <c r="B1372" s="8"/>
      <c r="C1372" s="10"/>
      <c r="D1372" s="10">
        <v>1</v>
      </c>
      <c r="E1372" s="10"/>
      <c r="F1372" s="30"/>
      <c r="G1372" s="7">
        <f t="shared" si="373"/>
        <v>1</v>
      </c>
      <c r="H1372" s="58">
        <v>43481</v>
      </c>
      <c r="I1372" s="14"/>
      <c r="J1372" s="8"/>
      <c r="K1372" s="10"/>
      <c r="L1372" s="10"/>
      <c r="M1372" s="10"/>
      <c r="N1372" s="30"/>
      <c r="O1372" s="7">
        <f t="shared" ref="O1372" si="377">SUM(J1372:N1372)</f>
        <v>0</v>
      </c>
      <c r="P1372" s="56"/>
      <c r="Q1372" s="56"/>
    </row>
    <row r="1373" spans="1:17" ht="14.25" thickBot="1" x14ac:dyDescent="0.2">
      <c r="A1373" s="14" t="s">
        <v>29</v>
      </c>
      <c r="B1373" s="11">
        <v>1</v>
      </c>
      <c r="C1373" s="12"/>
      <c r="D1373" s="12"/>
      <c r="E1373" s="12"/>
      <c r="F1373" s="31"/>
      <c r="G1373" s="7">
        <f t="shared" si="373"/>
        <v>1</v>
      </c>
      <c r="H1373" s="58">
        <v>43481</v>
      </c>
      <c r="I1373" s="39"/>
      <c r="J1373" s="8"/>
      <c r="K1373" s="10"/>
      <c r="L1373" s="10"/>
      <c r="M1373" s="10"/>
      <c r="N1373" s="30"/>
      <c r="O1373" s="7">
        <f t="shared" ref="O1373" si="378">SUM(J1373:N1373)</f>
        <v>0</v>
      </c>
      <c r="P1373" s="56"/>
      <c r="Q1373" s="56"/>
    </row>
    <row r="1374" spans="1:17" ht="14.25" thickBot="1" x14ac:dyDescent="0.2">
      <c r="A1374" s="3" t="s">
        <v>11</v>
      </c>
      <c r="B1374" s="23">
        <f>SUM(B1348:B1373)</f>
        <v>5</v>
      </c>
      <c r="C1374" s="4">
        <f>SUM(C1348:C1373)</f>
        <v>8</v>
      </c>
      <c r="D1374" s="4">
        <f>SUM(D1348:D1373)</f>
        <v>6</v>
      </c>
      <c r="E1374" s="6">
        <f>SUM(E1348:E1373)</f>
        <v>10</v>
      </c>
      <c r="F1374" s="32">
        <f>SUM(F1348:F1373)</f>
        <v>2</v>
      </c>
      <c r="G1374" s="5">
        <f>SUM(B1374:F1374)</f>
        <v>31</v>
      </c>
      <c r="I1374" s="3" t="s">
        <v>11</v>
      </c>
      <c r="J1374" s="23">
        <f>SUM(J1348:J1373)</f>
        <v>14</v>
      </c>
      <c r="K1374" s="4">
        <f>SUM(K1348:K1373)</f>
        <v>16</v>
      </c>
      <c r="L1374" s="4">
        <f>SUM(L1348:L1373)</f>
        <v>31</v>
      </c>
      <c r="M1374" s="6">
        <f>SUM(M1348:M1373)</f>
        <v>10</v>
      </c>
      <c r="N1374" s="6">
        <f>SUM(N1348:N1373)</f>
        <v>8</v>
      </c>
      <c r="O1374" s="5">
        <f>SUM(J1374:N1374)</f>
        <v>79</v>
      </c>
      <c r="P1374" s="202"/>
    </row>
    <row r="1375" spans="1:17" ht="14.25" thickBot="1" x14ac:dyDescent="0.2">
      <c r="A1375" s="25" t="s">
        <v>12</v>
      </c>
      <c r="B1375" s="63">
        <f>B1347-B1374</f>
        <v>14</v>
      </c>
      <c r="C1375" s="26">
        <f t="shared" ref="C1375:G1375" si="379">C1347-C1374</f>
        <v>11</v>
      </c>
      <c r="D1375" s="71">
        <f t="shared" si="379"/>
        <v>18</v>
      </c>
      <c r="E1375" s="26">
        <f t="shared" si="379"/>
        <v>12</v>
      </c>
      <c r="F1375" s="70">
        <f t="shared" si="379"/>
        <v>16</v>
      </c>
      <c r="G1375" s="27">
        <f t="shared" si="379"/>
        <v>71</v>
      </c>
      <c r="I1375" s="25" t="s">
        <v>12</v>
      </c>
      <c r="J1375" s="63">
        <f>J1347-J1374</f>
        <v>212</v>
      </c>
      <c r="K1375" s="26">
        <f t="shared" ref="K1375:O1375" si="380">K1347-K1374</f>
        <v>161</v>
      </c>
      <c r="L1375" s="71">
        <f t="shared" si="380"/>
        <v>153</v>
      </c>
      <c r="M1375" s="26">
        <f t="shared" si="380"/>
        <v>185</v>
      </c>
      <c r="N1375" s="70">
        <f t="shared" si="380"/>
        <v>130</v>
      </c>
      <c r="O1375" s="27">
        <f t="shared" si="380"/>
        <v>841</v>
      </c>
    </row>
    <row r="1376" spans="1:17" ht="17.25" x14ac:dyDescent="0.2">
      <c r="A1376" s="79" t="s">
        <v>56</v>
      </c>
      <c r="B1376" s="80"/>
      <c r="C1376" s="80"/>
      <c r="D1376" s="80"/>
      <c r="E1376" s="80"/>
      <c r="F1376" s="80"/>
      <c r="G1376" s="80"/>
      <c r="I1376" s="79" t="s">
        <v>56</v>
      </c>
      <c r="J1376" s="80"/>
      <c r="K1376" s="80"/>
      <c r="L1376" s="80"/>
      <c r="M1376" s="80"/>
      <c r="N1376" s="80"/>
      <c r="O1376" s="1"/>
    </row>
    <row r="1377" spans="1:16" ht="21.75" thickBot="1" x14ac:dyDescent="0.25">
      <c r="A1377" s="82" t="s">
        <v>55</v>
      </c>
      <c r="B1377" s="80"/>
      <c r="C1377" s="80"/>
      <c r="D1377" s="80"/>
      <c r="E1377" s="81" t="s">
        <v>53</v>
      </c>
      <c r="F1377" s="80"/>
      <c r="G1377" s="80"/>
      <c r="I1377" s="82" t="s">
        <v>55</v>
      </c>
      <c r="J1377" s="80"/>
      <c r="K1377" s="80"/>
      <c r="L1377" s="80"/>
      <c r="M1377" s="81" t="s">
        <v>54</v>
      </c>
      <c r="N1377" s="80"/>
      <c r="O1377" s="1"/>
    </row>
    <row r="1378" spans="1:16" ht="14.25" thickBot="1" x14ac:dyDescent="0.2">
      <c r="A1378" s="13" t="s">
        <v>0</v>
      </c>
      <c r="B1378" s="228" t="s">
        <v>57</v>
      </c>
      <c r="C1378" s="229"/>
      <c r="D1378" s="229"/>
      <c r="E1378" s="229"/>
      <c r="F1378" s="230"/>
      <c r="G1378" s="231"/>
      <c r="I1378" s="13" t="s">
        <v>0</v>
      </c>
      <c r="J1378" s="232" t="s">
        <v>57</v>
      </c>
      <c r="K1378" s="233"/>
      <c r="L1378" s="233"/>
      <c r="M1378" s="233"/>
      <c r="N1378" s="233"/>
      <c r="O1378" s="234"/>
    </row>
    <row r="1379" spans="1:16" ht="14.25" thickBot="1" x14ac:dyDescent="0.2">
      <c r="A1379" s="3" t="s">
        <v>1</v>
      </c>
      <c r="B1379" s="2" t="s">
        <v>42</v>
      </c>
      <c r="C1379" s="21" t="s">
        <v>43</v>
      </c>
      <c r="D1379" s="21" t="s">
        <v>44</v>
      </c>
      <c r="E1379" s="24" t="s">
        <v>45</v>
      </c>
      <c r="F1379" s="33" t="s">
        <v>46</v>
      </c>
      <c r="G1379" s="3" t="s">
        <v>2</v>
      </c>
      <c r="I1379" s="3" t="s">
        <v>1</v>
      </c>
      <c r="J1379" s="2" t="s">
        <v>42</v>
      </c>
      <c r="K1379" s="21" t="s">
        <v>43</v>
      </c>
      <c r="L1379" s="21" t="s">
        <v>44</v>
      </c>
      <c r="M1379" s="24" t="s">
        <v>45</v>
      </c>
      <c r="N1379" s="33" t="s">
        <v>46</v>
      </c>
      <c r="O1379" s="3" t="s">
        <v>2</v>
      </c>
    </row>
    <row r="1380" spans="1:16" ht="14.25" thickBot="1" x14ac:dyDescent="0.2">
      <c r="A1380" s="72" t="s">
        <v>79</v>
      </c>
      <c r="B1380" s="73">
        <f>B1375</f>
        <v>14</v>
      </c>
      <c r="C1380" s="74">
        <f t="shared" ref="C1380:F1380" si="381">C1375</f>
        <v>11</v>
      </c>
      <c r="D1380" s="107">
        <f t="shared" si="381"/>
        <v>18</v>
      </c>
      <c r="E1380" s="75">
        <f t="shared" si="381"/>
        <v>12</v>
      </c>
      <c r="F1380" s="75">
        <f t="shared" si="381"/>
        <v>16</v>
      </c>
      <c r="G1380" s="76">
        <f t="shared" ref="G1380:G1389" si="382">SUM(B1380:F1380)</f>
        <v>71</v>
      </c>
      <c r="I1380" s="72" t="s">
        <v>79</v>
      </c>
      <c r="J1380" s="73">
        <f>J1375</f>
        <v>212</v>
      </c>
      <c r="K1380" s="74">
        <f t="shared" ref="K1380:N1380" si="383">K1375</f>
        <v>161</v>
      </c>
      <c r="L1380" s="107">
        <f t="shared" si="383"/>
        <v>153</v>
      </c>
      <c r="M1380" s="75">
        <f t="shared" si="383"/>
        <v>185</v>
      </c>
      <c r="N1380" s="75">
        <f t="shared" si="383"/>
        <v>130</v>
      </c>
      <c r="O1380" s="76">
        <f t="shared" ref="O1380:O1389" si="384">SUM(J1380:N1380)</f>
        <v>841</v>
      </c>
    </row>
    <row r="1381" spans="1:16" x14ac:dyDescent="0.15">
      <c r="A1381" s="38" t="s">
        <v>15</v>
      </c>
      <c r="B1381" s="53"/>
      <c r="C1381" s="54"/>
      <c r="D1381" s="54"/>
      <c r="E1381" s="54"/>
      <c r="F1381" s="55"/>
      <c r="G1381" s="61">
        <f t="shared" si="382"/>
        <v>0</v>
      </c>
      <c r="H1381" s="113"/>
      <c r="I1381" s="38" t="s">
        <v>15</v>
      </c>
      <c r="J1381" s="8"/>
      <c r="K1381" s="10"/>
      <c r="L1381" s="10"/>
      <c r="M1381" s="10"/>
      <c r="N1381" s="30"/>
      <c r="O1381" s="7">
        <f t="shared" si="384"/>
        <v>0</v>
      </c>
    </row>
    <row r="1382" spans="1:16" x14ac:dyDescent="0.15">
      <c r="A1382" s="38" t="s">
        <v>16</v>
      </c>
      <c r="B1382" s="8"/>
      <c r="C1382" s="10">
        <v>10</v>
      </c>
      <c r="D1382" s="10"/>
      <c r="E1382" s="10">
        <v>5</v>
      </c>
      <c r="F1382" s="28"/>
      <c r="G1382" s="9">
        <f t="shared" si="382"/>
        <v>15</v>
      </c>
      <c r="H1382" s="58">
        <v>43518</v>
      </c>
      <c r="I1382" s="38" t="s">
        <v>16</v>
      </c>
      <c r="J1382" s="8"/>
      <c r="K1382" s="10"/>
      <c r="L1382" s="10"/>
      <c r="M1382" s="10"/>
      <c r="N1382" s="28"/>
      <c r="O1382" s="9">
        <f t="shared" si="384"/>
        <v>0</v>
      </c>
      <c r="P1382" s="56"/>
    </row>
    <row r="1383" spans="1:16" x14ac:dyDescent="0.15">
      <c r="A1383" s="38" t="s">
        <v>19</v>
      </c>
      <c r="B1383" s="8">
        <v>2</v>
      </c>
      <c r="C1383" s="10">
        <v>1</v>
      </c>
      <c r="D1383" s="10"/>
      <c r="E1383" s="10"/>
      <c r="F1383" s="28">
        <v>2</v>
      </c>
      <c r="G1383" s="9">
        <f t="shared" si="382"/>
        <v>5</v>
      </c>
      <c r="H1383" s="58">
        <v>43517</v>
      </c>
      <c r="I1383" s="15" t="s">
        <v>18</v>
      </c>
      <c r="J1383" s="8"/>
      <c r="K1383" s="10"/>
      <c r="L1383" s="10"/>
      <c r="M1383" s="10"/>
      <c r="N1383" s="28"/>
      <c r="O1383" s="9">
        <f t="shared" si="384"/>
        <v>0</v>
      </c>
      <c r="P1383" s="56"/>
    </row>
    <row r="1384" spans="1:16" x14ac:dyDescent="0.15">
      <c r="A1384" s="38" t="s">
        <v>20</v>
      </c>
      <c r="B1384" s="8">
        <v>10</v>
      </c>
      <c r="C1384" s="10">
        <v>5</v>
      </c>
      <c r="D1384" s="10"/>
      <c r="E1384" s="10">
        <v>5</v>
      </c>
      <c r="F1384" s="28"/>
      <c r="G1384" s="9">
        <f t="shared" si="382"/>
        <v>20</v>
      </c>
      <c r="H1384" s="58">
        <v>43530</v>
      </c>
      <c r="I1384" s="15" t="s">
        <v>20</v>
      </c>
      <c r="J1384" s="8"/>
      <c r="K1384" s="10"/>
      <c r="L1384" s="10"/>
      <c r="M1384" s="10"/>
      <c r="N1384" s="28"/>
      <c r="O1384" s="9">
        <f t="shared" si="384"/>
        <v>0</v>
      </c>
    </row>
    <row r="1385" spans="1:16" x14ac:dyDescent="0.15">
      <c r="A1385" s="38" t="s">
        <v>616</v>
      </c>
      <c r="B1385" s="8"/>
      <c r="C1385" s="10"/>
      <c r="D1385" s="10"/>
      <c r="E1385" s="10">
        <v>1</v>
      </c>
      <c r="F1385" s="28"/>
      <c r="G1385" s="9">
        <f t="shared" si="382"/>
        <v>1</v>
      </c>
      <c r="H1385" s="58">
        <v>43537</v>
      </c>
      <c r="I1385" s="15" t="s">
        <v>80</v>
      </c>
      <c r="J1385" s="8"/>
      <c r="K1385" s="10"/>
      <c r="L1385" s="10"/>
      <c r="M1385" s="10"/>
      <c r="N1385" s="28"/>
      <c r="O1385" s="9">
        <f t="shared" si="384"/>
        <v>0</v>
      </c>
    </row>
    <row r="1386" spans="1:16" x14ac:dyDescent="0.15">
      <c r="A1386" s="38" t="s">
        <v>81</v>
      </c>
      <c r="B1386" s="8"/>
      <c r="C1386" s="10">
        <v>5</v>
      </c>
      <c r="D1386" s="10">
        <v>5</v>
      </c>
      <c r="E1386" s="10"/>
      <c r="F1386" s="28">
        <v>5</v>
      </c>
      <c r="G1386" s="9">
        <f t="shared" si="382"/>
        <v>15</v>
      </c>
      <c r="H1386" s="58">
        <v>43552</v>
      </c>
      <c r="I1386" s="15" t="s">
        <v>81</v>
      </c>
      <c r="J1386" s="8"/>
      <c r="K1386" s="10"/>
      <c r="L1386" s="10"/>
      <c r="M1386" s="10"/>
      <c r="N1386" s="28"/>
      <c r="O1386" s="9">
        <f t="shared" si="384"/>
        <v>0</v>
      </c>
    </row>
    <row r="1387" spans="1:16" x14ac:dyDescent="0.15">
      <c r="A1387" s="38" t="s">
        <v>82</v>
      </c>
      <c r="B1387" s="8"/>
      <c r="C1387" s="10"/>
      <c r="D1387" s="10"/>
      <c r="E1387" s="10"/>
      <c r="F1387" s="30"/>
      <c r="G1387" s="7">
        <f t="shared" si="382"/>
        <v>0</v>
      </c>
      <c r="H1387" s="58"/>
      <c r="I1387" s="15" t="s">
        <v>82</v>
      </c>
      <c r="J1387" s="8"/>
      <c r="K1387" s="10"/>
      <c r="L1387" s="10"/>
      <c r="M1387" s="10"/>
      <c r="N1387" s="30"/>
      <c r="O1387" s="7">
        <f t="shared" si="384"/>
        <v>0</v>
      </c>
    </row>
    <row r="1388" spans="1:16" x14ac:dyDescent="0.15">
      <c r="A1388" s="38" t="s">
        <v>83</v>
      </c>
      <c r="B1388" s="11"/>
      <c r="C1388" s="100"/>
      <c r="D1388" s="100"/>
      <c r="E1388" s="100"/>
      <c r="F1388" s="101"/>
      <c r="G1388" s="102">
        <f t="shared" si="382"/>
        <v>0</v>
      </c>
      <c r="H1388" s="58"/>
      <c r="I1388" s="15" t="s">
        <v>83</v>
      </c>
      <c r="J1388" s="8"/>
      <c r="K1388" s="10"/>
      <c r="L1388" s="10"/>
      <c r="M1388" s="10"/>
      <c r="N1388" s="30"/>
      <c r="O1388" s="7">
        <f t="shared" si="384"/>
        <v>0</v>
      </c>
    </row>
    <row r="1389" spans="1:16" ht="14.25" thickBot="1" x14ac:dyDescent="0.2">
      <c r="A1389" s="38" t="s">
        <v>159</v>
      </c>
      <c r="B1389" s="11"/>
      <c r="C1389" s="100"/>
      <c r="D1389" s="100"/>
      <c r="E1389" s="100"/>
      <c r="F1389" s="101"/>
      <c r="G1389" s="102">
        <f t="shared" si="382"/>
        <v>0</v>
      </c>
      <c r="H1389" s="56"/>
      <c r="I1389" s="15" t="s">
        <v>87</v>
      </c>
      <c r="J1389" s="11"/>
      <c r="K1389" s="100"/>
      <c r="L1389" s="100"/>
      <c r="M1389" s="100"/>
      <c r="N1389" s="101"/>
      <c r="O1389" s="102">
        <f t="shared" si="384"/>
        <v>0</v>
      </c>
    </row>
    <row r="1390" spans="1:16" ht="14.25" thickBot="1" x14ac:dyDescent="0.2">
      <c r="A1390" s="72" t="s">
        <v>7</v>
      </c>
      <c r="B1390" s="73">
        <f>SUM(B1380:B1389)</f>
        <v>26</v>
      </c>
      <c r="C1390" s="74">
        <f t="shared" ref="C1390:G1390" si="385">SUM(C1380:C1389)</f>
        <v>32</v>
      </c>
      <c r="D1390" s="74">
        <f t="shared" si="385"/>
        <v>23</v>
      </c>
      <c r="E1390" s="74">
        <f t="shared" si="385"/>
        <v>23</v>
      </c>
      <c r="F1390" s="105">
        <f t="shared" si="385"/>
        <v>23</v>
      </c>
      <c r="G1390" s="76">
        <f t="shared" si="385"/>
        <v>127</v>
      </c>
      <c r="I1390" s="72" t="s">
        <v>7</v>
      </c>
      <c r="J1390" s="73">
        <f>SUM(J1380:J1389)</f>
        <v>212</v>
      </c>
      <c r="K1390" s="74">
        <f t="shared" ref="K1390:O1390" si="386">SUM(K1380:K1389)</f>
        <v>161</v>
      </c>
      <c r="L1390" s="74">
        <f t="shared" si="386"/>
        <v>153</v>
      </c>
      <c r="M1390" s="74">
        <f t="shared" si="386"/>
        <v>185</v>
      </c>
      <c r="N1390" s="105">
        <f t="shared" si="386"/>
        <v>130</v>
      </c>
      <c r="O1390" s="76">
        <f t="shared" si="386"/>
        <v>841</v>
      </c>
    </row>
    <row r="1391" spans="1:16" x14ac:dyDescent="0.15">
      <c r="A1391" s="14" t="s">
        <v>117</v>
      </c>
      <c r="B1391" s="8"/>
      <c r="C1391" s="10">
        <v>1</v>
      </c>
      <c r="D1391" s="10"/>
      <c r="E1391" s="10"/>
      <c r="F1391" s="30"/>
      <c r="G1391" s="7">
        <f t="shared" ref="G1391:G1416" si="387">SUM(B1391:F1391)</f>
        <v>1</v>
      </c>
      <c r="H1391" s="58">
        <v>43494</v>
      </c>
      <c r="I1391" s="16" t="s">
        <v>110</v>
      </c>
      <c r="J1391" s="17"/>
      <c r="K1391" s="22"/>
      <c r="L1391" s="22">
        <v>3</v>
      </c>
      <c r="M1391" s="22"/>
      <c r="N1391" s="29"/>
      <c r="O1391" s="18">
        <f t="shared" ref="O1391:O1404" si="388">SUM(J1391:N1391)</f>
        <v>3</v>
      </c>
      <c r="P1391" s="58">
        <v>43502</v>
      </c>
    </row>
    <row r="1392" spans="1:16" x14ac:dyDescent="0.15">
      <c r="A1392" s="14" t="s">
        <v>25</v>
      </c>
      <c r="B1392" s="8"/>
      <c r="C1392" s="10"/>
      <c r="D1392" s="10"/>
      <c r="E1392" s="10">
        <v>1</v>
      </c>
      <c r="F1392" s="30"/>
      <c r="G1392" s="7">
        <f t="shared" si="387"/>
        <v>1</v>
      </c>
      <c r="H1392" s="58">
        <v>43501</v>
      </c>
      <c r="I1392" s="14" t="s">
        <v>25</v>
      </c>
      <c r="J1392" s="8"/>
      <c r="K1392" s="10"/>
      <c r="L1392" s="10"/>
      <c r="M1392" s="10">
        <v>1</v>
      </c>
      <c r="N1392" s="28"/>
      <c r="O1392" s="9">
        <f t="shared" si="388"/>
        <v>1</v>
      </c>
      <c r="P1392" s="58">
        <v>43502</v>
      </c>
    </row>
    <row r="1393" spans="1:17" x14ac:dyDescent="0.15">
      <c r="A1393" s="14" t="s">
        <v>29</v>
      </c>
      <c r="B1393" s="8"/>
      <c r="C1393" s="10"/>
      <c r="D1393" s="10"/>
      <c r="E1393" s="10">
        <v>1</v>
      </c>
      <c r="F1393" s="30"/>
      <c r="G1393" s="7">
        <f t="shared" si="387"/>
        <v>1</v>
      </c>
      <c r="H1393" s="58">
        <v>43503</v>
      </c>
      <c r="I1393" s="14" t="s">
        <v>25</v>
      </c>
      <c r="J1393" s="8"/>
      <c r="K1393" s="10">
        <v>1</v>
      </c>
      <c r="L1393" s="10"/>
      <c r="M1393" s="10"/>
      <c r="N1393" s="30"/>
      <c r="O1393" s="7">
        <f t="shared" si="388"/>
        <v>1</v>
      </c>
      <c r="P1393" s="58">
        <v>43509</v>
      </c>
    </row>
    <row r="1394" spans="1:17" x14ac:dyDescent="0.15">
      <c r="A1394" s="14" t="s">
        <v>924</v>
      </c>
      <c r="B1394" s="8"/>
      <c r="C1394" s="10"/>
      <c r="D1394" s="10"/>
      <c r="E1394" s="10"/>
      <c r="F1394" s="30">
        <v>1</v>
      </c>
      <c r="G1394" s="7">
        <f t="shared" si="387"/>
        <v>1</v>
      </c>
      <c r="H1394" s="58">
        <v>43508</v>
      </c>
      <c r="I1394" s="16" t="s">
        <v>22</v>
      </c>
      <c r="J1394" s="8"/>
      <c r="K1394" s="10"/>
      <c r="L1394" s="10"/>
      <c r="M1394" s="10"/>
      <c r="N1394" s="30"/>
      <c r="O1394" s="7">
        <f t="shared" si="388"/>
        <v>0</v>
      </c>
      <c r="P1394" s="58">
        <v>43517</v>
      </c>
    </row>
    <row r="1395" spans="1:17" x14ac:dyDescent="0.15">
      <c r="A1395" s="14" t="s">
        <v>928</v>
      </c>
      <c r="B1395" s="8">
        <v>2</v>
      </c>
      <c r="C1395" s="10">
        <v>3</v>
      </c>
      <c r="D1395" s="10">
        <v>3</v>
      </c>
      <c r="E1395" s="10">
        <v>1</v>
      </c>
      <c r="F1395" s="30"/>
      <c r="G1395" s="7">
        <f t="shared" si="387"/>
        <v>9</v>
      </c>
      <c r="H1395" s="58">
        <v>43516</v>
      </c>
      <c r="I1395" s="14" t="s">
        <v>25</v>
      </c>
      <c r="J1395" s="8"/>
      <c r="K1395" s="10"/>
      <c r="L1395" s="10">
        <v>1</v>
      </c>
      <c r="M1395" s="10"/>
      <c r="N1395" s="30"/>
      <c r="O1395" s="7">
        <f t="shared" si="388"/>
        <v>1</v>
      </c>
      <c r="P1395" s="58">
        <v>43512</v>
      </c>
    </row>
    <row r="1396" spans="1:17" x14ac:dyDescent="0.15">
      <c r="A1396" s="14" t="s">
        <v>930</v>
      </c>
      <c r="B1396" s="8">
        <v>3</v>
      </c>
      <c r="C1396" s="10">
        <v>3</v>
      </c>
      <c r="D1396" s="10">
        <v>3</v>
      </c>
      <c r="E1396" s="10">
        <v>3</v>
      </c>
      <c r="F1396" s="30">
        <v>3</v>
      </c>
      <c r="G1396" s="7">
        <f t="shared" si="387"/>
        <v>15</v>
      </c>
      <c r="H1396" s="58">
        <v>43518</v>
      </c>
      <c r="I1396" s="16" t="s">
        <v>110</v>
      </c>
      <c r="J1396" s="8"/>
      <c r="K1396" s="10"/>
      <c r="L1396" s="10"/>
      <c r="M1396" s="10"/>
      <c r="N1396" s="30">
        <v>1</v>
      </c>
      <c r="O1396" s="7">
        <f t="shared" si="388"/>
        <v>1</v>
      </c>
      <c r="P1396" s="58">
        <v>43522</v>
      </c>
    </row>
    <row r="1397" spans="1:17" x14ac:dyDescent="0.15">
      <c r="A1397" s="14" t="s">
        <v>29</v>
      </c>
      <c r="B1397" s="8"/>
      <c r="C1397" s="10">
        <v>1</v>
      </c>
      <c r="D1397" s="10"/>
      <c r="E1397" s="10"/>
      <c r="F1397" s="30"/>
      <c r="G1397" s="7">
        <f t="shared" si="387"/>
        <v>1</v>
      </c>
      <c r="H1397" s="58">
        <v>43517</v>
      </c>
      <c r="I1397" s="16" t="s">
        <v>931</v>
      </c>
      <c r="J1397" s="8"/>
      <c r="K1397" s="10">
        <v>10</v>
      </c>
      <c r="L1397" s="10"/>
      <c r="M1397" s="10">
        <v>5</v>
      </c>
      <c r="N1397" s="30"/>
      <c r="O1397" s="7">
        <f t="shared" si="388"/>
        <v>15</v>
      </c>
      <c r="P1397" s="58">
        <v>43518</v>
      </c>
    </row>
    <row r="1398" spans="1:17" x14ac:dyDescent="0.15">
      <c r="A1398" s="14" t="s">
        <v>117</v>
      </c>
      <c r="B1398" s="8"/>
      <c r="C1398" s="10"/>
      <c r="D1398" s="10"/>
      <c r="E1398" s="10">
        <v>1</v>
      </c>
      <c r="F1398" s="30"/>
      <c r="G1398" s="7">
        <f t="shared" si="387"/>
        <v>1</v>
      </c>
      <c r="H1398" s="58">
        <v>43519</v>
      </c>
      <c r="I1398" s="16" t="s">
        <v>24</v>
      </c>
      <c r="J1398" s="8">
        <v>10</v>
      </c>
      <c r="K1398" s="10">
        <v>5</v>
      </c>
      <c r="L1398" s="10"/>
      <c r="M1398" s="10">
        <v>5</v>
      </c>
      <c r="N1398" s="30"/>
      <c r="O1398" s="7">
        <f t="shared" si="388"/>
        <v>20</v>
      </c>
      <c r="P1398" s="58">
        <v>43530</v>
      </c>
    </row>
    <row r="1399" spans="1:17" x14ac:dyDescent="0.15">
      <c r="A1399" s="14" t="s">
        <v>934</v>
      </c>
      <c r="B1399" s="8">
        <v>3</v>
      </c>
      <c r="C1399" s="10">
        <v>2</v>
      </c>
      <c r="D1399" s="10">
        <v>2</v>
      </c>
      <c r="E1399" s="10">
        <v>2</v>
      </c>
      <c r="F1399" s="30">
        <v>1</v>
      </c>
      <c r="G1399" s="7">
        <f t="shared" si="387"/>
        <v>10</v>
      </c>
      <c r="H1399" s="58">
        <v>43525</v>
      </c>
      <c r="I1399" s="16" t="s">
        <v>22</v>
      </c>
      <c r="J1399" s="8">
        <v>10</v>
      </c>
      <c r="K1399" s="10"/>
      <c r="L1399" s="10"/>
      <c r="M1399" s="10"/>
      <c r="N1399" s="30"/>
      <c r="O1399" s="7">
        <f t="shared" si="388"/>
        <v>10</v>
      </c>
      <c r="P1399" s="58">
        <v>43537</v>
      </c>
    </row>
    <row r="1400" spans="1:17" x14ac:dyDescent="0.15">
      <c r="A1400" s="170" t="s">
        <v>935</v>
      </c>
      <c r="B1400" s="11">
        <v>1</v>
      </c>
      <c r="C1400" s="12"/>
      <c r="D1400" s="12"/>
      <c r="E1400" s="12">
        <v>1</v>
      </c>
      <c r="F1400" s="31"/>
      <c r="G1400" s="7">
        <f t="shared" si="387"/>
        <v>2</v>
      </c>
      <c r="H1400" s="58">
        <v>43524</v>
      </c>
      <c r="I1400" s="16" t="s">
        <v>22</v>
      </c>
      <c r="J1400" s="11">
        <v>10</v>
      </c>
      <c r="K1400" s="12"/>
      <c r="L1400" s="12">
        <v>10</v>
      </c>
      <c r="M1400" s="12"/>
      <c r="N1400" s="31"/>
      <c r="O1400" s="7">
        <f t="shared" si="388"/>
        <v>20</v>
      </c>
      <c r="P1400" s="58">
        <v>43542</v>
      </c>
      <c r="Q1400" s="56"/>
    </row>
    <row r="1401" spans="1:17" x14ac:dyDescent="0.15">
      <c r="A1401" s="14" t="s">
        <v>25</v>
      </c>
      <c r="B1401" s="11">
        <v>1</v>
      </c>
      <c r="C1401" s="12"/>
      <c r="D1401" s="12"/>
      <c r="E1401" s="12"/>
      <c r="F1401" s="31"/>
      <c r="G1401" s="7">
        <f t="shared" si="387"/>
        <v>1</v>
      </c>
      <c r="H1401" s="58">
        <v>43526</v>
      </c>
      <c r="I1401" s="14" t="s">
        <v>25</v>
      </c>
      <c r="J1401" s="8"/>
      <c r="K1401" s="10">
        <v>1</v>
      </c>
      <c r="L1401" s="10"/>
      <c r="M1401" s="10"/>
      <c r="N1401" s="30"/>
      <c r="O1401" s="7">
        <f t="shared" si="388"/>
        <v>1</v>
      </c>
      <c r="P1401" s="58">
        <v>43543</v>
      </c>
    </row>
    <row r="1402" spans="1:17" x14ac:dyDescent="0.15">
      <c r="A1402" s="14" t="s">
        <v>29</v>
      </c>
      <c r="B1402" s="8"/>
      <c r="C1402" s="10">
        <v>1</v>
      </c>
      <c r="D1402" s="10"/>
      <c r="E1402" s="10"/>
      <c r="F1402" s="30"/>
      <c r="G1402" s="7">
        <f t="shared" si="387"/>
        <v>1</v>
      </c>
      <c r="H1402" s="58">
        <v>43525</v>
      </c>
      <c r="I1402" s="16" t="s">
        <v>110</v>
      </c>
      <c r="J1402" s="8"/>
      <c r="K1402" s="10">
        <v>1</v>
      </c>
      <c r="L1402" s="10"/>
      <c r="M1402" s="10">
        <v>1</v>
      </c>
      <c r="N1402" s="30"/>
      <c r="O1402" s="7">
        <f t="shared" si="388"/>
        <v>2</v>
      </c>
      <c r="P1402" s="58">
        <v>43546</v>
      </c>
    </row>
    <row r="1403" spans="1:17" x14ac:dyDescent="0.15">
      <c r="A1403" s="14" t="s">
        <v>25</v>
      </c>
      <c r="B1403" s="8"/>
      <c r="C1403" s="10">
        <v>3</v>
      </c>
      <c r="D1403" s="10"/>
      <c r="E1403" s="10"/>
      <c r="F1403" s="30"/>
      <c r="G1403" s="7">
        <f t="shared" si="387"/>
        <v>3</v>
      </c>
      <c r="H1403" s="58">
        <v>43529</v>
      </c>
      <c r="I1403" s="14" t="s">
        <v>25</v>
      </c>
      <c r="J1403" s="8">
        <v>1</v>
      </c>
      <c r="K1403" s="10"/>
      <c r="L1403" s="10"/>
      <c r="M1403" s="10">
        <v>1</v>
      </c>
      <c r="N1403" s="30">
        <v>1</v>
      </c>
      <c r="O1403" s="7">
        <f t="shared" si="388"/>
        <v>3</v>
      </c>
      <c r="P1403" s="58">
        <v>43544</v>
      </c>
    </row>
    <row r="1404" spans="1:17" x14ac:dyDescent="0.15">
      <c r="A1404" s="14" t="s">
        <v>939</v>
      </c>
      <c r="B1404" s="8"/>
      <c r="C1404" s="10"/>
      <c r="D1404" s="10"/>
      <c r="E1404" s="10"/>
      <c r="F1404" s="30">
        <v>1</v>
      </c>
      <c r="G1404" s="7">
        <f t="shared" si="387"/>
        <v>1</v>
      </c>
      <c r="H1404" s="58">
        <v>43529</v>
      </c>
      <c r="I1404" s="14" t="s">
        <v>25</v>
      </c>
      <c r="J1404" s="8"/>
      <c r="K1404" s="10"/>
      <c r="L1404" s="10"/>
      <c r="M1404" s="10">
        <v>1</v>
      </c>
      <c r="N1404" s="30"/>
      <c r="O1404" s="7">
        <f t="shared" si="388"/>
        <v>1</v>
      </c>
      <c r="P1404" s="58">
        <v>43550</v>
      </c>
    </row>
    <row r="1405" spans="1:17" x14ac:dyDescent="0.15">
      <c r="A1405" s="14" t="s">
        <v>29</v>
      </c>
      <c r="B1405" s="8">
        <v>1</v>
      </c>
      <c r="C1405" s="10"/>
      <c r="D1405" s="10"/>
      <c r="E1405" s="10"/>
      <c r="F1405" s="30"/>
      <c r="G1405" s="7">
        <f t="shared" si="387"/>
        <v>1</v>
      </c>
      <c r="H1405" s="58">
        <v>43528</v>
      </c>
      <c r="I1405" s="16" t="s">
        <v>986</v>
      </c>
      <c r="J1405" s="8">
        <v>6</v>
      </c>
      <c r="K1405" s="10">
        <v>6</v>
      </c>
      <c r="L1405" s="10"/>
      <c r="M1405" s="10">
        <v>6</v>
      </c>
      <c r="N1405" s="30"/>
      <c r="O1405" s="7">
        <f>SUM(J1405:N1405)</f>
        <v>18</v>
      </c>
      <c r="P1405" s="58">
        <v>43556</v>
      </c>
    </row>
    <row r="1406" spans="1:17" x14ac:dyDescent="0.15">
      <c r="A1406" s="14" t="s">
        <v>29</v>
      </c>
      <c r="B1406" s="8"/>
      <c r="C1406" s="10">
        <v>1</v>
      </c>
      <c r="D1406" s="10"/>
      <c r="E1406" s="10"/>
      <c r="F1406" s="30"/>
      <c r="G1406" s="7">
        <f t="shared" si="387"/>
        <v>1</v>
      </c>
      <c r="H1406" s="58">
        <v>43529</v>
      </c>
      <c r="I1406" s="16" t="s">
        <v>24</v>
      </c>
      <c r="J1406" s="11"/>
      <c r="K1406" s="12">
        <v>5</v>
      </c>
      <c r="L1406" s="12">
        <v>5</v>
      </c>
      <c r="M1406" s="12"/>
      <c r="N1406" s="31"/>
      <c r="O1406" s="7">
        <f t="shared" ref="O1406:O1410" si="389">SUM(J1406:N1406)</f>
        <v>10</v>
      </c>
      <c r="P1406" s="58">
        <v>43552</v>
      </c>
    </row>
    <row r="1407" spans="1:17" x14ac:dyDescent="0.15">
      <c r="A1407" s="14" t="s">
        <v>25</v>
      </c>
      <c r="B1407" s="8"/>
      <c r="C1407" s="10"/>
      <c r="D1407" s="10"/>
      <c r="E1407" s="10">
        <v>1</v>
      </c>
      <c r="F1407" s="30"/>
      <c r="G1407" s="7">
        <f t="shared" si="387"/>
        <v>1</v>
      </c>
      <c r="H1407" s="58">
        <v>43531</v>
      </c>
      <c r="I1407" s="16" t="s">
        <v>22</v>
      </c>
      <c r="J1407" s="8"/>
      <c r="K1407" s="10">
        <v>10</v>
      </c>
      <c r="L1407" s="10"/>
      <c r="M1407" s="10"/>
      <c r="N1407" s="30"/>
      <c r="O1407" s="7">
        <f t="shared" si="389"/>
        <v>10</v>
      </c>
      <c r="P1407" s="58">
        <v>43558</v>
      </c>
      <c r="Q1407" s="56"/>
    </row>
    <row r="1408" spans="1:17" x14ac:dyDescent="0.15">
      <c r="A1408" s="14" t="s">
        <v>29</v>
      </c>
      <c r="B1408" s="8"/>
      <c r="C1408" s="10"/>
      <c r="D1408" s="10"/>
      <c r="E1408" s="10">
        <v>2</v>
      </c>
      <c r="F1408" s="30"/>
      <c r="G1408" s="7">
        <f t="shared" si="387"/>
        <v>2</v>
      </c>
      <c r="H1408" s="58">
        <v>43531</v>
      </c>
      <c r="I1408" s="16"/>
      <c r="J1408" s="11"/>
      <c r="K1408" s="12"/>
      <c r="L1408" s="12"/>
      <c r="M1408" s="12"/>
      <c r="N1408" s="31"/>
      <c r="O1408" s="7">
        <f t="shared" si="389"/>
        <v>0</v>
      </c>
      <c r="P1408" s="56"/>
      <c r="Q1408" s="56"/>
    </row>
    <row r="1409" spans="1:17" x14ac:dyDescent="0.15">
      <c r="A1409" s="14" t="s">
        <v>29</v>
      </c>
      <c r="B1409" s="8"/>
      <c r="C1409" s="10"/>
      <c r="D1409" s="10">
        <v>1</v>
      </c>
      <c r="E1409" s="10"/>
      <c r="F1409" s="30"/>
      <c r="G1409" s="7">
        <f t="shared" si="387"/>
        <v>1</v>
      </c>
      <c r="H1409" s="58">
        <v>43532</v>
      </c>
      <c r="I1409" s="14"/>
      <c r="J1409" s="8"/>
      <c r="K1409" s="10"/>
      <c r="L1409" s="10"/>
      <c r="M1409" s="10"/>
      <c r="N1409" s="30"/>
      <c r="O1409" s="7">
        <f t="shared" si="389"/>
        <v>0</v>
      </c>
      <c r="P1409" s="56"/>
      <c r="Q1409" s="56"/>
    </row>
    <row r="1410" spans="1:17" x14ac:dyDescent="0.15">
      <c r="A1410" s="14" t="s">
        <v>182</v>
      </c>
      <c r="B1410" s="8">
        <v>1</v>
      </c>
      <c r="C1410" s="10"/>
      <c r="D1410" s="10"/>
      <c r="E1410" s="10"/>
      <c r="F1410" s="30"/>
      <c r="G1410" s="7">
        <f t="shared" si="387"/>
        <v>1</v>
      </c>
      <c r="H1410" s="58">
        <v>43537</v>
      </c>
      <c r="I1410" s="16"/>
      <c r="J1410" s="8"/>
      <c r="K1410" s="10"/>
      <c r="L1410" s="10"/>
      <c r="M1410" s="10"/>
      <c r="N1410" s="30"/>
      <c r="O1410" s="7">
        <f t="shared" si="389"/>
        <v>0</v>
      </c>
      <c r="P1410" s="58"/>
      <c r="Q1410" s="56"/>
    </row>
    <row r="1411" spans="1:17" x14ac:dyDescent="0.15">
      <c r="A1411" s="14" t="s">
        <v>29</v>
      </c>
      <c r="B1411" s="8"/>
      <c r="C1411" s="10">
        <v>1</v>
      </c>
      <c r="D1411" s="10"/>
      <c r="E1411" s="10"/>
      <c r="F1411" s="30"/>
      <c r="G1411" s="7">
        <f t="shared" si="387"/>
        <v>1</v>
      </c>
      <c r="H1411" s="58">
        <v>43535</v>
      </c>
      <c r="I1411" s="39"/>
      <c r="J1411" s="8"/>
      <c r="K1411" s="10"/>
      <c r="L1411" s="10"/>
      <c r="M1411" s="10"/>
      <c r="N1411" s="30"/>
      <c r="O1411" s="7">
        <f>SUM(J1411:N1411)</f>
        <v>0</v>
      </c>
      <c r="P1411" s="56"/>
      <c r="Q1411" s="56"/>
    </row>
    <row r="1412" spans="1:17" x14ac:dyDescent="0.15">
      <c r="A1412" s="14" t="s">
        <v>948</v>
      </c>
      <c r="B1412" s="11"/>
      <c r="C1412" s="12">
        <v>1</v>
      </c>
      <c r="D1412" s="12"/>
      <c r="E1412" s="12"/>
      <c r="F1412" s="31"/>
      <c r="G1412" s="7">
        <f t="shared" si="387"/>
        <v>1</v>
      </c>
      <c r="H1412" s="58">
        <v>43543</v>
      </c>
      <c r="I1412" s="39"/>
      <c r="J1412" s="11"/>
      <c r="K1412" s="12"/>
      <c r="L1412" s="12"/>
      <c r="M1412" s="12"/>
      <c r="N1412" s="31"/>
      <c r="O1412" s="7">
        <f t="shared" ref="O1412:O1413" si="390">SUM(J1412:N1412)</f>
        <v>0</v>
      </c>
      <c r="P1412" s="56"/>
      <c r="Q1412" s="56"/>
    </row>
    <row r="1413" spans="1:17" x14ac:dyDescent="0.15">
      <c r="A1413" s="14" t="s">
        <v>25</v>
      </c>
      <c r="B1413" s="8"/>
      <c r="C1413" s="10"/>
      <c r="D1413" s="10"/>
      <c r="E1413" s="10"/>
      <c r="F1413" s="30">
        <v>1</v>
      </c>
      <c r="G1413" s="7">
        <f t="shared" si="387"/>
        <v>1</v>
      </c>
      <c r="H1413" s="58">
        <v>43546</v>
      </c>
      <c r="I1413" s="20"/>
      <c r="J1413" s="8"/>
      <c r="K1413" s="10"/>
      <c r="L1413" s="10"/>
      <c r="M1413" s="10"/>
      <c r="N1413" s="30"/>
      <c r="O1413" s="7">
        <f t="shared" si="390"/>
        <v>0</v>
      </c>
      <c r="P1413" s="58"/>
      <c r="Q1413" s="56"/>
    </row>
    <row r="1414" spans="1:17" x14ac:dyDescent="0.15">
      <c r="A1414" s="14" t="s">
        <v>928</v>
      </c>
      <c r="B1414" s="8"/>
      <c r="C1414" s="10"/>
      <c r="D1414" s="10"/>
      <c r="E1414" s="10"/>
      <c r="F1414" s="30">
        <v>3</v>
      </c>
      <c r="G1414" s="7">
        <f t="shared" si="387"/>
        <v>3</v>
      </c>
      <c r="H1414" s="58">
        <v>43550</v>
      </c>
      <c r="I1414" s="14"/>
      <c r="J1414" s="8"/>
      <c r="K1414" s="10"/>
      <c r="L1414" s="10"/>
      <c r="M1414" s="10"/>
      <c r="N1414" s="30"/>
      <c r="O1414" s="7">
        <f>SUM(J1414:N1414)</f>
        <v>0</v>
      </c>
      <c r="P1414" s="56"/>
      <c r="Q1414" s="56"/>
    </row>
    <row r="1415" spans="1:17" x14ac:dyDescent="0.15">
      <c r="A1415" s="14" t="s">
        <v>29</v>
      </c>
      <c r="B1415" s="8"/>
      <c r="C1415" s="10">
        <v>1</v>
      </c>
      <c r="D1415" s="10"/>
      <c r="E1415" s="10">
        <v>1</v>
      </c>
      <c r="F1415" s="30"/>
      <c r="G1415" s="7">
        <f t="shared" si="387"/>
        <v>2</v>
      </c>
      <c r="H1415" s="58">
        <v>43549</v>
      </c>
      <c r="I1415" s="39" t="s">
        <v>925</v>
      </c>
      <c r="J1415" s="8"/>
      <c r="K1415" s="10"/>
      <c r="L1415" s="10"/>
      <c r="M1415" s="10"/>
      <c r="N1415" s="30"/>
      <c r="O1415" s="7">
        <f t="shared" ref="O1415" si="391">SUM(J1415:N1415)</f>
        <v>0</v>
      </c>
      <c r="P1415" s="56" t="s">
        <v>926</v>
      </c>
      <c r="Q1415" s="56"/>
    </row>
    <row r="1416" spans="1:17" ht="14.25" thickBot="1" x14ac:dyDescent="0.2">
      <c r="A1416" s="14" t="s">
        <v>25</v>
      </c>
      <c r="B1416" s="11"/>
      <c r="C1416" s="12"/>
      <c r="D1416" s="12">
        <v>1</v>
      </c>
      <c r="E1416" s="12"/>
      <c r="F1416" s="31"/>
      <c r="G1416" s="7">
        <f t="shared" si="387"/>
        <v>1</v>
      </c>
      <c r="H1416" s="58">
        <v>43551</v>
      </c>
      <c r="I1416" s="39" t="s">
        <v>918</v>
      </c>
      <c r="J1416" s="11"/>
      <c r="K1416" s="12"/>
      <c r="L1416" s="12"/>
      <c r="M1416" s="12"/>
      <c r="N1416" s="31"/>
      <c r="O1416" s="7">
        <f t="shared" ref="O1416" si="392">SUM(J1416:N1416)</f>
        <v>0</v>
      </c>
      <c r="P1416" s="56" t="s">
        <v>919</v>
      </c>
    </row>
    <row r="1417" spans="1:17" ht="14.25" thickBot="1" x14ac:dyDescent="0.2">
      <c r="A1417" s="3" t="s">
        <v>11</v>
      </c>
      <c r="B1417" s="23">
        <f>SUM(B1391:B1416)</f>
        <v>12</v>
      </c>
      <c r="C1417" s="4">
        <f>SUM(C1391:C1416)</f>
        <v>18</v>
      </c>
      <c r="D1417" s="4">
        <f>SUM(D1391:D1416)</f>
        <v>10</v>
      </c>
      <c r="E1417" s="6">
        <f>SUM(E1391:E1416)</f>
        <v>14</v>
      </c>
      <c r="F1417" s="32">
        <f>SUM(F1391:F1416)</f>
        <v>10</v>
      </c>
      <c r="G1417" s="5">
        <f>SUM(B1417:F1417)</f>
        <v>64</v>
      </c>
      <c r="I1417" s="3" t="s">
        <v>11</v>
      </c>
      <c r="J1417" s="23">
        <f>SUM(J1391:J1416)</f>
        <v>37</v>
      </c>
      <c r="K1417" s="4">
        <f>SUM(K1391:K1416)</f>
        <v>39</v>
      </c>
      <c r="L1417" s="4">
        <f>SUM(L1391:L1416)</f>
        <v>19</v>
      </c>
      <c r="M1417" s="6">
        <f>SUM(M1391:M1416)</f>
        <v>20</v>
      </c>
      <c r="N1417" s="6">
        <f>SUM(N1391:N1416)</f>
        <v>2</v>
      </c>
      <c r="O1417" s="5">
        <f>SUM(J1417:N1417)</f>
        <v>117</v>
      </c>
    </row>
    <row r="1418" spans="1:17" ht="14.25" thickBot="1" x14ac:dyDescent="0.2">
      <c r="A1418" s="25" t="s">
        <v>12</v>
      </c>
      <c r="B1418" s="63">
        <f>B1390-B1417</f>
        <v>14</v>
      </c>
      <c r="C1418" s="26">
        <f t="shared" ref="C1418:G1418" si="393">C1390-C1417</f>
        <v>14</v>
      </c>
      <c r="D1418" s="71">
        <f t="shared" si="393"/>
        <v>13</v>
      </c>
      <c r="E1418" s="26">
        <f t="shared" si="393"/>
        <v>9</v>
      </c>
      <c r="F1418" s="70">
        <f t="shared" si="393"/>
        <v>13</v>
      </c>
      <c r="G1418" s="27">
        <f t="shared" si="393"/>
        <v>63</v>
      </c>
      <c r="I1418" s="25" t="s">
        <v>12</v>
      </c>
      <c r="J1418" s="63">
        <f>J1390-J1417</f>
        <v>175</v>
      </c>
      <c r="K1418" s="26">
        <f t="shared" ref="K1418:O1418" si="394">K1390-K1417</f>
        <v>122</v>
      </c>
      <c r="L1418" s="71">
        <f t="shared" si="394"/>
        <v>134</v>
      </c>
      <c r="M1418" s="26">
        <f t="shared" si="394"/>
        <v>165</v>
      </c>
      <c r="N1418" s="70">
        <f t="shared" si="394"/>
        <v>128</v>
      </c>
      <c r="O1418" s="27">
        <f t="shared" si="394"/>
        <v>724</v>
      </c>
    </row>
    <row r="1419" spans="1:17" ht="17.25" x14ac:dyDescent="0.2">
      <c r="A1419" s="79" t="s">
        <v>56</v>
      </c>
      <c r="B1419" s="80"/>
      <c r="C1419" s="80"/>
      <c r="D1419" s="80"/>
      <c r="E1419" s="80"/>
      <c r="F1419" s="80"/>
      <c r="G1419" s="80"/>
      <c r="I1419" s="79" t="s">
        <v>56</v>
      </c>
      <c r="J1419" s="80"/>
      <c r="K1419" s="80"/>
      <c r="L1419" s="80"/>
      <c r="M1419" s="80"/>
      <c r="N1419" s="80"/>
      <c r="O1419" s="1"/>
    </row>
    <row r="1420" spans="1:17" ht="21.75" thickBot="1" x14ac:dyDescent="0.25">
      <c r="A1420" s="82" t="s">
        <v>55</v>
      </c>
      <c r="B1420" s="80"/>
      <c r="C1420" s="80"/>
      <c r="D1420" s="80"/>
      <c r="E1420" s="81" t="s">
        <v>53</v>
      </c>
      <c r="F1420" s="80"/>
      <c r="G1420" s="80"/>
      <c r="I1420" s="82" t="s">
        <v>55</v>
      </c>
      <c r="J1420" s="80"/>
      <c r="K1420" s="80"/>
      <c r="L1420" s="80"/>
      <c r="M1420" s="81" t="s">
        <v>54</v>
      </c>
      <c r="N1420" s="80"/>
      <c r="O1420" s="1"/>
    </row>
    <row r="1421" spans="1:17" ht="14.25" thickBot="1" x14ac:dyDescent="0.2">
      <c r="A1421" s="13" t="s">
        <v>0</v>
      </c>
      <c r="B1421" s="228" t="s">
        <v>57</v>
      </c>
      <c r="C1421" s="229"/>
      <c r="D1421" s="229"/>
      <c r="E1421" s="229"/>
      <c r="F1421" s="230"/>
      <c r="G1421" s="231"/>
      <c r="I1421" s="13" t="s">
        <v>0</v>
      </c>
      <c r="J1421" s="232" t="s">
        <v>57</v>
      </c>
      <c r="K1421" s="233"/>
      <c r="L1421" s="233"/>
      <c r="M1421" s="233"/>
      <c r="N1421" s="233"/>
      <c r="O1421" s="234"/>
    </row>
    <row r="1422" spans="1:17" ht="14.25" thickBot="1" x14ac:dyDescent="0.2">
      <c r="A1422" s="3" t="s">
        <v>1</v>
      </c>
      <c r="B1422" s="2" t="s">
        <v>42</v>
      </c>
      <c r="C1422" s="21" t="s">
        <v>43</v>
      </c>
      <c r="D1422" s="21" t="s">
        <v>44</v>
      </c>
      <c r="E1422" s="24" t="s">
        <v>45</v>
      </c>
      <c r="F1422" s="33" t="s">
        <v>46</v>
      </c>
      <c r="G1422" s="3" t="s">
        <v>2</v>
      </c>
      <c r="I1422" s="3" t="s">
        <v>1</v>
      </c>
      <c r="J1422" s="2" t="s">
        <v>42</v>
      </c>
      <c r="K1422" s="21" t="s">
        <v>43</v>
      </c>
      <c r="L1422" s="21" t="s">
        <v>44</v>
      </c>
      <c r="M1422" s="24" t="s">
        <v>45</v>
      </c>
      <c r="N1422" s="33" t="s">
        <v>46</v>
      </c>
      <c r="O1422" s="3" t="s">
        <v>2</v>
      </c>
    </row>
    <row r="1423" spans="1:17" ht="14.25" thickBot="1" x14ac:dyDescent="0.2">
      <c r="A1423" s="72" t="s">
        <v>79</v>
      </c>
      <c r="B1423" s="73">
        <f>B1418</f>
        <v>14</v>
      </c>
      <c r="C1423" s="74">
        <f t="shared" ref="C1423:F1423" si="395">C1418</f>
        <v>14</v>
      </c>
      <c r="D1423" s="107">
        <f t="shared" si="395"/>
        <v>13</v>
      </c>
      <c r="E1423" s="75">
        <f t="shared" si="395"/>
        <v>9</v>
      </c>
      <c r="F1423" s="75">
        <f t="shared" si="395"/>
        <v>13</v>
      </c>
      <c r="G1423" s="76">
        <f t="shared" ref="G1423:G1432" si="396">SUM(B1423:F1423)</f>
        <v>63</v>
      </c>
      <c r="I1423" s="72" t="s">
        <v>79</v>
      </c>
      <c r="J1423" s="73">
        <f>J1418</f>
        <v>175</v>
      </c>
      <c r="K1423" s="74">
        <f t="shared" ref="K1423:N1423" si="397">K1418</f>
        <v>122</v>
      </c>
      <c r="L1423" s="107">
        <f t="shared" si="397"/>
        <v>134</v>
      </c>
      <c r="M1423" s="75">
        <f t="shared" si="397"/>
        <v>165</v>
      </c>
      <c r="N1423" s="75">
        <f t="shared" si="397"/>
        <v>128</v>
      </c>
      <c r="O1423" s="76">
        <f t="shared" ref="O1423:O1432" si="398">SUM(J1423:N1423)</f>
        <v>724</v>
      </c>
    </row>
    <row r="1424" spans="1:17" x14ac:dyDescent="0.15">
      <c r="A1424" s="38" t="s">
        <v>19</v>
      </c>
      <c r="B1424" s="37">
        <v>4</v>
      </c>
      <c r="C1424" s="35">
        <v>3</v>
      </c>
      <c r="D1424" s="35">
        <v>3</v>
      </c>
      <c r="E1424" s="35">
        <v>2</v>
      </c>
      <c r="F1424" s="28">
        <v>9</v>
      </c>
      <c r="G1424" s="7">
        <f t="shared" si="396"/>
        <v>21</v>
      </c>
      <c r="H1424" s="58">
        <v>43550</v>
      </c>
      <c r="I1424" s="38" t="s">
        <v>15</v>
      </c>
      <c r="J1424" s="8"/>
      <c r="K1424" s="10"/>
      <c r="L1424" s="10"/>
      <c r="M1424" s="10"/>
      <c r="N1424" s="30"/>
      <c r="O1424" s="7">
        <f t="shared" si="398"/>
        <v>0</v>
      </c>
    </row>
    <row r="1425" spans="1:17" x14ac:dyDescent="0.15">
      <c r="A1425" s="38" t="s">
        <v>19</v>
      </c>
      <c r="B1425" s="8"/>
      <c r="C1425" s="10"/>
      <c r="D1425" s="10"/>
      <c r="E1425" s="10"/>
      <c r="F1425" s="28">
        <v>2</v>
      </c>
      <c r="G1425" s="9">
        <f t="shared" si="396"/>
        <v>2</v>
      </c>
      <c r="H1425" s="58">
        <v>43553</v>
      </c>
      <c r="I1425" s="38" t="s">
        <v>16</v>
      </c>
      <c r="J1425" s="8"/>
      <c r="K1425" s="10"/>
      <c r="L1425" s="10"/>
      <c r="M1425" s="10"/>
      <c r="N1425" s="28"/>
      <c r="O1425" s="9">
        <f t="shared" si="398"/>
        <v>0</v>
      </c>
      <c r="P1425" s="56"/>
    </row>
    <row r="1426" spans="1:17" x14ac:dyDescent="0.15">
      <c r="A1426" s="38" t="s">
        <v>271</v>
      </c>
      <c r="B1426" s="8"/>
      <c r="C1426" s="10">
        <v>1</v>
      </c>
      <c r="D1426" s="10"/>
      <c r="E1426" s="10"/>
      <c r="F1426" s="28"/>
      <c r="G1426" s="9">
        <f t="shared" si="396"/>
        <v>1</v>
      </c>
      <c r="H1426" s="58">
        <v>43565</v>
      </c>
      <c r="I1426" s="15" t="s">
        <v>18</v>
      </c>
      <c r="J1426" s="8"/>
      <c r="K1426" s="10"/>
      <c r="L1426" s="10"/>
      <c r="M1426" s="10"/>
      <c r="N1426" s="28"/>
      <c r="O1426" s="9">
        <f t="shared" si="398"/>
        <v>0</v>
      </c>
      <c r="P1426" s="56"/>
    </row>
    <row r="1427" spans="1:17" x14ac:dyDescent="0.15">
      <c r="A1427" s="38" t="s">
        <v>17</v>
      </c>
      <c r="B1427" s="8"/>
      <c r="C1427" s="10"/>
      <c r="D1427" s="10"/>
      <c r="E1427" s="10"/>
      <c r="F1427" s="28">
        <v>1</v>
      </c>
      <c r="G1427" s="9">
        <f t="shared" si="396"/>
        <v>1</v>
      </c>
      <c r="H1427" s="58">
        <v>43565</v>
      </c>
      <c r="I1427" s="15" t="s">
        <v>20</v>
      </c>
      <c r="J1427" s="8"/>
      <c r="K1427" s="10"/>
      <c r="L1427" s="10"/>
      <c r="M1427" s="10"/>
      <c r="N1427" s="28"/>
      <c r="O1427" s="9">
        <f t="shared" si="398"/>
        <v>0</v>
      </c>
    </row>
    <row r="1428" spans="1:17" x14ac:dyDescent="0.15">
      <c r="A1428" s="38" t="s">
        <v>80</v>
      </c>
      <c r="B1428" s="8"/>
      <c r="C1428" s="10"/>
      <c r="D1428" s="10">
        <v>5</v>
      </c>
      <c r="E1428" s="10">
        <v>10</v>
      </c>
      <c r="F1428" s="28"/>
      <c r="G1428" s="9">
        <f t="shared" si="396"/>
        <v>15</v>
      </c>
      <c r="H1428" s="58">
        <v>43580</v>
      </c>
      <c r="I1428" s="15" t="s">
        <v>80</v>
      </c>
      <c r="J1428" s="8"/>
      <c r="K1428" s="10"/>
      <c r="L1428" s="10"/>
      <c r="M1428" s="10"/>
      <c r="N1428" s="28"/>
      <c r="O1428" s="9">
        <f t="shared" si="398"/>
        <v>0</v>
      </c>
    </row>
    <row r="1429" spans="1:17" x14ac:dyDescent="0.15">
      <c r="A1429" s="16" t="s">
        <v>983</v>
      </c>
      <c r="B1429" s="8">
        <v>1</v>
      </c>
      <c r="C1429" s="10"/>
      <c r="D1429" s="10"/>
      <c r="E1429" s="10"/>
      <c r="F1429" s="28"/>
      <c r="G1429" s="9">
        <f t="shared" si="396"/>
        <v>1</v>
      </c>
      <c r="H1429" s="58">
        <v>43581</v>
      </c>
      <c r="I1429" s="15" t="s">
        <v>81</v>
      </c>
      <c r="J1429" s="8"/>
      <c r="K1429" s="10"/>
      <c r="L1429" s="10"/>
      <c r="M1429" s="10"/>
      <c r="N1429" s="28"/>
      <c r="O1429" s="9">
        <f t="shared" si="398"/>
        <v>0</v>
      </c>
    </row>
    <row r="1430" spans="1:17" x14ac:dyDescent="0.15">
      <c r="A1430" s="38" t="s">
        <v>82</v>
      </c>
      <c r="B1430" s="8"/>
      <c r="C1430" s="10"/>
      <c r="D1430" s="10"/>
      <c r="E1430" s="10"/>
      <c r="F1430" s="30"/>
      <c r="G1430" s="7">
        <f t="shared" si="396"/>
        <v>0</v>
      </c>
      <c r="H1430" s="58"/>
      <c r="I1430" s="15" t="s">
        <v>82</v>
      </c>
      <c r="J1430" s="8"/>
      <c r="K1430" s="10"/>
      <c r="L1430" s="10"/>
      <c r="M1430" s="10"/>
      <c r="N1430" s="30"/>
      <c r="O1430" s="7">
        <f t="shared" si="398"/>
        <v>0</v>
      </c>
    </row>
    <row r="1431" spans="1:17" x14ac:dyDescent="0.15">
      <c r="A1431" s="38" t="s">
        <v>83</v>
      </c>
      <c r="B1431" s="11"/>
      <c r="C1431" s="100"/>
      <c r="D1431" s="100"/>
      <c r="E1431" s="100"/>
      <c r="F1431" s="101"/>
      <c r="G1431" s="102">
        <f t="shared" si="396"/>
        <v>0</v>
      </c>
      <c r="H1431" s="58"/>
      <c r="I1431" s="15" t="s">
        <v>83</v>
      </c>
      <c r="J1431" s="8"/>
      <c r="K1431" s="10"/>
      <c r="L1431" s="10"/>
      <c r="M1431" s="10"/>
      <c r="N1431" s="30"/>
      <c r="O1431" s="7">
        <f t="shared" si="398"/>
        <v>0</v>
      </c>
    </row>
    <row r="1432" spans="1:17" ht="14.25" thickBot="1" x14ac:dyDescent="0.2">
      <c r="A1432" s="38" t="s">
        <v>159</v>
      </c>
      <c r="B1432" s="11"/>
      <c r="C1432" s="100"/>
      <c r="D1432" s="100"/>
      <c r="E1432" s="100"/>
      <c r="F1432" s="101"/>
      <c r="G1432" s="102">
        <f t="shared" si="396"/>
        <v>0</v>
      </c>
      <c r="H1432" s="56"/>
      <c r="I1432" s="15" t="s">
        <v>87</v>
      </c>
      <c r="J1432" s="11"/>
      <c r="K1432" s="100"/>
      <c r="L1432" s="100"/>
      <c r="M1432" s="100"/>
      <c r="N1432" s="101"/>
      <c r="O1432" s="102">
        <f t="shared" si="398"/>
        <v>0</v>
      </c>
    </row>
    <row r="1433" spans="1:17" ht="14.25" thickBot="1" x14ac:dyDescent="0.2">
      <c r="A1433" s="72" t="s">
        <v>7</v>
      </c>
      <c r="B1433" s="73">
        <f>SUM(B1423:B1432)</f>
        <v>19</v>
      </c>
      <c r="C1433" s="74">
        <f t="shared" ref="C1433:G1433" si="399">SUM(C1423:C1432)</f>
        <v>18</v>
      </c>
      <c r="D1433" s="74">
        <f t="shared" si="399"/>
        <v>21</v>
      </c>
      <c r="E1433" s="74">
        <f t="shared" si="399"/>
        <v>21</v>
      </c>
      <c r="F1433" s="105">
        <f t="shared" si="399"/>
        <v>25</v>
      </c>
      <c r="G1433" s="76">
        <f t="shared" si="399"/>
        <v>104</v>
      </c>
      <c r="I1433" s="72" t="s">
        <v>7</v>
      </c>
      <c r="J1433" s="73">
        <f>SUM(J1423:J1432)</f>
        <v>175</v>
      </c>
      <c r="K1433" s="74">
        <f t="shared" ref="K1433:O1433" si="400">SUM(K1423:K1432)</f>
        <v>122</v>
      </c>
      <c r="L1433" s="74">
        <f t="shared" si="400"/>
        <v>134</v>
      </c>
      <c r="M1433" s="74">
        <f t="shared" si="400"/>
        <v>165</v>
      </c>
      <c r="N1433" s="105">
        <f t="shared" si="400"/>
        <v>128</v>
      </c>
      <c r="O1433" s="76">
        <f t="shared" si="400"/>
        <v>724</v>
      </c>
    </row>
    <row r="1434" spans="1:17" x14ac:dyDescent="0.15">
      <c r="A1434" s="14" t="s">
        <v>25</v>
      </c>
      <c r="B1434" s="8"/>
      <c r="C1434" s="10"/>
      <c r="D1434" s="10">
        <v>1</v>
      </c>
      <c r="E1434" s="10"/>
      <c r="F1434" s="30"/>
      <c r="G1434" s="7">
        <f t="shared" ref="G1434:G1459" si="401">SUM(B1434:F1434)</f>
        <v>1</v>
      </c>
      <c r="H1434" s="58">
        <v>43552</v>
      </c>
      <c r="I1434" s="16" t="s">
        <v>22</v>
      </c>
      <c r="J1434" s="17"/>
      <c r="K1434" s="22"/>
      <c r="L1434" s="22"/>
      <c r="M1434" s="22">
        <v>10</v>
      </c>
      <c r="N1434" s="29"/>
      <c r="O1434" s="18">
        <f t="shared" ref="O1434:O1447" si="402">SUM(J1434:N1434)</f>
        <v>10</v>
      </c>
      <c r="P1434" s="58">
        <v>43563</v>
      </c>
      <c r="Q1434" s="56"/>
    </row>
    <row r="1435" spans="1:17" x14ac:dyDescent="0.15">
      <c r="A1435" s="14" t="s">
        <v>25</v>
      </c>
      <c r="B1435" s="8"/>
      <c r="C1435" s="10"/>
      <c r="D1435" s="10">
        <v>1</v>
      </c>
      <c r="E1435" s="10"/>
      <c r="F1435" s="30"/>
      <c r="G1435" s="7">
        <f t="shared" si="401"/>
        <v>1</v>
      </c>
      <c r="H1435" s="58">
        <v>43557</v>
      </c>
      <c r="I1435" s="16" t="s">
        <v>987</v>
      </c>
      <c r="J1435" s="8">
        <v>6</v>
      </c>
      <c r="K1435" s="10"/>
      <c r="L1435" s="10"/>
      <c r="M1435" s="10"/>
      <c r="N1435" s="28"/>
      <c r="O1435" s="9">
        <f t="shared" si="402"/>
        <v>6</v>
      </c>
      <c r="P1435" s="58">
        <v>43567</v>
      </c>
    </row>
    <row r="1436" spans="1:17" x14ac:dyDescent="0.15">
      <c r="A1436" s="14" t="s">
        <v>25</v>
      </c>
      <c r="B1436" s="8"/>
      <c r="C1436" s="10">
        <v>1</v>
      </c>
      <c r="D1436" s="10"/>
      <c r="E1436" s="10"/>
      <c r="F1436" s="30"/>
      <c r="G1436" s="7">
        <f t="shared" si="401"/>
        <v>1</v>
      </c>
      <c r="H1436" s="58">
        <v>43558</v>
      </c>
      <c r="I1436" s="16" t="s">
        <v>988</v>
      </c>
      <c r="J1436" s="8"/>
      <c r="K1436" s="10"/>
      <c r="L1436" s="10">
        <v>1</v>
      </c>
      <c r="M1436" s="10">
        <v>3</v>
      </c>
      <c r="N1436" s="30">
        <v>1</v>
      </c>
      <c r="O1436" s="7">
        <f t="shared" si="402"/>
        <v>5</v>
      </c>
      <c r="P1436" s="58">
        <v>43571</v>
      </c>
    </row>
    <row r="1437" spans="1:17" x14ac:dyDescent="0.15">
      <c r="A1437" s="14" t="s">
        <v>29</v>
      </c>
      <c r="B1437" s="8"/>
      <c r="C1437" s="10"/>
      <c r="D1437" s="10">
        <v>1</v>
      </c>
      <c r="E1437" s="10"/>
      <c r="F1437" s="30"/>
      <c r="G1437" s="7">
        <f t="shared" si="401"/>
        <v>1</v>
      </c>
      <c r="H1437" s="58">
        <v>43558</v>
      </c>
      <c r="I1437" s="16" t="s">
        <v>989</v>
      </c>
      <c r="J1437" s="8">
        <v>3</v>
      </c>
      <c r="K1437" s="10"/>
      <c r="L1437" s="10"/>
      <c r="M1437" s="10"/>
      <c r="N1437" s="30"/>
      <c r="O1437" s="7">
        <f t="shared" si="402"/>
        <v>3</v>
      </c>
      <c r="P1437" s="58">
        <v>43577</v>
      </c>
      <c r="Q1437" s="56"/>
    </row>
    <row r="1438" spans="1:17" x14ac:dyDescent="0.15">
      <c r="A1438" s="14" t="s">
        <v>962</v>
      </c>
      <c r="B1438" s="8"/>
      <c r="C1438" s="10">
        <v>1</v>
      </c>
      <c r="D1438" s="10"/>
      <c r="E1438" s="10"/>
      <c r="F1438" s="30"/>
      <c r="G1438" s="7">
        <f t="shared" si="401"/>
        <v>1</v>
      </c>
      <c r="H1438" s="58">
        <v>43561</v>
      </c>
      <c r="I1438" s="14" t="s">
        <v>25</v>
      </c>
      <c r="J1438" s="8"/>
      <c r="K1438" s="10"/>
      <c r="L1438" s="10"/>
      <c r="M1438" s="10"/>
      <c r="N1438" s="30">
        <v>1</v>
      </c>
      <c r="O1438" s="7">
        <f t="shared" si="402"/>
        <v>1</v>
      </c>
      <c r="P1438" s="58">
        <v>43573</v>
      </c>
    </row>
    <row r="1439" spans="1:17" x14ac:dyDescent="0.15">
      <c r="A1439" s="14" t="s">
        <v>25</v>
      </c>
      <c r="B1439" s="8"/>
      <c r="C1439" s="10"/>
      <c r="D1439" s="10">
        <v>1</v>
      </c>
      <c r="E1439" s="10"/>
      <c r="F1439" s="30"/>
      <c r="G1439" s="7">
        <f t="shared" si="401"/>
        <v>1</v>
      </c>
      <c r="H1439" s="58">
        <v>43561</v>
      </c>
      <c r="I1439" s="16" t="s">
        <v>22</v>
      </c>
      <c r="J1439" s="8"/>
      <c r="K1439" s="10">
        <v>10</v>
      </c>
      <c r="L1439" s="10"/>
      <c r="M1439" s="10"/>
      <c r="N1439" s="30"/>
      <c r="O1439" s="7">
        <f t="shared" si="402"/>
        <v>10</v>
      </c>
      <c r="P1439" s="58">
        <v>43579</v>
      </c>
    </row>
    <row r="1440" spans="1:17" x14ac:dyDescent="0.15">
      <c r="A1440" s="14" t="s">
        <v>25</v>
      </c>
      <c r="B1440" s="8"/>
      <c r="C1440" s="10"/>
      <c r="D1440" s="10">
        <v>1</v>
      </c>
      <c r="E1440" s="10"/>
      <c r="F1440" s="30">
        <v>1</v>
      </c>
      <c r="G1440" s="7">
        <f t="shared" si="401"/>
        <v>2</v>
      </c>
      <c r="H1440" s="58">
        <v>43563</v>
      </c>
      <c r="I1440" s="16" t="s">
        <v>990</v>
      </c>
      <c r="J1440" s="8">
        <v>2</v>
      </c>
      <c r="K1440" s="10"/>
      <c r="L1440" s="10"/>
      <c r="M1440" s="10">
        <v>2</v>
      </c>
      <c r="N1440" s="30"/>
      <c r="O1440" s="7">
        <f t="shared" si="402"/>
        <v>4</v>
      </c>
      <c r="P1440" s="58">
        <v>43579</v>
      </c>
    </row>
    <row r="1441" spans="1:17" x14ac:dyDescent="0.15">
      <c r="A1441" s="14" t="s">
        <v>970</v>
      </c>
      <c r="B1441" s="8">
        <v>1</v>
      </c>
      <c r="C1441" s="10"/>
      <c r="D1441" s="10"/>
      <c r="E1441" s="10"/>
      <c r="F1441" s="30"/>
      <c r="G1441" s="7">
        <f t="shared" si="401"/>
        <v>1</v>
      </c>
      <c r="H1441" s="58">
        <v>43564</v>
      </c>
      <c r="I1441" s="14" t="s">
        <v>25</v>
      </c>
      <c r="J1441" s="8"/>
      <c r="K1441" s="10">
        <v>2</v>
      </c>
      <c r="L1441" s="10"/>
      <c r="M1441" s="10"/>
      <c r="N1441" s="30"/>
      <c r="O1441" s="7">
        <f t="shared" si="402"/>
        <v>2</v>
      </c>
      <c r="P1441" s="58">
        <v>43575</v>
      </c>
    </row>
    <row r="1442" spans="1:17" x14ac:dyDescent="0.15">
      <c r="A1442" s="14" t="s">
        <v>117</v>
      </c>
      <c r="B1442" s="8"/>
      <c r="C1442" s="10"/>
      <c r="D1442" s="10"/>
      <c r="E1442" s="10">
        <v>1</v>
      </c>
      <c r="F1442" s="30"/>
      <c r="G1442" s="7">
        <f t="shared" si="401"/>
        <v>1</v>
      </c>
      <c r="H1442" s="58">
        <v>43565</v>
      </c>
      <c r="I1442" s="14" t="s">
        <v>25</v>
      </c>
      <c r="J1442" s="8"/>
      <c r="K1442" s="10"/>
      <c r="L1442" s="10"/>
      <c r="M1442" s="10">
        <v>1</v>
      </c>
      <c r="N1442" s="30">
        <v>1</v>
      </c>
      <c r="O1442" s="7">
        <f t="shared" si="402"/>
        <v>2</v>
      </c>
      <c r="P1442" s="58">
        <v>43579</v>
      </c>
    </row>
    <row r="1443" spans="1:17" x14ac:dyDescent="0.15">
      <c r="A1443" s="14" t="s">
        <v>25</v>
      </c>
      <c r="B1443" s="11">
        <v>1</v>
      </c>
      <c r="C1443" s="12"/>
      <c r="D1443" s="12"/>
      <c r="E1443" s="12"/>
      <c r="F1443" s="31"/>
      <c r="G1443" s="7">
        <f t="shared" si="401"/>
        <v>1</v>
      </c>
      <c r="H1443" s="58">
        <v>43566</v>
      </c>
      <c r="I1443" s="16" t="s">
        <v>978</v>
      </c>
      <c r="J1443" s="11"/>
      <c r="K1443" s="12"/>
      <c r="L1443" s="12">
        <v>5</v>
      </c>
      <c r="M1443" s="12">
        <v>5</v>
      </c>
      <c r="N1443" s="31"/>
      <c r="O1443" s="7">
        <f t="shared" si="402"/>
        <v>10</v>
      </c>
      <c r="P1443" s="58">
        <v>43580</v>
      </c>
    </row>
    <row r="1444" spans="1:17" x14ac:dyDescent="0.15">
      <c r="A1444" s="14" t="s">
        <v>25</v>
      </c>
      <c r="B1444" s="11"/>
      <c r="C1444" s="12">
        <v>1</v>
      </c>
      <c r="D1444" s="12"/>
      <c r="E1444" s="12"/>
      <c r="F1444" s="31"/>
      <c r="G1444" s="7">
        <f t="shared" si="401"/>
        <v>1</v>
      </c>
      <c r="H1444" s="58">
        <v>43567</v>
      </c>
      <c r="I1444" s="16" t="s">
        <v>991</v>
      </c>
      <c r="J1444" s="8"/>
      <c r="K1444" s="10">
        <v>5</v>
      </c>
      <c r="L1444" s="10"/>
      <c r="M1444" s="10"/>
      <c r="N1444" s="30"/>
      <c r="O1444" s="7">
        <f t="shared" si="402"/>
        <v>5</v>
      </c>
      <c r="P1444" s="58">
        <v>43593</v>
      </c>
    </row>
    <row r="1445" spans="1:17" x14ac:dyDescent="0.15">
      <c r="A1445" s="14" t="s">
        <v>972</v>
      </c>
      <c r="B1445" s="8"/>
      <c r="C1445" s="10"/>
      <c r="D1445" s="10"/>
      <c r="E1445" s="10"/>
      <c r="F1445" s="30">
        <v>1</v>
      </c>
      <c r="G1445" s="7">
        <f t="shared" si="401"/>
        <v>1</v>
      </c>
      <c r="H1445" s="58">
        <v>43567</v>
      </c>
      <c r="I1445" s="14" t="s">
        <v>25</v>
      </c>
      <c r="J1445" s="8"/>
      <c r="K1445" s="10"/>
      <c r="L1445" s="10"/>
      <c r="M1445" s="10">
        <v>1</v>
      </c>
      <c r="N1445" s="30"/>
      <c r="O1445" s="7">
        <f t="shared" si="402"/>
        <v>1</v>
      </c>
      <c r="P1445" s="58">
        <v>43581</v>
      </c>
    </row>
    <row r="1446" spans="1:17" x14ac:dyDescent="0.15">
      <c r="A1446" s="14" t="s">
        <v>25</v>
      </c>
      <c r="B1446" s="8"/>
      <c r="C1446" s="10"/>
      <c r="D1446" s="10"/>
      <c r="E1446" s="10">
        <v>1</v>
      </c>
      <c r="F1446" s="30">
        <v>1</v>
      </c>
      <c r="G1446" s="7">
        <f t="shared" si="401"/>
        <v>2</v>
      </c>
      <c r="H1446" s="58">
        <v>43571</v>
      </c>
      <c r="I1446" s="14" t="s">
        <v>25</v>
      </c>
      <c r="J1446" s="8"/>
      <c r="K1446" s="10">
        <v>2</v>
      </c>
      <c r="L1446" s="10">
        <v>1</v>
      </c>
      <c r="M1446" s="10">
        <v>1</v>
      </c>
      <c r="N1446" s="30">
        <v>1</v>
      </c>
      <c r="O1446" s="7">
        <f t="shared" si="402"/>
        <v>5</v>
      </c>
      <c r="P1446" s="58">
        <v>43593</v>
      </c>
    </row>
    <row r="1447" spans="1:17" x14ac:dyDescent="0.15">
      <c r="A1447" s="14" t="s">
        <v>29</v>
      </c>
      <c r="B1447" s="8">
        <v>1</v>
      </c>
      <c r="C1447" s="10"/>
      <c r="D1447" s="10"/>
      <c r="E1447" s="10"/>
      <c r="F1447" s="30"/>
      <c r="G1447" s="7">
        <f t="shared" si="401"/>
        <v>1</v>
      </c>
      <c r="H1447" s="58">
        <v>43570</v>
      </c>
      <c r="I1447" s="14" t="s">
        <v>25</v>
      </c>
      <c r="J1447" s="8"/>
      <c r="K1447" s="10">
        <v>1</v>
      </c>
      <c r="L1447" s="10">
        <v>1</v>
      </c>
      <c r="M1447" s="10"/>
      <c r="N1447" s="30"/>
      <c r="O1447" s="7">
        <f t="shared" si="402"/>
        <v>2</v>
      </c>
      <c r="P1447" s="58">
        <v>43594</v>
      </c>
      <c r="Q1447" s="56"/>
    </row>
    <row r="1448" spans="1:17" x14ac:dyDescent="0.15">
      <c r="A1448" s="14" t="s">
        <v>25</v>
      </c>
      <c r="B1448" s="8"/>
      <c r="C1448" s="10">
        <v>1</v>
      </c>
      <c r="D1448" s="10"/>
      <c r="E1448" s="10"/>
      <c r="F1448" s="30"/>
      <c r="G1448" s="7">
        <f t="shared" si="401"/>
        <v>1</v>
      </c>
      <c r="H1448" s="58">
        <v>43572</v>
      </c>
      <c r="I1448" s="16" t="s">
        <v>992</v>
      </c>
      <c r="J1448" s="8">
        <v>2</v>
      </c>
      <c r="K1448" s="10">
        <v>4</v>
      </c>
      <c r="L1448" s="10"/>
      <c r="M1448" s="10">
        <v>5</v>
      </c>
      <c r="N1448" s="30"/>
      <c r="O1448" s="7">
        <f>SUM(J1448:N1448)</f>
        <v>11</v>
      </c>
      <c r="P1448" s="58">
        <v>43599</v>
      </c>
      <c r="Q1448" s="56"/>
    </row>
    <row r="1449" spans="1:17" x14ac:dyDescent="0.15">
      <c r="A1449" s="14" t="s">
        <v>117</v>
      </c>
      <c r="B1449" s="8"/>
      <c r="C1449" s="10"/>
      <c r="D1449" s="10">
        <v>1</v>
      </c>
      <c r="E1449" s="10"/>
      <c r="F1449" s="30"/>
      <c r="G1449" s="7">
        <f t="shared" si="401"/>
        <v>1</v>
      </c>
      <c r="H1449" s="58">
        <v>43572</v>
      </c>
      <c r="I1449" s="16"/>
      <c r="J1449" s="11"/>
      <c r="K1449" s="12"/>
      <c r="L1449" s="12"/>
      <c r="M1449" s="12"/>
      <c r="N1449" s="31"/>
      <c r="O1449" s="7">
        <f t="shared" ref="O1449:O1452" si="403">SUM(J1449:N1449)</f>
        <v>0</v>
      </c>
      <c r="P1449" s="56"/>
      <c r="Q1449" s="56"/>
    </row>
    <row r="1450" spans="1:17" x14ac:dyDescent="0.15">
      <c r="A1450" s="14" t="s">
        <v>974</v>
      </c>
      <c r="B1450" s="8"/>
      <c r="C1450" s="10"/>
      <c r="D1450" s="10">
        <v>1</v>
      </c>
      <c r="E1450" s="10"/>
      <c r="F1450" s="30"/>
      <c r="G1450" s="7">
        <f t="shared" si="401"/>
        <v>1</v>
      </c>
      <c r="H1450" s="58">
        <v>43574</v>
      </c>
      <c r="I1450" s="14"/>
      <c r="J1450" s="8"/>
      <c r="K1450" s="10"/>
      <c r="L1450" s="10"/>
      <c r="M1450" s="10"/>
      <c r="N1450" s="30"/>
      <c r="O1450" s="7">
        <f t="shared" si="403"/>
        <v>0</v>
      </c>
      <c r="P1450" s="58"/>
    </row>
    <row r="1451" spans="1:17" x14ac:dyDescent="0.15">
      <c r="A1451" s="14" t="s">
        <v>215</v>
      </c>
      <c r="B1451" s="8">
        <v>1</v>
      </c>
      <c r="C1451" s="10"/>
      <c r="D1451" s="10"/>
      <c r="E1451" s="10">
        <v>2</v>
      </c>
      <c r="F1451" s="30"/>
      <c r="G1451" s="7">
        <f t="shared" si="401"/>
        <v>3</v>
      </c>
      <c r="H1451" s="58">
        <v>43578</v>
      </c>
      <c r="I1451" s="16"/>
      <c r="J1451" s="11"/>
      <c r="K1451" s="12"/>
      <c r="L1451" s="12"/>
      <c r="M1451" s="12"/>
      <c r="N1451" s="31"/>
      <c r="O1451" s="7">
        <f t="shared" si="403"/>
        <v>0</v>
      </c>
      <c r="P1451" s="56"/>
      <c r="Q1451" s="56"/>
    </row>
    <row r="1452" spans="1:17" x14ac:dyDescent="0.15">
      <c r="A1452" s="14" t="s">
        <v>215</v>
      </c>
      <c r="B1452" s="8"/>
      <c r="C1452" s="10"/>
      <c r="D1452" s="10">
        <v>3</v>
      </c>
      <c r="E1452" s="10"/>
      <c r="F1452" s="30"/>
      <c r="G1452" s="7">
        <f t="shared" si="401"/>
        <v>3</v>
      </c>
      <c r="H1452" s="58">
        <v>43581</v>
      </c>
      <c r="I1452" s="14"/>
      <c r="J1452" s="8"/>
      <c r="K1452" s="10"/>
      <c r="L1452" s="10"/>
      <c r="M1452" s="10"/>
      <c r="N1452" s="30"/>
      <c r="O1452" s="7">
        <f t="shared" si="403"/>
        <v>0</v>
      </c>
      <c r="P1452" s="56"/>
      <c r="Q1452" s="56"/>
    </row>
    <row r="1453" spans="1:17" x14ac:dyDescent="0.15">
      <c r="A1453" s="14" t="s">
        <v>29</v>
      </c>
      <c r="B1453" s="8"/>
      <c r="C1453" s="10"/>
      <c r="D1453" s="10"/>
      <c r="E1453" s="10">
        <v>1</v>
      </c>
      <c r="F1453" s="30"/>
      <c r="G1453" s="7">
        <f t="shared" si="401"/>
        <v>1</v>
      </c>
      <c r="H1453" s="58">
        <v>43579</v>
      </c>
      <c r="I1453" s="16"/>
      <c r="J1453" s="11"/>
      <c r="K1453" s="12"/>
      <c r="L1453" s="12"/>
      <c r="M1453" s="12"/>
      <c r="N1453" s="31"/>
      <c r="O1453" s="7">
        <f t="shared" ref="O1453" si="404">SUM(J1453:N1453)</f>
        <v>0</v>
      </c>
      <c r="P1453" s="56"/>
    </row>
    <row r="1454" spans="1:17" x14ac:dyDescent="0.15">
      <c r="A1454" s="14" t="s">
        <v>25</v>
      </c>
      <c r="B1454" s="8"/>
      <c r="C1454" s="10">
        <v>1</v>
      </c>
      <c r="D1454" s="10"/>
      <c r="E1454" s="10"/>
      <c r="F1454" s="30"/>
      <c r="G1454" s="7">
        <f t="shared" si="401"/>
        <v>1</v>
      </c>
      <c r="H1454" s="58">
        <v>43582</v>
      </c>
      <c r="I1454" s="16" t="s">
        <v>30</v>
      </c>
      <c r="J1454" s="11"/>
      <c r="K1454" s="12"/>
      <c r="L1454" s="12"/>
      <c r="M1454" s="12"/>
      <c r="N1454" s="31"/>
      <c r="O1454" s="7">
        <f t="shared" ref="O1454:O1456" si="405">SUM(J1454:N1454)</f>
        <v>0</v>
      </c>
      <c r="P1454" s="56" t="s">
        <v>947</v>
      </c>
    </row>
    <row r="1455" spans="1:17" x14ac:dyDescent="0.15">
      <c r="A1455" s="14" t="s">
        <v>29</v>
      </c>
      <c r="B1455" s="11"/>
      <c r="C1455" s="12">
        <v>1</v>
      </c>
      <c r="D1455" s="12"/>
      <c r="E1455" s="12"/>
      <c r="F1455" s="31"/>
      <c r="G1455" s="7">
        <f t="shared" si="401"/>
        <v>1</v>
      </c>
      <c r="H1455" s="58">
        <v>43581</v>
      </c>
      <c r="I1455" s="14" t="s">
        <v>38</v>
      </c>
      <c r="J1455" s="8"/>
      <c r="K1455" s="10"/>
      <c r="L1455" s="10"/>
      <c r="M1455" s="10"/>
      <c r="N1455" s="30"/>
      <c r="O1455" s="7">
        <f t="shared" si="405"/>
        <v>0</v>
      </c>
      <c r="P1455" s="56" t="s">
        <v>946</v>
      </c>
    </row>
    <row r="1456" spans="1:17" x14ac:dyDescent="0.15">
      <c r="A1456" s="14" t="s">
        <v>117</v>
      </c>
      <c r="B1456" s="8">
        <v>1</v>
      </c>
      <c r="C1456" s="10">
        <v>1</v>
      </c>
      <c r="D1456" s="10"/>
      <c r="E1456" s="10"/>
      <c r="F1456" s="30"/>
      <c r="G1456" s="7">
        <f t="shared" si="401"/>
        <v>2</v>
      </c>
      <c r="H1456" s="58">
        <v>43593</v>
      </c>
      <c r="I1456" s="16" t="s">
        <v>944</v>
      </c>
      <c r="J1456" s="8"/>
      <c r="K1456" s="10"/>
      <c r="L1456" s="10"/>
      <c r="M1456" s="10"/>
      <c r="N1456" s="30"/>
      <c r="O1456" s="7">
        <f t="shared" si="405"/>
        <v>0</v>
      </c>
      <c r="P1456" s="58" t="s">
        <v>945</v>
      </c>
    </row>
    <row r="1457" spans="1:17" x14ac:dyDescent="0.15">
      <c r="A1457" s="14" t="s">
        <v>29</v>
      </c>
      <c r="B1457" s="8"/>
      <c r="C1457" s="10">
        <v>1</v>
      </c>
      <c r="D1457" s="10"/>
      <c r="E1457" s="10"/>
      <c r="F1457" s="30"/>
      <c r="G1457" s="7">
        <f t="shared" si="401"/>
        <v>1</v>
      </c>
      <c r="H1457" s="58">
        <v>43588</v>
      </c>
      <c r="I1457" s="14" t="s">
        <v>937</v>
      </c>
      <c r="J1457" s="8"/>
      <c r="K1457" s="10"/>
      <c r="L1457" s="10"/>
      <c r="M1457" s="10"/>
      <c r="N1457" s="30"/>
      <c r="O1457" s="7">
        <f>SUM(J1457:N1457)</f>
        <v>0</v>
      </c>
      <c r="P1457" s="56" t="s">
        <v>936</v>
      </c>
    </row>
    <row r="1458" spans="1:17" x14ac:dyDescent="0.15">
      <c r="A1458" s="14" t="s">
        <v>215</v>
      </c>
      <c r="B1458" s="8"/>
      <c r="C1458" s="10">
        <v>3</v>
      </c>
      <c r="D1458" s="10"/>
      <c r="E1458" s="10"/>
      <c r="F1458" s="30"/>
      <c r="G1458" s="7">
        <f t="shared" si="401"/>
        <v>3</v>
      </c>
      <c r="H1458" s="58">
        <v>43595</v>
      </c>
      <c r="I1458" s="14" t="s">
        <v>953</v>
      </c>
      <c r="J1458" s="8"/>
      <c r="K1458" s="10"/>
      <c r="L1458" s="10"/>
      <c r="M1458" s="10"/>
      <c r="N1458" s="30"/>
      <c r="O1458" s="7">
        <f t="shared" ref="O1458:O1459" si="406">SUM(J1458:N1458)</f>
        <v>0</v>
      </c>
      <c r="P1458" s="56" t="s">
        <v>952</v>
      </c>
    </row>
    <row r="1459" spans="1:17" ht="14.25" thickBot="1" x14ac:dyDescent="0.2">
      <c r="A1459" s="14" t="s">
        <v>25</v>
      </c>
      <c r="B1459" s="11"/>
      <c r="C1459" s="12"/>
      <c r="D1459" s="12"/>
      <c r="E1459" s="12"/>
      <c r="F1459" s="31">
        <v>1</v>
      </c>
      <c r="G1459" s="7">
        <f t="shared" si="401"/>
        <v>1</v>
      </c>
      <c r="H1459" s="58">
        <v>43598</v>
      </c>
      <c r="I1459" s="39" t="s">
        <v>858</v>
      </c>
      <c r="J1459" s="8"/>
      <c r="K1459" s="10"/>
      <c r="L1459" s="10"/>
      <c r="M1459" s="10"/>
      <c r="N1459" s="30"/>
      <c r="O1459" s="7">
        <f t="shared" si="406"/>
        <v>0</v>
      </c>
      <c r="P1459" s="56" t="s">
        <v>968</v>
      </c>
    </row>
    <row r="1460" spans="1:17" ht="14.25" thickBot="1" x14ac:dyDescent="0.2">
      <c r="A1460" s="3" t="s">
        <v>11</v>
      </c>
      <c r="B1460" s="23">
        <f>SUM(B1434:B1459)</f>
        <v>5</v>
      </c>
      <c r="C1460" s="4">
        <f>SUM(C1434:C1459)</f>
        <v>11</v>
      </c>
      <c r="D1460" s="4">
        <f>SUM(D1434:D1459)</f>
        <v>10</v>
      </c>
      <c r="E1460" s="6">
        <f>SUM(E1434:E1459)</f>
        <v>5</v>
      </c>
      <c r="F1460" s="32">
        <f>SUM(F1434:F1459)</f>
        <v>4</v>
      </c>
      <c r="G1460" s="5">
        <f>SUM(B1460:F1460)</f>
        <v>35</v>
      </c>
      <c r="I1460" s="3" t="s">
        <v>11</v>
      </c>
      <c r="J1460" s="23">
        <f>SUM(J1434:J1459)</f>
        <v>13</v>
      </c>
      <c r="K1460" s="4">
        <f>SUM(K1434:K1459)</f>
        <v>24</v>
      </c>
      <c r="L1460" s="4">
        <f>SUM(L1434:L1459)</f>
        <v>8</v>
      </c>
      <c r="M1460" s="6">
        <f>SUM(M1434:M1459)</f>
        <v>28</v>
      </c>
      <c r="N1460" s="6">
        <f>SUM(N1434:N1459)</f>
        <v>4</v>
      </c>
      <c r="O1460" s="5">
        <f>SUM(J1460:N1460)</f>
        <v>77</v>
      </c>
    </row>
    <row r="1461" spans="1:17" ht="14.25" thickBot="1" x14ac:dyDescent="0.2">
      <c r="A1461" s="25" t="s">
        <v>12</v>
      </c>
      <c r="B1461" s="63">
        <f>B1433-B1460</f>
        <v>14</v>
      </c>
      <c r="C1461" s="26">
        <f t="shared" ref="C1461:G1461" si="407">C1433-C1460</f>
        <v>7</v>
      </c>
      <c r="D1461" s="71">
        <f t="shared" si="407"/>
        <v>11</v>
      </c>
      <c r="E1461" s="26">
        <f t="shared" si="407"/>
        <v>16</v>
      </c>
      <c r="F1461" s="70">
        <f t="shared" si="407"/>
        <v>21</v>
      </c>
      <c r="G1461" s="27">
        <f t="shared" si="407"/>
        <v>69</v>
      </c>
      <c r="I1461" s="25" t="s">
        <v>12</v>
      </c>
      <c r="J1461" s="63">
        <f>J1433-J1460</f>
        <v>162</v>
      </c>
      <c r="K1461" s="26">
        <f t="shared" ref="K1461:O1461" si="408">K1433-K1460</f>
        <v>98</v>
      </c>
      <c r="L1461" s="71">
        <f t="shared" si="408"/>
        <v>126</v>
      </c>
      <c r="M1461" s="26">
        <f t="shared" si="408"/>
        <v>137</v>
      </c>
      <c r="N1461" s="70">
        <f t="shared" si="408"/>
        <v>124</v>
      </c>
      <c r="O1461" s="27">
        <f t="shared" si="408"/>
        <v>647</v>
      </c>
    </row>
    <row r="1462" spans="1:17" ht="17.25" x14ac:dyDescent="0.2">
      <c r="A1462" s="79" t="s">
        <v>56</v>
      </c>
      <c r="B1462" s="80"/>
      <c r="C1462" s="80"/>
      <c r="D1462" s="80"/>
      <c r="E1462" s="80"/>
      <c r="F1462" s="80"/>
      <c r="G1462" s="80"/>
      <c r="I1462" s="79" t="s">
        <v>56</v>
      </c>
      <c r="J1462" s="80"/>
      <c r="K1462" s="80"/>
      <c r="L1462" s="80"/>
      <c r="M1462" s="80"/>
      <c r="N1462" s="80"/>
      <c r="O1462" s="1"/>
    </row>
    <row r="1463" spans="1:17" ht="21.75" thickBot="1" x14ac:dyDescent="0.25">
      <c r="A1463" s="82" t="s">
        <v>55</v>
      </c>
      <c r="B1463" s="80"/>
      <c r="C1463" s="80"/>
      <c r="D1463" s="80"/>
      <c r="E1463" s="81" t="s">
        <v>53</v>
      </c>
      <c r="F1463" s="80"/>
      <c r="G1463" s="80"/>
      <c r="I1463" s="82" t="s">
        <v>55</v>
      </c>
      <c r="J1463" s="80"/>
      <c r="K1463" s="80"/>
      <c r="L1463" s="80"/>
      <c r="M1463" s="81" t="s">
        <v>54</v>
      </c>
      <c r="N1463" s="80"/>
      <c r="O1463" s="1"/>
    </row>
    <row r="1464" spans="1:17" ht="14.25" thickBot="1" x14ac:dyDescent="0.2">
      <c r="A1464" s="13" t="s">
        <v>0</v>
      </c>
      <c r="B1464" s="228" t="s">
        <v>57</v>
      </c>
      <c r="C1464" s="229"/>
      <c r="D1464" s="229"/>
      <c r="E1464" s="229"/>
      <c r="F1464" s="230"/>
      <c r="G1464" s="231"/>
      <c r="I1464" s="13" t="s">
        <v>0</v>
      </c>
      <c r="J1464" s="232" t="s">
        <v>57</v>
      </c>
      <c r="K1464" s="233"/>
      <c r="L1464" s="233"/>
      <c r="M1464" s="233"/>
      <c r="N1464" s="233"/>
      <c r="O1464" s="234"/>
    </row>
    <row r="1465" spans="1:17" ht="14.25" thickBot="1" x14ac:dyDescent="0.2">
      <c r="A1465" s="3" t="s">
        <v>1</v>
      </c>
      <c r="B1465" s="2" t="s">
        <v>42</v>
      </c>
      <c r="C1465" s="21" t="s">
        <v>43</v>
      </c>
      <c r="D1465" s="21" t="s">
        <v>44</v>
      </c>
      <c r="E1465" s="24" t="s">
        <v>45</v>
      </c>
      <c r="F1465" s="33" t="s">
        <v>46</v>
      </c>
      <c r="G1465" s="3" t="s">
        <v>2</v>
      </c>
      <c r="I1465" s="3" t="s">
        <v>1</v>
      </c>
      <c r="J1465" s="2" t="s">
        <v>42</v>
      </c>
      <c r="K1465" s="21" t="s">
        <v>43</v>
      </c>
      <c r="L1465" s="21" t="s">
        <v>44</v>
      </c>
      <c r="M1465" s="24" t="s">
        <v>45</v>
      </c>
      <c r="N1465" s="33" t="s">
        <v>46</v>
      </c>
      <c r="O1465" s="3" t="s">
        <v>2</v>
      </c>
    </row>
    <row r="1466" spans="1:17" ht="14.25" thickBot="1" x14ac:dyDescent="0.2">
      <c r="A1466" s="72" t="s">
        <v>79</v>
      </c>
      <c r="B1466" s="73">
        <f>B1461</f>
        <v>14</v>
      </c>
      <c r="C1466" s="74">
        <f t="shared" ref="C1466:F1466" si="409">C1461</f>
        <v>7</v>
      </c>
      <c r="D1466" s="107">
        <f t="shared" si="409"/>
        <v>11</v>
      </c>
      <c r="E1466" s="75">
        <f t="shared" si="409"/>
        <v>16</v>
      </c>
      <c r="F1466" s="75">
        <f t="shared" si="409"/>
        <v>21</v>
      </c>
      <c r="G1466" s="76">
        <f t="shared" ref="G1466:G1475" si="410">SUM(B1466:F1466)</f>
        <v>69</v>
      </c>
      <c r="I1466" s="72" t="s">
        <v>79</v>
      </c>
      <c r="J1466" s="73">
        <f>J1461</f>
        <v>162</v>
      </c>
      <c r="K1466" s="74">
        <f t="shared" ref="K1466:N1466" si="411">K1461</f>
        <v>98</v>
      </c>
      <c r="L1466" s="107">
        <f t="shared" si="411"/>
        <v>126</v>
      </c>
      <c r="M1466" s="75">
        <f t="shared" si="411"/>
        <v>137</v>
      </c>
      <c r="N1466" s="75">
        <f t="shared" si="411"/>
        <v>124</v>
      </c>
      <c r="O1466" s="76">
        <f t="shared" ref="O1466:O1475" si="412">SUM(J1466:N1466)</f>
        <v>647</v>
      </c>
    </row>
    <row r="1467" spans="1:17" x14ac:dyDescent="0.15">
      <c r="A1467" s="38" t="s">
        <v>19</v>
      </c>
      <c r="B1467" s="37">
        <v>1</v>
      </c>
      <c r="C1467" s="35">
        <v>3</v>
      </c>
      <c r="D1467" s="35">
        <v>1</v>
      </c>
      <c r="E1467" s="35">
        <v>1</v>
      </c>
      <c r="F1467" s="28">
        <v>1</v>
      </c>
      <c r="G1467" s="7">
        <f t="shared" si="410"/>
        <v>7</v>
      </c>
      <c r="H1467" s="58">
        <v>43598</v>
      </c>
      <c r="I1467" s="38" t="s">
        <v>1002</v>
      </c>
      <c r="J1467" s="8">
        <v>5</v>
      </c>
      <c r="K1467" s="10">
        <v>4</v>
      </c>
      <c r="L1467" s="10">
        <v>6</v>
      </c>
      <c r="M1467" s="10">
        <v>14</v>
      </c>
      <c r="N1467" s="30">
        <v>16</v>
      </c>
      <c r="O1467" s="7">
        <f t="shared" si="412"/>
        <v>45</v>
      </c>
      <c r="P1467" s="57">
        <v>43636</v>
      </c>
    </row>
    <row r="1468" spans="1:17" x14ac:dyDescent="0.15">
      <c r="A1468" s="38" t="s">
        <v>19</v>
      </c>
      <c r="B1468" s="8"/>
      <c r="C1468" s="10"/>
      <c r="D1468" s="10">
        <v>1</v>
      </c>
      <c r="E1468" s="10"/>
      <c r="F1468" s="28">
        <v>1</v>
      </c>
      <c r="G1468" s="9">
        <f t="shared" si="410"/>
        <v>2</v>
      </c>
      <c r="H1468" s="58">
        <v>43601</v>
      </c>
      <c r="I1468" s="38" t="s">
        <v>16</v>
      </c>
      <c r="J1468" s="8"/>
      <c r="K1468" s="10">
        <v>2</v>
      </c>
      <c r="L1468" s="10">
        <v>1</v>
      </c>
      <c r="M1468" s="10">
        <v>3</v>
      </c>
      <c r="N1468" s="28">
        <v>1</v>
      </c>
      <c r="O1468" s="9">
        <f t="shared" si="412"/>
        <v>7</v>
      </c>
      <c r="P1468" s="58">
        <v>43666</v>
      </c>
      <c r="Q1468" s="68"/>
    </row>
    <row r="1469" spans="1:17" x14ac:dyDescent="0.15">
      <c r="A1469" s="38" t="s">
        <v>271</v>
      </c>
      <c r="B1469" s="8"/>
      <c r="C1469" s="10"/>
      <c r="D1469" s="10"/>
      <c r="E1469" s="10">
        <v>1</v>
      </c>
      <c r="F1469" s="28"/>
      <c r="G1469" s="9">
        <f t="shared" si="410"/>
        <v>1</v>
      </c>
      <c r="H1469" s="58">
        <v>43602</v>
      </c>
      <c r="I1469" s="15" t="s">
        <v>18</v>
      </c>
      <c r="J1469" s="8"/>
      <c r="K1469" s="10"/>
      <c r="L1469" s="10"/>
      <c r="M1469" s="10"/>
      <c r="N1469" s="28"/>
      <c r="O1469" s="9">
        <f t="shared" si="412"/>
        <v>0</v>
      </c>
      <c r="P1469" s="56"/>
    </row>
    <row r="1470" spans="1:17" x14ac:dyDescent="0.15">
      <c r="A1470" s="38" t="s">
        <v>17</v>
      </c>
      <c r="B1470" s="8">
        <v>1</v>
      </c>
      <c r="C1470" s="10">
        <v>2</v>
      </c>
      <c r="D1470" s="10"/>
      <c r="E1470" s="10">
        <v>1</v>
      </c>
      <c r="F1470" s="28"/>
      <c r="G1470" s="9">
        <f t="shared" si="410"/>
        <v>4</v>
      </c>
      <c r="H1470" s="58">
        <v>43602</v>
      </c>
      <c r="I1470" s="15" t="s">
        <v>20</v>
      </c>
      <c r="J1470" s="8"/>
      <c r="K1470" s="10"/>
      <c r="L1470" s="10"/>
      <c r="M1470" s="10"/>
      <c r="N1470" s="28"/>
      <c r="O1470" s="9">
        <f t="shared" si="412"/>
        <v>0</v>
      </c>
    </row>
    <row r="1471" spans="1:17" x14ac:dyDescent="0.15">
      <c r="A1471" s="38" t="s">
        <v>17</v>
      </c>
      <c r="B1471" s="8"/>
      <c r="C1471" s="10"/>
      <c r="D1471" s="10"/>
      <c r="E1471" s="10">
        <v>1</v>
      </c>
      <c r="F1471" s="28">
        <v>1</v>
      </c>
      <c r="G1471" s="9">
        <f t="shared" si="410"/>
        <v>2</v>
      </c>
      <c r="H1471" s="58">
        <v>43614</v>
      </c>
      <c r="I1471" s="15" t="s">
        <v>80</v>
      </c>
      <c r="J1471" s="8"/>
      <c r="K1471" s="10"/>
      <c r="L1471" s="10"/>
      <c r="M1471" s="10"/>
      <c r="N1471" s="28"/>
      <c r="O1471" s="9">
        <f t="shared" si="412"/>
        <v>0</v>
      </c>
    </row>
    <row r="1472" spans="1:17" x14ac:dyDescent="0.15">
      <c r="A1472" s="38" t="s">
        <v>243</v>
      </c>
      <c r="B1472" s="8"/>
      <c r="C1472" s="10"/>
      <c r="D1472" s="10"/>
      <c r="E1472" s="10">
        <v>3</v>
      </c>
      <c r="F1472" s="28"/>
      <c r="G1472" s="9">
        <f t="shared" si="410"/>
        <v>3</v>
      </c>
      <c r="H1472" s="58">
        <v>43619</v>
      </c>
      <c r="I1472" s="15" t="s">
        <v>81</v>
      </c>
      <c r="J1472" s="8"/>
      <c r="K1472" s="10"/>
      <c r="L1472" s="10"/>
      <c r="M1472" s="10"/>
      <c r="N1472" s="28"/>
      <c r="O1472" s="9">
        <f t="shared" si="412"/>
        <v>0</v>
      </c>
    </row>
    <row r="1473" spans="1:16" x14ac:dyDescent="0.15">
      <c r="A1473" s="38" t="s">
        <v>19</v>
      </c>
      <c r="B1473" s="8"/>
      <c r="C1473" s="10">
        <v>1</v>
      </c>
      <c r="D1473" s="10"/>
      <c r="E1473" s="10"/>
      <c r="F1473" s="30">
        <v>1</v>
      </c>
      <c r="G1473" s="7">
        <f t="shared" si="410"/>
        <v>2</v>
      </c>
      <c r="H1473" s="58">
        <v>43619</v>
      </c>
      <c r="I1473" s="15" t="s">
        <v>82</v>
      </c>
      <c r="J1473" s="8"/>
      <c r="K1473" s="10"/>
      <c r="L1473" s="10"/>
      <c r="M1473" s="10"/>
      <c r="N1473" s="30"/>
      <c r="O1473" s="7">
        <f t="shared" si="412"/>
        <v>0</v>
      </c>
    </row>
    <row r="1474" spans="1:16" x14ac:dyDescent="0.15">
      <c r="A1474" s="38" t="s">
        <v>685</v>
      </c>
      <c r="B1474" s="11">
        <v>1</v>
      </c>
      <c r="C1474" s="100">
        <v>1</v>
      </c>
      <c r="D1474" s="100"/>
      <c r="E1474" s="100"/>
      <c r="F1474" s="101"/>
      <c r="G1474" s="102">
        <f t="shared" si="410"/>
        <v>2</v>
      </c>
      <c r="H1474" s="58">
        <v>43637</v>
      </c>
      <c r="I1474" s="15" t="s">
        <v>83</v>
      </c>
      <c r="J1474" s="8"/>
      <c r="K1474" s="10"/>
      <c r="L1474" s="10"/>
      <c r="M1474" s="10"/>
      <c r="N1474" s="30"/>
      <c r="O1474" s="7">
        <f t="shared" si="412"/>
        <v>0</v>
      </c>
    </row>
    <row r="1475" spans="1:16" ht="14.25" thickBot="1" x14ac:dyDescent="0.2">
      <c r="A1475" s="38" t="s">
        <v>111</v>
      </c>
      <c r="B1475" s="11"/>
      <c r="C1475" s="100">
        <v>1</v>
      </c>
      <c r="D1475" s="100"/>
      <c r="E1475" s="100"/>
      <c r="F1475" s="101"/>
      <c r="G1475" s="102">
        <f t="shared" si="410"/>
        <v>1</v>
      </c>
      <c r="H1475" s="58">
        <v>43649</v>
      </c>
      <c r="I1475" s="15" t="s">
        <v>87</v>
      </c>
      <c r="J1475" s="11"/>
      <c r="K1475" s="100"/>
      <c r="L1475" s="100"/>
      <c r="M1475" s="100"/>
      <c r="N1475" s="101"/>
      <c r="O1475" s="102">
        <f t="shared" si="412"/>
        <v>0</v>
      </c>
    </row>
    <row r="1476" spans="1:16" ht="14.25" thickBot="1" x14ac:dyDescent="0.2">
      <c r="A1476" s="72" t="s">
        <v>7</v>
      </c>
      <c r="B1476" s="73">
        <f>SUM(B1466:B1475)</f>
        <v>17</v>
      </c>
      <c r="C1476" s="74">
        <f t="shared" ref="C1476:G1476" si="413">SUM(C1466:C1475)</f>
        <v>15</v>
      </c>
      <c r="D1476" s="74">
        <f t="shared" si="413"/>
        <v>13</v>
      </c>
      <c r="E1476" s="74">
        <f t="shared" si="413"/>
        <v>23</v>
      </c>
      <c r="F1476" s="105">
        <f t="shared" si="413"/>
        <v>25</v>
      </c>
      <c r="G1476" s="76">
        <f t="shared" si="413"/>
        <v>93</v>
      </c>
      <c r="I1476" s="72" t="s">
        <v>7</v>
      </c>
      <c r="J1476" s="73">
        <f>SUM(J1466:J1475)</f>
        <v>167</v>
      </c>
      <c r="K1476" s="74">
        <f t="shared" ref="K1476:O1476" si="414">SUM(K1466:K1475)</f>
        <v>104</v>
      </c>
      <c r="L1476" s="74">
        <f t="shared" si="414"/>
        <v>133</v>
      </c>
      <c r="M1476" s="74">
        <f t="shared" si="414"/>
        <v>154</v>
      </c>
      <c r="N1476" s="105">
        <f t="shared" si="414"/>
        <v>141</v>
      </c>
      <c r="O1476" s="76">
        <f t="shared" si="414"/>
        <v>699</v>
      </c>
    </row>
    <row r="1477" spans="1:16" x14ac:dyDescent="0.15">
      <c r="A1477" s="14" t="s">
        <v>117</v>
      </c>
      <c r="B1477" s="8"/>
      <c r="C1477" s="10">
        <v>1</v>
      </c>
      <c r="D1477" s="10"/>
      <c r="E1477" s="10"/>
      <c r="F1477" s="30"/>
      <c r="G1477" s="7">
        <f t="shared" ref="G1477:G1502" si="415">SUM(B1477:F1477)</f>
        <v>1</v>
      </c>
      <c r="H1477" s="58">
        <v>43599</v>
      </c>
      <c r="I1477" s="16" t="s">
        <v>996</v>
      </c>
      <c r="J1477" s="17">
        <v>2</v>
      </c>
      <c r="K1477" s="22"/>
      <c r="L1477" s="22"/>
      <c r="M1477" s="22"/>
      <c r="N1477" s="29"/>
      <c r="O1477" s="18">
        <f t="shared" ref="O1477:O1490" si="416">SUM(J1477:N1477)</f>
        <v>2</v>
      </c>
      <c r="P1477" s="58">
        <v>43605</v>
      </c>
    </row>
    <row r="1478" spans="1:16" x14ac:dyDescent="0.15">
      <c r="A1478" s="14" t="s">
        <v>215</v>
      </c>
      <c r="B1478" s="11"/>
      <c r="C1478" s="12"/>
      <c r="D1478" s="12"/>
      <c r="E1478" s="12"/>
      <c r="F1478" s="31">
        <v>2</v>
      </c>
      <c r="G1478" s="7">
        <f t="shared" ref="G1478" si="417">SUM(B1478:F1478)</f>
        <v>2</v>
      </c>
      <c r="H1478" s="58">
        <v>43605</v>
      </c>
      <c r="I1478" s="16" t="s">
        <v>22</v>
      </c>
      <c r="J1478" s="8"/>
      <c r="K1478" s="10"/>
      <c r="L1478" s="10">
        <v>10</v>
      </c>
      <c r="M1478" s="10"/>
      <c r="N1478" s="28"/>
      <c r="O1478" s="9">
        <f t="shared" si="416"/>
        <v>10</v>
      </c>
      <c r="P1478" s="58">
        <v>43605</v>
      </c>
    </row>
    <row r="1479" spans="1:16" x14ac:dyDescent="0.15">
      <c r="A1479" s="14" t="s">
        <v>1003</v>
      </c>
      <c r="B1479" s="8">
        <v>1</v>
      </c>
      <c r="C1479" s="10"/>
      <c r="D1479" s="10"/>
      <c r="E1479" s="10"/>
      <c r="F1479" s="30"/>
      <c r="G1479" s="7">
        <f t="shared" si="415"/>
        <v>1</v>
      </c>
      <c r="H1479" s="58">
        <v>43606</v>
      </c>
      <c r="I1479" s="51" t="s">
        <v>1027</v>
      </c>
      <c r="J1479" s="11">
        <v>20</v>
      </c>
      <c r="K1479" s="12">
        <v>10</v>
      </c>
      <c r="L1479" s="12">
        <v>10</v>
      </c>
      <c r="M1479" s="12">
        <v>5</v>
      </c>
      <c r="N1479" s="31">
        <v>3</v>
      </c>
      <c r="O1479" s="7">
        <f t="shared" si="416"/>
        <v>48</v>
      </c>
      <c r="P1479" s="58">
        <v>43609</v>
      </c>
    </row>
    <row r="1480" spans="1:16" x14ac:dyDescent="0.15">
      <c r="A1480" s="14" t="s">
        <v>29</v>
      </c>
      <c r="B1480" s="8"/>
      <c r="C1480" s="10"/>
      <c r="D1480" s="10">
        <v>1</v>
      </c>
      <c r="E1480" s="10"/>
      <c r="F1480" s="30"/>
      <c r="G1480" s="7">
        <f t="shared" si="415"/>
        <v>1</v>
      </c>
      <c r="H1480" s="58">
        <v>43606</v>
      </c>
      <c r="I1480" s="16" t="s">
        <v>999</v>
      </c>
      <c r="J1480" s="8">
        <v>4</v>
      </c>
      <c r="K1480" s="10"/>
      <c r="L1480" s="10"/>
      <c r="M1480" s="10"/>
      <c r="N1480" s="30"/>
      <c r="O1480" s="7">
        <f t="shared" si="416"/>
        <v>4</v>
      </c>
      <c r="P1480" s="58">
        <v>43609</v>
      </c>
    </row>
    <row r="1481" spans="1:16" x14ac:dyDescent="0.15">
      <c r="A1481" s="14" t="s">
        <v>29</v>
      </c>
      <c r="B1481" s="8">
        <v>1</v>
      </c>
      <c r="C1481" s="10"/>
      <c r="D1481" s="10"/>
      <c r="E1481" s="10"/>
      <c r="F1481" s="30"/>
      <c r="G1481" s="7">
        <f t="shared" si="415"/>
        <v>1</v>
      </c>
      <c r="H1481" s="58">
        <v>43607</v>
      </c>
      <c r="I1481" s="16" t="s">
        <v>22</v>
      </c>
      <c r="J1481" s="8"/>
      <c r="K1481" s="10"/>
      <c r="L1481" s="10"/>
      <c r="M1481" s="10"/>
      <c r="N1481" s="30">
        <v>10</v>
      </c>
      <c r="O1481" s="7">
        <f t="shared" si="416"/>
        <v>10</v>
      </c>
      <c r="P1481" s="58">
        <v>43608</v>
      </c>
    </row>
    <row r="1482" spans="1:16" x14ac:dyDescent="0.15">
      <c r="A1482" s="14" t="s">
        <v>1010</v>
      </c>
      <c r="B1482" s="8"/>
      <c r="C1482" s="10">
        <v>1</v>
      </c>
      <c r="D1482" s="10"/>
      <c r="E1482" s="10"/>
      <c r="F1482" s="30"/>
      <c r="G1482" s="7">
        <f t="shared" si="415"/>
        <v>1</v>
      </c>
      <c r="H1482" s="58">
        <v>43614</v>
      </c>
      <c r="I1482" s="16" t="s">
        <v>1000</v>
      </c>
      <c r="J1482" s="8"/>
      <c r="K1482" s="10"/>
      <c r="L1482" s="10">
        <v>1</v>
      </c>
      <c r="M1482" s="10"/>
      <c r="N1482" s="30"/>
      <c r="O1482" s="7">
        <f t="shared" si="416"/>
        <v>1</v>
      </c>
      <c r="P1482" s="58">
        <v>43609</v>
      </c>
    </row>
    <row r="1483" spans="1:16" x14ac:dyDescent="0.15">
      <c r="A1483" s="14" t="s">
        <v>25</v>
      </c>
      <c r="B1483" s="8"/>
      <c r="C1483" s="10"/>
      <c r="D1483" s="10"/>
      <c r="E1483" s="10"/>
      <c r="F1483" s="30">
        <v>1</v>
      </c>
      <c r="G1483" s="7">
        <f t="shared" si="415"/>
        <v>1</v>
      </c>
      <c r="H1483" s="58">
        <v>43619</v>
      </c>
      <c r="I1483" s="14" t="s">
        <v>25</v>
      </c>
      <c r="J1483" s="8"/>
      <c r="K1483" s="10"/>
      <c r="L1483" s="10">
        <v>1</v>
      </c>
      <c r="M1483" s="10"/>
      <c r="N1483" s="30"/>
      <c r="O1483" s="7">
        <f t="shared" si="416"/>
        <v>1</v>
      </c>
      <c r="P1483" s="58">
        <v>43605</v>
      </c>
    </row>
    <row r="1484" spans="1:16" x14ac:dyDescent="0.15">
      <c r="A1484" s="14" t="s">
        <v>215</v>
      </c>
      <c r="B1484" s="8">
        <v>2</v>
      </c>
      <c r="C1484" s="10"/>
      <c r="D1484" s="10"/>
      <c r="E1484" s="10"/>
      <c r="F1484" s="30"/>
      <c r="G1484" s="7">
        <f t="shared" si="415"/>
        <v>2</v>
      </c>
      <c r="H1484" s="58">
        <v>43623</v>
      </c>
      <c r="I1484" s="16" t="s">
        <v>1004</v>
      </c>
      <c r="J1484" s="8"/>
      <c r="K1484" s="10"/>
      <c r="L1484" s="10">
        <v>2</v>
      </c>
      <c r="M1484" s="10"/>
      <c r="N1484" s="30"/>
      <c r="O1484" s="7">
        <f t="shared" si="416"/>
        <v>2</v>
      </c>
      <c r="P1484" s="58">
        <v>43609</v>
      </c>
    </row>
    <row r="1485" spans="1:16" x14ac:dyDescent="0.15">
      <c r="A1485" s="14" t="s">
        <v>29</v>
      </c>
      <c r="B1485" s="8"/>
      <c r="C1485" s="10"/>
      <c r="D1485" s="10"/>
      <c r="E1485" s="10"/>
      <c r="F1485" s="30">
        <v>1</v>
      </c>
      <c r="G1485" s="7">
        <f t="shared" si="415"/>
        <v>1</v>
      </c>
      <c r="H1485" s="58">
        <v>43622</v>
      </c>
      <c r="I1485" s="16" t="s">
        <v>1007</v>
      </c>
      <c r="J1485" s="8"/>
      <c r="K1485" s="10">
        <v>2</v>
      </c>
      <c r="L1485" s="10"/>
      <c r="M1485" s="10"/>
      <c r="N1485" s="30"/>
      <c r="O1485" s="7">
        <f t="shared" si="416"/>
        <v>2</v>
      </c>
      <c r="P1485" s="58">
        <v>43619</v>
      </c>
    </row>
    <row r="1486" spans="1:16" x14ac:dyDescent="0.15">
      <c r="A1486" s="14" t="s">
        <v>29</v>
      </c>
      <c r="B1486" s="11"/>
      <c r="C1486" s="12">
        <v>1</v>
      </c>
      <c r="D1486" s="12">
        <v>1</v>
      </c>
      <c r="E1486" s="12">
        <v>1</v>
      </c>
      <c r="F1486" s="31"/>
      <c r="G1486" s="7">
        <f t="shared" si="415"/>
        <v>3</v>
      </c>
      <c r="H1486" s="58">
        <v>43626</v>
      </c>
      <c r="I1486" s="16" t="s">
        <v>22</v>
      </c>
      <c r="J1486" s="11">
        <v>10</v>
      </c>
      <c r="K1486" s="12"/>
      <c r="L1486" s="12"/>
      <c r="M1486" s="12">
        <v>10</v>
      </c>
      <c r="N1486" s="31"/>
      <c r="O1486" s="7">
        <f t="shared" si="416"/>
        <v>20</v>
      </c>
      <c r="P1486" s="58">
        <v>43615</v>
      </c>
    </row>
    <row r="1487" spans="1:16" x14ac:dyDescent="0.15">
      <c r="A1487" s="14" t="s">
        <v>29</v>
      </c>
      <c r="B1487" s="11"/>
      <c r="C1487" s="12">
        <v>1</v>
      </c>
      <c r="D1487" s="12"/>
      <c r="E1487" s="12"/>
      <c r="F1487" s="31"/>
      <c r="G1487" s="7">
        <f t="shared" si="415"/>
        <v>1</v>
      </c>
      <c r="H1487" s="58">
        <v>43627</v>
      </c>
      <c r="I1487" s="16" t="s">
        <v>1009</v>
      </c>
      <c r="J1487" s="8"/>
      <c r="K1487" s="10">
        <v>1</v>
      </c>
      <c r="L1487" s="10"/>
      <c r="M1487" s="10">
        <v>5</v>
      </c>
      <c r="N1487" s="30"/>
      <c r="O1487" s="7">
        <f t="shared" si="416"/>
        <v>6</v>
      </c>
      <c r="P1487" s="58">
        <v>43622</v>
      </c>
    </row>
    <row r="1488" spans="1:16" x14ac:dyDescent="0.15">
      <c r="A1488" s="16" t="s">
        <v>1021</v>
      </c>
      <c r="B1488" s="8"/>
      <c r="C1488" s="10"/>
      <c r="D1488" s="10"/>
      <c r="E1488" s="10">
        <v>1</v>
      </c>
      <c r="F1488" s="30"/>
      <c r="G1488" s="7">
        <f t="shared" si="415"/>
        <v>1</v>
      </c>
      <c r="H1488" s="58">
        <v>43633</v>
      </c>
      <c r="I1488" s="16" t="s">
        <v>22</v>
      </c>
      <c r="J1488" s="8"/>
      <c r="K1488" s="10"/>
      <c r="L1488" s="10">
        <v>10</v>
      </c>
      <c r="M1488" s="10"/>
      <c r="N1488" s="30"/>
      <c r="O1488" s="7">
        <f t="shared" si="416"/>
        <v>10</v>
      </c>
      <c r="P1488" s="58">
        <v>43619</v>
      </c>
    </row>
    <row r="1489" spans="1:18" x14ac:dyDescent="0.15">
      <c r="A1489" s="14" t="s">
        <v>29</v>
      </c>
      <c r="B1489" s="8">
        <v>1</v>
      </c>
      <c r="C1489" s="10"/>
      <c r="D1489" s="10"/>
      <c r="E1489" s="10"/>
      <c r="F1489" s="30"/>
      <c r="G1489" s="7">
        <f t="shared" si="415"/>
        <v>1</v>
      </c>
      <c r="H1489" s="58">
        <v>43629</v>
      </c>
      <c r="I1489" s="16" t="s">
        <v>1013</v>
      </c>
      <c r="J1489" s="8"/>
      <c r="K1489" s="10"/>
      <c r="L1489" s="10"/>
      <c r="M1489" s="10">
        <v>5</v>
      </c>
      <c r="N1489" s="30"/>
      <c r="O1489" s="7">
        <f t="shared" si="416"/>
        <v>5</v>
      </c>
      <c r="P1489" s="58">
        <v>43622</v>
      </c>
    </row>
    <row r="1490" spans="1:18" x14ac:dyDescent="0.15">
      <c r="A1490" s="14" t="s">
        <v>29</v>
      </c>
      <c r="B1490" s="8">
        <v>1</v>
      </c>
      <c r="C1490" s="10"/>
      <c r="D1490" s="10"/>
      <c r="E1490" s="10"/>
      <c r="F1490" s="30"/>
      <c r="G1490" s="7">
        <f t="shared" si="415"/>
        <v>1</v>
      </c>
      <c r="H1490" s="58">
        <v>43634</v>
      </c>
      <c r="I1490" s="16" t="s">
        <v>1017</v>
      </c>
      <c r="J1490" s="8"/>
      <c r="K1490" s="10">
        <v>5</v>
      </c>
      <c r="L1490" s="10">
        <v>2</v>
      </c>
      <c r="M1490" s="10"/>
      <c r="N1490" s="30">
        <v>3</v>
      </c>
      <c r="O1490" s="7">
        <f t="shared" si="416"/>
        <v>10</v>
      </c>
      <c r="P1490" s="58">
        <v>43621</v>
      </c>
    </row>
    <row r="1491" spans="1:18" x14ac:dyDescent="0.15">
      <c r="A1491" s="14" t="s">
        <v>215</v>
      </c>
      <c r="B1491" s="8"/>
      <c r="C1491" s="10"/>
      <c r="D1491" s="10"/>
      <c r="E1491" s="10">
        <v>2</v>
      </c>
      <c r="F1491" s="30"/>
      <c r="G1491" s="7">
        <f t="shared" si="415"/>
        <v>2</v>
      </c>
      <c r="H1491" s="58">
        <v>43637</v>
      </c>
      <c r="I1491" s="16" t="s">
        <v>1018</v>
      </c>
      <c r="J1491" s="8"/>
      <c r="K1491" s="10">
        <v>2</v>
      </c>
      <c r="L1491" s="10"/>
      <c r="M1491" s="10">
        <v>3</v>
      </c>
      <c r="N1491" s="30"/>
      <c r="O1491" s="7">
        <f>SUM(J1491:N1491)</f>
        <v>5</v>
      </c>
      <c r="P1491" s="58">
        <v>43626</v>
      </c>
    </row>
    <row r="1492" spans="1:18" x14ac:dyDescent="0.15">
      <c r="A1492" s="14" t="s">
        <v>1036</v>
      </c>
      <c r="B1492" s="8">
        <v>5</v>
      </c>
      <c r="C1492" s="10">
        <v>4</v>
      </c>
      <c r="D1492" s="10">
        <v>6</v>
      </c>
      <c r="E1492" s="10">
        <v>14</v>
      </c>
      <c r="F1492" s="30">
        <v>16</v>
      </c>
      <c r="G1492" s="7">
        <f t="shared" si="415"/>
        <v>45</v>
      </c>
      <c r="H1492" s="58">
        <v>43636</v>
      </c>
      <c r="I1492" s="16" t="s">
        <v>22</v>
      </c>
      <c r="J1492" s="11"/>
      <c r="K1492" s="12"/>
      <c r="L1492" s="12"/>
      <c r="M1492" s="12"/>
      <c r="N1492" s="31">
        <v>10</v>
      </c>
      <c r="O1492" s="7">
        <f t="shared" ref="O1492:O1496" si="418">SUM(J1492:N1492)</f>
        <v>10</v>
      </c>
      <c r="P1492" s="58">
        <v>43626</v>
      </c>
    </row>
    <row r="1493" spans="1:18" x14ac:dyDescent="0.15">
      <c r="A1493" s="14" t="s">
        <v>215</v>
      </c>
      <c r="B1493" s="8">
        <v>2</v>
      </c>
      <c r="C1493" s="10">
        <v>1</v>
      </c>
      <c r="D1493" s="10"/>
      <c r="E1493" s="10"/>
      <c r="F1493" s="30"/>
      <c r="G1493" s="7">
        <f t="shared" si="415"/>
        <v>3</v>
      </c>
      <c r="H1493" s="58">
        <v>43641</v>
      </c>
      <c r="I1493" s="16" t="s">
        <v>1021</v>
      </c>
      <c r="J1493" s="8"/>
      <c r="K1493" s="10">
        <v>4</v>
      </c>
      <c r="L1493" s="10"/>
      <c r="M1493" s="10">
        <v>2</v>
      </c>
      <c r="N1493" s="30"/>
      <c r="O1493" s="7">
        <f t="shared" si="418"/>
        <v>6</v>
      </c>
      <c r="P1493" s="58">
        <v>43633</v>
      </c>
    </row>
    <row r="1494" spans="1:18" x14ac:dyDescent="0.15">
      <c r="A1494" s="14" t="s">
        <v>29</v>
      </c>
      <c r="B1494" s="8"/>
      <c r="C1494" s="10">
        <v>1</v>
      </c>
      <c r="D1494" s="10"/>
      <c r="E1494" s="10"/>
      <c r="F1494" s="30"/>
      <c r="G1494" s="7">
        <f t="shared" si="415"/>
        <v>1</v>
      </c>
      <c r="H1494" s="58">
        <v>43637</v>
      </c>
      <c r="I1494" s="16" t="s">
        <v>1025</v>
      </c>
      <c r="J1494" s="11">
        <v>5</v>
      </c>
      <c r="K1494" s="12"/>
      <c r="L1494" s="12"/>
      <c r="M1494" s="12"/>
      <c r="N1494" s="31"/>
      <c r="O1494" s="7">
        <f t="shared" si="418"/>
        <v>5</v>
      </c>
      <c r="P1494" s="58">
        <v>43635</v>
      </c>
      <c r="Q1494" s="56"/>
    </row>
    <row r="1495" spans="1:18" x14ac:dyDescent="0.15">
      <c r="A1495" s="14" t="s">
        <v>1049</v>
      </c>
      <c r="B1495" s="8"/>
      <c r="C1495" s="10"/>
      <c r="D1495" s="10">
        <v>1</v>
      </c>
      <c r="E1495" s="10"/>
      <c r="F1495" s="30"/>
      <c r="G1495" s="7">
        <f t="shared" si="415"/>
        <v>1</v>
      </c>
      <c r="H1495" s="58">
        <v>43649</v>
      </c>
      <c r="I1495" s="16" t="s">
        <v>1026</v>
      </c>
      <c r="J1495" s="8"/>
      <c r="K1495" s="10"/>
      <c r="L1495" s="10"/>
      <c r="M1495" s="10">
        <v>2</v>
      </c>
      <c r="N1495" s="30"/>
      <c r="O1495" s="7">
        <f t="shared" si="418"/>
        <v>2</v>
      </c>
      <c r="P1495" s="58">
        <v>43637</v>
      </c>
      <c r="Q1495" s="56"/>
    </row>
    <row r="1496" spans="1:18" x14ac:dyDescent="0.15">
      <c r="A1496" s="14" t="s">
        <v>29</v>
      </c>
      <c r="B1496" s="8">
        <v>1</v>
      </c>
      <c r="C1496" s="10"/>
      <c r="D1496" s="10"/>
      <c r="E1496" s="10"/>
      <c r="F1496" s="30"/>
      <c r="G1496" s="7">
        <f t="shared" si="415"/>
        <v>1</v>
      </c>
      <c r="H1496" s="58">
        <v>43651</v>
      </c>
      <c r="I1496" s="51" t="s">
        <v>1068</v>
      </c>
      <c r="J1496" s="8">
        <v>2</v>
      </c>
      <c r="K1496" s="10">
        <v>2</v>
      </c>
      <c r="L1496" s="10">
        <v>2</v>
      </c>
      <c r="M1496" s="10">
        <v>2</v>
      </c>
      <c r="N1496" s="30">
        <v>2</v>
      </c>
      <c r="O1496" s="7">
        <f t="shared" si="418"/>
        <v>10</v>
      </c>
      <c r="P1496" s="58">
        <v>43649</v>
      </c>
    </row>
    <row r="1497" spans="1:18" x14ac:dyDescent="0.15">
      <c r="A1497" s="38" t="s">
        <v>19</v>
      </c>
      <c r="B1497" s="8">
        <v>-1</v>
      </c>
      <c r="C1497" s="10"/>
      <c r="D1497" s="10"/>
      <c r="E1497" s="10">
        <v>-2</v>
      </c>
      <c r="F1497" s="30">
        <v>-1</v>
      </c>
      <c r="G1497" s="7">
        <f t="shared" si="415"/>
        <v>-4</v>
      </c>
      <c r="H1497" s="58">
        <v>43651</v>
      </c>
      <c r="I1497" s="16" t="s">
        <v>22</v>
      </c>
      <c r="J1497" s="8">
        <v>10</v>
      </c>
      <c r="K1497" s="10"/>
      <c r="L1497" s="10"/>
      <c r="M1497" s="10"/>
      <c r="N1497" s="30"/>
      <c r="O1497" s="7">
        <f>SUM(J1497:N1497)</f>
        <v>10</v>
      </c>
      <c r="P1497" s="58">
        <v>43650</v>
      </c>
      <c r="Q1497" s="56"/>
      <c r="R1497" s="56"/>
    </row>
    <row r="1498" spans="1:18" x14ac:dyDescent="0.15">
      <c r="A1498" s="38" t="s">
        <v>19</v>
      </c>
      <c r="B1498" s="11"/>
      <c r="C1498" s="12"/>
      <c r="D1498" s="12">
        <v>-1</v>
      </c>
      <c r="E1498" s="12"/>
      <c r="F1498" s="31"/>
      <c r="G1498" s="7">
        <f t="shared" si="415"/>
        <v>-1</v>
      </c>
      <c r="H1498" s="58">
        <v>43654</v>
      </c>
      <c r="I1498" s="16" t="s">
        <v>1045</v>
      </c>
      <c r="J1498" s="8"/>
      <c r="K1498" s="10"/>
      <c r="L1498" s="10"/>
      <c r="M1498" s="10"/>
      <c r="N1498" s="30">
        <v>2</v>
      </c>
      <c r="O1498" s="7">
        <f t="shared" ref="O1498" si="419">SUM(J1498:N1498)</f>
        <v>2</v>
      </c>
      <c r="P1498" s="58">
        <v>43651</v>
      </c>
    </row>
    <row r="1499" spans="1:18" x14ac:dyDescent="0.15">
      <c r="A1499" s="14" t="s">
        <v>215</v>
      </c>
      <c r="B1499" s="8"/>
      <c r="C1499" s="10"/>
      <c r="D1499" s="10">
        <v>2</v>
      </c>
      <c r="E1499" s="10"/>
      <c r="F1499" s="30"/>
      <c r="G1499" s="7">
        <f t="shared" si="415"/>
        <v>2</v>
      </c>
      <c r="H1499" s="58">
        <v>43656</v>
      </c>
      <c r="I1499" s="16" t="s">
        <v>1046</v>
      </c>
      <c r="J1499" s="8"/>
      <c r="K1499" s="10"/>
      <c r="L1499" s="10"/>
      <c r="M1499" s="10"/>
      <c r="N1499" s="30">
        <v>4</v>
      </c>
      <c r="O1499" s="7">
        <f>SUM(J1499:N1499)</f>
        <v>4</v>
      </c>
      <c r="P1499" s="58">
        <v>43651</v>
      </c>
    </row>
    <row r="1500" spans="1:18" x14ac:dyDescent="0.15">
      <c r="A1500" s="14" t="s">
        <v>1001</v>
      </c>
      <c r="B1500" s="8"/>
      <c r="C1500" s="10">
        <v>2</v>
      </c>
      <c r="D1500" s="10">
        <v>1</v>
      </c>
      <c r="E1500" s="10">
        <v>3</v>
      </c>
      <c r="F1500" s="30">
        <v>1</v>
      </c>
      <c r="G1500" s="7">
        <f t="shared" si="415"/>
        <v>7</v>
      </c>
      <c r="H1500" s="58">
        <v>43666</v>
      </c>
      <c r="I1500" s="16" t="s">
        <v>30</v>
      </c>
      <c r="J1500" s="8"/>
      <c r="K1500" s="10"/>
      <c r="L1500" s="10"/>
      <c r="M1500" s="10"/>
      <c r="N1500" s="30"/>
      <c r="O1500" s="7">
        <f t="shared" ref="O1500" si="420">SUM(J1500:N1500)</f>
        <v>0</v>
      </c>
      <c r="P1500" s="56" t="s">
        <v>998</v>
      </c>
    </row>
    <row r="1501" spans="1:18" x14ac:dyDescent="0.15">
      <c r="A1501" s="14"/>
      <c r="B1501" s="8"/>
      <c r="C1501" s="10"/>
      <c r="D1501" s="10"/>
      <c r="E1501" s="10"/>
      <c r="F1501" s="30"/>
      <c r="G1501" s="7">
        <f t="shared" si="415"/>
        <v>0</v>
      </c>
      <c r="H1501" s="58"/>
      <c r="I1501" s="16" t="s">
        <v>957</v>
      </c>
      <c r="J1501" s="11"/>
      <c r="K1501" s="12"/>
      <c r="L1501" s="12"/>
      <c r="M1501" s="12"/>
      <c r="N1501" s="31"/>
      <c r="O1501" s="7">
        <f t="shared" ref="O1501" si="421">SUM(J1501:N1501)</f>
        <v>0</v>
      </c>
      <c r="P1501" s="56" t="s">
        <v>1022</v>
      </c>
    </row>
    <row r="1502" spans="1:18" ht="14.25" thickBot="1" x14ac:dyDescent="0.2">
      <c r="A1502" s="51"/>
      <c r="B1502" s="11"/>
      <c r="C1502" s="12"/>
      <c r="D1502" s="12"/>
      <c r="E1502" s="12"/>
      <c r="F1502" s="31"/>
      <c r="G1502" s="7">
        <f t="shared" si="415"/>
        <v>0</v>
      </c>
      <c r="H1502" s="58"/>
      <c r="I1502" s="16" t="s">
        <v>30</v>
      </c>
      <c r="J1502" s="8"/>
      <c r="K1502" s="10"/>
      <c r="L1502" s="10"/>
      <c r="M1502" s="10"/>
      <c r="N1502" s="30"/>
      <c r="O1502" s="7">
        <f>SUM(J1502:N1502)</f>
        <v>0</v>
      </c>
      <c r="P1502" s="58" t="s">
        <v>976</v>
      </c>
    </row>
    <row r="1503" spans="1:18" ht="14.25" thickBot="1" x14ac:dyDescent="0.2">
      <c r="A1503" s="3" t="s">
        <v>11</v>
      </c>
      <c r="B1503" s="23">
        <f>SUM(B1477:B1502)</f>
        <v>13</v>
      </c>
      <c r="C1503" s="4">
        <f>SUM(C1477:C1502)</f>
        <v>12</v>
      </c>
      <c r="D1503" s="4">
        <f>SUM(D1477:D1502)</f>
        <v>11</v>
      </c>
      <c r="E1503" s="6">
        <f>SUM(E1477:E1502)</f>
        <v>19</v>
      </c>
      <c r="F1503" s="32">
        <f>SUM(F1477:F1502)</f>
        <v>20</v>
      </c>
      <c r="G1503" s="5">
        <f>SUM(B1503:F1503)</f>
        <v>75</v>
      </c>
      <c r="I1503" s="3" t="s">
        <v>11</v>
      </c>
      <c r="J1503" s="23">
        <f>SUM(J1477:J1502)</f>
        <v>53</v>
      </c>
      <c r="K1503" s="4">
        <f>SUM(K1477:K1502)</f>
        <v>26</v>
      </c>
      <c r="L1503" s="4">
        <f>SUM(L1477:L1502)</f>
        <v>38</v>
      </c>
      <c r="M1503" s="6">
        <f>SUM(M1477:M1502)</f>
        <v>34</v>
      </c>
      <c r="N1503" s="6">
        <f>SUM(N1477:N1502)</f>
        <v>34</v>
      </c>
      <c r="O1503" s="5">
        <f>SUM(J1503:N1503)</f>
        <v>185</v>
      </c>
    </row>
    <row r="1504" spans="1:18" ht="14.25" thickBot="1" x14ac:dyDescent="0.2">
      <c r="A1504" s="25" t="s">
        <v>12</v>
      </c>
      <c r="B1504" s="63">
        <f>B1476-B1503</f>
        <v>4</v>
      </c>
      <c r="C1504" s="26">
        <f t="shared" ref="C1504:G1504" si="422">C1476-C1503</f>
        <v>3</v>
      </c>
      <c r="D1504" s="71">
        <f t="shared" si="422"/>
        <v>2</v>
      </c>
      <c r="E1504" s="26">
        <f t="shared" si="422"/>
        <v>4</v>
      </c>
      <c r="F1504" s="70">
        <f t="shared" si="422"/>
        <v>5</v>
      </c>
      <c r="G1504" s="27">
        <f t="shared" si="422"/>
        <v>18</v>
      </c>
      <c r="I1504" s="25" t="s">
        <v>12</v>
      </c>
      <c r="J1504" s="63">
        <f>J1476-J1503</f>
        <v>114</v>
      </c>
      <c r="K1504" s="26">
        <f t="shared" ref="K1504:O1504" si="423">K1476-K1503</f>
        <v>78</v>
      </c>
      <c r="L1504" s="71">
        <f t="shared" si="423"/>
        <v>95</v>
      </c>
      <c r="M1504" s="26">
        <f t="shared" si="423"/>
        <v>120</v>
      </c>
      <c r="N1504" s="70">
        <f t="shared" si="423"/>
        <v>107</v>
      </c>
      <c r="O1504" s="27">
        <f t="shared" si="423"/>
        <v>514</v>
      </c>
    </row>
    <row r="1505" spans="1:17" ht="17.25" x14ac:dyDescent="0.2">
      <c r="A1505" s="79" t="s">
        <v>56</v>
      </c>
      <c r="B1505" s="80"/>
      <c r="C1505" s="80"/>
      <c r="D1505" s="80"/>
      <c r="E1505" s="80"/>
      <c r="F1505" s="80"/>
      <c r="G1505" s="80"/>
      <c r="I1505" s="79" t="s">
        <v>56</v>
      </c>
      <c r="J1505" s="80"/>
      <c r="K1505" s="80"/>
      <c r="L1505" s="80"/>
      <c r="M1505" s="80"/>
      <c r="N1505" s="80"/>
      <c r="O1505" s="1"/>
    </row>
    <row r="1506" spans="1:17" ht="21.75" thickBot="1" x14ac:dyDescent="0.25">
      <c r="A1506" s="82" t="s">
        <v>55</v>
      </c>
      <c r="B1506" s="80"/>
      <c r="C1506" s="80"/>
      <c r="D1506" s="80"/>
      <c r="E1506" s="81" t="s">
        <v>53</v>
      </c>
      <c r="F1506" s="80"/>
      <c r="G1506" s="80"/>
      <c r="I1506" s="82" t="s">
        <v>55</v>
      </c>
      <c r="J1506" s="80"/>
      <c r="K1506" s="80"/>
      <c r="L1506" s="80"/>
      <c r="M1506" s="81" t="s">
        <v>54</v>
      </c>
      <c r="N1506" s="80"/>
      <c r="O1506" s="1"/>
    </row>
    <row r="1507" spans="1:17" ht="14.25" thickBot="1" x14ac:dyDescent="0.2">
      <c r="A1507" s="13" t="s">
        <v>0</v>
      </c>
      <c r="B1507" s="228" t="s">
        <v>57</v>
      </c>
      <c r="C1507" s="229"/>
      <c r="D1507" s="229"/>
      <c r="E1507" s="229"/>
      <c r="F1507" s="230"/>
      <c r="G1507" s="231"/>
      <c r="I1507" s="13" t="s">
        <v>0</v>
      </c>
      <c r="J1507" s="232" t="s">
        <v>57</v>
      </c>
      <c r="K1507" s="233"/>
      <c r="L1507" s="233"/>
      <c r="M1507" s="233"/>
      <c r="N1507" s="233"/>
      <c r="O1507" s="234"/>
    </row>
    <row r="1508" spans="1:17" ht="14.25" thickBot="1" x14ac:dyDescent="0.2">
      <c r="A1508" s="3" t="s">
        <v>1</v>
      </c>
      <c r="B1508" s="2" t="s">
        <v>42</v>
      </c>
      <c r="C1508" s="21" t="s">
        <v>43</v>
      </c>
      <c r="D1508" s="21" t="s">
        <v>44</v>
      </c>
      <c r="E1508" s="24" t="s">
        <v>45</v>
      </c>
      <c r="F1508" s="33" t="s">
        <v>46</v>
      </c>
      <c r="G1508" s="3" t="s">
        <v>2</v>
      </c>
      <c r="I1508" s="3" t="s">
        <v>1</v>
      </c>
      <c r="J1508" s="2" t="s">
        <v>42</v>
      </c>
      <c r="K1508" s="21" t="s">
        <v>43</v>
      </c>
      <c r="L1508" s="21" t="s">
        <v>44</v>
      </c>
      <c r="M1508" s="24" t="s">
        <v>45</v>
      </c>
      <c r="N1508" s="33" t="s">
        <v>46</v>
      </c>
      <c r="O1508" s="3" t="s">
        <v>2</v>
      </c>
    </row>
    <row r="1509" spans="1:17" ht="14.25" thickBot="1" x14ac:dyDescent="0.2">
      <c r="A1509" s="72" t="s">
        <v>79</v>
      </c>
      <c r="B1509" s="73">
        <f>B1504</f>
        <v>4</v>
      </c>
      <c r="C1509" s="74">
        <f t="shared" ref="C1509:F1509" si="424">C1504</f>
        <v>3</v>
      </c>
      <c r="D1509" s="107">
        <f t="shared" si="424"/>
        <v>2</v>
      </c>
      <c r="E1509" s="75">
        <f t="shared" si="424"/>
        <v>4</v>
      </c>
      <c r="F1509" s="75">
        <f t="shared" si="424"/>
        <v>5</v>
      </c>
      <c r="G1509" s="76">
        <f t="shared" ref="G1509:G1518" si="425">SUM(B1509:F1509)</f>
        <v>18</v>
      </c>
      <c r="I1509" s="72" t="s">
        <v>79</v>
      </c>
      <c r="J1509" s="73">
        <f>J1504</f>
        <v>114</v>
      </c>
      <c r="K1509" s="74">
        <f t="shared" ref="K1509:N1509" si="426">K1504</f>
        <v>78</v>
      </c>
      <c r="L1509" s="107">
        <f t="shared" si="426"/>
        <v>95</v>
      </c>
      <c r="M1509" s="75">
        <f t="shared" si="426"/>
        <v>120</v>
      </c>
      <c r="N1509" s="75">
        <f t="shared" si="426"/>
        <v>107</v>
      </c>
      <c r="O1509" s="76">
        <f t="shared" ref="O1509:O1518" si="427">SUM(J1509:N1509)</f>
        <v>514</v>
      </c>
    </row>
    <row r="1510" spans="1:17" x14ac:dyDescent="0.15">
      <c r="A1510" s="38" t="s">
        <v>1060</v>
      </c>
      <c r="B1510" s="37">
        <v>1</v>
      </c>
      <c r="C1510" s="35">
        <v>1</v>
      </c>
      <c r="D1510" s="35">
        <v>1</v>
      </c>
      <c r="E1510" s="35">
        <v>1</v>
      </c>
      <c r="F1510" s="28">
        <v>1</v>
      </c>
      <c r="G1510" s="7">
        <f t="shared" si="425"/>
        <v>5</v>
      </c>
      <c r="H1510" s="58">
        <v>43657</v>
      </c>
      <c r="I1510" s="38" t="s">
        <v>15</v>
      </c>
      <c r="J1510" s="8"/>
      <c r="K1510" s="10"/>
      <c r="L1510" s="10"/>
      <c r="M1510" s="10"/>
      <c r="N1510" s="30"/>
      <c r="O1510" s="7">
        <f t="shared" si="427"/>
        <v>0</v>
      </c>
    </row>
    <row r="1511" spans="1:17" x14ac:dyDescent="0.15">
      <c r="A1511" s="38" t="s">
        <v>261</v>
      </c>
      <c r="B1511" s="8"/>
      <c r="C1511" s="10">
        <v>1</v>
      </c>
      <c r="D1511" s="10">
        <v>1</v>
      </c>
      <c r="E1511" s="10"/>
      <c r="F1511" s="28">
        <v>1</v>
      </c>
      <c r="G1511" s="9">
        <f t="shared" si="425"/>
        <v>3</v>
      </c>
      <c r="H1511" s="58">
        <v>43676</v>
      </c>
      <c r="I1511" s="38" t="s">
        <v>16</v>
      </c>
      <c r="J1511" s="8">
        <v>80</v>
      </c>
      <c r="K1511" s="10">
        <v>160</v>
      </c>
      <c r="L1511" s="10">
        <v>110</v>
      </c>
      <c r="M1511" s="10">
        <v>90</v>
      </c>
      <c r="N1511" s="28">
        <v>160</v>
      </c>
      <c r="O1511" s="9">
        <f t="shared" si="427"/>
        <v>600</v>
      </c>
      <c r="P1511" s="58">
        <v>43651</v>
      </c>
      <c r="Q1511" s="56"/>
    </row>
    <row r="1512" spans="1:17" x14ac:dyDescent="0.15">
      <c r="A1512" s="38" t="s">
        <v>18</v>
      </c>
      <c r="B1512" s="8">
        <v>5</v>
      </c>
      <c r="C1512" s="10"/>
      <c r="D1512" s="10">
        <v>5</v>
      </c>
      <c r="E1512" s="10"/>
      <c r="F1512" s="28"/>
      <c r="G1512" s="9">
        <f t="shared" si="425"/>
        <v>10</v>
      </c>
      <c r="H1512" s="58">
        <v>43680</v>
      </c>
      <c r="I1512" s="15" t="s">
        <v>18</v>
      </c>
      <c r="J1512" s="8"/>
      <c r="K1512" s="10"/>
      <c r="L1512" s="10"/>
      <c r="M1512" s="10"/>
      <c r="N1512" s="28"/>
      <c r="O1512" s="9">
        <f t="shared" si="427"/>
        <v>0</v>
      </c>
      <c r="P1512" s="56"/>
    </row>
    <row r="1513" spans="1:17" x14ac:dyDescent="0.15">
      <c r="A1513" s="38" t="s">
        <v>20</v>
      </c>
      <c r="B1513" s="8"/>
      <c r="C1513" s="10">
        <v>5</v>
      </c>
      <c r="D1513" s="10">
        <v>5</v>
      </c>
      <c r="E1513" s="10"/>
      <c r="F1513" s="28"/>
      <c r="G1513" s="9">
        <f t="shared" si="425"/>
        <v>10</v>
      </c>
      <c r="H1513" s="58">
        <v>43693</v>
      </c>
      <c r="I1513" s="15" t="s">
        <v>20</v>
      </c>
      <c r="J1513" s="8"/>
      <c r="K1513" s="10"/>
      <c r="L1513" s="10"/>
      <c r="M1513" s="10"/>
      <c r="N1513" s="28"/>
      <c r="O1513" s="9">
        <f t="shared" si="427"/>
        <v>0</v>
      </c>
    </row>
    <row r="1514" spans="1:17" x14ac:dyDescent="0.15">
      <c r="A1514" s="38" t="s">
        <v>80</v>
      </c>
      <c r="B1514" s="8"/>
      <c r="C1514" s="10"/>
      <c r="D1514" s="10"/>
      <c r="E1514" s="10"/>
      <c r="F1514" s="28"/>
      <c r="G1514" s="9">
        <f t="shared" si="425"/>
        <v>0</v>
      </c>
      <c r="H1514" s="58"/>
      <c r="I1514" s="15" t="s">
        <v>80</v>
      </c>
      <c r="J1514" s="8"/>
      <c r="K1514" s="10"/>
      <c r="L1514" s="10"/>
      <c r="M1514" s="10"/>
      <c r="N1514" s="28"/>
      <c r="O1514" s="9">
        <f t="shared" si="427"/>
        <v>0</v>
      </c>
    </row>
    <row r="1515" spans="1:17" x14ac:dyDescent="0.15">
      <c r="A1515" s="38" t="s">
        <v>81</v>
      </c>
      <c r="B1515" s="8"/>
      <c r="C1515" s="10"/>
      <c r="D1515" s="10"/>
      <c r="E1515" s="10"/>
      <c r="F1515" s="28"/>
      <c r="G1515" s="9">
        <f t="shared" si="425"/>
        <v>0</v>
      </c>
      <c r="H1515" s="58"/>
      <c r="I1515" s="15" t="s">
        <v>81</v>
      </c>
      <c r="J1515" s="8"/>
      <c r="K1515" s="10"/>
      <c r="L1515" s="10"/>
      <c r="M1515" s="10"/>
      <c r="N1515" s="28"/>
      <c r="O1515" s="9">
        <f t="shared" si="427"/>
        <v>0</v>
      </c>
    </row>
    <row r="1516" spans="1:17" x14ac:dyDescent="0.15">
      <c r="A1516" s="38" t="s">
        <v>82</v>
      </c>
      <c r="B1516" s="8"/>
      <c r="C1516" s="10"/>
      <c r="D1516" s="10"/>
      <c r="E1516" s="10"/>
      <c r="F1516" s="30"/>
      <c r="G1516" s="7">
        <f t="shared" si="425"/>
        <v>0</v>
      </c>
      <c r="H1516" s="58"/>
      <c r="I1516" s="15" t="s">
        <v>82</v>
      </c>
      <c r="J1516" s="8"/>
      <c r="K1516" s="10"/>
      <c r="L1516" s="10"/>
      <c r="M1516" s="10"/>
      <c r="N1516" s="30"/>
      <c r="O1516" s="7">
        <f t="shared" si="427"/>
        <v>0</v>
      </c>
    </row>
    <row r="1517" spans="1:17" x14ac:dyDescent="0.15">
      <c r="A1517" s="38" t="s">
        <v>83</v>
      </c>
      <c r="B1517" s="11"/>
      <c r="C1517" s="100"/>
      <c r="D1517" s="100"/>
      <c r="E1517" s="100"/>
      <c r="F1517" s="101"/>
      <c r="G1517" s="102">
        <f t="shared" si="425"/>
        <v>0</v>
      </c>
      <c r="H1517" s="58"/>
      <c r="I1517" s="15" t="s">
        <v>83</v>
      </c>
      <c r="J1517" s="8"/>
      <c r="K1517" s="10"/>
      <c r="L1517" s="10"/>
      <c r="M1517" s="10"/>
      <c r="N1517" s="30"/>
      <c r="O1517" s="7">
        <f t="shared" si="427"/>
        <v>0</v>
      </c>
    </row>
    <row r="1518" spans="1:17" ht="14.25" thickBot="1" x14ac:dyDescent="0.2">
      <c r="A1518" s="38" t="s">
        <v>159</v>
      </c>
      <c r="B1518" s="11"/>
      <c r="C1518" s="100"/>
      <c r="D1518" s="100"/>
      <c r="E1518" s="100"/>
      <c r="F1518" s="101"/>
      <c r="G1518" s="102">
        <f t="shared" si="425"/>
        <v>0</v>
      </c>
      <c r="H1518" s="56"/>
      <c r="I1518" s="15" t="s">
        <v>87</v>
      </c>
      <c r="J1518" s="11"/>
      <c r="K1518" s="100"/>
      <c r="L1518" s="100"/>
      <c r="M1518" s="100"/>
      <c r="N1518" s="101"/>
      <c r="O1518" s="102">
        <f t="shared" si="427"/>
        <v>0</v>
      </c>
    </row>
    <row r="1519" spans="1:17" ht="14.25" thickBot="1" x14ac:dyDescent="0.2">
      <c r="A1519" s="72" t="s">
        <v>7</v>
      </c>
      <c r="B1519" s="73">
        <f>SUM(B1509:B1518)</f>
        <v>10</v>
      </c>
      <c r="C1519" s="74">
        <f t="shared" ref="C1519:G1519" si="428">SUM(C1509:C1518)</f>
        <v>10</v>
      </c>
      <c r="D1519" s="74">
        <f t="shared" si="428"/>
        <v>14</v>
      </c>
      <c r="E1519" s="74">
        <f t="shared" si="428"/>
        <v>5</v>
      </c>
      <c r="F1519" s="105">
        <f t="shared" si="428"/>
        <v>7</v>
      </c>
      <c r="G1519" s="76">
        <f t="shared" si="428"/>
        <v>46</v>
      </c>
      <c r="I1519" s="72" t="s">
        <v>7</v>
      </c>
      <c r="J1519" s="73">
        <f>SUM(J1509:J1518)</f>
        <v>194</v>
      </c>
      <c r="K1519" s="74">
        <f t="shared" ref="K1519:O1519" si="429">SUM(K1509:K1518)</f>
        <v>238</v>
      </c>
      <c r="L1519" s="74">
        <f t="shared" si="429"/>
        <v>205</v>
      </c>
      <c r="M1519" s="74">
        <f t="shared" si="429"/>
        <v>210</v>
      </c>
      <c r="N1519" s="105">
        <f t="shared" si="429"/>
        <v>267</v>
      </c>
      <c r="O1519" s="76">
        <f t="shared" si="429"/>
        <v>1114</v>
      </c>
    </row>
    <row r="1520" spans="1:17" x14ac:dyDescent="0.15">
      <c r="A1520" s="14" t="s">
        <v>29</v>
      </c>
      <c r="B1520" s="8">
        <v>1</v>
      </c>
      <c r="C1520" s="10"/>
      <c r="D1520" s="10"/>
      <c r="E1520" s="10"/>
      <c r="F1520" s="30"/>
      <c r="G1520" s="7">
        <f t="shared" ref="G1520:G1545" si="430">SUM(B1520:F1520)</f>
        <v>1</v>
      </c>
      <c r="H1520" s="58">
        <v>43662</v>
      </c>
      <c r="I1520" s="16" t="s">
        <v>22</v>
      </c>
      <c r="J1520" s="17"/>
      <c r="K1520" s="22"/>
      <c r="L1520" s="22"/>
      <c r="M1520" s="22"/>
      <c r="N1520" s="29">
        <v>10</v>
      </c>
      <c r="O1520" s="18">
        <f t="shared" ref="O1520:O1533" si="431">SUM(J1520:N1520)</f>
        <v>10</v>
      </c>
      <c r="P1520" s="58">
        <v>43662</v>
      </c>
      <c r="Q1520" s="56"/>
    </row>
    <row r="1521" spans="1:17" x14ac:dyDescent="0.15">
      <c r="A1521" s="14" t="s">
        <v>1077</v>
      </c>
      <c r="B1521" s="8"/>
      <c r="C1521" s="10"/>
      <c r="D1521" s="10">
        <v>1</v>
      </c>
      <c r="E1521" s="10"/>
      <c r="F1521" s="30"/>
      <c r="G1521" s="7">
        <f t="shared" si="430"/>
        <v>1</v>
      </c>
      <c r="H1521" s="58">
        <v>43671</v>
      </c>
      <c r="I1521" s="16" t="s">
        <v>1052</v>
      </c>
      <c r="J1521" s="8"/>
      <c r="K1521" s="10"/>
      <c r="L1521" s="10"/>
      <c r="M1521" s="10"/>
      <c r="N1521" s="28">
        <v>1</v>
      </c>
      <c r="O1521" s="9">
        <f t="shared" si="431"/>
        <v>1</v>
      </c>
      <c r="P1521" s="58">
        <v>43656</v>
      </c>
    </row>
    <row r="1522" spans="1:17" x14ac:dyDescent="0.15">
      <c r="A1522" s="14" t="s">
        <v>29</v>
      </c>
      <c r="B1522" s="8"/>
      <c r="C1522" s="10">
        <v>2</v>
      </c>
      <c r="D1522" s="10"/>
      <c r="E1522" s="10"/>
      <c r="F1522" s="30"/>
      <c r="G1522" s="7">
        <f t="shared" si="430"/>
        <v>2</v>
      </c>
      <c r="H1522" s="58">
        <v>43670</v>
      </c>
      <c r="I1522" s="16" t="s">
        <v>1055</v>
      </c>
      <c r="J1522" s="8"/>
      <c r="K1522" s="10">
        <v>2</v>
      </c>
      <c r="L1522" s="10">
        <v>2</v>
      </c>
      <c r="M1522" s="10"/>
      <c r="N1522" s="30"/>
      <c r="O1522" s="7">
        <f t="shared" si="431"/>
        <v>4</v>
      </c>
      <c r="P1522" s="58">
        <v>43662</v>
      </c>
    </row>
    <row r="1523" spans="1:17" x14ac:dyDescent="0.15">
      <c r="A1523" s="14" t="s">
        <v>29</v>
      </c>
      <c r="B1523" s="8"/>
      <c r="C1523" s="10"/>
      <c r="D1523" s="10">
        <v>1</v>
      </c>
      <c r="E1523" s="10"/>
      <c r="F1523" s="30"/>
      <c r="G1523" s="7">
        <f t="shared" si="430"/>
        <v>1</v>
      </c>
      <c r="H1523" s="58">
        <v>43671</v>
      </c>
      <c r="I1523" s="16" t="s">
        <v>22</v>
      </c>
      <c r="J1523" s="8"/>
      <c r="K1523" s="10"/>
      <c r="L1523" s="10"/>
      <c r="M1523" s="10">
        <v>10</v>
      </c>
      <c r="N1523" s="30"/>
      <c r="O1523" s="7">
        <f t="shared" si="431"/>
        <v>10</v>
      </c>
      <c r="P1523" s="58">
        <v>43664</v>
      </c>
    </row>
    <row r="1524" spans="1:17" x14ac:dyDescent="0.15">
      <c r="A1524" s="14" t="s">
        <v>29</v>
      </c>
      <c r="B1524" s="8">
        <v>1</v>
      </c>
      <c r="C1524" s="10"/>
      <c r="D1524" s="10">
        <v>1</v>
      </c>
      <c r="E1524" s="10"/>
      <c r="F1524" s="30"/>
      <c r="G1524" s="7">
        <f t="shared" si="430"/>
        <v>2</v>
      </c>
      <c r="H1524" s="58">
        <v>43672</v>
      </c>
      <c r="I1524" s="16" t="s">
        <v>1064</v>
      </c>
      <c r="J1524" s="8"/>
      <c r="K1524" s="10">
        <v>1</v>
      </c>
      <c r="L1524" s="10"/>
      <c r="M1524" s="10"/>
      <c r="N1524" s="30"/>
      <c r="O1524" s="7">
        <f t="shared" si="431"/>
        <v>1</v>
      </c>
      <c r="P1524" s="58">
        <v>43668</v>
      </c>
    </row>
    <row r="1525" spans="1:17" x14ac:dyDescent="0.15">
      <c r="A1525" s="51" t="s">
        <v>1076</v>
      </c>
      <c r="B1525" s="8">
        <v>1</v>
      </c>
      <c r="C1525" s="10"/>
      <c r="D1525" s="10"/>
      <c r="E1525" s="10"/>
      <c r="F1525" s="30"/>
      <c r="G1525" s="7">
        <f t="shared" si="430"/>
        <v>1</v>
      </c>
      <c r="H1525" s="58">
        <v>43677</v>
      </c>
      <c r="I1525" s="51" t="s">
        <v>1028</v>
      </c>
      <c r="J1525" s="8"/>
      <c r="K1525" s="10"/>
      <c r="L1525" s="10"/>
      <c r="M1525" s="10"/>
      <c r="N1525" s="30">
        <v>2</v>
      </c>
      <c r="O1525" s="7">
        <f t="shared" si="431"/>
        <v>2</v>
      </c>
      <c r="P1525" s="58">
        <v>43669</v>
      </c>
    </row>
    <row r="1526" spans="1:17" x14ac:dyDescent="0.15">
      <c r="A1526" s="14" t="s">
        <v>29</v>
      </c>
      <c r="B1526" s="8"/>
      <c r="C1526" s="10"/>
      <c r="D1526" s="10"/>
      <c r="E1526" s="10"/>
      <c r="F1526" s="30">
        <v>1</v>
      </c>
      <c r="G1526" s="7">
        <f t="shared" si="430"/>
        <v>1</v>
      </c>
      <c r="H1526" s="58">
        <v>43675</v>
      </c>
      <c r="I1526" s="16" t="s">
        <v>22</v>
      </c>
      <c r="J1526" s="8"/>
      <c r="K1526" s="10"/>
      <c r="L1526" s="10">
        <v>10</v>
      </c>
      <c r="M1526" s="10"/>
      <c r="N1526" s="30"/>
      <c r="O1526" s="7">
        <f t="shared" si="431"/>
        <v>10</v>
      </c>
      <c r="P1526" s="58">
        <v>43668</v>
      </c>
    </row>
    <row r="1527" spans="1:17" x14ac:dyDescent="0.15">
      <c r="A1527" s="51" t="s">
        <v>1086</v>
      </c>
      <c r="B1527" s="8"/>
      <c r="C1527" s="10"/>
      <c r="D1527" s="10"/>
      <c r="E1527" s="10"/>
      <c r="F1527" s="30">
        <v>1</v>
      </c>
      <c r="G1527" s="7">
        <f t="shared" si="430"/>
        <v>1</v>
      </c>
      <c r="H1527" s="58">
        <v>43678</v>
      </c>
      <c r="I1527" s="16" t="s">
        <v>1070</v>
      </c>
      <c r="J1527" s="8"/>
      <c r="K1527" s="10"/>
      <c r="L1527" s="10"/>
      <c r="M1527" s="10">
        <v>3</v>
      </c>
      <c r="N1527" s="30"/>
      <c r="O1527" s="7">
        <f t="shared" si="431"/>
        <v>3</v>
      </c>
      <c r="P1527" s="58">
        <v>43671</v>
      </c>
    </row>
    <row r="1528" spans="1:17" x14ac:dyDescent="0.15">
      <c r="A1528" s="14" t="s">
        <v>29</v>
      </c>
      <c r="B1528" s="8"/>
      <c r="C1528" s="10"/>
      <c r="D1528" s="10">
        <v>1</v>
      </c>
      <c r="E1528" s="10">
        <v>1</v>
      </c>
      <c r="F1528" s="30"/>
      <c r="G1528" s="7">
        <f t="shared" si="430"/>
        <v>2</v>
      </c>
      <c r="H1528" s="58">
        <v>43678</v>
      </c>
      <c r="I1528" s="16" t="s">
        <v>1074</v>
      </c>
      <c r="J1528" s="8">
        <v>3</v>
      </c>
      <c r="K1528" s="10">
        <v>6</v>
      </c>
      <c r="L1528" s="10">
        <v>1</v>
      </c>
      <c r="M1528" s="10">
        <v>1</v>
      </c>
      <c r="N1528" s="30">
        <v>2</v>
      </c>
      <c r="O1528" s="7">
        <f t="shared" si="431"/>
        <v>13</v>
      </c>
      <c r="P1528" s="58">
        <v>43672</v>
      </c>
      <c r="Q1528" s="56"/>
    </row>
    <row r="1529" spans="1:17" x14ac:dyDescent="0.15">
      <c r="A1529" s="51" t="s">
        <v>1089</v>
      </c>
      <c r="B1529" s="11">
        <v>1</v>
      </c>
      <c r="C1529" s="12"/>
      <c r="D1529" s="12"/>
      <c r="E1529" s="12"/>
      <c r="F1529" s="31"/>
      <c r="G1529" s="7">
        <f t="shared" si="430"/>
        <v>1</v>
      </c>
      <c r="H1529" s="58">
        <v>43683</v>
      </c>
      <c r="I1529" s="16" t="s">
        <v>1084</v>
      </c>
      <c r="J1529" s="11"/>
      <c r="K1529" s="12"/>
      <c r="L1529" s="12"/>
      <c r="M1529" s="12"/>
      <c r="N1529" s="31">
        <v>2</v>
      </c>
      <c r="O1529" s="7">
        <f t="shared" si="431"/>
        <v>2</v>
      </c>
      <c r="P1529" s="58">
        <v>43683</v>
      </c>
      <c r="Q1529" s="56"/>
    </row>
    <row r="1530" spans="1:17" x14ac:dyDescent="0.15">
      <c r="A1530" s="14" t="s">
        <v>1092</v>
      </c>
      <c r="B1530" s="11">
        <v>1</v>
      </c>
      <c r="C1530" s="12"/>
      <c r="D1530" s="12"/>
      <c r="E1530" s="12"/>
      <c r="F1530" s="31"/>
      <c r="G1530" s="7">
        <f t="shared" si="430"/>
        <v>1</v>
      </c>
      <c r="H1530" s="58">
        <v>43680</v>
      </c>
      <c r="I1530" s="16" t="s">
        <v>8</v>
      </c>
      <c r="J1530" s="8"/>
      <c r="K1530" s="10"/>
      <c r="L1530" s="10"/>
      <c r="M1530" s="10"/>
      <c r="N1530" s="30">
        <v>10</v>
      </c>
      <c r="O1530" s="7">
        <f t="shared" si="431"/>
        <v>10</v>
      </c>
      <c r="P1530" s="58">
        <v>43682</v>
      </c>
    </row>
    <row r="1531" spans="1:17" x14ac:dyDescent="0.15">
      <c r="A1531" s="14" t="s">
        <v>29</v>
      </c>
      <c r="B1531" s="8"/>
      <c r="C1531" s="10"/>
      <c r="D1531" s="10">
        <v>2</v>
      </c>
      <c r="E1531" s="10"/>
      <c r="F1531" s="30">
        <v>1</v>
      </c>
      <c r="G1531" s="7">
        <f t="shared" si="430"/>
        <v>3</v>
      </c>
      <c r="H1531" s="58">
        <v>43683</v>
      </c>
      <c r="I1531" s="16" t="s">
        <v>22</v>
      </c>
      <c r="J1531" s="8"/>
      <c r="K1531" s="10"/>
      <c r="L1531" s="10"/>
      <c r="M1531" s="10"/>
      <c r="N1531" s="30">
        <v>10</v>
      </c>
      <c r="O1531" s="7">
        <f t="shared" si="431"/>
        <v>10</v>
      </c>
      <c r="P1531" s="58">
        <v>43685</v>
      </c>
      <c r="Q1531" s="56"/>
    </row>
    <row r="1532" spans="1:17" x14ac:dyDescent="0.15">
      <c r="A1532" s="51" t="s">
        <v>1097</v>
      </c>
      <c r="B1532" s="8"/>
      <c r="C1532" s="10"/>
      <c r="D1532" s="10">
        <v>1</v>
      </c>
      <c r="E1532" s="10"/>
      <c r="F1532" s="30"/>
      <c r="G1532" s="7">
        <f t="shared" si="430"/>
        <v>1</v>
      </c>
      <c r="H1532" s="58">
        <v>43686</v>
      </c>
      <c r="I1532" s="14" t="s">
        <v>1090</v>
      </c>
      <c r="J1532" s="8">
        <v>5</v>
      </c>
      <c r="K1532" s="10"/>
      <c r="L1532" s="10">
        <v>5</v>
      </c>
      <c r="M1532" s="10"/>
      <c r="N1532" s="30"/>
      <c r="O1532" s="7">
        <f t="shared" si="431"/>
        <v>10</v>
      </c>
      <c r="P1532" s="58">
        <v>43680</v>
      </c>
    </row>
    <row r="1533" spans="1:17" x14ac:dyDescent="0.15">
      <c r="A1533" s="14" t="s">
        <v>29</v>
      </c>
      <c r="B1533" s="8"/>
      <c r="C1533" s="10">
        <v>1</v>
      </c>
      <c r="D1533" s="10"/>
      <c r="E1533" s="10"/>
      <c r="F1533" s="30"/>
      <c r="G1533" s="7">
        <f t="shared" si="430"/>
        <v>1</v>
      </c>
      <c r="H1533" s="58">
        <v>43685</v>
      </c>
      <c r="I1533" s="16" t="s">
        <v>1095</v>
      </c>
      <c r="J1533" s="8">
        <v>2</v>
      </c>
      <c r="K1533" s="10"/>
      <c r="L1533" s="10"/>
      <c r="M1533" s="10"/>
      <c r="N1533" s="30"/>
      <c r="O1533" s="7">
        <f t="shared" si="431"/>
        <v>2</v>
      </c>
      <c r="P1533" s="58">
        <v>43686</v>
      </c>
    </row>
    <row r="1534" spans="1:17" x14ac:dyDescent="0.15">
      <c r="A1534" s="14" t="s">
        <v>29</v>
      </c>
      <c r="B1534" s="8"/>
      <c r="C1534" s="10"/>
      <c r="D1534" s="10">
        <v>1</v>
      </c>
      <c r="E1534" s="10"/>
      <c r="F1534" s="30"/>
      <c r="G1534" s="7">
        <f t="shared" si="430"/>
        <v>1</v>
      </c>
      <c r="H1534" s="58">
        <v>43692</v>
      </c>
      <c r="I1534" s="14" t="s">
        <v>1098</v>
      </c>
      <c r="J1534" s="8"/>
      <c r="K1534" s="10">
        <v>1</v>
      </c>
      <c r="L1534" s="10">
        <v>1</v>
      </c>
      <c r="M1534" s="10"/>
      <c r="N1534" s="30"/>
      <c r="O1534" s="7">
        <f>SUM(J1534:N1534)</f>
        <v>2</v>
      </c>
      <c r="P1534" s="58">
        <v>43687</v>
      </c>
    </row>
    <row r="1535" spans="1:17" x14ac:dyDescent="0.15">
      <c r="A1535" s="14" t="s">
        <v>1106</v>
      </c>
      <c r="B1535" s="8"/>
      <c r="C1535" s="10">
        <v>1</v>
      </c>
      <c r="D1535" s="10"/>
      <c r="E1535" s="10"/>
      <c r="F1535" s="30"/>
      <c r="G1535" s="7">
        <f t="shared" si="430"/>
        <v>1</v>
      </c>
      <c r="H1535" s="58">
        <v>43694</v>
      </c>
      <c r="I1535" s="14" t="s">
        <v>25</v>
      </c>
      <c r="J1535" s="11">
        <v>2</v>
      </c>
      <c r="K1535" s="12"/>
      <c r="L1535" s="12">
        <v>2</v>
      </c>
      <c r="M1535" s="12">
        <v>2</v>
      </c>
      <c r="N1535" s="31"/>
      <c r="O1535" s="7">
        <f t="shared" ref="O1535:O1539" si="432">SUM(J1535:N1535)</f>
        <v>6</v>
      </c>
      <c r="P1535" s="58">
        <v>43696</v>
      </c>
    </row>
    <row r="1536" spans="1:17" x14ac:dyDescent="0.15">
      <c r="A1536" s="14" t="s">
        <v>29</v>
      </c>
      <c r="B1536" s="8"/>
      <c r="C1536" s="10"/>
      <c r="D1536" s="10">
        <v>1</v>
      </c>
      <c r="E1536" s="10"/>
      <c r="F1536" s="30"/>
      <c r="G1536" s="7">
        <f t="shared" si="430"/>
        <v>1</v>
      </c>
      <c r="H1536" s="58">
        <v>43693</v>
      </c>
      <c r="I1536" s="14" t="s">
        <v>24</v>
      </c>
      <c r="J1536" s="8"/>
      <c r="K1536" s="10">
        <v>5</v>
      </c>
      <c r="L1536" s="10">
        <v>5</v>
      </c>
      <c r="M1536" s="10"/>
      <c r="N1536" s="30"/>
      <c r="O1536" s="7">
        <f t="shared" si="432"/>
        <v>10</v>
      </c>
      <c r="P1536" s="58">
        <v>43693</v>
      </c>
    </row>
    <row r="1537" spans="1:17" x14ac:dyDescent="0.15">
      <c r="A1537" s="14"/>
      <c r="B1537" s="8"/>
      <c r="C1537" s="10"/>
      <c r="D1537" s="10"/>
      <c r="E1537" s="10"/>
      <c r="F1537" s="30"/>
      <c r="G1537" s="7">
        <f t="shared" si="430"/>
        <v>0</v>
      </c>
      <c r="H1537" s="58"/>
      <c r="I1537" s="16" t="s">
        <v>1102</v>
      </c>
      <c r="J1537" s="11">
        <v>2</v>
      </c>
      <c r="K1537" s="12"/>
      <c r="L1537" s="12"/>
      <c r="M1537" s="12"/>
      <c r="N1537" s="31"/>
      <c r="O1537" s="7">
        <f t="shared" si="432"/>
        <v>2</v>
      </c>
      <c r="P1537" s="58">
        <v>43700</v>
      </c>
    </row>
    <row r="1538" spans="1:17" x14ac:dyDescent="0.15">
      <c r="A1538" s="14"/>
      <c r="B1538" s="8"/>
      <c r="C1538" s="10"/>
      <c r="D1538" s="10"/>
      <c r="E1538" s="10"/>
      <c r="F1538" s="30"/>
      <c r="G1538" s="7">
        <f t="shared" si="430"/>
        <v>0</v>
      </c>
      <c r="H1538" s="58"/>
      <c r="I1538" s="51" t="s">
        <v>1107</v>
      </c>
      <c r="J1538" s="11">
        <v>1</v>
      </c>
      <c r="K1538" s="12"/>
      <c r="L1538" s="12"/>
      <c r="M1538" s="12"/>
      <c r="N1538" s="31"/>
      <c r="O1538" s="7">
        <f t="shared" si="432"/>
        <v>1</v>
      </c>
      <c r="P1538" s="58">
        <v>43697</v>
      </c>
      <c r="Q1538" s="56"/>
    </row>
    <row r="1539" spans="1:17" x14ac:dyDescent="0.15">
      <c r="A1539" s="14"/>
      <c r="B1539" s="8"/>
      <c r="C1539" s="10"/>
      <c r="D1539" s="10"/>
      <c r="E1539" s="10"/>
      <c r="F1539" s="30"/>
      <c r="G1539" s="7">
        <f t="shared" si="430"/>
        <v>0</v>
      </c>
      <c r="H1539" s="58"/>
      <c r="I1539" s="16"/>
      <c r="J1539" s="8"/>
      <c r="K1539" s="10"/>
      <c r="L1539" s="10"/>
      <c r="M1539" s="10"/>
      <c r="N1539" s="30"/>
      <c r="O1539" s="7">
        <f t="shared" si="432"/>
        <v>0</v>
      </c>
      <c r="P1539" s="56"/>
    </row>
    <row r="1540" spans="1:17" x14ac:dyDescent="0.15">
      <c r="A1540" s="14"/>
      <c r="B1540" s="8"/>
      <c r="C1540" s="10"/>
      <c r="D1540" s="10"/>
      <c r="E1540" s="10"/>
      <c r="F1540" s="30"/>
      <c r="G1540" s="7">
        <f t="shared" si="430"/>
        <v>0</v>
      </c>
      <c r="H1540" s="58"/>
      <c r="I1540" s="16"/>
      <c r="J1540" s="8"/>
      <c r="K1540" s="10"/>
      <c r="L1540" s="10"/>
      <c r="M1540" s="10"/>
      <c r="N1540" s="30"/>
      <c r="O1540" s="7">
        <f t="shared" ref="O1540" si="433">SUM(J1540:N1540)</f>
        <v>0</v>
      </c>
      <c r="P1540" s="58"/>
    </row>
    <row r="1541" spans="1:17" x14ac:dyDescent="0.15">
      <c r="A1541" s="14"/>
      <c r="B1541" s="11"/>
      <c r="C1541" s="12"/>
      <c r="D1541" s="12"/>
      <c r="E1541" s="12"/>
      <c r="F1541" s="31"/>
      <c r="G1541" s="7">
        <f t="shared" si="430"/>
        <v>0</v>
      </c>
      <c r="H1541" s="58"/>
      <c r="I1541" s="14"/>
      <c r="J1541" s="8"/>
      <c r="K1541" s="10"/>
      <c r="L1541" s="10"/>
      <c r="M1541" s="10"/>
      <c r="N1541" s="30"/>
      <c r="O1541" s="7">
        <f>SUM(J1541:N1541)</f>
        <v>0</v>
      </c>
      <c r="P1541" s="56"/>
    </row>
    <row r="1542" spans="1:17" x14ac:dyDescent="0.15">
      <c r="A1542" s="14"/>
      <c r="B1542" s="8"/>
      <c r="C1542" s="10"/>
      <c r="D1542" s="10"/>
      <c r="E1542" s="10"/>
      <c r="F1542" s="30"/>
      <c r="G1542" s="7">
        <f t="shared" si="430"/>
        <v>0</v>
      </c>
      <c r="H1542" s="58"/>
      <c r="I1542" s="16" t="s">
        <v>977</v>
      </c>
      <c r="J1542" s="8"/>
      <c r="K1542" s="10"/>
      <c r="L1542" s="10"/>
      <c r="M1542" s="10"/>
      <c r="N1542" s="30"/>
      <c r="O1542" s="7">
        <f t="shared" ref="O1542" si="434">SUM(J1542:N1542)</f>
        <v>0</v>
      </c>
      <c r="P1542" s="58"/>
    </row>
    <row r="1543" spans="1:17" x14ac:dyDescent="0.15">
      <c r="A1543" s="14"/>
      <c r="B1543" s="8"/>
      <c r="C1543" s="10"/>
      <c r="D1543" s="10"/>
      <c r="E1543" s="10"/>
      <c r="F1543" s="30"/>
      <c r="G1543" s="7">
        <f t="shared" si="430"/>
        <v>0</v>
      </c>
      <c r="H1543" s="58"/>
      <c r="I1543" s="132" t="s">
        <v>1023</v>
      </c>
      <c r="J1543" s="65"/>
      <c r="K1543" s="66"/>
      <c r="L1543" s="66"/>
      <c r="M1543" s="66"/>
      <c r="N1543" s="67"/>
      <c r="O1543" s="61">
        <f>SUM(J1543:N1543)</f>
        <v>0</v>
      </c>
      <c r="P1543" s="68" t="s">
        <v>1065</v>
      </c>
    </row>
    <row r="1544" spans="1:17" x14ac:dyDescent="0.15">
      <c r="A1544" s="14"/>
      <c r="B1544" s="8"/>
      <c r="C1544" s="10"/>
      <c r="D1544" s="10"/>
      <c r="E1544" s="10"/>
      <c r="F1544" s="30"/>
      <c r="G1544" s="7">
        <f t="shared" si="430"/>
        <v>0</v>
      </c>
      <c r="H1544" s="58"/>
      <c r="I1544" s="16" t="s">
        <v>1058</v>
      </c>
      <c r="J1544" s="8"/>
      <c r="K1544" s="10"/>
      <c r="L1544" s="10"/>
      <c r="M1544" s="10"/>
      <c r="N1544" s="30"/>
      <c r="O1544" s="7">
        <f t="shared" ref="O1544:O1545" si="435">SUM(J1544:N1544)</f>
        <v>0</v>
      </c>
      <c r="P1544" s="56" t="s">
        <v>1059</v>
      </c>
    </row>
    <row r="1545" spans="1:17" ht="14.25" thickBot="1" x14ac:dyDescent="0.2">
      <c r="A1545" s="51"/>
      <c r="B1545" s="11"/>
      <c r="C1545" s="12"/>
      <c r="D1545" s="12"/>
      <c r="E1545" s="12"/>
      <c r="F1545" s="31"/>
      <c r="G1545" s="7">
        <f t="shared" si="430"/>
        <v>0</v>
      </c>
      <c r="H1545" s="58"/>
      <c r="I1545" s="14" t="s">
        <v>966</v>
      </c>
      <c r="J1545" s="8"/>
      <c r="K1545" s="10"/>
      <c r="L1545" s="10"/>
      <c r="M1545" s="10"/>
      <c r="N1545" s="30"/>
      <c r="O1545" s="7">
        <f t="shared" si="435"/>
        <v>0</v>
      </c>
      <c r="P1545" s="56" t="s">
        <v>967</v>
      </c>
    </row>
    <row r="1546" spans="1:17" ht="14.25" thickBot="1" x14ac:dyDescent="0.2">
      <c r="A1546" s="3" t="s">
        <v>11</v>
      </c>
      <c r="B1546" s="23">
        <f>SUM(B1520:B1545)</f>
        <v>5</v>
      </c>
      <c r="C1546" s="4">
        <f>SUM(C1520:C1545)</f>
        <v>4</v>
      </c>
      <c r="D1546" s="4">
        <f>SUM(D1520:D1545)</f>
        <v>9</v>
      </c>
      <c r="E1546" s="6">
        <f>SUM(E1520:E1545)</f>
        <v>1</v>
      </c>
      <c r="F1546" s="32">
        <f>SUM(F1520:F1545)</f>
        <v>3</v>
      </c>
      <c r="G1546" s="5">
        <f>SUM(B1546:F1546)</f>
        <v>22</v>
      </c>
      <c r="I1546" s="3" t="s">
        <v>11</v>
      </c>
      <c r="J1546" s="23">
        <f>SUM(J1520:J1545)</f>
        <v>15</v>
      </c>
      <c r="K1546" s="4">
        <f>SUM(K1520:K1545)</f>
        <v>15</v>
      </c>
      <c r="L1546" s="4">
        <f>SUM(L1520:L1545)</f>
        <v>26</v>
      </c>
      <c r="M1546" s="6">
        <f>SUM(M1520:M1545)</f>
        <v>16</v>
      </c>
      <c r="N1546" s="6">
        <f>SUM(N1520:N1545)</f>
        <v>37</v>
      </c>
      <c r="O1546" s="5">
        <f>SUM(J1546:N1546)</f>
        <v>109</v>
      </c>
    </row>
    <row r="1547" spans="1:17" ht="14.25" thickBot="1" x14ac:dyDescent="0.2">
      <c r="A1547" s="25" t="s">
        <v>12</v>
      </c>
      <c r="B1547" s="63">
        <f>B1519-B1546</f>
        <v>5</v>
      </c>
      <c r="C1547" s="26">
        <f t="shared" ref="C1547:G1547" si="436">C1519-C1546</f>
        <v>6</v>
      </c>
      <c r="D1547" s="71">
        <f t="shared" si="436"/>
        <v>5</v>
      </c>
      <c r="E1547" s="26">
        <f t="shared" si="436"/>
        <v>4</v>
      </c>
      <c r="F1547" s="70">
        <f t="shared" si="436"/>
        <v>4</v>
      </c>
      <c r="G1547" s="27">
        <f t="shared" si="436"/>
        <v>24</v>
      </c>
      <c r="I1547" s="25" t="s">
        <v>12</v>
      </c>
      <c r="J1547" s="63">
        <f>J1519-J1546</f>
        <v>179</v>
      </c>
      <c r="K1547" s="26">
        <f t="shared" ref="K1547:O1547" si="437">K1519-K1546</f>
        <v>223</v>
      </c>
      <c r="L1547" s="71">
        <f t="shared" si="437"/>
        <v>179</v>
      </c>
      <c r="M1547" s="26">
        <f t="shared" si="437"/>
        <v>194</v>
      </c>
      <c r="N1547" s="70">
        <f t="shared" si="437"/>
        <v>230</v>
      </c>
      <c r="O1547" s="27">
        <f t="shared" si="437"/>
        <v>1005</v>
      </c>
    </row>
    <row r="1548" spans="1:17" ht="17.25" x14ac:dyDescent="0.2">
      <c r="A1548" s="79" t="s">
        <v>56</v>
      </c>
      <c r="B1548" s="80"/>
      <c r="C1548" s="80"/>
      <c r="D1548" s="80"/>
      <c r="E1548" s="80"/>
      <c r="F1548" s="80"/>
      <c r="G1548" s="80"/>
      <c r="I1548" s="79" t="s">
        <v>56</v>
      </c>
      <c r="J1548" s="80"/>
      <c r="K1548" s="80"/>
      <c r="L1548" s="80"/>
      <c r="M1548" s="80"/>
      <c r="N1548" s="80"/>
      <c r="O1548" s="1"/>
    </row>
    <row r="1549" spans="1:17" ht="21.75" thickBot="1" x14ac:dyDescent="0.25">
      <c r="A1549" s="82" t="s">
        <v>55</v>
      </c>
      <c r="B1549" s="80"/>
      <c r="C1549" s="80"/>
      <c r="D1549" s="80"/>
      <c r="E1549" s="81" t="s">
        <v>53</v>
      </c>
      <c r="F1549" s="80"/>
      <c r="G1549" s="80"/>
      <c r="I1549" s="82" t="s">
        <v>55</v>
      </c>
      <c r="J1549" s="80"/>
      <c r="K1549" s="80"/>
      <c r="L1549" s="80"/>
      <c r="M1549" s="81" t="s">
        <v>54</v>
      </c>
      <c r="N1549" s="80"/>
      <c r="O1549" s="1"/>
    </row>
    <row r="1550" spans="1:17" ht="14.25" thickBot="1" x14ac:dyDescent="0.2">
      <c r="A1550" s="13" t="s">
        <v>0</v>
      </c>
      <c r="B1550" s="228" t="s">
        <v>57</v>
      </c>
      <c r="C1550" s="229"/>
      <c r="D1550" s="229"/>
      <c r="E1550" s="229"/>
      <c r="F1550" s="230"/>
      <c r="G1550" s="231"/>
      <c r="I1550" s="13" t="s">
        <v>0</v>
      </c>
      <c r="J1550" s="232" t="s">
        <v>57</v>
      </c>
      <c r="K1550" s="233"/>
      <c r="L1550" s="233"/>
      <c r="M1550" s="233"/>
      <c r="N1550" s="233"/>
      <c r="O1550" s="234"/>
    </row>
    <row r="1551" spans="1:17" ht="14.25" thickBot="1" x14ac:dyDescent="0.2">
      <c r="A1551" s="3" t="s">
        <v>1</v>
      </c>
      <c r="B1551" s="2" t="s">
        <v>42</v>
      </c>
      <c r="C1551" s="21" t="s">
        <v>43</v>
      </c>
      <c r="D1551" s="21" t="s">
        <v>44</v>
      </c>
      <c r="E1551" s="24" t="s">
        <v>45</v>
      </c>
      <c r="F1551" s="33" t="s">
        <v>46</v>
      </c>
      <c r="G1551" s="3" t="s">
        <v>2</v>
      </c>
      <c r="I1551" s="3" t="s">
        <v>1</v>
      </c>
      <c r="J1551" s="2" t="s">
        <v>42</v>
      </c>
      <c r="K1551" s="21" t="s">
        <v>43</v>
      </c>
      <c r="L1551" s="21" t="s">
        <v>44</v>
      </c>
      <c r="M1551" s="24" t="s">
        <v>45</v>
      </c>
      <c r="N1551" s="33" t="s">
        <v>46</v>
      </c>
      <c r="O1551" s="3" t="s">
        <v>2</v>
      </c>
    </row>
    <row r="1552" spans="1:17" ht="14.25" thickBot="1" x14ac:dyDescent="0.2">
      <c r="A1552" s="72" t="s">
        <v>79</v>
      </c>
      <c r="B1552" s="73">
        <f>B1547</f>
        <v>5</v>
      </c>
      <c r="C1552" s="74">
        <f t="shared" ref="C1552:F1552" si="438">C1547</f>
        <v>6</v>
      </c>
      <c r="D1552" s="107">
        <f t="shared" si="438"/>
        <v>5</v>
      </c>
      <c r="E1552" s="75">
        <f t="shared" si="438"/>
        <v>4</v>
      </c>
      <c r="F1552" s="75">
        <f t="shared" si="438"/>
        <v>4</v>
      </c>
      <c r="G1552" s="76">
        <f t="shared" ref="G1552:G1561" si="439">SUM(B1552:F1552)</f>
        <v>24</v>
      </c>
      <c r="I1552" s="72" t="s">
        <v>79</v>
      </c>
      <c r="J1552" s="73">
        <f>J1547</f>
        <v>179</v>
      </c>
      <c r="K1552" s="74">
        <f t="shared" ref="K1552:N1552" si="440">K1547</f>
        <v>223</v>
      </c>
      <c r="L1552" s="107">
        <f t="shared" si="440"/>
        <v>179</v>
      </c>
      <c r="M1552" s="75">
        <f t="shared" si="440"/>
        <v>194</v>
      </c>
      <c r="N1552" s="75">
        <f t="shared" si="440"/>
        <v>230</v>
      </c>
      <c r="O1552" s="76">
        <f t="shared" ref="O1552:O1561" si="441">SUM(J1552:N1552)</f>
        <v>1005</v>
      </c>
    </row>
    <row r="1553" spans="1:16" x14ac:dyDescent="0.15">
      <c r="A1553" s="38" t="s">
        <v>15</v>
      </c>
      <c r="B1553" s="8"/>
      <c r="C1553" s="10"/>
      <c r="D1553" s="10"/>
      <c r="E1553" s="10"/>
      <c r="F1553" s="28">
        <v>5</v>
      </c>
      <c r="G1553" s="9">
        <f t="shared" ref="G1553:G1555" si="442">SUM(B1553:F1553)</f>
        <v>5</v>
      </c>
      <c r="H1553" s="58">
        <v>43698</v>
      </c>
      <c r="I1553" s="181" t="s">
        <v>1121</v>
      </c>
      <c r="J1553" s="182">
        <v>-1</v>
      </c>
      <c r="K1553" s="183"/>
      <c r="L1553" s="183">
        <v>-1</v>
      </c>
      <c r="M1553" s="183"/>
      <c r="N1553" s="185">
        <v>1</v>
      </c>
      <c r="O1553" s="179">
        <f t="shared" si="441"/>
        <v>-1</v>
      </c>
      <c r="P1553" s="180">
        <v>43705</v>
      </c>
    </row>
    <row r="1554" spans="1:16" x14ac:dyDescent="0.15">
      <c r="A1554" s="38" t="s">
        <v>19</v>
      </c>
      <c r="B1554" s="8"/>
      <c r="C1554" s="10"/>
      <c r="D1554" s="10">
        <v>2</v>
      </c>
      <c r="E1554" s="10"/>
      <c r="F1554" s="28">
        <v>1</v>
      </c>
      <c r="G1554" s="9">
        <f t="shared" si="442"/>
        <v>3</v>
      </c>
      <c r="H1554" s="58">
        <v>43698</v>
      </c>
      <c r="I1554" s="38" t="s">
        <v>16</v>
      </c>
      <c r="J1554" s="8"/>
      <c r="K1554" s="10"/>
      <c r="L1554" s="10"/>
      <c r="M1554" s="10"/>
      <c r="N1554" s="28"/>
      <c r="O1554" s="9">
        <f t="shared" si="441"/>
        <v>0</v>
      </c>
      <c r="P1554" s="58"/>
    </row>
    <row r="1555" spans="1:16" x14ac:dyDescent="0.15">
      <c r="A1555" s="38" t="s">
        <v>616</v>
      </c>
      <c r="B1555" s="8"/>
      <c r="C1555" s="10"/>
      <c r="D1555" s="10">
        <v>1</v>
      </c>
      <c r="E1555" s="10"/>
      <c r="F1555" s="28"/>
      <c r="G1555" s="9">
        <f t="shared" si="442"/>
        <v>1</v>
      </c>
      <c r="H1555" s="58">
        <v>43708</v>
      </c>
      <c r="I1555" s="15" t="s">
        <v>18</v>
      </c>
      <c r="J1555" s="8"/>
      <c r="K1555" s="10"/>
      <c r="L1555" s="10"/>
      <c r="M1555" s="10"/>
      <c r="N1555" s="28"/>
      <c r="O1555" s="9">
        <f t="shared" si="441"/>
        <v>0</v>
      </c>
      <c r="P1555" s="56"/>
    </row>
    <row r="1556" spans="1:16" x14ac:dyDescent="0.15">
      <c r="A1556" s="181" t="s">
        <v>1145</v>
      </c>
      <c r="B1556" s="182"/>
      <c r="C1556" s="183">
        <v>1</v>
      </c>
      <c r="D1556" s="183"/>
      <c r="E1556" s="183">
        <v>1</v>
      </c>
      <c r="F1556" s="178"/>
      <c r="G1556" s="184">
        <f t="shared" si="439"/>
        <v>2</v>
      </c>
      <c r="H1556" s="180">
        <v>43708</v>
      </c>
      <c r="I1556" s="15" t="s">
        <v>20</v>
      </c>
      <c r="J1556" s="8"/>
      <c r="K1556" s="10"/>
      <c r="L1556" s="10"/>
      <c r="M1556" s="10"/>
      <c r="N1556" s="28"/>
      <c r="O1556" s="9">
        <f t="shared" si="441"/>
        <v>0</v>
      </c>
    </row>
    <row r="1557" spans="1:16" x14ac:dyDescent="0.15">
      <c r="A1557" s="38" t="s">
        <v>322</v>
      </c>
      <c r="B1557" s="8"/>
      <c r="C1557" s="10"/>
      <c r="D1557" s="10"/>
      <c r="E1557" s="10">
        <v>1</v>
      </c>
      <c r="F1557" s="28"/>
      <c r="G1557" s="9">
        <f t="shared" si="439"/>
        <v>1</v>
      </c>
      <c r="H1557" s="58">
        <v>43713</v>
      </c>
      <c r="I1557" s="15" t="s">
        <v>80</v>
      </c>
      <c r="J1557" s="8"/>
      <c r="K1557" s="10"/>
      <c r="L1557" s="10"/>
      <c r="M1557" s="10"/>
      <c r="N1557" s="28"/>
      <c r="O1557" s="9">
        <f t="shared" si="441"/>
        <v>0</v>
      </c>
    </row>
    <row r="1558" spans="1:16" x14ac:dyDescent="0.15">
      <c r="A1558" s="38" t="s">
        <v>81</v>
      </c>
      <c r="B1558" s="8">
        <v>5</v>
      </c>
      <c r="C1558" s="10"/>
      <c r="D1558" s="10"/>
      <c r="E1558" s="10"/>
      <c r="F1558" s="28"/>
      <c r="G1558" s="9">
        <f t="shared" si="439"/>
        <v>5</v>
      </c>
      <c r="H1558" s="58">
        <v>43718</v>
      </c>
      <c r="I1558" s="15" t="s">
        <v>81</v>
      </c>
      <c r="J1558" s="8"/>
      <c r="K1558" s="10"/>
      <c r="L1558" s="10"/>
      <c r="M1558" s="10"/>
      <c r="N1558" s="28"/>
      <c r="O1558" s="9">
        <f t="shared" si="441"/>
        <v>0</v>
      </c>
    </row>
    <row r="1559" spans="1:16" x14ac:dyDescent="0.15">
      <c r="A1559" s="38" t="s">
        <v>82</v>
      </c>
      <c r="B1559" s="8"/>
      <c r="C1559" s="10"/>
      <c r="D1559" s="10">
        <v>5</v>
      </c>
      <c r="E1559" s="10"/>
      <c r="F1559" s="30"/>
      <c r="G1559" s="7">
        <f t="shared" si="439"/>
        <v>5</v>
      </c>
      <c r="H1559" s="58">
        <v>43720</v>
      </c>
      <c r="I1559" s="15" t="s">
        <v>82</v>
      </c>
      <c r="J1559" s="8"/>
      <c r="K1559" s="10"/>
      <c r="L1559" s="10"/>
      <c r="M1559" s="10"/>
      <c r="N1559" s="30"/>
      <c r="O1559" s="7">
        <f t="shared" si="441"/>
        <v>0</v>
      </c>
    </row>
    <row r="1560" spans="1:16" x14ac:dyDescent="0.15">
      <c r="A1560" s="38" t="s">
        <v>411</v>
      </c>
      <c r="B1560" s="11"/>
      <c r="C1560" s="100">
        <v>1</v>
      </c>
      <c r="D1560" s="100"/>
      <c r="E1560" s="100">
        <v>1</v>
      </c>
      <c r="F1560" s="101"/>
      <c r="G1560" s="102">
        <f t="shared" si="439"/>
        <v>2</v>
      </c>
      <c r="H1560" s="58">
        <v>43720</v>
      </c>
      <c r="I1560" s="15" t="s">
        <v>83</v>
      </c>
      <c r="J1560" s="8"/>
      <c r="K1560" s="10"/>
      <c r="L1560" s="10"/>
      <c r="M1560" s="10"/>
      <c r="N1560" s="30"/>
      <c r="O1560" s="7">
        <f t="shared" si="441"/>
        <v>0</v>
      </c>
    </row>
    <row r="1561" spans="1:16" ht="14.25" thickBot="1" x14ac:dyDescent="0.2">
      <c r="A1561" s="38" t="s">
        <v>19</v>
      </c>
      <c r="B1561" s="11"/>
      <c r="C1561" s="100">
        <v>1</v>
      </c>
      <c r="D1561" s="100">
        <v>2</v>
      </c>
      <c r="E1561" s="100">
        <v>1</v>
      </c>
      <c r="F1561" s="101">
        <v>2</v>
      </c>
      <c r="G1561" s="102">
        <f t="shared" si="439"/>
        <v>6</v>
      </c>
      <c r="H1561" s="58">
        <v>43721</v>
      </c>
      <c r="I1561" s="15" t="s">
        <v>87</v>
      </c>
      <c r="J1561" s="11"/>
      <c r="K1561" s="100"/>
      <c r="L1561" s="100"/>
      <c r="M1561" s="100"/>
      <c r="N1561" s="101"/>
      <c r="O1561" s="102">
        <f t="shared" si="441"/>
        <v>0</v>
      </c>
    </row>
    <row r="1562" spans="1:16" ht="14.25" thickBot="1" x14ac:dyDescent="0.2">
      <c r="A1562" s="72" t="s">
        <v>7</v>
      </c>
      <c r="B1562" s="73">
        <f>SUM(B1552:B1561)</f>
        <v>10</v>
      </c>
      <c r="C1562" s="74">
        <f t="shared" ref="C1562:G1562" si="443">SUM(C1552:C1561)</f>
        <v>9</v>
      </c>
      <c r="D1562" s="74">
        <f t="shared" si="443"/>
        <v>15</v>
      </c>
      <c r="E1562" s="74">
        <f t="shared" si="443"/>
        <v>8</v>
      </c>
      <c r="F1562" s="105">
        <f t="shared" si="443"/>
        <v>12</v>
      </c>
      <c r="G1562" s="76">
        <f t="shared" si="443"/>
        <v>54</v>
      </c>
      <c r="I1562" s="72" t="s">
        <v>7</v>
      </c>
      <c r="J1562" s="73">
        <f>SUM(J1552:J1561)</f>
        <v>178</v>
      </c>
      <c r="K1562" s="74">
        <f t="shared" ref="K1562:O1562" si="444">SUM(K1552:K1561)</f>
        <v>223</v>
      </c>
      <c r="L1562" s="74">
        <f t="shared" si="444"/>
        <v>178</v>
      </c>
      <c r="M1562" s="74">
        <f t="shared" si="444"/>
        <v>194</v>
      </c>
      <c r="N1562" s="105">
        <f t="shared" si="444"/>
        <v>231</v>
      </c>
      <c r="O1562" s="76">
        <f t="shared" si="444"/>
        <v>1004</v>
      </c>
    </row>
    <row r="1563" spans="1:16" x14ac:dyDescent="0.15">
      <c r="A1563" s="14" t="s">
        <v>29</v>
      </c>
      <c r="B1563" s="8"/>
      <c r="C1563" s="10"/>
      <c r="D1563" s="10">
        <v>1</v>
      </c>
      <c r="E1563" s="10"/>
      <c r="F1563" s="30">
        <v>2</v>
      </c>
      <c r="G1563" s="7">
        <f t="shared" ref="G1563:G1588" si="445">SUM(B1563:F1563)</f>
        <v>3</v>
      </c>
      <c r="H1563" s="58">
        <v>43696</v>
      </c>
      <c r="I1563" s="16" t="s">
        <v>1100</v>
      </c>
      <c r="J1563" s="17"/>
      <c r="K1563" s="22">
        <v>5</v>
      </c>
      <c r="L1563" s="22">
        <v>5</v>
      </c>
      <c r="M1563" s="22"/>
      <c r="N1563" s="29"/>
      <c r="O1563" s="18">
        <f t="shared" ref="O1563:O1576" si="446">SUM(J1563:N1563)</f>
        <v>10</v>
      </c>
      <c r="P1563" s="58">
        <v>43693</v>
      </c>
    </row>
    <row r="1564" spans="1:16" x14ac:dyDescent="0.15">
      <c r="A1564" s="16" t="s">
        <v>1109</v>
      </c>
      <c r="B1564" s="8"/>
      <c r="C1564" s="10"/>
      <c r="D1564" s="10">
        <v>3</v>
      </c>
      <c r="E1564" s="10"/>
      <c r="F1564" s="30">
        <v>1</v>
      </c>
      <c r="G1564" s="7">
        <f t="shared" si="445"/>
        <v>4</v>
      </c>
      <c r="H1564" s="58">
        <v>43700</v>
      </c>
      <c r="I1564" s="14" t="s">
        <v>25</v>
      </c>
      <c r="J1564" s="8"/>
      <c r="K1564" s="10">
        <v>1</v>
      </c>
      <c r="L1564" s="10"/>
      <c r="M1564" s="10">
        <v>3</v>
      </c>
      <c r="N1564" s="28">
        <v>2</v>
      </c>
      <c r="O1564" s="9">
        <f t="shared" si="446"/>
        <v>6</v>
      </c>
      <c r="P1564" s="58">
        <v>43697</v>
      </c>
    </row>
    <row r="1565" spans="1:16" x14ac:dyDescent="0.15">
      <c r="A1565" s="51" t="s">
        <v>1113</v>
      </c>
      <c r="B1565" s="8"/>
      <c r="C1565" s="10"/>
      <c r="D1565" s="10">
        <v>1</v>
      </c>
      <c r="E1565" s="10"/>
      <c r="F1565" s="30"/>
      <c r="G1565" s="7">
        <f t="shared" si="445"/>
        <v>1</v>
      </c>
      <c r="H1565" s="58">
        <v>43699</v>
      </c>
      <c r="I1565" s="14" t="s">
        <v>25</v>
      </c>
      <c r="J1565" s="8"/>
      <c r="K1565" s="10">
        <v>3</v>
      </c>
      <c r="L1565" s="10">
        <v>1</v>
      </c>
      <c r="M1565" s="10"/>
      <c r="N1565" s="30"/>
      <c r="O1565" s="7">
        <f t="shared" si="446"/>
        <v>4</v>
      </c>
      <c r="P1565" s="58">
        <v>43698</v>
      </c>
    </row>
    <row r="1566" spans="1:16" x14ac:dyDescent="0.15">
      <c r="A1566" s="14" t="s">
        <v>29</v>
      </c>
      <c r="B1566" s="8"/>
      <c r="C1566" s="10"/>
      <c r="D1566" s="10">
        <v>1</v>
      </c>
      <c r="E1566" s="10"/>
      <c r="F1566" s="30"/>
      <c r="G1566" s="7">
        <f t="shared" si="445"/>
        <v>1</v>
      </c>
      <c r="H1566" s="58">
        <v>43707</v>
      </c>
      <c r="I1566" s="16" t="s">
        <v>22</v>
      </c>
      <c r="J1566" s="8">
        <v>10</v>
      </c>
      <c r="K1566" s="10">
        <v>10</v>
      </c>
      <c r="L1566" s="10"/>
      <c r="M1566" s="10"/>
      <c r="N1566" s="30"/>
      <c r="O1566" s="7">
        <f t="shared" si="446"/>
        <v>20</v>
      </c>
      <c r="P1566" s="58">
        <v>43703</v>
      </c>
    </row>
    <row r="1567" spans="1:16" x14ac:dyDescent="0.15">
      <c r="A1567" s="14" t="s">
        <v>1125</v>
      </c>
      <c r="B1567" s="8">
        <v>1</v>
      </c>
      <c r="C1567" s="10"/>
      <c r="D1567" s="10"/>
      <c r="E1567" s="10"/>
      <c r="F1567" s="30">
        <v>1</v>
      </c>
      <c r="G1567" s="7">
        <f t="shared" si="445"/>
        <v>2</v>
      </c>
      <c r="H1567" s="58">
        <v>43711</v>
      </c>
      <c r="I1567" s="16" t="s">
        <v>24</v>
      </c>
      <c r="J1567" s="8"/>
      <c r="K1567" s="10"/>
      <c r="L1567" s="10"/>
      <c r="M1567" s="10"/>
      <c r="N1567" s="30">
        <v>5</v>
      </c>
      <c r="O1567" s="7">
        <f t="shared" si="446"/>
        <v>5</v>
      </c>
      <c r="P1567" s="58">
        <v>43698</v>
      </c>
    </row>
    <row r="1568" spans="1:16" x14ac:dyDescent="0.15">
      <c r="A1568" s="51" t="s">
        <v>1131</v>
      </c>
      <c r="B1568" s="8">
        <v>1</v>
      </c>
      <c r="C1568" s="10"/>
      <c r="D1568" s="10">
        <v>1</v>
      </c>
      <c r="E1568" s="10"/>
      <c r="F1568" s="30"/>
      <c r="G1568" s="7">
        <f t="shared" si="445"/>
        <v>2</v>
      </c>
      <c r="H1568" s="58">
        <v>43712</v>
      </c>
      <c r="I1568" s="14" t="s">
        <v>1112</v>
      </c>
      <c r="J1568" s="8"/>
      <c r="K1568" s="10"/>
      <c r="L1568" s="10">
        <v>7</v>
      </c>
      <c r="M1568" s="10">
        <v>1</v>
      </c>
      <c r="N1568" s="30"/>
      <c r="O1568" s="7">
        <f t="shared" si="446"/>
        <v>8</v>
      </c>
      <c r="P1568" s="58">
        <v>43703</v>
      </c>
    </row>
    <row r="1569" spans="1:17" x14ac:dyDescent="0.15">
      <c r="A1569" s="16" t="s">
        <v>1129</v>
      </c>
      <c r="B1569" s="8"/>
      <c r="C1569" s="10"/>
      <c r="D1569" s="10"/>
      <c r="E1569" s="10"/>
      <c r="F1569" s="30">
        <v>1</v>
      </c>
      <c r="G1569" s="7">
        <f t="shared" si="445"/>
        <v>1</v>
      </c>
      <c r="H1569" s="58">
        <v>43722</v>
      </c>
      <c r="I1569" s="16" t="s">
        <v>22</v>
      </c>
      <c r="J1569" s="8"/>
      <c r="K1569" s="10"/>
      <c r="L1569" s="10"/>
      <c r="M1569" s="10"/>
      <c r="N1569" s="30">
        <v>10</v>
      </c>
      <c r="O1569" s="7">
        <f t="shared" si="446"/>
        <v>10</v>
      </c>
      <c r="P1569" s="58">
        <v>43706</v>
      </c>
    </row>
    <row r="1570" spans="1:17" x14ac:dyDescent="0.15">
      <c r="A1570" s="14" t="s">
        <v>29</v>
      </c>
      <c r="B1570" s="8"/>
      <c r="C1570" s="10"/>
      <c r="D1570" s="10">
        <v>1</v>
      </c>
      <c r="E1570" s="10"/>
      <c r="F1570" s="30"/>
      <c r="G1570" s="7">
        <f t="shared" si="445"/>
        <v>1</v>
      </c>
      <c r="H1570" s="58">
        <v>43719</v>
      </c>
      <c r="I1570" s="14" t="s">
        <v>25</v>
      </c>
      <c r="J1570" s="8"/>
      <c r="K1570" s="10"/>
      <c r="L1570" s="10">
        <v>2</v>
      </c>
      <c r="M1570" s="10"/>
      <c r="N1570" s="30"/>
      <c r="O1570" s="7">
        <f t="shared" si="446"/>
        <v>2</v>
      </c>
      <c r="P1570" s="58">
        <v>43701</v>
      </c>
    </row>
    <row r="1571" spans="1:17" x14ac:dyDescent="0.15">
      <c r="A1571" s="14" t="s">
        <v>29</v>
      </c>
      <c r="B1571" s="8"/>
      <c r="C1571" s="10"/>
      <c r="D1571" s="10"/>
      <c r="E1571" s="10">
        <v>1</v>
      </c>
      <c r="F1571" s="30"/>
      <c r="G1571" s="7">
        <f t="shared" si="445"/>
        <v>1</v>
      </c>
      <c r="H1571" s="58">
        <v>43720</v>
      </c>
      <c r="I1571" s="16" t="s">
        <v>22</v>
      </c>
      <c r="J1571" s="8"/>
      <c r="K1571" s="10"/>
      <c r="L1571" s="10">
        <v>10</v>
      </c>
      <c r="M1571" s="10">
        <v>10</v>
      </c>
      <c r="N1571" s="30">
        <v>10</v>
      </c>
      <c r="O1571" s="7">
        <f t="shared" si="446"/>
        <v>30</v>
      </c>
      <c r="P1571" s="58">
        <v>43710</v>
      </c>
    </row>
    <row r="1572" spans="1:17" x14ac:dyDescent="0.15">
      <c r="A1572" s="14" t="s">
        <v>29</v>
      </c>
      <c r="B1572" s="11"/>
      <c r="C1572" s="12"/>
      <c r="D1572" s="12"/>
      <c r="E1572" s="12">
        <v>2</v>
      </c>
      <c r="F1572" s="31"/>
      <c r="G1572" s="7">
        <f t="shared" si="445"/>
        <v>2</v>
      </c>
      <c r="H1572" s="58">
        <v>43721</v>
      </c>
      <c r="I1572" s="14" t="s">
        <v>25</v>
      </c>
      <c r="J1572" s="11">
        <v>1</v>
      </c>
      <c r="K1572" s="12"/>
      <c r="L1572" s="12"/>
      <c r="M1572" s="12"/>
      <c r="N1572" s="31"/>
      <c r="O1572" s="7">
        <f t="shared" si="446"/>
        <v>1</v>
      </c>
      <c r="P1572" s="58">
        <v>43707</v>
      </c>
    </row>
    <row r="1573" spans="1:17" x14ac:dyDescent="0.15">
      <c r="A1573" s="14" t="s">
        <v>29</v>
      </c>
      <c r="B1573" s="11"/>
      <c r="C1573" s="12"/>
      <c r="D1573" s="12">
        <v>1</v>
      </c>
      <c r="E1573" s="12">
        <v>1</v>
      </c>
      <c r="F1573" s="31"/>
      <c r="G1573" s="7">
        <f t="shared" si="445"/>
        <v>2</v>
      </c>
      <c r="H1573" s="58">
        <v>43724</v>
      </c>
      <c r="I1573" s="14" t="s">
        <v>25</v>
      </c>
      <c r="J1573" s="8"/>
      <c r="K1573" s="10"/>
      <c r="L1573" s="10"/>
      <c r="M1573" s="10"/>
      <c r="N1573" s="30">
        <v>1</v>
      </c>
      <c r="O1573" s="7">
        <f t="shared" si="446"/>
        <v>1</v>
      </c>
      <c r="P1573" s="58">
        <v>43708</v>
      </c>
    </row>
    <row r="1574" spans="1:17" x14ac:dyDescent="0.15">
      <c r="A1574" s="14" t="s">
        <v>29</v>
      </c>
      <c r="B1574" s="8"/>
      <c r="C1574" s="10"/>
      <c r="D1574" s="10">
        <v>1</v>
      </c>
      <c r="E1574" s="10"/>
      <c r="F1574" s="30"/>
      <c r="G1574" s="7">
        <f t="shared" si="445"/>
        <v>1</v>
      </c>
      <c r="H1574" s="58">
        <v>43728</v>
      </c>
      <c r="I1574" s="16" t="s">
        <v>22</v>
      </c>
      <c r="J1574" s="8"/>
      <c r="K1574" s="10"/>
      <c r="L1574" s="10">
        <v>10</v>
      </c>
      <c r="M1574" s="10"/>
      <c r="N1574" s="30"/>
      <c r="O1574" s="7">
        <f t="shared" si="446"/>
        <v>10</v>
      </c>
      <c r="P1574" s="58">
        <v>43714</v>
      </c>
    </row>
    <row r="1575" spans="1:17" x14ac:dyDescent="0.15">
      <c r="A1575" s="16" t="s">
        <v>1162</v>
      </c>
      <c r="B1575" s="8"/>
      <c r="C1575" s="10"/>
      <c r="D1575" s="10"/>
      <c r="E1575" s="10"/>
      <c r="F1575" s="30">
        <v>1</v>
      </c>
      <c r="G1575" s="7">
        <f t="shared" si="445"/>
        <v>1</v>
      </c>
      <c r="H1575" s="58">
        <v>43735</v>
      </c>
      <c r="I1575" s="51" t="s">
        <v>1123</v>
      </c>
      <c r="J1575" s="8"/>
      <c r="K1575" s="10"/>
      <c r="L1575" s="10"/>
      <c r="M1575" s="10"/>
      <c r="N1575" s="30">
        <v>1</v>
      </c>
      <c r="O1575" s="7">
        <f t="shared" si="446"/>
        <v>1</v>
      </c>
      <c r="P1575" s="58">
        <v>43710</v>
      </c>
    </row>
    <row r="1576" spans="1:17" x14ac:dyDescent="0.15">
      <c r="A1576" s="14" t="s">
        <v>29</v>
      </c>
      <c r="B1576" s="8"/>
      <c r="C1576" s="10"/>
      <c r="D1576" s="10"/>
      <c r="E1576" s="10"/>
      <c r="F1576" s="30">
        <v>1</v>
      </c>
      <c r="G1576" s="7">
        <f t="shared" si="445"/>
        <v>1</v>
      </c>
      <c r="H1576" s="58">
        <v>43732</v>
      </c>
      <c r="I1576" s="16" t="s">
        <v>1117</v>
      </c>
      <c r="J1576" s="8"/>
      <c r="K1576" s="10"/>
      <c r="L1576" s="10">
        <v>1</v>
      </c>
      <c r="M1576" s="10">
        <v>3</v>
      </c>
      <c r="N1576" s="30">
        <v>1</v>
      </c>
      <c r="O1576" s="7">
        <f t="shared" si="446"/>
        <v>5</v>
      </c>
      <c r="P1576" s="58">
        <v>43713</v>
      </c>
    </row>
    <row r="1577" spans="1:17" x14ac:dyDescent="0.15">
      <c r="A1577" s="14" t="s">
        <v>10</v>
      </c>
      <c r="B1577" s="8">
        <v>1</v>
      </c>
      <c r="C1577" s="10"/>
      <c r="D1577" s="10">
        <v>1</v>
      </c>
      <c r="E1577" s="10"/>
      <c r="F1577" s="30"/>
      <c r="G1577" s="7">
        <v>2</v>
      </c>
      <c r="H1577" s="58">
        <v>43738</v>
      </c>
      <c r="I1577" s="16" t="s">
        <v>24</v>
      </c>
      <c r="J1577" s="8">
        <v>5</v>
      </c>
      <c r="K1577" s="10"/>
      <c r="L1577" s="10"/>
      <c r="M1577" s="10"/>
      <c r="N1577" s="30"/>
      <c r="O1577" s="7">
        <f>SUM(J1577:N1577)</f>
        <v>5</v>
      </c>
      <c r="P1577" s="58">
        <v>43718</v>
      </c>
    </row>
    <row r="1578" spans="1:17" x14ac:dyDescent="0.15">
      <c r="A1578" s="14" t="s">
        <v>29</v>
      </c>
      <c r="B1578" s="8"/>
      <c r="C1578" s="10"/>
      <c r="D1578" s="10"/>
      <c r="E1578" s="10"/>
      <c r="F1578" s="30">
        <v>1</v>
      </c>
      <c r="G1578" s="7">
        <f t="shared" si="445"/>
        <v>1</v>
      </c>
      <c r="H1578" s="58">
        <v>43735</v>
      </c>
      <c r="I1578" s="16" t="s">
        <v>22</v>
      </c>
      <c r="J1578" s="11"/>
      <c r="K1578" s="12">
        <v>10</v>
      </c>
      <c r="L1578" s="12"/>
      <c r="M1578" s="12"/>
      <c r="N1578" s="31"/>
      <c r="O1578" s="7">
        <f t="shared" ref="O1578:O1583" si="447">SUM(J1578:N1578)</f>
        <v>10</v>
      </c>
      <c r="P1578" s="58">
        <v>43725</v>
      </c>
    </row>
    <row r="1579" spans="1:17" x14ac:dyDescent="0.15">
      <c r="A1579" s="38" t="s">
        <v>19</v>
      </c>
      <c r="B1579" s="8"/>
      <c r="C1579" s="10">
        <v>-2</v>
      </c>
      <c r="D1579" s="10"/>
      <c r="E1579" s="10"/>
      <c r="F1579" s="30">
        <v>-1</v>
      </c>
      <c r="G1579" s="7">
        <f t="shared" si="445"/>
        <v>-3</v>
      </c>
      <c r="H1579" s="58">
        <v>43738</v>
      </c>
      <c r="I1579" s="16" t="s">
        <v>24</v>
      </c>
      <c r="J1579" s="8"/>
      <c r="K1579" s="10"/>
      <c r="L1579" s="10">
        <v>5</v>
      </c>
      <c r="M1579" s="10"/>
      <c r="N1579" s="30"/>
      <c r="O1579" s="7">
        <f t="shared" si="447"/>
        <v>5</v>
      </c>
      <c r="P1579" s="58">
        <v>43720</v>
      </c>
    </row>
    <row r="1580" spans="1:17" x14ac:dyDescent="0.15">
      <c r="A1580" s="14" t="s">
        <v>29</v>
      </c>
      <c r="B1580" s="8"/>
      <c r="C1580" s="10"/>
      <c r="D1580" s="10"/>
      <c r="E1580" s="10"/>
      <c r="F1580" s="30">
        <v>1</v>
      </c>
      <c r="G1580" s="7">
        <f t="shared" si="445"/>
        <v>1</v>
      </c>
      <c r="H1580" s="58">
        <v>43738</v>
      </c>
      <c r="I1580" s="14" t="s">
        <v>25</v>
      </c>
      <c r="J1580" s="11"/>
      <c r="K1580" s="12">
        <v>1</v>
      </c>
      <c r="L1580" s="12"/>
      <c r="M1580" s="12"/>
      <c r="N1580" s="31"/>
      <c r="O1580" s="7">
        <f t="shared" si="447"/>
        <v>1</v>
      </c>
      <c r="P1580" s="58">
        <v>43721</v>
      </c>
      <c r="Q1580" s="56"/>
    </row>
    <row r="1581" spans="1:17" x14ac:dyDescent="0.15">
      <c r="A1581" s="14" t="s">
        <v>29</v>
      </c>
      <c r="B1581" s="8"/>
      <c r="C1581" s="10"/>
      <c r="D1581" s="10"/>
      <c r="E1581" s="10">
        <v>1</v>
      </c>
      <c r="F1581" s="30"/>
      <c r="G1581" s="7">
        <f t="shared" si="445"/>
        <v>1</v>
      </c>
      <c r="H1581" s="58">
        <v>43739</v>
      </c>
      <c r="I1581" s="16" t="s">
        <v>22</v>
      </c>
      <c r="J1581" s="11">
        <v>10</v>
      </c>
      <c r="K1581" s="12"/>
      <c r="L1581" s="12"/>
      <c r="M1581" s="12"/>
      <c r="N1581" s="31"/>
      <c r="O1581" s="7">
        <f t="shared" si="447"/>
        <v>10</v>
      </c>
      <c r="P1581" s="58">
        <v>43732</v>
      </c>
      <c r="Q1581" s="56"/>
    </row>
    <row r="1582" spans="1:17" x14ac:dyDescent="0.15">
      <c r="A1582" s="14" t="s">
        <v>1176</v>
      </c>
      <c r="B1582" s="8"/>
      <c r="C1582" s="10"/>
      <c r="D1582" s="10"/>
      <c r="E1582" s="10">
        <v>-5</v>
      </c>
      <c r="F1582" s="30"/>
      <c r="G1582" s="7">
        <f t="shared" si="445"/>
        <v>-5</v>
      </c>
      <c r="H1582" s="58">
        <v>43741</v>
      </c>
      <c r="I1582" s="14" t="s">
        <v>25</v>
      </c>
      <c r="J1582" s="11"/>
      <c r="K1582" s="12">
        <v>1</v>
      </c>
      <c r="L1582" s="12">
        <v>1</v>
      </c>
      <c r="M1582" s="12"/>
      <c r="N1582" s="31">
        <v>2</v>
      </c>
      <c r="O1582" s="7">
        <f t="shared" si="447"/>
        <v>4</v>
      </c>
      <c r="P1582" s="58">
        <v>43735</v>
      </c>
      <c r="Q1582" s="56"/>
    </row>
    <row r="1583" spans="1:17" x14ac:dyDescent="0.15">
      <c r="A1583" s="14" t="s">
        <v>10</v>
      </c>
      <c r="B1583" s="8"/>
      <c r="C1583" s="10"/>
      <c r="D1583" s="10"/>
      <c r="E1583" s="10"/>
      <c r="F1583" s="30">
        <v>1</v>
      </c>
      <c r="G1583" s="7">
        <f t="shared" si="445"/>
        <v>1</v>
      </c>
      <c r="H1583" s="58">
        <v>43745</v>
      </c>
      <c r="I1583" s="14" t="s">
        <v>25</v>
      </c>
      <c r="J1583" s="8"/>
      <c r="K1583" s="10"/>
      <c r="L1583" s="10">
        <v>1</v>
      </c>
      <c r="M1583" s="10"/>
      <c r="N1583" s="30">
        <v>2</v>
      </c>
      <c r="O1583" s="7">
        <f t="shared" si="447"/>
        <v>3</v>
      </c>
      <c r="P1583" s="58">
        <v>43739</v>
      </c>
    </row>
    <row r="1584" spans="1:17" x14ac:dyDescent="0.15">
      <c r="A1584" s="14" t="s">
        <v>1180</v>
      </c>
      <c r="B1584" s="11"/>
      <c r="C1584" s="12"/>
      <c r="D1584" s="12">
        <v>-5</v>
      </c>
      <c r="E1584" s="12"/>
      <c r="F1584" s="31">
        <v>-5</v>
      </c>
      <c r="G1584" s="7">
        <f t="shared" si="445"/>
        <v>-10</v>
      </c>
      <c r="H1584" s="58">
        <v>43746</v>
      </c>
      <c r="I1584" s="14" t="s">
        <v>1175</v>
      </c>
      <c r="J1584" s="8"/>
      <c r="K1584" s="10"/>
      <c r="L1584" s="10">
        <v>1</v>
      </c>
      <c r="M1584" s="10"/>
      <c r="N1584" s="30"/>
      <c r="O1584" s="7">
        <f>SUM(J1584:N1584)</f>
        <v>1</v>
      </c>
      <c r="P1584" s="58">
        <v>43746</v>
      </c>
    </row>
    <row r="1585" spans="1:17" x14ac:dyDescent="0.15">
      <c r="A1585" s="14"/>
      <c r="B1585" s="8"/>
      <c r="C1585" s="10"/>
      <c r="D1585" s="10"/>
      <c r="E1585" s="10"/>
      <c r="F1585" s="30"/>
      <c r="G1585" s="7">
        <f t="shared" si="445"/>
        <v>0</v>
      </c>
      <c r="H1585" s="58"/>
      <c r="I1585" s="16" t="s">
        <v>24</v>
      </c>
      <c r="J1585" s="11"/>
      <c r="K1585" s="12"/>
      <c r="L1585" s="12"/>
      <c r="M1585" s="12">
        <v>5</v>
      </c>
      <c r="N1585" s="31"/>
      <c r="O1585" s="7">
        <f t="shared" ref="O1585:O1587" si="448">SUM(J1585:N1585)</f>
        <v>5</v>
      </c>
      <c r="P1585" s="58">
        <v>43741</v>
      </c>
      <c r="Q1585" s="56"/>
    </row>
    <row r="1586" spans="1:17" x14ac:dyDescent="0.15">
      <c r="A1586" s="14"/>
      <c r="B1586" s="8"/>
      <c r="C1586" s="10"/>
      <c r="D1586" s="10"/>
      <c r="E1586" s="10"/>
      <c r="F1586" s="30"/>
      <c r="G1586" s="7">
        <f t="shared" si="445"/>
        <v>0</v>
      </c>
      <c r="H1586" s="58"/>
      <c r="I1586" s="16" t="s">
        <v>24</v>
      </c>
      <c r="J1586" s="11"/>
      <c r="K1586" s="12"/>
      <c r="L1586" s="12">
        <v>5</v>
      </c>
      <c r="M1586" s="12"/>
      <c r="N1586" s="31">
        <v>5</v>
      </c>
      <c r="O1586" s="7">
        <f t="shared" si="448"/>
        <v>10</v>
      </c>
      <c r="P1586" s="58">
        <v>43746</v>
      </c>
      <c r="Q1586" s="56"/>
    </row>
    <row r="1587" spans="1:17" x14ac:dyDescent="0.15">
      <c r="A1587" s="14"/>
      <c r="B1587" s="8"/>
      <c r="C1587" s="10"/>
      <c r="D1587" s="10"/>
      <c r="E1587" s="10"/>
      <c r="F1587" s="30"/>
      <c r="G1587" s="7">
        <f t="shared" si="445"/>
        <v>0</v>
      </c>
      <c r="H1587" s="58"/>
      <c r="I1587" s="51" t="s">
        <v>980</v>
      </c>
      <c r="J1587" s="8"/>
      <c r="K1587" s="10"/>
      <c r="L1587" s="10"/>
      <c r="M1587" s="10"/>
      <c r="N1587" s="30"/>
      <c r="O1587" s="7">
        <f t="shared" si="448"/>
        <v>0</v>
      </c>
      <c r="P1587" s="56" t="s">
        <v>1136</v>
      </c>
    </row>
    <row r="1588" spans="1:17" ht="14.25" thickBot="1" x14ac:dyDescent="0.2">
      <c r="A1588" s="51"/>
      <c r="B1588" s="11"/>
      <c r="C1588" s="12"/>
      <c r="D1588" s="12"/>
      <c r="E1588" s="12"/>
      <c r="F1588" s="31"/>
      <c r="G1588" s="7">
        <f t="shared" si="445"/>
        <v>0</v>
      </c>
      <c r="H1588" s="58"/>
      <c r="I1588" s="14" t="s">
        <v>958</v>
      </c>
      <c r="J1588" s="8"/>
      <c r="K1588" s="10"/>
      <c r="L1588" s="10"/>
      <c r="M1588" s="10"/>
      <c r="N1588" s="30"/>
      <c r="O1588" s="7">
        <f>SUM(J1588:N1588)</f>
        <v>0</v>
      </c>
      <c r="P1588" s="56" t="s">
        <v>1137</v>
      </c>
    </row>
    <row r="1589" spans="1:17" ht="14.25" thickBot="1" x14ac:dyDescent="0.2">
      <c r="A1589" s="3" t="s">
        <v>11</v>
      </c>
      <c r="B1589" s="23">
        <f>SUM(B1563:B1588)</f>
        <v>3</v>
      </c>
      <c r="C1589" s="4">
        <f>SUM(C1563:C1588)</f>
        <v>-2</v>
      </c>
      <c r="D1589" s="4">
        <f>SUM(D1563:D1588)</f>
        <v>6</v>
      </c>
      <c r="E1589" s="6">
        <f>SUM(E1563:E1588)</f>
        <v>0</v>
      </c>
      <c r="F1589" s="32">
        <f>SUM(F1563:F1588)</f>
        <v>4</v>
      </c>
      <c r="G1589" s="5">
        <f>SUM(B1589:F1589)</f>
        <v>11</v>
      </c>
      <c r="I1589" s="3" t="s">
        <v>11</v>
      </c>
      <c r="J1589" s="23">
        <f>SUM(J1563:J1588)</f>
        <v>26</v>
      </c>
      <c r="K1589" s="4">
        <f>SUM(K1563:K1588)</f>
        <v>31</v>
      </c>
      <c r="L1589" s="4">
        <f>SUM(L1563:L1588)</f>
        <v>49</v>
      </c>
      <c r="M1589" s="6">
        <f>SUM(M1563:M1588)</f>
        <v>22</v>
      </c>
      <c r="N1589" s="6">
        <f>SUM(N1563:N1588)</f>
        <v>39</v>
      </c>
      <c r="O1589" s="5">
        <f>SUM(J1589:N1589)</f>
        <v>167</v>
      </c>
    </row>
    <row r="1590" spans="1:17" ht="14.25" thickBot="1" x14ac:dyDescent="0.2">
      <c r="A1590" s="25" t="s">
        <v>12</v>
      </c>
      <c r="B1590" s="63">
        <f>B1562-B1589</f>
        <v>7</v>
      </c>
      <c r="C1590" s="26">
        <f t="shared" ref="C1590:G1590" si="449">C1562-C1589</f>
        <v>11</v>
      </c>
      <c r="D1590" s="71">
        <f t="shared" si="449"/>
        <v>9</v>
      </c>
      <c r="E1590" s="26">
        <f t="shared" si="449"/>
        <v>8</v>
      </c>
      <c r="F1590" s="70">
        <f t="shared" si="449"/>
        <v>8</v>
      </c>
      <c r="G1590" s="27">
        <f t="shared" si="449"/>
        <v>43</v>
      </c>
      <c r="I1590" s="25" t="s">
        <v>12</v>
      </c>
      <c r="J1590" s="63">
        <f>J1562-J1589</f>
        <v>152</v>
      </c>
      <c r="K1590" s="26">
        <f t="shared" ref="K1590:O1590" si="450">K1562-K1589</f>
        <v>192</v>
      </c>
      <c r="L1590" s="71">
        <f t="shared" si="450"/>
        <v>129</v>
      </c>
      <c r="M1590" s="26">
        <f t="shared" si="450"/>
        <v>172</v>
      </c>
      <c r="N1590" s="70">
        <f t="shared" si="450"/>
        <v>192</v>
      </c>
      <c r="O1590" s="27">
        <f t="shared" si="450"/>
        <v>837</v>
      </c>
    </row>
    <row r="1591" spans="1:17" ht="17.25" x14ac:dyDescent="0.2">
      <c r="A1591" s="79" t="s">
        <v>56</v>
      </c>
      <c r="B1591" s="80"/>
      <c r="C1591" s="80"/>
      <c r="D1591" s="80"/>
      <c r="E1591" s="80"/>
      <c r="F1591" s="80"/>
      <c r="G1591" s="80"/>
      <c r="I1591" s="79" t="s">
        <v>56</v>
      </c>
      <c r="J1591" s="80"/>
      <c r="K1591" s="80"/>
      <c r="L1591" s="80"/>
      <c r="M1591" s="80"/>
      <c r="N1591" s="80"/>
      <c r="O1591" s="1"/>
    </row>
    <row r="1592" spans="1:17" ht="21.75" thickBot="1" x14ac:dyDescent="0.25">
      <c r="A1592" s="82" t="s">
        <v>55</v>
      </c>
      <c r="B1592" s="80"/>
      <c r="C1592" s="80"/>
      <c r="D1592" s="80"/>
      <c r="E1592" s="81" t="s">
        <v>53</v>
      </c>
      <c r="F1592" s="80"/>
      <c r="G1592" s="80"/>
      <c r="I1592" s="82" t="s">
        <v>55</v>
      </c>
      <c r="J1592" s="80"/>
      <c r="K1592" s="80"/>
      <c r="L1592" s="80"/>
      <c r="M1592" s="81" t="s">
        <v>54</v>
      </c>
      <c r="N1592" s="80"/>
      <c r="O1592" s="1"/>
    </row>
    <row r="1593" spans="1:17" ht="14.25" thickBot="1" x14ac:dyDescent="0.2">
      <c r="A1593" s="13" t="s">
        <v>0</v>
      </c>
      <c r="B1593" s="228" t="s">
        <v>57</v>
      </c>
      <c r="C1593" s="229"/>
      <c r="D1593" s="229"/>
      <c r="E1593" s="229"/>
      <c r="F1593" s="230"/>
      <c r="G1593" s="231"/>
      <c r="I1593" s="13" t="s">
        <v>0</v>
      </c>
      <c r="J1593" s="232" t="s">
        <v>57</v>
      </c>
      <c r="K1593" s="233"/>
      <c r="L1593" s="233"/>
      <c r="M1593" s="233"/>
      <c r="N1593" s="233"/>
      <c r="O1593" s="234"/>
    </row>
    <row r="1594" spans="1:17" ht="14.25" thickBot="1" x14ac:dyDescent="0.2">
      <c r="A1594" s="3" t="s">
        <v>1</v>
      </c>
      <c r="B1594" s="2" t="s">
        <v>42</v>
      </c>
      <c r="C1594" s="21" t="s">
        <v>43</v>
      </c>
      <c r="D1594" s="21" t="s">
        <v>44</v>
      </c>
      <c r="E1594" s="24" t="s">
        <v>45</v>
      </c>
      <c r="F1594" s="33" t="s">
        <v>46</v>
      </c>
      <c r="G1594" s="3" t="s">
        <v>2</v>
      </c>
      <c r="I1594" s="3" t="s">
        <v>1</v>
      </c>
      <c r="J1594" s="2" t="s">
        <v>42</v>
      </c>
      <c r="K1594" s="21" t="s">
        <v>43</v>
      </c>
      <c r="L1594" s="21" t="s">
        <v>44</v>
      </c>
      <c r="M1594" s="24" t="s">
        <v>45</v>
      </c>
      <c r="N1594" s="33" t="s">
        <v>46</v>
      </c>
      <c r="O1594" s="3" t="s">
        <v>2</v>
      </c>
    </row>
    <row r="1595" spans="1:17" ht="14.25" thickBot="1" x14ac:dyDescent="0.2">
      <c r="A1595" s="72" t="s">
        <v>79</v>
      </c>
      <c r="B1595" s="73">
        <f>B1590</f>
        <v>7</v>
      </c>
      <c r="C1595" s="74">
        <f t="shared" ref="C1595:F1595" si="451">C1590</f>
        <v>11</v>
      </c>
      <c r="D1595" s="107">
        <f t="shared" si="451"/>
        <v>9</v>
      </c>
      <c r="E1595" s="75">
        <f t="shared" si="451"/>
        <v>8</v>
      </c>
      <c r="F1595" s="75">
        <f t="shared" si="451"/>
        <v>8</v>
      </c>
      <c r="G1595" s="76">
        <f t="shared" ref="G1595:G1604" si="452">SUM(B1595:F1595)</f>
        <v>43</v>
      </c>
      <c r="I1595" s="72" t="s">
        <v>79</v>
      </c>
      <c r="J1595" s="73">
        <f>J1590</f>
        <v>152</v>
      </c>
      <c r="K1595" s="74">
        <f t="shared" ref="K1595:N1595" si="453">K1590</f>
        <v>192</v>
      </c>
      <c r="L1595" s="107">
        <f t="shared" si="453"/>
        <v>129</v>
      </c>
      <c r="M1595" s="75">
        <f t="shared" si="453"/>
        <v>172</v>
      </c>
      <c r="N1595" s="75">
        <f t="shared" si="453"/>
        <v>192</v>
      </c>
      <c r="O1595" s="76">
        <f t="shared" ref="O1595:O1604" si="454">SUM(J1595:N1595)</f>
        <v>837</v>
      </c>
    </row>
    <row r="1596" spans="1:17" x14ac:dyDescent="0.15">
      <c r="A1596" s="38" t="s">
        <v>17</v>
      </c>
      <c r="B1596" s="37"/>
      <c r="C1596" s="35">
        <v>1</v>
      </c>
      <c r="D1596" s="35"/>
      <c r="E1596" s="35"/>
      <c r="F1596" s="28"/>
      <c r="G1596" s="7">
        <f t="shared" si="452"/>
        <v>1</v>
      </c>
      <c r="H1596" s="58">
        <v>43755</v>
      </c>
      <c r="I1596" s="38" t="s">
        <v>9</v>
      </c>
      <c r="J1596" s="8">
        <v>13</v>
      </c>
      <c r="K1596" s="10">
        <v>6</v>
      </c>
      <c r="L1596" s="10">
        <v>12</v>
      </c>
      <c r="M1596" s="10">
        <v>4</v>
      </c>
      <c r="N1596" s="30">
        <v>8</v>
      </c>
      <c r="O1596" s="7">
        <f t="shared" si="454"/>
        <v>43</v>
      </c>
      <c r="P1596" s="57">
        <v>43771</v>
      </c>
    </row>
    <row r="1597" spans="1:17" x14ac:dyDescent="0.15">
      <c r="A1597" s="15" t="s">
        <v>383</v>
      </c>
      <c r="B1597" s="8">
        <v>2</v>
      </c>
      <c r="C1597" s="10">
        <v>2</v>
      </c>
      <c r="D1597" s="10">
        <v>2</v>
      </c>
      <c r="E1597" s="10">
        <v>3</v>
      </c>
      <c r="F1597" s="28">
        <v>4</v>
      </c>
      <c r="G1597" s="9">
        <f t="shared" si="452"/>
        <v>13</v>
      </c>
      <c r="H1597" s="58">
        <v>43757</v>
      </c>
      <c r="I1597" s="38" t="s">
        <v>16</v>
      </c>
      <c r="J1597" s="8"/>
      <c r="K1597" s="10"/>
      <c r="L1597" s="10"/>
      <c r="M1597" s="10"/>
      <c r="N1597" s="28"/>
      <c r="O1597" s="9">
        <f t="shared" si="454"/>
        <v>0</v>
      </c>
      <c r="P1597" s="58"/>
    </row>
    <row r="1598" spans="1:17" x14ac:dyDescent="0.15">
      <c r="A1598" s="38" t="s">
        <v>19</v>
      </c>
      <c r="B1598" s="8">
        <v>1</v>
      </c>
      <c r="C1598" s="10">
        <v>1</v>
      </c>
      <c r="D1598" s="10">
        <v>2</v>
      </c>
      <c r="E1598" s="10"/>
      <c r="F1598" s="28">
        <v>1</v>
      </c>
      <c r="G1598" s="9">
        <f t="shared" si="452"/>
        <v>5</v>
      </c>
      <c r="H1598" s="58">
        <v>43757</v>
      </c>
      <c r="I1598" s="15" t="s">
        <v>18</v>
      </c>
      <c r="J1598" s="8"/>
      <c r="K1598" s="10"/>
      <c r="L1598" s="10"/>
      <c r="M1598" s="10"/>
      <c r="N1598" s="28"/>
      <c r="O1598" s="9">
        <f t="shared" si="454"/>
        <v>0</v>
      </c>
      <c r="P1598" s="56"/>
    </row>
    <row r="1599" spans="1:17" x14ac:dyDescent="0.15">
      <c r="A1599" s="38" t="s">
        <v>20</v>
      </c>
      <c r="B1599" s="8"/>
      <c r="C1599" s="10"/>
      <c r="D1599" s="10"/>
      <c r="E1599" s="10">
        <v>3</v>
      </c>
      <c r="F1599" s="28"/>
      <c r="G1599" s="9">
        <f t="shared" si="452"/>
        <v>3</v>
      </c>
      <c r="H1599" s="58">
        <v>43766</v>
      </c>
      <c r="I1599" s="15" t="s">
        <v>20</v>
      </c>
      <c r="J1599" s="8"/>
      <c r="K1599" s="10"/>
      <c r="L1599" s="10"/>
      <c r="M1599" s="10"/>
      <c r="N1599" s="28"/>
      <c r="O1599" s="9">
        <f t="shared" si="454"/>
        <v>0</v>
      </c>
    </row>
    <row r="1600" spans="1:17" x14ac:dyDescent="0.15">
      <c r="A1600" s="38" t="s">
        <v>111</v>
      </c>
      <c r="B1600" s="8">
        <v>10</v>
      </c>
      <c r="C1600" s="10">
        <v>3</v>
      </c>
      <c r="D1600" s="10">
        <v>7</v>
      </c>
      <c r="E1600" s="10">
        <v>4</v>
      </c>
      <c r="F1600" s="28">
        <v>2</v>
      </c>
      <c r="G1600" s="9">
        <f t="shared" si="452"/>
        <v>26</v>
      </c>
      <c r="H1600" s="58">
        <v>43767</v>
      </c>
      <c r="I1600" s="15" t="s">
        <v>80</v>
      </c>
      <c r="J1600" s="8"/>
      <c r="K1600" s="10"/>
      <c r="L1600" s="10"/>
      <c r="M1600" s="10"/>
      <c r="N1600" s="28"/>
      <c r="O1600" s="9">
        <f t="shared" si="454"/>
        <v>0</v>
      </c>
    </row>
    <row r="1601" spans="1:17" x14ac:dyDescent="0.15">
      <c r="A1601" s="38" t="s">
        <v>17</v>
      </c>
      <c r="B1601" s="8"/>
      <c r="C1601" s="10"/>
      <c r="D1601" s="10">
        <v>1</v>
      </c>
      <c r="E1601" s="10"/>
      <c r="F1601" s="28"/>
      <c r="G1601" s="9">
        <f t="shared" si="452"/>
        <v>1</v>
      </c>
      <c r="H1601" s="58">
        <v>43782</v>
      </c>
      <c r="I1601" s="15" t="s">
        <v>81</v>
      </c>
      <c r="J1601" s="8"/>
      <c r="K1601" s="10"/>
      <c r="L1601" s="10"/>
      <c r="M1601" s="10"/>
      <c r="N1601" s="28"/>
      <c r="O1601" s="9">
        <f t="shared" si="454"/>
        <v>0</v>
      </c>
    </row>
    <row r="1602" spans="1:17" x14ac:dyDescent="0.15">
      <c r="A1602" s="38" t="s">
        <v>137</v>
      </c>
      <c r="B1602" s="8">
        <v>1</v>
      </c>
      <c r="C1602" s="10"/>
      <c r="D1602" s="10"/>
      <c r="E1602" s="10">
        <v>1</v>
      </c>
      <c r="F1602" s="30"/>
      <c r="G1602" s="7">
        <f t="shared" si="452"/>
        <v>2</v>
      </c>
      <c r="H1602" s="58">
        <v>43790</v>
      </c>
      <c r="I1602" s="15" t="s">
        <v>82</v>
      </c>
      <c r="J1602" s="8"/>
      <c r="K1602" s="10"/>
      <c r="L1602" s="10"/>
      <c r="M1602" s="10"/>
      <c r="N1602" s="30"/>
      <c r="O1602" s="7">
        <f t="shared" si="454"/>
        <v>0</v>
      </c>
    </row>
    <row r="1603" spans="1:17" x14ac:dyDescent="0.15">
      <c r="A1603" s="38" t="s">
        <v>19</v>
      </c>
      <c r="B1603" s="11">
        <v>1</v>
      </c>
      <c r="C1603" s="100">
        <v>2</v>
      </c>
      <c r="D1603" s="100"/>
      <c r="E1603" s="100">
        <v>1</v>
      </c>
      <c r="F1603" s="101">
        <v>1</v>
      </c>
      <c r="G1603" s="102">
        <f t="shared" si="452"/>
        <v>5</v>
      </c>
      <c r="H1603" s="58">
        <v>43812</v>
      </c>
      <c r="I1603" s="15" t="s">
        <v>83</v>
      </c>
      <c r="J1603" s="8"/>
      <c r="K1603" s="10"/>
      <c r="L1603" s="10"/>
      <c r="M1603" s="10"/>
      <c r="N1603" s="30"/>
      <c r="O1603" s="7">
        <f t="shared" si="454"/>
        <v>0</v>
      </c>
    </row>
    <row r="1604" spans="1:17" ht="14.25" thickBot="1" x14ac:dyDescent="0.2">
      <c r="A1604" s="38" t="s">
        <v>159</v>
      </c>
      <c r="B1604" s="11"/>
      <c r="C1604" s="100"/>
      <c r="D1604" s="100"/>
      <c r="E1604" s="100"/>
      <c r="F1604" s="101"/>
      <c r="G1604" s="102">
        <f t="shared" si="452"/>
        <v>0</v>
      </c>
      <c r="H1604" s="56"/>
      <c r="I1604" s="15" t="s">
        <v>87</v>
      </c>
      <c r="J1604" s="11"/>
      <c r="K1604" s="100"/>
      <c r="L1604" s="100"/>
      <c r="M1604" s="100"/>
      <c r="N1604" s="101"/>
      <c r="O1604" s="102">
        <f t="shared" si="454"/>
        <v>0</v>
      </c>
    </row>
    <row r="1605" spans="1:17" ht="14.25" thickBot="1" x14ac:dyDescent="0.2">
      <c r="A1605" s="72" t="s">
        <v>7</v>
      </c>
      <c r="B1605" s="73">
        <f>SUM(B1595:B1604)</f>
        <v>22</v>
      </c>
      <c r="C1605" s="74">
        <f t="shared" ref="C1605:G1605" si="455">SUM(C1595:C1604)</f>
        <v>20</v>
      </c>
      <c r="D1605" s="74">
        <f t="shared" si="455"/>
        <v>21</v>
      </c>
      <c r="E1605" s="74">
        <f t="shared" si="455"/>
        <v>20</v>
      </c>
      <c r="F1605" s="105">
        <f t="shared" si="455"/>
        <v>16</v>
      </c>
      <c r="G1605" s="76">
        <f t="shared" si="455"/>
        <v>99</v>
      </c>
      <c r="I1605" s="72" t="s">
        <v>7</v>
      </c>
      <c r="J1605" s="73">
        <f>SUM(J1595:J1604)</f>
        <v>165</v>
      </c>
      <c r="K1605" s="74">
        <f t="shared" ref="K1605:O1605" si="456">SUM(K1595:K1604)</f>
        <v>198</v>
      </c>
      <c r="L1605" s="74">
        <f t="shared" si="456"/>
        <v>141</v>
      </c>
      <c r="M1605" s="74">
        <f t="shared" si="456"/>
        <v>176</v>
      </c>
      <c r="N1605" s="105">
        <f t="shared" si="456"/>
        <v>200</v>
      </c>
      <c r="O1605" s="76">
        <f t="shared" si="456"/>
        <v>880</v>
      </c>
    </row>
    <row r="1606" spans="1:17" x14ac:dyDescent="0.15">
      <c r="A1606" s="14" t="s">
        <v>29</v>
      </c>
      <c r="B1606" s="8"/>
      <c r="C1606" s="10"/>
      <c r="D1606" s="10"/>
      <c r="E1606" s="10"/>
      <c r="F1606" s="30">
        <v>1</v>
      </c>
      <c r="G1606" s="7">
        <f t="shared" ref="G1606:G1631" si="457">SUM(B1606:F1606)</f>
        <v>1</v>
      </c>
      <c r="H1606" s="58">
        <v>43747</v>
      </c>
      <c r="I1606" s="16" t="s">
        <v>22</v>
      </c>
      <c r="J1606" s="17"/>
      <c r="K1606" s="22">
        <v>10</v>
      </c>
      <c r="L1606" s="22"/>
      <c r="M1606" s="22"/>
      <c r="N1606" s="29"/>
      <c r="O1606" s="18">
        <f t="shared" ref="O1606:O1619" si="458">SUM(J1606:N1606)</f>
        <v>10</v>
      </c>
      <c r="P1606" s="58">
        <v>43753</v>
      </c>
    </row>
    <row r="1607" spans="1:17" x14ac:dyDescent="0.15">
      <c r="A1607" s="14" t="s">
        <v>25</v>
      </c>
      <c r="B1607" s="8"/>
      <c r="C1607" s="10">
        <v>1</v>
      </c>
      <c r="D1607" s="10"/>
      <c r="E1607" s="10"/>
      <c r="F1607" s="30"/>
      <c r="G1607" s="7">
        <f t="shared" si="457"/>
        <v>1</v>
      </c>
      <c r="H1607" s="58">
        <v>43749</v>
      </c>
      <c r="I1607" s="14" t="s">
        <v>1181</v>
      </c>
      <c r="J1607" s="8"/>
      <c r="K1607" s="10"/>
      <c r="L1607" s="10">
        <v>2</v>
      </c>
      <c r="M1607" s="10"/>
      <c r="N1607" s="28"/>
      <c r="O1607" s="9">
        <f t="shared" si="458"/>
        <v>2</v>
      </c>
      <c r="P1607" s="58">
        <v>43747</v>
      </c>
    </row>
    <row r="1608" spans="1:17" x14ac:dyDescent="0.15">
      <c r="A1608" s="14" t="s">
        <v>29</v>
      </c>
      <c r="B1608" s="8"/>
      <c r="C1608" s="10"/>
      <c r="D1608" s="10"/>
      <c r="E1608" s="10">
        <v>1</v>
      </c>
      <c r="F1608" s="30"/>
      <c r="G1608" s="7">
        <f t="shared" si="457"/>
        <v>1</v>
      </c>
      <c r="H1608" s="58">
        <v>43753</v>
      </c>
      <c r="I1608" s="14" t="s">
        <v>25</v>
      </c>
      <c r="J1608" s="8">
        <v>1</v>
      </c>
      <c r="K1608" s="10"/>
      <c r="L1608" s="10"/>
      <c r="M1608" s="10"/>
      <c r="N1608" s="30"/>
      <c r="O1608" s="7">
        <f t="shared" si="458"/>
        <v>1</v>
      </c>
      <c r="P1608" s="58">
        <v>43748</v>
      </c>
    </row>
    <row r="1609" spans="1:17" x14ac:dyDescent="0.15">
      <c r="A1609" s="14" t="s">
        <v>25</v>
      </c>
      <c r="B1609" s="8"/>
      <c r="C1609" s="10"/>
      <c r="D1609" s="10"/>
      <c r="E1609" s="10">
        <v>2</v>
      </c>
      <c r="F1609" s="30"/>
      <c r="G1609" s="7">
        <f t="shared" si="457"/>
        <v>2</v>
      </c>
      <c r="H1609" s="58">
        <v>43762</v>
      </c>
      <c r="I1609" s="16" t="s">
        <v>22</v>
      </c>
      <c r="J1609" s="8">
        <v>10</v>
      </c>
      <c r="K1609" s="10"/>
      <c r="L1609" s="10"/>
      <c r="M1609" s="10"/>
      <c r="N1609" s="30"/>
      <c r="O1609" s="7">
        <f t="shared" si="458"/>
        <v>10</v>
      </c>
      <c r="P1609" s="58">
        <v>43755</v>
      </c>
      <c r="Q1609" s="56"/>
    </row>
    <row r="1610" spans="1:17" x14ac:dyDescent="0.15">
      <c r="A1610" s="14" t="s">
        <v>1201</v>
      </c>
      <c r="B1610" s="8"/>
      <c r="C1610" s="10"/>
      <c r="D1610" s="10"/>
      <c r="E1610" s="10">
        <v>1</v>
      </c>
      <c r="F1610" s="30"/>
      <c r="G1610" s="7">
        <f t="shared" si="457"/>
        <v>1</v>
      </c>
      <c r="H1610" s="58">
        <v>43767</v>
      </c>
      <c r="I1610" s="14" t="s">
        <v>25</v>
      </c>
      <c r="J1610" s="8"/>
      <c r="K1610" s="10">
        <v>1</v>
      </c>
      <c r="L1610" s="10"/>
      <c r="M1610" s="10"/>
      <c r="N1610" s="30"/>
      <c r="O1610" s="7">
        <f t="shared" si="458"/>
        <v>1</v>
      </c>
      <c r="P1610" s="58">
        <v>43757</v>
      </c>
      <c r="Q1610" s="56"/>
    </row>
    <row r="1611" spans="1:17" x14ac:dyDescent="0.15">
      <c r="A1611" s="14" t="s">
        <v>29</v>
      </c>
      <c r="B1611" s="8"/>
      <c r="C1611" s="10">
        <v>1</v>
      </c>
      <c r="D1611" s="10"/>
      <c r="E1611" s="10"/>
      <c r="F1611" s="30"/>
      <c r="G1611" s="7">
        <f t="shared" si="457"/>
        <v>1</v>
      </c>
      <c r="H1611" s="58">
        <v>43766</v>
      </c>
      <c r="I1611" s="14" t="s">
        <v>25</v>
      </c>
      <c r="J1611" s="8"/>
      <c r="K1611" s="10"/>
      <c r="L1611" s="10">
        <v>1</v>
      </c>
      <c r="M1611" s="10"/>
      <c r="N1611" s="30"/>
      <c r="O1611" s="7">
        <f t="shared" si="458"/>
        <v>1</v>
      </c>
      <c r="P1611" s="58">
        <v>43759</v>
      </c>
    </row>
    <row r="1612" spans="1:17" x14ac:dyDescent="0.15">
      <c r="A1612" s="14" t="s">
        <v>29</v>
      </c>
      <c r="B1612" s="8"/>
      <c r="C1612" s="10"/>
      <c r="D1612" s="10"/>
      <c r="E1612" s="10">
        <v>1</v>
      </c>
      <c r="F1612" s="30"/>
      <c r="G1612" s="7">
        <f t="shared" si="457"/>
        <v>1</v>
      </c>
      <c r="H1612" s="58">
        <v>43767</v>
      </c>
      <c r="I1612" s="14" t="s">
        <v>25</v>
      </c>
      <c r="J1612" s="8"/>
      <c r="K1612" s="10"/>
      <c r="L1612" s="10"/>
      <c r="M1612" s="10"/>
      <c r="N1612" s="30">
        <v>4</v>
      </c>
      <c r="O1612" s="7">
        <f t="shared" si="458"/>
        <v>4</v>
      </c>
      <c r="P1612" s="58">
        <v>43761</v>
      </c>
    </row>
    <row r="1613" spans="1:17" x14ac:dyDescent="0.15">
      <c r="A1613" s="51" t="s">
        <v>1212</v>
      </c>
      <c r="B1613" s="8">
        <v>13</v>
      </c>
      <c r="C1613" s="10">
        <v>6</v>
      </c>
      <c r="D1613" s="10">
        <v>12</v>
      </c>
      <c r="E1613" s="10">
        <v>4</v>
      </c>
      <c r="F1613" s="30">
        <v>8</v>
      </c>
      <c r="G1613" s="7">
        <f t="shared" si="457"/>
        <v>43</v>
      </c>
      <c r="H1613" s="58">
        <v>43771</v>
      </c>
      <c r="I1613" s="14" t="s">
        <v>1199</v>
      </c>
      <c r="J1613" s="8"/>
      <c r="K1613" s="10"/>
      <c r="L1613" s="10"/>
      <c r="M1613" s="10">
        <v>3</v>
      </c>
      <c r="N1613" s="30"/>
      <c r="O1613" s="7">
        <f t="shared" si="458"/>
        <v>3</v>
      </c>
      <c r="P1613" s="58">
        <v>43766</v>
      </c>
      <c r="Q1613" s="56"/>
    </row>
    <row r="1614" spans="1:17" x14ac:dyDescent="0.15">
      <c r="A1614" s="14" t="s">
        <v>29</v>
      </c>
      <c r="B1614" s="8"/>
      <c r="C1614" s="10"/>
      <c r="D1614" s="10"/>
      <c r="E1614" s="10">
        <v>1</v>
      </c>
      <c r="F1614" s="30"/>
      <c r="G1614" s="7">
        <f t="shared" si="457"/>
        <v>1</v>
      </c>
      <c r="H1614" s="58">
        <v>43789</v>
      </c>
      <c r="I1614" s="14" t="s">
        <v>25</v>
      </c>
      <c r="J1614" s="8"/>
      <c r="K1614" s="10"/>
      <c r="L1614" s="10">
        <v>1</v>
      </c>
      <c r="M1614" s="10"/>
      <c r="N1614" s="30"/>
      <c r="O1614" s="7">
        <f t="shared" si="458"/>
        <v>1</v>
      </c>
      <c r="P1614" s="58">
        <v>43767</v>
      </c>
    </row>
    <row r="1615" spans="1:17" x14ac:dyDescent="0.15">
      <c r="A1615" s="14" t="s">
        <v>29</v>
      </c>
      <c r="B1615" s="11">
        <v>1</v>
      </c>
      <c r="C1615" s="12"/>
      <c r="D1615" s="12">
        <v>1</v>
      </c>
      <c r="E1615" s="12"/>
      <c r="F1615" s="31"/>
      <c r="G1615" s="7">
        <f t="shared" si="457"/>
        <v>2</v>
      </c>
      <c r="H1615" s="58">
        <v>43794</v>
      </c>
      <c r="I1615" s="14" t="s">
        <v>25</v>
      </c>
      <c r="J1615" s="11"/>
      <c r="K1615" s="12"/>
      <c r="L1615" s="12">
        <v>1</v>
      </c>
      <c r="M1615" s="12"/>
      <c r="N1615" s="31"/>
      <c r="O1615" s="7">
        <f t="shared" si="458"/>
        <v>1</v>
      </c>
      <c r="P1615" s="58">
        <v>43769</v>
      </c>
    </row>
    <row r="1616" spans="1:17" x14ac:dyDescent="0.15">
      <c r="A1616" s="14" t="s">
        <v>1222</v>
      </c>
      <c r="B1616" s="11"/>
      <c r="C1616" s="12">
        <v>1</v>
      </c>
      <c r="D1616" s="12"/>
      <c r="E1616" s="12"/>
      <c r="F1616" s="31"/>
      <c r="G1616" s="7">
        <f t="shared" si="457"/>
        <v>1</v>
      </c>
      <c r="H1616" s="58">
        <v>43802</v>
      </c>
      <c r="I1616" s="14" t="s">
        <v>25</v>
      </c>
      <c r="J1616" s="8"/>
      <c r="K1616" s="10"/>
      <c r="L1616" s="10"/>
      <c r="M1616" s="10"/>
      <c r="N1616" s="30">
        <v>1</v>
      </c>
      <c r="O1616" s="7">
        <f t="shared" si="458"/>
        <v>1</v>
      </c>
      <c r="P1616" s="58">
        <v>43778</v>
      </c>
    </row>
    <row r="1617" spans="1:17" x14ac:dyDescent="0.15">
      <c r="A1617" s="14" t="s">
        <v>29</v>
      </c>
      <c r="B1617" s="8"/>
      <c r="C1617" s="10">
        <v>1</v>
      </c>
      <c r="D1617" s="10"/>
      <c r="E1617" s="10"/>
      <c r="F1617" s="30"/>
      <c r="G1617" s="7">
        <f t="shared" si="457"/>
        <v>1</v>
      </c>
      <c r="H1617" s="58">
        <v>43801</v>
      </c>
      <c r="I1617" s="14" t="s">
        <v>25</v>
      </c>
      <c r="J1617" s="8"/>
      <c r="K1617" s="10"/>
      <c r="L1617" s="10"/>
      <c r="M1617" s="10">
        <v>1</v>
      </c>
      <c r="N1617" s="30"/>
      <c r="O1617" s="7">
        <f t="shared" si="458"/>
        <v>1</v>
      </c>
      <c r="P1617" s="58">
        <v>43782</v>
      </c>
      <c r="Q1617" s="56"/>
    </row>
    <row r="1618" spans="1:17" x14ac:dyDescent="0.15">
      <c r="A1618" s="14" t="s">
        <v>29</v>
      </c>
      <c r="B1618" s="8"/>
      <c r="C1618" s="10">
        <v>1</v>
      </c>
      <c r="D1618" s="10"/>
      <c r="E1618" s="10"/>
      <c r="F1618" s="30"/>
      <c r="G1618" s="7">
        <f t="shared" si="457"/>
        <v>1</v>
      </c>
      <c r="H1618" s="58">
        <v>43802</v>
      </c>
      <c r="I1618" s="14" t="s">
        <v>25</v>
      </c>
      <c r="J1618" s="8"/>
      <c r="K1618" s="10"/>
      <c r="L1618" s="10"/>
      <c r="M1618" s="10">
        <v>1</v>
      </c>
      <c r="N1618" s="30"/>
      <c r="O1618" s="7">
        <f t="shared" si="458"/>
        <v>1</v>
      </c>
      <c r="P1618" s="58">
        <v>43791</v>
      </c>
    </row>
    <row r="1619" spans="1:17" x14ac:dyDescent="0.15">
      <c r="A1619" s="14" t="s">
        <v>29</v>
      </c>
      <c r="B1619" s="8"/>
      <c r="C1619" s="10"/>
      <c r="D1619" s="10">
        <v>1</v>
      </c>
      <c r="E1619" s="10"/>
      <c r="F1619" s="30"/>
      <c r="G1619" s="7">
        <f t="shared" si="457"/>
        <v>1</v>
      </c>
      <c r="H1619" s="58">
        <v>43805</v>
      </c>
      <c r="I1619" s="16" t="s">
        <v>22</v>
      </c>
      <c r="J1619" s="8"/>
      <c r="K1619" s="10"/>
      <c r="L1619" s="10"/>
      <c r="M1619" s="10">
        <v>10</v>
      </c>
      <c r="N1619" s="30"/>
      <c r="O1619" s="7">
        <f t="shared" si="458"/>
        <v>10</v>
      </c>
      <c r="P1619" s="58">
        <v>43801</v>
      </c>
    </row>
    <row r="1620" spans="1:17" x14ac:dyDescent="0.15">
      <c r="A1620" s="14" t="s">
        <v>1225</v>
      </c>
      <c r="B1620" s="8">
        <v>1</v>
      </c>
      <c r="C1620" s="10">
        <v>-1</v>
      </c>
      <c r="D1620" s="10"/>
      <c r="E1620" s="10"/>
      <c r="F1620" s="30"/>
      <c r="G1620" s="7">
        <f t="shared" si="457"/>
        <v>0</v>
      </c>
      <c r="H1620" s="58">
        <v>43805</v>
      </c>
      <c r="I1620" s="14" t="s">
        <v>25</v>
      </c>
      <c r="J1620" s="8"/>
      <c r="K1620" s="10">
        <v>1</v>
      </c>
      <c r="L1620" s="10"/>
      <c r="M1620" s="10"/>
      <c r="N1620" s="30"/>
      <c r="O1620" s="7">
        <f>SUM(J1620:N1620)</f>
        <v>1</v>
      </c>
      <c r="P1620" s="58">
        <v>43796</v>
      </c>
    </row>
    <row r="1621" spans="1:17" x14ac:dyDescent="0.15">
      <c r="A1621" s="14" t="s">
        <v>29</v>
      </c>
      <c r="B1621" s="8">
        <v>1</v>
      </c>
      <c r="C1621" s="10"/>
      <c r="D1621" s="10"/>
      <c r="E1621" s="10"/>
      <c r="F1621" s="30"/>
      <c r="G1621" s="7">
        <f t="shared" si="457"/>
        <v>1</v>
      </c>
      <c r="H1621" s="58">
        <v>43810</v>
      </c>
      <c r="I1621" s="14" t="s">
        <v>25</v>
      </c>
      <c r="J1621" s="11"/>
      <c r="K1621" s="12">
        <v>1</v>
      </c>
      <c r="L1621" s="12"/>
      <c r="M1621" s="12"/>
      <c r="N1621" s="31">
        <v>2</v>
      </c>
      <c r="O1621" s="7">
        <f t="shared" ref="O1621:O1624" si="459">SUM(J1621:N1621)</f>
        <v>3</v>
      </c>
      <c r="P1621" s="58">
        <v>43799</v>
      </c>
    </row>
    <row r="1622" spans="1:17" x14ac:dyDescent="0.15">
      <c r="A1622" s="14" t="s">
        <v>25</v>
      </c>
      <c r="B1622" s="8"/>
      <c r="C1622" s="10"/>
      <c r="D1622" s="10"/>
      <c r="E1622" s="10"/>
      <c r="F1622" s="30">
        <v>1</v>
      </c>
      <c r="G1622" s="7">
        <f t="shared" si="457"/>
        <v>1</v>
      </c>
      <c r="H1622" s="58">
        <v>43813</v>
      </c>
      <c r="I1622" s="14" t="s">
        <v>25</v>
      </c>
      <c r="J1622" s="8"/>
      <c r="K1622" s="10"/>
      <c r="L1622" s="10">
        <v>8</v>
      </c>
      <c r="M1622" s="10"/>
      <c r="N1622" s="30"/>
      <c r="O1622" s="7">
        <f t="shared" si="459"/>
        <v>8</v>
      </c>
      <c r="P1622" s="58">
        <v>43802</v>
      </c>
    </row>
    <row r="1623" spans="1:17" x14ac:dyDescent="0.15">
      <c r="A1623" s="14" t="s">
        <v>29</v>
      </c>
      <c r="B1623" s="8"/>
      <c r="C1623" s="10"/>
      <c r="D1623" s="10"/>
      <c r="E1623" s="10">
        <v>1</v>
      </c>
      <c r="F1623" s="30"/>
      <c r="G1623" s="7">
        <f t="shared" si="457"/>
        <v>1</v>
      </c>
      <c r="H1623" s="58">
        <v>43824</v>
      </c>
      <c r="I1623" s="14" t="s">
        <v>25</v>
      </c>
      <c r="J1623" s="11">
        <v>2</v>
      </c>
      <c r="K1623" s="12"/>
      <c r="L1623" s="12"/>
      <c r="M1623" s="12"/>
      <c r="N1623" s="31"/>
      <c r="O1623" s="7">
        <f t="shared" si="459"/>
        <v>2</v>
      </c>
      <c r="P1623" s="58">
        <v>43805</v>
      </c>
    </row>
    <row r="1624" spans="1:17" x14ac:dyDescent="0.15">
      <c r="A1624" s="14"/>
      <c r="B1624" s="8"/>
      <c r="C1624" s="10"/>
      <c r="D1624" s="10"/>
      <c r="E1624" s="10"/>
      <c r="F1624" s="30"/>
      <c r="G1624" s="7">
        <f t="shared" si="457"/>
        <v>0</v>
      </c>
      <c r="H1624" s="58"/>
      <c r="I1624" s="16" t="s">
        <v>22</v>
      </c>
      <c r="J1624" s="11"/>
      <c r="K1624" s="12">
        <v>10</v>
      </c>
      <c r="L1624" s="12"/>
      <c r="M1624" s="12"/>
      <c r="N1624" s="31"/>
      <c r="O1624" s="7">
        <f t="shared" si="459"/>
        <v>10</v>
      </c>
      <c r="P1624" s="58">
        <v>43811</v>
      </c>
    </row>
    <row r="1625" spans="1:17" x14ac:dyDescent="0.15">
      <c r="A1625" s="14"/>
      <c r="B1625" s="8"/>
      <c r="C1625" s="10"/>
      <c r="D1625" s="10"/>
      <c r="E1625" s="10"/>
      <c r="F1625" s="30"/>
      <c r="G1625" s="7">
        <f t="shared" si="457"/>
        <v>0</v>
      </c>
      <c r="H1625" s="58"/>
      <c r="I1625" s="14" t="s">
        <v>25</v>
      </c>
      <c r="J1625" s="11">
        <v>2</v>
      </c>
      <c r="K1625" s="12"/>
      <c r="L1625" s="12"/>
      <c r="M1625" s="12"/>
      <c r="N1625" s="31">
        <v>1</v>
      </c>
      <c r="O1625" s="7">
        <f t="shared" ref="O1625:O1630" si="460">SUM(J1625:N1625)</f>
        <v>3</v>
      </c>
      <c r="P1625" s="58">
        <v>43809</v>
      </c>
    </row>
    <row r="1626" spans="1:17" x14ac:dyDescent="0.15">
      <c r="A1626" s="14"/>
      <c r="B1626" s="8"/>
      <c r="C1626" s="10"/>
      <c r="D1626" s="10"/>
      <c r="E1626" s="10"/>
      <c r="F1626" s="30"/>
      <c r="G1626" s="7">
        <f t="shared" si="457"/>
        <v>0</v>
      </c>
      <c r="H1626" s="58"/>
      <c r="I1626" s="16"/>
      <c r="J1626" s="11"/>
      <c r="K1626" s="12"/>
      <c r="L1626" s="12"/>
      <c r="M1626" s="12"/>
      <c r="N1626" s="31"/>
      <c r="O1626" s="7">
        <f t="shared" si="460"/>
        <v>0</v>
      </c>
      <c r="P1626" s="58"/>
    </row>
    <row r="1627" spans="1:17" x14ac:dyDescent="0.15">
      <c r="A1627" s="14"/>
      <c r="B1627" s="11"/>
      <c r="C1627" s="12"/>
      <c r="D1627" s="12"/>
      <c r="E1627" s="12"/>
      <c r="F1627" s="31"/>
      <c r="G1627" s="7">
        <f t="shared" si="457"/>
        <v>0</v>
      </c>
      <c r="H1627" s="58"/>
      <c r="I1627" s="16" t="s">
        <v>1114</v>
      </c>
      <c r="J1627" s="11"/>
      <c r="K1627" s="12"/>
      <c r="L1627" s="12"/>
      <c r="M1627" s="12"/>
      <c r="N1627" s="31"/>
      <c r="O1627" s="7">
        <f t="shared" si="460"/>
        <v>0</v>
      </c>
      <c r="P1627" s="56" t="s">
        <v>1116</v>
      </c>
    </row>
    <row r="1628" spans="1:17" x14ac:dyDescent="0.15">
      <c r="A1628" s="14"/>
      <c r="B1628" s="8"/>
      <c r="C1628" s="10"/>
      <c r="D1628" s="10"/>
      <c r="E1628" s="10"/>
      <c r="F1628" s="30"/>
      <c r="G1628" s="7">
        <f t="shared" si="457"/>
        <v>0</v>
      </c>
      <c r="H1628" s="58"/>
      <c r="I1628" s="16" t="s">
        <v>1149</v>
      </c>
      <c r="J1628" s="11"/>
      <c r="K1628" s="12"/>
      <c r="L1628" s="12"/>
      <c r="M1628" s="12"/>
      <c r="N1628" s="31"/>
      <c r="O1628" s="7">
        <f t="shared" si="460"/>
        <v>0</v>
      </c>
      <c r="P1628" s="58" t="s">
        <v>1150</v>
      </c>
    </row>
    <row r="1629" spans="1:17" x14ac:dyDescent="0.15">
      <c r="A1629" s="14"/>
      <c r="B1629" s="8"/>
      <c r="C1629" s="10"/>
      <c r="D1629" s="10"/>
      <c r="E1629" s="10"/>
      <c r="F1629" s="30"/>
      <c r="G1629" s="7">
        <f t="shared" si="457"/>
        <v>0</v>
      </c>
      <c r="H1629" s="58"/>
      <c r="I1629" s="39" t="s">
        <v>1085</v>
      </c>
      <c r="J1629" s="11"/>
      <c r="K1629" s="12"/>
      <c r="L1629" s="12"/>
      <c r="M1629" s="12"/>
      <c r="N1629" s="31"/>
      <c r="O1629" s="7">
        <f t="shared" si="460"/>
        <v>0</v>
      </c>
      <c r="P1629" s="58" t="s">
        <v>1032</v>
      </c>
      <c r="Q1629" s="56"/>
    </row>
    <row r="1630" spans="1:17" x14ac:dyDescent="0.15">
      <c r="A1630" s="14"/>
      <c r="B1630" s="8"/>
      <c r="C1630" s="10"/>
      <c r="D1630" s="10"/>
      <c r="E1630" s="10"/>
      <c r="F1630" s="30"/>
      <c r="G1630" s="7">
        <f t="shared" si="457"/>
        <v>0</v>
      </c>
      <c r="H1630" s="58"/>
      <c r="I1630" s="39" t="s">
        <v>1031</v>
      </c>
      <c r="J1630" s="8"/>
      <c r="K1630" s="10"/>
      <c r="L1630" s="10"/>
      <c r="M1630" s="10"/>
      <c r="N1630" s="30"/>
      <c r="O1630" s="7">
        <f t="shared" si="460"/>
        <v>0</v>
      </c>
      <c r="P1630" s="58" t="s">
        <v>1032</v>
      </c>
      <c r="Q1630" s="56"/>
    </row>
    <row r="1631" spans="1:17" ht="14.25" thickBot="1" x14ac:dyDescent="0.2">
      <c r="A1631" s="51"/>
      <c r="B1631" s="11"/>
      <c r="C1631" s="12"/>
      <c r="D1631" s="12"/>
      <c r="E1631" s="12"/>
      <c r="F1631" s="31"/>
      <c r="G1631" s="7">
        <f t="shared" si="457"/>
        <v>0</v>
      </c>
      <c r="H1631" s="58"/>
      <c r="I1631" s="16" t="s">
        <v>1120</v>
      </c>
      <c r="J1631" s="11"/>
      <c r="K1631" s="12"/>
      <c r="L1631" s="12"/>
      <c r="M1631" s="12"/>
      <c r="N1631" s="31"/>
      <c r="O1631" s="7">
        <f t="shared" ref="O1631" si="461">SUM(J1631:N1631)</f>
        <v>0</v>
      </c>
      <c r="P1631" s="58" t="s">
        <v>1119</v>
      </c>
      <c r="Q1631" s="56"/>
    </row>
    <row r="1632" spans="1:17" ht="14.25" thickBot="1" x14ac:dyDescent="0.2">
      <c r="A1632" s="3" t="s">
        <v>11</v>
      </c>
      <c r="B1632" s="23">
        <f>SUM(B1606:B1631)</f>
        <v>16</v>
      </c>
      <c r="C1632" s="4">
        <f>SUM(C1606:C1631)</f>
        <v>10</v>
      </c>
      <c r="D1632" s="4">
        <f>SUM(D1606:D1631)</f>
        <v>14</v>
      </c>
      <c r="E1632" s="6">
        <f>SUM(E1606:E1631)</f>
        <v>11</v>
      </c>
      <c r="F1632" s="32">
        <f>SUM(F1606:F1631)</f>
        <v>10</v>
      </c>
      <c r="G1632" s="5">
        <f>SUM(B1632:F1632)</f>
        <v>61</v>
      </c>
      <c r="I1632" s="3" t="s">
        <v>11</v>
      </c>
      <c r="J1632" s="23">
        <f>SUM(J1606:J1631)</f>
        <v>15</v>
      </c>
      <c r="K1632" s="4">
        <f>SUM(K1606:K1631)</f>
        <v>23</v>
      </c>
      <c r="L1632" s="4">
        <f>SUM(L1606:L1631)</f>
        <v>13</v>
      </c>
      <c r="M1632" s="6">
        <f>SUM(M1606:M1631)</f>
        <v>15</v>
      </c>
      <c r="N1632" s="6">
        <f>SUM(N1606:N1631)</f>
        <v>8</v>
      </c>
      <c r="O1632" s="5">
        <f>SUM(J1632:N1632)</f>
        <v>74</v>
      </c>
    </row>
    <row r="1633" spans="1:16" ht="14.25" thickBot="1" x14ac:dyDescent="0.2">
      <c r="A1633" s="25" t="s">
        <v>12</v>
      </c>
      <c r="B1633" s="63">
        <f>B1605-B1632</f>
        <v>6</v>
      </c>
      <c r="C1633" s="26">
        <f t="shared" ref="C1633:G1633" si="462">C1605-C1632</f>
        <v>10</v>
      </c>
      <c r="D1633" s="71">
        <f t="shared" si="462"/>
        <v>7</v>
      </c>
      <c r="E1633" s="26">
        <f t="shared" si="462"/>
        <v>9</v>
      </c>
      <c r="F1633" s="70">
        <f t="shared" si="462"/>
        <v>6</v>
      </c>
      <c r="G1633" s="27">
        <f t="shared" si="462"/>
        <v>38</v>
      </c>
      <c r="I1633" s="25" t="s">
        <v>12</v>
      </c>
      <c r="J1633" s="63">
        <f>J1605-J1632</f>
        <v>150</v>
      </c>
      <c r="K1633" s="26">
        <f t="shared" ref="K1633:O1633" si="463">K1605-K1632</f>
        <v>175</v>
      </c>
      <c r="L1633" s="71">
        <f t="shared" si="463"/>
        <v>128</v>
      </c>
      <c r="M1633" s="26">
        <f t="shared" si="463"/>
        <v>161</v>
      </c>
      <c r="N1633" s="70">
        <f t="shared" si="463"/>
        <v>192</v>
      </c>
      <c r="O1633" s="27">
        <f t="shared" si="463"/>
        <v>806</v>
      </c>
    </row>
    <row r="1634" spans="1:16" ht="17.25" x14ac:dyDescent="0.2">
      <c r="A1634" s="79" t="s">
        <v>56</v>
      </c>
      <c r="B1634" s="80"/>
      <c r="C1634" s="80"/>
      <c r="D1634" s="80"/>
      <c r="E1634" s="80"/>
      <c r="F1634" s="80"/>
      <c r="G1634" s="80"/>
      <c r="I1634" s="79" t="s">
        <v>56</v>
      </c>
      <c r="J1634" s="80"/>
      <c r="K1634" s="80"/>
      <c r="L1634" s="80"/>
      <c r="M1634" s="80"/>
      <c r="N1634" s="80"/>
      <c r="O1634" s="1"/>
    </row>
    <row r="1635" spans="1:16" ht="21.75" thickBot="1" x14ac:dyDescent="0.25">
      <c r="A1635" s="82" t="s">
        <v>55</v>
      </c>
      <c r="B1635" s="80"/>
      <c r="C1635" s="80"/>
      <c r="D1635" s="80"/>
      <c r="E1635" s="81" t="s">
        <v>53</v>
      </c>
      <c r="F1635" s="80"/>
      <c r="G1635" s="80"/>
      <c r="I1635" s="82" t="s">
        <v>55</v>
      </c>
      <c r="J1635" s="80"/>
      <c r="K1635" s="80"/>
      <c r="L1635" s="80"/>
      <c r="M1635" s="81" t="s">
        <v>54</v>
      </c>
      <c r="N1635" s="80"/>
      <c r="O1635" s="1"/>
    </row>
    <row r="1636" spans="1:16" ht="14.25" thickBot="1" x14ac:dyDescent="0.2">
      <c r="A1636" s="13" t="s">
        <v>0</v>
      </c>
      <c r="B1636" s="228" t="s">
        <v>57</v>
      </c>
      <c r="C1636" s="229"/>
      <c r="D1636" s="229"/>
      <c r="E1636" s="229"/>
      <c r="F1636" s="230"/>
      <c r="G1636" s="231"/>
      <c r="I1636" s="13" t="s">
        <v>0</v>
      </c>
      <c r="J1636" s="232" t="s">
        <v>57</v>
      </c>
      <c r="K1636" s="233"/>
      <c r="L1636" s="233"/>
      <c r="M1636" s="233"/>
      <c r="N1636" s="233"/>
      <c r="O1636" s="234"/>
    </row>
    <row r="1637" spans="1:16" ht="14.25" thickBot="1" x14ac:dyDescent="0.2">
      <c r="A1637" s="3" t="s">
        <v>1</v>
      </c>
      <c r="B1637" s="2" t="s">
        <v>42</v>
      </c>
      <c r="C1637" s="21" t="s">
        <v>43</v>
      </c>
      <c r="D1637" s="21" t="s">
        <v>44</v>
      </c>
      <c r="E1637" s="24" t="s">
        <v>45</v>
      </c>
      <c r="F1637" s="33" t="s">
        <v>46</v>
      </c>
      <c r="G1637" s="3" t="s">
        <v>2</v>
      </c>
      <c r="I1637" s="3" t="s">
        <v>1</v>
      </c>
      <c r="J1637" s="2" t="s">
        <v>42</v>
      </c>
      <c r="K1637" s="21" t="s">
        <v>43</v>
      </c>
      <c r="L1637" s="21" t="s">
        <v>44</v>
      </c>
      <c r="M1637" s="24" t="s">
        <v>45</v>
      </c>
      <c r="N1637" s="33" t="s">
        <v>46</v>
      </c>
      <c r="O1637" s="3" t="s">
        <v>2</v>
      </c>
    </row>
    <row r="1638" spans="1:16" ht="14.25" thickBot="1" x14ac:dyDescent="0.2">
      <c r="A1638" s="72" t="s">
        <v>79</v>
      </c>
      <c r="B1638" s="73">
        <f>B1633</f>
        <v>6</v>
      </c>
      <c r="C1638" s="74">
        <f t="shared" ref="C1638:F1638" si="464">C1633</f>
        <v>10</v>
      </c>
      <c r="D1638" s="107">
        <f t="shared" si="464"/>
        <v>7</v>
      </c>
      <c r="E1638" s="75">
        <f t="shared" si="464"/>
        <v>9</v>
      </c>
      <c r="F1638" s="75">
        <f t="shared" si="464"/>
        <v>6</v>
      </c>
      <c r="G1638" s="76">
        <f t="shared" ref="G1638:G1647" si="465">SUM(B1638:F1638)</f>
        <v>38</v>
      </c>
      <c r="I1638" s="72" t="s">
        <v>79</v>
      </c>
      <c r="J1638" s="73">
        <f>J1633</f>
        <v>150</v>
      </c>
      <c r="K1638" s="74">
        <f t="shared" ref="K1638:N1638" si="466">K1633</f>
        <v>175</v>
      </c>
      <c r="L1638" s="107">
        <f t="shared" si="466"/>
        <v>128</v>
      </c>
      <c r="M1638" s="75">
        <f t="shared" si="466"/>
        <v>161</v>
      </c>
      <c r="N1638" s="75">
        <f t="shared" si="466"/>
        <v>192</v>
      </c>
      <c r="O1638" s="76">
        <f t="shared" ref="O1638:O1647" si="467">SUM(J1638:N1638)</f>
        <v>806</v>
      </c>
    </row>
    <row r="1639" spans="1:16" x14ac:dyDescent="0.15">
      <c r="A1639" s="38" t="s">
        <v>17</v>
      </c>
      <c r="B1639" s="37"/>
      <c r="C1639" s="35"/>
      <c r="D1639" s="35"/>
      <c r="E1639" s="35"/>
      <c r="F1639" s="28">
        <v>1</v>
      </c>
      <c r="G1639" s="7">
        <f t="shared" si="465"/>
        <v>1</v>
      </c>
      <c r="H1639" s="58">
        <v>43823</v>
      </c>
      <c r="I1639" s="38" t="s">
        <v>9</v>
      </c>
      <c r="J1639" s="8">
        <v>9</v>
      </c>
      <c r="K1639" s="10"/>
      <c r="L1639" s="10"/>
      <c r="M1639" s="10">
        <v>2</v>
      </c>
      <c r="N1639" s="30">
        <v>1</v>
      </c>
      <c r="O1639" s="7">
        <f t="shared" si="467"/>
        <v>12</v>
      </c>
      <c r="P1639" s="57">
        <v>43862</v>
      </c>
    </row>
    <row r="1640" spans="1:16" x14ac:dyDescent="0.15">
      <c r="A1640" s="38" t="s">
        <v>1234</v>
      </c>
      <c r="B1640" s="8"/>
      <c r="C1640" s="10"/>
      <c r="D1640" s="10"/>
      <c r="E1640" s="10">
        <v>1</v>
      </c>
      <c r="F1640" s="28"/>
      <c r="G1640" s="9">
        <f t="shared" si="465"/>
        <v>1</v>
      </c>
      <c r="H1640" s="58">
        <v>43837</v>
      </c>
      <c r="I1640" s="38" t="s">
        <v>16</v>
      </c>
      <c r="J1640" s="8"/>
      <c r="K1640" s="10"/>
      <c r="L1640" s="10"/>
      <c r="M1640" s="10"/>
      <c r="N1640" s="28"/>
      <c r="O1640" s="9">
        <f t="shared" si="467"/>
        <v>0</v>
      </c>
      <c r="P1640" s="58"/>
    </row>
    <row r="1641" spans="1:16" x14ac:dyDescent="0.15">
      <c r="A1641" s="38" t="s">
        <v>19</v>
      </c>
      <c r="B1641" s="8"/>
      <c r="C1641" s="10"/>
      <c r="D1641" s="10"/>
      <c r="E1641" s="10">
        <v>1</v>
      </c>
      <c r="F1641" s="28">
        <v>1</v>
      </c>
      <c r="G1641" s="9">
        <f t="shared" si="465"/>
        <v>2</v>
      </c>
      <c r="H1641" s="58">
        <v>43848</v>
      </c>
      <c r="I1641" s="15" t="s">
        <v>18</v>
      </c>
      <c r="J1641" s="8"/>
      <c r="K1641" s="10"/>
      <c r="L1641" s="10"/>
      <c r="M1641" s="10"/>
      <c r="N1641" s="28"/>
      <c r="O1641" s="9">
        <f t="shared" si="467"/>
        <v>0</v>
      </c>
      <c r="P1641" s="56"/>
    </row>
    <row r="1642" spans="1:16" x14ac:dyDescent="0.15">
      <c r="A1642" s="38" t="s">
        <v>183</v>
      </c>
      <c r="B1642" s="8">
        <v>9</v>
      </c>
      <c r="C1642" s="10"/>
      <c r="D1642" s="10"/>
      <c r="E1642" s="10">
        <v>2</v>
      </c>
      <c r="F1642" s="28">
        <v>1</v>
      </c>
      <c r="G1642" s="9">
        <f t="shared" si="465"/>
        <v>12</v>
      </c>
      <c r="H1642" s="58">
        <v>43853</v>
      </c>
      <c r="I1642" s="15" t="s">
        <v>20</v>
      </c>
      <c r="J1642" s="8"/>
      <c r="K1642" s="10"/>
      <c r="L1642" s="10"/>
      <c r="M1642" s="10"/>
      <c r="N1642" s="28"/>
      <c r="O1642" s="9">
        <f t="shared" si="467"/>
        <v>0</v>
      </c>
    </row>
    <row r="1643" spans="1:16" x14ac:dyDescent="0.15">
      <c r="A1643" s="38" t="s">
        <v>411</v>
      </c>
      <c r="B1643" s="8"/>
      <c r="C1643" s="10">
        <v>1</v>
      </c>
      <c r="D1643" s="10"/>
      <c r="E1643" s="10"/>
      <c r="F1643" s="28"/>
      <c r="G1643" s="9">
        <f t="shared" si="465"/>
        <v>1</v>
      </c>
      <c r="H1643" s="58">
        <v>43888</v>
      </c>
      <c r="I1643" s="15" t="s">
        <v>80</v>
      </c>
      <c r="J1643" s="8"/>
      <c r="K1643" s="10"/>
      <c r="L1643" s="10"/>
      <c r="M1643" s="10"/>
      <c r="N1643" s="28"/>
      <c r="O1643" s="9">
        <f t="shared" si="467"/>
        <v>0</v>
      </c>
    </row>
    <row r="1644" spans="1:16" x14ac:dyDescent="0.15">
      <c r="A1644" s="38" t="s">
        <v>19</v>
      </c>
      <c r="B1644" s="8"/>
      <c r="C1644" s="10"/>
      <c r="D1644" s="10"/>
      <c r="E1644" s="10"/>
      <c r="F1644" s="28">
        <v>3</v>
      </c>
      <c r="G1644" s="9">
        <f t="shared" si="465"/>
        <v>3</v>
      </c>
      <c r="H1644" s="58">
        <v>43890</v>
      </c>
      <c r="I1644" s="15" t="s">
        <v>81</v>
      </c>
      <c r="J1644" s="8"/>
      <c r="K1644" s="10"/>
      <c r="L1644" s="10"/>
      <c r="M1644" s="10"/>
      <c r="N1644" s="28"/>
      <c r="O1644" s="9">
        <f t="shared" si="467"/>
        <v>0</v>
      </c>
    </row>
    <row r="1645" spans="1:16" x14ac:dyDescent="0.15">
      <c r="A1645" s="38" t="s">
        <v>19</v>
      </c>
      <c r="B1645" s="8"/>
      <c r="C1645" s="10"/>
      <c r="D1645" s="10"/>
      <c r="E1645" s="10">
        <v>1</v>
      </c>
      <c r="F1645" s="30"/>
      <c r="G1645" s="7">
        <f t="shared" si="465"/>
        <v>1</v>
      </c>
      <c r="H1645" s="58">
        <v>43907</v>
      </c>
      <c r="I1645" s="15" t="s">
        <v>82</v>
      </c>
      <c r="J1645" s="8"/>
      <c r="K1645" s="10"/>
      <c r="L1645" s="10"/>
      <c r="M1645" s="10"/>
      <c r="N1645" s="30"/>
      <c r="O1645" s="7">
        <f t="shared" si="467"/>
        <v>0</v>
      </c>
    </row>
    <row r="1646" spans="1:16" x14ac:dyDescent="0.15">
      <c r="A1646" s="38" t="s">
        <v>83</v>
      </c>
      <c r="B1646" s="11"/>
      <c r="C1646" s="100"/>
      <c r="D1646" s="100"/>
      <c r="E1646" s="100"/>
      <c r="F1646" s="101"/>
      <c r="G1646" s="102">
        <f t="shared" si="465"/>
        <v>0</v>
      </c>
      <c r="H1646" s="58"/>
      <c r="I1646" s="15" t="s">
        <v>83</v>
      </c>
      <c r="J1646" s="8"/>
      <c r="K1646" s="10"/>
      <c r="L1646" s="10"/>
      <c r="M1646" s="10"/>
      <c r="N1646" s="30"/>
      <c r="O1646" s="7">
        <f t="shared" si="467"/>
        <v>0</v>
      </c>
    </row>
    <row r="1647" spans="1:16" ht="14.25" thickBot="1" x14ac:dyDescent="0.2">
      <c r="A1647" s="38" t="s">
        <v>159</v>
      </c>
      <c r="B1647" s="11"/>
      <c r="C1647" s="100"/>
      <c r="D1647" s="100"/>
      <c r="E1647" s="100"/>
      <c r="F1647" s="101"/>
      <c r="G1647" s="102">
        <f t="shared" si="465"/>
        <v>0</v>
      </c>
      <c r="H1647" s="56"/>
      <c r="I1647" s="15" t="s">
        <v>87</v>
      </c>
      <c r="J1647" s="11"/>
      <c r="K1647" s="100"/>
      <c r="L1647" s="100"/>
      <c r="M1647" s="100"/>
      <c r="N1647" s="101"/>
      <c r="O1647" s="102">
        <f t="shared" si="467"/>
        <v>0</v>
      </c>
    </row>
    <row r="1648" spans="1:16" ht="14.25" thickBot="1" x14ac:dyDescent="0.2">
      <c r="A1648" s="72" t="s">
        <v>7</v>
      </c>
      <c r="B1648" s="73">
        <f>SUM(B1638:B1647)</f>
        <v>15</v>
      </c>
      <c r="C1648" s="74">
        <f t="shared" ref="C1648:G1648" si="468">SUM(C1638:C1647)</f>
        <v>11</v>
      </c>
      <c r="D1648" s="74">
        <f t="shared" si="468"/>
        <v>7</v>
      </c>
      <c r="E1648" s="74">
        <f t="shared" si="468"/>
        <v>14</v>
      </c>
      <c r="F1648" s="105">
        <f t="shared" si="468"/>
        <v>12</v>
      </c>
      <c r="G1648" s="76">
        <f t="shared" si="468"/>
        <v>59</v>
      </c>
      <c r="I1648" s="72" t="s">
        <v>7</v>
      </c>
      <c r="J1648" s="73">
        <f>SUM(J1638:J1647)</f>
        <v>159</v>
      </c>
      <c r="K1648" s="74">
        <f t="shared" ref="K1648:O1648" si="469">SUM(K1638:K1647)</f>
        <v>175</v>
      </c>
      <c r="L1648" s="74">
        <f t="shared" si="469"/>
        <v>128</v>
      </c>
      <c r="M1648" s="74">
        <f t="shared" si="469"/>
        <v>163</v>
      </c>
      <c r="N1648" s="105">
        <f t="shared" si="469"/>
        <v>193</v>
      </c>
      <c r="O1648" s="76">
        <f t="shared" si="469"/>
        <v>818</v>
      </c>
    </row>
    <row r="1649" spans="1:18" x14ac:dyDescent="0.15">
      <c r="A1649" s="14" t="s">
        <v>117</v>
      </c>
      <c r="B1649" s="8"/>
      <c r="C1649" s="10">
        <v>1</v>
      </c>
      <c r="D1649" s="10"/>
      <c r="E1649" s="10"/>
      <c r="F1649" s="30"/>
      <c r="G1649" s="7">
        <f t="shared" ref="G1649:G1674" si="470">SUM(B1649:F1649)</f>
        <v>1</v>
      </c>
      <c r="H1649" s="58">
        <v>43837</v>
      </c>
      <c r="I1649" s="14" t="s">
        <v>25</v>
      </c>
      <c r="J1649" s="17"/>
      <c r="K1649" s="22">
        <v>1</v>
      </c>
      <c r="L1649" s="22"/>
      <c r="M1649" s="22"/>
      <c r="N1649" s="29"/>
      <c r="O1649" s="18">
        <f t="shared" ref="O1649:O1662" si="471">SUM(J1649:N1649)</f>
        <v>1</v>
      </c>
      <c r="P1649" s="58">
        <v>43816</v>
      </c>
    </row>
    <row r="1650" spans="1:18" x14ac:dyDescent="0.15">
      <c r="A1650" s="14" t="s">
        <v>29</v>
      </c>
      <c r="B1650" s="8"/>
      <c r="C1650" s="10"/>
      <c r="D1650" s="10"/>
      <c r="E1650" s="10">
        <v>1</v>
      </c>
      <c r="F1650" s="30"/>
      <c r="G1650" s="7">
        <f t="shared" si="470"/>
        <v>1</v>
      </c>
      <c r="H1650" s="58">
        <v>43840</v>
      </c>
      <c r="I1650" s="16" t="s">
        <v>22</v>
      </c>
      <c r="J1650" s="8"/>
      <c r="K1650" s="10"/>
      <c r="L1650" s="10"/>
      <c r="M1650" s="10"/>
      <c r="N1650" s="28">
        <v>10</v>
      </c>
      <c r="O1650" s="9">
        <f t="shared" si="471"/>
        <v>10</v>
      </c>
      <c r="P1650" s="58">
        <v>43823</v>
      </c>
    </row>
    <row r="1651" spans="1:18" x14ac:dyDescent="0.15">
      <c r="A1651" s="14" t="s">
        <v>29</v>
      </c>
      <c r="B1651" s="8"/>
      <c r="C1651" s="10"/>
      <c r="D1651" s="10"/>
      <c r="E1651" s="10">
        <v>1</v>
      </c>
      <c r="F1651" s="30"/>
      <c r="G1651" s="7">
        <f t="shared" si="470"/>
        <v>1</v>
      </c>
      <c r="H1651" s="58">
        <v>43841</v>
      </c>
      <c r="I1651" s="16" t="s">
        <v>22</v>
      </c>
      <c r="J1651" s="8"/>
      <c r="K1651" s="10"/>
      <c r="L1651" s="10">
        <v>10</v>
      </c>
      <c r="M1651" s="10"/>
      <c r="N1651" s="30"/>
      <c r="O1651" s="7">
        <f t="shared" si="471"/>
        <v>10</v>
      </c>
      <c r="P1651" s="58">
        <v>43473</v>
      </c>
    </row>
    <row r="1652" spans="1:18" x14ac:dyDescent="0.15">
      <c r="A1652" s="14" t="s">
        <v>29</v>
      </c>
      <c r="B1652" s="8"/>
      <c r="C1652" s="10"/>
      <c r="D1652" s="10">
        <v>1</v>
      </c>
      <c r="E1652" s="10"/>
      <c r="F1652" s="30"/>
      <c r="G1652" s="7">
        <f t="shared" si="470"/>
        <v>1</v>
      </c>
      <c r="H1652" s="58">
        <v>43844</v>
      </c>
      <c r="I1652" s="14" t="s">
        <v>25</v>
      </c>
      <c r="J1652" s="8"/>
      <c r="K1652" s="10">
        <v>1</v>
      </c>
      <c r="L1652" s="10"/>
      <c r="M1652" s="10">
        <v>1</v>
      </c>
      <c r="N1652" s="30"/>
      <c r="O1652" s="7">
        <f t="shared" si="471"/>
        <v>2</v>
      </c>
      <c r="P1652" s="58">
        <v>43827</v>
      </c>
      <c r="Q1652" s="56"/>
    </row>
    <row r="1653" spans="1:18" x14ac:dyDescent="0.15">
      <c r="A1653" s="14" t="s">
        <v>1252</v>
      </c>
      <c r="B1653" s="8">
        <v>9</v>
      </c>
      <c r="C1653" s="10"/>
      <c r="D1653" s="10"/>
      <c r="E1653" s="10">
        <v>2</v>
      </c>
      <c r="F1653" s="30">
        <v>1</v>
      </c>
      <c r="G1653" s="7">
        <f t="shared" si="470"/>
        <v>12</v>
      </c>
      <c r="H1653" s="58">
        <v>43862</v>
      </c>
      <c r="I1653" s="16" t="s">
        <v>22</v>
      </c>
      <c r="J1653" s="8"/>
      <c r="K1653" s="10"/>
      <c r="L1653" s="10"/>
      <c r="M1653" s="10">
        <v>10</v>
      </c>
      <c r="N1653" s="30"/>
      <c r="O1653" s="7">
        <f t="shared" si="471"/>
        <v>10</v>
      </c>
      <c r="P1653" s="58">
        <v>43846</v>
      </c>
      <c r="Q1653" s="56"/>
    </row>
    <row r="1654" spans="1:18" x14ac:dyDescent="0.15">
      <c r="A1654" s="14" t="s">
        <v>29</v>
      </c>
      <c r="B1654" s="8"/>
      <c r="C1654" s="10"/>
      <c r="D1654" s="10"/>
      <c r="E1654" s="10">
        <v>1</v>
      </c>
      <c r="F1654" s="30">
        <v>2</v>
      </c>
      <c r="G1654" s="7">
        <f t="shared" si="470"/>
        <v>3</v>
      </c>
      <c r="H1654" s="58">
        <v>43864</v>
      </c>
      <c r="I1654" s="14" t="s">
        <v>25</v>
      </c>
      <c r="J1654" s="8"/>
      <c r="K1654" s="10"/>
      <c r="L1654" s="10"/>
      <c r="M1654" s="10"/>
      <c r="N1654" s="30">
        <v>1</v>
      </c>
      <c r="O1654" s="7">
        <f t="shared" si="471"/>
        <v>1</v>
      </c>
      <c r="P1654" s="58">
        <v>43845</v>
      </c>
      <c r="Q1654" s="56"/>
    </row>
    <row r="1655" spans="1:18" x14ac:dyDescent="0.15">
      <c r="A1655" s="14" t="s">
        <v>117</v>
      </c>
      <c r="B1655" s="8"/>
      <c r="C1655" s="10"/>
      <c r="D1655" s="10">
        <v>1</v>
      </c>
      <c r="E1655" s="10"/>
      <c r="F1655" s="30"/>
      <c r="G1655" s="7">
        <f t="shared" si="470"/>
        <v>1</v>
      </c>
      <c r="H1655" s="58">
        <v>43880</v>
      </c>
      <c r="I1655" s="14" t="s">
        <v>25</v>
      </c>
      <c r="J1655" s="8"/>
      <c r="K1655" s="10"/>
      <c r="L1655" s="10"/>
      <c r="M1655" s="10"/>
      <c r="N1655" s="30">
        <v>1</v>
      </c>
      <c r="O1655" s="7">
        <f t="shared" si="471"/>
        <v>1</v>
      </c>
      <c r="P1655" s="58">
        <v>43851</v>
      </c>
      <c r="Q1655" s="56"/>
    </row>
    <row r="1656" spans="1:18" x14ac:dyDescent="0.15">
      <c r="A1656" s="14" t="s">
        <v>117</v>
      </c>
      <c r="B1656" s="8"/>
      <c r="C1656" s="10"/>
      <c r="D1656" s="10"/>
      <c r="E1656" s="10"/>
      <c r="F1656" s="30">
        <v>2</v>
      </c>
      <c r="G1656" s="7">
        <f t="shared" si="470"/>
        <v>2</v>
      </c>
      <c r="H1656" s="58">
        <v>43882</v>
      </c>
      <c r="I1656" s="16" t="s">
        <v>22</v>
      </c>
      <c r="J1656" s="8"/>
      <c r="K1656" s="10">
        <v>10</v>
      </c>
      <c r="L1656" s="10"/>
      <c r="M1656" s="10"/>
      <c r="N1656" s="30"/>
      <c r="O1656" s="7">
        <f t="shared" si="471"/>
        <v>10</v>
      </c>
      <c r="P1656" s="58">
        <v>43868</v>
      </c>
      <c r="Q1656" s="56"/>
    </row>
    <row r="1657" spans="1:18" x14ac:dyDescent="0.15">
      <c r="A1657" s="14" t="s">
        <v>1274</v>
      </c>
      <c r="B1657" s="8"/>
      <c r="C1657" s="10">
        <v>1</v>
      </c>
      <c r="D1657" s="10"/>
      <c r="E1657" s="10"/>
      <c r="F1657" s="30"/>
      <c r="G1657" s="7">
        <f t="shared" si="470"/>
        <v>1</v>
      </c>
      <c r="H1657" s="58">
        <v>43886</v>
      </c>
      <c r="I1657" s="14" t="s">
        <v>25</v>
      </c>
      <c r="J1657" s="8"/>
      <c r="K1657" s="10"/>
      <c r="L1657" s="10"/>
      <c r="M1657" s="10">
        <v>1</v>
      </c>
      <c r="N1657" s="30"/>
      <c r="O1657" s="7">
        <f t="shared" si="471"/>
        <v>1</v>
      </c>
      <c r="P1657" s="58">
        <v>43871</v>
      </c>
      <c r="Q1657" s="56"/>
    </row>
    <row r="1658" spans="1:18" x14ac:dyDescent="0.15">
      <c r="A1658" s="14" t="s">
        <v>117</v>
      </c>
      <c r="B1658" s="11">
        <v>1</v>
      </c>
      <c r="C1658" s="12"/>
      <c r="D1658" s="12"/>
      <c r="E1658" s="12"/>
      <c r="F1658" s="31"/>
      <c r="G1658" s="7">
        <f t="shared" si="470"/>
        <v>1</v>
      </c>
      <c r="H1658" s="58">
        <v>43893</v>
      </c>
      <c r="I1658" s="14" t="s">
        <v>25</v>
      </c>
      <c r="J1658" s="11"/>
      <c r="K1658" s="12"/>
      <c r="L1658" s="12"/>
      <c r="M1658" s="12"/>
      <c r="N1658" s="31">
        <v>1</v>
      </c>
      <c r="O1658" s="7">
        <f t="shared" si="471"/>
        <v>1</v>
      </c>
      <c r="P1658" s="58">
        <v>43873</v>
      </c>
      <c r="Q1658" s="56"/>
    </row>
    <row r="1659" spans="1:18" x14ac:dyDescent="0.15">
      <c r="A1659" s="14" t="s">
        <v>29</v>
      </c>
      <c r="B1659" s="11"/>
      <c r="C1659" s="12"/>
      <c r="D1659" s="12"/>
      <c r="E1659" s="12">
        <v>1</v>
      </c>
      <c r="F1659" s="31"/>
      <c r="G1659" s="7">
        <f t="shared" si="470"/>
        <v>1</v>
      </c>
      <c r="H1659" s="58">
        <v>43896</v>
      </c>
      <c r="I1659" s="14" t="s">
        <v>25</v>
      </c>
      <c r="J1659" s="8"/>
      <c r="K1659" s="10">
        <v>1</v>
      </c>
      <c r="L1659" s="10"/>
      <c r="M1659" s="10"/>
      <c r="N1659" s="30">
        <v>1</v>
      </c>
      <c r="O1659" s="7">
        <f t="shared" si="471"/>
        <v>2</v>
      </c>
      <c r="P1659" s="58">
        <v>43875</v>
      </c>
    </row>
    <row r="1660" spans="1:18" x14ac:dyDescent="0.15">
      <c r="A1660" s="14" t="s">
        <v>1284</v>
      </c>
      <c r="B1660" s="8"/>
      <c r="C1660" s="10">
        <v>1</v>
      </c>
      <c r="D1660" s="10"/>
      <c r="E1660" s="10"/>
      <c r="F1660" s="30"/>
      <c r="G1660" s="7">
        <f t="shared" si="470"/>
        <v>1</v>
      </c>
      <c r="H1660" s="58">
        <v>43903</v>
      </c>
      <c r="I1660" s="14" t="s">
        <v>25</v>
      </c>
      <c r="J1660" s="8"/>
      <c r="K1660" s="10"/>
      <c r="L1660" s="10"/>
      <c r="M1660" s="10">
        <v>1</v>
      </c>
      <c r="N1660" s="30"/>
      <c r="O1660" s="7">
        <f t="shared" si="471"/>
        <v>1</v>
      </c>
      <c r="P1660" s="58">
        <v>43880</v>
      </c>
    </row>
    <row r="1661" spans="1:18" x14ac:dyDescent="0.15">
      <c r="A1661" s="14" t="s">
        <v>25</v>
      </c>
      <c r="B1661" s="8"/>
      <c r="C1661" s="10"/>
      <c r="D1661" s="10"/>
      <c r="E1661" s="10">
        <v>1</v>
      </c>
      <c r="F1661" s="30"/>
      <c r="G1661" s="7">
        <f t="shared" si="470"/>
        <v>1</v>
      </c>
      <c r="H1661" s="58">
        <v>43907</v>
      </c>
      <c r="I1661" s="51" t="s">
        <v>1278</v>
      </c>
      <c r="J1661" s="8"/>
      <c r="K1661" s="10"/>
      <c r="L1661" s="10"/>
      <c r="M1661" s="10"/>
      <c r="N1661" s="30">
        <v>3</v>
      </c>
      <c r="O1661" s="7">
        <f t="shared" si="471"/>
        <v>3</v>
      </c>
      <c r="P1661" s="58">
        <v>43890</v>
      </c>
      <c r="Q1661" s="56"/>
      <c r="R1661" s="56"/>
    </row>
    <row r="1662" spans="1:18" x14ac:dyDescent="0.15">
      <c r="A1662" s="14"/>
      <c r="B1662" s="8"/>
      <c r="C1662" s="10"/>
      <c r="D1662" s="10"/>
      <c r="E1662" s="10"/>
      <c r="F1662" s="30"/>
      <c r="G1662" s="7">
        <f t="shared" si="470"/>
        <v>0</v>
      </c>
      <c r="H1662" s="58"/>
      <c r="I1662" s="14" t="s">
        <v>25</v>
      </c>
      <c r="J1662" s="8"/>
      <c r="K1662" s="10"/>
      <c r="L1662" s="10"/>
      <c r="M1662" s="10"/>
      <c r="N1662" s="30">
        <v>1</v>
      </c>
      <c r="O1662" s="7">
        <f t="shared" si="471"/>
        <v>1</v>
      </c>
      <c r="P1662" s="58">
        <v>43895</v>
      </c>
      <c r="Q1662" s="56"/>
      <c r="R1662" s="56"/>
    </row>
    <row r="1663" spans="1:18" x14ac:dyDescent="0.15">
      <c r="A1663" s="14"/>
      <c r="B1663" s="8"/>
      <c r="C1663" s="10"/>
      <c r="D1663" s="10"/>
      <c r="E1663" s="10"/>
      <c r="F1663" s="30"/>
      <c r="G1663" s="7">
        <f t="shared" si="470"/>
        <v>0</v>
      </c>
      <c r="H1663" s="58"/>
      <c r="I1663" s="14" t="s">
        <v>25</v>
      </c>
      <c r="J1663" s="8"/>
      <c r="K1663" s="10"/>
      <c r="L1663" s="10"/>
      <c r="M1663" s="10">
        <v>1</v>
      </c>
      <c r="N1663" s="30"/>
      <c r="O1663" s="7">
        <f>SUM(J1663:N1663)</f>
        <v>1</v>
      </c>
      <c r="P1663" s="58">
        <v>43901</v>
      </c>
      <c r="Q1663" s="56"/>
      <c r="R1663" s="56"/>
    </row>
    <row r="1664" spans="1:18" x14ac:dyDescent="0.15">
      <c r="A1664" s="14"/>
      <c r="B1664" s="8"/>
      <c r="C1664" s="10"/>
      <c r="D1664" s="10"/>
      <c r="E1664" s="10"/>
      <c r="F1664" s="30"/>
      <c r="G1664" s="7">
        <f t="shared" si="470"/>
        <v>0</v>
      </c>
      <c r="H1664" s="58"/>
      <c r="I1664" s="16" t="s">
        <v>1288</v>
      </c>
      <c r="J1664" s="11"/>
      <c r="K1664" s="12">
        <v>2</v>
      </c>
      <c r="L1664" s="12">
        <v>2</v>
      </c>
      <c r="M1664" s="12"/>
      <c r="N1664" s="31">
        <v>2</v>
      </c>
      <c r="O1664" s="7">
        <f t="shared" ref="O1664:O1672" si="472">SUM(J1664:N1664)</f>
        <v>6</v>
      </c>
      <c r="P1664" s="58">
        <v>43908</v>
      </c>
      <c r="Q1664" s="56"/>
      <c r="R1664" s="56"/>
    </row>
    <row r="1665" spans="1:18" x14ac:dyDescent="0.15">
      <c r="A1665" s="14"/>
      <c r="B1665" s="8"/>
      <c r="C1665" s="10"/>
      <c r="D1665" s="10"/>
      <c r="E1665" s="10"/>
      <c r="F1665" s="30"/>
      <c r="G1665" s="7">
        <f t="shared" si="470"/>
        <v>0</v>
      </c>
      <c r="H1665" s="58"/>
      <c r="I1665" s="14" t="s">
        <v>25</v>
      </c>
      <c r="J1665" s="8"/>
      <c r="K1665" s="10"/>
      <c r="L1665" s="10"/>
      <c r="M1665" s="10">
        <v>1</v>
      </c>
      <c r="N1665" s="30">
        <v>1</v>
      </c>
      <c r="O1665" s="7">
        <f t="shared" si="472"/>
        <v>2</v>
      </c>
      <c r="P1665" s="58">
        <v>43908</v>
      </c>
    </row>
    <row r="1666" spans="1:18" x14ac:dyDescent="0.15">
      <c r="A1666" s="14"/>
      <c r="B1666" s="8"/>
      <c r="C1666" s="10"/>
      <c r="D1666" s="10"/>
      <c r="E1666" s="10"/>
      <c r="F1666" s="30"/>
      <c r="G1666" s="7">
        <f t="shared" si="470"/>
        <v>0</v>
      </c>
      <c r="H1666" s="58"/>
      <c r="I1666" s="14"/>
      <c r="J1666" s="11"/>
      <c r="K1666" s="12"/>
      <c r="L1666" s="12"/>
      <c r="M1666" s="12"/>
      <c r="N1666" s="31"/>
      <c r="O1666" s="7">
        <f t="shared" si="472"/>
        <v>0</v>
      </c>
      <c r="P1666" s="58"/>
    </row>
    <row r="1667" spans="1:18" x14ac:dyDescent="0.15">
      <c r="A1667" s="14"/>
      <c r="B1667" s="8"/>
      <c r="C1667" s="10"/>
      <c r="D1667" s="10"/>
      <c r="E1667" s="10"/>
      <c r="F1667" s="30"/>
      <c r="G1667" s="7">
        <f t="shared" si="470"/>
        <v>0</v>
      </c>
      <c r="H1667" s="58"/>
      <c r="I1667" s="16" t="s">
        <v>1208</v>
      </c>
      <c r="J1667" s="11"/>
      <c r="K1667" s="12"/>
      <c r="L1667" s="12"/>
      <c r="M1667" s="12"/>
      <c r="N1667" s="31"/>
      <c r="O1667" s="7">
        <f t="shared" si="472"/>
        <v>0</v>
      </c>
      <c r="P1667" s="58" t="s">
        <v>1206</v>
      </c>
    </row>
    <row r="1668" spans="1:18" x14ac:dyDescent="0.15">
      <c r="A1668" s="14"/>
      <c r="B1668" s="8"/>
      <c r="C1668" s="10"/>
      <c r="D1668" s="10"/>
      <c r="E1668" s="10"/>
      <c r="F1668" s="30"/>
      <c r="G1668" s="7">
        <f t="shared" si="470"/>
        <v>0</v>
      </c>
      <c r="H1668" s="58"/>
      <c r="I1668" s="64" t="s">
        <v>1157</v>
      </c>
      <c r="J1668" s="11"/>
      <c r="K1668" s="12"/>
      <c r="L1668" s="12"/>
      <c r="M1668" s="12"/>
      <c r="N1668" s="31"/>
      <c r="O1668" s="7">
        <f t="shared" si="472"/>
        <v>0</v>
      </c>
      <c r="P1668" s="58" t="s">
        <v>1158</v>
      </c>
    </row>
    <row r="1669" spans="1:18" x14ac:dyDescent="0.15">
      <c r="A1669" s="14"/>
      <c r="B1669" s="8"/>
      <c r="C1669" s="10"/>
      <c r="D1669" s="10"/>
      <c r="E1669" s="10"/>
      <c r="F1669" s="30"/>
      <c r="G1669" s="7">
        <f t="shared" si="470"/>
        <v>0</v>
      </c>
      <c r="H1669" s="58"/>
      <c r="I1669" s="64" t="s">
        <v>1148</v>
      </c>
      <c r="J1669" s="11"/>
      <c r="K1669" s="12"/>
      <c r="L1669" s="12"/>
      <c r="M1669" s="12"/>
      <c r="N1669" s="31"/>
      <c r="O1669" s="7">
        <f t="shared" si="472"/>
        <v>0</v>
      </c>
      <c r="P1669" s="58" t="s">
        <v>1147</v>
      </c>
    </row>
    <row r="1670" spans="1:18" x14ac:dyDescent="0.15">
      <c r="A1670" s="14"/>
      <c r="B1670" s="11"/>
      <c r="C1670" s="12"/>
      <c r="D1670" s="12"/>
      <c r="E1670" s="12"/>
      <c r="F1670" s="31"/>
      <c r="G1670" s="7">
        <f t="shared" si="470"/>
        <v>0</v>
      </c>
      <c r="H1670" s="58"/>
      <c r="I1670" s="16" t="s">
        <v>1242</v>
      </c>
      <c r="J1670" s="11"/>
      <c r="K1670" s="12"/>
      <c r="L1670" s="12"/>
      <c r="M1670" s="12"/>
      <c r="N1670" s="31"/>
      <c r="O1670" s="7">
        <f t="shared" si="472"/>
        <v>0</v>
      </c>
      <c r="P1670" s="58" t="s">
        <v>1241</v>
      </c>
      <c r="Q1670" s="56"/>
      <c r="R1670" s="56"/>
    </row>
    <row r="1671" spans="1:18" x14ac:dyDescent="0.15">
      <c r="A1671" s="14"/>
      <c r="B1671" s="8"/>
      <c r="C1671" s="10"/>
      <c r="D1671" s="10"/>
      <c r="E1671" s="10"/>
      <c r="F1671" s="30"/>
      <c r="G1671" s="7">
        <f t="shared" si="470"/>
        <v>0</v>
      </c>
      <c r="H1671" s="58"/>
      <c r="I1671" s="16"/>
      <c r="J1671" s="11"/>
      <c r="K1671" s="12"/>
      <c r="L1671" s="12"/>
      <c r="M1671" s="12"/>
      <c r="N1671" s="31"/>
      <c r="O1671" s="7">
        <f t="shared" si="472"/>
        <v>0</v>
      </c>
      <c r="P1671" s="58"/>
      <c r="Q1671" s="56"/>
      <c r="R1671" s="56"/>
    </row>
    <row r="1672" spans="1:18" x14ac:dyDescent="0.15">
      <c r="A1672" s="14"/>
      <c r="B1672" s="8"/>
      <c r="C1672" s="10"/>
      <c r="D1672" s="10"/>
      <c r="E1672" s="10"/>
      <c r="F1672" s="30"/>
      <c r="G1672" s="7">
        <f t="shared" si="470"/>
        <v>0</v>
      </c>
      <c r="H1672" s="58"/>
      <c r="I1672" s="16" t="s">
        <v>1276</v>
      </c>
      <c r="J1672" s="11"/>
      <c r="K1672" s="12"/>
      <c r="L1672" s="12"/>
      <c r="M1672" s="12"/>
      <c r="N1672" s="31"/>
      <c r="O1672" s="7">
        <f t="shared" si="472"/>
        <v>0</v>
      </c>
      <c r="P1672" s="58" t="s">
        <v>1275</v>
      </c>
    </row>
    <row r="1673" spans="1:18" x14ac:dyDescent="0.15">
      <c r="A1673" s="14"/>
      <c r="B1673" s="8"/>
      <c r="C1673" s="10"/>
      <c r="D1673" s="10"/>
      <c r="E1673" s="10"/>
      <c r="F1673" s="30"/>
      <c r="G1673" s="7">
        <f t="shared" si="470"/>
        <v>0</v>
      </c>
      <c r="H1673" s="58"/>
      <c r="I1673" s="16" t="s">
        <v>1262</v>
      </c>
      <c r="J1673" s="11"/>
      <c r="K1673" s="12"/>
      <c r="L1673" s="12"/>
      <c r="M1673" s="12"/>
      <c r="N1673" s="31"/>
      <c r="O1673" s="7">
        <f t="shared" ref="O1673:O1674" si="473">SUM(J1673:N1673)</f>
        <v>0</v>
      </c>
      <c r="P1673" s="58" t="s">
        <v>1263</v>
      </c>
    </row>
    <row r="1674" spans="1:18" ht="14.25" thickBot="1" x14ac:dyDescent="0.2">
      <c r="A1674" s="51"/>
      <c r="B1674" s="11"/>
      <c r="C1674" s="12"/>
      <c r="D1674" s="12"/>
      <c r="E1674" s="12"/>
      <c r="F1674" s="31"/>
      <c r="G1674" s="7">
        <f t="shared" si="470"/>
        <v>0</v>
      </c>
      <c r="H1674" s="58"/>
      <c r="I1674" s="14" t="s">
        <v>1134</v>
      </c>
      <c r="J1674" s="11"/>
      <c r="K1674" s="12"/>
      <c r="L1674" s="12"/>
      <c r="M1674" s="12"/>
      <c r="N1674" s="31"/>
      <c r="O1674" s="7">
        <f t="shared" si="473"/>
        <v>0</v>
      </c>
      <c r="P1674" s="58" t="s">
        <v>1135</v>
      </c>
    </row>
    <row r="1675" spans="1:18" ht="14.25" thickBot="1" x14ac:dyDescent="0.2">
      <c r="A1675" s="3" t="s">
        <v>11</v>
      </c>
      <c r="B1675" s="23">
        <f>SUM(B1649:B1674)</f>
        <v>10</v>
      </c>
      <c r="C1675" s="4">
        <f>SUM(C1649:C1674)</f>
        <v>3</v>
      </c>
      <c r="D1675" s="4">
        <f>SUM(D1649:D1674)</f>
        <v>2</v>
      </c>
      <c r="E1675" s="6">
        <f>SUM(E1649:E1674)</f>
        <v>7</v>
      </c>
      <c r="F1675" s="32">
        <f>SUM(F1649:F1674)</f>
        <v>5</v>
      </c>
      <c r="G1675" s="5">
        <f>SUM(B1675:F1675)</f>
        <v>27</v>
      </c>
      <c r="I1675" s="3" t="s">
        <v>11</v>
      </c>
      <c r="J1675" s="23">
        <f>SUM(J1649:J1674)</f>
        <v>0</v>
      </c>
      <c r="K1675" s="4">
        <f>SUM(K1649:K1674)</f>
        <v>15</v>
      </c>
      <c r="L1675" s="4">
        <f>SUM(L1649:L1674)</f>
        <v>12</v>
      </c>
      <c r="M1675" s="6">
        <f>SUM(M1649:M1674)</f>
        <v>15</v>
      </c>
      <c r="N1675" s="6">
        <f>SUM(N1649:N1674)</f>
        <v>21</v>
      </c>
      <c r="O1675" s="5">
        <f>SUM(J1675:N1675)</f>
        <v>63</v>
      </c>
    </row>
    <row r="1676" spans="1:18" ht="14.25" thickBot="1" x14ac:dyDescent="0.2">
      <c r="A1676" s="25" t="s">
        <v>12</v>
      </c>
      <c r="B1676" s="63">
        <f>B1648-B1675</f>
        <v>5</v>
      </c>
      <c r="C1676" s="26">
        <f t="shared" ref="C1676:G1676" si="474">C1648-C1675</f>
        <v>8</v>
      </c>
      <c r="D1676" s="71">
        <f t="shared" si="474"/>
        <v>5</v>
      </c>
      <c r="E1676" s="26">
        <f t="shared" si="474"/>
        <v>7</v>
      </c>
      <c r="F1676" s="70">
        <f t="shared" si="474"/>
        <v>7</v>
      </c>
      <c r="G1676" s="27">
        <f t="shared" si="474"/>
        <v>32</v>
      </c>
      <c r="I1676" s="25" t="s">
        <v>12</v>
      </c>
      <c r="J1676" s="63">
        <f>J1648-J1675</f>
        <v>159</v>
      </c>
      <c r="K1676" s="26">
        <f t="shared" ref="K1676:O1676" si="475">K1648-K1675</f>
        <v>160</v>
      </c>
      <c r="L1676" s="71">
        <f t="shared" si="475"/>
        <v>116</v>
      </c>
      <c r="M1676" s="26">
        <f t="shared" si="475"/>
        <v>148</v>
      </c>
      <c r="N1676" s="70">
        <f t="shared" si="475"/>
        <v>172</v>
      </c>
      <c r="O1676" s="27">
        <f t="shared" si="475"/>
        <v>755</v>
      </c>
    </row>
    <row r="1677" spans="1:18" ht="17.25" x14ac:dyDescent="0.2">
      <c r="A1677" s="79" t="s">
        <v>56</v>
      </c>
      <c r="B1677" s="80"/>
      <c r="C1677" s="80"/>
      <c r="D1677" s="80"/>
      <c r="E1677" s="80"/>
      <c r="F1677" s="80"/>
      <c r="G1677" s="80"/>
      <c r="I1677" s="79" t="s">
        <v>56</v>
      </c>
      <c r="J1677" s="80"/>
      <c r="K1677" s="80"/>
      <c r="L1677" s="80"/>
      <c r="M1677" s="80"/>
      <c r="N1677" s="80"/>
      <c r="O1677" s="1"/>
    </row>
    <row r="1678" spans="1:18" ht="21.75" thickBot="1" x14ac:dyDescent="0.25">
      <c r="A1678" s="82" t="s">
        <v>55</v>
      </c>
      <c r="B1678" s="80"/>
      <c r="C1678" s="80"/>
      <c r="D1678" s="80"/>
      <c r="E1678" s="81" t="s">
        <v>53</v>
      </c>
      <c r="F1678" s="80"/>
      <c r="G1678" s="80"/>
      <c r="I1678" s="82" t="s">
        <v>55</v>
      </c>
      <c r="J1678" s="80"/>
      <c r="K1678" s="80"/>
      <c r="L1678" s="80"/>
      <c r="M1678" s="81" t="s">
        <v>54</v>
      </c>
      <c r="N1678" s="80"/>
      <c r="O1678" s="1"/>
    </row>
    <row r="1679" spans="1:18" ht="14.25" thickBot="1" x14ac:dyDescent="0.2">
      <c r="A1679" s="13" t="s">
        <v>0</v>
      </c>
      <c r="B1679" s="228" t="s">
        <v>57</v>
      </c>
      <c r="C1679" s="229"/>
      <c r="D1679" s="229"/>
      <c r="E1679" s="229"/>
      <c r="F1679" s="230"/>
      <c r="G1679" s="231"/>
      <c r="I1679" s="13" t="s">
        <v>0</v>
      </c>
      <c r="J1679" s="232" t="s">
        <v>57</v>
      </c>
      <c r="K1679" s="233"/>
      <c r="L1679" s="233"/>
      <c r="M1679" s="233"/>
      <c r="N1679" s="233"/>
      <c r="O1679" s="234"/>
    </row>
    <row r="1680" spans="1:18" ht="14.25" thickBot="1" x14ac:dyDescent="0.2">
      <c r="A1680" s="3" t="s">
        <v>1</v>
      </c>
      <c r="B1680" s="2" t="s">
        <v>42</v>
      </c>
      <c r="C1680" s="21" t="s">
        <v>43</v>
      </c>
      <c r="D1680" s="21" t="s">
        <v>44</v>
      </c>
      <c r="E1680" s="24" t="s">
        <v>45</v>
      </c>
      <c r="F1680" s="33" t="s">
        <v>46</v>
      </c>
      <c r="G1680" s="3" t="s">
        <v>2</v>
      </c>
      <c r="I1680" s="3" t="s">
        <v>1</v>
      </c>
      <c r="J1680" s="2" t="s">
        <v>42</v>
      </c>
      <c r="K1680" s="21" t="s">
        <v>43</v>
      </c>
      <c r="L1680" s="21" t="s">
        <v>44</v>
      </c>
      <c r="M1680" s="24" t="s">
        <v>45</v>
      </c>
      <c r="N1680" s="33" t="s">
        <v>46</v>
      </c>
      <c r="O1680" s="3" t="s">
        <v>2</v>
      </c>
    </row>
    <row r="1681" spans="1:17" ht="14.25" thickBot="1" x14ac:dyDescent="0.2">
      <c r="A1681" s="72" t="s">
        <v>79</v>
      </c>
      <c r="B1681" s="73">
        <f>B1676</f>
        <v>5</v>
      </c>
      <c r="C1681" s="74">
        <f t="shared" ref="C1681:F1681" si="476">C1676</f>
        <v>8</v>
      </c>
      <c r="D1681" s="107">
        <f t="shared" si="476"/>
        <v>5</v>
      </c>
      <c r="E1681" s="75">
        <f t="shared" si="476"/>
        <v>7</v>
      </c>
      <c r="F1681" s="75">
        <f t="shared" si="476"/>
        <v>7</v>
      </c>
      <c r="G1681" s="76">
        <f t="shared" ref="G1681:G1690" si="477">SUM(B1681:F1681)</f>
        <v>32</v>
      </c>
      <c r="I1681" s="72" t="s">
        <v>79</v>
      </c>
      <c r="J1681" s="73">
        <f>J1676</f>
        <v>159</v>
      </c>
      <c r="K1681" s="74">
        <f t="shared" ref="K1681:N1681" si="478">K1676</f>
        <v>160</v>
      </c>
      <c r="L1681" s="107">
        <f t="shared" si="478"/>
        <v>116</v>
      </c>
      <c r="M1681" s="75">
        <f t="shared" si="478"/>
        <v>148</v>
      </c>
      <c r="N1681" s="75">
        <f t="shared" si="478"/>
        <v>172</v>
      </c>
      <c r="O1681" s="76">
        <f t="shared" ref="O1681:O1690" si="479">SUM(J1681:N1681)</f>
        <v>755</v>
      </c>
    </row>
    <row r="1682" spans="1:17" x14ac:dyDescent="0.15">
      <c r="A1682" s="38" t="s">
        <v>17</v>
      </c>
      <c r="B1682" s="37">
        <v>1</v>
      </c>
      <c r="C1682" s="35"/>
      <c r="D1682" s="35"/>
      <c r="E1682" s="35"/>
      <c r="F1682" s="28"/>
      <c r="G1682" s="7">
        <f t="shared" si="477"/>
        <v>1</v>
      </c>
      <c r="H1682" s="58">
        <v>43916</v>
      </c>
      <c r="I1682" s="38" t="s">
        <v>15</v>
      </c>
      <c r="J1682" s="8"/>
      <c r="K1682" s="10"/>
      <c r="L1682" s="10"/>
      <c r="M1682" s="10"/>
      <c r="N1682" s="30"/>
      <c r="O1682" s="7">
        <f t="shared" si="479"/>
        <v>0</v>
      </c>
    </row>
    <row r="1683" spans="1:17" x14ac:dyDescent="0.15">
      <c r="A1683" s="38" t="s">
        <v>17</v>
      </c>
      <c r="B1683" s="8"/>
      <c r="C1683" s="10"/>
      <c r="D1683" s="10"/>
      <c r="E1683" s="10">
        <v>1</v>
      </c>
      <c r="F1683" s="28"/>
      <c r="G1683" s="9">
        <f t="shared" si="477"/>
        <v>1</v>
      </c>
      <c r="H1683" s="58">
        <v>43930</v>
      </c>
      <c r="I1683" s="38" t="s">
        <v>16</v>
      </c>
      <c r="J1683" s="8"/>
      <c r="K1683" s="10"/>
      <c r="L1683" s="10"/>
      <c r="M1683" s="10"/>
      <c r="N1683" s="28"/>
      <c r="O1683" s="9">
        <f t="shared" si="479"/>
        <v>0</v>
      </c>
    </row>
    <row r="1684" spans="1:17" x14ac:dyDescent="0.15">
      <c r="A1684" s="38" t="s">
        <v>261</v>
      </c>
      <c r="B1684" s="8"/>
      <c r="C1684" s="10">
        <v>2</v>
      </c>
      <c r="D1684" s="10">
        <v>1</v>
      </c>
      <c r="E1684" s="10"/>
      <c r="F1684" s="28">
        <v>2</v>
      </c>
      <c r="G1684" s="9">
        <f t="shared" si="477"/>
        <v>5</v>
      </c>
      <c r="H1684" s="58">
        <v>43941</v>
      </c>
      <c r="I1684" s="15" t="s">
        <v>18</v>
      </c>
      <c r="J1684" s="8"/>
      <c r="K1684" s="10"/>
      <c r="L1684" s="10"/>
      <c r="M1684" s="10"/>
      <c r="N1684" s="28"/>
      <c r="O1684" s="9">
        <f t="shared" si="479"/>
        <v>0</v>
      </c>
    </row>
    <row r="1685" spans="1:17" x14ac:dyDescent="0.15">
      <c r="A1685" s="38" t="s">
        <v>20</v>
      </c>
      <c r="B1685" s="8">
        <v>3</v>
      </c>
      <c r="C1685" s="10"/>
      <c r="D1685" s="10"/>
      <c r="E1685" s="10">
        <v>3</v>
      </c>
      <c r="F1685" s="28"/>
      <c r="G1685" s="9">
        <f t="shared" si="477"/>
        <v>6</v>
      </c>
      <c r="H1685" s="58">
        <v>43959</v>
      </c>
      <c r="I1685" s="15" t="s">
        <v>20</v>
      </c>
      <c r="J1685" s="8"/>
      <c r="K1685" s="10"/>
      <c r="L1685" s="10"/>
      <c r="M1685" s="10"/>
      <c r="N1685" s="28"/>
      <c r="O1685" s="9">
        <f t="shared" si="479"/>
        <v>0</v>
      </c>
    </row>
    <row r="1686" spans="1:17" x14ac:dyDescent="0.15">
      <c r="A1686" s="38" t="s">
        <v>17</v>
      </c>
      <c r="B1686" s="8">
        <v>1</v>
      </c>
      <c r="C1686" s="10"/>
      <c r="D1686" s="10"/>
      <c r="E1686" s="10"/>
      <c r="F1686" s="28"/>
      <c r="G1686" s="9">
        <f t="shared" si="477"/>
        <v>1</v>
      </c>
      <c r="H1686" s="58">
        <v>43964</v>
      </c>
      <c r="I1686" s="15" t="s">
        <v>80</v>
      </c>
      <c r="J1686" s="8"/>
      <c r="K1686" s="10"/>
      <c r="L1686" s="10"/>
      <c r="M1686" s="10"/>
      <c r="N1686" s="28"/>
      <c r="O1686" s="9">
        <f t="shared" si="479"/>
        <v>0</v>
      </c>
    </row>
    <row r="1687" spans="1:17" x14ac:dyDescent="0.15">
      <c r="A1687" s="38" t="s">
        <v>81</v>
      </c>
      <c r="B1687" s="8"/>
      <c r="C1687" s="10"/>
      <c r="D1687" s="10"/>
      <c r="E1687" s="10">
        <v>5</v>
      </c>
      <c r="F1687" s="28"/>
      <c r="G1687" s="9">
        <f t="shared" si="477"/>
        <v>5</v>
      </c>
      <c r="H1687" s="58">
        <v>43970</v>
      </c>
      <c r="I1687" s="15" t="s">
        <v>81</v>
      </c>
      <c r="J1687" s="8"/>
      <c r="K1687" s="10"/>
      <c r="L1687" s="10"/>
      <c r="M1687" s="10"/>
      <c r="N1687" s="28"/>
      <c r="O1687" s="9">
        <f t="shared" si="479"/>
        <v>0</v>
      </c>
    </row>
    <row r="1688" spans="1:17" x14ac:dyDescent="0.15">
      <c r="A1688" s="38" t="s">
        <v>17</v>
      </c>
      <c r="B1688" s="8"/>
      <c r="C1688" s="10"/>
      <c r="D1688" s="10"/>
      <c r="E1688" s="10">
        <v>1</v>
      </c>
      <c r="F1688" s="30"/>
      <c r="G1688" s="7">
        <f t="shared" si="477"/>
        <v>1</v>
      </c>
      <c r="H1688" s="58">
        <v>43993</v>
      </c>
      <c r="I1688" s="15" t="s">
        <v>82</v>
      </c>
      <c r="J1688" s="8"/>
      <c r="K1688" s="10"/>
      <c r="L1688" s="10"/>
      <c r="M1688" s="10"/>
      <c r="N1688" s="30"/>
      <c r="O1688" s="7">
        <f t="shared" si="479"/>
        <v>0</v>
      </c>
    </row>
    <row r="1689" spans="1:17" x14ac:dyDescent="0.15">
      <c r="A1689" s="38" t="s">
        <v>83</v>
      </c>
      <c r="B1689" s="11"/>
      <c r="C1689" s="100"/>
      <c r="D1689" s="100">
        <v>5</v>
      </c>
      <c r="E1689" s="100"/>
      <c r="F1689" s="101"/>
      <c r="G1689" s="102">
        <f t="shared" si="477"/>
        <v>5</v>
      </c>
      <c r="H1689" s="58">
        <v>44005</v>
      </c>
      <c r="I1689" s="15" t="s">
        <v>83</v>
      </c>
      <c r="J1689" s="8"/>
      <c r="K1689" s="10"/>
      <c r="L1689" s="10"/>
      <c r="M1689" s="10"/>
      <c r="N1689" s="30"/>
      <c r="O1689" s="7">
        <f t="shared" si="479"/>
        <v>0</v>
      </c>
    </row>
    <row r="1690" spans="1:17" ht="14.25" thickBot="1" x14ac:dyDescent="0.2">
      <c r="A1690" s="38" t="s">
        <v>159</v>
      </c>
      <c r="B1690" s="11">
        <v>5</v>
      </c>
      <c r="C1690" s="100"/>
      <c r="D1690" s="100"/>
      <c r="E1690" s="100"/>
      <c r="F1690" s="101"/>
      <c r="G1690" s="102">
        <f t="shared" si="477"/>
        <v>5</v>
      </c>
      <c r="H1690" s="58">
        <v>44016</v>
      </c>
      <c r="I1690" s="15" t="s">
        <v>87</v>
      </c>
      <c r="J1690" s="11"/>
      <c r="K1690" s="100"/>
      <c r="L1690" s="100"/>
      <c r="M1690" s="100"/>
      <c r="N1690" s="101"/>
      <c r="O1690" s="102">
        <f t="shared" si="479"/>
        <v>0</v>
      </c>
    </row>
    <row r="1691" spans="1:17" ht="14.25" thickBot="1" x14ac:dyDescent="0.2">
      <c r="A1691" s="72" t="s">
        <v>7</v>
      </c>
      <c r="B1691" s="73">
        <f>SUM(B1681:B1690)</f>
        <v>15</v>
      </c>
      <c r="C1691" s="74">
        <f t="shared" ref="C1691:G1691" si="480">SUM(C1681:C1690)</f>
        <v>10</v>
      </c>
      <c r="D1691" s="74">
        <f t="shared" si="480"/>
        <v>11</v>
      </c>
      <c r="E1691" s="74">
        <f t="shared" si="480"/>
        <v>17</v>
      </c>
      <c r="F1691" s="105">
        <f t="shared" si="480"/>
        <v>9</v>
      </c>
      <c r="G1691" s="76">
        <f t="shared" si="480"/>
        <v>62</v>
      </c>
      <c r="I1691" s="72" t="s">
        <v>7</v>
      </c>
      <c r="J1691" s="73">
        <f>SUM(J1681:J1690)</f>
        <v>159</v>
      </c>
      <c r="K1691" s="74">
        <f t="shared" ref="K1691:O1691" si="481">SUM(K1681:K1690)</f>
        <v>160</v>
      </c>
      <c r="L1691" s="74">
        <f t="shared" si="481"/>
        <v>116</v>
      </c>
      <c r="M1691" s="74">
        <f t="shared" si="481"/>
        <v>148</v>
      </c>
      <c r="N1691" s="105">
        <f t="shared" si="481"/>
        <v>172</v>
      </c>
      <c r="O1691" s="76">
        <f t="shared" si="481"/>
        <v>755</v>
      </c>
    </row>
    <row r="1692" spans="1:17" x14ac:dyDescent="0.15">
      <c r="A1692" s="14" t="s">
        <v>1291</v>
      </c>
      <c r="B1692" s="8">
        <v>1</v>
      </c>
      <c r="C1692" s="10">
        <v>1</v>
      </c>
      <c r="D1692" s="10"/>
      <c r="E1692" s="10">
        <v>1</v>
      </c>
      <c r="F1692" s="30">
        <v>1</v>
      </c>
      <c r="G1692" s="7">
        <f t="shared" ref="G1692:G1717" si="482">SUM(B1692:F1692)</f>
        <v>4</v>
      </c>
      <c r="H1692" s="58">
        <v>43916</v>
      </c>
      <c r="I1692" s="14" t="s">
        <v>25</v>
      </c>
      <c r="J1692" s="17"/>
      <c r="K1692" s="22"/>
      <c r="L1692" s="22"/>
      <c r="M1692" s="22">
        <v>1</v>
      </c>
      <c r="N1692" s="29"/>
      <c r="O1692" s="18">
        <f t="shared" ref="O1692:O1705" si="483">SUM(J1692:N1692)</f>
        <v>1</v>
      </c>
      <c r="P1692" s="58">
        <v>43910</v>
      </c>
    </row>
    <row r="1693" spans="1:17" x14ac:dyDescent="0.15">
      <c r="A1693" s="14" t="s">
        <v>110</v>
      </c>
      <c r="B1693" s="8"/>
      <c r="C1693" s="10"/>
      <c r="D1693" s="10"/>
      <c r="E1693" s="10">
        <v>2</v>
      </c>
      <c r="F1693" s="30"/>
      <c r="G1693" s="7">
        <f t="shared" si="482"/>
        <v>2</v>
      </c>
      <c r="H1693" s="58">
        <v>43924</v>
      </c>
      <c r="I1693" s="14" t="s">
        <v>25</v>
      </c>
      <c r="J1693" s="8"/>
      <c r="K1693" s="10">
        <v>1</v>
      </c>
      <c r="L1693" s="10"/>
      <c r="M1693" s="10"/>
      <c r="N1693" s="28"/>
      <c r="O1693" s="9">
        <f t="shared" si="483"/>
        <v>1</v>
      </c>
      <c r="P1693" s="58">
        <v>43914</v>
      </c>
      <c r="Q1693" s="56"/>
    </row>
    <row r="1694" spans="1:17" x14ac:dyDescent="0.15">
      <c r="A1694" s="14" t="s">
        <v>25</v>
      </c>
      <c r="B1694" s="8">
        <v>1</v>
      </c>
      <c r="C1694" s="10">
        <v>1</v>
      </c>
      <c r="D1694" s="10"/>
      <c r="E1694" s="10"/>
      <c r="F1694" s="30"/>
      <c r="G1694" s="7">
        <f t="shared" si="482"/>
        <v>2</v>
      </c>
      <c r="H1694" s="58">
        <v>43950</v>
      </c>
      <c r="I1694" s="14" t="s">
        <v>25</v>
      </c>
      <c r="J1694" s="8"/>
      <c r="K1694" s="10"/>
      <c r="L1694" s="10"/>
      <c r="M1694" s="10"/>
      <c r="N1694" s="30">
        <v>1</v>
      </c>
      <c r="O1694" s="7">
        <f t="shared" si="483"/>
        <v>1</v>
      </c>
      <c r="P1694" s="58">
        <v>43915</v>
      </c>
    </row>
    <row r="1695" spans="1:17" x14ac:dyDescent="0.15">
      <c r="A1695" s="14" t="s">
        <v>25</v>
      </c>
      <c r="B1695" s="8"/>
      <c r="C1695" s="10">
        <v>1</v>
      </c>
      <c r="D1695" s="10"/>
      <c r="E1695" s="10"/>
      <c r="F1695" s="30"/>
      <c r="G1695" s="7">
        <f t="shared" si="482"/>
        <v>1</v>
      </c>
      <c r="H1695" s="58">
        <v>43953</v>
      </c>
      <c r="I1695" s="14" t="s">
        <v>25</v>
      </c>
      <c r="J1695" s="8"/>
      <c r="K1695" s="10">
        <v>1</v>
      </c>
      <c r="L1695" s="10"/>
      <c r="M1695" s="10"/>
      <c r="N1695" s="30"/>
      <c r="O1695" s="7">
        <f t="shared" si="483"/>
        <v>1</v>
      </c>
      <c r="P1695" s="58">
        <v>43916</v>
      </c>
      <c r="Q1695" s="56"/>
    </row>
    <row r="1696" spans="1:17" x14ac:dyDescent="0.15">
      <c r="A1696" s="14" t="s">
        <v>1303</v>
      </c>
      <c r="B1696" s="8"/>
      <c r="C1696" s="10"/>
      <c r="D1696" s="10"/>
      <c r="E1696" s="10">
        <v>2</v>
      </c>
      <c r="F1696" s="30"/>
      <c r="G1696" s="7">
        <f t="shared" si="482"/>
        <v>2</v>
      </c>
      <c r="H1696" s="58">
        <v>43959</v>
      </c>
      <c r="I1696" s="14" t="s">
        <v>25</v>
      </c>
      <c r="J1696" s="8"/>
      <c r="K1696" s="10">
        <v>1</v>
      </c>
      <c r="L1696" s="10"/>
      <c r="M1696" s="10"/>
      <c r="N1696" s="30"/>
      <c r="O1696" s="7">
        <f t="shared" si="483"/>
        <v>1</v>
      </c>
      <c r="P1696" s="58">
        <v>43924</v>
      </c>
    </row>
    <row r="1697" spans="1:21" x14ac:dyDescent="0.15">
      <c r="A1697" s="14" t="s">
        <v>110</v>
      </c>
      <c r="B1697" s="8"/>
      <c r="C1697" s="10"/>
      <c r="D1697" s="10"/>
      <c r="E1697" s="10">
        <v>2</v>
      </c>
      <c r="F1697" s="30">
        <v>2</v>
      </c>
      <c r="G1697" s="7">
        <f t="shared" si="482"/>
        <v>4</v>
      </c>
      <c r="H1697" s="58">
        <v>43963</v>
      </c>
      <c r="I1697" s="16" t="s">
        <v>22</v>
      </c>
      <c r="J1697" s="8"/>
      <c r="K1697" s="10"/>
      <c r="L1697" s="10">
        <v>10</v>
      </c>
      <c r="M1697" s="10"/>
      <c r="N1697" s="30">
        <v>10</v>
      </c>
      <c r="O1697" s="7">
        <f t="shared" si="483"/>
        <v>20</v>
      </c>
      <c r="P1697" s="58">
        <v>43929</v>
      </c>
    </row>
    <row r="1698" spans="1:21" x14ac:dyDescent="0.15">
      <c r="A1698" s="14" t="s">
        <v>110</v>
      </c>
      <c r="B1698" s="8"/>
      <c r="C1698" s="10"/>
      <c r="D1698" s="10"/>
      <c r="E1698" s="10">
        <v>3</v>
      </c>
      <c r="F1698" s="30"/>
      <c r="G1698" s="7">
        <f t="shared" si="482"/>
        <v>3</v>
      </c>
      <c r="H1698" s="58">
        <v>43972</v>
      </c>
      <c r="I1698" s="14" t="s">
        <v>110</v>
      </c>
      <c r="J1698" s="8"/>
      <c r="K1698" s="10"/>
      <c r="L1698" s="10"/>
      <c r="M1698" s="10"/>
      <c r="N1698" s="30">
        <v>4</v>
      </c>
      <c r="O1698" s="7">
        <f t="shared" si="483"/>
        <v>4</v>
      </c>
      <c r="P1698" s="58">
        <v>43930</v>
      </c>
    </row>
    <row r="1699" spans="1:21" x14ac:dyDescent="0.15">
      <c r="A1699" s="14" t="s">
        <v>25</v>
      </c>
      <c r="B1699" s="8"/>
      <c r="C1699" s="10"/>
      <c r="D1699" s="10"/>
      <c r="E1699" s="10">
        <v>1</v>
      </c>
      <c r="F1699" s="30"/>
      <c r="G1699" s="7">
        <f t="shared" si="482"/>
        <v>1</v>
      </c>
      <c r="H1699" s="58">
        <v>43978</v>
      </c>
      <c r="I1699" s="14" t="s">
        <v>25</v>
      </c>
      <c r="J1699" s="8">
        <v>1</v>
      </c>
      <c r="K1699" s="10"/>
      <c r="L1699" s="10"/>
      <c r="M1699" s="10"/>
      <c r="N1699" s="30"/>
      <c r="O1699" s="7">
        <f t="shared" si="483"/>
        <v>1</v>
      </c>
      <c r="P1699" s="58">
        <v>43938</v>
      </c>
    </row>
    <row r="1700" spans="1:21" x14ac:dyDescent="0.15">
      <c r="A1700" s="14" t="s">
        <v>1315</v>
      </c>
      <c r="B1700" s="8"/>
      <c r="C1700" s="10"/>
      <c r="D1700" s="10">
        <v>1</v>
      </c>
      <c r="E1700" s="10"/>
      <c r="F1700" s="30"/>
      <c r="G1700" s="7">
        <f t="shared" si="482"/>
        <v>1</v>
      </c>
      <c r="H1700" s="58">
        <v>43984</v>
      </c>
      <c r="I1700" s="16" t="s">
        <v>1304</v>
      </c>
      <c r="J1700" s="8">
        <v>3</v>
      </c>
      <c r="K1700" s="10"/>
      <c r="L1700" s="10"/>
      <c r="M1700" s="10">
        <v>3</v>
      </c>
      <c r="N1700" s="30"/>
      <c r="O1700" s="7">
        <f t="shared" si="483"/>
        <v>6</v>
      </c>
      <c r="P1700" s="58">
        <v>43959</v>
      </c>
    </row>
    <row r="1701" spans="1:21" x14ac:dyDescent="0.15">
      <c r="A1701" s="14" t="s">
        <v>117</v>
      </c>
      <c r="B1701" s="11"/>
      <c r="C1701" s="12"/>
      <c r="D1701" s="12">
        <v>1</v>
      </c>
      <c r="E1701" s="12"/>
      <c r="F1701" s="31"/>
      <c r="G1701" s="7">
        <f t="shared" si="482"/>
        <v>1</v>
      </c>
      <c r="H1701" s="58">
        <v>43986</v>
      </c>
      <c r="I1701" s="16" t="s">
        <v>24</v>
      </c>
      <c r="J1701" s="11"/>
      <c r="K1701" s="12"/>
      <c r="L1701" s="12"/>
      <c r="M1701" s="12">
        <v>5</v>
      </c>
      <c r="N1701" s="31"/>
      <c r="O1701" s="7">
        <f t="shared" si="483"/>
        <v>5</v>
      </c>
      <c r="P1701" s="58">
        <v>43970</v>
      </c>
      <c r="Q1701" s="56"/>
    </row>
    <row r="1702" spans="1:21" x14ac:dyDescent="0.15">
      <c r="A1702" s="14" t="s">
        <v>29</v>
      </c>
      <c r="B1702" s="11"/>
      <c r="C1702" s="12"/>
      <c r="D1702" s="12"/>
      <c r="E1702" s="12">
        <v>1</v>
      </c>
      <c r="F1702" s="31"/>
      <c r="G1702" s="7">
        <f t="shared" si="482"/>
        <v>1</v>
      </c>
      <c r="H1702" s="58">
        <v>43986</v>
      </c>
      <c r="I1702" s="14" t="s">
        <v>25</v>
      </c>
      <c r="J1702" s="8"/>
      <c r="K1702" s="10"/>
      <c r="L1702" s="10"/>
      <c r="M1702" s="10"/>
      <c r="N1702" s="30">
        <v>1</v>
      </c>
      <c r="O1702" s="7">
        <f t="shared" si="483"/>
        <v>1</v>
      </c>
      <c r="P1702" s="58">
        <v>43972</v>
      </c>
      <c r="Q1702" s="56"/>
    </row>
    <row r="1703" spans="1:21" x14ac:dyDescent="0.15">
      <c r="A1703" s="14" t="s">
        <v>25</v>
      </c>
      <c r="B1703" s="8"/>
      <c r="C1703" s="10"/>
      <c r="D1703" s="10"/>
      <c r="E1703" s="10"/>
      <c r="F1703" s="30">
        <v>1</v>
      </c>
      <c r="G1703" s="7">
        <f t="shared" si="482"/>
        <v>1</v>
      </c>
      <c r="H1703" s="58">
        <v>43991</v>
      </c>
      <c r="I1703" s="14" t="s">
        <v>110</v>
      </c>
      <c r="J1703" s="8"/>
      <c r="K1703" s="10"/>
      <c r="L1703" s="10">
        <v>6</v>
      </c>
      <c r="M1703" s="10"/>
      <c r="N1703" s="30"/>
      <c r="O1703" s="7">
        <f t="shared" si="483"/>
        <v>6</v>
      </c>
      <c r="P1703" s="58">
        <v>44005</v>
      </c>
      <c r="Q1703" s="56"/>
    </row>
    <row r="1704" spans="1:21" x14ac:dyDescent="0.15">
      <c r="A1704" s="14" t="s">
        <v>29</v>
      </c>
      <c r="B1704" s="8">
        <v>1</v>
      </c>
      <c r="C1704" s="10"/>
      <c r="D1704" s="10"/>
      <c r="E1704" s="10"/>
      <c r="F1704" s="30"/>
      <c r="G1704" s="7">
        <f t="shared" si="482"/>
        <v>1</v>
      </c>
      <c r="H1704" s="58">
        <v>43991</v>
      </c>
      <c r="I1704" s="16" t="s">
        <v>24</v>
      </c>
      <c r="J1704" s="8"/>
      <c r="K1704" s="10"/>
      <c r="L1704" s="10">
        <v>5</v>
      </c>
      <c r="M1704" s="10"/>
      <c r="N1704" s="30"/>
      <c r="O1704" s="7">
        <f t="shared" si="483"/>
        <v>5</v>
      </c>
      <c r="P1704" s="58">
        <v>44005</v>
      </c>
      <c r="Q1704" s="56"/>
    </row>
    <row r="1705" spans="1:21" x14ac:dyDescent="0.15">
      <c r="A1705" s="14" t="s">
        <v>117</v>
      </c>
      <c r="B1705" s="8">
        <v>1</v>
      </c>
      <c r="C1705" s="10"/>
      <c r="D1705" s="10"/>
      <c r="E1705" s="10"/>
      <c r="F1705" s="30"/>
      <c r="G1705" s="7">
        <f t="shared" si="482"/>
        <v>1</v>
      </c>
      <c r="H1705" s="58">
        <v>43998</v>
      </c>
      <c r="I1705" s="14" t="s">
        <v>25</v>
      </c>
      <c r="J1705" s="8">
        <v>1</v>
      </c>
      <c r="K1705" s="10"/>
      <c r="L1705" s="10">
        <v>1</v>
      </c>
      <c r="M1705" s="10"/>
      <c r="N1705" s="30"/>
      <c r="O1705" s="7">
        <f t="shared" si="483"/>
        <v>2</v>
      </c>
      <c r="P1705" s="58">
        <v>44006</v>
      </c>
      <c r="Q1705" s="56"/>
      <c r="R1705" s="56"/>
    </row>
    <row r="1706" spans="1:21" x14ac:dyDescent="0.15">
      <c r="A1706" s="14" t="s">
        <v>110</v>
      </c>
      <c r="B1706" s="8"/>
      <c r="C1706" s="10"/>
      <c r="D1706" s="10">
        <v>4</v>
      </c>
      <c r="E1706" s="10"/>
      <c r="F1706" s="30"/>
      <c r="G1706" s="7">
        <f t="shared" si="482"/>
        <v>4</v>
      </c>
      <c r="H1706" s="58">
        <v>44007</v>
      </c>
      <c r="I1706" s="14" t="s">
        <v>25</v>
      </c>
      <c r="J1706" s="8"/>
      <c r="K1706" s="10"/>
      <c r="L1706" s="10">
        <v>1</v>
      </c>
      <c r="M1706" s="10"/>
      <c r="N1706" s="30"/>
      <c r="O1706" s="7">
        <f>SUM(J1706:N1706)</f>
        <v>1</v>
      </c>
      <c r="P1706" s="58">
        <v>44014</v>
      </c>
      <c r="Q1706" s="56"/>
    </row>
    <row r="1707" spans="1:21" x14ac:dyDescent="0.15">
      <c r="A1707" s="14" t="s">
        <v>29</v>
      </c>
      <c r="B1707" s="8"/>
      <c r="C1707" s="10">
        <v>1</v>
      </c>
      <c r="D1707" s="10"/>
      <c r="E1707" s="10"/>
      <c r="F1707" s="30"/>
      <c r="G1707" s="7">
        <f t="shared" si="482"/>
        <v>1</v>
      </c>
      <c r="H1707" s="58">
        <v>44007</v>
      </c>
      <c r="I1707" s="16" t="s">
        <v>24</v>
      </c>
      <c r="J1707" s="11">
        <v>5</v>
      </c>
      <c r="K1707" s="12"/>
      <c r="L1707" s="12"/>
      <c r="M1707" s="12"/>
      <c r="N1707" s="31"/>
      <c r="O1707" s="7">
        <f t="shared" ref="O1707:O1717" si="484">SUM(J1707:N1707)</f>
        <v>5</v>
      </c>
      <c r="P1707" s="58">
        <v>44016</v>
      </c>
      <c r="Q1707" s="56"/>
    </row>
    <row r="1708" spans="1:21" x14ac:dyDescent="0.15">
      <c r="A1708" s="14" t="s">
        <v>110</v>
      </c>
      <c r="B1708" s="8">
        <v>4</v>
      </c>
      <c r="C1708" s="10"/>
      <c r="D1708" s="10"/>
      <c r="E1708" s="10"/>
      <c r="F1708" s="30"/>
      <c r="G1708" s="7">
        <f t="shared" si="482"/>
        <v>4</v>
      </c>
      <c r="H1708" s="58">
        <v>44019</v>
      </c>
      <c r="I1708" s="16" t="s">
        <v>24</v>
      </c>
      <c r="J1708" s="8"/>
      <c r="K1708" s="10">
        <v>5</v>
      </c>
      <c r="L1708" s="10"/>
      <c r="M1708" s="10"/>
      <c r="N1708" s="30"/>
      <c r="O1708" s="7">
        <f t="shared" si="484"/>
        <v>5</v>
      </c>
      <c r="P1708" s="58">
        <v>44027</v>
      </c>
      <c r="Q1708" s="56"/>
    </row>
    <row r="1709" spans="1:21" x14ac:dyDescent="0.15">
      <c r="A1709" s="14" t="s">
        <v>25</v>
      </c>
      <c r="B1709" s="8">
        <v>1</v>
      </c>
      <c r="C1709" s="10"/>
      <c r="D1709" s="10"/>
      <c r="E1709" s="10"/>
      <c r="F1709" s="30"/>
      <c r="G1709" s="7">
        <f t="shared" si="482"/>
        <v>1</v>
      </c>
      <c r="H1709" s="58">
        <v>44016</v>
      </c>
      <c r="I1709" s="14" t="s">
        <v>25</v>
      </c>
      <c r="J1709" s="11"/>
      <c r="K1709" s="12">
        <v>1</v>
      </c>
      <c r="L1709" s="12">
        <v>3</v>
      </c>
      <c r="M1709" s="12"/>
      <c r="N1709" s="31"/>
      <c r="O1709" s="7">
        <f t="shared" si="484"/>
        <v>4</v>
      </c>
      <c r="P1709" s="58">
        <v>44027</v>
      </c>
      <c r="Q1709" s="56"/>
      <c r="R1709" s="56"/>
    </row>
    <row r="1710" spans="1:21" x14ac:dyDescent="0.15">
      <c r="A1710" s="14" t="s">
        <v>117</v>
      </c>
      <c r="B1710" s="8"/>
      <c r="C1710" s="10">
        <v>1</v>
      </c>
      <c r="D1710" s="10"/>
      <c r="E1710" s="10"/>
      <c r="F1710" s="30"/>
      <c r="G1710" s="7">
        <f t="shared" si="482"/>
        <v>1</v>
      </c>
      <c r="H1710" s="58">
        <v>44019</v>
      </c>
      <c r="I1710" s="14" t="s">
        <v>25</v>
      </c>
      <c r="J1710" s="11"/>
      <c r="K1710" s="12"/>
      <c r="L1710" s="12"/>
      <c r="M1710" s="12">
        <v>1</v>
      </c>
      <c r="N1710" s="31"/>
      <c r="O1710" s="7">
        <f t="shared" si="484"/>
        <v>1</v>
      </c>
      <c r="P1710" s="58">
        <v>44028</v>
      </c>
      <c r="Q1710" s="56"/>
      <c r="R1710" s="56"/>
    </row>
    <row r="1711" spans="1:21" x14ac:dyDescent="0.15">
      <c r="A1711" s="14" t="s">
        <v>25</v>
      </c>
      <c r="B1711" s="8">
        <v>1</v>
      </c>
      <c r="C1711" s="10"/>
      <c r="D1711" s="10"/>
      <c r="E1711" s="10"/>
      <c r="F1711" s="30"/>
      <c r="G1711" s="7">
        <f t="shared" si="482"/>
        <v>1</v>
      </c>
      <c r="H1711" s="58">
        <v>44020</v>
      </c>
      <c r="I1711" s="16" t="s">
        <v>22</v>
      </c>
      <c r="J1711" s="11">
        <v>10</v>
      </c>
      <c r="K1711" s="12">
        <v>10</v>
      </c>
      <c r="L1711" s="12"/>
      <c r="M1711" s="12"/>
      <c r="N1711" s="31">
        <v>10</v>
      </c>
      <c r="O1711" s="7">
        <f t="shared" si="484"/>
        <v>30</v>
      </c>
      <c r="P1711" s="58">
        <v>44032</v>
      </c>
      <c r="Q1711" s="56"/>
      <c r="R1711" s="56"/>
      <c r="S1711" s="56"/>
      <c r="T1711" s="56"/>
      <c r="U1711" s="56"/>
    </row>
    <row r="1712" spans="1:21" x14ac:dyDescent="0.15">
      <c r="A1712" s="14" t="s">
        <v>29</v>
      </c>
      <c r="B1712" s="8"/>
      <c r="C1712" s="10">
        <v>1</v>
      </c>
      <c r="D1712" s="10"/>
      <c r="E1712" s="10"/>
      <c r="F1712" s="30"/>
      <c r="G1712" s="7">
        <f t="shared" si="482"/>
        <v>1</v>
      </c>
      <c r="H1712" s="58">
        <v>44020</v>
      </c>
      <c r="I1712" s="16"/>
      <c r="J1712" s="11"/>
      <c r="K1712" s="12"/>
      <c r="L1712" s="12"/>
      <c r="M1712" s="12"/>
      <c r="N1712" s="31"/>
      <c r="O1712" s="7">
        <f t="shared" si="484"/>
        <v>0</v>
      </c>
      <c r="P1712" s="56"/>
    </row>
    <row r="1713" spans="1:16" x14ac:dyDescent="0.15">
      <c r="A1713" s="14" t="s">
        <v>29</v>
      </c>
      <c r="B1713" s="11"/>
      <c r="C1713" s="12">
        <v>1</v>
      </c>
      <c r="D1713" s="12"/>
      <c r="E1713" s="12"/>
      <c r="F1713" s="31"/>
      <c r="G1713" s="7">
        <f t="shared" si="482"/>
        <v>1</v>
      </c>
      <c r="H1713" s="58">
        <v>44025</v>
      </c>
      <c r="I1713" s="16" t="s">
        <v>1313</v>
      </c>
      <c r="J1713" s="11"/>
      <c r="K1713" s="12"/>
      <c r="L1713" s="12"/>
      <c r="M1713" s="12"/>
      <c r="N1713" s="31"/>
      <c r="O1713" s="7">
        <f t="shared" ref="O1713:O1715" si="485">SUM(J1713:N1713)</f>
        <v>0</v>
      </c>
      <c r="P1713" s="56" t="s">
        <v>1314</v>
      </c>
    </row>
    <row r="1714" spans="1:16" x14ac:dyDescent="0.15">
      <c r="A1714" s="14" t="s">
        <v>1327</v>
      </c>
      <c r="B1714" s="8"/>
      <c r="C1714" s="10">
        <v>-5</v>
      </c>
      <c r="D1714" s="10"/>
      <c r="E1714" s="10"/>
      <c r="F1714" s="30"/>
      <c r="G1714" s="7">
        <f t="shared" si="482"/>
        <v>-5</v>
      </c>
      <c r="H1714" s="58">
        <v>44027</v>
      </c>
      <c r="I1714" s="16" t="s">
        <v>1248</v>
      </c>
      <c r="J1714" s="11"/>
      <c r="K1714" s="12"/>
      <c r="L1714" s="12"/>
      <c r="M1714" s="12"/>
      <c r="N1714" s="31"/>
      <c r="O1714" s="7">
        <f t="shared" si="485"/>
        <v>0</v>
      </c>
      <c r="P1714" s="56" t="s">
        <v>1249</v>
      </c>
    </row>
    <row r="1715" spans="1:16" x14ac:dyDescent="0.15">
      <c r="A1715" s="14" t="s">
        <v>29</v>
      </c>
      <c r="B1715" s="8"/>
      <c r="C1715" s="10"/>
      <c r="D1715" s="10">
        <v>1</v>
      </c>
      <c r="E1715" s="10"/>
      <c r="F1715" s="30"/>
      <c r="G1715" s="7">
        <f t="shared" si="482"/>
        <v>1</v>
      </c>
      <c r="H1715" s="58">
        <v>44027</v>
      </c>
      <c r="I1715" s="16" t="s">
        <v>1286</v>
      </c>
      <c r="J1715" s="11"/>
      <c r="K1715" s="12"/>
      <c r="L1715" s="12"/>
      <c r="M1715" s="12"/>
      <c r="N1715" s="31"/>
      <c r="O1715" s="7">
        <f t="shared" si="485"/>
        <v>0</v>
      </c>
      <c r="P1715" s="56" t="s">
        <v>1287</v>
      </c>
    </row>
    <row r="1716" spans="1:16" x14ac:dyDescent="0.15">
      <c r="A1716" s="14"/>
      <c r="B1716" s="8"/>
      <c r="C1716" s="10"/>
      <c r="D1716" s="10"/>
      <c r="E1716" s="10"/>
      <c r="F1716" s="30"/>
      <c r="G1716" s="7">
        <f t="shared" si="482"/>
        <v>0</v>
      </c>
      <c r="H1716" s="58"/>
      <c r="I1716" s="16" t="s">
        <v>1238</v>
      </c>
      <c r="J1716" s="11"/>
      <c r="K1716" s="12"/>
      <c r="L1716" s="12"/>
      <c r="M1716" s="12"/>
      <c r="N1716" s="31"/>
      <c r="O1716" s="7">
        <f t="shared" si="484"/>
        <v>0</v>
      </c>
      <c r="P1716" s="56" t="s">
        <v>1239</v>
      </c>
    </row>
    <row r="1717" spans="1:16" ht="14.25" thickBot="1" x14ac:dyDescent="0.2">
      <c r="A1717" s="51"/>
      <c r="B1717" s="11"/>
      <c r="C1717" s="12"/>
      <c r="D1717" s="12"/>
      <c r="E1717" s="12"/>
      <c r="F1717" s="31"/>
      <c r="G1717" s="7">
        <f t="shared" si="482"/>
        <v>0</v>
      </c>
      <c r="H1717" s="58"/>
      <c r="I1717" s="14" t="s">
        <v>1196</v>
      </c>
      <c r="J1717" s="11"/>
      <c r="K1717" s="12"/>
      <c r="L1717" s="12"/>
      <c r="M1717" s="12"/>
      <c r="N1717" s="31"/>
      <c r="O1717" s="7">
        <f t="shared" si="484"/>
        <v>0</v>
      </c>
      <c r="P1717" s="56" t="s">
        <v>1195</v>
      </c>
    </row>
    <row r="1718" spans="1:16" ht="14.25" thickBot="1" x14ac:dyDescent="0.2">
      <c r="A1718" s="3" t="s">
        <v>11</v>
      </c>
      <c r="B1718" s="23">
        <f>SUM(B1692:B1717)</f>
        <v>10</v>
      </c>
      <c r="C1718" s="4">
        <f>SUM(C1692:C1717)</f>
        <v>2</v>
      </c>
      <c r="D1718" s="4">
        <f>SUM(D1692:D1717)</f>
        <v>7</v>
      </c>
      <c r="E1718" s="6">
        <f>SUM(E1692:E1717)</f>
        <v>12</v>
      </c>
      <c r="F1718" s="32">
        <f>SUM(F1692:F1717)</f>
        <v>4</v>
      </c>
      <c r="G1718" s="5">
        <f>SUM(B1718:F1718)</f>
        <v>35</v>
      </c>
      <c r="I1718" s="3" t="s">
        <v>11</v>
      </c>
      <c r="J1718" s="23">
        <f>SUM(J1692:J1717)</f>
        <v>20</v>
      </c>
      <c r="K1718" s="4">
        <f>SUM(K1692:K1717)</f>
        <v>19</v>
      </c>
      <c r="L1718" s="4">
        <f>SUM(L1692:L1717)</f>
        <v>26</v>
      </c>
      <c r="M1718" s="6">
        <f>SUM(M1692:M1717)</f>
        <v>10</v>
      </c>
      <c r="N1718" s="6">
        <f>SUM(N1692:N1717)</f>
        <v>26</v>
      </c>
      <c r="O1718" s="5">
        <f>SUM(J1718:N1718)</f>
        <v>101</v>
      </c>
    </row>
    <row r="1719" spans="1:16" ht="14.25" thickBot="1" x14ac:dyDescent="0.2">
      <c r="A1719" s="25" t="s">
        <v>12</v>
      </c>
      <c r="B1719" s="63">
        <f>B1691-B1718</f>
        <v>5</v>
      </c>
      <c r="C1719" s="26">
        <f t="shared" ref="C1719:G1719" si="486">C1691-C1718</f>
        <v>8</v>
      </c>
      <c r="D1719" s="71">
        <f t="shared" si="486"/>
        <v>4</v>
      </c>
      <c r="E1719" s="26">
        <f t="shared" si="486"/>
        <v>5</v>
      </c>
      <c r="F1719" s="70">
        <f t="shared" si="486"/>
        <v>5</v>
      </c>
      <c r="G1719" s="27">
        <f t="shared" si="486"/>
        <v>27</v>
      </c>
      <c r="I1719" s="25" t="s">
        <v>12</v>
      </c>
      <c r="J1719" s="63">
        <f>J1691-J1718</f>
        <v>139</v>
      </c>
      <c r="K1719" s="26">
        <f t="shared" ref="K1719:O1719" si="487">K1691-K1718</f>
        <v>141</v>
      </c>
      <c r="L1719" s="71">
        <f t="shared" si="487"/>
        <v>90</v>
      </c>
      <c r="M1719" s="26">
        <f t="shared" si="487"/>
        <v>138</v>
      </c>
      <c r="N1719" s="70">
        <f t="shared" si="487"/>
        <v>146</v>
      </c>
      <c r="O1719" s="27">
        <f t="shared" si="487"/>
        <v>654</v>
      </c>
    </row>
    <row r="1720" spans="1:16" ht="17.25" x14ac:dyDescent="0.2">
      <c r="A1720" s="79" t="s">
        <v>56</v>
      </c>
      <c r="B1720" s="80"/>
      <c r="C1720" s="80"/>
      <c r="D1720" s="80"/>
      <c r="E1720" s="80"/>
      <c r="F1720" s="80"/>
      <c r="G1720" s="80"/>
      <c r="I1720" s="79" t="s">
        <v>56</v>
      </c>
      <c r="J1720" s="80"/>
      <c r="K1720" s="80"/>
      <c r="L1720" s="80"/>
      <c r="M1720" s="80"/>
      <c r="N1720" s="80"/>
      <c r="O1720" s="1"/>
    </row>
    <row r="1721" spans="1:16" ht="21.75" thickBot="1" x14ac:dyDescent="0.25">
      <c r="A1721" s="82" t="s">
        <v>55</v>
      </c>
      <c r="B1721" s="80"/>
      <c r="C1721" s="80"/>
      <c r="D1721" s="80"/>
      <c r="E1721" s="81" t="s">
        <v>53</v>
      </c>
      <c r="F1721" s="80"/>
      <c r="G1721" s="80"/>
      <c r="I1721" s="82" t="s">
        <v>55</v>
      </c>
      <c r="J1721" s="80"/>
      <c r="K1721" s="80"/>
      <c r="L1721" s="80"/>
      <c r="M1721" s="81" t="s">
        <v>54</v>
      </c>
      <c r="N1721" s="80"/>
      <c r="O1721" s="1"/>
    </row>
    <row r="1722" spans="1:16" ht="14.25" thickBot="1" x14ac:dyDescent="0.2">
      <c r="A1722" s="13" t="s">
        <v>0</v>
      </c>
      <c r="B1722" s="228" t="s">
        <v>57</v>
      </c>
      <c r="C1722" s="229"/>
      <c r="D1722" s="229"/>
      <c r="E1722" s="229"/>
      <c r="F1722" s="230"/>
      <c r="G1722" s="231"/>
      <c r="I1722" s="13" t="s">
        <v>0</v>
      </c>
      <c r="J1722" s="232" t="s">
        <v>57</v>
      </c>
      <c r="K1722" s="233"/>
      <c r="L1722" s="233"/>
      <c r="M1722" s="233"/>
      <c r="N1722" s="233"/>
      <c r="O1722" s="234"/>
    </row>
    <row r="1723" spans="1:16" ht="14.25" thickBot="1" x14ac:dyDescent="0.2">
      <c r="A1723" s="3" t="s">
        <v>1</v>
      </c>
      <c r="B1723" s="2" t="s">
        <v>42</v>
      </c>
      <c r="C1723" s="21" t="s">
        <v>43</v>
      </c>
      <c r="D1723" s="21" t="s">
        <v>44</v>
      </c>
      <c r="E1723" s="24" t="s">
        <v>45</v>
      </c>
      <c r="F1723" s="33" t="s">
        <v>46</v>
      </c>
      <c r="G1723" s="3" t="s">
        <v>2</v>
      </c>
      <c r="I1723" s="3" t="s">
        <v>1</v>
      </c>
      <c r="J1723" s="2" t="s">
        <v>42</v>
      </c>
      <c r="K1723" s="21" t="s">
        <v>43</v>
      </c>
      <c r="L1723" s="21" t="s">
        <v>44</v>
      </c>
      <c r="M1723" s="24" t="s">
        <v>45</v>
      </c>
      <c r="N1723" s="33" t="s">
        <v>46</v>
      </c>
      <c r="O1723" s="3" t="s">
        <v>2</v>
      </c>
    </row>
    <row r="1724" spans="1:16" ht="14.25" thickBot="1" x14ac:dyDescent="0.2">
      <c r="A1724" s="72" t="s">
        <v>79</v>
      </c>
      <c r="B1724" s="73">
        <f>B1719</f>
        <v>5</v>
      </c>
      <c r="C1724" s="74">
        <f t="shared" ref="C1724:F1724" si="488">C1719</f>
        <v>8</v>
      </c>
      <c r="D1724" s="107">
        <f t="shared" si="488"/>
        <v>4</v>
      </c>
      <c r="E1724" s="75">
        <f t="shared" si="488"/>
        <v>5</v>
      </c>
      <c r="F1724" s="75">
        <f t="shared" si="488"/>
        <v>5</v>
      </c>
      <c r="G1724" s="76">
        <f t="shared" ref="G1724:G1733" si="489">SUM(B1724:F1724)</f>
        <v>27</v>
      </c>
      <c r="I1724" s="72" t="s">
        <v>79</v>
      </c>
      <c r="J1724" s="73">
        <f>J1719</f>
        <v>139</v>
      </c>
      <c r="K1724" s="74">
        <f t="shared" ref="K1724:N1724" si="490">K1719</f>
        <v>141</v>
      </c>
      <c r="L1724" s="107">
        <f t="shared" si="490"/>
        <v>90</v>
      </c>
      <c r="M1724" s="75">
        <f t="shared" si="490"/>
        <v>138</v>
      </c>
      <c r="N1724" s="75">
        <f t="shared" si="490"/>
        <v>146</v>
      </c>
      <c r="O1724" s="76">
        <f t="shared" ref="O1724:O1733" si="491">SUM(J1724:N1724)</f>
        <v>654</v>
      </c>
    </row>
    <row r="1725" spans="1:16" x14ac:dyDescent="0.15">
      <c r="A1725" s="38" t="s">
        <v>15</v>
      </c>
      <c r="B1725" s="37"/>
      <c r="C1725" s="35"/>
      <c r="D1725" s="35"/>
      <c r="E1725" s="35">
        <v>3</v>
      </c>
      <c r="F1725" s="28">
        <v>3</v>
      </c>
      <c r="G1725" s="7">
        <f t="shared" si="489"/>
        <v>6</v>
      </c>
      <c r="H1725" s="58">
        <v>44033</v>
      </c>
      <c r="I1725" s="38" t="s">
        <v>9</v>
      </c>
      <c r="J1725" s="8">
        <v>2</v>
      </c>
      <c r="K1725" s="10"/>
      <c r="L1725" s="10">
        <v>6</v>
      </c>
      <c r="M1725" s="10">
        <v>3</v>
      </c>
      <c r="N1725" s="30">
        <v>3</v>
      </c>
      <c r="O1725" s="7">
        <v>14</v>
      </c>
      <c r="P1725" s="57">
        <v>44100</v>
      </c>
    </row>
    <row r="1726" spans="1:16" x14ac:dyDescent="0.15">
      <c r="A1726" s="38" t="s">
        <v>16</v>
      </c>
      <c r="B1726" s="8"/>
      <c r="C1726" s="10"/>
      <c r="D1726" s="10"/>
      <c r="E1726" s="10"/>
      <c r="F1726" s="28">
        <v>5</v>
      </c>
      <c r="G1726" s="9">
        <f t="shared" si="489"/>
        <v>5</v>
      </c>
      <c r="H1726" s="58">
        <v>44041</v>
      </c>
      <c r="I1726" s="181" t="s">
        <v>1349</v>
      </c>
      <c r="J1726" s="182"/>
      <c r="K1726" s="183">
        <v>-5</v>
      </c>
      <c r="L1726" s="183">
        <v>1</v>
      </c>
      <c r="M1726" s="183"/>
      <c r="N1726" s="178">
        <v>-40</v>
      </c>
      <c r="O1726" s="184">
        <f t="shared" si="491"/>
        <v>-44</v>
      </c>
      <c r="P1726" s="180">
        <v>44135</v>
      </c>
    </row>
    <row r="1727" spans="1:16" x14ac:dyDescent="0.15">
      <c r="A1727" s="38" t="s">
        <v>17</v>
      </c>
      <c r="B1727" s="8">
        <v>1</v>
      </c>
      <c r="C1727" s="10"/>
      <c r="D1727" s="10">
        <v>2</v>
      </c>
      <c r="E1727" s="10"/>
      <c r="F1727" s="28"/>
      <c r="G1727" s="9">
        <f t="shared" si="489"/>
        <v>3</v>
      </c>
      <c r="H1727" s="58">
        <v>44041</v>
      </c>
      <c r="I1727" s="15" t="s">
        <v>18</v>
      </c>
      <c r="J1727" s="8"/>
      <c r="K1727" s="10"/>
      <c r="L1727" s="10"/>
      <c r="M1727" s="10"/>
      <c r="N1727" s="28"/>
      <c r="O1727" s="9">
        <f t="shared" si="491"/>
        <v>0</v>
      </c>
    </row>
    <row r="1728" spans="1:16" x14ac:dyDescent="0.15">
      <c r="A1728" s="38" t="s">
        <v>20</v>
      </c>
      <c r="B1728" s="8">
        <v>5</v>
      </c>
      <c r="C1728" s="10"/>
      <c r="D1728" s="10"/>
      <c r="E1728" s="10"/>
      <c r="F1728" s="28"/>
      <c r="G1728" s="9">
        <f t="shared" si="489"/>
        <v>5</v>
      </c>
      <c r="H1728" s="58">
        <v>44044</v>
      </c>
      <c r="I1728" s="15" t="s">
        <v>20</v>
      </c>
      <c r="J1728" s="8"/>
      <c r="K1728" s="10"/>
      <c r="L1728" s="10"/>
      <c r="M1728" s="10"/>
      <c r="N1728" s="28"/>
      <c r="O1728" s="9">
        <f t="shared" si="491"/>
        <v>0</v>
      </c>
    </row>
    <row r="1729" spans="1:17" x14ac:dyDescent="0.15">
      <c r="A1729" s="38" t="s">
        <v>80</v>
      </c>
      <c r="B1729" s="8"/>
      <c r="C1729" s="10"/>
      <c r="D1729" s="10"/>
      <c r="E1729" s="10">
        <v>5</v>
      </c>
      <c r="F1729" s="28"/>
      <c r="G1729" s="9">
        <f t="shared" si="489"/>
        <v>5</v>
      </c>
      <c r="H1729" s="58">
        <v>44063</v>
      </c>
      <c r="I1729" s="15" t="s">
        <v>80</v>
      </c>
      <c r="J1729" s="8"/>
      <c r="K1729" s="10"/>
      <c r="L1729" s="10"/>
      <c r="M1729" s="10"/>
      <c r="N1729" s="28"/>
      <c r="O1729" s="9">
        <f t="shared" si="491"/>
        <v>0</v>
      </c>
    </row>
    <row r="1730" spans="1:17" x14ac:dyDescent="0.15">
      <c r="A1730" s="38" t="s">
        <v>17</v>
      </c>
      <c r="B1730" s="8"/>
      <c r="C1730" s="10"/>
      <c r="D1730" s="10"/>
      <c r="E1730" s="10"/>
      <c r="F1730" s="30">
        <v>1</v>
      </c>
      <c r="G1730" s="7">
        <f t="shared" ref="G1730" si="492">SUM(B1730:F1730)</f>
        <v>1</v>
      </c>
      <c r="H1730" s="58">
        <v>44070</v>
      </c>
      <c r="I1730" s="15" t="s">
        <v>81</v>
      </c>
      <c r="J1730" s="8"/>
      <c r="K1730" s="10"/>
      <c r="L1730" s="10"/>
      <c r="M1730" s="10"/>
      <c r="N1730" s="28"/>
      <c r="O1730" s="9">
        <f t="shared" si="491"/>
        <v>0</v>
      </c>
    </row>
    <row r="1731" spans="1:17" x14ac:dyDescent="0.15">
      <c r="A1731" s="38" t="s">
        <v>82</v>
      </c>
      <c r="B1731" s="8"/>
      <c r="C1731" s="10">
        <v>5</v>
      </c>
      <c r="D1731" s="10"/>
      <c r="E1731" s="10"/>
      <c r="F1731" s="30"/>
      <c r="G1731" s="7">
        <f t="shared" si="489"/>
        <v>5</v>
      </c>
      <c r="H1731" s="58">
        <v>44083</v>
      </c>
      <c r="I1731" s="15" t="s">
        <v>82</v>
      </c>
      <c r="J1731" s="8"/>
      <c r="K1731" s="10"/>
      <c r="L1731" s="10"/>
      <c r="M1731" s="10"/>
      <c r="N1731" s="30"/>
      <c r="O1731" s="7">
        <f t="shared" si="491"/>
        <v>0</v>
      </c>
    </row>
    <row r="1732" spans="1:17" x14ac:dyDescent="0.15">
      <c r="A1732" s="38" t="s">
        <v>19</v>
      </c>
      <c r="B1732" s="11"/>
      <c r="C1732" s="100"/>
      <c r="D1732" s="100">
        <v>2</v>
      </c>
      <c r="E1732" s="100">
        <v>2</v>
      </c>
      <c r="F1732" s="101">
        <v>1</v>
      </c>
      <c r="G1732" s="102">
        <f t="shared" si="489"/>
        <v>5</v>
      </c>
      <c r="H1732" s="58">
        <v>44084</v>
      </c>
      <c r="I1732" s="15" t="s">
        <v>83</v>
      </c>
      <c r="J1732" s="8"/>
      <c r="K1732" s="10"/>
      <c r="L1732" s="10"/>
      <c r="M1732" s="10"/>
      <c r="N1732" s="30"/>
      <c r="O1732" s="7">
        <f t="shared" si="491"/>
        <v>0</v>
      </c>
    </row>
    <row r="1733" spans="1:17" ht="14.25" thickBot="1" x14ac:dyDescent="0.2">
      <c r="A1733" s="38" t="s">
        <v>183</v>
      </c>
      <c r="B1733" s="11">
        <v>2</v>
      </c>
      <c r="C1733" s="100"/>
      <c r="D1733" s="100"/>
      <c r="E1733" s="100"/>
      <c r="F1733" s="101">
        <v>2</v>
      </c>
      <c r="G1733" s="102">
        <f t="shared" si="489"/>
        <v>4</v>
      </c>
      <c r="H1733" s="58">
        <v>44091</v>
      </c>
      <c r="I1733" s="15" t="s">
        <v>87</v>
      </c>
      <c r="J1733" s="11"/>
      <c r="K1733" s="100"/>
      <c r="L1733" s="100"/>
      <c r="M1733" s="100"/>
      <c r="N1733" s="101"/>
      <c r="O1733" s="102">
        <f t="shared" si="491"/>
        <v>0</v>
      </c>
    </row>
    <row r="1734" spans="1:17" ht="14.25" thickBot="1" x14ac:dyDescent="0.2">
      <c r="A1734" s="72" t="s">
        <v>7</v>
      </c>
      <c r="B1734" s="73">
        <f>SUM(B1724:B1733)</f>
        <v>13</v>
      </c>
      <c r="C1734" s="74">
        <f t="shared" ref="C1734:G1734" si="493">SUM(C1724:C1733)</f>
        <v>13</v>
      </c>
      <c r="D1734" s="74">
        <f t="shared" si="493"/>
        <v>8</v>
      </c>
      <c r="E1734" s="74">
        <f t="shared" si="493"/>
        <v>15</v>
      </c>
      <c r="F1734" s="105">
        <f t="shared" si="493"/>
        <v>17</v>
      </c>
      <c r="G1734" s="76">
        <f t="shared" si="493"/>
        <v>66</v>
      </c>
      <c r="I1734" s="72" t="s">
        <v>7</v>
      </c>
      <c r="J1734" s="73">
        <f>SUM(J1724:J1733)</f>
        <v>141</v>
      </c>
      <c r="K1734" s="74">
        <f t="shared" ref="K1734:O1734" si="494">SUM(K1724:K1733)</f>
        <v>136</v>
      </c>
      <c r="L1734" s="74">
        <f t="shared" si="494"/>
        <v>97</v>
      </c>
      <c r="M1734" s="74">
        <f t="shared" si="494"/>
        <v>141</v>
      </c>
      <c r="N1734" s="105">
        <f t="shared" si="494"/>
        <v>109</v>
      </c>
      <c r="O1734" s="76">
        <f t="shared" si="494"/>
        <v>624</v>
      </c>
    </row>
    <row r="1735" spans="1:17" x14ac:dyDescent="0.15">
      <c r="A1735" s="14" t="s">
        <v>110</v>
      </c>
      <c r="B1735" s="8"/>
      <c r="C1735" s="10"/>
      <c r="D1735" s="10"/>
      <c r="E1735" s="10">
        <v>3</v>
      </c>
      <c r="F1735" s="30">
        <v>4</v>
      </c>
      <c r="G1735" s="7">
        <f t="shared" ref="G1735:G1760" si="495">SUM(B1735:F1735)</f>
        <v>7</v>
      </c>
      <c r="H1735" s="58">
        <v>44039</v>
      </c>
      <c r="I1735" s="14" t="s">
        <v>25</v>
      </c>
      <c r="J1735" s="17"/>
      <c r="K1735" s="22"/>
      <c r="L1735" s="22">
        <v>1</v>
      </c>
      <c r="M1735" s="22"/>
      <c r="N1735" s="29"/>
      <c r="O1735" s="18">
        <f t="shared" ref="O1735:O1748" si="496">SUM(J1735:N1735)</f>
        <v>1</v>
      </c>
      <c r="P1735" s="58">
        <v>44029</v>
      </c>
    </row>
    <row r="1736" spans="1:17" x14ac:dyDescent="0.15">
      <c r="A1736" s="14" t="s">
        <v>713</v>
      </c>
      <c r="B1736" s="8">
        <v>1</v>
      </c>
      <c r="C1736" s="10"/>
      <c r="D1736" s="10"/>
      <c r="E1736" s="10"/>
      <c r="F1736" s="30"/>
      <c r="G1736" s="7">
        <f t="shared" si="495"/>
        <v>1</v>
      </c>
      <c r="H1736" s="58">
        <v>44032</v>
      </c>
      <c r="I1736" s="14" t="s">
        <v>25</v>
      </c>
      <c r="J1736" s="8">
        <v>1</v>
      </c>
      <c r="K1736" s="10"/>
      <c r="L1736" s="10"/>
      <c r="M1736" s="10"/>
      <c r="N1736" s="28"/>
      <c r="O1736" s="9">
        <f t="shared" si="496"/>
        <v>1</v>
      </c>
      <c r="P1736" s="58">
        <v>44033</v>
      </c>
      <c r="Q1736" s="56"/>
    </row>
    <row r="1737" spans="1:17" x14ac:dyDescent="0.15">
      <c r="A1737" s="14" t="s">
        <v>1340</v>
      </c>
      <c r="B1737" s="8"/>
      <c r="C1737" s="10"/>
      <c r="D1737" s="10"/>
      <c r="E1737" s="10"/>
      <c r="F1737" s="30">
        <v>2</v>
      </c>
      <c r="G1737" s="7">
        <f t="shared" si="495"/>
        <v>2</v>
      </c>
      <c r="H1737" s="58">
        <v>44034</v>
      </c>
      <c r="I1737" s="14" t="s">
        <v>1333</v>
      </c>
      <c r="J1737" s="8"/>
      <c r="K1737" s="10"/>
      <c r="L1737" s="10"/>
      <c r="M1737" s="10">
        <v>3</v>
      </c>
      <c r="N1737" s="30">
        <v>3</v>
      </c>
      <c r="O1737" s="7">
        <f t="shared" si="496"/>
        <v>6</v>
      </c>
      <c r="P1737" s="58">
        <v>44033</v>
      </c>
    </row>
    <row r="1738" spans="1:17" x14ac:dyDescent="0.15">
      <c r="A1738" s="14" t="s">
        <v>10</v>
      </c>
      <c r="B1738" s="8"/>
      <c r="C1738" s="10"/>
      <c r="D1738" s="10"/>
      <c r="E1738" s="10">
        <v>2</v>
      </c>
      <c r="F1738" s="30">
        <v>1</v>
      </c>
      <c r="G1738" s="7">
        <f t="shared" si="495"/>
        <v>3</v>
      </c>
      <c r="H1738" s="58">
        <v>44041</v>
      </c>
      <c r="I1738" s="14" t="s">
        <v>8</v>
      </c>
      <c r="J1738" s="8"/>
      <c r="K1738" s="10"/>
      <c r="L1738" s="10"/>
      <c r="M1738" s="10">
        <v>10</v>
      </c>
      <c r="N1738" s="30"/>
      <c r="O1738" s="7">
        <v>10</v>
      </c>
      <c r="P1738" s="58">
        <v>44041</v>
      </c>
      <c r="Q1738" s="56"/>
    </row>
    <row r="1739" spans="1:17" x14ac:dyDescent="0.15">
      <c r="A1739" s="14" t="s">
        <v>713</v>
      </c>
      <c r="B1739" s="8"/>
      <c r="C1739" s="10">
        <v>1</v>
      </c>
      <c r="D1739" s="10"/>
      <c r="E1739" s="10"/>
      <c r="F1739" s="30"/>
      <c r="G1739" s="7">
        <f t="shared" si="495"/>
        <v>1</v>
      </c>
      <c r="H1739" s="58">
        <v>44042</v>
      </c>
      <c r="I1739" s="14" t="s">
        <v>24</v>
      </c>
      <c r="J1739" s="8"/>
      <c r="K1739" s="10"/>
      <c r="L1739" s="10"/>
      <c r="M1739" s="10"/>
      <c r="N1739" s="30">
        <v>5</v>
      </c>
      <c r="O1739" s="7">
        <f t="shared" ref="O1739" si="497">SUM(J1739:N1739)</f>
        <v>5</v>
      </c>
      <c r="P1739" s="58">
        <v>44041</v>
      </c>
    </row>
    <row r="1740" spans="1:17" x14ac:dyDescent="0.15">
      <c r="A1740" s="14" t="s">
        <v>713</v>
      </c>
      <c r="B1740" s="8"/>
      <c r="C1740" s="10"/>
      <c r="D1740" s="10">
        <v>1</v>
      </c>
      <c r="E1740" s="10">
        <v>1</v>
      </c>
      <c r="F1740" s="30"/>
      <c r="G1740" s="7">
        <f t="shared" si="495"/>
        <v>2</v>
      </c>
      <c r="H1740" s="58">
        <v>44046</v>
      </c>
      <c r="I1740" s="16" t="s">
        <v>10</v>
      </c>
      <c r="J1740" s="8"/>
      <c r="K1740" s="10"/>
      <c r="L1740" s="10"/>
      <c r="M1740" s="10"/>
      <c r="N1740" s="30">
        <v>1</v>
      </c>
      <c r="O1740" s="7">
        <f t="shared" si="496"/>
        <v>1</v>
      </c>
      <c r="P1740" s="58">
        <v>44043</v>
      </c>
    </row>
    <row r="1741" spans="1:17" x14ac:dyDescent="0.15">
      <c r="A1741" s="14" t="s">
        <v>1346</v>
      </c>
      <c r="B1741" s="8"/>
      <c r="C1741" s="10"/>
      <c r="D1741" s="10"/>
      <c r="E1741" s="10">
        <v>1</v>
      </c>
      <c r="F1741" s="30"/>
      <c r="G1741" s="7">
        <f t="shared" si="495"/>
        <v>1</v>
      </c>
      <c r="H1741" s="58">
        <v>44050</v>
      </c>
      <c r="I1741" s="14" t="s">
        <v>1343</v>
      </c>
      <c r="J1741" s="8">
        <v>5</v>
      </c>
      <c r="K1741" s="10"/>
      <c r="L1741" s="10"/>
      <c r="M1741" s="10"/>
      <c r="N1741" s="30"/>
      <c r="O1741" s="7">
        <f t="shared" si="496"/>
        <v>5</v>
      </c>
      <c r="P1741" s="58">
        <v>44044</v>
      </c>
    </row>
    <row r="1742" spans="1:17" x14ac:dyDescent="0.15">
      <c r="A1742" s="14" t="s">
        <v>713</v>
      </c>
      <c r="B1742" s="8"/>
      <c r="C1742" s="10">
        <v>1</v>
      </c>
      <c r="D1742" s="10"/>
      <c r="E1742" s="10"/>
      <c r="F1742" s="30"/>
      <c r="G1742" s="7">
        <f t="shared" si="495"/>
        <v>1</v>
      </c>
      <c r="H1742" s="58">
        <v>44050</v>
      </c>
      <c r="I1742" s="14" t="s">
        <v>24</v>
      </c>
      <c r="J1742" s="8"/>
      <c r="K1742" s="10"/>
      <c r="L1742" s="10"/>
      <c r="M1742" s="10">
        <v>5</v>
      </c>
      <c r="N1742" s="30"/>
      <c r="O1742" s="7">
        <f t="shared" si="496"/>
        <v>5</v>
      </c>
      <c r="P1742" s="58">
        <v>44063</v>
      </c>
      <c r="Q1742" s="56"/>
    </row>
    <row r="1743" spans="1:17" x14ac:dyDescent="0.15">
      <c r="A1743" s="14" t="s">
        <v>1342</v>
      </c>
      <c r="B1743" s="8"/>
      <c r="C1743" s="10">
        <v>1</v>
      </c>
      <c r="D1743" s="10"/>
      <c r="E1743" s="10"/>
      <c r="F1743" s="30"/>
      <c r="G1743" s="7">
        <f t="shared" si="495"/>
        <v>1</v>
      </c>
      <c r="H1743" s="58">
        <v>44060</v>
      </c>
      <c r="I1743" s="16" t="s">
        <v>10</v>
      </c>
      <c r="J1743" s="8"/>
      <c r="K1743" s="10"/>
      <c r="L1743" s="10"/>
      <c r="M1743" s="10"/>
      <c r="N1743" s="30">
        <v>1</v>
      </c>
      <c r="O1743" s="7">
        <f t="shared" si="496"/>
        <v>1</v>
      </c>
      <c r="P1743" s="58">
        <v>44071</v>
      </c>
      <c r="Q1743" s="56"/>
    </row>
    <row r="1744" spans="1:17" x14ac:dyDescent="0.15">
      <c r="A1744" s="14" t="s">
        <v>110</v>
      </c>
      <c r="B1744" s="11"/>
      <c r="C1744" s="12"/>
      <c r="D1744" s="12"/>
      <c r="E1744" s="12">
        <v>2</v>
      </c>
      <c r="F1744" s="31"/>
      <c r="G1744" s="7">
        <f t="shared" si="495"/>
        <v>2</v>
      </c>
      <c r="H1744" s="58">
        <v>44064</v>
      </c>
      <c r="I1744" s="14" t="s">
        <v>24</v>
      </c>
      <c r="J1744" s="11"/>
      <c r="K1744" s="12">
        <v>5</v>
      </c>
      <c r="L1744" s="12"/>
      <c r="M1744" s="12"/>
      <c r="N1744" s="31"/>
      <c r="O1744" s="7">
        <f t="shared" si="496"/>
        <v>5</v>
      </c>
      <c r="P1744" s="58">
        <v>44083</v>
      </c>
      <c r="Q1744" s="56"/>
    </row>
    <row r="1745" spans="1:17" x14ac:dyDescent="0.15">
      <c r="A1745" s="14" t="s">
        <v>1342</v>
      </c>
      <c r="B1745" s="11"/>
      <c r="C1745" s="12">
        <v>1</v>
      </c>
      <c r="D1745" s="12">
        <v>1</v>
      </c>
      <c r="E1745" s="12"/>
      <c r="F1745" s="31"/>
      <c r="G1745" s="7">
        <f t="shared" si="495"/>
        <v>2</v>
      </c>
      <c r="H1745" s="58">
        <v>44063</v>
      </c>
      <c r="I1745" s="14" t="s">
        <v>8</v>
      </c>
      <c r="J1745" s="8"/>
      <c r="K1745" s="10">
        <v>10</v>
      </c>
      <c r="L1745" s="10">
        <v>10</v>
      </c>
      <c r="M1745" s="10"/>
      <c r="N1745" s="30"/>
      <c r="O1745" s="7">
        <f t="shared" si="496"/>
        <v>20</v>
      </c>
      <c r="P1745" s="58">
        <v>44091</v>
      </c>
      <c r="Q1745" s="56"/>
    </row>
    <row r="1746" spans="1:17" x14ac:dyDescent="0.15">
      <c r="A1746" s="14" t="s">
        <v>713</v>
      </c>
      <c r="B1746" s="8">
        <v>1</v>
      </c>
      <c r="C1746" s="10">
        <v>2</v>
      </c>
      <c r="D1746" s="10"/>
      <c r="E1746" s="10"/>
      <c r="F1746" s="30"/>
      <c r="G1746" s="7">
        <f t="shared" si="495"/>
        <v>3</v>
      </c>
      <c r="H1746" s="58">
        <v>44063</v>
      </c>
      <c r="I1746" s="14" t="s">
        <v>8</v>
      </c>
      <c r="J1746" s="8"/>
      <c r="K1746" s="10"/>
      <c r="L1746" s="10"/>
      <c r="M1746" s="10"/>
      <c r="N1746" s="30">
        <v>10</v>
      </c>
      <c r="O1746" s="7">
        <f t="shared" si="496"/>
        <v>10</v>
      </c>
      <c r="P1746" s="58">
        <v>44116</v>
      </c>
    </row>
    <row r="1747" spans="1:17" x14ac:dyDescent="0.15">
      <c r="A1747" s="14" t="s">
        <v>110</v>
      </c>
      <c r="B1747" s="8"/>
      <c r="C1747" s="10">
        <v>2</v>
      </c>
      <c r="D1747" s="10"/>
      <c r="E1747" s="10"/>
      <c r="F1747" s="30"/>
      <c r="G1747" s="7">
        <f t="shared" si="495"/>
        <v>2</v>
      </c>
      <c r="H1747" s="58">
        <v>44085</v>
      </c>
      <c r="I1747" s="14" t="s">
        <v>24</v>
      </c>
      <c r="J1747" s="8"/>
      <c r="K1747" s="10"/>
      <c r="L1747" s="10"/>
      <c r="M1747" s="10">
        <v>5</v>
      </c>
      <c r="N1747" s="30"/>
      <c r="O1747" s="7">
        <f t="shared" si="496"/>
        <v>5</v>
      </c>
      <c r="P1747" s="58">
        <v>44113</v>
      </c>
    </row>
    <row r="1748" spans="1:17" x14ac:dyDescent="0.15">
      <c r="A1748" s="14" t="s">
        <v>1342</v>
      </c>
      <c r="B1748" s="8"/>
      <c r="C1748" s="10"/>
      <c r="D1748" s="10"/>
      <c r="E1748" s="10">
        <v>1</v>
      </c>
      <c r="F1748" s="30"/>
      <c r="G1748" s="7">
        <f t="shared" si="495"/>
        <v>1</v>
      </c>
      <c r="H1748" s="58">
        <v>44089</v>
      </c>
      <c r="I1748" s="16" t="s">
        <v>10</v>
      </c>
      <c r="J1748" s="8"/>
      <c r="K1748" s="10"/>
      <c r="L1748" s="10"/>
      <c r="M1748" s="10">
        <v>1</v>
      </c>
      <c r="N1748" s="30"/>
      <c r="O1748" s="7">
        <f t="shared" si="496"/>
        <v>1</v>
      </c>
      <c r="P1748" s="58">
        <v>44114</v>
      </c>
    </row>
    <row r="1749" spans="1:17" x14ac:dyDescent="0.15">
      <c r="A1749" s="14" t="s">
        <v>1342</v>
      </c>
      <c r="B1749" s="8"/>
      <c r="C1749" s="10">
        <v>1</v>
      </c>
      <c r="D1749" s="10"/>
      <c r="E1749" s="10"/>
      <c r="F1749" s="30"/>
      <c r="G1749" s="7">
        <f t="shared" si="495"/>
        <v>1</v>
      </c>
      <c r="H1749" s="58">
        <v>44098</v>
      </c>
      <c r="I1749" s="14" t="s">
        <v>24</v>
      </c>
      <c r="J1749" s="8"/>
      <c r="K1749" s="10">
        <v>3</v>
      </c>
      <c r="L1749" s="10">
        <v>3</v>
      </c>
      <c r="M1749" s="10"/>
      <c r="N1749" s="30"/>
      <c r="O1749" s="7">
        <f>SUM(J1749:N1749)</f>
        <v>6</v>
      </c>
      <c r="P1749" s="58">
        <v>44124</v>
      </c>
      <c r="Q1749" s="56"/>
    </row>
    <row r="1750" spans="1:17" x14ac:dyDescent="0.15">
      <c r="A1750" s="14" t="s">
        <v>1356</v>
      </c>
      <c r="B1750" s="8">
        <v>2</v>
      </c>
      <c r="C1750" s="10"/>
      <c r="D1750" s="10">
        <v>6</v>
      </c>
      <c r="E1750" s="10">
        <v>3</v>
      </c>
      <c r="F1750" s="30">
        <v>3</v>
      </c>
      <c r="G1750" s="7">
        <f t="shared" si="495"/>
        <v>14</v>
      </c>
      <c r="H1750" s="58">
        <v>44100</v>
      </c>
      <c r="I1750" s="16" t="s">
        <v>10</v>
      </c>
      <c r="J1750" s="11"/>
      <c r="K1750" s="12">
        <v>1</v>
      </c>
      <c r="L1750" s="12"/>
      <c r="M1750" s="12"/>
      <c r="N1750" s="31"/>
      <c r="O1750" s="7">
        <f t="shared" ref="O1750:O1759" si="498">SUM(J1750:N1750)</f>
        <v>1</v>
      </c>
      <c r="P1750" s="58">
        <v>44125</v>
      </c>
      <c r="Q1750" s="56"/>
    </row>
    <row r="1751" spans="1:17" x14ac:dyDescent="0.15">
      <c r="A1751" s="14" t="s">
        <v>1368</v>
      </c>
      <c r="B1751" s="8"/>
      <c r="C1751" s="10"/>
      <c r="D1751" s="10"/>
      <c r="E1751" s="10">
        <v>-5</v>
      </c>
      <c r="F1751" s="30"/>
      <c r="G1751" s="7">
        <f t="shared" si="495"/>
        <v>-5</v>
      </c>
      <c r="H1751" s="58">
        <v>44113</v>
      </c>
      <c r="I1751" s="16" t="s">
        <v>1382</v>
      </c>
      <c r="J1751" s="8">
        <v>2</v>
      </c>
      <c r="K1751" s="10">
        <v>4</v>
      </c>
      <c r="L1751" s="10">
        <v>3</v>
      </c>
      <c r="M1751" s="10">
        <v>2</v>
      </c>
      <c r="N1751" s="30">
        <v>1</v>
      </c>
      <c r="O1751" s="7">
        <f t="shared" si="498"/>
        <v>12</v>
      </c>
      <c r="P1751" s="58">
        <v>44135</v>
      </c>
      <c r="Q1751" s="56"/>
    </row>
    <row r="1752" spans="1:17" x14ac:dyDescent="0.15">
      <c r="A1752" s="14" t="s">
        <v>110</v>
      </c>
      <c r="B1752" s="8"/>
      <c r="C1752" s="10">
        <v>2</v>
      </c>
      <c r="D1752" s="10"/>
      <c r="E1752" s="10"/>
      <c r="F1752" s="30"/>
      <c r="G1752" s="7">
        <f t="shared" si="495"/>
        <v>2</v>
      </c>
      <c r="H1752" s="58">
        <v>44120</v>
      </c>
      <c r="I1752" s="16" t="s">
        <v>10</v>
      </c>
      <c r="J1752" s="11"/>
      <c r="K1752" s="12"/>
      <c r="L1752" s="12">
        <v>1</v>
      </c>
      <c r="M1752" s="12"/>
      <c r="N1752" s="31"/>
      <c r="O1752" s="7">
        <f t="shared" si="498"/>
        <v>1</v>
      </c>
      <c r="P1752" s="58">
        <v>44138</v>
      </c>
      <c r="Q1752" s="56"/>
    </row>
    <row r="1753" spans="1:17" x14ac:dyDescent="0.15">
      <c r="A1753" s="14" t="s">
        <v>713</v>
      </c>
      <c r="B1753" s="8">
        <v>1</v>
      </c>
      <c r="C1753" s="10"/>
      <c r="D1753" s="10"/>
      <c r="E1753" s="10"/>
      <c r="F1753" s="30"/>
      <c r="G1753" s="7">
        <f t="shared" si="495"/>
        <v>1</v>
      </c>
      <c r="H1753" s="58">
        <v>44116</v>
      </c>
      <c r="I1753" s="14"/>
      <c r="J1753" s="11"/>
      <c r="K1753" s="12"/>
      <c r="L1753" s="12"/>
      <c r="M1753" s="12"/>
      <c r="N1753" s="31"/>
      <c r="O1753" s="7">
        <f t="shared" si="498"/>
        <v>0</v>
      </c>
      <c r="P1753" s="58"/>
      <c r="Q1753" s="56"/>
    </row>
    <row r="1754" spans="1:17" x14ac:dyDescent="0.15">
      <c r="A1754" s="14" t="s">
        <v>10</v>
      </c>
      <c r="B1754" s="8"/>
      <c r="C1754" s="10">
        <v>2</v>
      </c>
      <c r="D1754" s="10">
        <v>1</v>
      </c>
      <c r="E1754" s="10"/>
      <c r="F1754" s="30"/>
      <c r="G1754" s="7">
        <f t="shared" si="495"/>
        <v>3</v>
      </c>
      <c r="H1754" s="58">
        <v>44118</v>
      </c>
      <c r="I1754" s="14"/>
      <c r="J1754" s="11"/>
      <c r="K1754" s="12"/>
      <c r="L1754" s="12"/>
      <c r="M1754" s="12"/>
      <c r="N1754" s="31"/>
      <c r="O1754" s="7">
        <f t="shared" si="498"/>
        <v>0</v>
      </c>
      <c r="P1754" s="56"/>
      <c r="Q1754" s="56"/>
    </row>
    <row r="1755" spans="1:17" x14ac:dyDescent="0.15">
      <c r="A1755" s="14" t="s">
        <v>696</v>
      </c>
      <c r="B1755" s="8">
        <v>-1</v>
      </c>
      <c r="C1755" s="10"/>
      <c r="D1755" s="10"/>
      <c r="E1755" s="10"/>
      <c r="F1755" s="30"/>
      <c r="G1755" s="7">
        <f t="shared" si="495"/>
        <v>-1</v>
      </c>
      <c r="H1755" s="58">
        <v>44120</v>
      </c>
      <c r="I1755" s="16"/>
      <c r="J1755" s="11"/>
      <c r="K1755" s="12"/>
      <c r="L1755" s="12"/>
      <c r="M1755" s="12"/>
      <c r="N1755" s="31"/>
      <c r="O1755" s="7">
        <f t="shared" si="498"/>
        <v>0</v>
      </c>
      <c r="P1755" s="56"/>
    </row>
    <row r="1756" spans="1:17" x14ac:dyDescent="0.15">
      <c r="A1756" s="14" t="s">
        <v>713</v>
      </c>
      <c r="B1756" s="11"/>
      <c r="C1756" s="12"/>
      <c r="D1756" s="12">
        <v>1</v>
      </c>
      <c r="E1756" s="12"/>
      <c r="F1756" s="31"/>
      <c r="G1756" s="7">
        <f t="shared" si="495"/>
        <v>1</v>
      </c>
      <c r="H1756" s="58">
        <v>44123</v>
      </c>
      <c r="I1756" s="16"/>
      <c r="J1756" s="11"/>
      <c r="K1756" s="12"/>
      <c r="L1756" s="12"/>
      <c r="M1756" s="12"/>
      <c r="N1756" s="31"/>
      <c r="O1756" s="7">
        <f t="shared" si="498"/>
        <v>0</v>
      </c>
      <c r="P1756" s="56"/>
    </row>
    <row r="1757" spans="1:17" x14ac:dyDescent="0.15">
      <c r="A1757" s="14" t="s">
        <v>1379</v>
      </c>
      <c r="B1757" s="8"/>
      <c r="C1757" s="10">
        <v>-3</v>
      </c>
      <c r="D1757" s="10">
        <v>-3</v>
      </c>
      <c r="E1757" s="10"/>
      <c r="F1757" s="30"/>
      <c r="G1757" s="7">
        <f t="shared" si="495"/>
        <v>-6</v>
      </c>
      <c r="H1757" s="58">
        <v>44124</v>
      </c>
      <c r="I1757" s="16"/>
      <c r="J1757" s="11"/>
      <c r="K1757" s="12"/>
      <c r="L1757" s="12"/>
      <c r="M1757" s="12"/>
      <c r="N1757" s="31"/>
      <c r="O1757" s="7">
        <f t="shared" ref="O1757" si="499">SUM(J1757:N1757)</f>
        <v>0</v>
      </c>
      <c r="P1757" s="56"/>
    </row>
    <row r="1758" spans="1:17" x14ac:dyDescent="0.15">
      <c r="A1758" s="38" t="s">
        <v>17</v>
      </c>
      <c r="B1758" s="8"/>
      <c r="C1758" s="10"/>
      <c r="D1758" s="10">
        <v>-1</v>
      </c>
      <c r="E1758" s="10"/>
      <c r="F1758" s="30"/>
      <c r="G1758" s="7">
        <f t="shared" si="495"/>
        <v>-1</v>
      </c>
      <c r="H1758" s="58">
        <v>44132</v>
      </c>
      <c r="I1758" s="16"/>
      <c r="J1758" s="11"/>
      <c r="K1758" s="12"/>
      <c r="L1758" s="12"/>
      <c r="M1758" s="12"/>
      <c r="N1758" s="31"/>
      <c r="O1758" s="7">
        <f t="shared" si="498"/>
        <v>0</v>
      </c>
      <c r="P1758" s="56"/>
      <c r="Q1758" s="56"/>
    </row>
    <row r="1759" spans="1:17" x14ac:dyDescent="0.15">
      <c r="A1759" s="14" t="s">
        <v>713</v>
      </c>
      <c r="B1759" s="8"/>
      <c r="C1759" s="10">
        <v>1</v>
      </c>
      <c r="D1759" s="10"/>
      <c r="E1759" s="10">
        <v>1</v>
      </c>
      <c r="F1759" s="30"/>
      <c r="G1759" s="7">
        <f t="shared" si="495"/>
        <v>2</v>
      </c>
      <c r="H1759" s="58">
        <v>44132</v>
      </c>
      <c r="I1759" s="16"/>
      <c r="J1759" s="11"/>
      <c r="K1759" s="12"/>
      <c r="L1759" s="12"/>
      <c r="M1759" s="12"/>
      <c r="N1759" s="31"/>
      <c r="O1759" s="7">
        <f t="shared" si="498"/>
        <v>0</v>
      </c>
      <c r="P1759" s="56"/>
    </row>
    <row r="1760" spans="1:17" ht="14.25" thickBot="1" x14ac:dyDescent="0.2">
      <c r="A1760" s="14" t="s">
        <v>28</v>
      </c>
      <c r="B1760" s="11">
        <v>-2</v>
      </c>
      <c r="C1760" s="12">
        <v>-4</v>
      </c>
      <c r="D1760" s="12">
        <v>-3</v>
      </c>
      <c r="E1760" s="12">
        <v>-2</v>
      </c>
      <c r="F1760" s="31">
        <v>-1</v>
      </c>
      <c r="G1760" s="7">
        <f t="shared" si="495"/>
        <v>-12</v>
      </c>
      <c r="H1760" s="58">
        <v>44135</v>
      </c>
      <c r="I1760" s="16"/>
      <c r="J1760" s="11"/>
      <c r="K1760" s="12"/>
      <c r="L1760" s="12"/>
      <c r="M1760" s="12"/>
      <c r="N1760" s="31"/>
      <c r="O1760" s="7">
        <f t="shared" ref="O1760" si="500">SUM(J1760:N1760)</f>
        <v>0</v>
      </c>
      <c r="P1760" s="56"/>
    </row>
    <row r="1761" spans="1:16" ht="14.25" thickBot="1" x14ac:dyDescent="0.2">
      <c r="A1761" s="3" t="s">
        <v>11</v>
      </c>
      <c r="B1761" s="23">
        <f>SUM(B1735:B1760)</f>
        <v>2</v>
      </c>
      <c r="C1761" s="4">
        <f>SUM(C1735:C1760)</f>
        <v>7</v>
      </c>
      <c r="D1761" s="4">
        <f>SUM(D1735:D1760)</f>
        <v>3</v>
      </c>
      <c r="E1761" s="6">
        <f>SUM(E1735:E1760)</f>
        <v>7</v>
      </c>
      <c r="F1761" s="32">
        <f>SUM(F1735:F1760)</f>
        <v>9</v>
      </c>
      <c r="G1761" s="5">
        <f>SUM(B1761:F1761)</f>
        <v>28</v>
      </c>
      <c r="I1761" s="3" t="s">
        <v>11</v>
      </c>
      <c r="J1761" s="23">
        <f>SUM(J1735:J1760)</f>
        <v>8</v>
      </c>
      <c r="K1761" s="4">
        <f>SUM(K1735:K1760)</f>
        <v>23</v>
      </c>
      <c r="L1761" s="4">
        <f>SUM(L1735:L1760)</f>
        <v>18</v>
      </c>
      <c r="M1761" s="6">
        <f>SUM(M1735:M1760)</f>
        <v>26</v>
      </c>
      <c r="N1761" s="6">
        <f>SUM(N1735:N1760)</f>
        <v>21</v>
      </c>
      <c r="O1761" s="5">
        <f>SUM(J1761:N1761)</f>
        <v>96</v>
      </c>
    </row>
    <row r="1762" spans="1:16" ht="14.25" thickBot="1" x14ac:dyDescent="0.2">
      <c r="A1762" s="25" t="s">
        <v>12</v>
      </c>
      <c r="B1762" s="63">
        <f>B1734-B1761</f>
        <v>11</v>
      </c>
      <c r="C1762" s="26">
        <f t="shared" ref="C1762:G1762" si="501">C1734-C1761</f>
        <v>6</v>
      </c>
      <c r="D1762" s="71">
        <f t="shared" si="501"/>
        <v>5</v>
      </c>
      <c r="E1762" s="26">
        <f t="shared" si="501"/>
        <v>8</v>
      </c>
      <c r="F1762" s="70">
        <f t="shared" si="501"/>
        <v>8</v>
      </c>
      <c r="G1762" s="27">
        <f t="shared" si="501"/>
        <v>38</v>
      </c>
      <c r="I1762" s="25" t="s">
        <v>12</v>
      </c>
      <c r="J1762" s="63">
        <f>J1734-J1761</f>
        <v>133</v>
      </c>
      <c r="K1762" s="26">
        <f t="shared" ref="K1762:O1762" si="502">K1734-K1761</f>
        <v>113</v>
      </c>
      <c r="L1762" s="71">
        <f t="shared" si="502"/>
        <v>79</v>
      </c>
      <c r="M1762" s="26">
        <f t="shared" si="502"/>
        <v>115</v>
      </c>
      <c r="N1762" s="70">
        <f t="shared" si="502"/>
        <v>88</v>
      </c>
      <c r="O1762" s="27">
        <f t="shared" si="502"/>
        <v>528</v>
      </c>
    </row>
    <row r="1763" spans="1:16" ht="17.25" x14ac:dyDescent="0.2">
      <c r="A1763" s="79" t="s">
        <v>56</v>
      </c>
      <c r="B1763" s="80"/>
      <c r="C1763" s="80"/>
      <c r="D1763" s="80"/>
      <c r="E1763" s="80"/>
      <c r="F1763" s="80"/>
      <c r="G1763" s="80"/>
      <c r="I1763" s="79" t="s">
        <v>56</v>
      </c>
      <c r="J1763" s="80"/>
      <c r="K1763" s="80"/>
      <c r="L1763" s="80"/>
      <c r="M1763" s="80"/>
      <c r="N1763" s="80"/>
      <c r="O1763" s="1"/>
    </row>
    <row r="1764" spans="1:16" ht="21.75" thickBot="1" x14ac:dyDescent="0.25">
      <c r="A1764" s="82" t="s">
        <v>55</v>
      </c>
      <c r="B1764" s="80"/>
      <c r="C1764" s="80"/>
      <c r="D1764" s="80"/>
      <c r="E1764" s="81" t="s">
        <v>53</v>
      </c>
      <c r="F1764" s="80"/>
      <c r="G1764" s="80"/>
      <c r="I1764" s="82" t="s">
        <v>55</v>
      </c>
      <c r="J1764" s="80"/>
      <c r="K1764" s="80"/>
      <c r="L1764" s="80"/>
      <c r="M1764" s="81" t="s">
        <v>54</v>
      </c>
      <c r="N1764" s="80"/>
      <c r="O1764" s="1"/>
    </row>
    <row r="1765" spans="1:16" ht="14.25" thickBot="1" x14ac:dyDescent="0.2">
      <c r="A1765" s="13" t="s">
        <v>0</v>
      </c>
      <c r="B1765" s="228" t="s">
        <v>57</v>
      </c>
      <c r="C1765" s="229"/>
      <c r="D1765" s="229"/>
      <c r="E1765" s="229"/>
      <c r="F1765" s="230"/>
      <c r="G1765" s="231"/>
      <c r="I1765" s="13" t="s">
        <v>0</v>
      </c>
      <c r="J1765" s="232" t="s">
        <v>57</v>
      </c>
      <c r="K1765" s="233"/>
      <c r="L1765" s="233"/>
      <c r="M1765" s="233"/>
      <c r="N1765" s="233"/>
      <c r="O1765" s="234"/>
    </row>
    <row r="1766" spans="1:16" ht="14.25" thickBot="1" x14ac:dyDescent="0.2">
      <c r="A1766" s="3" t="s">
        <v>1</v>
      </c>
      <c r="B1766" s="2" t="s">
        <v>42</v>
      </c>
      <c r="C1766" s="21" t="s">
        <v>43</v>
      </c>
      <c r="D1766" s="21" t="s">
        <v>44</v>
      </c>
      <c r="E1766" s="24" t="s">
        <v>45</v>
      </c>
      <c r="F1766" s="33" t="s">
        <v>46</v>
      </c>
      <c r="G1766" s="3" t="s">
        <v>2</v>
      </c>
      <c r="I1766" s="3" t="s">
        <v>1</v>
      </c>
      <c r="J1766" s="2" t="s">
        <v>42</v>
      </c>
      <c r="K1766" s="21" t="s">
        <v>43</v>
      </c>
      <c r="L1766" s="21" t="s">
        <v>44</v>
      </c>
      <c r="M1766" s="24" t="s">
        <v>45</v>
      </c>
      <c r="N1766" s="33" t="s">
        <v>46</v>
      </c>
      <c r="O1766" s="3" t="s">
        <v>2</v>
      </c>
    </row>
    <row r="1767" spans="1:16" ht="14.25" thickBot="1" x14ac:dyDescent="0.2">
      <c r="A1767" s="72" t="s">
        <v>79</v>
      </c>
      <c r="B1767" s="73">
        <f>B1762</f>
        <v>11</v>
      </c>
      <c r="C1767" s="74">
        <f t="shared" ref="C1767:F1767" si="503">C1762</f>
        <v>6</v>
      </c>
      <c r="D1767" s="107">
        <f t="shared" si="503"/>
        <v>5</v>
      </c>
      <c r="E1767" s="75">
        <f t="shared" si="503"/>
        <v>8</v>
      </c>
      <c r="F1767" s="75">
        <f t="shared" si="503"/>
        <v>8</v>
      </c>
      <c r="G1767" s="76">
        <f t="shared" ref="G1767:G1776" si="504">SUM(B1767:F1767)</f>
        <v>38</v>
      </c>
      <c r="I1767" s="72" t="s">
        <v>79</v>
      </c>
      <c r="J1767" s="73">
        <f>J1762</f>
        <v>133</v>
      </c>
      <c r="K1767" s="74">
        <f t="shared" ref="K1767:N1767" si="505">K1762</f>
        <v>113</v>
      </c>
      <c r="L1767" s="107">
        <f t="shared" si="505"/>
        <v>79</v>
      </c>
      <c r="M1767" s="75">
        <f t="shared" si="505"/>
        <v>115</v>
      </c>
      <c r="N1767" s="75">
        <f t="shared" si="505"/>
        <v>88</v>
      </c>
      <c r="O1767" s="76">
        <f t="shared" ref="O1767:O1768" si="506">SUM(J1767:N1767)</f>
        <v>528</v>
      </c>
    </row>
    <row r="1768" spans="1:16" x14ac:dyDescent="0.15">
      <c r="A1768" s="38" t="s">
        <v>15</v>
      </c>
      <c r="B1768" s="37"/>
      <c r="C1768" s="35"/>
      <c r="D1768" s="35"/>
      <c r="E1768" s="35">
        <v>5</v>
      </c>
      <c r="F1768" s="28"/>
      <c r="G1768" s="7">
        <f t="shared" si="504"/>
        <v>5</v>
      </c>
      <c r="H1768" s="58">
        <v>44146</v>
      </c>
      <c r="I1768" s="38" t="s">
        <v>9</v>
      </c>
      <c r="J1768" s="8"/>
      <c r="K1768" s="10"/>
      <c r="L1768" s="10">
        <v>2</v>
      </c>
      <c r="M1768" s="10"/>
      <c r="N1768" s="30">
        <v>2</v>
      </c>
      <c r="O1768" s="7">
        <f t="shared" si="506"/>
        <v>4</v>
      </c>
      <c r="P1768" s="58">
        <v>44239</v>
      </c>
    </row>
    <row r="1769" spans="1:16" x14ac:dyDescent="0.15">
      <c r="A1769" s="38" t="s">
        <v>16</v>
      </c>
      <c r="B1769" s="8"/>
      <c r="C1769" s="10">
        <v>10</v>
      </c>
      <c r="D1769" s="10"/>
      <c r="E1769" s="10"/>
      <c r="F1769" s="28"/>
      <c r="G1769" s="9">
        <f t="shared" si="504"/>
        <v>10</v>
      </c>
      <c r="H1769" s="58">
        <v>44162</v>
      </c>
      <c r="I1769" s="38" t="s">
        <v>16</v>
      </c>
      <c r="J1769" s="8"/>
      <c r="K1769" s="10"/>
      <c r="L1769" s="10"/>
      <c r="M1769" s="10"/>
      <c r="N1769" s="28"/>
      <c r="O1769" s="9">
        <f t="shared" ref="O1769:O1776" si="507">SUM(J1769:N1769)</f>
        <v>0</v>
      </c>
    </row>
    <row r="1770" spans="1:16" x14ac:dyDescent="0.15">
      <c r="A1770" s="38" t="s">
        <v>17</v>
      </c>
      <c r="B1770" s="8"/>
      <c r="C1770" s="10"/>
      <c r="D1770" s="10">
        <v>1</v>
      </c>
      <c r="E1770" s="10">
        <v>1</v>
      </c>
      <c r="F1770" s="28"/>
      <c r="G1770" s="9">
        <f t="shared" si="504"/>
        <v>2</v>
      </c>
      <c r="H1770" s="58">
        <v>44161</v>
      </c>
      <c r="I1770" s="15" t="s">
        <v>18</v>
      </c>
      <c r="J1770" s="8"/>
      <c r="K1770" s="10"/>
      <c r="L1770" s="10"/>
      <c r="M1770" s="10"/>
      <c r="N1770" s="28"/>
      <c r="O1770" s="9">
        <f t="shared" si="507"/>
        <v>0</v>
      </c>
    </row>
    <row r="1771" spans="1:16" x14ac:dyDescent="0.15">
      <c r="A1771" s="38" t="s">
        <v>20</v>
      </c>
      <c r="B1771" s="8">
        <v>5</v>
      </c>
      <c r="C1771" s="10"/>
      <c r="D1771" s="10"/>
      <c r="E1771" s="10"/>
      <c r="F1771" s="28"/>
      <c r="G1771" s="9">
        <f t="shared" si="504"/>
        <v>5</v>
      </c>
      <c r="H1771" s="58">
        <v>44167</v>
      </c>
      <c r="I1771" s="15" t="s">
        <v>20</v>
      </c>
      <c r="J1771" s="8"/>
      <c r="K1771" s="10"/>
      <c r="L1771" s="10"/>
      <c r="M1771" s="10"/>
      <c r="N1771" s="28"/>
      <c r="O1771" s="9">
        <f t="shared" si="507"/>
        <v>0</v>
      </c>
    </row>
    <row r="1772" spans="1:16" x14ac:dyDescent="0.15">
      <c r="A1772" s="38" t="s">
        <v>80</v>
      </c>
      <c r="B1772" s="8">
        <v>5</v>
      </c>
      <c r="C1772" s="10"/>
      <c r="D1772" s="10"/>
      <c r="E1772" s="10"/>
      <c r="F1772" s="28"/>
      <c r="G1772" s="9">
        <f t="shared" si="504"/>
        <v>5</v>
      </c>
      <c r="H1772" s="58">
        <v>44170</v>
      </c>
      <c r="I1772" s="15" t="s">
        <v>80</v>
      </c>
      <c r="J1772" s="8"/>
      <c r="K1772" s="10"/>
      <c r="L1772" s="10"/>
      <c r="M1772" s="10"/>
      <c r="N1772" s="28"/>
      <c r="O1772" s="9">
        <f t="shared" si="507"/>
        <v>0</v>
      </c>
    </row>
    <row r="1773" spans="1:16" x14ac:dyDescent="0.15">
      <c r="A1773" s="38" t="s">
        <v>17</v>
      </c>
      <c r="B1773" s="8">
        <v>1</v>
      </c>
      <c r="C1773" s="10"/>
      <c r="D1773" s="10"/>
      <c r="E1773" s="10"/>
      <c r="F1773" s="30"/>
      <c r="G1773" s="7">
        <f t="shared" si="504"/>
        <v>1</v>
      </c>
      <c r="H1773" s="58">
        <v>44202</v>
      </c>
      <c r="I1773" s="15" t="s">
        <v>81</v>
      </c>
      <c r="J1773" s="8"/>
      <c r="K1773" s="10"/>
      <c r="L1773" s="10"/>
      <c r="M1773" s="10"/>
      <c r="N1773" s="28"/>
      <c r="O1773" s="9">
        <f t="shared" si="507"/>
        <v>0</v>
      </c>
    </row>
    <row r="1774" spans="1:16" x14ac:dyDescent="0.15">
      <c r="A1774" s="38" t="s">
        <v>19</v>
      </c>
      <c r="B1774" s="8"/>
      <c r="C1774" s="10"/>
      <c r="D1774" s="10">
        <v>2</v>
      </c>
      <c r="E1774" s="10"/>
      <c r="F1774" s="30">
        <v>2</v>
      </c>
      <c r="G1774" s="7">
        <f t="shared" si="504"/>
        <v>4</v>
      </c>
      <c r="H1774" s="58">
        <v>44214</v>
      </c>
      <c r="I1774" s="15" t="s">
        <v>82</v>
      </c>
      <c r="J1774" s="8"/>
      <c r="K1774" s="10"/>
      <c r="L1774" s="10"/>
      <c r="M1774" s="10"/>
      <c r="N1774" s="30"/>
      <c r="O1774" s="7">
        <f t="shared" si="507"/>
        <v>0</v>
      </c>
    </row>
    <row r="1775" spans="1:16" x14ac:dyDescent="0.15">
      <c r="A1775" s="38" t="s">
        <v>19</v>
      </c>
      <c r="B1775" s="11"/>
      <c r="C1775" s="100"/>
      <c r="D1775" s="100"/>
      <c r="E1775" s="100">
        <v>1</v>
      </c>
      <c r="F1775" s="101"/>
      <c r="G1775" s="102">
        <f t="shared" si="504"/>
        <v>1</v>
      </c>
      <c r="H1775" s="58">
        <v>44251</v>
      </c>
      <c r="I1775" s="15" t="s">
        <v>83</v>
      </c>
      <c r="J1775" s="8"/>
      <c r="K1775" s="10"/>
      <c r="L1775" s="10"/>
      <c r="M1775" s="10"/>
      <c r="N1775" s="30"/>
      <c r="O1775" s="7">
        <f t="shared" si="507"/>
        <v>0</v>
      </c>
    </row>
    <row r="1776" spans="1:16" ht="14.25" thickBot="1" x14ac:dyDescent="0.2">
      <c r="A1776" s="38" t="s">
        <v>159</v>
      </c>
      <c r="B1776" s="11"/>
      <c r="C1776" s="100"/>
      <c r="D1776" s="100"/>
      <c r="E1776" s="100"/>
      <c r="F1776" s="101"/>
      <c r="G1776" s="102">
        <f t="shared" si="504"/>
        <v>0</v>
      </c>
      <c r="H1776" s="58"/>
      <c r="I1776" s="15" t="s">
        <v>87</v>
      </c>
      <c r="J1776" s="11"/>
      <c r="K1776" s="100"/>
      <c r="L1776" s="100"/>
      <c r="M1776" s="100"/>
      <c r="N1776" s="101"/>
      <c r="O1776" s="102">
        <f t="shared" si="507"/>
        <v>0</v>
      </c>
    </row>
    <row r="1777" spans="1:18" ht="14.25" thickBot="1" x14ac:dyDescent="0.2">
      <c r="A1777" s="72" t="s">
        <v>7</v>
      </c>
      <c r="B1777" s="73">
        <f>SUM(B1767:B1776)</f>
        <v>22</v>
      </c>
      <c r="C1777" s="74">
        <f t="shared" ref="C1777:G1777" si="508">SUM(C1767:C1776)</f>
        <v>16</v>
      </c>
      <c r="D1777" s="74">
        <f t="shared" si="508"/>
        <v>8</v>
      </c>
      <c r="E1777" s="74">
        <f t="shared" si="508"/>
        <v>15</v>
      </c>
      <c r="F1777" s="105">
        <f t="shared" si="508"/>
        <v>10</v>
      </c>
      <c r="G1777" s="76">
        <f t="shared" si="508"/>
        <v>71</v>
      </c>
      <c r="I1777" s="72" t="s">
        <v>7</v>
      </c>
      <c r="J1777" s="73">
        <f>SUM(J1767:J1776)</f>
        <v>133</v>
      </c>
      <c r="K1777" s="74">
        <f t="shared" ref="K1777:O1777" si="509">SUM(K1767:K1776)</f>
        <v>113</v>
      </c>
      <c r="L1777" s="74">
        <f t="shared" si="509"/>
        <v>81</v>
      </c>
      <c r="M1777" s="74">
        <f t="shared" si="509"/>
        <v>115</v>
      </c>
      <c r="N1777" s="105">
        <f t="shared" si="509"/>
        <v>90</v>
      </c>
      <c r="O1777" s="76">
        <f t="shared" si="509"/>
        <v>532</v>
      </c>
    </row>
    <row r="1778" spans="1:18" x14ac:dyDescent="0.15">
      <c r="A1778" s="14" t="s">
        <v>10</v>
      </c>
      <c r="B1778" s="8"/>
      <c r="C1778" s="10">
        <v>1</v>
      </c>
      <c r="D1778" s="10"/>
      <c r="E1778" s="10"/>
      <c r="F1778" s="30"/>
      <c r="G1778" s="7">
        <f t="shared" ref="G1778:G1803" si="510">SUM(B1778:F1778)</f>
        <v>1</v>
      </c>
      <c r="H1778" s="58">
        <v>44140</v>
      </c>
      <c r="I1778" s="14" t="s">
        <v>1387</v>
      </c>
      <c r="J1778" s="17"/>
      <c r="K1778" s="22"/>
      <c r="L1778" s="22"/>
      <c r="M1778" s="22">
        <v>5</v>
      </c>
      <c r="N1778" s="29"/>
      <c r="O1778" s="18">
        <f t="shared" ref="O1778:O1780" si="511">SUM(J1778:N1778)</f>
        <v>5</v>
      </c>
      <c r="P1778" s="58">
        <v>44146</v>
      </c>
      <c r="Q1778" s="56"/>
    </row>
    <row r="1779" spans="1:18" x14ac:dyDescent="0.15">
      <c r="A1779" s="14" t="s">
        <v>10</v>
      </c>
      <c r="B1779" s="8">
        <v>2</v>
      </c>
      <c r="C1779" s="10"/>
      <c r="D1779" s="10"/>
      <c r="E1779" s="10"/>
      <c r="F1779" s="30">
        <v>1</v>
      </c>
      <c r="G1779" s="7">
        <f t="shared" si="510"/>
        <v>3</v>
      </c>
      <c r="H1779" s="58">
        <v>44141</v>
      </c>
      <c r="I1779" s="14" t="s">
        <v>1389</v>
      </c>
      <c r="J1779" s="8"/>
      <c r="K1779" s="10"/>
      <c r="L1779" s="10"/>
      <c r="M1779" s="10">
        <v>1</v>
      </c>
      <c r="N1779" s="28"/>
      <c r="O1779" s="9">
        <f t="shared" si="511"/>
        <v>1</v>
      </c>
      <c r="P1779" s="58">
        <v>44152</v>
      </c>
      <c r="Q1779" s="56"/>
    </row>
    <row r="1780" spans="1:18" x14ac:dyDescent="0.15">
      <c r="A1780" s="14" t="s">
        <v>1385</v>
      </c>
      <c r="B1780" s="8">
        <v>1</v>
      </c>
      <c r="C1780" s="10"/>
      <c r="D1780" s="10">
        <v>1</v>
      </c>
      <c r="E1780" s="10">
        <v>2</v>
      </c>
      <c r="F1780" s="30">
        <v>1</v>
      </c>
      <c r="G1780" s="7">
        <f t="shared" si="510"/>
        <v>5</v>
      </c>
      <c r="H1780" s="58">
        <v>44151</v>
      </c>
      <c r="I1780" s="14" t="s">
        <v>25</v>
      </c>
      <c r="J1780" s="8"/>
      <c r="K1780" s="10"/>
      <c r="L1780" s="10"/>
      <c r="M1780" s="10">
        <v>1</v>
      </c>
      <c r="N1780" s="30"/>
      <c r="O1780" s="7">
        <f t="shared" si="511"/>
        <v>1</v>
      </c>
      <c r="P1780" s="58">
        <v>44153</v>
      </c>
      <c r="Q1780" s="56"/>
    </row>
    <row r="1781" spans="1:18" x14ac:dyDescent="0.15">
      <c r="A1781" s="14" t="s">
        <v>10</v>
      </c>
      <c r="B1781" s="8"/>
      <c r="C1781" s="10"/>
      <c r="D1781" s="10"/>
      <c r="E1781" s="10">
        <v>1</v>
      </c>
      <c r="F1781" s="30"/>
      <c r="G1781" s="7">
        <f t="shared" si="510"/>
        <v>1</v>
      </c>
      <c r="H1781" s="58">
        <v>44142</v>
      </c>
      <c r="I1781" s="14" t="s">
        <v>25</v>
      </c>
      <c r="J1781" s="8">
        <v>1</v>
      </c>
      <c r="K1781" s="10">
        <v>1</v>
      </c>
      <c r="L1781" s="10"/>
      <c r="M1781" s="10"/>
      <c r="N1781" s="30"/>
      <c r="O1781" s="7">
        <f t="shared" ref="O1781:O1791" si="512">SUM(J1781:N1781)</f>
        <v>2</v>
      </c>
      <c r="P1781" s="58">
        <v>44155</v>
      </c>
      <c r="Q1781" s="56"/>
    </row>
    <row r="1782" spans="1:18" x14ac:dyDescent="0.15">
      <c r="A1782" s="14" t="s">
        <v>110</v>
      </c>
      <c r="B1782" s="8"/>
      <c r="C1782" s="10">
        <v>3</v>
      </c>
      <c r="D1782" s="10"/>
      <c r="E1782" s="10">
        <v>3</v>
      </c>
      <c r="F1782" s="30"/>
      <c r="G1782" s="7">
        <f t="shared" si="510"/>
        <v>6</v>
      </c>
      <c r="H1782" s="58">
        <v>44153</v>
      </c>
      <c r="I1782" s="14" t="s">
        <v>1394</v>
      </c>
      <c r="J1782" s="8"/>
      <c r="K1782" s="10">
        <v>10</v>
      </c>
      <c r="L1782" s="10"/>
      <c r="M1782" s="10"/>
      <c r="N1782" s="30"/>
      <c r="O1782" s="7">
        <f t="shared" si="512"/>
        <v>10</v>
      </c>
      <c r="P1782" s="58">
        <v>44162</v>
      </c>
      <c r="Q1782" s="56"/>
      <c r="R1782" s="56"/>
    </row>
    <row r="1783" spans="1:18" x14ac:dyDescent="0.15">
      <c r="A1783" s="14" t="s">
        <v>10</v>
      </c>
      <c r="B1783" s="8">
        <v>1</v>
      </c>
      <c r="C1783" s="10"/>
      <c r="D1783" s="10"/>
      <c r="E1783" s="10">
        <v>1</v>
      </c>
      <c r="F1783" s="30">
        <v>1</v>
      </c>
      <c r="G1783" s="7">
        <f t="shared" si="510"/>
        <v>3</v>
      </c>
      <c r="H1783" s="58">
        <v>44146</v>
      </c>
      <c r="I1783" s="14" t="s">
        <v>25</v>
      </c>
      <c r="J1783" s="8"/>
      <c r="K1783" s="10"/>
      <c r="L1783" s="10">
        <v>1</v>
      </c>
      <c r="M1783" s="10"/>
      <c r="N1783" s="30"/>
      <c r="O1783" s="7">
        <f t="shared" si="512"/>
        <v>1</v>
      </c>
      <c r="P1783" s="58">
        <v>44166</v>
      </c>
      <c r="Q1783" s="56"/>
      <c r="R1783" s="56"/>
    </row>
    <row r="1784" spans="1:18" x14ac:dyDescent="0.15">
      <c r="A1784" s="14" t="s">
        <v>1388</v>
      </c>
      <c r="B1784" s="8"/>
      <c r="C1784" s="10">
        <v>1</v>
      </c>
      <c r="D1784" s="10"/>
      <c r="E1784" s="10"/>
      <c r="F1784" s="30"/>
      <c r="G1784" s="7">
        <f t="shared" si="510"/>
        <v>1</v>
      </c>
      <c r="H1784" s="58">
        <v>44146</v>
      </c>
      <c r="I1784" s="14" t="s">
        <v>24</v>
      </c>
      <c r="J1784" s="8">
        <v>5</v>
      </c>
      <c r="K1784" s="10"/>
      <c r="L1784" s="10"/>
      <c r="M1784" s="10"/>
      <c r="N1784" s="30"/>
      <c r="O1784" s="7">
        <f t="shared" si="512"/>
        <v>5</v>
      </c>
      <c r="P1784" s="58">
        <v>44167</v>
      </c>
    </row>
    <row r="1785" spans="1:18" x14ac:dyDescent="0.15">
      <c r="A1785" s="14" t="s">
        <v>29</v>
      </c>
      <c r="B1785" s="8">
        <v>1</v>
      </c>
      <c r="C1785" s="10"/>
      <c r="D1785" s="10"/>
      <c r="E1785" s="10"/>
      <c r="F1785" s="30"/>
      <c r="G1785" s="7">
        <f t="shared" si="510"/>
        <v>1</v>
      </c>
      <c r="H1785" s="58">
        <v>44155</v>
      </c>
      <c r="I1785" s="14" t="s">
        <v>25</v>
      </c>
      <c r="J1785" s="8">
        <v>2</v>
      </c>
      <c r="K1785" s="10"/>
      <c r="L1785" s="10"/>
      <c r="M1785" s="10"/>
      <c r="N1785" s="30"/>
      <c r="O1785" s="7">
        <f t="shared" si="512"/>
        <v>2</v>
      </c>
      <c r="P1785" s="58">
        <v>44168</v>
      </c>
      <c r="Q1785" s="56"/>
    </row>
    <row r="1786" spans="1:18" x14ac:dyDescent="0.15">
      <c r="A1786" s="14" t="s">
        <v>29</v>
      </c>
      <c r="B1786" s="8">
        <v>1</v>
      </c>
      <c r="C1786" s="10"/>
      <c r="D1786" s="10"/>
      <c r="E1786" s="10"/>
      <c r="F1786" s="30"/>
      <c r="G1786" s="7">
        <f t="shared" si="510"/>
        <v>1</v>
      </c>
      <c r="H1786" s="58">
        <v>44159</v>
      </c>
      <c r="I1786" s="14" t="s">
        <v>24</v>
      </c>
      <c r="J1786" s="8">
        <v>5</v>
      </c>
      <c r="K1786" s="10"/>
      <c r="L1786" s="10"/>
      <c r="M1786" s="10"/>
      <c r="N1786" s="30"/>
      <c r="O1786" s="7">
        <f t="shared" si="512"/>
        <v>5</v>
      </c>
      <c r="P1786" s="58">
        <v>44170</v>
      </c>
      <c r="Q1786" s="56"/>
    </row>
    <row r="1787" spans="1:18" x14ac:dyDescent="0.15">
      <c r="A1787" s="14" t="s">
        <v>10</v>
      </c>
      <c r="B1787" s="11"/>
      <c r="C1787" s="12">
        <v>1</v>
      </c>
      <c r="D1787" s="12"/>
      <c r="E1787" s="12"/>
      <c r="F1787" s="31"/>
      <c r="G1787" s="7">
        <f t="shared" si="510"/>
        <v>1</v>
      </c>
      <c r="H1787" s="58">
        <v>44161</v>
      </c>
      <c r="I1787" s="14" t="s">
        <v>110</v>
      </c>
      <c r="J1787" s="11"/>
      <c r="K1787" s="12"/>
      <c r="L1787" s="12">
        <v>6</v>
      </c>
      <c r="M1787" s="12"/>
      <c r="N1787" s="31">
        <v>3</v>
      </c>
      <c r="O1787" s="7">
        <f t="shared" si="512"/>
        <v>9</v>
      </c>
      <c r="P1787" s="58">
        <v>44229</v>
      </c>
      <c r="Q1787" s="56"/>
      <c r="R1787" s="56"/>
    </row>
    <row r="1788" spans="1:18" x14ac:dyDescent="0.15">
      <c r="A1788" s="14" t="s">
        <v>1393</v>
      </c>
      <c r="B1788" s="11">
        <v>1</v>
      </c>
      <c r="C1788" s="12"/>
      <c r="D1788" s="12"/>
      <c r="E1788" s="12"/>
      <c r="F1788" s="31"/>
      <c r="G1788" s="7">
        <f t="shared" si="510"/>
        <v>1</v>
      </c>
      <c r="H1788" s="58">
        <v>44161</v>
      </c>
      <c r="I1788" s="14"/>
      <c r="J1788" s="8"/>
      <c r="K1788" s="10"/>
      <c r="L1788" s="10"/>
      <c r="M1788" s="10"/>
      <c r="N1788" s="30"/>
      <c r="O1788" s="7">
        <f t="shared" si="512"/>
        <v>0</v>
      </c>
      <c r="P1788" s="58"/>
      <c r="Q1788" s="56"/>
      <c r="R1788" s="56"/>
    </row>
    <row r="1789" spans="1:18" x14ac:dyDescent="0.15">
      <c r="A1789" s="14" t="s">
        <v>110</v>
      </c>
      <c r="B1789" s="8">
        <v>3</v>
      </c>
      <c r="C1789" s="10"/>
      <c r="D1789" s="10"/>
      <c r="E1789" s="10"/>
      <c r="F1789" s="30"/>
      <c r="G1789" s="7">
        <f t="shared" si="510"/>
        <v>3</v>
      </c>
      <c r="H1789" s="58">
        <v>44168</v>
      </c>
      <c r="I1789" s="14"/>
      <c r="J1789" s="8"/>
      <c r="K1789" s="10"/>
      <c r="L1789" s="10"/>
      <c r="M1789" s="10"/>
      <c r="N1789" s="30"/>
      <c r="O1789" s="7">
        <f t="shared" si="512"/>
        <v>0</v>
      </c>
      <c r="P1789" s="58"/>
    </row>
    <row r="1790" spans="1:18" x14ac:dyDescent="0.15">
      <c r="A1790" s="14" t="s">
        <v>10</v>
      </c>
      <c r="B1790" s="8">
        <v>1</v>
      </c>
      <c r="C1790" s="10"/>
      <c r="D1790" s="10"/>
      <c r="E1790" s="10"/>
      <c r="F1790" s="30"/>
      <c r="G1790" s="7">
        <f t="shared" si="510"/>
        <v>1</v>
      </c>
      <c r="H1790" s="58">
        <v>44163</v>
      </c>
      <c r="I1790" s="14"/>
      <c r="J1790" s="8"/>
      <c r="K1790" s="10"/>
      <c r="L1790" s="10"/>
      <c r="M1790" s="10"/>
      <c r="N1790" s="30"/>
      <c r="O1790" s="7">
        <f t="shared" si="512"/>
        <v>0</v>
      </c>
      <c r="P1790" s="58"/>
    </row>
    <row r="1791" spans="1:18" x14ac:dyDescent="0.15">
      <c r="A1791" s="14" t="s">
        <v>29</v>
      </c>
      <c r="B1791" s="8"/>
      <c r="C1791" s="10"/>
      <c r="D1791" s="10"/>
      <c r="E1791" s="10"/>
      <c r="F1791" s="30">
        <v>1</v>
      </c>
      <c r="G1791" s="7">
        <f t="shared" si="510"/>
        <v>1</v>
      </c>
      <c r="H1791" s="58">
        <v>44162</v>
      </c>
      <c r="I1791" s="16"/>
      <c r="J1791" s="8"/>
      <c r="K1791" s="10"/>
      <c r="L1791" s="10"/>
      <c r="M1791" s="10"/>
      <c r="N1791" s="30"/>
      <c r="O1791" s="7">
        <f t="shared" si="512"/>
        <v>0</v>
      </c>
      <c r="P1791" s="58"/>
    </row>
    <row r="1792" spans="1:18" x14ac:dyDescent="0.15">
      <c r="A1792" s="14" t="s">
        <v>10</v>
      </c>
      <c r="B1792" s="8">
        <v>2</v>
      </c>
      <c r="C1792" s="10"/>
      <c r="D1792" s="10"/>
      <c r="E1792" s="10"/>
      <c r="F1792" s="30"/>
      <c r="G1792" s="7">
        <f t="shared" si="510"/>
        <v>2</v>
      </c>
      <c r="H1792" s="58">
        <v>44167</v>
      </c>
      <c r="I1792" s="14"/>
      <c r="J1792" s="8"/>
      <c r="K1792" s="10"/>
      <c r="L1792" s="10"/>
      <c r="M1792" s="10"/>
      <c r="N1792" s="30"/>
      <c r="O1792" s="7">
        <f>SUM(J1792:N1792)</f>
        <v>0</v>
      </c>
      <c r="P1792" s="58"/>
    </row>
    <row r="1793" spans="1:17" x14ac:dyDescent="0.15">
      <c r="A1793" s="14" t="s">
        <v>25</v>
      </c>
      <c r="B1793" s="11"/>
      <c r="C1793" s="12">
        <v>1</v>
      </c>
      <c r="D1793" s="12">
        <v>1</v>
      </c>
      <c r="E1793" s="12"/>
      <c r="F1793" s="31"/>
      <c r="G1793" s="7">
        <f t="shared" si="510"/>
        <v>2</v>
      </c>
      <c r="H1793" s="58">
        <v>44173</v>
      </c>
      <c r="I1793" s="16"/>
      <c r="J1793" s="11"/>
      <c r="K1793" s="12"/>
      <c r="L1793" s="12"/>
      <c r="M1793" s="12"/>
      <c r="N1793" s="31"/>
      <c r="O1793" s="7">
        <f t="shared" ref="O1793:O1800" si="513">SUM(J1793:N1793)</f>
        <v>0</v>
      </c>
      <c r="P1793" s="58"/>
    </row>
    <row r="1794" spans="1:17" x14ac:dyDescent="0.15">
      <c r="A1794" s="14" t="s">
        <v>25</v>
      </c>
      <c r="B1794" s="8"/>
      <c r="C1794" s="10"/>
      <c r="D1794" s="10">
        <v>1</v>
      </c>
      <c r="E1794" s="10"/>
      <c r="F1794" s="30"/>
      <c r="G1794" s="7">
        <f t="shared" si="510"/>
        <v>1</v>
      </c>
      <c r="H1794" s="58">
        <v>44176</v>
      </c>
      <c r="I1794" s="16"/>
      <c r="J1794" s="8"/>
      <c r="K1794" s="10"/>
      <c r="L1794" s="10"/>
      <c r="M1794" s="10"/>
      <c r="N1794" s="30"/>
      <c r="O1794" s="7">
        <f t="shared" si="513"/>
        <v>0</v>
      </c>
      <c r="P1794" s="58"/>
    </row>
    <row r="1795" spans="1:17" x14ac:dyDescent="0.15">
      <c r="A1795" s="14" t="s">
        <v>1396</v>
      </c>
      <c r="B1795" s="8"/>
      <c r="C1795" s="10">
        <v>1</v>
      </c>
      <c r="D1795" s="10"/>
      <c r="E1795" s="10"/>
      <c r="F1795" s="30"/>
      <c r="G1795" s="7">
        <f t="shared" si="510"/>
        <v>1</v>
      </c>
      <c r="H1795" s="58">
        <v>44176</v>
      </c>
      <c r="I1795" s="14"/>
      <c r="J1795" s="11"/>
      <c r="K1795" s="12"/>
      <c r="L1795" s="12"/>
      <c r="M1795" s="12"/>
      <c r="N1795" s="31"/>
      <c r="O1795" s="7">
        <f t="shared" si="513"/>
        <v>0</v>
      </c>
      <c r="P1795" s="58"/>
    </row>
    <row r="1796" spans="1:17" x14ac:dyDescent="0.15">
      <c r="A1796" s="14" t="s">
        <v>110</v>
      </c>
      <c r="B1796" s="8">
        <v>1</v>
      </c>
      <c r="C1796" s="10"/>
      <c r="D1796" s="10"/>
      <c r="E1796" s="10"/>
      <c r="F1796" s="30"/>
      <c r="G1796" s="7">
        <f t="shared" si="510"/>
        <v>1</v>
      </c>
      <c r="H1796" s="58">
        <v>43837</v>
      </c>
      <c r="I1796" s="14"/>
      <c r="J1796" s="11"/>
      <c r="K1796" s="12"/>
      <c r="L1796" s="12"/>
      <c r="M1796" s="12"/>
      <c r="N1796" s="31"/>
      <c r="O1796" s="7">
        <f t="shared" si="513"/>
        <v>0</v>
      </c>
      <c r="P1796" s="58"/>
    </row>
    <row r="1797" spans="1:17" x14ac:dyDescent="0.15">
      <c r="A1797" s="14" t="s">
        <v>29</v>
      </c>
      <c r="B1797" s="8">
        <v>1</v>
      </c>
      <c r="C1797" s="10"/>
      <c r="D1797" s="10"/>
      <c r="E1797" s="10"/>
      <c r="F1797" s="30"/>
      <c r="G1797" s="7">
        <f t="shared" si="510"/>
        <v>1</v>
      </c>
      <c r="H1797" s="58">
        <v>44201</v>
      </c>
      <c r="I1797" s="14"/>
      <c r="J1797" s="11"/>
      <c r="K1797" s="12"/>
      <c r="L1797" s="12"/>
      <c r="M1797" s="12"/>
      <c r="N1797" s="31"/>
      <c r="O1797" s="7">
        <f t="shared" si="513"/>
        <v>0</v>
      </c>
      <c r="P1797" s="56"/>
    </row>
    <row r="1798" spans="1:17" x14ac:dyDescent="0.15">
      <c r="A1798" s="14" t="s">
        <v>10</v>
      </c>
      <c r="B1798" s="8">
        <v>1</v>
      </c>
      <c r="C1798" s="10"/>
      <c r="D1798" s="10"/>
      <c r="E1798" s="10"/>
      <c r="F1798" s="30"/>
      <c r="G1798" s="7">
        <f t="shared" si="510"/>
        <v>1</v>
      </c>
      <c r="H1798" s="58">
        <v>44204</v>
      </c>
      <c r="I1798" s="16"/>
      <c r="J1798" s="11"/>
      <c r="K1798" s="12"/>
      <c r="L1798" s="12"/>
      <c r="M1798" s="12"/>
      <c r="N1798" s="31"/>
      <c r="O1798" s="7">
        <f t="shared" si="513"/>
        <v>0</v>
      </c>
      <c r="P1798" s="56"/>
    </row>
    <row r="1799" spans="1:17" x14ac:dyDescent="0.15">
      <c r="A1799" s="14" t="s">
        <v>29</v>
      </c>
      <c r="B1799" s="11">
        <v>1</v>
      </c>
      <c r="C1799" s="12"/>
      <c r="D1799" s="12"/>
      <c r="E1799" s="12"/>
      <c r="F1799" s="31"/>
      <c r="G1799" s="7">
        <f t="shared" si="510"/>
        <v>1</v>
      </c>
      <c r="H1799" s="58">
        <v>44208</v>
      </c>
      <c r="I1799" s="16"/>
      <c r="J1799" s="11"/>
      <c r="K1799" s="12"/>
      <c r="L1799" s="12"/>
      <c r="M1799" s="12"/>
      <c r="N1799" s="31"/>
      <c r="O1799" s="7">
        <f t="shared" si="513"/>
        <v>0</v>
      </c>
      <c r="P1799" s="56"/>
    </row>
    <row r="1800" spans="1:17" x14ac:dyDescent="0.15">
      <c r="A1800" s="14" t="s">
        <v>110</v>
      </c>
      <c r="B1800" s="8"/>
      <c r="C1800" s="10">
        <v>3</v>
      </c>
      <c r="D1800" s="10"/>
      <c r="E1800" s="10"/>
      <c r="F1800" s="30"/>
      <c r="G1800" s="7">
        <f t="shared" si="510"/>
        <v>3</v>
      </c>
      <c r="H1800" s="58">
        <v>44243</v>
      </c>
      <c r="I1800" s="16"/>
      <c r="J1800" s="11"/>
      <c r="K1800" s="12"/>
      <c r="L1800" s="12"/>
      <c r="M1800" s="12"/>
      <c r="N1800" s="31"/>
      <c r="O1800" s="7">
        <f t="shared" si="513"/>
        <v>0</v>
      </c>
      <c r="P1800" s="56"/>
      <c r="Q1800" s="56"/>
    </row>
    <row r="1801" spans="1:17" x14ac:dyDescent="0.15">
      <c r="A1801" s="38" t="s">
        <v>1403</v>
      </c>
      <c r="B1801" s="8"/>
      <c r="C1801" s="10"/>
      <c r="D1801" s="10">
        <v>2</v>
      </c>
      <c r="E1801" s="10"/>
      <c r="F1801" s="30">
        <v>2</v>
      </c>
      <c r="G1801" s="7">
        <f t="shared" si="510"/>
        <v>4</v>
      </c>
      <c r="H1801" s="58">
        <v>44239</v>
      </c>
      <c r="I1801" s="16" t="s">
        <v>1374</v>
      </c>
      <c r="J1801" s="11"/>
      <c r="K1801" s="12"/>
      <c r="L1801" s="12"/>
      <c r="M1801" s="12"/>
      <c r="N1801" s="31"/>
      <c r="O1801" s="7">
        <f t="shared" ref="O1801:O1803" si="514">SUM(J1801:N1801)</f>
        <v>0</v>
      </c>
      <c r="P1801" s="56" t="s">
        <v>1375</v>
      </c>
      <c r="Q1801" s="56"/>
    </row>
    <row r="1802" spans="1:17" x14ac:dyDescent="0.15">
      <c r="A1802" s="14" t="s">
        <v>110</v>
      </c>
      <c r="B1802" s="8">
        <v>1</v>
      </c>
      <c r="C1802" s="10"/>
      <c r="D1802" s="10"/>
      <c r="E1802" s="10"/>
      <c r="F1802" s="30"/>
      <c r="G1802" s="7">
        <f t="shared" si="510"/>
        <v>1</v>
      </c>
      <c r="H1802" s="58">
        <v>44249</v>
      </c>
      <c r="I1802" s="16" t="s">
        <v>1364</v>
      </c>
      <c r="J1802" s="11"/>
      <c r="K1802" s="12"/>
      <c r="L1802" s="12"/>
      <c r="M1802" s="12"/>
      <c r="N1802" s="31"/>
      <c r="O1802" s="7">
        <f t="shared" si="514"/>
        <v>0</v>
      </c>
      <c r="P1802" s="56" t="s">
        <v>1363</v>
      </c>
      <c r="Q1802" s="56"/>
    </row>
    <row r="1803" spans="1:17" ht="14.25" thickBot="1" x14ac:dyDescent="0.2">
      <c r="A1803" s="14" t="s">
        <v>29</v>
      </c>
      <c r="B1803" s="11"/>
      <c r="C1803" s="12"/>
      <c r="D1803" s="12"/>
      <c r="E1803" s="12"/>
      <c r="F1803" s="31">
        <v>1</v>
      </c>
      <c r="G1803" s="7">
        <f t="shared" si="510"/>
        <v>1</v>
      </c>
      <c r="H1803" s="58">
        <v>44244</v>
      </c>
      <c r="I1803" s="16" t="s">
        <v>1292</v>
      </c>
      <c r="J1803" s="11"/>
      <c r="K1803" s="12"/>
      <c r="L1803" s="12"/>
      <c r="M1803" s="12"/>
      <c r="N1803" s="31"/>
      <c r="O1803" s="7">
        <f t="shared" si="514"/>
        <v>0</v>
      </c>
      <c r="P1803" s="56" t="s">
        <v>1293</v>
      </c>
      <c r="Q1803" s="56"/>
    </row>
    <row r="1804" spans="1:17" ht="14.25" thickBot="1" x14ac:dyDescent="0.2">
      <c r="A1804" s="3" t="s">
        <v>11</v>
      </c>
      <c r="B1804" s="23">
        <f>SUM(B1778:B1803)</f>
        <v>18</v>
      </c>
      <c r="C1804" s="4">
        <f>SUM(C1778:C1803)</f>
        <v>11</v>
      </c>
      <c r="D1804" s="4">
        <f>SUM(D1778:D1803)</f>
        <v>5</v>
      </c>
      <c r="E1804" s="6">
        <f>SUM(E1778:E1803)</f>
        <v>7</v>
      </c>
      <c r="F1804" s="32">
        <f>SUM(F1778:F1803)</f>
        <v>7</v>
      </c>
      <c r="G1804" s="5">
        <f>SUM(B1804:F1804)</f>
        <v>48</v>
      </c>
      <c r="I1804" s="3" t="s">
        <v>11</v>
      </c>
      <c r="J1804" s="23">
        <f>SUM(J1778:J1803)</f>
        <v>13</v>
      </c>
      <c r="K1804" s="4">
        <f>SUM(K1778:K1803)</f>
        <v>11</v>
      </c>
      <c r="L1804" s="4">
        <f>SUM(L1778:L1803)</f>
        <v>7</v>
      </c>
      <c r="M1804" s="6">
        <f>SUM(M1778:M1803)</f>
        <v>7</v>
      </c>
      <c r="N1804" s="6">
        <f>SUM(N1778:N1803)</f>
        <v>3</v>
      </c>
      <c r="O1804" s="5">
        <f>SUM(J1804:N1804)</f>
        <v>41</v>
      </c>
    </row>
    <row r="1805" spans="1:17" ht="14.25" thickBot="1" x14ac:dyDescent="0.2">
      <c r="A1805" s="25" t="s">
        <v>12</v>
      </c>
      <c r="B1805" s="63">
        <f>B1777-B1804</f>
        <v>4</v>
      </c>
      <c r="C1805" s="26">
        <f t="shared" ref="C1805:G1805" si="515">C1777-C1804</f>
        <v>5</v>
      </c>
      <c r="D1805" s="71">
        <f t="shared" si="515"/>
        <v>3</v>
      </c>
      <c r="E1805" s="26">
        <f t="shared" si="515"/>
        <v>8</v>
      </c>
      <c r="F1805" s="70">
        <f t="shared" si="515"/>
        <v>3</v>
      </c>
      <c r="G1805" s="27">
        <f t="shared" si="515"/>
        <v>23</v>
      </c>
      <c r="I1805" s="25" t="s">
        <v>12</v>
      </c>
      <c r="J1805" s="63">
        <f>J1777-J1804</f>
        <v>120</v>
      </c>
      <c r="K1805" s="26">
        <f t="shared" ref="K1805:O1805" si="516">K1777-K1804</f>
        <v>102</v>
      </c>
      <c r="L1805" s="71">
        <f t="shared" si="516"/>
        <v>74</v>
      </c>
      <c r="M1805" s="26">
        <f t="shared" si="516"/>
        <v>108</v>
      </c>
      <c r="N1805" s="70">
        <f t="shared" si="516"/>
        <v>87</v>
      </c>
      <c r="O1805" s="27">
        <f t="shared" si="516"/>
        <v>491</v>
      </c>
    </row>
    <row r="1806" spans="1:17" ht="17.25" x14ac:dyDescent="0.2">
      <c r="A1806" s="79" t="s">
        <v>56</v>
      </c>
      <c r="B1806" s="80"/>
      <c r="C1806" s="80"/>
      <c r="D1806" s="80"/>
      <c r="E1806" s="80"/>
      <c r="F1806" s="80"/>
      <c r="G1806" s="80"/>
      <c r="I1806" s="79" t="s">
        <v>56</v>
      </c>
      <c r="J1806" s="80"/>
      <c r="K1806" s="80"/>
      <c r="L1806" s="80"/>
      <c r="M1806" s="80"/>
      <c r="N1806" s="80"/>
      <c r="O1806" s="1"/>
    </row>
    <row r="1807" spans="1:17" ht="21.75" thickBot="1" x14ac:dyDescent="0.25">
      <c r="A1807" s="82" t="s">
        <v>55</v>
      </c>
      <c r="B1807" s="80"/>
      <c r="C1807" s="80"/>
      <c r="D1807" s="80"/>
      <c r="E1807" s="81" t="s">
        <v>53</v>
      </c>
      <c r="F1807" s="80"/>
      <c r="G1807" s="80"/>
      <c r="I1807" s="82" t="s">
        <v>55</v>
      </c>
      <c r="J1807" s="80"/>
      <c r="K1807" s="80"/>
      <c r="L1807" s="80"/>
      <c r="M1807" s="81" t="s">
        <v>54</v>
      </c>
      <c r="N1807" s="80"/>
      <c r="O1807" s="1"/>
    </row>
    <row r="1808" spans="1:17" ht="14.25" thickBot="1" x14ac:dyDescent="0.2">
      <c r="A1808" s="13" t="s">
        <v>0</v>
      </c>
      <c r="B1808" s="228" t="s">
        <v>57</v>
      </c>
      <c r="C1808" s="229"/>
      <c r="D1808" s="229"/>
      <c r="E1808" s="229"/>
      <c r="F1808" s="230"/>
      <c r="G1808" s="231"/>
      <c r="I1808" s="13" t="s">
        <v>0</v>
      </c>
      <c r="J1808" s="232" t="s">
        <v>57</v>
      </c>
      <c r="K1808" s="233"/>
      <c r="L1808" s="233"/>
      <c r="M1808" s="233"/>
      <c r="N1808" s="233"/>
      <c r="O1808" s="234"/>
    </row>
    <row r="1809" spans="1:16" ht="14.25" thickBot="1" x14ac:dyDescent="0.2">
      <c r="A1809" s="3" t="s">
        <v>1</v>
      </c>
      <c r="B1809" s="2" t="s">
        <v>42</v>
      </c>
      <c r="C1809" s="21" t="s">
        <v>43</v>
      </c>
      <c r="D1809" s="21" t="s">
        <v>44</v>
      </c>
      <c r="E1809" s="24" t="s">
        <v>45</v>
      </c>
      <c r="F1809" s="33" t="s">
        <v>46</v>
      </c>
      <c r="G1809" s="3" t="s">
        <v>2</v>
      </c>
      <c r="I1809" s="3" t="s">
        <v>1</v>
      </c>
      <c r="J1809" s="2" t="s">
        <v>42</v>
      </c>
      <c r="K1809" s="21" t="s">
        <v>43</v>
      </c>
      <c r="L1809" s="21" t="s">
        <v>44</v>
      </c>
      <c r="M1809" s="24" t="s">
        <v>45</v>
      </c>
      <c r="N1809" s="33" t="s">
        <v>46</v>
      </c>
      <c r="O1809" s="3" t="s">
        <v>2</v>
      </c>
    </row>
    <row r="1810" spans="1:16" ht="14.25" thickBot="1" x14ac:dyDescent="0.2">
      <c r="A1810" s="72" t="s">
        <v>79</v>
      </c>
      <c r="B1810" s="73">
        <f>B1805</f>
        <v>4</v>
      </c>
      <c r="C1810" s="74">
        <f t="shared" ref="C1810:F1810" si="517">C1805</f>
        <v>5</v>
      </c>
      <c r="D1810" s="107">
        <f t="shared" si="517"/>
        <v>3</v>
      </c>
      <c r="E1810" s="75">
        <f t="shared" si="517"/>
        <v>8</v>
      </c>
      <c r="F1810" s="75">
        <f t="shared" si="517"/>
        <v>3</v>
      </c>
      <c r="G1810" s="76">
        <f t="shared" ref="G1810:G1819" si="518">SUM(B1810:F1810)</f>
        <v>23</v>
      </c>
      <c r="I1810" s="72" t="s">
        <v>79</v>
      </c>
      <c r="J1810" s="73">
        <f>J1805</f>
        <v>120</v>
      </c>
      <c r="K1810" s="74">
        <f t="shared" ref="K1810:N1810" si="519">K1805</f>
        <v>102</v>
      </c>
      <c r="L1810" s="107">
        <f t="shared" si="519"/>
        <v>74</v>
      </c>
      <c r="M1810" s="75">
        <f t="shared" si="519"/>
        <v>108</v>
      </c>
      <c r="N1810" s="75">
        <f t="shared" si="519"/>
        <v>87</v>
      </c>
      <c r="O1810" s="76">
        <f t="shared" ref="O1810:O1819" si="520">SUM(J1810:N1810)</f>
        <v>491</v>
      </c>
    </row>
    <row r="1811" spans="1:16" x14ac:dyDescent="0.15">
      <c r="A1811" s="195" t="s">
        <v>15</v>
      </c>
      <c r="B1811" s="196"/>
      <c r="C1811" s="197"/>
      <c r="D1811" s="197"/>
      <c r="E1811" s="197">
        <v>5</v>
      </c>
      <c r="F1811" s="198"/>
      <c r="G1811" s="161">
        <f t="shared" si="518"/>
        <v>5</v>
      </c>
      <c r="H1811" s="162">
        <v>44253</v>
      </c>
      <c r="I1811" s="38" t="s">
        <v>9</v>
      </c>
      <c r="J1811" s="8">
        <v>3</v>
      </c>
      <c r="K1811" s="10">
        <v>5</v>
      </c>
      <c r="L1811" s="10"/>
      <c r="M1811" s="10">
        <v>4</v>
      </c>
      <c r="N1811" s="30"/>
      <c r="O1811" s="7">
        <f t="shared" si="520"/>
        <v>12</v>
      </c>
      <c r="P1811" s="58">
        <v>44352</v>
      </c>
    </row>
    <row r="1812" spans="1:16" x14ac:dyDescent="0.15">
      <c r="A1812" s="38" t="s">
        <v>157</v>
      </c>
      <c r="B1812" s="8">
        <v>1</v>
      </c>
      <c r="C1812" s="10"/>
      <c r="D1812" s="10"/>
      <c r="E1812" s="10"/>
      <c r="F1812" s="28"/>
      <c r="G1812" s="9">
        <f t="shared" si="518"/>
        <v>1</v>
      </c>
      <c r="H1812" s="58">
        <v>44267</v>
      </c>
      <c r="I1812" s="38" t="s">
        <v>16</v>
      </c>
      <c r="J1812" s="8"/>
      <c r="K1812" s="10"/>
      <c r="L1812" s="10"/>
      <c r="M1812" s="10"/>
      <c r="N1812" s="28"/>
      <c r="O1812" s="9">
        <f t="shared" si="520"/>
        <v>0</v>
      </c>
    </row>
    <row r="1813" spans="1:16" x14ac:dyDescent="0.15">
      <c r="A1813" s="38" t="s">
        <v>18</v>
      </c>
      <c r="B1813" s="8">
        <v>3</v>
      </c>
      <c r="C1813" s="10">
        <v>3</v>
      </c>
      <c r="D1813" s="10"/>
      <c r="E1813" s="10"/>
      <c r="F1813" s="28"/>
      <c r="G1813" s="9">
        <f t="shared" si="518"/>
        <v>6</v>
      </c>
      <c r="H1813" s="58">
        <v>44274</v>
      </c>
      <c r="I1813" s="15" t="s">
        <v>18</v>
      </c>
      <c r="J1813" s="8"/>
      <c r="K1813" s="10"/>
      <c r="L1813" s="10"/>
      <c r="M1813" s="10"/>
      <c r="N1813" s="28"/>
      <c r="O1813" s="9">
        <f t="shared" si="520"/>
        <v>0</v>
      </c>
    </row>
    <row r="1814" spans="1:16" x14ac:dyDescent="0.15">
      <c r="A1814" s="38" t="s">
        <v>20</v>
      </c>
      <c r="B1814" s="8"/>
      <c r="C1814" s="10">
        <v>5</v>
      </c>
      <c r="D1814" s="10"/>
      <c r="E1814" s="10"/>
      <c r="F1814" s="28"/>
      <c r="G1814" s="9">
        <f t="shared" si="518"/>
        <v>5</v>
      </c>
      <c r="H1814" s="58">
        <v>44350</v>
      </c>
      <c r="I1814" s="15" t="s">
        <v>20</v>
      </c>
      <c r="J1814" s="8"/>
      <c r="K1814" s="10"/>
      <c r="L1814" s="10"/>
      <c r="M1814" s="10"/>
      <c r="N1814" s="28"/>
      <c r="O1814" s="9">
        <f t="shared" si="520"/>
        <v>0</v>
      </c>
    </row>
    <row r="1815" spans="1:16" x14ac:dyDescent="0.15">
      <c r="A1815" s="38" t="s">
        <v>324</v>
      </c>
      <c r="B1815" s="8">
        <v>3</v>
      </c>
      <c r="C1815" s="10">
        <v>4</v>
      </c>
      <c r="D1815" s="10">
        <v>3</v>
      </c>
      <c r="E1815" s="10">
        <v>2</v>
      </c>
      <c r="F1815" s="28"/>
      <c r="G1815" s="9">
        <f t="shared" si="518"/>
        <v>12</v>
      </c>
      <c r="H1815" s="58">
        <v>44350</v>
      </c>
      <c r="I1815" s="15" t="s">
        <v>80</v>
      </c>
      <c r="J1815" s="8"/>
      <c r="K1815" s="10"/>
      <c r="L1815" s="10"/>
      <c r="M1815" s="10"/>
      <c r="N1815" s="28"/>
      <c r="O1815" s="9">
        <f t="shared" si="520"/>
        <v>0</v>
      </c>
    </row>
    <row r="1816" spans="1:16" x14ac:dyDescent="0.15">
      <c r="A1816" s="38" t="s">
        <v>81</v>
      </c>
      <c r="B1816" s="8"/>
      <c r="C1816" s="10">
        <v>3</v>
      </c>
      <c r="D1816" s="10">
        <v>3</v>
      </c>
      <c r="E1816" s="10"/>
      <c r="F1816" s="30"/>
      <c r="G1816" s="7">
        <f t="shared" si="518"/>
        <v>6</v>
      </c>
      <c r="H1816" s="58">
        <v>44357</v>
      </c>
      <c r="I1816" s="15" t="s">
        <v>81</v>
      </c>
      <c r="J1816" s="8"/>
      <c r="K1816" s="10"/>
      <c r="L1816" s="10"/>
      <c r="M1816" s="10"/>
      <c r="N1816" s="28"/>
      <c r="O1816" s="9">
        <f t="shared" si="520"/>
        <v>0</v>
      </c>
    </row>
    <row r="1817" spans="1:16" x14ac:dyDescent="0.15">
      <c r="A1817" s="38" t="s">
        <v>82</v>
      </c>
      <c r="B1817" s="8"/>
      <c r="C1817" s="10"/>
      <c r="D1817" s="10">
        <v>3</v>
      </c>
      <c r="E1817" s="10"/>
      <c r="F1817" s="30">
        <v>3</v>
      </c>
      <c r="G1817" s="7">
        <f t="shared" si="518"/>
        <v>6</v>
      </c>
      <c r="H1817" s="58">
        <v>44370</v>
      </c>
      <c r="I1817" s="15" t="s">
        <v>82</v>
      </c>
      <c r="J1817" s="8"/>
      <c r="K1817" s="10"/>
      <c r="L1817" s="10"/>
      <c r="M1817" s="10"/>
      <c r="N1817" s="30"/>
      <c r="O1817" s="7">
        <f t="shared" si="520"/>
        <v>0</v>
      </c>
    </row>
    <row r="1818" spans="1:16" x14ac:dyDescent="0.15">
      <c r="A1818" s="38" t="s">
        <v>83</v>
      </c>
      <c r="B1818" s="11"/>
      <c r="C1818" s="100"/>
      <c r="D1818" s="100"/>
      <c r="E1818" s="100"/>
      <c r="F1818" s="101"/>
      <c r="G1818" s="102">
        <f t="shared" si="518"/>
        <v>0</v>
      </c>
      <c r="H1818" s="58"/>
      <c r="I1818" s="15" t="s">
        <v>83</v>
      </c>
      <c r="J1818" s="8"/>
      <c r="K1818" s="10"/>
      <c r="L1818" s="10"/>
      <c r="M1818" s="10"/>
      <c r="N1818" s="30"/>
      <c r="O1818" s="7">
        <f t="shared" si="520"/>
        <v>0</v>
      </c>
    </row>
    <row r="1819" spans="1:16" ht="14.25" thickBot="1" x14ac:dyDescent="0.2">
      <c r="A1819" s="38" t="s">
        <v>159</v>
      </c>
      <c r="B1819" s="11"/>
      <c r="C1819" s="100"/>
      <c r="D1819" s="100"/>
      <c r="E1819" s="100"/>
      <c r="F1819" s="101"/>
      <c r="G1819" s="102">
        <f t="shared" si="518"/>
        <v>0</v>
      </c>
      <c r="H1819" s="58"/>
      <c r="I1819" s="15" t="s">
        <v>87</v>
      </c>
      <c r="J1819" s="11"/>
      <c r="K1819" s="100"/>
      <c r="L1819" s="100"/>
      <c r="M1819" s="100"/>
      <c r="N1819" s="101"/>
      <c r="O1819" s="102">
        <f t="shared" si="520"/>
        <v>0</v>
      </c>
    </row>
    <row r="1820" spans="1:16" ht="14.25" thickBot="1" x14ac:dyDescent="0.2">
      <c r="A1820" s="72" t="s">
        <v>7</v>
      </c>
      <c r="B1820" s="73">
        <f>SUM(B1810:B1819)</f>
        <v>11</v>
      </c>
      <c r="C1820" s="74">
        <f t="shared" ref="C1820:G1820" si="521">SUM(C1810:C1819)</f>
        <v>20</v>
      </c>
      <c r="D1820" s="74">
        <f t="shared" si="521"/>
        <v>12</v>
      </c>
      <c r="E1820" s="74">
        <f t="shared" si="521"/>
        <v>15</v>
      </c>
      <c r="F1820" s="105">
        <f t="shared" si="521"/>
        <v>6</v>
      </c>
      <c r="G1820" s="76">
        <f t="shared" si="521"/>
        <v>64</v>
      </c>
      <c r="I1820" s="72" t="s">
        <v>7</v>
      </c>
      <c r="J1820" s="73">
        <f>SUM(J1810:J1819)</f>
        <v>123</v>
      </c>
      <c r="K1820" s="74">
        <f t="shared" ref="K1820:O1820" si="522">SUM(K1810:K1819)</f>
        <v>107</v>
      </c>
      <c r="L1820" s="74">
        <f t="shared" si="522"/>
        <v>74</v>
      </c>
      <c r="M1820" s="74">
        <f t="shared" si="522"/>
        <v>112</v>
      </c>
      <c r="N1820" s="105">
        <f t="shared" si="522"/>
        <v>87</v>
      </c>
      <c r="O1820" s="76">
        <f t="shared" si="522"/>
        <v>503</v>
      </c>
    </row>
    <row r="1821" spans="1:16" x14ac:dyDescent="0.15">
      <c r="A1821" s="14" t="s">
        <v>110</v>
      </c>
      <c r="B1821" s="8"/>
      <c r="C1821" s="10"/>
      <c r="D1821" s="10"/>
      <c r="E1821" s="10">
        <v>6</v>
      </c>
      <c r="F1821" s="30"/>
      <c r="G1821" s="7">
        <f t="shared" ref="G1821" si="523">SUM(B1821:F1821)</f>
        <v>6</v>
      </c>
      <c r="H1821" s="58">
        <v>44257</v>
      </c>
      <c r="I1821" s="157" t="s">
        <v>1409</v>
      </c>
      <c r="J1821" s="158"/>
      <c r="K1821" s="159"/>
      <c r="L1821" s="159"/>
      <c r="M1821" s="159">
        <v>5</v>
      </c>
      <c r="N1821" s="160"/>
      <c r="O1821" s="161">
        <f t="shared" ref="O1821" si="524">SUM(J1821:N1821)</f>
        <v>5</v>
      </c>
      <c r="P1821" s="162">
        <v>44253</v>
      </c>
    </row>
    <row r="1822" spans="1:16" x14ac:dyDescent="0.15">
      <c r="A1822" s="14" t="s">
        <v>1410</v>
      </c>
      <c r="B1822" s="8">
        <v>1</v>
      </c>
      <c r="C1822" s="10"/>
      <c r="D1822" s="10"/>
      <c r="E1822" s="10"/>
      <c r="F1822" s="30"/>
      <c r="G1822" s="7">
        <f t="shared" ref="G1822:G1846" si="525">SUM(B1822:F1822)</f>
        <v>1</v>
      </c>
      <c r="H1822" s="58">
        <v>44268</v>
      </c>
      <c r="I1822" s="14" t="s">
        <v>8</v>
      </c>
      <c r="J1822" s="8"/>
      <c r="K1822" s="10">
        <v>10</v>
      </c>
      <c r="L1822" s="10"/>
      <c r="M1822" s="10"/>
      <c r="N1822" s="28"/>
      <c r="O1822" s="9">
        <f t="shared" ref="O1822:O1833" si="526">SUM(J1822:N1822)</f>
        <v>10</v>
      </c>
      <c r="P1822" s="58">
        <v>44263</v>
      </c>
    </row>
    <row r="1823" spans="1:16" x14ac:dyDescent="0.15">
      <c r="A1823" s="14" t="s">
        <v>117</v>
      </c>
      <c r="B1823" s="8"/>
      <c r="C1823" s="10">
        <v>1</v>
      </c>
      <c r="D1823" s="10">
        <v>1</v>
      </c>
      <c r="E1823" s="10"/>
      <c r="F1823" s="30"/>
      <c r="G1823" s="7">
        <f t="shared" si="525"/>
        <v>2</v>
      </c>
      <c r="H1823" s="58">
        <v>44272</v>
      </c>
      <c r="I1823" s="14" t="s">
        <v>110</v>
      </c>
      <c r="J1823" s="8"/>
      <c r="K1823" s="10"/>
      <c r="L1823" s="10"/>
      <c r="M1823" s="10">
        <v>4</v>
      </c>
      <c r="N1823" s="30"/>
      <c r="O1823" s="7">
        <f t="shared" si="526"/>
        <v>4</v>
      </c>
      <c r="P1823" s="58">
        <v>44271</v>
      </c>
    </row>
    <row r="1824" spans="1:16" x14ac:dyDescent="0.15">
      <c r="A1824" s="14" t="s">
        <v>1411</v>
      </c>
      <c r="B1824" s="8"/>
      <c r="C1824" s="10">
        <v>1</v>
      </c>
      <c r="D1824" s="10"/>
      <c r="E1824" s="10"/>
      <c r="F1824" s="30"/>
      <c r="G1824" s="7">
        <f t="shared" si="525"/>
        <v>1</v>
      </c>
      <c r="H1824" s="58">
        <v>44273</v>
      </c>
      <c r="I1824" s="14" t="s">
        <v>24</v>
      </c>
      <c r="J1824" s="8">
        <v>3</v>
      </c>
      <c r="K1824" s="10">
        <v>3</v>
      </c>
      <c r="L1824" s="10"/>
      <c r="M1824" s="10"/>
      <c r="N1824" s="30"/>
      <c r="O1824" s="7">
        <f t="shared" si="526"/>
        <v>6</v>
      </c>
      <c r="P1824" s="58">
        <v>44274</v>
      </c>
    </row>
    <row r="1825" spans="1:17" x14ac:dyDescent="0.15">
      <c r="A1825" s="14" t="s">
        <v>117</v>
      </c>
      <c r="B1825" s="8">
        <v>1</v>
      </c>
      <c r="C1825" s="10"/>
      <c r="D1825" s="10"/>
      <c r="E1825" s="10"/>
      <c r="F1825" s="30"/>
      <c r="G1825" s="7">
        <f t="shared" si="525"/>
        <v>1</v>
      </c>
      <c r="H1825" s="58">
        <v>44280</v>
      </c>
      <c r="I1825" s="14" t="s">
        <v>8</v>
      </c>
      <c r="J1825" s="8">
        <v>10</v>
      </c>
      <c r="K1825" s="10"/>
      <c r="L1825" s="10"/>
      <c r="M1825" s="10">
        <v>10</v>
      </c>
      <c r="N1825" s="30"/>
      <c r="O1825" s="7">
        <f t="shared" si="526"/>
        <v>20</v>
      </c>
      <c r="P1825" s="58">
        <v>44355</v>
      </c>
    </row>
    <row r="1826" spans="1:17" x14ac:dyDescent="0.15">
      <c r="A1826" s="14" t="s">
        <v>29</v>
      </c>
      <c r="B1826" s="8"/>
      <c r="C1826" s="10">
        <v>1</v>
      </c>
      <c r="D1826" s="10"/>
      <c r="E1826" s="10"/>
      <c r="F1826" s="30"/>
      <c r="G1826" s="7">
        <f t="shared" si="525"/>
        <v>1</v>
      </c>
      <c r="H1826" s="58">
        <v>44291</v>
      </c>
      <c r="I1826" s="14" t="s">
        <v>24</v>
      </c>
      <c r="J1826" s="8"/>
      <c r="K1826" s="10">
        <v>5</v>
      </c>
      <c r="L1826" s="10"/>
      <c r="M1826" s="10"/>
      <c r="N1826" s="30"/>
      <c r="O1826" s="7">
        <f t="shared" si="526"/>
        <v>5</v>
      </c>
      <c r="P1826" s="58">
        <v>44350</v>
      </c>
    </row>
    <row r="1827" spans="1:17" x14ac:dyDescent="0.15">
      <c r="A1827" s="14" t="s">
        <v>29</v>
      </c>
      <c r="B1827" s="8"/>
      <c r="C1827" s="10"/>
      <c r="D1827" s="10"/>
      <c r="E1827" s="10">
        <v>1</v>
      </c>
      <c r="F1827" s="30"/>
      <c r="G1827" s="7">
        <f t="shared" si="525"/>
        <v>1</v>
      </c>
      <c r="H1827" s="58">
        <v>44298</v>
      </c>
      <c r="I1827" s="14" t="s">
        <v>24</v>
      </c>
      <c r="J1827" s="8"/>
      <c r="K1827" s="10">
        <v>3</v>
      </c>
      <c r="L1827" s="10">
        <v>3</v>
      </c>
      <c r="M1827" s="10"/>
      <c r="N1827" s="30"/>
      <c r="O1827" s="7">
        <f t="shared" si="526"/>
        <v>6</v>
      </c>
      <c r="P1827" s="58">
        <v>44357</v>
      </c>
    </row>
    <row r="1828" spans="1:17" x14ac:dyDescent="0.15">
      <c r="A1828" s="14" t="s">
        <v>696</v>
      </c>
      <c r="B1828" s="8"/>
      <c r="C1828" s="10"/>
      <c r="D1828" s="10"/>
      <c r="E1828" s="10">
        <v>-1</v>
      </c>
      <c r="F1828" s="30"/>
      <c r="G1828" s="7">
        <f t="shared" si="525"/>
        <v>-1</v>
      </c>
      <c r="H1828" s="58">
        <v>44305</v>
      </c>
      <c r="I1828" s="14" t="s">
        <v>117</v>
      </c>
      <c r="J1828" s="8"/>
      <c r="K1828" s="10"/>
      <c r="L1828" s="10"/>
      <c r="M1828" s="10">
        <v>1</v>
      </c>
      <c r="N1828" s="30"/>
      <c r="O1828" s="7">
        <f t="shared" si="526"/>
        <v>1</v>
      </c>
      <c r="P1828" s="58">
        <v>44369</v>
      </c>
    </row>
    <row r="1829" spans="1:17" x14ac:dyDescent="0.15">
      <c r="A1829" s="14" t="s">
        <v>29</v>
      </c>
      <c r="B1829" s="8"/>
      <c r="C1829" s="10">
        <v>1</v>
      </c>
      <c r="D1829" s="10"/>
      <c r="E1829" s="10"/>
      <c r="F1829" s="30"/>
      <c r="G1829" s="7">
        <f t="shared" si="525"/>
        <v>1</v>
      </c>
      <c r="H1829" s="58">
        <v>44314</v>
      </c>
      <c r="I1829" s="38" t="s">
        <v>9</v>
      </c>
      <c r="J1829" s="8"/>
      <c r="K1829" s="10"/>
      <c r="L1829" s="10">
        <v>3</v>
      </c>
      <c r="M1829" s="10"/>
      <c r="N1829" s="30">
        <v>3</v>
      </c>
      <c r="O1829" s="7">
        <f t="shared" si="526"/>
        <v>6</v>
      </c>
      <c r="P1829" s="58">
        <v>44370</v>
      </c>
    </row>
    <row r="1830" spans="1:17" x14ac:dyDescent="0.15">
      <c r="A1830" s="14" t="s">
        <v>117</v>
      </c>
      <c r="B1830" s="11"/>
      <c r="C1830" s="12">
        <v>1</v>
      </c>
      <c r="D1830" s="12"/>
      <c r="E1830" s="12"/>
      <c r="F1830" s="31"/>
      <c r="G1830" s="7">
        <f t="shared" si="525"/>
        <v>1</v>
      </c>
      <c r="H1830" s="58">
        <v>44323</v>
      </c>
      <c r="I1830" s="14" t="s">
        <v>117</v>
      </c>
      <c r="J1830" s="11">
        <v>1</v>
      </c>
      <c r="K1830" s="12"/>
      <c r="L1830" s="12"/>
      <c r="M1830" s="12"/>
      <c r="N1830" s="31"/>
      <c r="O1830" s="7">
        <f t="shared" si="526"/>
        <v>1</v>
      </c>
      <c r="P1830" s="58">
        <v>44377</v>
      </c>
    </row>
    <row r="1831" spans="1:17" x14ac:dyDescent="0.15">
      <c r="A1831" s="14" t="s">
        <v>29</v>
      </c>
      <c r="B1831" s="11"/>
      <c r="C1831" s="12"/>
      <c r="D1831" s="12">
        <v>1</v>
      </c>
      <c r="E1831" s="12"/>
      <c r="F1831" s="31"/>
      <c r="G1831" s="7">
        <f t="shared" si="525"/>
        <v>1</v>
      </c>
      <c r="H1831" s="58">
        <v>44342</v>
      </c>
      <c r="I1831" s="14" t="s">
        <v>8</v>
      </c>
      <c r="J1831" s="8"/>
      <c r="K1831" s="10"/>
      <c r="L1831" s="10"/>
      <c r="M1831" s="10"/>
      <c r="N1831" s="30">
        <v>5</v>
      </c>
      <c r="O1831" s="7">
        <f t="shared" si="526"/>
        <v>5</v>
      </c>
      <c r="P1831" s="58">
        <v>44393</v>
      </c>
    </row>
    <row r="1832" spans="1:17" x14ac:dyDescent="0.15">
      <c r="A1832" s="14" t="s">
        <v>29</v>
      </c>
      <c r="B1832" s="8"/>
      <c r="C1832" s="10">
        <v>1</v>
      </c>
      <c r="D1832" s="10"/>
      <c r="E1832" s="10"/>
      <c r="F1832" s="30"/>
      <c r="G1832" s="7">
        <f t="shared" si="525"/>
        <v>1</v>
      </c>
      <c r="H1832" s="58">
        <v>44347</v>
      </c>
      <c r="I1832" s="14" t="s">
        <v>117</v>
      </c>
      <c r="J1832" s="8">
        <v>1</v>
      </c>
      <c r="K1832" s="10"/>
      <c r="L1832" s="10"/>
      <c r="M1832" s="10"/>
      <c r="N1832" s="30"/>
      <c r="O1832" s="7">
        <f t="shared" si="526"/>
        <v>1</v>
      </c>
      <c r="P1832" s="58">
        <v>44397</v>
      </c>
    </row>
    <row r="1833" spans="1:17" x14ac:dyDescent="0.15">
      <c r="A1833" s="14" t="s">
        <v>117</v>
      </c>
      <c r="B1833" s="8"/>
      <c r="C1833" s="10">
        <v>1</v>
      </c>
      <c r="D1833" s="10"/>
      <c r="E1833" s="10"/>
      <c r="F1833" s="30"/>
      <c r="G1833" s="7">
        <f t="shared" si="525"/>
        <v>1</v>
      </c>
      <c r="H1833" s="58">
        <v>44350</v>
      </c>
      <c r="I1833" s="14" t="s">
        <v>117</v>
      </c>
      <c r="J1833" s="8"/>
      <c r="K1833" s="10"/>
      <c r="L1833" s="10">
        <v>1</v>
      </c>
      <c r="M1833" s="10"/>
      <c r="N1833" s="30"/>
      <c r="O1833" s="7">
        <f t="shared" si="526"/>
        <v>1</v>
      </c>
      <c r="P1833" s="58">
        <v>44404</v>
      </c>
      <c r="Q1833" s="56"/>
    </row>
    <row r="1834" spans="1:17" x14ac:dyDescent="0.15">
      <c r="A1834" s="14" t="s">
        <v>1424</v>
      </c>
      <c r="B1834" s="8">
        <v>3</v>
      </c>
      <c r="C1834" s="10">
        <v>5</v>
      </c>
      <c r="D1834" s="10"/>
      <c r="E1834" s="10">
        <v>4</v>
      </c>
      <c r="F1834" s="30"/>
      <c r="G1834" s="7">
        <f t="shared" si="525"/>
        <v>12</v>
      </c>
      <c r="H1834" s="58">
        <v>44352</v>
      </c>
      <c r="I1834" s="14" t="s">
        <v>8</v>
      </c>
      <c r="J1834" s="8"/>
      <c r="K1834" s="10">
        <v>10</v>
      </c>
      <c r="L1834" s="10">
        <v>10</v>
      </c>
      <c r="M1834" s="10"/>
      <c r="N1834" s="30">
        <v>10</v>
      </c>
      <c r="O1834" s="7">
        <f>SUM(J1834:N1834)</f>
        <v>30</v>
      </c>
      <c r="P1834" s="58">
        <v>44411</v>
      </c>
    </row>
    <row r="1835" spans="1:17" x14ac:dyDescent="0.15">
      <c r="A1835" s="14" t="s">
        <v>29</v>
      </c>
      <c r="B1835" s="8"/>
      <c r="C1835" s="10">
        <v>2</v>
      </c>
      <c r="D1835" s="10">
        <v>1</v>
      </c>
      <c r="E1835" s="10"/>
      <c r="F1835" s="30"/>
      <c r="G1835" s="7">
        <f t="shared" si="525"/>
        <v>3</v>
      </c>
      <c r="H1835" s="58">
        <v>44352</v>
      </c>
      <c r="I1835" s="14" t="s">
        <v>8</v>
      </c>
      <c r="J1835" s="8"/>
      <c r="K1835" s="10">
        <v>10</v>
      </c>
      <c r="L1835" s="10"/>
      <c r="M1835" s="10"/>
      <c r="N1835" s="30"/>
      <c r="O1835" s="7">
        <f t="shared" ref="O1835" si="527">SUM(J1835:N1835)</f>
        <v>10</v>
      </c>
      <c r="P1835" s="58">
        <v>44418</v>
      </c>
      <c r="Q1835" s="68"/>
    </row>
    <row r="1836" spans="1:17" x14ac:dyDescent="0.15">
      <c r="A1836" s="14" t="s">
        <v>29</v>
      </c>
      <c r="B1836" s="11"/>
      <c r="C1836" s="12"/>
      <c r="D1836" s="12">
        <v>1</v>
      </c>
      <c r="E1836" s="12">
        <v>1</v>
      </c>
      <c r="F1836" s="31"/>
      <c r="G1836" s="7">
        <f t="shared" si="525"/>
        <v>2</v>
      </c>
      <c r="H1836" s="58">
        <v>44354</v>
      </c>
      <c r="I1836" s="14"/>
      <c r="J1836" s="8"/>
      <c r="K1836" s="10"/>
      <c r="L1836" s="10"/>
      <c r="M1836" s="10"/>
      <c r="N1836" s="30"/>
      <c r="O1836" s="7">
        <f t="shared" ref="O1836:O1840" si="528">SUM(J1836:N1836)</f>
        <v>0</v>
      </c>
      <c r="P1836" s="58"/>
    </row>
    <row r="1837" spans="1:17" x14ac:dyDescent="0.15">
      <c r="A1837" s="14" t="s">
        <v>29</v>
      </c>
      <c r="B1837" s="8"/>
      <c r="C1837" s="10"/>
      <c r="D1837" s="10"/>
      <c r="E1837" s="10"/>
      <c r="F1837" s="30">
        <v>1</v>
      </c>
      <c r="G1837" s="7">
        <f t="shared" si="525"/>
        <v>1</v>
      </c>
      <c r="H1837" s="58">
        <v>44357</v>
      </c>
      <c r="I1837" s="14"/>
      <c r="J1837" s="11"/>
      <c r="K1837" s="12"/>
      <c r="L1837" s="12"/>
      <c r="M1837" s="12"/>
      <c r="N1837" s="31"/>
      <c r="O1837" s="7">
        <f t="shared" si="528"/>
        <v>0</v>
      </c>
      <c r="P1837" s="58"/>
    </row>
    <row r="1838" spans="1:17" x14ac:dyDescent="0.15">
      <c r="A1838" s="14" t="s">
        <v>29</v>
      </c>
      <c r="B1838" s="8"/>
      <c r="C1838" s="10"/>
      <c r="D1838" s="10">
        <v>1</v>
      </c>
      <c r="E1838" s="10"/>
      <c r="F1838" s="30">
        <v>1</v>
      </c>
      <c r="G1838" s="7">
        <f t="shared" si="525"/>
        <v>2</v>
      </c>
      <c r="H1838" s="58">
        <v>44361</v>
      </c>
      <c r="I1838" s="14"/>
      <c r="J1838" s="11"/>
      <c r="K1838" s="12"/>
      <c r="L1838" s="12"/>
      <c r="M1838" s="12"/>
      <c r="N1838" s="31"/>
      <c r="O1838" s="7">
        <f t="shared" si="528"/>
        <v>0</v>
      </c>
      <c r="P1838" s="58"/>
    </row>
    <row r="1839" spans="1:17" x14ac:dyDescent="0.15">
      <c r="A1839" s="14" t="s">
        <v>29</v>
      </c>
      <c r="B1839" s="8"/>
      <c r="C1839" s="10"/>
      <c r="D1839" s="10">
        <f>1+1</f>
        <v>2</v>
      </c>
      <c r="E1839" s="10"/>
      <c r="F1839" s="30"/>
      <c r="G1839" s="7">
        <f t="shared" si="525"/>
        <v>2</v>
      </c>
      <c r="H1839" s="58">
        <v>44368</v>
      </c>
      <c r="I1839" s="14"/>
      <c r="J1839" s="11"/>
      <c r="K1839" s="12"/>
      <c r="L1839" s="12"/>
      <c r="M1839" s="12"/>
      <c r="N1839" s="31"/>
      <c r="O1839" s="7">
        <f t="shared" si="528"/>
        <v>0</v>
      </c>
      <c r="P1839" s="56"/>
    </row>
    <row r="1840" spans="1:17" x14ac:dyDescent="0.15">
      <c r="A1840" s="14" t="s">
        <v>29</v>
      </c>
      <c r="B1840" s="8"/>
      <c r="C1840" s="10">
        <v>1</v>
      </c>
      <c r="D1840" s="10"/>
      <c r="E1840" s="10"/>
      <c r="F1840" s="30"/>
      <c r="G1840" s="7">
        <f t="shared" si="525"/>
        <v>1</v>
      </c>
      <c r="H1840" s="58">
        <v>44375</v>
      </c>
      <c r="I1840" s="16"/>
      <c r="J1840" s="11"/>
      <c r="K1840" s="12"/>
      <c r="L1840" s="12"/>
      <c r="M1840" s="12"/>
      <c r="N1840" s="31"/>
      <c r="O1840" s="7">
        <f t="shared" si="528"/>
        <v>0</v>
      </c>
      <c r="P1840" s="56"/>
    </row>
    <row r="1841" spans="1:21" x14ac:dyDescent="0.15">
      <c r="A1841" s="14" t="s">
        <v>29</v>
      </c>
      <c r="B1841" s="8">
        <v>1</v>
      </c>
      <c r="C1841" s="10"/>
      <c r="D1841" s="10"/>
      <c r="E1841" s="10"/>
      <c r="F1841" s="30"/>
      <c r="G1841" s="7">
        <f t="shared" si="525"/>
        <v>1</v>
      </c>
      <c r="H1841" s="58">
        <v>44386</v>
      </c>
      <c r="I1841" s="16"/>
      <c r="J1841" s="11"/>
      <c r="K1841" s="12"/>
      <c r="L1841" s="12"/>
      <c r="M1841" s="12"/>
      <c r="N1841" s="31"/>
      <c r="O1841" s="7">
        <f t="shared" ref="O1841:O1844" si="529">SUM(J1841:N1841)</f>
        <v>0</v>
      </c>
      <c r="P1841" s="56"/>
    </row>
    <row r="1842" spans="1:21" x14ac:dyDescent="0.15">
      <c r="A1842" s="14" t="s">
        <v>117</v>
      </c>
      <c r="B1842" s="11"/>
      <c r="C1842" s="12"/>
      <c r="D1842" s="12">
        <v>1</v>
      </c>
      <c r="E1842" s="12"/>
      <c r="F1842" s="31"/>
      <c r="G1842" s="7">
        <f t="shared" si="525"/>
        <v>1</v>
      </c>
      <c r="H1842" s="58">
        <v>44393</v>
      </c>
      <c r="I1842" s="16"/>
      <c r="J1842" s="11"/>
      <c r="K1842" s="12"/>
      <c r="L1842" s="12"/>
      <c r="M1842" s="12"/>
      <c r="N1842" s="31"/>
      <c r="O1842" s="7">
        <f t="shared" si="529"/>
        <v>0</v>
      </c>
      <c r="P1842" s="56"/>
    </row>
    <row r="1843" spans="1:21" x14ac:dyDescent="0.15">
      <c r="A1843" s="14" t="s">
        <v>29</v>
      </c>
      <c r="B1843" s="8"/>
      <c r="C1843" s="10">
        <v>2</v>
      </c>
      <c r="D1843" s="10"/>
      <c r="E1843" s="10"/>
      <c r="F1843" s="30"/>
      <c r="G1843" s="7">
        <f t="shared" si="525"/>
        <v>2</v>
      </c>
      <c r="H1843" s="58">
        <v>44396</v>
      </c>
      <c r="I1843" s="16"/>
      <c r="J1843" s="11"/>
      <c r="K1843" s="12"/>
      <c r="L1843" s="12"/>
      <c r="M1843" s="12"/>
      <c r="N1843" s="31"/>
      <c r="O1843" s="7">
        <f t="shared" si="529"/>
        <v>0</v>
      </c>
      <c r="P1843" s="56"/>
    </row>
    <row r="1844" spans="1:21" x14ac:dyDescent="0.15">
      <c r="A1844" s="14" t="s">
        <v>29</v>
      </c>
      <c r="B1844" s="8"/>
      <c r="C1844" s="10"/>
      <c r="D1844" s="10"/>
      <c r="E1844" s="10">
        <v>1</v>
      </c>
      <c r="F1844" s="30"/>
      <c r="G1844" s="7">
        <f t="shared" si="525"/>
        <v>1</v>
      </c>
      <c r="H1844" s="58">
        <v>44401</v>
      </c>
      <c r="I1844" s="16"/>
      <c r="J1844" s="11"/>
      <c r="K1844" s="12"/>
      <c r="L1844" s="12"/>
      <c r="M1844" s="12"/>
      <c r="N1844" s="31"/>
      <c r="O1844" s="7">
        <f t="shared" si="529"/>
        <v>0</v>
      </c>
      <c r="P1844" s="56"/>
    </row>
    <row r="1845" spans="1:21" x14ac:dyDescent="0.15">
      <c r="A1845" s="14" t="s">
        <v>29</v>
      </c>
      <c r="B1845" s="8"/>
      <c r="C1845" s="10"/>
      <c r="D1845" s="10"/>
      <c r="E1845" s="10">
        <v>1</v>
      </c>
      <c r="F1845" s="30"/>
      <c r="G1845" s="7">
        <f t="shared" si="525"/>
        <v>1</v>
      </c>
      <c r="H1845" s="58">
        <v>44405</v>
      </c>
      <c r="I1845" s="16" t="s">
        <v>1334</v>
      </c>
      <c r="J1845" s="11"/>
      <c r="K1845" s="12"/>
      <c r="L1845" s="12"/>
      <c r="M1845" s="12"/>
      <c r="N1845" s="31"/>
      <c r="O1845" s="7">
        <v>0</v>
      </c>
      <c r="P1845" s="56" t="s">
        <v>1381</v>
      </c>
    </row>
    <row r="1846" spans="1:21" ht="14.25" thickBot="1" x14ac:dyDescent="0.2">
      <c r="A1846" s="14" t="s">
        <v>485</v>
      </c>
      <c r="B1846" s="11"/>
      <c r="C1846" s="12">
        <v>1</v>
      </c>
      <c r="D1846" s="12"/>
      <c r="E1846" s="12"/>
      <c r="F1846" s="31"/>
      <c r="G1846" s="7">
        <f t="shared" si="525"/>
        <v>1</v>
      </c>
      <c r="H1846" s="58">
        <v>44406</v>
      </c>
      <c r="I1846" s="16" t="s">
        <v>1404</v>
      </c>
      <c r="J1846" s="11"/>
      <c r="K1846" s="12"/>
      <c r="L1846" s="12"/>
      <c r="M1846" s="12"/>
      <c r="N1846" s="31"/>
      <c r="O1846" s="7">
        <v>0</v>
      </c>
      <c r="P1846" s="56" t="s">
        <v>1414</v>
      </c>
    </row>
    <row r="1847" spans="1:21" ht="14.25" thickBot="1" x14ac:dyDescent="0.2">
      <c r="A1847" s="3" t="s">
        <v>11</v>
      </c>
      <c r="B1847" s="23">
        <f>SUM(B1821:B1846)</f>
        <v>6</v>
      </c>
      <c r="C1847" s="4">
        <f>SUM(C1821:C1846)</f>
        <v>18</v>
      </c>
      <c r="D1847" s="4">
        <f>SUM(D1821:D1846)</f>
        <v>8</v>
      </c>
      <c r="E1847" s="6">
        <f>SUM(E1821:E1846)</f>
        <v>13</v>
      </c>
      <c r="F1847" s="32">
        <f>SUM(F1821:F1846)</f>
        <v>2</v>
      </c>
      <c r="G1847" s="5">
        <f>SUM(B1847:F1847)</f>
        <v>47</v>
      </c>
      <c r="I1847" s="3" t="s">
        <v>11</v>
      </c>
      <c r="J1847" s="23">
        <f>SUM(J1821:J1846)</f>
        <v>15</v>
      </c>
      <c r="K1847" s="4">
        <f>SUM(K1821:K1846)</f>
        <v>41</v>
      </c>
      <c r="L1847" s="4">
        <f>SUM(L1821:L1846)</f>
        <v>17</v>
      </c>
      <c r="M1847" s="6">
        <f>SUM(M1821:M1846)</f>
        <v>20</v>
      </c>
      <c r="N1847" s="6">
        <f>SUM(N1821:N1846)</f>
        <v>18</v>
      </c>
      <c r="O1847" s="5">
        <f>SUM(J1847:N1847)</f>
        <v>111</v>
      </c>
    </row>
    <row r="1848" spans="1:21" ht="14.25" thickBot="1" x14ac:dyDescent="0.2">
      <c r="A1848" s="25" t="s">
        <v>12</v>
      </c>
      <c r="B1848" s="63">
        <f>B1820-B1847</f>
        <v>5</v>
      </c>
      <c r="C1848" s="26">
        <f t="shared" ref="C1848:G1848" si="530">C1820-C1847</f>
        <v>2</v>
      </c>
      <c r="D1848" s="71">
        <f t="shared" si="530"/>
        <v>4</v>
      </c>
      <c r="E1848" s="26">
        <f t="shared" si="530"/>
        <v>2</v>
      </c>
      <c r="F1848" s="70">
        <f t="shared" si="530"/>
        <v>4</v>
      </c>
      <c r="G1848" s="27">
        <f t="shared" si="530"/>
        <v>17</v>
      </c>
      <c r="I1848" s="25" t="s">
        <v>12</v>
      </c>
      <c r="J1848" s="63">
        <f>J1820-J1847</f>
        <v>108</v>
      </c>
      <c r="K1848" s="26">
        <f t="shared" ref="K1848:O1848" si="531">K1820-K1847</f>
        <v>66</v>
      </c>
      <c r="L1848" s="71">
        <f t="shared" si="531"/>
        <v>57</v>
      </c>
      <c r="M1848" s="26">
        <f t="shared" si="531"/>
        <v>92</v>
      </c>
      <c r="N1848" s="70">
        <f t="shared" si="531"/>
        <v>69</v>
      </c>
      <c r="O1848" s="27">
        <f t="shared" si="531"/>
        <v>392</v>
      </c>
    </row>
    <row r="1849" spans="1:21" ht="17.25" x14ac:dyDescent="0.2">
      <c r="A1849" s="79" t="s">
        <v>56</v>
      </c>
      <c r="B1849" s="80"/>
      <c r="C1849" s="80"/>
      <c r="D1849" s="80"/>
      <c r="E1849" s="80"/>
      <c r="F1849" s="80"/>
      <c r="G1849" s="80"/>
      <c r="I1849" s="79" t="s">
        <v>56</v>
      </c>
      <c r="J1849" s="80"/>
      <c r="K1849" s="80"/>
      <c r="L1849" s="80"/>
      <c r="M1849" s="80"/>
      <c r="N1849" s="80"/>
      <c r="O1849" s="1"/>
      <c r="Q1849" s="201"/>
      <c r="R1849" s="201"/>
      <c r="S1849" s="201"/>
      <c r="T1849" s="201"/>
      <c r="U1849" s="201"/>
    </row>
    <row r="1850" spans="1:21" ht="21.75" thickBot="1" x14ac:dyDescent="0.25">
      <c r="A1850" s="82" t="s">
        <v>55</v>
      </c>
      <c r="B1850" s="80"/>
      <c r="C1850" s="80"/>
      <c r="D1850" s="80"/>
      <c r="E1850" s="81" t="s">
        <v>53</v>
      </c>
      <c r="F1850" s="80"/>
      <c r="G1850" s="80"/>
      <c r="I1850" s="82" t="s">
        <v>55</v>
      </c>
      <c r="J1850" s="80"/>
      <c r="K1850" s="80"/>
      <c r="L1850" s="80"/>
      <c r="M1850" s="81" t="s">
        <v>54</v>
      </c>
      <c r="N1850" s="80"/>
      <c r="O1850" s="1"/>
    </row>
    <row r="1851" spans="1:21" ht="14.25" thickBot="1" x14ac:dyDescent="0.2">
      <c r="A1851" s="13" t="s">
        <v>0</v>
      </c>
      <c r="B1851" s="228" t="s">
        <v>57</v>
      </c>
      <c r="C1851" s="229"/>
      <c r="D1851" s="229"/>
      <c r="E1851" s="229"/>
      <c r="F1851" s="230"/>
      <c r="G1851" s="231"/>
      <c r="I1851" s="13" t="s">
        <v>0</v>
      </c>
      <c r="J1851" s="232" t="s">
        <v>57</v>
      </c>
      <c r="K1851" s="233"/>
      <c r="L1851" s="233"/>
      <c r="M1851" s="233"/>
      <c r="N1851" s="233"/>
      <c r="O1851" s="234"/>
    </row>
    <row r="1852" spans="1:21" ht="14.25" thickBot="1" x14ac:dyDescent="0.2">
      <c r="A1852" s="3" t="s">
        <v>1</v>
      </c>
      <c r="B1852" s="2" t="s">
        <v>42</v>
      </c>
      <c r="C1852" s="21" t="s">
        <v>43</v>
      </c>
      <c r="D1852" s="21" t="s">
        <v>44</v>
      </c>
      <c r="E1852" s="24" t="s">
        <v>45</v>
      </c>
      <c r="F1852" s="33" t="s">
        <v>46</v>
      </c>
      <c r="G1852" s="3" t="s">
        <v>2</v>
      </c>
      <c r="I1852" s="3" t="s">
        <v>1</v>
      </c>
      <c r="J1852" s="2" t="s">
        <v>42</v>
      </c>
      <c r="K1852" s="21" t="s">
        <v>43</v>
      </c>
      <c r="L1852" s="21" t="s">
        <v>44</v>
      </c>
      <c r="M1852" s="24" t="s">
        <v>45</v>
      </c>
      <c r="N1852" s="33" t="s">
        <v>46</v>
      </c>
      <c r="O1852" s="3" t="s">
        <v>2</v>
      </c>
    </row>
    <row r="1853" spans="1:21" ht="14.25" thickBot="1" x14ac:dyDescent="0.2">
      <c r="A1853" s="72" t="s">
        <v>79</v>
      </c>
      <c r="B1853" s="73">
        <f>B1848</f>
        <v>5</v>
      </c>
      <c r="C1853" s="74">
        <f t="shared" ref="C1853:F1853" si="532">C1848</f>
        <v>2</v>
      </c>
      <c r="D1853" s="107">
        <f t="shared" si="532"/>
        <v>4</v>
      </c>
      <c r="E1853" s="75">
        <f t="shared" si="532"/>
        <v>2</v>
      </c>
      <c r="F1853" s="75">
        <f t="shared" si="532"/>
        <v>4</v>
      </c>
      <c r="G1853" s="76">
        <f t="shared" ref="G1853:G1862" si="533">SUM(B1853:F1853)</f>
        <v>17</v>
      </c>
      <c r="I1853" s="72" t="s">
        <v>79</v>
      </c>
      <c r="J1853" s="73">
        <f>J1848</f>
        <v>108</v>
      </c>
      <c r="K1853" s="74">
        <f t="shared" ref="K1853:N1853" si="534">K1848</f>
        <v>66</v>
      </c>
      <c r="L1853" s="107">
        <f t="shared" si="534"/>
        <v>57</v>
      </c>
      <c r="M1853" s="75">
        <f t="shared" si="534"/>
        <v>92</v>
      </c>
      <c r="N1853" s="75">
        <f t="shared" si="534"/>
        <v>69</v>
      </c>
      <c r="O1853" s="76">
        <f t="shared" ref="O1853:O1862" si="535">SUM(J1853:N1853)</f>
        <v>392</v>
      </c>
    </row>
    <row r="1854" spans="1:21" x14ac:dyDescent="0.15">
      <c r="A1854" s="38" t="s">
        <v>15</v>
      </c>
      <c r="B1854" s="37">
        <v>5</v>
      </c>
      <c r="C1854" s="35"/>
      <c r="D1854" s="35">
        <v>5</v>
      </c>
      <c r="E1854" s="35"/>
      <c r="F1854" s="28"/>
      <c r="G1854" s="7">
        <f t="shared" si="533"/>
        <v>10</v>
      </c>
      <c r="H1854" s="58">
        <v>44413</v>
      </c>
      <c r="I1854" s="38" t="s">
        <v>15</v>
      </c>
      <c r="J1854" s="8"/>
      <c r="K1854" s="10"/>
      <c r="L1854" s="10"/>
      <c r="M1854" s="10"/>
      <c r="N1854" s="30"/>
      <c r="O1854" s="7">
        <f t="shared" si="535"/>
        <v>0</v>
      </c>
    </row>
    <row r="1855" spans="1:21" x14ac:dyDescent="0.15">
      <c r="A1855" s="38" t="s">
        <v>16</v>
      </c>
      <c r="B1855" s="8"/>
      <c r="C1855" s="10">
        <v>5</v>
      </c>
      <c r="D1855" s="10"/>
      <c r="E1855" s="10"/>
      <c r="F1855" s="28"/>
      <c r="G1855" s="9">
        <f t="shared" si="533"/>
        <v>5</v>
      </c>
      <c r="H1855" s="58">
        <v>44414</v>
      </c>
      <c r="I1855" s="38" t="s">
        <v>16</v>
      </c>
      <c r="J1855" s="8"/>
      <c r="K1855" s="10"/>
      <c r="L1855" s="10"/>
      <c r="M1855" s="10"/>
      <c r="N1855" s="28"/>
      <c r="O1855" s="9">
        <f t="shared" si="535"/>
        <v>0</v>
      </c>
    </row>
    <row r="1856" spans="1:21" x14ac:dyDescent="0.15">
      <c r="A1856" s="38" t="s">
        <v>18</v>
      </c>
      <c r="B1856" s="8"/>
      <c r="C1856" s="10"/>
      <c r="D1856" s="10"/>
      <c r="E1856" s="10">
        <v>5</v>
      </c>
      <c r="F1856" s="28">
        <v>5</v>
      </c>
      <c r="G1856" s="9">
        <f t="shared" si="533"/>
        <v>10</v>
      </c>
      <c r="H1856" s="58">
        <v>44415</v>
      </c>
      <c r="I1856" s="38" t="s">
        <v>18</v>
      </c>
      <c r="J1856" s="8"/>
      <c r="K1856" s="10"/>
      <c r="L1856" s="10"/>
      <c r="M1856" s="10"/>
      <c r="N1856" s="28"/>
      <c r="O1856" s="9">
        <f t="shared" si="535"/>
        <v>0</v>
      </c>
      <c r="P1856" s="56"/>
      <c r="Q1856" s="56"/>
    </row>
    <row r="1857" spans="1:17" x14ac:dyDescent="0.15">
      <c r="A1857" s="38" t="s">
        <v>20</v>
      </c>
      <c r="B1857" s="8"/>
      <c r="C1857" s="10">
        <v>3</v>
      </c>
      <c r="D1857" s="10"/>
      <c r="E1857" s="10"/>
      <c r="F1857" s="28"/>
      <c r="G1857" s="9">
        <f t="shared" si="533"/>
        <v>3</v>
      </c>
      <c r="H1857" s="58">
        <v>44438</v>
      </c>
      <c r="I1857" s="38" t="s">
        <v>20</v>
      </c>
      <c r="J1857" s="8"/>
      <c r="K1857" s="10"/>
      <c r="L1857" s="10"/>
      <c r="M1857" s="10"/>
      <c r="N1857" s="28"/>
      <c r="O1857" s="9">
        <f t="shared" si="535"/>
        <v>0</v>
      </c>
      <c r="P1857" s="56"/>
      <c r="Q1857" s="56"/>
    </row>
    <row r="1858" spans="1:17" x14ac:dyDescent="0.15">
      <c r="A1858" s="38" t="s">
        <v>80</v>
      </c>
      <c r="B1858" s="8"/>
      <c r="C1858" s="10"/>
      <c r="D1858" s="10">
        <v>3</v>
      </c>
      <c r="E1858" s="10">
        <v>3</v>
      </c>
      <c r="F1858" s="28"/>
      <c r="G1858" s="9">
        <f t="shared" si="533"/>
        <v>6</v>
      </c>
      <c r="H1858" s="58">
        <v>44461</v>
      </c>
      <c r="I1858" s="38" t="s">
        <v>80</v>
      </c>
      <c r="J1858" s="8"/>
      <c r="K1858" s="10"/>
      <c r="L1858" s="10"/>
      <c r="M1858" s="10"/>
      <c r="N1858" s="28"/>
      <c r="O1858" s="9">
        <f t="shared" si="535"/>
        <v>0</v>
      </c>
      <c r="P1858" s="56"/>
      <c r="Q1858" s="56"/>
    </row>
    <row r="1859" spans="1:17" x14ac:dyDescent="0.15">
      <c r="A1859" s="38" t="s">
        <v>81</v>
      </c>
      <c r="B1859" s="8"/>
      <c r="C1859" s="10">
        <v>3</v>
      </c>
      <c r="D1859" s="10">
        <v>3</v>
      </c>
      <c r="E1859" s="10"/>
      <c r="F1859" s="30"/>
      <c r="G1859" s="7">
        <f t="shared" si="533"/>
        <v>6</v>
      </c>
      <c r="H1859" s="58">
        <v>44485</v>
      </c>
      <c r="I1859" s="38" t="s">
        <v>81</v>
      </c>
      <c r="J1859" s="8"/>
      <c r="K1859" s="10"/>
      <c r="L1859" s="10"/>
      <c r="M1859" s="10"/>
      <c r="N1859" s="28"/>
      <c r="O1859" s="9">
        <f t="shared" si="535"/>
        <v>0</v>
      </c>
    </row>
    <row r="1860" spans="1:17" x14ac:dyDescent="0.15">
      <c r="A1860" s="195" t="s">
        <v>82</v>
      </c>
      <c r="B1860" s="8"/>
      <c r="C1860" s="10">
        <v>3</v>
      </c>
      <c r="D1860" s="10"/>
      <c r="E1860" s="10"/>
      <c r="F1860" s="30"/>
      <c r="G1860" s="7">
        <f t="shared" si="533"/>
        <v>3</v>
      </c>
      <c r="H1860" s="58">
        <v>44576</v>
      </c>
      <c r="I1860" s="38" t="s">
        <v>82</v>
      </c>
      <c r="J1860" s="8"/>
      <c r="K1860" s="10"/>
      <c r="L1860" s="10"/>
      <c r="M1860" s="10"/>
      <c r="N1860" s="30"/>
      <c r="O1860" s="7">
        <f t="shared" si="535"/>
        <v>0</v>
      </c>
    </row>
    <row r="1861" spans="1:17" x14ac:dyDescent="0.15">
      <c r="A1861" s="195" t="s">
        <v>83</v>
      </c>
      <c r="B1861" s="11"/>
      <c r="C1861" s="100"/>
      <c r="D1861" s="100"/>
      <c r="E1861" s="100"/>
      <c r="F1861" s="101"/>
      <c r="G1861" s="102">
        <f t="shared" si="533"/>
        <v>0</v>
      </c>
      <c r="H1861" s="58"/>
      <c r="I1861" s="15" t="s">
        <v>83</v>
      </c>
      <c r="J1861" s="8"/>
      <c r="K1861" s="10"/>
      <c r="L1861" s="10"/>
      <c r="M1861" s="10"/>
      <c r="N1861" s="30"/>
      <c r="O1861" s="7">
        <f t="shared" si="535"/>
        <v>0</v>
      </c>
    </row>
    <row r="1862" spans="1:17" ht="14.25" thickBot="1" x14ac:dyDescent="0.2">
      <c r="A1862" s="38" t="s">
        <v>159</v>
      </c>
      <c r="B1862" s="11"/>
      <c r="C1862" s="100"/>
      <c r="D1862" s="100"/>
      <c r="E1862" s="100"/>
      <c r="F1862" s="101"/>
      <c r="G1862" s="102">
        <f t="shared" si="533"/>
        <v>0</v>
      </c>
      <c r="H1862" s="58"/>
      <c r="I1862" s="15" t="s">
        <v>87</v>
      </c>
      <c r="J1862" s="11"/>
      <c r="K1862" s="100"/>
      <c r="L1862" s="100"/>
      <c r="M1862" s="100"/>
      <c r="N1862" s="101"/>
      <c r="O1862" s="102">
        <f t="shared" si="535"/>
        <v>0</v>
      </c>
    </row>
    <row r="1863" spans="1:17" ht="14.25" thickBot="1" x14ac:dyDescent="0.2">
      <c r="A1863" s="72" t="s">
        <v>7</v>
      </c>
      <c r="B1863" s="73">
        <f>SUM(B1853:B1862)</f>
        <v>10</v>
      </c>
      <c r="C1863" s="74">
        <f t="shared" ref="C1863:G1863" si="536">SUM(C1853:C1862)</f>
        <v>16</v>
      </c>
      <c r="D1863" s="74">
        <f t="shared" si="536"/>
        <v>15</v>
      </c>
      <c r="E1863" s="74">
        <f t="shared" si="536"/>
        <v>10</v>
      </c>
      <c r="F1863" s="105">
        <f t="shared" si="536"/>
        <v>9</v>
      </c>
      <c r="G1863" s="76">
        <f t="shared" si="536"/>
        <v>60</v>
      </c>
      <c r="I1863" s="72" t="s">
        <v>7</v>
      </c>
      <c r="J1863" s="73">
        <f>SUM(J1853:J1862)</f>
        <v>108</v>
      </c>
      <c r="K1863" s="74">
        <f t="shared" ref="K1863:O1863" si="537">SUM(K1853:K1862)</f>
        <v>66</v>
      </c>
      <c r="L1863" s="74">
        <f t="shared" si="537"/>
        <v>57</v>
      </c>
      <c r="M1863" s="74">
        <f t="shared" si="537"/>
        <v>92</v>
      </c>
      <c r="N1863" s="105">
        <f t="shared" si="537"/>
        <v>69</v>
      </c>
      <c r="O1863" s="76">
        <f t="shared" si="537"/>
        <v>392</v>
      </c>
    </row>
    <row r="1864" spans="1:17" x14ac:dyDescent="0.15">
      <c r="A1864" s="14" t="s">
        <v>29</v>
      </c>
      <c r="B1864" s="8">
        <v>1</v>
      </c>
      <c r="C1864" s="10"/>
      <c r="D1864" s="10"/>
      <c r="E1864" s="10"/>
      <c r="F1864" s="30"/>
      <c r="G1864" s="7">
        <f t="shared" ref="G1864:G1889" si="538">SUM(B1864:F1864)</f>
        <v>1</v>
      </c>
      <c r="H1864" s="58">
        <v>44407</v>
      </c>
      <c r="I1864" s="38" t="s">
        <v>9</v>
      </c>
      <c r="J1864" s="37">
        <v>5</v>
      </c>
      <c r="K1864" s="35"/>
      <c r="L1864" s="35">
        <v>5</v>
      </c>
      <c r="M1864" s="35"/>
      <c r="N1864" s="28"/>
      <c r="O1864" s="7">
        <f t="shared" ref="O1864" si="539">SUM(J1864:N1864)</f>
        <v>10</v>
      </c>
      <c r="P1864" s="58">
        <v>44413</v>
      </c>
    </row>
    <row r="1865" spans="1:17" x14ac:dyDescent="0.15">
      <c r="A1865" s="16" t="s">
        <v>110</v>
      </c>
      <c r="B1865" s="8">
        <v>2</v>
      </c>
      <c r="C1865" s="10">
        <v>2</v>
      </c>
      <c r="D1865" s="10">
        <v>2</v>
      </c>
      <c r="E1865" s="10"/>
      <c r="F1865" s="30"/>
      <c r="G1865" s="7">
        <f t="shared" si="538"/>
        <v>6</v>
      </c>
      <c r="H1865" s="58">
        <v>44411</v>
      </c>
      <c r="I1865" s="38" t="s">
        <v>9</v>
      </c>
      <c r="J1865" s="8"/>
      <c r="K1865" s="10">
        <v>5</v>
      </c>
      <c r="L1865" s="10"/>
      <c r="M1865" s="10"/>
      <c r="N1865" s="28"/>
      <c r="O1865" s="9">
        <f t="shared" ref="O1865:O1877" si="540">SUM(J1865:N1865)</f>
        <v>5</v>
      </c>
      <c r="P1865" s="58">
        <v>44414</v>
      </c>
      <c r="Q1865" s="56"/>
    </row>
    <row r="1866" spans="1:17" x14ac:dyDescent="0.15">
      <c r="A1866" s="14" t="s">
        <v>1442</v>
      </c>
      <c r="B1866" s="8"/>
      <c r="C1866" s="10"/>
      <c r="D1866" s="10"/>
      <c r="E1866" s="10"/>
      <c r="F1866" s="30">
        <v>2</v>
      </c>
      <c r="G1866" s="7">
        <f t="shared" si="538"/>
        <v>2</v>
      </c>
      <c r="H1866" s="58">
        <v>44415</v>
      </c>
      <c r="I1866" s="38" t="s">
        <v>9</v>
      </c>
      <c r="J1866" s="8"/>
      <c r="K1866" s="10"/>
      <c r="L1866" s="10"/>
      <c r="M1866" s="10">
        <v>5</v>
      </c>
      <c r="N1866" s="28">
        <v>5</v>
      </c>
      <c r="O1866" s="9">
        <f t="shared" si="540"/>
        <v>10</v>
      </c>
      <c r="P1866" s="58">
        <v>44415</v>
      </c>
      <c r="Q1866" s="56"/>
    </row>
    <row r="1867" spans="1:17" x14ac:dyDescent="0.15">
      <c r="A1867" s="14" t="s">
        <v>29</v>
      </c>
      <c r="B1867" s="8"/>
      <c r="C1867" s="10"/>
      <c r="D1867" s="10"/>
      <c r="E1867" s="10">
        <v>1</v>
      </c>
      <c r="F1867" s="30"/>
      <c r="G1867" s="7">
        <f t="shared" si="538"/>
        <v>1</v>
      </c>
      <c r="H1867" s="58">
        <v>44415</v>
      </c>
      <c r="I1867" s="14" t="s">
        <v>8</v>
      </c>
      <c r="J1867" s="8">
        <v>5</v>
      </c>
      <c r="K1867" s="10"/>
      <c r="L1867" s="10"/>
      <c r="M1867" s="10"/>
      <c r="N1867" s="30"/>
      <c r="O1867" s="7">
        <f t="shared" si="540"/>
        <v>5</v>
      </c>
      <c r="P1867" s="58">
        <v>44435</v>
      </c>
    </row>
    <row r="1868" spans="1:17" x14ac:dyDescent="0.15">
      <c r="A1868" s="14" t="s">
        <v>29</v>
      </c>
      <c r="B1868" s="8"/>
      <c r="C1868" s="10">
        <v>1</v>
      </c>
      <c r="D1868" s="10"/>
      <c r="E1868" s="10">
        <v>1</v>
      </c>
      <c r="F1868" s="30"/>
      <c r="G1868" s="7">
        <f t="shared" si="538"/>
        <v>2</v>
      </c>
      <c r="H1868" s="58">
        <v>44418</v>
      </c>
      <c r="I1868" s="38" t="s">
        <v>9</v>
      </c>
      <c r="J1868" s="8"/>
      <c r="K1868" s="10">
        <v>3</v>
      </c>
      <c r="L1868" s="10"/>
      <c r="M1868" s="10"/>
      <c r="N1868" s="28"/>
      <c r="O1868" s="9">
        <f t="shared" si="540"/>
        <v>3</v>
      </c>
      <c r="P1868" s="58">
        <v>44438</v>
      </c>
    </row>
    <row r="1869" spans="1:17" x14ac:dyDescent="0.15">
      <c r="A1869" s="16" t="s">
        <v>110</v>
      </c>
      <c r="B1869" s="8"/>
      <c r="C1869" s="10">
        <v>1</v>
      </c>
      <c r="D1869" s="10">
        <v>2</v>
      </c>
      <c r="E1869" s="10"/>
      <c r="F1869" s="30"/>
      <c r="G1869" s="7">
        <f t="shared" si="538"/>
        <v>3</v>
      </c>
      <c r="H1869" s="58">
        <v>44438</v>
      </c>
      <c r="I1869" s="38" t="s">
        <v>9</v>
      </c>
      <c r="J1869" s="8"/>
      <c r="K1869" s="10"/>
      <c r="L1869" s="10">
        <v>3</v>
      </c>
      <c r="M1869" s="10">
        <v>3</v>
      </c>
      <c r="N1869" s="30"/>
      <c r="O1869" s="7">
        <f t="shared" si="540"/>
        <v>6</v>
      </c>
      <c r="P1869" s="58">
        <v>44461</v>
      </c>
    </row>
    <row r="1870" spans="1:17" x14ac:dyDescent="0.15">
      <c r="A1870" s="14" t="s">
        <v>29</v>
      </c>
      <c r="B1870" s="8"/>
      <c r="C1870" s="10">
        <v>1</v>
      </c>
      <c r="D1870" s="10"/>
      <c r="E1870" s="10"/>
      <c r="F1870" s="30"/>
      <c r="G1870" s="7">
        <f t="shared" si="538"/>
        <v>1</v>
      </c>
      <c r="H1870" s="58">
        <v>44432</v>
      </c>
      <c r="I1870" s="38" t="s">
        <v>9</v>
      </c>
      <c r="J1870" s="8"/>
      <c r="K1870" s="10">
        <v>3</v>
      </c>
      <c r="L1870" s="10">
        <v>3</v>
      </c>
      <c r="M1870" s="10"/>
      <c r="N1870" s="30"/>
      <c r="O1870" s="7">
        <f t="shared" si="540"/>
        <v>6</v>
      </c>
      <c r="P1870" s="58">
        <v>44485</v>
      </c>
    </row>
    <row r="1871" spans="1:17" x14ac:dyDescent="0.15">
      <c r="A1871" s="14" t="s">
        <v>117</v>
      </c>
      <c r="B1871" s="8">
        <v>1</v>
      </c>
      <c r="C1871" s="10"/>
      <c r="D1871" s="10"/>
      <c r="E1871" s="10"/>
      <c r="F1871" s="30"/>
      <c r="G1871" s="7">
        <f t="shared" si="538"/>
        <v>1</v>
      </c>
      <c r="H1871" s="58">
        <v>44434</v>
      </c>
      <c r="I1871" s="14" t="s">
        <v>8</v>
      </c>
      <c r="J1871" s="8"/>
      <c r="K1871" s="10"/>
      <c r="L1871" s="10">
        <v>10</v>
      </c>
      <c r="M1871" s="10"/>
      <c r="N1871" s="30"/>
      <c r="O1871" s="7">
        <f t="shared" si="540"/>
        <v>10</v>
      </c>
      <c r="P1871" s="58">
        <v>44515</v>
      </c>
    </row>
    <row r="1872" spans="1:17" x14ac:dyDescent="0.15">
      <c r="A1872" s="14" t="s">
        <v>117</v>
      </c>
      <c r="B1872" s="8"/>
      <c r="C1872" s="10"/>
      <c r="D1872" s="10"/>
      <c r="E1872" s="10">
        <v>1</v>
      </c>
      <c r="F1872" s="30"/>
      <c r="G1872" s="7">
        <f t="shared" si="538"/>
        <v>1</v>
      </c>
      <c r="H1872" s="58">
        <v>44440</v>
      </c>
      <c r="I1872" s="14" t="s">
        <v>8</v>
      </c>
      <c r="J1872" s="8"/>
      <c r="K1872" s="10"/>
      <c r="L1872" s="10"/>
      <c r="M1872" s="10">
        <v>10</v>
      </c>
      <c r="N1872" s="30"/>
      <c r="O1872" s="7">
        <f t="shared" si="540"/>
        <v>10</v>
      </c>
      <c r="P1872" s="58">
        <v>44517</v>
      </c>
      <c r="Q1872" s="56"/>
    </row>
    <row r="1873" spans="1:17" x14ac:dyDescent="0.15">
      <c r="A1873" s="14" t="s">
        <v>117</v>
      </c>
      <c r="B1873" s="11"/>
      <c r="C1873" s="12"/>
      <c r="D1873" s="12">
        <f>1+1</f>
        <v>2</v>
      </c>
      <c r="E1873" s="12"/>
      <c r="F1873" s="31"/>
      <c r="G1873" s="7">
        <f t="shared" si="538"/>
        <v>2</v>
      </c>
      <c r="H1873" s="58">
        <v>44453</v>
      </c>
      <c r="I1873" s="38" t="s">
        <v>9</v>
      </c>
      <c r="J1873" s="11"/>
      <c r="K1873" s="12">
        <v>3</v>
      </c>
      <c r="L1873" s="12"/>
      <c r="M1873" s="12"/>
      <c r="N1873" s="31"/>
      <c r="O1873" s="7">
        <f t="shared" si="540"/>
        <v>3</v>
      </c>
      <c r="P1873" s="58">
        <v>44576</v>
      </c>
      <c r="Q1873" s="56"/>
    </row>
    <row r="1874" spans="1:17" x14ac:dyDescent="0.15">
      <c r="A1874" s="14" t="s">
        <v>29</v>
      </c>
      <c r="B1874" s="11"/>
      <c r="C1874" s="12"/>
      <c r="D1874" s="12">
        <v>1</v>
      </c>
      <c r="E1874" s="12"/>
      <c r="F1874" s="31"/>
      <c r="G1874" s="7">
        <f t="shared" si="538"/>
        <v>1</v>
      </c>
      <c r="H1874" s="58">
        <v>44452</v>
      </c>
      <c r="I1874" s="14" t="s">
        <v>8</v>
      </c>
      <c r="J1874" s="8"/>
      <c r="K1874" s="10">
        <v>10</v>
      </c>
      <c r="L1874" s="10"/>
      <c r="M1874" s="10"/>
      <c r="N1874" s="30"/>
      <c r="O1874" s="7">
        <f t="shared" si="540"/>
        <v>10</v>
      </c>
      <c r="P1874" s="58">
        <v>44586</v>
      </c>
      <c r="Q1874" s="56"/>
    </row>
    <row r="1875" spans="1:17" x14ac:dyDescent="0.15">
      <c r="A1875" s="14" t="s">
        <v>117</v>
      </c>
      <c r="B1875" s="8"/>
      <c r="C1875" s="10"/>
      <c r="D1875" s="10"/>
      <c r="E1875" s="10">
        <v>1</v>
      </c>
      <c r="F1875" s="30"/>
      <c r="G1875" s="7">
        <f t="shared" si="538"/>
        <v>1</v>
      </c>
      <c r="H1875" s="58">
        <v>44456</v>
      </c>
      <c r="I1875" s="14" t="s">
        <v>8</v>
      </c>
      <c r="J1875" s="8"/>
      <c r="K1875" s="10"/>
      <c r="L1875" s="10"/>
      <c r="M1875" s="10"/>
      <c r="N1875" s="30">
        <v>10</v>
      </c>
      <c r="O1875" s="7">
        <f t="shared" si="540"/>
        <v>10</v>
      </c>
      <c r="P1875" s="58">
        <v>44594</v>
      </c>
      <c r="Q1875" s="56"/>
    </row>
    <row r="1876" spans="1:17" x14ac:dyDescent="0.15">
      <c r="A1876" s="14" t="s">
        <v>117</v>
      </c>
      <c r="B1876" s="8"/>
      <c r="C1876" s="10"/>
      <c r="D1876" s="10">
        <v>1</v>
      </c>
      <c r="E1876" s="10"/>
      <c r="F1876" s="30"/>
      <c r="G1876" s="7">
        <f t="shared" si="538"/>
        <v>1</v>
      </c>
      <c r="H1876" s="58">
        <v>44461</v>
      </c>
      <c r="I1876" s="14" t="s">
        <v>8</v>
      </c>
      <c r="J1876" s="8">
        <v>10</v>
      </c>
      <c r="K1876" s="10"/>
      <c r="L1876" s="10">
        <v>10</v>
      </c>
      <c r="M1876" s="10"/>
      <c r="N1876" s="30"/>
      <c r="O1876" s="7">
        <f t="shared" si="540"/>
        <v>20</v>
      </c>
      <c r="P1876" s="58">
        <v>44613</v>
      </c>
      <c r="Q1876" s="56"/>
    </row>
    <row r="1877" spans="1:17" x14ac:dyDescent="0.15">
      <c r="A1877" s="14" t="s">
        <v>29</v>
      </c>
      <c r="B1877" s="8"/>
      <c r="C1877" s="10"/>
      <c r="D1877" s="10"/>
      <c r="E1877" s="10">
        <v>1</v>
      </c>
      <c r="F1877" s="30"/>
      <c r="G1877" s="7">
        <f t="shared" si="538"/>
        <v>1</v>
      </c>
      <c r="H1877" s="58">
        <v>44460</v>
      </c>
      <c r="I1877" s="16"/>
      <c r="J1877" s="8"/>
      <c r="K1877" s="10"/>
      <c r="L1877" s="10"/>
      <c r="M1877" s="10"/>
      <c r="N1877" s="30"/>
      <c r="O1877" s="7">
        <f t="shared" si="540"/>
        <v>0</v>
      </c>
      <c r="P1877" s="56"/>
      <c r="Q1877" s="56"/>
    </row>
    <row r="1878" spans="1:17" x14ac:dyDescent="0.15">
      <c r="A1878" s="14" t="s">
        <v>117</v>
      </c>
      <c r="B1878" s="8"/>
      <c r="C1878" s="10">
        <v>1</v>
      </c>
      <c r="D1878" s="10"/>
      <c r="E1878" s="10"/>
      <c r="F1878" s="30"/>
      <c r="G1878" s="7">
        <f t="shared" si="538"/>
        <v>1</v>
      </c>
      <c r="H1878" s="58">
        <v>44464</v>
      </c>
      <c r="I1878" s="14"/>
      <c r="J1878" s="8"/>
      <c r="K1878" s="10"/>
      <c r="L1878" s="10"/>
      <c r="M1878" s="10"/>
      <c r="N1878" s="30"/>
      <c r="O1878" s="7">
        <f>SUM(J1878:N1878)</f>
        <v>0</v>
      </c>
      <c r="P1878" s="56"/>
      <c r="Q1878" s="56"/>
    </row>
    <row r="1879" spans="1:17" x14ac:dyDescent="0.15">
      <c r="A1879" s="14" t="s">
        <v>117</v>
      </c>
      <c r="B1879" s="11"/>
      <c r="C1879" s="12"/>
      <c r="D1879" s="12"/>
      <c r="E1879" s="12">
        <v>1</v>
      </c>
      <c r="F1879" s="31"/>
      <c r="G1879" s="7">
        <f t="shared" si="538"/>
        <v>1</v>
      </c>
      <c r="H1879" s="58">
        <v>44476</v>
      </c>
      <c r="I1879" s="16"/>
      <c r="J1879" s="11"/>
      <c r="K1879" s="12"/>
      <c r="L1879" s="12"/>
      <c r="M1879" s="12"/>
      <c r="N1879" s="31"/>
      <c r="O1879" s="7">
        <f t="shared" ref="O1879:O1887" si="541">SUM(J1879:N1879)</f>
        <v>0</v>
      </c>
      <c r="P1879" s="56"/>
      <c r="Q1879" s="56"/>
    </row>
    <row r="1880" spans="1:17" x14ac:dyDescent="0.15">
      <c r="A1880" s="14" t="s">
        <v>117</v>
      </c>
      <c r="B1880" s="8"/>
      <c r="C1880" s="10">
        <v>1</v>
      </c>
      <c r="D1880" s="10"/>
      <c r="E1880" s="10"/>
      <c r="F1880" s="30"/>
      <c r="G1880" s="7">
        <f t="shared" si="538"/>
        <v>1</v>
      </c>
      <c r="H1880" s="58">
        <v>44480</v>
      </c>
      <c r="I1880" s="16"/>
      <c r="J1880" s="8"/>
      <c r="K1880" s="10"/>
      <c r="L1880" s="10"/>
      <c r="M1880" s="10"/>
      <c r="N1880" s="30"/>
      <c r="O1880" s="7">
        <f t="shared" si="541"/>
        <v>0</v>
      </c>
      <c r="P1880" s="56"/>
      <c r="Q1880" s="56"/>
    </row>
    <row r="1881" spans="1:17" x14ac:dyDescent="0.15">
      <c r="A1881" s="14" t="s">
        <v>29</v>
      </c>
      <c r="B1881" s="8"/>
      <c r="C1881" s="10">
        <v>1</v>
      </c>
      <c r="D1881" s="10">
        <v>1</v>
      </c>
      <c r="E1881" s="10"/>
      <c r="F1881" s="30">
        <v>1</v>
      </c>
      <c r="G1881" s="7">
        <f t="shared" si="538"/>
        <v>3</v>
      </c>
      <c r="H1881" s="58">
        <v>44480</v>
      </c>
      <c r="I1881" s="14"/>
      <c r="J1881" s="11"/>
      <c r="K1881" s="12"/>
      <c r="L1881" s="12"/>
      <c r="M1881" s="12"/>
      <c r="N1881" s="31"/>
      <c r="O1881" s="7">
        <f t="shared" si="541"/>
        <v>0</v>
      </c>
      <c r="P1881" s="56"/>
      <c r="Q1881" s="56"/>
    </row>
    <row r="1882" spans="1:17" x14ac:dyDescent="0.15">
      <c r="A1882" s="14" t="s">
        <v>29</v>
      </c>
      <c r="B1882" s="8"/>
      <c r="C1882" s="10">
        <v>1</v>
      </c>
      <c r="D1882" s="10"/>
      <c r="E1882" s="10"/>
      <c r="F1882" s="30"/>
      <c r="G1882" s="7">
        <f t="shared" si="538"/>
        <v>1</v>
      </c>
      <c r="H1882" s="58">
        <v>44494</v>
      </c>
      <c r="I1882" s="14"/>
      <c r="J1882" s="11"/>
      <c r="K1882" s="12"/>
      <c r="L1882" s="12"/>
      <c r="M1882" s="12"/>
      <c r="N1882" s="31"/>
      <c r="O1882" s="7">
        <f t="shared" si="541"/>
        <v>0</v>
      </c>
      <c r="P1882" s="56"/>
      <c r="Q1882" s="56"/>
    </row>
    <row r="1883" spans="1:17" x14ac:dyDescent="0.15">
      <c r="A1883" s="14" t="s">
        <v>29</v>
      </c>
      <c r="B1883" s="8"/>
      <c r="C1883" s="10">
        <v>1</v>
      </c>
      <c r="D1883" s="10"/>
      <c r="E1883" s="10"/>
      <c r="F1883" s="30"/>
      <c r="G1883" s="7">
        <f t="shared" si="538"/>
        <v>1</v>
      </c>
      <c r="H1883" s="58">
        <v>44529</v>
      </c>
      <c r="I1883" s="14"/>
      <c r="J1883" s="11"/>
      <c r="K1883" s="12"/>
      <c r="L1883" s="12"/>
      <c r="M1883" s="12"/>
      <c r="N1883" s="31"/>
      <c r="O1883" s="7">
        <f t="shared" si="541"/>
        <v>0</v>
      </c>
      <c r="P1883" s="56"/>
      <c r="Q1883" s="56"/>
    </row>
    <row r="1884" spans="1:17" x14ac:dyDescent="0.15">
      <c r="A1884" s="14" t="s">
        <v>29</v>
      </c>
      <c r="B1884" s="8"/>
      <c r="C1884" s="10"/>
      <c r="D1884" s="10">
        <v>1</v>
      </c>
      <c r="E1884" s="10"/>
      <c r="F1884" s="30"/>
      <c r="G1884" s="7">
        <f t="shared" si="538"/>
        <v>1</v>
      </c>
      <c r="H1884" s="58">
        <v>44547</v>
      </c>
      <c r="I1884" s="16"/>
      <c r="J1884" s="11"/>
      <c r="K1884" s="12"/>
      <c r="L1884" s="12"/>
      <c r="M1884" s="12"/>
      <c r="N1884" s="31"/>
      <c r="O1884" s="7">
        <f t="shared" si="541"/>
        <v>0</v>
      </c>
      <c r="P1884" s="56"/>
      <c r="Q1884" s="56"/>
    </row>
    <row r="1885" spans="1:17" x14ac:dyDescent="0.15">
      <c r="A1885" s="14" t="s">
        <v>29</v>
      </c>
      <c r="B1885" s="11">
        <v>1</v>
      </c>
      <c r="C1885" s="12">
        <v>1</v>
      </c>
      <c r="D1885" s="12"/>
      <c r="E1885" s="12"/>
      <c r="F1885" s="31"/>
      <c r="G1885" s="7">
        <f t="shared" si="538"/>
        <v>2</v>
      </c>
      <c r="H1885" s="58">
        <v>44566</v>
      </c>
      <c r="I1885" s="16"/>
      <c r="J1885" s="11"/>
      <c r="K1885" s="12"/>
      <c r="L1885" s="12"/>
      <c r="M1885" s="12"/>
      <c r="N1885" s="31"/>
      <c r="O1885" s="7">
        <f t="shared" si="541"/>
        <v>0</v>
      </c>
      <c r="P1885" s="56"/>
      <c r="Q1885" s="56"/>
    </row>
    <row r="1886" spans="1:17" x14ac:dyDescent="0.15">
      <c r="A1886" s="14" t="s">
        <v>29</v>
      </c>
      <c r="B1886" s="8"/>
      <c r="C1886" s="10"/>
      <c r="D1886" s="10"/>
      <c r="E1886" s="10"/>
      <c r="F1886" s="30">
        <v>1</v>
      </c>
      <c r="G1886" s="7">
        <f t="shared" si="538"/>
        <v>1</v>
      </c>
      <c r="H1886" s="58">
        <v>44578</v>
      </c>
      <c r="I1886" s="16"/>
      <c r="J1886" s="11"/>
      <c r="K1886" s="12"/>
      <c r="L1886" s="12"/>
      <c r="M1886" s="12"/>
      <c r="N1886" s="31"/>
      <c r="O1886" s="7">
        <f t="shared" si="541"/>
        <v>0</v>
      </c>
      <c r="P1886" s="56"/>
      <c r="Q1886" s="56"/>
    </row>
    <row r="1887" spans="1:17" x14ac:dyDescent="0.15">
      <c r="A1887" s="14" t="s">
        <v>29</v>
      </c>
      <c r="B1887" s="8"/>
      <c r="C1887" s="10"/>
      <c r="D1887" s="10">
        <v>1</v>
      </c>
      <c r="E1887" s="10"/>
      <c r="F1887" s="30"/>
      <c r="G1887" s="7">
        <f t="shared" si="538"/>
        <v>1</v>
      </c>
      <c r="H1887" s="58">
        <v>44579</v>
      </c>
      <c r="I1887" s="16"/>
      <c r="J1887" s="11"/>
      <c r="K1887" s="12"/>
      <c r="L1887" s="12"/>
      <c r="M1887" s="12"/>
      <c r="N1887" s="31"/>
      <c r="O1887" s="7">
        <f t="shared" si="541"/>
        <v>0</v>
      </c>
      <c r="P1887" s="56"/>
      <c r="Q1887" s="56"/>
    </row>
    <row r="1888" spans="1:17" x14ac:dyDescent="0.15">
      <c r="A1888" s="14" t="s">
        <v>29</v>
      </c>
      <c r="B1888" s="8"/>
      <c r="C1888" s="10"/>
      <c r="D1888" s="10"/>
      <c r="E1888" s="10">
        <v>1</v>
      </c>
      <c r="F1888" s="30"/>
      <c r="G1888" s="7">
        <f t="shared" si="538"/>
        <v>1</v>
      </c>
      <c r="H1888" s="58">
        <v>44580</v>
      </c>
      <c r="I1888" s="16"/>
      <c r="J1888" s="11"/>
      <c r="K1888" s="12"/>
      <c r="L1888" s="12"/>
      <c r="M1888" s="12"/>
      <c r="N1888" s="31"/>
      <c r="O1888" s="7">
        <v>0</v>
      </c>
      <c r="P1888" s="56"/>
      <c r="Q1888" t="s">
        <v>1428</v>
      </c>
    </row>
    <row r="1889" spans="1:22" ht="14.25" thickBot="1" x14ac:dyDescent="0.2">
      <c r="A1889" s="14" t="s">
        <v>117</v>
      </c>
      <c r="B1889" s="11"/>
      <c r="C1889" s="12"/>
      <c r="D1889" s="12"/>
      <c r="E1889" s="12"/>
      <c r="F1889" s="31">
        <v>1</v>
      </c>
      <c r="G1889" s="7">
        <f t="shared" si="538"/>
        <v>1</v>
      </c>
      <c r="H1889" s="58">
        <v>44609</v>
      </c>
      <c r="I1889" s="16" t="s">
        <v>1448</v>
      </c>
      <c r="J1889" s="11"/>
      <c r="K1889" s="12"/>
      <c r="L1889" s="12"/>
      <c r="M1889" s="12"/>
      <c r="N1889" s="31"/>
      <c r="O1889" s="7">
        <v>0</v>
      </c>
      <c r="P1889" s="56" t="s">
        <v>1335</v>
      </c>
      <c r="Q1889" s="199" t="s">
        <v>1430</v>
      </c>
      <c r="R1889" s="199" t="s">
        <v>1431</v>
      </c>
      <c r="S1889" s="199" t="s">
        <v>1432</v>
      </c>
      <c r="T1889" s="199" t="s">
        <v>1433</v>
      </c>
      <c r="U1889" s="199" t="s">
        <v>1434</v>
      </c>
      <c r="V1889" s="199"/>
    </row>
    <row r="1890" spans="1:22" ht="14.25" thickBot="1" x14ac:dyDescent="0.2">
      <c r="A1890" s="3" t="s">
        <v>11</v>
      </c>
      <c r="B1890" s="23">
        <f>SUM(B1864:B1889)</f>
        <v>5</v>
      </c>
      <c r="C1890" s="4">
        <f>SUM(C1864:C1889)</f>
        <v>11</v>
      </c>
      <c r="D1890" s="4">
        <f>SUM(D1864:D1889)</f>
        <v>11</v>
      </c>
      <c r="E1890" s="6">
        <f>SUM(E1864:E1889)</f>
        <v>7</v>
      </c>
      <c r="F1890" s="32">
        <f>SUM(F1864:F1889)</f>
        <v>5</v>
      </c>
      <c r="G1890" s="5">
        <f>SUM(B1890:F1890)</f>
        <v>39</v>
      </c>
      <c r="I1890" s="3" t="s">
        <v>11</v>
      </c>
      <c r="J1890" s="23">
        <f>SUM(J1864:J1889)</f>
        <v>20</v>
      </c>
      <c r="K1890" s="4">
        <f>SUM(K1864:K1889)</f>
        <v>24</v>
      </c>
      <c r="L1890" s="4">
        <f>SUM(L1864:L1889)</f>
        <v>31</v>
      </c>
      <c r="M1890" s="6">
        <f>SUM(M1864:M1889)</f>
        <v>18</v>
      </c>
      <c r="N1890" s="6">
        <f>SUM(N1864:N1889)</f>
        <v>15</v>
      </c>
      <c r="O1890" s="5">
        <f>SUM(J1890:N1890)</f>
        <v>108</v>
      </c>
      <c r="Q1890" s="199">
        <v>214</v>
      </c>
      <c r="R1890" s="199">
        <v>247</v>
      </c>
      <c r="S1890" s="199">
        <v>222</v>
      </c>
      <c r="T1890" s="199">
        <v>213</v>
      </c>
      <c r="U1890" s="199">
        <v>203</v>
      </c>
      <c r="V1890" s="199">
        <v>1099</v>
      </c>
    </row>
    <row r="1891" spans="1:22" ht="14.25" thickBot="1" x14ac:dyDescent="0.2">
      <c r="A1891" s="25" t="s">
        <v>12</v>
      </c>
      <c r="B1891" s="63">
        <f>B1863-B1890</f>
        <v>5</v>
      </c>
      <c r="C1891" s="26">
        <f t="shared" ref="C1891:G1891" si="542">C1863-C1890</f>
        <v>5</v>
      </c>
      <c r="D1891" s="71">
        <f t="shared" si="542"/>
        <v>4</v>
      </c>
      <c r="E1891" s="26">
        <f t="shared" si="542"/>
        <v>3</v>
      </c>
      <c r="F1891" s="70">
        <f t="shared" si="542"/>
        <v>4</v>
      </c>
      <c r="G1891" s="27">
        <f t="shared" si="542"/>
        <v>21</v>
      </c>
      <c r="I1891" s="25" t="s">
        <v>12</v>
      </c>
      <c r="J1891" s="63">
        <f>J1863-J1890</f>
        <v>88</v>
      </c>
      <c r="K1891" s="26">
        <f t="shared" ref="K1891:O1891" si="543">K1863-K1890</f>
        <v>42</v>
      </c>
      <c r="L1891" s="71">
        <f t="shared" si="543"/>
        <v>26</v>
      </c>
      <c r="M1891" s="26">
        <f t="shared" si="543"/>
        <v>74</v>
      </c>
      <c r="N1891" s="70">
        <f t="shared" si="543"/>
        <v>54</v>
      </c>
      <c r="O1891" s="27">
        <f t="shared" si="543"/>
        <v>284</v>
      </c>
      <c r="Q1891" s="200">
        <v>19.472247497725203</v>
      </c>
      <c r="R1891" s="200">
        <v>22.474977252047314</v>
      </c>
      <c r="S1891" s="200">
        <v>20.200181983621473</v>
      </c>
      <c r="T1891" s="200">
        <v>19.381255686988172</v>
      </c>
      <c r="U1891" s="200">
        <v>18.471337579617835</v>
      </c>
      <c r="V1891" s="199">
        <v>100</v>
      </c>
    </row>
    <row r="1892" spans="1:22" ht="17.25" x14ac:dyDescent="0.2">
      <c r="A1892" s="79" t="s">
        <v>56</v>
      </c>
      <c r="B1892" s="80"/>
      <c r="C1892" s="80"/>
      <c r="D1892" s="80"/>
      <c r="E1892" s="80"/>
      <c r="F1892" s="80"/>
      <c r="G1892" s="80"/>
      <c r="I1892" s="79" t="s">
        <v>56</v>
      </c>
      <c r="J1892" s="80"/>
      <c r="K1892" s="80"/>
      <c r="L1892" s="80"/>
      <c r="M1892" s="80"/>
      <c r="N1892" s="80"/>
      <c r="O1892" s="1"/>
    </row>
    <row r="1893" spans="1:22" ht="21.75" thickBot="1" x14ac:dyDescent="0.25">
      <c r="A1893" s="82" t="s">
        <v>55</v>
      </c>
      <c r="B1893" s="80"/>
      <c r="C1893" s="80"/>
      <c r="D1893" s="80"/>
      <c r="E1893" s="81" t="s">
        <v>53</v>
      </c>
      <c r="F1893" s="80"/>
      <c r="G1893" s="80"/>
      <c r="I1893" s="82" t="s">
        <v>55</v>
      </c>
      <c r="J1893" s="80"/>
      <c r="K1893" s="80"/>
      <c r="L1893" s="80"/>
      <c r="M1893" s="81" t="s">
        <v>54</v>
      </c>
      <c r="N1893" s="80"/>
      <c r="O1893" s="1"/>
    </row>
    <row r="1894" spans="1:22" ht="14.25" thickBot="1" x14ac:dyDescent="0.2">
      <c r="A1894" s="13" t="s">
        <v>0</v>
      </c>
      <c r="B1894" s="228" t="s">
        <v>57</v>
      </c>
      <c r="C1894" s="229"/>
      <c r="D1894" s="229"/>
      <c r="E1894" s="229"/>
      <c r="F1894" s="230"/>
      <c r="G1894" s="231"/>
      <c r="I1894" s="13" t="s">
        <v>0</v>
      </c>
      <c r="J1894" s="232" t="s">
        <v>57</v>
      </c>
      <c r="K1894" s="233"/>
      <c r="L1894" s="233"/>
      <c r="M1894" s="233"/>
      <c r="N1894" s="233"/>
      <c r="O1894" s="234"/>
    </row>
    <row r="1895" spans="1:22" ht="14.25" thickBot="1" x14ac:dyDescent="0.2">
      <c r="A1895" s="3" t="s">
        <v>1</v>
      </c>
      <c r="B1895" s="2" t="s">
        <v>42</v>
      </c>
      <c r="C1895" s="21" t="s">
        <v>43</v>
      </c>
      <c r="D1895" s="21" t="s">
        <v>44</v>
      </c>
      <c r="E1895" s="24" t="s">
        <v>45</v>
      </c>
      <c r="F1895" s="33" t="s">
        <v>46</v>
      </c>
      <c r="G1895" s="3" t="s">
        <v>2</v>
      </c>
      <c r="I1895" s="3" t="s">
        <v>1</v>
      </c>
      <c r="J1895" s="2" t="s">
        <v>42</v>
      </c>
      <c r="K1895" s="21" t="s">
        <v>43</v>
      </c>
      <c r="L1895" s="21" t="s">
        <v>44</v>
      </c>
      <c r="M1895" s="24" t="s">
        <v>45</v>
      </c>
      <c r="N1895" s="33" t="s">
        <v>46</v>
      </c>
      <c r="O1895" s="3" t="s">
        <v>2</v>
      </c>
    </row>
    <row r="1896" spans="1:22" ht="14.25" thickBot="1" x14ac:dyDescent="0.2">
      <c r="A1896" s="72" t="s">
        <v>79</v>
      </c>
      <c r="B1896" s="73">
        <f>B1891</f>
        <v>5</v>
      </c>
      <c r="C1896" s="74">
        <f t="shared" ref="C1896:F1896" si="544">C1891</f>
        <v>5</v>
      </c>
      <c r="D1896" s="107">
        <f t="shared" si="544"/>
        <v>4</v>
      </c>
      <c r="E1896" s="75">
        <f t="shared" si="544"/>
        <v>3</v>
      </c>
      <c r="F1896" s="75">
        <f t="shared" si="544"/>
        <v>4</v>
      </c>
      <c r="G1896" s="76">
        <f t="shared" ref="G1896:G1905" si="545">SUM(B1896:F1896)</f>
        <v>21</v>
      </c>
      <c r="I1896" s="72" t="s">
        <v>79</v>
      </c>
      <c r="J1896" s="73">
        <f>J1891</f>
        <v>88</v>
      </c>
      <c r="K1896" s="74">
        <f t="shared" ref="K1896:N1896" si="546">K1891</f>
        <v>42</v>
      </c>
      <c r="L1896" s="107">
        <f t="shared" si="546"/>
        <v>26</v>
      </c>
      <c r="M1896" s="75">
        <f t="shared" si="546"/>
        <v>74</v>
      </c>
      <c r="N1896" s="75">
        <f t="shared" si="546"/>
        <v>54</v>
      </c>
      <c r="O1896" s="76">
        <f t="shared" ref="O1896:O1905" si="547">SUM(J1896:N1896)</f>
        <v>284</v>
      </c>
    </row>
    <row r="1897" spans="1:22" x14ac:dyDescent="0.15">
      <c r="A1897" s="38" t="s">
        <v>15</v>
      </c>
      <c r="B1897" s="37"/>
      <c r="C1897" s="35"/>
      <c r="D1897" s="35"/>
      <c r="E1897" s="35">
        <v>5</v>
      </c>
      <c r="F1897" s="28"/>
      <c r="G1897" s="7">
        <f t="shared" si="545"/>
        <v>5</v>
      </c>
      <c r="H1897" s="58">
        <v>44634</v>
      </c>
      <c r="I1897" s="38" t="s">
        <v>15</v>
      </c>
      <c r="J1897" s="8"/>
      <c r="K1897" s="10"/>
      <c r="L1897" s="10"/>
      <c r="M1897" s="10"/>
      <c r="N1897" s="30"/>
      <c r="O1897" s="7">
        <f t="shared" si="547"/>
        <v>0</v>
      </c>
    </row>
    <row r="1898" spans="1:22" x14ac:dyDescent="0.15">
      <c r="A1898" s="38" t="s">
        <v>16</v>
      </c>
      <c r="B1898" s="8"/>
      <c r="C1898" s="10">
        <v>5</v>
      </c>
      <c r="D1898" s="10"/>
      <c r="E1898" s="10">
        <v>3</v>
      </c>
      <c r="F1898" s="28">
        <v>3</v>
      </c>
      <c r="G1898" s="9">
        <f t="shared" si="545"/>
        <v>11</v>
      </c>
      <c r="H1898" s="58">
        <v>44688</v>
      </c>
      <c r="I1898" s="38" t="s">
        <v>16</v>
      </c>
      <c r="J1898" s="8"/>
      <c r="K1898" s="10"/>
      <c r="L1898" s="10"/>
      <c r="M1898" s="10"/>
      <c r="N1898" s="28"/>
      <c r="O1898" s="9">
        <f t="shared" si="547"/>
        <v>0</v>
      </c>
    </row>
    <row r="1899" spans="1:22" x14ac:dyDescent="0.15">
      <c r="A1899" s="38" t="s">
        <v>18</v>
      </c>
      <c r="B1899" s="8"/>
      <c r="C1899" s="10"/>
      <c r="D1899" s="10">
        <v>3</v>
      </c>
      <c r="E1899" s="10"/>
      <c r="F1899" s="28"/>
      <c r="G1899" s="9">
        <f t="shared" si="545"/>
        <v>3</v>
      </c>
      <c r="H1899" s="58">
        <v>44699</v>
      </c>
      <c r="I1899" s="38" t="s">
        <v>18</v>
      </c>
      <c r="J1899" s="8"/>
      <c r="K1899" s="10"/>
      <c r="L1899" s="10"/>
      <c r="M1899" s="10"/>
      <c r="N1899" s="28"/>
      <c r="O1899" s="9">
        <f t="shared" si="547"/>
        <v>0</v>
      </c>
      <c r="P1899" s="56"/>
      <c r="Q1899" s="56"/>
      <c r="R1899" s="56"/>
    </row>
    <row r="1900" spans="1:22" x14ac:dyDescent="0.15">
      <c r="A1900" s="38" t="s">
        <v>20</v>
      </c>
      <c r="B1900" s="8"/>
      <c r="C1900" s="10"/>
      <c r="D1900" s="10">
        <v>3</v>
      </c>
      <c r="E1900" s="10"/>
      <c r="F1900" s="28"/>
      <c r="G1900" s="9">
        <f t="shared" si="545"/>
        <v>3</v>
      </c>
      <c r="H1900" s="58">
        <v>44725</v>
      </c>
      <c r="I1900" s="38" t="s">
        <v>20</v>
      </c>
      <c r="J1900" s="8"/>
      <c r="K1900" s="10"/>
      <c r="L1900" s="10"/>
      <c r="M1900" s="10"/>
      <c r="N1900" s="28"/>
      <c r="O1900" s="9">
        <f t="shared" si="547"/>
        <v>0</v>
      </c>
    </row>
    <row r="1901" spans="1:22" x14ac:dyDescent="0.15">
      <c r="A1901" s="38" t="s">
        <v>80</v>
      </c>
      <c r="B1901" s="8"/>
      <c r="C1901" s="10">
        <v>3</v>
      </c>
      <c r="D1901" s="10"/>
      <c r="E1901" s="10"/>
      <c r="F1901" s="28"/>
      <c r="G1901" s="9">
        <f t="shared" si="545"/>
        <v>3</v>
      </c>
      <c r="H1901" s="58">
        <v>44730</v>
      </c>
      <c r="I1901" s="38" t="s">
        <v>80</v>
      </c>
      <c r="J1901" s="8"/>
      <c r="K1901" s="10"/>
      <c r="L1901" s="10"/>
      <c r="M1901" s="10"/>
      <c r="N1901" s="28"/>
      <c r="O1901" s="9">
        <f t="shared" si="547"/>
        <v>0</v>
      </c>
    </row>
    <row r="1902" spans="1:22" x14ac:dyDescent="0.15">
      <c r="A1902" s="38" t="s">
        <v>81</v>
      </c>
      <c r="B1902" s="8"/>
      <c r="C1902" s="10"/>
      <c r="D1902" s="10"/>
      <c r="E1902" s="10"/>
      <c r="F1902" s="30"/>
      <c r="G1902" s="7">
        <f t="shared" si="545"/>
        <v>0</v>
      </c>
      <c r="H1902" s="58"/>
      <c r="I1902" s="38" t="s">
        <v>81</v>
      </c>
      <c r="J1902" s="8"/>
      <c r="K1902" s="10"/>
      <c r="L1902" s="10"/>
      <c r="M1902" s="10"/>
      <c r="N1902" s="28"/>
      <c r="O1902" s="9">
        <f t="shared" si="547"/>
        <v>0</v>
      </c>
    </row>
    <row r="1903" spans="1:22" x14ac:dyDescent="0.15">
      <c r="A1903" s="38" t="s">
        <v>82</v>
      </c>
      <c r="B1903" s="8"/>
      <c r="C1903" s="10"/>
      <c r="D1903" s="10"/>
      <c r="E1903" s="10"/>
      <c r="F1903" s="30"/>
      <c r="G1903" s="7">
        <f t="shared" si="545"/>
        <v>0</v>
      </c>
      <c r="H1903" s="58"/>
      <c r="I1903" s="38" t="s">
        <v>82</v>
      </c>
      <c r="J1903" s="8"/>
      <c r="K1903" s="10"/>
      <c r="L1903" s="10"/>
      <c r="M1903" s="10"/>
      <c r="N1903" s="30"/>
      <c r="O1903" s="7">
        <f t="shared" si="547"/>
        <v>0</v>
      </c>
    </row>
    <row r="1904" spans="1:22" x14ac:dyDescent="0.15">
      <c r="A1904" s="195" t="s">
        <v>83</v>
      </c>
      <c r="B1904" s="11"/>
      <c r="C1904" s="100"/>
      <c r="D1904" s="100"/>
      <c r="E1904" s="100"/>
      <c r="F1904" s="101"/>
      <c r="G1904" s="102">
        <f t="shared" si="545"/>
        <v>0</v>
      </c>
      <c r="H1904" s="58"/>
      <c r="I1904" s="15" t="s">
        <v>83</v>
      </c>
      <c r="J1904" s="8"/>
      <c r="K1904" s="10"/>
      <c r="L1904" s="10"/>
      <c r="M1904" s="10"/>
      <c r="N1904" s="30"/>
      <c r="O1904" s="7">
        <f t="shared" si="547"/>
        <v>0</v>
      </c>
    </row>
    <row r="1905" spans="1:16" ht="14.25" thickBot="1" x14ac:dyDescent="0.2">
      <c r="A1905" s="38" t="s">
        <v>159</v>
      </c>
      <c r="B1905" s="11"/>
      <c r="C1905" s="100"/>
      <c r="D1905" s="100"/>
      <c r="E1905" s="100"/>
      <c r="F1905" s="101"/>
      <c r="G1905" s="102">
        <f t="shared" si="545"/>
        <v>0</v>
      </c>
      <c r="H1905" s="58"/>
      <c r="I1905" s="15" t="s">
        <v>87</v>
      </c>
      <c r="J1905" s="11"/>
      <c r="K1905" s="100"/>
      <c r="L1905" s="100"/>
      <c r="M1905" s="100"/>
      <c r="N1905" s="101"/>
      <c r="O1905" s="102">
        <f t="shared" si="547"/>
        <v>0</v>
      </c>
    </row>
    <row r="1906" spans="1:16" ht="14.25" thickBot="1" x14ac:dyDescent="0.2">
      <c r="A1906" s="72" t="s">
        <v>7</v>
      </c>
      <c r="B1906" s="73">
        <f>SUM(B1896:B1905)</f>
        <v>5</v>
      </c>
      <c r="C1906" s="74">
        <f t="shared" ref="C1906:G1906" si="548">SUM(C1896:C1905)</f>
        <v>13</v>
      </c>
      <c r="D1906" s="74">
        <f t="shared" si="548"/>
        <v>10</v>
      </c>
      <c r="E1906" s="74">
        <f t="shared" si="548"/>
        <v>11</v>
      </c>
      <c r="F1906" s="105">
        <f t="shared" si="548"/>
        <v>7</v>
      </c>
      <c r="G1906" s="76">
        <f t="shared" si="548"/>
        <v>46</v>
      </c>
      <c r="I1906" s="72" t="s">
        <v>7</v>
      </c>
      <c r="J1906" s="73">
        <f>SUM(J1896:J1905)</f>
        <v>88</v>
      </c>
      <c r="K1906" s="74">
        <f t="shared" ref="K1906:O1906" si="549">SUM(K1896:K1905)</f>
        <v>42</v>
      </c>
      <c r="L1906" s="74">
        <f t="shared" si="549"/>
        <v>26</v>
      </c>
      <c r="M1906" s="74">
        <f t="shared" si="549"/>
        <v>74</v>
      </c>
      <c r="N1906" s="105">
        <f t="shared" si="549"/>
        <v>54</v>
      </c>
      <c r="O1906" s="76">
        <f t="shared" si="549"/>
        <v>284</v>
      </c>
    </row>
    <row r="1907" spans="1:16" x14ac:dyDescent="0.15">
      <c r="A1907" s="14" t="s">
        <v>117</v>
      </c>
      <c r="B1907" s="8"/>
      <c r="C1907" s="10"/>
      <c r="D1907" s="10"/>
      <c r="E1907" s="10">
        <v>1</v>
      </c>
      <c r="F1907" s="30"/>
      <c r="G1907" s="7">
        <f t="shared" ref="G1907:G1932" si="550">SUM(B1907:F1907)</f>
        <v>1</v>
      </c>
      <c r="H1907" s="58">
        <v>44618</v>
      </c>
      <c r="I1907" s="38" t="s">
        <v>9</v>
      </c>
      <c r="J1907" s="37"/>
      <c r="K1907" s="35"/>
      <c r="L1907" s="35"/>
      <c r="M1907" s="35">
        <v>5</v>
      </c>
      <c r="N1907" s="28"/>
      <c r="O1907" s="7">
        <f t="shared" ref="O1907:O1920" si="551">SUM(J1907:N1907)</f>
        <v>5</v>
      </c>
      <c r="P1907" s="58">
        <v>44634</v>
      </c>
    </row>
    <row r="1908" spans="1:16" x14ac:dyDescent="0.15">
      <c r="A1908" s="14" t="s">
        <v>117</v>
      </c>
      <c r="B1908" s="8"/>
      <c r="C1908" s="10"/>
      <c r="D1908" s="10"/>
      <c r="E1908" s="10">
        <v>1</v>
      </c>
      <c r="F1908" s="30"/>
      <c r="G1908" s="7">
        <f t="shared" si="550"/>
        <v>1</v>
      </c>
      <c r="H1908" s="58">
        <v>44631</v>
      </c>
      <c r="I1908" s="38" t="s">
        <v>9</v>
      </c>
      <c r="J1908" s="8"/>
      <c r="K1908" s="10">
        <v>5</v>
      </c>
      <c r="L1908" s="10"/>
      <c r="M1908" s="10">
        <v>3</v>
      </c>
      <c r="N1908" s="28">
        <v>3</v>
      </c>
      <c r="O1908" s="9">
        <f t="shared" si="551"/>
        <v>11</v>
      </c>
      <c r="P1908" s="58">
        <v>44688</v>
      </c>
    </row>
    <row r="1909" spans="1:16" x14ac:dyDescent="0.15">
      <c r="A1909" s="14" t="s">
        <v>29</v>
      </c>
      <c r="B1909" s="8"/>
      <c r="C1909" s="10"/>
      <c r="D1909" s="10">
        <v>1</v>
      </c>
      <c r="E1909" s="10"/>
      <c r="F1909" s="30"/>
      <c r="G1909" s="7">
        <f t="shared" si="550"/>
        <v>1</v>
      </c>
      <c r="H1909" s="58">
        <v>44636</v>
      </c>
      <c r="I1909" s="38" t="s">
        <v>9</v>
      </c>
      <c r="J1909" s="8"/>
      <c r="K1909" s="10"/>
      <c r="L1909" s="10">
        <v>3</v>
      </c>
      <c r="M1909" s="10"/>
      <c r="N1909" s="28"/>
      <c r="O1909" s="9">
        <f t="shared" si="551"/>
        <v>3</v>
      </c>
      <c r="P1909" s="58">
        <v>44699</v>
      </c>
    </row>
    <row r="1910" spans="1:16" x14ac:dyDescent="0.15">
      <c r="A1910" s="14" t="s">
        <v>29</v>
      </c>
      <c r="B1910" s="8"/>
      <c r="C1910" s="10">
        <v>1</v>
      </c>
      <c r="D1910" s="10"/>
      <c r="E1910" s="10"/>
      <c r="F1910" s="30"/>
      <c r="G1910" s="7">
        <f t="shared" si="550"/>
        <v>1</v>
      </c>
      <c r="H1910" s="58">
        <v>44642</v>
      </c>
      <c r="I1910" s="14" t="s">
        <v>8</v>
      </c>
      <c r="J1910" s="8"/>
      <c r="K1910" s="10">
        <v>10</v>
      </c>
      <c r="L1910" s="10"/>
      <c r="M1910" s="10"/>
      <c r="N1910" s="30"/>
      <c r="O1910" s="7">
        <f t="shared" si="551"/>
        <v>10</v>
      </c>
      <c r="P1910" s="58">
        <v>44711</v>
      </c>
    </row>
    <row r="1911" spans="1:16" x14ac:dyDescent="0.15">
      <c r="A1911" s="14" t="s">
        <v>29</v>
      </c>
      <c r="B1911" s="8"/>
      <c r="C1911" s="10"/>
      <c r="D1911" s="10"/>
      <c r="E1911" s="10">
        <v>1</v>
      </c>
      <c r="F1911" s="30"/>
      <c r="G1911" s="7">
        <f t="shared" si="550"/>
        <v>1</v>
      </c>
      <c r="H1911" s="58">
        <v>44648</v>
      </c>
      <c r="I1911" s="14" t="s">
        <v>8</v>
      </c>
      <c r="J1911" s="8"/>
      <c r="K1911" s="10"/>
      <c r="L1911" s="10"/>
      <c r="M1911" s="10"/>
      <c r="N1911" s="28">
        <v>10</v>
      </c>
      <c r="O1911" s="9">
        <f t="shared" si="551"/>
        <v>10</v>
      </c>
      <c r="P1911" s="58">
        <v>44720</v>
      </c>
    </row>
    <row r="1912" spans="1:16" x14ac:dyDescent="0.15">
      <c r="A1912" s="14" t="s">
        <v>29</v>
      </c>
      <c r="B1912" s="8"/>
      <c r="C1912" s="10"/>
      <c r="D1912" s="10"/>
      <c r="E1912" s="10"/>
      <c r="F1912" s="30">
        <v>1</v>
      </c>
      <c r="G1912" s="7">
        <f t="shared" si="550"/>
        <v>1</v>
      </c>
      <c r="H1912" s="58">
        <v>44659</v>
      </c>
      <c r="I1912" s="38" t="s">
        <v>9</v>
      </c>
      <c r="J1912" s="8"/>
      <c r="K1912" s="10"/>
      <c r="L1912" s="10">
        <v>3</v>
      </c>
      <c r="M1912" s="10"/>
      <c r="N1912" s="30"/>
      <c r="O1912" s="7">
        <f t="shared" si="551"/>
        <v>3</v>
      </c>
      <c r="P1912" s="58">
        <v>44725</v>
      </c>
    </row>
    <row r="1913" spans="1:16" x14ac:dyDescent="0.15">
      <c r="A1913" s="14" t="s">
        <v>29</v>
      </c>
      <c r="B1913" s="8"/>
      <c r="C1913" s="10"/>
      <c r="D1913" s="10"/>
      <c r="E1913" s="10">
        <v>1</v>
      </c>
      <c r="F1913" s="30"/>
      <c r="G1913" s="7">
        <f t="shared" si="550"/>
        <v>1</v>
      </c>
      <c r="H1913" s="58">
        <v>44662</v>
      </c>
      <c r="I1913" s="38" t="s">
        <v>9</v>
      </c>
      <c r="J1913" s="8"/>
      <c r="K1913" s="10">
        <v>3</v>
      </c>
      <c r="L1913" s="10"/>
      <c r="M1913" s="10"/>
      <c r="N1913" s="30"/>
      <c r="O1913" s="7">
        <f t="shared" si="551"/>
        <v>3</v>
      </c>
      <c r="P1913" s="58">
        <v>44730</v>
      </c>
    </row>
    <row r="1914" spans="1:16" x14ac:dyDescent="0.15">
      <c r="A1914" s="14" t="s">
        <v>29</v>
      </c>
      <c r="B1914" s="8"/>
      <c r="C1914" s="10">
        <v>1</v>
      </c>
      <c r="D1914" s="10"/>
      <c r="E1914" s="10"/>
      <c r="F1914" s="30"/>
      <c r="G1914" s="7">
        <f t="shared" si="550"/>
        <v>1</v>
      </c>
      <c r="H1914" s="58">
        <v>44665</v>
      </c>
      <c r="I1914" s="14"/>
      <c r="J1914" s="8"/>
      <c r="K1914" s="10"/>
      <c r="L1914" s="10"/>
      <c r="M1914" s="10"/>
      <c r="N1914" s="30"/>
      <c r="O1914" s="7">
        <f t="shared" si="551"/>
        <v>0</v>
      </c>
      <c r="P1914" s="56"/>
    </row>
    <row r="1915" spans="1:16" x14ac:dyDescent="0.15">
      <c r="A1915" s="14" t="s">
        <v>29</v>
      </c>
      <c r="B1915" s="8"/>
      <c r="C1915" s="10">
        <v>1</v>
      </c>
      <c r="D1915" s="10"/>
      <c r="E1915" s="10"/>
      <c r="F1915" s="30"/>
      <c r="G1915" s="7">
        <f t="shared" si="550"/>
        <v>1</v>
      </c>
      <c r="H1915" s="58">
        <v>44669</v>
      </c>
      <c r="I1915" s="38"/>
      <c r="J1915" s="8"/>
      <c r="K1915" s="10"/>
      <c r="L1915" s="10"/>
      <c r="M1915" s="10"/>
      <c r="N1915" s="30"/>
      <c r="O1915" s="7">
        <f t="shared" si="551"/>
        <v>0</v>
      </c>
      <c r="P1915" s="56"/>
    </row>
    <row r="1916" spans="1:16" x14ac:dyDescent="0.15">
      <c r="A1916" s="14" t="s">
        <v>29</v>
      </c>
      <c r="B1916" s="11"/>
      <c r="C1916" s="12"/>
      <c r="D1916" s="12"/>
      <c r="E1916" s="12">
        <v>1</v>
      </c>
      <c r="F1916" s="31"/>
      <c r="G1916" s="7">
        <f t="shared" si="550"/>
        <v>1</v>
      </c>
      <c r="H1916" s="58">
        <v>44671</v>
      </c>
      <c r="I1916" s="14"/>
      <c r="J1916" s="11"/>
      <c r="K1916" s="12"/>
      <c r="L1916" s="12"/>
      <c r="M1916" s="12"/>
      <c r="N1916" s="31"/>
      <c r="O1916" s="7">
        <f t="shared" si="551"/>
        <v>0</v>
      </c>
      <c r="P1916" s="56"/>
    </row>
    <row r="1917" spans="1:16" x14ac:dyDescent="0.15">
      <c r="A1917" s="14" t="s">
        <v>29</v>
      </c>
      <c r="B1917" s="11"/>
      <c r="C1917" s="12"/>
      <c r="D1917" s="12"/>
      <c r="E1917" s="12"/>
      <c r="F1917" s="31">
        <v>1</v>
      </c>
      <c r="G1917" s="7">
        <f t="shared" si="550"/>
        <v>1</v>
      </c>
      <c r="H1917" s="58">
        <v>44676</v>
      </c>
      <c r="I1917" s="14"/>
      <c r="J1917" s="8"/>
      <c r="K1917" s="10"/>
      <c r="L1917" s="10"/>
      <c r="M1917" s="10"/>
      <c r="N1917" s="30"/>
      <c r="O1917" s="7">
        <f t="shared" si="551"/>
        <v>0</v>
      </c>
      <c r="P1917" s="56"/>
    </row>
    <row r="1918" spans="1:16" x14ac:dyDescent="0.15">
      <c r="A1918" s="14" t="s">
        <v>29</v>
      </c>
      <c r="B1918" s="8"/>
      <c r="C1918" s="10"/>
      <c r="D1918" s="10"/>
      <c r="E1918" s="10">
        <v>1</v>
      </c>
      <c r="F1918" s="30"/>
      <c r="G1918" s="7">
        <f t="shared" si="550"/>
        <v>1</v>
      </c>
      <c r="H1918" s="58">
        <v>44678</v>
      </c>
      <c r="I1918" s="14"/>
      <c r="J1918" s="8"/>
      <c r="K1918" s="10"/>
      <c r="L1918" s="10"/>
      <c r="M1918" s="10"/>
      <c r="N1918" s="30"/>
      <c r="O1918" s="7">
        <f t="shared" si="551"/>
        <v>0</v>
      </c>
      <c r="P1918" s="56"/>
    </row>
    <row r="1919" spans="1:16" x14ac:dyDescent="0.15">
      <c r="A1919" s="14" t="s">
        <v>29</v>
      </c>
      <c r="B1919" s="8">
        <v>1</v>
      </c>
      <c r="C1919" s="10"/>
      <c r="D1919" s="10"/>
      <c r="E1919" s="10"/>
      <c r="F1919" s="30"/>
      <c r="G1919" s="7">
        <f t="shared" si="550"/>
        <v>1</v>
      </c>
      <c r="H1919" s="58">
        <v>44683</v>
      </c>
      <c r="I1919" s="14"/>
      <c r="J1919" s="8"/>
      <c r="K1919" s="10"/>
      <c r="L1919" s="10"/>
      <c r="M1919" s="10"/>
      <c r="N1919" s="30"/>
      <c r="O1919" s="7">
        <f t="shared" si="551"/>
        <v>0</v>
      </c>
      <c r="P1919" s="56"/>
    </row>
    <row r="1920" spans="1:16" x14ac:dyDescent="0.15">
      <c r="A1920" s="14" t="s">
        <v>29</v>
      </c>
      <c r="B1920" s="8"/>
      <c r="C1920" s="10">
        <v>1</v>
      </c>
      <c r="D1920" s="10"/>
      <c r="E1920" s="10"/>
      <c r="F1920" s="30"/>
      <c r="G1920" s="7">
        <f t="shared" si="550"/>
        <v>1</v>
      </c>
      <c r="H1920" s="58">
        <v>44687</v>
      </c>
      <c r="I1920" s="16"/>
      <c r="J1920" s="8"/>
      <c r="K1920" s="10"/>
      <c r="L1920" s="10"/>
      <c r="M1920" s="10"/>
      <c r="N1920" s="30"/>
      <c r="O1920" s="7">
        <f t="shared" si="551"/>
        <v>0</v>
      </c>
      <c r="P1920" s="56"/>
    </row>
    <row r="1921" spans="1:16" x14ac:dyDescent="0.15">
      <c r="A1921" s="14" t="s">
        <v>117</v>
      </c>
      <c r="B1921" s="8"/>
      <c r="C1921" s="10"/>
      <c r="D1921" s="10"/>
      <c r="E1921" s="10">
        <v>1</v>
      </c>
      <c r="F1921" s="30"/>
      <c r="G1921" s="7">
        <f t="shared" si="550"/>
        <v>1</v>
      </c>
      <c r="H1921" s="58">
        <v>44700</v>
      </c>
      <c r="I1921" s="14"/>
      <c r="J1921" s="8"/>
      <c r="K1921" s="10"/>
      <c r="L1921" s="10"/>
      <c r="M1921" s="10"/>
      <c r="N1921" s="30"/>
      <c r="O1921" s="7">
        <f>SUM(J1921:N1921)</f>
        <v>0</v>
      </c>
      <c r="P1921" s="56"/>
    </row>
    <row r="1922" spans="1:16" x14ac:dyDescent="0.15">
      <c r="A1922" s="14" t="s">
        <v>117</v>
      </c>
      <c r="B1922" s="11"/>
      <c r="C1922" s="12"/>
      <c r="D1922" s="12">
        <v>1</v>
      </c>
      <c r="E1922" s="12"/>
      <c r="F1922" s="31"/>
      <c r="G1922" s="7">
        <f t="shared" si="550"/>
        <v>1</v>
      </c>
      <c r="H1922" s="58">
        <v>44706</v>
      </c>
      <c r="I1922" s="16"/>
      <c r="J1922" s="11"/>
      <c r="K1922" s="12"/>
      <c r="L1922" s="12"/>
      <c r="M1922" s="12"/>
      <c r="N1922" s="31"/>
      <c r="O1922" s="7">
        <f t="shared" ref="O1922:O1930" si="552">SUM(J1922:N1922)</f>
        <v>0</v>
      </c>
      <c r="P1922" s="56"/>
    </row>
    <row r="1923" spans="1:16" x14ac:dyDescent="0.15">
      <c r="A1923" s="14" t="s">
        <v>29</v>
      </c>
      <c r="B1923" s="8"/>
      <c r="C1923" s="10"/>
      <c r="D1923" s="10"/>
      <c r="E1923" s="10"/>
      <c r="F1923" s="30">
        <v>1</v>
      </c>
      <c r="G1923" s="7">
        <f t="shared" si="550"/>
        <v>1</v>
      </c>
      <c r="H1923" s="58">
        <v>44708</v>
      </c>
      <c r="I1923" s="16"/>
      <c r="J1923" s="8"/>
      <c r="K1923" s="10"/>
      <c r="L1923" s="10"/>
      <c r="M1923" s="10"/>
      <c r="N1923" s="30"/>
      <c r="O1923" s="7">
        <f t="shared" si="552"/>
        <v>0</v>
      </c>
      <c r="P1923" s="56"/>
    </row>
    <row r="1924" spans="1:16" x14ac:dyDescent="0.15">
      <c r="A1924" s="14" t="s">
        <v>29</v>
      </c>
      <c r="B1924" s="8"/>
      <c r="C1924" s="10"/>
      <c r="D1924" s="10"/>
      <c r="E1924" s="10"/>
      <c r="F1924" s="30">
        <v>1</v>
      </c>
      <c r="G1924" s="7">
        <f t="shared" si="550"/>
        <v>1</v>
      </c>
      <c r="H1924" s="58">
        <v>44711</v>
      </c>
      <c r="I1924" s="14"/>
      <c r="J1924" s="11"/>
      <c r="K1924" s="12"/>
      <c r="L1924" s="12"/>
      <c r="M1924" s="12"/>
      <c r="N1924" s="31"/>
      <c r="O1924" s="7">
        <f t="shared" si="552"/>
        <v>0</v>
      </c>
      <c r="P1924" s="56"/>
    </row>
    <row r="1925" spans="1:16" x14ac:dyDescent="0.15">
      <c r="A1925" s="14" t="s">
        <v>29</v>
      </c>
      <c r="B1925" s="8"/>
      <c r="C1925" s="10">
        <f>1+1</f>
        <v>2</v>
      </c>
      <c r="D1925" s="10"/>
      <c r="E1925" s="10"/>
      <c r="F1925" s="30"/>
      <c r="G1925" s="7">
        <f t="shared" si="550"/>
        <v>2</v>
      </c>
      <c r="H1925" s="58">
        <v>44712</v>
      </c>
      <c r="I1925" s="14"/>
      <c r="J1925" s="11"/>
      <c r="K1925" s="12"/>
      <c r="L1925" s="12"/>
      <c r="M1925" s="12"/>
      <c r="N1925" s="31"/>
      <c r="O1925" s="7">
        <f t="shared" si="552"/>
        <v>0</v>
      </c>
      <c r="P1925" s="56"/>
    </row>
    <row r="1926" spans="1:16" x14ac:dyDescent="0.15">
      <c r="A1926" s="14" t="s">
        <v>29</v>
      </c>
      <c r="B1926" s="8"/>
      <c r="C1926" s="10"/>
      <c r="D1926" s="10">
        <v>1</v>
      </c>
      <c r="E1926" s="10"/>
      <c r="F1926" s="30"/>
      <c r="G1926" s="7">
        <f t="shared" si="550"/>
        <v>1</v>
      </c>
      <c r="H1926" s="58">
        <v>44718</v>
      </c>
      <c r="I1926" s="14"/>
      <c r="J1926" s="11"/>
      <c r="K1926" s="12"/>
      <c r="L1926" s="12"/>
      <c r="M1926" s="12"/>
      <c r="N1926" s="31"/>
      <c r="O1926" s="7">
        <f t="shared" si="552"/>
        <v>0</v>
      </c>
      <c r="P1926" s="56"/>
    </row>
    <row r="1927" spans="1:16" x14ac:dyDescent="0.15">
      <c r="A1927" s="14" t="s">
        <v>29</v>
      </c>
      <c r="B1927" s="8"/>
      <c r="C1927" s="10"/>
      <c r="D1927" s="10"/>
      <c r="E1927" s="10">
        <v>1</v>
      </c>
      <c r="F1927" s="30"/>
      <c r="G1927" s="7">
        <f t="shared" si="550"/>
        <v>1</v>
      </c>
      <c r="H1927" s="58">
        <v>44720</v>
      </c>
      <c r="I1927" s="16"/>
      <c r="J1927" s="11"/>
      <c r="K1927" s="12"/>
      <c r="L1927" s="12"/>
      <c r="M1927" s="12"/>
      <c r="N1927" s="31"/>
      <c r="O1927" s="7">
        <f t="shared" si="552"/>
        <v>0</v>
      </c>
      <c r="P1927" s="56"/>
    </row>
    <row r="1928" spans="1:16" x14ac:dyDescent="0.15">
      <c r="A1928" s="14" t="s">
        <v>117</v>
      </c>
      <c r="B1928" s="11"/>
      <c r="C1928" s="12">
        <v>1</v>
      </c>
      <c r="D1928" s="12"/>
      <c r="E1928" s="12"/>
      <c r="F1928" s="31"/>
      <c r="G1928" s="7">
        <f t="shared" si="550"/>
        <v>1</v>
      </c>
      <c r="H1928" s="58">
        <v>44723</v>
      </c>
      <c r="I1928" s="16"/>
      <c r="J1928" s="11"/>
      <c r="K1928" s="12"/>
      <c r="L1928" s="12"/>
      <c r="M1928" s="12"/>
      <c r="N1928" s="31"/>
      <c r="O1928" s="7">
        <f t="shared" si="552"/>
        <v>0</v>
      </c>
      <c r="P1928" s="56"/>
    </row>
    <row r="1929" spans="1:16" x14ac:dyDescent="0.15">
      <c r="A1929" s="14" t="s">
        <v>29</v>
      </c>
      <c r="B1929" s="8"/>
      <c r="C1929" s="10"/>
      <c r="D1929" s="10">
        <f>1+1</f>
        <v>2</v>
      </c>
      <c r="E1929" s="10"/>
      <c r="F1929" s="30"/>
      <c r="G1929" s="7">
        <f t="shared" si="550"/>
        <v>2</v>
      </c>
      <c r="H1929" s="58">
        <v>44722</v>
      </c>
      <c r="I1929" s="16"/>
      <c r="J1929" s="11"/>
      <c r="K1929" s="12"/>
      <c r="L1929" s="12"/>
      <c r="M1929" s="12"/>
      <c r="N1929" s="31"/>
      <c r="O1929" s="7">
        <f t="shared" si="552"/>
        <v>0</v>
      </c>
      <c r="P1929" s="56"/>
    </row>
    <row r="1930" spans="1:16" x14ac:dyDescent="0.15">
      <c r="A1930" s="14" t="s">
        <v>29</v>
      </c>
      <c r="B1930" s="8"/>
      <c r="C1930" s="10">
        <v>1</v>
      </c>
      <c r="D1930" s="10">
        <v>1</v>
      </c>
      <c r="E1930" s="10"/>
      <c r="F1930" s="30"/>
      <c r="G1930" s="7">
        <f t="shared" si="550"/>
        <v>2</v>
      </c>
      <c r="H1930" s="58">
        <v>44729</v>
      </c>
      <c r="I1930" s="16"/>
      <c r="J1930" s="11"/>
      <c r="K1930" s="12"/>
      <c r="L1930" s="12"/>
      <c r="M1930" s="12"/>
      <c r="N1930" s="31"/>
      <c r="O1930" s="7">
        <f t="shared" si="552"/>
        <v>0</v>
      </c>
      <c r="P1930" s="56"/>
    </row>
    <row r="1931" spans="1:16" x14ac:dyDescent="0.15">
      <c r="A1931" s="14" t="s">
        <v>29</v>
      </c>
      <c r="B1931" s="8">
        <v>1</v>
      </c>
      <c r="C1931" s="10"/>
      <c r="D1931" s="10"/>
      <c r="E1931" s="10"/>
      <c r="F1931" s="30"/>
      <c r="G1931" s="7">
        <f t="shared" si="550"/>
        <v>1</v>
      </c>
      <c r="H1931" s="58">
        <v>44732</v>
      </c>
      <c r="I1931" s="16"/>
      <c r="J1931" s="11"/>
      <c r="K1931" s="12"/>
      <c r="L1931" s="12"/>
      <c r="M1931" s="12"/>
      <c r="N1931" s="31"/>
      <c r="O1931" s="7">
        <v>0</v>
      </c>
      <c r="P1931" s="56"/>
    </row>
    <row r="1932" spans="1:16" ht="14.25" thickBot="1" x14ac:dyDescent="0.2">
      <c r="A1932" s="14" t="s">
        <v>29</v>
      </c>
      <c r="B1932" s="11"/>
      <c r="C1932" s="12"/>
      <c r="D1932" s="12"/>
      <c r="E1932" s="12">
        <v>1</v>
      </c>
      <c r="F1932" s="31"/>
      <c r="G1932" s="7">
        <f t="shared" si="550"/>
        <v>1</v>
      </c>
      <c r="H1932" s="58">
        <v>44736</v>
      </c>
      <c r="I1932" s="16"/>
      <c r="J1932" s="11"/>
      <c r="K1932" s="12"/>
      <c r="L1932" s="12"/>
      <c r="M1932" s="12"/>
      <c r="N1932" s="31"/>
      <c r="O1932" s="7">
        <v>0</v>
      </c>
      <c r="P1932" s="56"/>
    </row>
    <row r="1933" spans="1:16" ht="14.25" thickBot="1" x14ac:dyDescent="0.2">
      <c r="A1933" s="3" t="s">
        <v>11</v>
      </c>
      <c r="B1933" s="23">
        <f>SUM(B1907:B1932)</f>
        <v>2</v>
      </c>
      <c r="C1933" s="4">
        <f>SUM(C1907:C1932)</f>
        <v>8</v>
      </c>
      <c r="D1933" s="4">
        <f>SUM(D1907:D1932)</f>
        <v>6</v>
      </c>
      <c r="E1933" s="6">
        <f>SUM(E1907:E1932)</f>
        <v>9</v>
      </c>
      <c r="F1933" s="32">
        <f>SUM(F1907:F1932)</f>
        <v>4</v>
      </c>
      <c r="G1933" s="5">
        <f>SUM(B1933:F1933)</f>
        <v>29</v>
      </c>
      <c r="I1933" s="3" t="s">
        <v>11</v>
      </c>
      <c r="J1933" s="23">
        <f>SUM(J1907:J1932)</f>
        <v>0</v>
      </c>
      <c r="K1933" s="4">
        <f>SUM(K1907:K1932)</f>
        <v>18</v>
      </c>
      <c r="L1933" s="4">
        <f>SUM(L1907:L1932)</f>
        <v>6</v>
      </c>
      <c r="M1933" s="6">
        <f>SUM(M1907:M1932)</f>
        <v>8</v>
      </c>
      <c r="N1933" s="6">
        <f>SUM(N1907:N1932)</f>
        <v>13</v>
      </c>
      <c r="O1933" s="5">
        <f>SUM(J1933:N1933)</f>
        <v>45</v>
      </c>
    </row>
    <row r="1934" spans="1:16" ht="14.25" thickBot="1" x14ac:dyDescent="0.2">
      <c r="A1934" s="25" t="s">
        <v>12</v>
      </c>
      <c r="B1934" s="63">
        <f>B1906-B1933</f>
        <v>3</v>
      </c>
      <c r="C1934" s="26">
        <f t="shared" ref="C1934:G1934" si="553">C1906-C1933</f>
        <v>5</v>
      </c>
      <c r="D1934" s="71">
        <f t="shared" si="553"/>
        <v>4</v>
      </c>
      <c r="E1934" s="26">
        <f t="shared" si="553"/>
        <v>2</v>
      </c>
      <c r="F1934" s="70">
        <f t="shared" si="553"/>
        <v>3</v>
      </c>
      <c r="G1934" s="27">
        <f t="shared" si="553"/>
        <v>17</v>
      </c>
      <c r="I1934" s="25" t="s">
        <v>12</v>
      </c>
      <c r="J1934" s="63">
        <f>J1906-J1933</f>
        <v>88</v>
      </c>
      <c r="K1934" s="26">
        <f t="shared" ref="K1934:O1934" si="554">K1906-K1933</f>
        <v>24</v>
      </c>
      <c r="L1934" s="71">
        <f t="shared" si="554"/>
        <v>20</v>
      </c>
      <c r="M1934" s="26">
        <f t="shared" si="554"/>
        <v>66</v>
      </c>
      <c r="N1934" s="70">
        <f t="shared" si="554"/>
        <v>41</v>
      </c>
      <c r="O1934" s="27">
        <f t="shared" si="554"/>
        <v>239</v>
      </c>
    </row>
    <row r="1935" spans="1:16" ht="17.25" x14ac:dyDescent="0.2">
      <c r="A1935" s="79" t="s">
        <v>56</v>
      </c>
      <c r="B1935" s="80"/>
      <c r="C1935" s="80"/>
      <c r="D1935" s="80"/>
      <c r="E1935" s="80"/>
      <c r="F1935" s="80"/>
      <c r="G1935" s="80"/>
      <c r="I1935" s="79" t="s">
        <v>56</v>
      </c>
      <c r="J1935" s="80"/>
      <c r="K1935" s="80"/>
      <c r="L1935" s="80"/>
      <c r="M1935" s="80"/>
      <c r="N1935" s="80"/>
      <c r="O1935" s="1"/>
    </row>
    <row r="1936" spans="1:16" ht="21.75" thickBot="1" x14ac:dyDescent="0.25">
      <c r="A1936" s="82" t="s">
        <v>55</v>
      </c>
      <c r="B1936" s="80"/>
      <c r="C1936" s="80"/>
      <c r="D1936" s="80"/>
      <c r="E1936" s="81" t="s">
        <v>53</v>
      </c>
      <c r="F1936" s="80"/>
      <c r="G1936" s="80"/>
      <c r="I1936" s="82" t="s">
        <v>55</v>
      </c>
      <c r="J1936" s="80"/>
      <c r="K1936" s="80"/>
      <c r="L1936" s="80"/>
      <c r="M1936" s="81" t="s">
        <v>54</v>
      </c>
      <c r="N1936" s="80"/>
      <c r="O1936" s="1"/>
    </row>
    <row r="1937" spans="1:16" ht="14.25" thickBot="1" x14ac:dyDescent="0.2">
      <c r="A1937" s="13" t="s">
        <v>0</v>
      </c>
      <c r="B1937" s="228" t="s">
        <v>57</v>
      </c>
      <c r="C1937" s="229"/>
      <c r="D1937" s="229"/>
      <c r="E1937" s="229"/>
      <c r="F1937" s="230"/>
      <c r="G1937" s="231"/>
      <c r="I1937" s="13" t="s">
        <v>0</v>
      </c>
      <c r="J1937" s="232" t="s">
        <v>57</v>
      </c>
      <c r="K1937" s="233"/>
      <c r="L1937" s="233"/>
      <c r="M1937" s="233"/>
      <c r="N1937" s="233"/>
      <c r="O1937" s="234"/>
    </row>
    <row r="1938" spans="1:16" ht="14.25" thickBot="1" x14ac:dyDescent="0.2">
      <c r="A1938" s="3" t="s">
        <v>1</v>
      </c>
      <c r="B1938" s="2" t="s">
        <v>42</v>
      </c>
      <c r="C1938" s="21" t="s">
        <v>43</v>
      </c>
      <c r="D1938" s="21" t="s">
        <v>44</v>
      </c>
      <c r="E1938" s="24" t="s">
        <v>45</v>
      </c>
      <c r="F1938" s="33" t="s">
        <v>46</v>
      </c>
      <c r="G1938" s="3" t="s">
        <v>2</v>
      </c>
      <c r="I1938" s="3" t="s">
        <v>1</v>
      </c>
      <c r="J1938" s="2" t="s">
        <v>42</v>
      </c>
      <c r="K1938" s="21" t="s">
        <v>43</v>
      </c>
      <c r="L1938" s="21" t="s">
        <v>44</v>
      </c>
      <c r="M1938" s="24" t="s">
        <v>45</v>
      </c>
      <c r="N1938" s="33" t="s">
        <v>46</v>
      </c>
      <c r="O1938" s="3" t="s">
        <v>2</v>
      </c>
    </row>
    <row r="1939" spans="1:16" ht="14.25" thickBot="1" x14ac:dyDescent="0.2">
      <c r="A1939" s="72" t="s">
        <v>79</v>
      </c>
      <c r="B1939" s="73">
        <f>B1934</f>
        <v>3</v>
      </c>
      <c r="C1939" s="74">
        <f t="shared" ref="C1939:F1939" si="555">C1934</f>
        <v>5</v>
      </c>
      <c r="D1939" s="107">
        <f t="shared" si="555"/>
        <v>4</v>
      </c>
      <c r="E1939" s="75">
        <f t="shared" si="555"/>
        <v>2</v>
      </c>
      <c r="F1939" s="75">
        <f t="shared" si="555"/>
        <v>3</v>
      </c>
      <c r="G1939" s="76">
        <f t="shared" ref="G1939:G1948" si="556">SUM(B1939:F1939)</f>
        <v>17</v>
      </c>
      <c r="I1939" s="72" t="s">
        <v>79</v>
      </c>
      <c r="J1939" s="73">
        <f>J1934</f>
        <v>88</v>
      </c>
      <c r="K1939" s="74">
        <f t="shared" ref="K1939:N1939" si="557">K1934</f>
        <v>24</v>
      </c>
      <c r="L1939" s="107">
        <f t="shared" si="557"/>
        <v>20</v>
      </c>
      <c r="M1939" s="75">
        <f t="shared" si="557"/>
        <v>66</v>
      </c>
      <c r="N1939" s="75">
        <f t="shared" si="557"/>
        <v>41</v>
      </c>
      <c r="O1939" s="76">
        <f t="shared" ref="O1939:O1948" si="558">SUM(J1939:N1939)</f>
        <v>239</v>
      </c>
    </row>
    <row r="1940" spans="1:16" x14ac:dyDescent="0.15">
      <c r="A1940" s="38" t="s">
        <v>15</v>
      </c>
      <c r="B1940" s="37"/>
      <c r="C1940" s="35"/>
      <c r="D1940" s="35"/>
      <c r="E1940" s="35">
        <v>3</v>
      </c>
      <c r="F1940" s="28">
        <v>3</v>
      </c>
      <c r="G1940" s="7">
        <f t="shared" si="556"/>
        <v>6</v>
      </c>
      <c r="H1940" s="58">
        <v>44744</v>
      </c>
      <c r="I1940" s="38" t="s">
        <v>15</v>
      </c>
      <c r="J1940" s="8"/>
      <c r="K1940" s="10"/>
      <c r="L1940" s="10"/>
      <c r="M1940" s="10"/>
      <c r="N1940" s="30"/>
      <c r="O1940" s="7">
        <f t="shared" si="558"/>
        <v>0</v>
      </c>
    </row>
    <row r="1941" spans="1:16" x14ac:dyDescent="0.15">
      <c r="A1941" s="38" t="s">
        <v>16</v>
      </c>
      <c r="B1941" s="8">
        <v>3</v>
      </c>
      <c r="C1941" s="10"/>
      <c r="D1941" s="10">
        <v>3</v>
      </c>
      <c r="E1941" s="10"/>
      <c r="F1941" s="28"/>
      <c r="G1941" s="9">
        <f t="shared" si="556"/>
        <v>6</v>
      </c>
      <c r="H1941" s="58">
        <v>44749</v>
      </c>
      <c r="I1941" s="38" t="s">
        <v>16</v>
      </c>
      <c r="J1941" s="8"/>
      <c r="K1941" s="10"/>
      <c r="L1941" s="10"/>
      <c r="M1941" s="10"/>
      <c r="N1941" s="28"/>
      <c r="O1941" s="9">
        <f t="shared" si="558"/>
        <v>0</v>
      </c>
    </row>
    <row r="1942" spans="1:16" x14ac:dyDescent="0.15">
      <c r="A1942" s="38" t="s">
        <v>18</v>
      </c>
      <c r="B1942" s="8"/>
      <c r="C1942" s="10">
        <v>3</v>
      </c>
      <c r="D1942" s="10"/>
      <c r="E1942" s="10">
        <v>3</v>
      </c>
      <c r="F1942" s="28"/>
      <c r="G1942" s="9">
        <f t="shared" si="556"/>
        <v>6</v>
      </c>
      <c r="H1942" s="58">
        <v>44779</v>
      </c>
      <c r="I1942" s="38" t="s">
        <v>18</v>
      </c>
      <c r="J1942" s="8"/>
      <c r="K1942" s="10"/>
      <c r="L1942" s="10"/>
      <c r="M1942" s="10"/>
      <c r="N1942" s="28"/>
      <c r="O1942" s="9">
        <f t="shared" ref="O1942" si="559">SUM(J1942:N1942)</f>
        <v>0</v>
      </c>
    </row>
    <row r="1943" spans="1:16" x14ac:dyDescent="0.15">
      <c r="A1943" s="181" t="s">
        <v>1470</v>
      </c>
      <c r="B1943" s="182">
        <v>0</v>
      </c>
      <c r="C1943" s="183">
        <v>0</v>
      </c>
      <c r="D1943" s="183">
        <v>0</v>
      </c>
      <c r="E1943" s="183">
        <v>0</v>
      </c>
      <c r="F1943" s="178">
        <v>0</v>
      </c>
      <c r="G1943" s="184">
        <f t="shared" si="556"/>
        <v>0</v>
      </c>
      <c r="H1943" s="180">
        <v>44797</v>
      </c>
      <c r="I1943" s="15" t="s">
        <v>20</v>
      </c>
      <c r="J1943" s="8"/>
      <c r="K1943" s="10"/>
      <c r="L1943" s="10"/>
      <c r="M1943" s="10"/>
      <c r="N1943" s="28"/>
      <c r="O1943" s="9">
        <f t="shared" si="558"/>
        <v>0</v>
      </c>
    </row>
    <row r="1944" spans="1:16" x14ac:dyDescent="0.15">
      <c r="A1944" s="38" t="s">
        <v>80</v>
      </c>
      <c r="B1944" s="8">
        <v>3</v>
      </c>
      <c r="C1944" s="10"/>
      <c r="D1944" s="10">
        <v>3</v>
      </c>
      <c r="E1944" s="10"/>
      <c r="F1944" s="28">
        <v>5</v>
      </c>
      <c r="G1944" s="9">
        <f t="shared" si="556"/>
        <v>11</v>
      </c>
      <c r="H1944" s="58">
        <v>44832</v>
      </c>
      <c r="I1944" s="15" t="s">
        <v>80</v>
      </c>
      <c r="J1944" s="8"/>
      <c r="K1944" s="10"/>
      <c r="L1944" s="10"/>
      <c r="M1944" s="10"/>
      <c r="N1944" s="28"/>
      <c r="O1944" s="9">
        <f t="shared" si="558"/>
        <v>0</v>
      </c>
    </row>
    <row r="1945" spans="1:16" x14ac:dyDescent="0.15">
      <c r="A1945" s="38" t="s">
        <v>81</v>
      </c>
      <c r="B1945" s="8"/>
      <c r="C1945" s="10"/>
      <c r="D1945" s="10"/>
      <c r="E1945" s="10"/>
      <c r="F1945" s="30"/>
      <c r="G1945" s="7">
        <f t="shared" si="556"/>
        <v>0</v>
      </c>
      <c r="H1945" s="58"/>
      <c r="I1945" s="15" t="s">
        <v>81</v>
      </c>
      <c r="J1945" s="8"/>
      <c r="K1945" s="10"/>
      <c r="L1945" s="10"/>
      <c r="M1945" s="10"/>
      <c r="N1945" s="28"/>
      <c r="O1945" s="9">
        <f t="shared" si="558"/>
        <v>0</v>
      </c>
    </row>
    <row r="1946" spans="1:16" x14ac:dyDescent="0.15">
      <c r="A1946" s="38" t="s">
        <v>82</v>
      </c>
      <c r="B1946" s="8"/>
      <c r="C1946" s="10"/>
      <c r="D1946" s="10"/>
      <c r="E1946" s="10"/>
      <c r="F1946" s="30"/>
      <c r="G1946" s="7">
        <f t="shared" si="556"/>
        <v>0</v>
      </c>
      <c r="H1946" s="58"/>
      <c r="I1946" s="15" t="s">
        <v>82</v>
      </c>
      <c r="J1946" s="8"/>
      <c r="K1946" s="10"/>
      <c r="L1946" s="10"/>
      <c r="M1946" s="10"/>
      <c r="N1946" s="30"/>
      <c r="O1946" s="7">
        <f t="shared" si="558"/>
        <v>0</v>
      </c>
    </row>
    <row r="1947" spans="1:16" x14ac:dyDescent="0.15">
      <c r="A1947" s="195" t="s">
        <v>83</v>
      </c>
      <c r="B1947" s="11"/>
      <c r="C1947" s="100"/>
      <c r="D1947" s="100"/>
      <c r="E1947" s="100"/>
      <c r="F1947" s="101"/>
      <c r="G1947" s="102">
        <f t="shared" si="556"/>
        <v>0</v>
      </c>
      <c r="H1947" s="58"/>
      <c r="I1947" s="15" t="s">
        <v>83</v>
      </c>
      <c r="J1947" s="8"/>
      <c r="K1947" s="10"/>
      <c r="L1947" s="10"/>
      <c r="M1947" s="10"/>
      <c r="N1947" s="30"/>
      <c r="O1947" s="7">
        <f t="shared" si="558"/>
        <v>0</v>
      </c>
    </row>
    <row r="1948" spans="1:16" ht="14.25" thickBot="1" x14ac:dyDescent="0.2">
      <c r="A1948" s="38" t="s">
        <v>159</v>
      </c>
      <c r="B1948" s="11"/>
      <c r="C1948" s="100"/>
      <c r="D1948" s="100"/>
      <c r="E1948" s="100"/>
      <c r="F1948" s="101"/>
      <c r="G1948" s="102">
        <f t="shared" si="556"/>
        <v>0</v>
      </c>
      <c r="H1948" s="58"/>
      <c r="I1948" s="15" t="s">
        <v>87</v>
      </c>
      <c r="J1948" s="11"/>
      <c r="K1948" s="100"/>
      <c r="L1948" s="100"/>
      <c r="M1948" s="100"/>
      <c r="N1948" s="101"/>
      <c r="O1948" s="102">
        <f t="shared" si="558"/>
        <v>0</v>
      </c>
    </row>
    <row r="1949" spans="1:16" ht="14.25" thickBot="1" x14ac:dyDescent="0.2">
      <c r="A1949" s="72" t="s">
        <v>7</v>
      </c>
      <c r="B1949" s="73">
        <f>SUM(B1939:B1948)</f>
        <v>9</v>
      </c>
      <c r="C1949" s="74">
        <f t="shared" ref="C1949:G1949" si="560">SUM(C1939:C1948)</f>
        <v>8</v>
      </c>
      <c r="D1949" s="74">
        <f t="shared" si="560"/>
        <v>10</v>
      </c>
      <c r="E1949" s="74">
        <f t="shared" si="560"/>
        <v>8</v>
      </c>
      <c r="F1949" s="105">
        <f t="shared" si="560"/>
        <v>11</v>
      </c>
      <c r="G1949" s="76">
        <f t="shared" si="560"/>
        <v>46</v>
      </c>
      <c r="I1949" s="72" t="s">
        <v>7</v>
      </c>
      <c r="J1949" s="73">
        <f>SUM(J1939:J1948)</f>
        <v>88</v>
      </c>
      <c r="K1949" s="74">
        <f t="shared" ref="K1949:O1949" si="561">SUM(K1939:K1948)</f>
        <v>24</v>
      </c>
      <c r="L1949" s="74">
        <f t="shared" si="561"/>
        <v>20</v>
      </c>
      <c r="M1949" s="74">
        <f t="shared" si="561"/>
        <v>66</v>
      </c>
      <c r="N1949" s="105">
        <f t="shared" si="561"/>
        <v>41</v>
      </c>
      <c r="O1949" s="76">
        <f t="shared" si="561"/>
        <v>239</v>
      </c>
    </row>
    <row r="1950" spans="1:16" x14ac:dyDescent="0.15">
      <c r="A1950" s="14" t="s">
        <v>29</v>
      </c>
      <c r="B1950" s="8"/>
      <c r="C1950" s="10"/>
      <c r="D1950" s="10"/>
      <c r="E1950" s="10"/>
      <c r="F1950" s="30">
        <v>1</v>
      </c>
      <c r="G1950" s="7">
        <f t="shared" ref="G1950:G1975" si="562">SUM(B1950:F1950)</f>
        <v>1</v>
      </c>
      <c r="H1950" s="58">
        <v>44739</v>
      </c>
      <c r="I1950" s="38" t="s">
        <v>1465</v>
      </c>
      <c r="J1950" s="37"/>
      <c r="K1950" s="35"/>
      <c r="L1950" s="35"/>
      <c r="M1950" s="35">
        <v>3</v>
      </c>
      <c r="N1950" s="28">
        <v>3</v>
      </c>
      <c r="O1950" s="7">
        <f t="shared" ref="O1950:O1951" si="563">SUM(J1950:N1950)</f>
        <v>6</v>
      </c>
      <c r="P1950" s="58">
        <v>44744</v>
      </c>
    </row>
    <row r="1951" spans="1:16" x14ac:dyDescent="0.15">
      <c r="A1951" s="14" t="s">
        <v>29</v>
      </c>
      <c r="B1951" s="8"/>
      <c r="C1951" s="10"/>
      <c r="D1951" s="10">
        <v>1</v>
      </c>
      <c r="E1951" s="10"/>
      <c r="F1951" s="30"/>
      <c r="G1951" s="7">
        <f t="shared" si="562"/>
        <v>1</v>
      </c>
      <c r="H1951" s="58">
        <v>44739</v>
      </c>
      <c r="I1951" s="38" t="s">
        <v>24</v>
      </c>
      <c r="J1951" s="8">
        <v>3</v>
      </c>
      <c r="K1951" s="10"/>
      <c r="L1951" s="10">
        <v>3</v>
      </c>
      <c r="M1951" s="10"/>
      <c r="N1951" s="28"/>
      <c r="O1951" s="9">
        <f t="shared" si="563"/>
        <v>6</v>
      </c>
      <c r="P1951" s="58">
        <v>44749</v>
      </c>
    </row>
    <row r="1952" spans="1:16" x14ac:dyDescent="0.15">
      <c r="A1952" s="14" t="s">
        <v>117</v>
      </c>
      <c r="B1952" s="8"/>
      <c r="C1952" s="10"/>
      <c r="D1952" s="10"/>
      <c r="E1952" s="10">
        <v>1</v>
      </c>
      <c r="F1952" s="30"/>
      <c r="G1952" s="7">
        <f t="shared" si="562"/>
        <v>1</v>
      </c>
      <c r="H1952" s="58">
        <v>44741</v>
      </c>
      <c r="I1952" s="38" t="s">
        <v>1468</v>
      </c>
      <c r="J1952" s="8"/>
      <c r="K1952" s="10"/>
      <c r="L1952" s="10"/>
      <c r="M1952" s="10">
        <v>10</v>
      </c>
      <c r="N1952" s="28"/>
      <c r="O1952" s="9">
        <f t="shared" ref="O1952:O1963" si="564">SUM(J1952:N1952)</f>
        <v>10</v>
      </c>
      <c r="P1952" s="58">
        <v>44768</v>
      </c>
    </row>
    <row r="1953" spans="1:16" x14ac:dyDescent="0.15">
      <c r="A1953" s="14" t="s">
        <v>29</v>
      </c>
      <c r="B1953" s="8">
        <v>1</v>
      </c>
      <c r="C1953" s="10"/>
      <c r="D1953" s="10"/>
      <c r="E1953" s="10"/>
      <c r="F1953" s="30"/>
      <c r="G1953" s="7">
        <f t="shared" si="562"/>
        <v>1</v>
      </c>
      <c r="H1953" s="58">
        <v>44748</v>
      </c>
      <c r="I1953" s="38" t="s">
        <v>24</v>
      </c>
      <c r="J1953" s="8"/>
      <c r="K1953" s="10">
        <v>3</v>
      </c>
      <c r="L1953" s="10"/>
      <c r="M1953" s="10">
        <v>3</v>
      </c>
      <c r="N1953" s="30"/>
      <c r="O1953" s="7">
        <f t="shared" si="564"/>
        <v>6</v>
      </c>
      <c r="P1953" s="58">
        <v>44779</v>
      </c>
    </row>
    <row r="1954" spans="1:16" x14ac:dyDescent="0.15">
      <c r="A1954" s="14" t="s">
        <v>29</v>
      </c>
      <c r="B1954" s="8">
        <v>1</v>
      </c>
      <c r="C1954" s="10">
        <v>1</v>
      </c>
      <c r="D1954" s="10"/>
      <c r="E1954" s="10"/>
      <c r="F1954" s="30"/>
      <c r="G1954" s="7">
        <f t="shared" si="562"/>
        <v>2</v>
      </c>
      <c r="H1954" s="58">
        <v>44753</v>
      </c>
      <c r="I1954" s="38" t="s">
        <v>22</v>
      </c>
      <c r="J1954" s="8"/>
      <c r="K1954" s="10"/>
      <c r="L1954" s="10">
        <v>10</v>
      </c>
      <c r="M1954" s="10"/>
      <c r="N1954" s="28"/>
      <c r="O1954" s="9">
        <f t="shared" si="564"/>
        <v>10</v>
      </c>
      <c r="P1954" s="58">
        <v>44803</v>
      </c>
    </row>
    <row r="1955" spans="1:16" x14ac:dyDescent="0.15">
      <c r="A1955" s="14" t="s">
        <v>117</v>
      </c>
      <c r="B1955" s="8"/>
      <c r="C1955" s="10"/>
      <c r="D1955" s="10">
        <v>1</v>
      </c>
      <c r="E1955" s="10"/>
      <c r="F1955" s="30"/>
      <c r="G1955" s="7">
        <f t="shared" si="562"/>
        <v>1</v>
      </c>
      <c r="H1955" s="58">
        <v>44755</v>
      </c>
      <c r="I1955" s="38" t="s">
        <v>22</v>
      </c>
      <c r="J1955" s="8"/>
      <c r="K1955" s="10"/>
      <c r="L1955" s="10"/>
      <c r="M1955" s="10"/>
      <c r="N1955" s="30">
        <v>10</v>
      </c>
      <c r="O1955" s="7">
        <f t="shared" si="564"/>
        <v>10</v>
      </c>
      <c r="P1955" s="58">
        <v>44824</v>
      </c>
    </row>
    <row r="1956" spans="1:16" x14ac:dyDescent="0.15">
      <c r="A1956" s="14" t="s">
        <v>29</v>
      </c>
      <c r="B1956" s="8"/>
      <c r="C1956" s="10"/>
      <c r="D1956" s="10"/>
      <c r="E1956" s="10"/>
      <c r="F1956" s="30">
        <v>1</v>
      </c>
      <c r="G1956" s="7">
        <f t="shared" si="562"/>
        <v>1</v>
      </c>
      <c r="H1956" s="58">
        <v>44761</v>
      </c>
      <c r="I1956" s="38" t="s">
        <v>24</v>
      </c>
      <c r="J1956" s="8">
        <v>3</v>
      </c>
      <c r="K1956" s="10"/>
      <c r="L1956" s="10">
        <v>3</v>
      </c>
      <c r="M1956" s="10"/>
      <c r="N1956" s="30">
        <v>5</v>
      </c>
      <c r="O1956" s="7">
        <f t="shared" si="564"/>
        <v>11</v>
      </c>
      <c r="P1956" s="58">
        <v>44832</v>
      </c>
    </row>
    <row r="1957" spans="1:16" x14ac:dyDescent="0.15">
      <c r="A1957" s="14" t="s">
        <v>29</v>
      </c>
      <c r="B1957" s="8"/>
      <c r="C1957" s="10"/>
      <c r="D1957" s="10"/>
      <c r="E1957" s="10">
        <v>1</v>
      </c>
      <c r="F1957" s="30"/>
      <c r="G1957" s="7">
        <f t="shared" si="562"/>
        <v>1</v>
      </c>
      <c r="H1957" s="58">
        <v>44763</v>
      </c>
      <c r="I1957" s="14"/>
      <c r="J1957" s="8"/>
      <c r="K1957" s="10"/>
      <c r="L1957" s="10"/>
      <c r="M1957" s="10"/>
      <c r="N1957" s="30"/>
      <c r="O1957" s="7">
        <f t="shared" si="564"/>
        <v>0</v>
      </c>
    </row>
    <row r="1958" spans="1:16" x14ac:dyDescent="0.15">
      <c r="A1958" s="14" t="s">
        <v>29</v>
      </c>
      <c r="B1958" s="8"/>
      <c r="C1958" s="10">
        <v>1</v>
      </c>
      <c r="D1958" s="10"/>
      <c r="E1958" s="10"/>
      <c r="F1958" s="30"/>
      <c r="G1958" s="7">
        <f t="shared" si="562"/>
        <v>1</v>
      </c>
      <c r="H1958" s="58">
        <v>44767</v>
      </c>
      <c r="I1958" s="38"/>
      <c r="J1958" s="8"/>
      <c r="K1958" s="10"/>
      <c r="L1958" s="10"/>
      <c r="M1958" s="10"/>
      <c r="N1958" s="30"/>
      <c r="O1958" s="7">
        <f t="shared" si="564"/>
        <v>0</v>
      </c>
      <c r="P1958" s="56"/>
    </row>
    <row r="1959" spans="1:16" x14ac:dyDescent="0.15">
      <c r="A1959" s="14" t="s">
        <v>29</v>
      </c>
      <c r="B1959" s="11"/>
      <c r="C1959" s="12">
        <v>1</v>
      </c>
      <c r="D1959" s="12"/>
      <c r="E1959" s="12">
        <v>1</v>
      </c>
      <c r="F1959" s="31"/>
      <c r="G1959" s="7">
        <f t="shared" si="562"/>
        <v>2</v>
      </c>
      <c r="H1959" s="58">
        <v>44778</v>
      </c>
      <c r="I1959" s="14"/>
      <c r="J1959" s="11"/>
      <c r="K1959" s="12"/>
      <c r="L1959" s="12"/>
      <c r="M1959" s="12"/>
      <c r="N1959" s="31"/>
      <c r="O1959" s="7">
        <f t="shared" si="564"/>
        <v>0</v>
      </c>
      <c r="P1959" s="56"/>
    </row>
    <row r="1960" spans="1:16" x14ac:dyDescent="0.15">
      <c r="A1960" s="14" t="s">
        <v>29</v>
      </c>
      <c r="B1960" s="11"/>
      <c r="C1960" s="12"/>
      <c r="D1960" s="12"/>
      <c r="E1960" s="12"/>
      <c r="F1960" s="31">
        <v>1</v>
      </c>
      <c r="G1960" s="7">
        <f t="shared" si="562"/>
        <v>1</v>
      </c>
      <c r="H1960" s="58">
        <v>44795</v>
      </c>
      <c r="I1960" s="14"/>
      <c r="J1960" s="8"/>
      <c r="K1960" s="10"/>
      <c r="L1960" s="10"/>
      <c r="M1960" s="10"/>
      <c r="N1960" s="30"/>
      <c r="O1960" s="7">
        <f t="shared" si="564"/>
        <v>0</v>
      </c>
      <c r="P1960" s="56"/>
    </row>
    <row r="1961" spans="1:16" x14ac:dyDescent="0.15">
      <c r="A1961" s="14" t="s">
        <v>29</v>
      </c>
      <c r="B1961" s="8"/>
      <c r="C1961" s="10"/>
      <c r="D1961" s="10"/>
      <c r="E1961" s="10">
        <v>1</v>
      </c>
      <c r="F1961" s="30"/>
      <c r="G1961" s="7">
        <f t="shared" si="562"/>
        <v>1</v>
      </c>
      <c r="H1961" s="58">
        <v>44799</v>
      </c>
      <c r="I1961" s="14"/>
      <c r="J1961" s="8"/>
      <c r="K1961" s="10"/>
      <c r="L1961" s="10"/>
      <c r="M1961" s="10"/>
      <c r="N1961" s="30"/>
      <c r="O1961" s="7">
        <f t="shared" si="564"/>
        <v>0</v>
      </c>
      <c r="P1961" s="56"/>
    </row>
    <row r="1962" spans="1:16" x14ac:dyDescent="0.15">
      <c r="A1962" s="14" t="s">
        <v>29</v>
      </c>
      <c r="B1962" s="8"/>
      <c r="C1962" s="10"/>
      <c r="D1962" s="10">
        <v>1</v>
      </c>
      <c r="E1962" s="10"/>
      <c r="F1962" s="30"/>
      <c r="G1962" s="7">
        <f t="shared" si="562"/>
        <v>1</v>
      </c>
      <c r="H1962" s="58">
        <v>44802</v>
      </c>
      <c r="I1962" s="14"/>
      <c r="J1962" s="8"/>
      <c r="K1962" s="10"/>
      <c r="L1962" s="10"/>
      <c r="M1962" s="10"/>
      <c r="N1962" s="30"/>
      <c r="O1962" s="7">
        <f t="shared" si="564"/>
        <v>0</v>
      </c>
      <c r="P1962" s="56"/>
    </row>
    <row r="1963" spans="1:16" x14ac:dyDescent="0.15">
      <c r="A1963" s="14" t="s">
        <v>117</v>
      </c>
      <c r="B1963" s="8">
        <v>1</v>
      </c>
      <c r="C1963" s="10"/>
      <c r="D1963" s="10"/>
      <c r="E1963" s="10"/>
      <c r="F1963" s="30"/>
      <c r="G1963" s="7">
        <f t="shared" si="562"/>
        <v>1</v>
      </c>
      <c r="H1963" s="58">
        <v>44805</v>
      </c>
      <c r="I1963" s="16"/>
      <c r="J1963" s="8"/>
      <c r="K1963" s="10"/>
      <c r="L1963" s="10"/>
      <c r="M1963" s="10"/>
      <c r="N1963" s="30"/>
      <c r="O1963" s="7">
        <f t="shared" si="564"/>
        <v>0</v>
      </c>
      <c r="P1963" s="56"/>
    </row>
    <row r="1964" spans="1:16" x14ac:dyDescent="0.15">
      <c r="A1964" s="14" t="s">
        <v>696</v>
      </c>
      <c r="B1964" s="8"/>
      <c r="C1964" s="10"/>
      <c r="D1964" s="10"/>
      <c r="E1964" s="10">
        <v>-1</v>
      </c>
      <c r="F1964" s="30"/>
      <c r="G1964" s="7">
        <f t="shared" si="562"/>
        <v>-1</v>
      </c>
      <c r="H1964" s="58">
        <v>44805</v>
      </c>
      <c r="I1964" s="14"/>
      <c r="J1964" s="8"/>
      <c r="K1964" s="10"/>
      <c r="L1964" s="10"/>
      <c r="M1964" s="10"/>
      <c r="N1964" s="30"/>
      <c r="O1964" s="7">
        <f>SUM(J1964:N1964)</f>
        <v>0</v>
      </c>
      <c r="P1964" s="56"/>
    </row>
    <row r="1965" spans="1:16" x14ac:dyDescent="0.15">
      <c r="A1965" s="14" t="s">
        <v>424</v>
      </c>
      <c r="B1965" s="11"/>
      <c r="C1965" s="12"/>
      <c r="D1965" s="12">
        <v>1</v>
      </c>
      <c r="E1965" s="12"/>
      <c r="F1965" s="31"/>
      <c r="G1965" s="7">
        <f t="shared" si="562"/>
        <v>1</v>
      </c>
      <c r="H1965" s="58">
        <v>44812</v>
      </c>
      <c r="I1965" s="16"/>
      <c r="J1965" s="11"/>
      <c r="K1965" s="12"/>
      <c r="L1965" s="12"/>
      <c r="M1965" s="12"/>
      <c r="N1965" s="31"/>
      <c r="O1965" s="7">
        <f t="shared" ref="O1965:O1973" si="565">SUM(J1965:N1965)</f>
        <v>0</v>
      </c>
      <c r="P1965" s="56"/>
    </row>
    <row r="1966" spans="1:16" x14ac:dyDescent="0.15">
      <c r="A1966" s="14" t="s">
        <v>29</v>
      </c>
      <c r="B1966" s="8"/>
      <c r="C1966" s="10"/>
      <c r="D1966" s="10"/>
      <c r="E1966" s="10"/>
      <c r="F1966" s="30">
        <v>1</v>
      </c>
      <c r="G1966" s="7">
        <f t="shared" si="562"/>
        <v>1</v>
      </c>
      <c r="H1966" s="58">
        <v>44813</v>
      </c>
      <c r="I1966" s="16"/>
      <c r="J1966" s="8"/>
      <c r="K1966" s="10"/>
      <c r="L1966" s="10"/>
      <c r="M1966" s="10"/>
      <c r="N1966" s="30"/>
      <c r="O1966" s="7">
        <f t="shared" si="565"/>
        <v>0</v>
      </c>
      <c r="P1966" s="56"/>
    </row>
    <row r="1967" spans="1:16" x14ac:dyDescent="0.15">
      <c r="A1967" s="14" t="s">
        <v>117</v>
      </c>
      <c r="B1967" s="8"/>
      <c r="C1967" s="10"/>
      <c r="D1967" s="10"/>
      <c r="E1967" s="10"/>
      <c r="F1967" s="30">
        <v>1</v>
      </c>
      <c r="G1967" s="7">
        <f t="shared" si="562"/>
        <v>1</v>
      </c>
      <c r="H1967" s="58">
        <v>44831</v>
      </c>
      <c r="I1967" s="14"/>
      <c r="J1967" s="11"/>
      <c r="K1967" s="12"/>
      <c r="L1967" s="12"/>
      <c r="M1967" s="12"/>
      <c r="N1967" s="31"/>
      <c r="O1967" s="7">
        <f t="shared" si="565"/>
        <v>0</v>
      </c>
      <c r="P1967" s="56"/>
    </row>
    <row r="1968" spans="1:16" x14ac:dyDescent="0.15">
      <c r="A1968" s="14" t="s">
        <v>29</v>
      </c>
      <c r="B1968" s="8"/>
      <c r="C1968" s="10"/>
      <c r="D1968" s="10"/>
      <c r="E1968" s="10"/>
      <c r="F1968" s="30">
        <v>1</v>
      </c>
      <c r="G1968" s="7">
        <f t="shared" si="562"/>
        <v>1</v>
      </c>
      <c r="H1968" s="58">
        <v>44831</v>
      </c>
      <c r="I1968" s="14"/>
      <c r="J1968" s="11"/>
      <c r="K1968" s="12"/>
      <c r="L1968" s="12"/>
      <c r="M1968" s="12"/>
      <c r="N1968" s="31"/>
      <c r="O1968" s="7">
        <f t="shared" si="565"/>
        <v>0</v>
      </c>
      <c r="P1968" s="56"/>
    </row>
    <row r="1969" spans="1:16" x14ac:dyDescent="0.15">
      <c r="A1969" s="14" t="s">
        <v>117</v>
      </c>
      <c r="B1969" s="8"/>
      <c r="C1969" s="10"/>
      <c r="D1969" s="10">
        <v>1</v>
      </c>
      <c r="E1969" s="10"/>
      <c r="F1969" s="30"/>
      <c r="G1969" s="7">
        <f t="shared" si="562"/>
        <v>1</v>
      </c>
      <c r="H1969" s="58">
        <v>44834</v>
      </c>
      <c r="I1969" s="14"/>
      <c r="J1969" s="11"/>
      <c r="K1969" s="12"/>
      <c r="L1969" s="12"/>
      <c r="M1969" s="12"/>
      <c r="N1969" s="31"/>
      <c r="O1969" s="7">
        <f t="shared" si="565"/>
        <v>0</v>
      </c>
      <c r="P1969" s="56"/>
    </row>
    <row r="1970" spans="1:16" x14ac:dyDescent="0.15">
      <c r="A1970" s="14" t="s">
        <v>29</v>
      </c>
      <c r="B1970" s="8">
        <v>1</v>
      </c>
      <c r="C1970" s="10"/>
      <c r="D1970" s="10"/>
      <c r="E1970" s="10"/>
      <c r="F1970" s="30"/>
      <c r="G1970" s="7">
        <f t="shared" si="562"/>
        <v>1</v>
      </c>
      <c r="H1970" s="58">
        <v>44845</v>
      </c>
      <c r="I1970" s="16"/>
      <c r="J1970" s="11"/>
      <c r="K1970" s="12"/>
      <c r="L1970" s="12"/>
      <c r="M1970" s="12"/>
      <c r="N1970" s="31"/>
      <c r="O1970" s="7">
        <f t="shared" si="565"/>
        <v>0</v>
      </c>
      <c r="P1970" s="56"/>
    </row>
    <row r="1971" spans="1:16" x14ac:dyDescent="0.15">
      <c r="A1971" s="14"/>
      <c r="B1971" s="11"/>
      <c r="C1971" s="12"/>
      <c r="D1971" s="12"/>
      <c r="E1971" s="12"/>
      <c r="F1971" s="31"/>
      <c r="G1971" s="7">
        <f t="shared" si="562"/>
        <v>0</v>
      </c>
      <c r="H1971" s="58"/>
      <c r="I1971" s="16"/>
      <c r="J1971" s="11"/>
      <c r="K1971" s="12"/>
      <c r="L1971" s="12"/>
      <c r="M1971" s="12"/>
      <c r="N1971" s="31"/>
      <c r="O1971" s="7">
        <f t="shared" si="565"/>
        <v>0</v>
      </c>
      <c r="P1971" s="56"/>
    </row>
    <row r="1972" spans="1:16" x14ac:dyDescent="0.15">
      <c r="A1972" s="14"/>
      <c r="B1972" s="8"/>
      <c r="C1972" s="10"/>
      <c r="D1972" s="10"/>
      <c r="E1972" s="10"/>
      <c r="F1972" s="30"/>
      <c r="G1972" s="7">
        <f t="shared" si="562"/>
        <v>0</v>
      </c>
      <c r="H1972" s="58"/>
      <c r="I1972" s="16"/>
      <c r="J1972" s="11"/>
      <c r="K1972" s="12"/>
      <c r="L1972" s="12"/>
      <c r="M1972" s="12"/>
      <c r="N1972" s="31"/>
      <c r="O1972" s="7">
        <f t="shared" si="565"/>
        <v>0</v>
      </c>
      <c r="P1972" s="56"/>
    </row>
    <row r="1973" spans="1:16" x14ac:dyDescent="0.15">
      <c r="A1973" s="38"/>
      <c r="B1973" s="8"/>
      <c r="C1973" s="10"/>
      <c r="D1973" s="10"/>
      <c r="E1973" s="10"/>
      <c r="F1973" s="30"/>
      <c r="G1973" s="7">
        <f t="shared" si="562"/>
        <v>0</v>
      </c>
      <c r="H1973" s="58"/>
      <c r="I1973" s="16"/>
      <c r="J1973" s="11"/>
      <c r="K1973" s="12"/>
      <c r="L1973" s="12"/>
      <c r="M1973" s="12"/>
      <c r="N1973" s="31"/>
      <c r="O1973" s="7">
        <f t="shared" si="565"/>
        <v>0</v>
      </c>
      <c r="P1973" s="56"/>
    </row>
    <row r="1974" spans="1:16" x14ac:dyDescent="0.15">
      <c r="A1974" s="14"/>
      <c r="B1974" s="8"/>
      <c r="C1974" s="10"/>
      <c r="D1974" s="10"/>
      <c r="E1974" s="10"/>
      <c r="F1974" s="30"/>
      <c r="G1974" s="7">
        <f t="shared" si="562"/>
        <v>0</v>
      </c>
      <c r="H1974" s="58"/>
      <c r="I1974" s="16"/>
      <c r="J1974" s="11"/>
      <c r="K1974" s="12"/>
      <c r="L1974" s="12"/>
      <c r="M1974" s="12"/>
      <c r="N1974" s="31"/>
      <c r="O1974" s="7">
        <v>0</v>
      </c>
      <c r="P1974" s="56"/>
    </row>
    <row r="1975" spans="1:16" ht="14.25" thickBot="1" x14ac:dyDescent="0.2">
      <c r="A1975" s="51"/>
      <c r="B1975" s="11"/>
      <c r="C1975" s="12"/>
      <c r="D1975" s="12"/>
      <c r="E1975" s="12"/>
      <c r="F1975" s="31"/>
      <c r="G1975" s="7">
        <f t="shared" si="562"/>
        <v>0</v>
      </c>
      <c r="H1975" s="58"/>
      <c r="I1975" s="16"/>
      <c r="J1975" s="11"/>
      <c r="K1975" s="12"/>
      <c r="L1975" s="12"/>
      <c r="M1975" s="12"/>
      <c r="N1975" s="31"/>
      <c r="O1975" s="7">
        <v>0</v>
      </c>
      <c r="P1975" s="56"/>
    </row>
    <row r="1976" spans="1:16" ht="14.25" thickBot="1" x14ac:dyDescent="0.2">
      <c r="A1976" s="3" t="s">
        <v>11</v>
      </c>
      <c r="B1976" s="23">
        <f>SUM(B1950:B1975)</f>
        <v>4</v>
      </c>
      <c r="C1976" s="4">
        <f>SUM(C1950:C1975)</f>
        <v>3</v>
      </c>
      <c r="D1976" s="4">
        <f>SUM(D1950:D1975)</f>
        <v>5</v>
      </c>
      <c r="E1976" s="6">
        <f>SUM(E1950:E1975)</f>
        <v>3</v>
      </c>
      <c r="F1976" s="32">
        <f>SUM(F1950:F1975)</f>
        <v>6</v>
      </c>
      <c r="G1976" s="5">
        <f>SUM(B1976:F1976)</f>
        <v>21</v>
      </c>
      <c r="I1976" s="3" t="s">
        <v>11</v>
      </c>
      <c r="J1976" s="23">
        <f>SUM(J1950:J1975)</f>
        <v>6</v>
      </c>
      <c r="K1976" s="4">
        <f>SUM(K1950:K1975)</f>
        <v>3</v>
      </c>
      <c r="L1976" s="4">
        <f>SUM(L1950:L1975)</f>
        <v>16</v>
      </c>
      <c r="M1976" s="6">
        <f>SUM(M1950:M1975)</f>
        <v>16</v>
      </c>
      <c r="N1976" s="6">
        <f>SUM(N1950:N1975)</f>
        <v>18</v>
      </c>
      <c r="O1976" s="5">
        <f>SUM(J1976:N1976)</f>
        <v>59</v>
      </c>
    </row>
    <row r="1977" spans="1:16" ht="14.25" thickBot="1" x14ac:dyDescent="0.2">
      <c r="A1977" s="25" t="s">
        <v>12</v>
      </c>
      <c r="B1977" s="63">
        <f>B1949-B1976</f>
        <v>5</v>
      </c>
      <c r="C1977" s="26">
        <f t="shared" ref="C1977:G1977" si="566">C1949-C1976</f>
        <v>5</v>
      </c>
      <c r="D1977" s="71">
        <f t="shared" si="566"/>
        <v>5</v>
      </c>
      <c r="E1977" s="26">
        <f t="shared" si="566"/>
        <v>5</v>
      </c>
      <c r="F1977" s="70">
        <f t="shared" si="566"/>
        <v>5</v>
      </c>
      <c r="G1977" s="27">
        <f t="shared" si="566"/>
        <v>25</v>
      </c>
      <c r="I1977" s="25" t="s">
        <v>12</v>
      </c>
      <c r="J1977" s="63">
        <f>J1949-J1976</f>
        <v>82</v>
      </c>
      <c r="K1977" s="26">
        <f t="shared" ref="K1977:O1977" si="567">K1949-K1976</f>
        <v>21</v>
      </c>
      <c r="L1977" s="71">
        <f t="shared" si="567"/>
        <v>4</v>
      </c>
      <c r="M1977" s="26">
        <f t="shared" si="567"/>
        <v>50</v>
      </c>
      <c r="N1977" s="70">
        <f t="shared" si="567"/>
        <v>23</v>
      </c>
      <c r="O1977" s="27">
        <f t="shared" si="567"/>
        <v>180</v>
      </c>
    </row>
    <row r="1978" spans="1:16" x14ac:dyDescent="0.15">
      <c r="A1978" s="213"/>
      <c r="B1978" s="214"/>
      <c r="C1978" s="214"/>
      <c r="D1978" s="214"/>
      <c r="E1978" s="214"/>
      <c r="F1978" s="214"/>
      <c r="G1978" s="214"/>
      <c r="I1978" s="213"/>
      <c r="J1978" s="214"/>
      <c r="K1978" s="214"/>
      <c r="L1978" s="214"/>
      <c r="M1978" s="214"/>
      <c r="N1978" s="214"/>
      <c r="O1978" s="214"/>
    </row>
    <row r="1979" spans="1:16" ht="21.75" thickBot="1" x14ac:dyDescent="0.25">
      <c r="A1979" s="82" t="s">
        <v>55</v>
      </c>
      <c r="B1979" s="80"/>
      <c r="C1979" s="80"/>
      <c r="D1979" s="80"/>
      <c r="E1979" s="81" t="s">
        <v>53</v>
      </c>
      <c r="F1979" s="80"/>
      <c r="G1979" s="80"/>
      <c r="J1979">
        <v>249</v>
      </c>
      <c r="K1979">
        <v>307</v>
      </c>
      <c r="L1979">
        <v>295</v>
      </c>
      <c r="M1979">
        <v>241</v>
      </c>
      <c r="N1979">
        <v>236</v>
      </c>
      <c r="O1979">
        <f>SUM(J1979:N1979)</f>
        <v>1328</v>
      </c>
    </row>
    <row r="1980" spans="1:16" ht="14.25" thickBot="1" x14ac:dyDescent="0.2">
      <c r="A1980" s="13" t="s">
        <v>0</v>
      </c>
      <c r="B1980" s="232" t="s">
        <v>57</v>
      </c>
      <c r="C1980" s="233"/>
      <c r="D1980" s="233"/>
      <c r="E1980" s="233"/>
      <c r="F1980" s="233"/>
      <c r="G1980" s="234"/>
      <c r="I1980" s="13" t="s">
        <v>0</v>
      </c>
      <c r="J1980" s="232" t="s">
        <v>57</v>
      </c>
      <c r="K1980" s="233"/>
      <c r="L1980" s="233"/>
      <c r="M1980" s="233"/>
      <c r="N1980" s="233"/>
      <c r="O1980" s="234"/>
    </row>
    <row r="1981" spans="1:16" ht="14.25" thickBot="1" x14ac:dyDescent="0.2">
      <c r="A1981" s="3" t="s">
        <v>1</v>
      </c>
      <c r="B1981" s="2" t="s">
        <v>42</v>
      </c>
      <c r="C1981" s="21" t="s">
        <v>43</v>
      </c>
      <c r="D1981" s="21" t="s">
        <v>44</v>
      </c>
      <c r="E1981" s="24" t="s">
        <v>45</v>
      </c>
      <c r="F1981" s="33" t="s">
        <v>46</v>
      </c>
      <c r="G1981" s="3" t="s">
        <v>2</v>
      </c>
      <c r="I1981" s="3" t="s">
        <v>1</v>
      </c>
      <c r="J1981" s="2" t="s">
        <v>42</v>
      </c>
      <c r="K1981" s="21" t="s">
        <v>43</v>
      </c>
      <c r="L1981" s="21" t="s">
        <v>44</v>
      </c>
      <c r="M1981" s="24" t="s">
        <v>45</v>
      </c>
      <c r="N1981" s="33" t="s">
        <v>46</v>
      </c>
      <c r="O1981" s="3" t="s">
        <v>2</v>
      </c>
    </row>
    <row r="1982" spans="1:16" ht="14.25" thickBot="1" x14ac:dyDescent="0.2">
      <c r="A1982" s="72" t="s">
        <v>79</v>
      </c>
      <c r="B1982" s="73">
        <f>B1976</f>
        <v>4</v>
      </c>
      <c r="C1982" s="74">
        <f t="shared" ref="C1982:F1982" si="568">C1976</f>
        <v>3</v>
      </c>
      <c r="D1982" s="107">
        <f t="shared" si="568"/>
        <v>5</v>
      </c>
      <c r="E1982" s="75">
        <f t="shared" si="568"/>
        <v>3</v>
      </c>
      <c r="F1982" s="75">
        <f t="shared" si="568"/>
        <v>6</v>
      </c>
      <c r="G1982" s="76">
        <f t="shared" ref="G1982:G1991" si="569">SUM(B1982:F1982)</f>
        <v>21</v>
      </c>
      <c r="I1982" s="72" t="s">
        <v>79</v>
      </c>
      <c r="J1982" s="73">
        <f>J1977</f>
        <v>82</v>
      </c>
      <c r="K1982" s="74">
        <f t="shared" ref="K1982:O1982" si="570">K1977</f>
        <v>21</v>
      </c>
      <c r="L1982" s="107">
        <f t="shared" si="570"/>
        <v>4</v>
      </c>
      <c r="M1982" s="75">
        <f t="shared" si="570"/>
        <v>50</v>
      </c>
      <c r="N1982" s="75">
        <f t="shared" si="570"/>
        <v>23</v>
      </c>
      <c r="O1982" s="76">
        <f t="shared" si="570"/>
        <v>180</v>
      </c>
    </row>
    <row r="1983" spans="1:16" x14ac:dyDescent="0.15">
      <c r="A1983" s="38" t="s">
        <v>1474</v>
      </c>
      <c r="B1983" s="37">
        <v>1</v>
      </c>
      <c r="C1983" s="35">
        <v>1</v>
      </c>
      <c r="D1983" s="35"/>
      <c r="E1983" s="35">
        <v>1</v>
      </c>
      <c r="F1983" s="28">
        <v>1</v>
      </c>
      <c r="G1983" s="7">
        <f t="shared" si="569"/>
        <v>4</v>
      </c>
      <c r="H1983" s="57">
        <v>44825</v>
      </c>
      <c r="I1983" s="38" t="s">
        <v>15</v>
      </c>
      <c r="J1983" s="8"/>
      <c r="K1983" s="10"/>
      <c r="L1983" s="10"/>
      <c r="M1983" s="10"/>
      <c r="N1983" s="30"/>
      <c r="O1983" s="7">
        <f t="shared" ref="O1983:O1991" si="571">SUM(J1983:N1983)</f>
        <v>0</v>
      </c>
    </row>
    <row r="1984" spans="1:16" x14ac:dyDescent="0.15">
      <c r="A1984" s="38" t="s">
        <v>16</v>
      </c>
      <c r="B1984" s="8"/>
      <c r="C1984" s="10"/>
      <c r="D1984" s="10"/>
      <c r="E1984" s="10">
        <v>3</v>
      </c>
      <c r="F1984" s="28"/>
      <c r="G1984" s="9">
        <f t="shared" si="569"/>
        <v>3</v>
      </c>
      <c r="H1984" s="58">
        <v>44861</v>
      </c>
      <c r="I1984" s="15" t="s">
        <v>1475</v>
      </c>
      <c r="J1984" s="8">
        <v>-1</v>
      </c>
      <c r="K1984" s="10">
        <v>-1</v>
      </c>
      <c r="L1984" s="10"/>
      <c r="M1984" s="10">
        <v>-1</v>
      </c>
      <c r="N1984" s="28">
        <v>-1</v>
      </c>
      <c r="O1984" s="9">
        <f t="shared" si="571"/>
        <v>-4</v>
      </c>
      <c r="P1984" s="57">
        <v>44825</v>
      </c>
    </row>
    <row r="1985" spans="1:16" x14ac:dyDescent="0.15">
      <c r="A1985" s="38" t="s">
        <v>18</v>
      </c>
      <c r="B1985" s="8"/>
      <c r="C1985" s="10"/>
      <c r="D1985" s="10"/>
      <c r="E1985" s="10">
        <v>3</v>
      </c>
      <c r="F1985" s="28"/>
      <c r="G1985" s="9">
        <f t="shared" si="569"/>
        <v>3</v>
      </c>
      <c r="H1985" s="58">
        <v>44874</v>
      </c>
      <c r="I1985" s="38" t="s">
        <v>18</v>
      </c>
      <c r="J1985" s="8">
        <v>69</v>
      </c>
      <c r="K1985" s="10">
        <v>169</v>
      </c>
      <c r="L1985" s="10">
        <v>160</v>
      </c>
      <c r="M1985" s="10">
        <v>99</v>
      </c>
      <c r="N1985" s="28">
        <v>99</v>
      </c>
      <c r="O1985" s="9">
        <f t="shared" si="571"/>
        <v>596</v>
      </c>
      <c r="P1985" s="58" t="s">
        <v>1481</v>
      </c>
    </row>
    <row r="1986" spans="1:16" x14ac:dyDescent="0.15">
      <c r="A1986" s="38" t="s">
        <v>20</v>
      </c>
      <c r="B1986" s="8">
        <v>3</v>
      </c>
      <c r="C1986" s="10">
        <v>3</v>
      </c>
      <c r="D1986" s="10">
        <v>3</v>
      </c>
      <c r="E1986" s="10"/>
      <c r="F1986" s="28"/>
      <c r="G1986" s="9">
        <f t="shared" si="569"/>
        <v>9</v>
      </c>
      <c r="H1986" s="58">
        <v>44875</v>
      </c>
      <c r="I1986" s="15" t="s">
        <v>1478</v>
      </c>
      <c r="J1986" s="8">
        <v>-5</v>
      </c>
      <c r="K1986" s="10">
        <v>-2</v>
      </c>
      <c r="L1986" s="10">
        <v>-3</v>
      </c>
      <c r="M1986" s="10"/>
      <c r="N1986" s="28">
        <v>-2</v>
      </c>
      <c r="O1986" s="9">
        <f t="shared" si="571"/>
        <v>-12</v>
      </c>
      <c r="P1986" s="56"/>
    </row>
    <row r="1987" spans="1:16" x14ac:dyDescent="0.15">
      <c r="A1987" s="38" t="s">
        <v>80</v>
      </c>
      <c r="B1987" s="8"/>
      <c r="C1987" s="10"/>
      <c r="D1987" s="10"/>
      <c r="E1987" s="10"/>
      <c r="F1987" s="28">
        <v>5</v>
      </c>
      <c r="G1987" s="9">
        <f t="shared" si="569"/>
        <v>5</v>
      </c>
      <c r="H1987" s="58">
        <v>44884</v>
      </c>
      <c r="I1987" s="15" t="s">
        <v>80</v>
      </c>
      <c r="J1987" s="8"/>
      <c r="K1987" s="10"/>
      <c r="L1987" s="10"/>
      <c r="M1987" s="10"/>
      <c r="N1987" s="28"/>
      <c r="O1987" s="9">
        <f t="shared" si="571"/>
        <v>0</v>
      </c>
    </row>
    <row r="1988" spans="1:16" x14ac:dyDescent="0.15">
      <c r="A1988" s="38" t="s">
        <v>81</v>
      </c>
      <c r="B1988" s="8"/>
      <c r="C1988" s="10">
        <v>3</v>
      </c>
      <c r="D1988" s="10"/>
      <c r="E1988" s="10">
        <v>3</v>
      </c>
      <c r="F1988" s="30"/>
      <c r="G1988" s="7">
        <f t="shared" si="569"/>
        <v>6</v>
      </c>
      <c r="H1988" s="58">
        <v>44898</v>
      </c>
      <c r="I1988" s="15" t="s">
        <v>19</v>
      </c>
      <c r="J1988" s="8">
        <v>1</v>
      </c>
      <c r="K1988" s="10">
        <v>4</v>
      </c>
      <c r="L1988" s="10">
        <v>9</v>
      </c>
      <c r="M1988" s="10">
        <v>5</v>
      </c>
      <c r="N1988" s="28">
        <v>12</v>
      </c>
      <c r="O1988" s="9">
        <f t="shared" si="571"/>
        <v>31</v>
      </c>
      <c r="P1988" s="58">
        <v>44912</v>
      </c>
    </row>
    <row r="1989" spans="1:16" x14ac:dyDescent="0.15">
      <c r="A1989" s="195" t="s">
        <v>17</v>
      </c>
      <c r="B1989" s="8">
        <v>1</v>
      </c>
      <c r="C1989" s="10">
        <v>2</v>
      </c>
      <c r="D1989" s="10"/>
      <c r="E1989" s="10">
        <v>4</v>
      </c>
      <c r="F1989" s="30"/>
      <c r="G1989" s="7">
        <f t="shared" si="569"/>
        <v>7</v>
      </c>
      <c r="H1989" s="57">
        <v>44904</v>
      </c>
      <c r="I1989" s="15" t="s">
        <v>82</v>
      </c>
      <c r="J1989" s="8"/>
      <c r="K1989" s="10"/>
      <c r="L1989" s="10"/>
      <c r="M1989" s="10"/>
      <c r="N1989" s="30"/>
      <c r="O1989" s="7">
        <f t="shared" si="571"/>
        <v>0</v>
      </c>
    </row>
    <row r="1990" spans="1:16" x14ac:dyDescent="0.15">
      <c r="A1990" s="38" t="s">
        <v>83</v>
      </c>
      <c r="B1990" s="11">
        <v>3</v>
      </c>
      <c r="C1990" s="100"/>
      <c r="D1990" s="100"/>
      <c r="E1990" s="100"/>
      <c r="F1990" s="101"/>
      <c r="G1990" s="102">
        <f t="shared" si="569"/>
        <v>3</v>
      </c>
      <c r="H1990" s="58">
        <v>44918</v>
      </c>
      <c r="I1990" s="15" t="s">
        <v>83</v>
      </c>
      <c r="J1990" s="8"/>
      <c r="K1990" s="10"/>
      <c r="L1990" s="10"/>
      <c r="M1990" s="10"/>
      <c r="N1990" s="30"/>
      <c r="O1990" s="7">
        <f t="shared" si="571"/>
        <v>0</v>
      </c>
    </row>
    <row r="1991" spans="1:16" ht="14.25" thickBot="1" x14ac:dyDescent="0.2">
      <c r="A1991" s="38" t="s">
        <v>159</v>
      </c>
      <c r="B1991" s="11"/>
      <c r="C1991" s="100"/>
      <c r="D1991" s="100"/>
      <c r="E1991" s="100"/>
      <c r="F1991" s="101"/>
      <c r="G1991" s="102">
        <f t="shared" si="569"/>
        <v>0</v>
      </c>
      <c r="H1991" s="57"/>
      <c r="I1991" s="15" t="s">
        <v>87</v>
      </c>
      <c r="J1991" s="11"/>
      <c r="K1991" s="100"/>
      <c r="L1991" s="100"/>
      <c r="M1991" s="100"/>
      <c r="N1991" s="101"/>
      <c r="O1991" s="102">
        <f t="shared" si="571"/>
        <v>0</v>
      </c>
    </row>
    <row r="1992" spans="1:16" ht="14.25" thickBot="1" x14ac:dyDescent="0.2">
      <c r="A1992" s="72" t="s">
        <v>7</v>
      </c>
      <c r="B1992" s="73">
        <f>SUM(B1982:B1991)</f>
        <v>12</v>
      </c>
      <c r="C1992" s="74">
        <f t="shared" ref="C1992:G1992" si="572">SUM(C1982:C1991)</f>
        <v>12</v>
      </c>
      <c r="D1992" s="74">
        <f t="shared" si="572"/>
        <v>8</v>
      </c>
      <c r="E1992" s="74">
        <f t="shared" si="572"/>
        <v>17</v>
      </c>
      <c r="F1992" s="105">
        <f t="shared" si="572"/>
        <v>12</v>
      </c>
      <c r="G1992" s="76">
        <f t="shared" si="572"/>
        <v>61</v>
      </c>
      <c r="I1992" s="72" t="s">
        <v>7</v>
      </c>
      <c r="J1992" s="73">
        <f>SUM(J1982:J1991)</f>
        <v>146</v>
      </c>
      <c r="K1992" s="74">
        <f t="shared" ref="K1992:O1992" si="573">SUM(K1982:K1991)</f>
        <v>191</v>
      </c>
      <c r="L1992" s="74">
        <f t="shared" si="573"/>
        <v>170</v>
      </c>
      <c r="M1992" s="74">
        <f t="shared" si="573"/>
        <v>153</v>
      </c>
      <c r="N1992" s="105">
        <f t="shared" si="573"/>
        <v>131</v>
      </c>
      <c r="O1992" s="76">
        <f t="shared" si="573"/>
        <v>791</v>
      </c>
    </row>
    <row r="1993" spans="1:16" x14ac:dyDescent="0.15">
      <c r="A1993" s="14" t="s">
        <v>29</v>
      </c>
      <c r="B1993" s="8"/>
      <c r="C1993" s="10"/>
      <c r="D1993" s="10"/>
      <c r="E1993" s="10">
        <v>1</v>
      </c>
      <c r="F1993" s="30"/>
      <c r="G1993" s="7">
        <f t="shared" ref="G1993:G2018" si="574">SUM(B1993:F1993)</f>
        <v>1</v>
      </c>
      <c r="H1993" s="57">
        <v>44851</v>
      </c>
      <c r="I1993" s="38" t="s">
        <v>24</v>
      </c>
      <c r="J1993" s="37"/>
      <c r="K1993" s="35"/>
      <c r="L1993" s="35"/>
      <c r="M1993" s="35">
        <v>3</v>
      </c>
      <c r="N1993" s="28"/>
      <c r="O1993" s="7">
        <f t="shared" ref="O1993:O2006" si="575">SUM(J1993:N1993)</f>
        <v>3</v>
      </c>
      <c r="P1993" s="58">
        <v>44861</v>
      </c>
    </row>
    <row r="1994" spans="1:16" x14ac:dyDescent="0.15">
      <c r="A1994" s="14" t="s">
        <v>1487</v>
      </c>
      <c r="B1994" s="8"/>
      <c r="C1994" s="10"/>
      <c r="D1994" s="10"/>
      <c r="E1994" s="10">
        <v>1</v>
      </c>
      <c r="F1994" s="30">
        <v>1</v>
      </c>
      <c r="G1994" s="7">
        <f t="shared" si="574"/>
        <v>2</v>
      </c>
      <c r="H1994" s="58">
        <v>44873</v>
      </c>
      <c r="I1994" s="38" t="s">
        <v>24</v>
      </c>
      <c r="J1994" s="8"/>
      <c r="K1994" s="10"/>
      <c r="L1994" s="10"/>
      <c r="M1994" s="10">
        <v>3</v>
      </c>
      <c r="N1994" s="28"/>
      <c r="O1994" s="9">
        <f t="shared" si="575"/>
        <v>3</v>
      </c>
      <c r="P1994" s="58">
        <v>44874</v>
      </c>
    </row>
    <row r="1995" spans="1:16" x14ac:dyDescent="0.15">
      <c r="A1995" s="14" t="s">
        <v>1490</v>
      </c>
      <c r="B1995" s="8">
        <v>1</v>
      </c>
      <c r="C1995" s="10"/>
      <c r="D1995" s="10"/>
      <c r="E1995" s="10"/>
      <c r="F1995" s="30"/>
      <c r="G1995" s="7">
        <f t="shared" si="574"/>
        <v>1</v>
      </c>
      <c r="H1995" s="58">
        <v>44874</v>
      </c>
      <c r="I1995" s="38" t="s">
        <v>24</v>
      </c>
      <c r="J1995" s="8">
        <v>3</v>
      </c>
      <c r="K1995" s="10">
        <v>3</v>
      </c>
      <c r="L1995" s="10">
        <v>3</v>
      </c>
      <c r="M1995" s="10"/>
      <c r="N1995" s="28"/>
      <c r="O1995" s="9">
        <f t="shared" si="575"/>
        <v>9</v>
      </c>
      <c r="P1995" s="58">
        <v>44875</v>
      </c>
    </row>
    <row r="1996" spans="1:16" x14ac:dyDescent="0.15">
      <c r="A1996" s="14" t="s">
        <v>1492</v>
      </c>
      <c r="B1996" s="8"/>
      <c r="C1996" s="10">
        <v>1</v>
      </c>
      <c r="D1996" s="10"/>
      <c r="E1996" s="10"/>
      <c r="F1996" s="30"/>
      <c r="G1996" s="7">
        <f t="shared" si="574"/>
        <v>1</v>
      </c>
      <c r="H1996" s="58">
        <v>44875</v>
      </c>
      <c r="I1996" s="38" t="s">
        <v>24</v>
      </c>
      <c r="J1996" s="8"/>
      <c r="K1996" s="10"/>
      <c r="L1996" s="10"/>
      <c r="M1996" s="10"/>
      <c r="N1996" s="30">
        <v>5</v>
      </c>
      <c r="O1996" s="7">
        <f t="shared" si="575"/>
        <v>5</v>
      </c>
      <c r="P1996" s="58">
        <v>44884</v>
      </c>
    </row>
    <row r="1997" spans="1:16" x14ac:dyDescent="0.15">
      <c r="A1997" s="14" t="s">
        <v>1495</v>
      </c>
      <c r="B1997" s="8"/>
      <c r="C1997" s="10"/>
      <c r="D1997" s="10"/>
      <c r="E1997" s="10">
        <v>1</v>
      </c>
      <c r="F1997" s="30"/>
      <c r="G1997" s="7">
        <f t="shared" si="574"/>
        <v>1</v>
      </c>
      <c r="H1997" s="58">
        <v>44876</v>
      </c>
      <c r="I1997" s="38" t="s">
        <v>24</v>
      </c>
      <c r="J1997" s="8"/>
      <c r="K1997" s="10">
        <v>3</v>
      </c>
      <c r="L1997" s="10"/>
      <c r="M1997" s="10">
        <v>3</v>
      </c>
      <c r="N1997" s="28"/>
      <c r="O1997" s="9">
        <f t="shared" si="575"/>
        <v>6</v>
      </c>
      <c r="P1997" s="58">
        <v>44898</v>
      </c>
    </row>
    <row r="1998" spans="1:16" x14ac:dyDescent="0.15">
      <c r="A1998" s="14" t="s">
        <v>1498</v>
      </c>
      <c r="B1998" s="8"/>
      <c r="C1998" s="10"/>
      <c r="D1998" s="10"/>
      <c r="E1998" s="10"/>
      <c r="F1998" s="30">
        <v>1</v>
      </c>
      <c r="G1998" s="7">
        <f t="shared" si="574"/>
        <v>1</v>
      </c>
      <c r="H1998" s="58">
        <v>44879</v>
      </c>
      <c r="I1998" s="38" t="s">
        <v>24</v>
      </c>
      <c r="J1998" s="8">
        <v>3</v>
      </c>
      <c r="K1998" s="10"/>
      <c r="L1998" s="10"/>
      <c r="M1998" s="10"/>
      <c r="N1998" s="30"/>
      <c r="O1998" s="7">
        <f t="shared" si="575"/>
        <v>3</v>
      </c>
      <c r="P1998" s="58">
        <v>44918</v>
      </c>
    </row>
    <row r="1999" spans="1:16" x14ac:dyDescent="0.15">
      <c r="A1999" s="14" t="s">
        <v>1501</v>
      </c>
      <c r="B1999" s="8"/>
      <c r="C1999" s="10"/>
      <c r="D1999" s="10"/>
      <c r="E1999" s="10"/>
      <c r="F1999" s="30">
        <v>1</v>
      </c>
      <c r="G1999" s="7">
        <f t="shared" si="574"/>
        <v>1</v>
      </c>
      <c r="H1999" s="58">
        <v>44880</v>
      </c>
      <c r="I1999" s="14"/>
      <c r="J1999" s="8"/>
      <c r="K1999" s="10"/>
      <c r="L1999" s="10"/>
      <c r="M1999" s="10"/>
      <c r="N1999" s="30"/>
      <c r="O1999" s="7">
        <f t="shared" si="575"/>
        <v>0</v>
      </c>
    </row>
    <row r="2000" spans="1:16" x14ac:dyDescent="0.15">
      <c r="A2000" s="14" t="s">
        <v>1502</v>
      </c>
      <c r="B2000" s="8"/>
      <c r="C2000" s="10"/>
      <c r="D2000" s="10"/>
      <c r="E2000" s="10">
        <v>2</v>
      </c>
      <c r="F2000" s="30"/>
      <c r="G2000" s="7">
        <f t="shared" si="574"/>
        <v>2</v>
      </c>
      <c r="H2000" s="58">
        <v>44881</v>
      </c>
      <c r="I2000" s="14"/>
      <c r="J2000" s="8"/>
      <c r="K2000" s="10"/>
      <c r="L2000" s="10"/>
      <c r="M2000" s="10"/>
      <c r="N2000" s="30"/>
      <c r="O2000" s="7">
        <f t="shared" si="575"/>
        <v>0</v>
      </c>
    </row>
    <row r="2001" spans="1:15" x14ac:dyDescent="0.15">
      <c r="A2001" s="14" t="s">
        <v>1505</v>
      </c>
      <c r="B2001" s="8"/>
      <c r="C2001" s="10"/>
      <c r="D2001" s="10"/>
      <c r="E2001" s="10"/>
      <c r="F2001" s="30">
        <v>3</v>
      </c>
      <c r="G2001" s="7">
        <f t="shared" si="574"/>
        <v>3</v>
      </c>
      <c r="H2001" s="58">
        <v>44882</v>
      </c>
      <c r="I2001" s="38"/>
      <c r="J2001" s="8"/>
      <c r="K2001" s="10"/>
      <c r="L2001" s="10"/>
      <c r="M2001" s="10"/>
      <c r="N2001" s="30"/>
      <c r="O2001" s="7">
        <f t="shared" si="575"/>
        <v>0</v>
      </c>
    </row>
    <row r="2002" spans="1:15" x14ac:dyDescent="0.15">
      <c r="A2002" s="14" t="s">
        <v>1510</v>
      </c>
      <c r="B2002" s="11"/>
      <c r="C2002" s="12"/>
      <c r="D2002" s="12">
        <v>1</v>
      </c>
      <c r="E2002" s="12"/>
      <c r="F2002" s="31"/>
      <c r="G2002" s="7">
        <f t="shared" si="574"/>
        <v>1</v>
      </c>
      <c r="H2002" s="58">
        <v>44887</v>
      </c>
      <c r="I2002" s="14"/>
      <c r="J2002" s="11"/>
      <c r="K2002" s="12"/>
      <c r="L2002" s="12"/>
      <c r="M2002" s="12"/>
      <c r="N2002" s="31"/>
      <c r="O2002" s="7">
        <f t="shared" si="575"/>
        <v>0</v>
      </c>
    </row>
    <row r="2003" spans="1:15" x14ac:dyDescent="0.15">
      <c r="A2003" s="14" t="s">
        <v>1512</v>
      </c>
      <c r="B2003" s="11"/>
      <c r="C2003" s="12">
        <v>1</v>
      </c>
      <c r="D2003" s="12"/>
      <c r="E2003" s="12"/>
      <c r="F2003" s="31"/>
      <c r="G2003" s="7">
        <f t="shared" si="574"/>
        <v>1</v>
      </c>
      <c r="H2003" s="58">
        <v>44889</v>
      </c>
      <c r="I2003" s="14"/>
      <c r="J2003" s="8"/>
      <c r="K2003" s="10"/>
      <c r="L2003" s="10"/>
      <c r="M2003" s="10"/>
      <c r="N2003" s="30"/>
      <c r="O2003" s="7">
        <f t="shared" si="575"/>
        <v>0</v>
      </c>
    </row>
    <row r="2004" spans="1:15" x14ac:dyDescent="0.15">
      <c r="A2004" s="14" t="s">
        <v>1517</v>
      </c>
      <c r="B2004" s="8">
        <v>1</v>
      </c>
      <c r="C2004" s="10"/>
      <c r="D2004" s="10"/>
      <c r="E2004" s="10"/>
      <c r="F2004" s="30"/>
      <c r="G2004" s="7">
        <f t="shared" si="574"/>
        <v>1</v>
      </c>
      <c r="H2004" s="58">
        <v>44895</v>
      </c>
      <c r="I2004" s="14"/>
      <c r="J2004" s="8"/>
      <c r="K2004" s="10"/>
      <c r="L2004" s="10"/>
      <c r="M2004" s="10"/>
      <c r="N2004" s="30"/>
      <c r="O2004" s="7">
        <f t="shared" si="575"/>
        <v>0</v>
      </c>
    </row>
    <row r="2005" spans="1:15" x14ac:dyDescent="0.15">
      <c r="A2005" s="14" t="s">
        <v>1521</v>
      </c>
      <c r="B2005" s="8"/>
      <c r="C2005" s="10"/>
      <c r="D2005" s="10">
        <v>1</v>
      </c>
      <c r="E2005" s="10"/>
      <c r="F2005" s="30"/>
      <c r="G2005" s="7">
        <f t="shared" si="574"/>
        <v>1</v>
      </c>
      <c r="H2005" s="58">
        <v>44896</v>
      </c>
      <c r="I2005" s="14"/>
      <c r="J2005" s="8"/>
      <c r="K2005" s="10"/>
      <c r="L2005" s="10"/>
      <c r="M2005" s="10"/>
      <c r="N2005" s="30"/>
      <c r="O2005" s="7">
        <f t="shared" si="575"/>
        <v>0</v>
      </c>
    </row>
    <row r="2006" spans="1:15" x14ac:dyDescent="0.15">
      <c r="A2006" s="14" t="s">
        <v>1524</v>
      </c>
      <c r="B2006" s="8"/>
      <c r="C2006" s="10">
        <v>2</v>
      </c>
      <c r="D2006" s="10"/>
      <c r="E2006" s="10"/>
      <c r="F2006" s="30"/>
      <c r="G2006" s="7">
        <f t="shared" si="574"/>
        <v>2</v>
      </c>
      <c r="H2006" s="58">
        <v>44897</v>
      </c>
      <c r="I2006" s="16"/>
      <c r="J2006" s="8"/>
      <c r="K2006" s="10"/>
      <c r="L2006" s="10"/>
      <c r="M2006" s="10"/>
      <c r="N2006" s="30"/>
      <c r="O2006" s="7">
        <f t="shared" si="575"/>
        <v>0</v>
      </c>
    </row>
    <row r="2007" spans="1:15" x14ac:dyDescent="0.15">
      <c r="A2007" s="14" t="s">
        <v>1526</v>
      </c>
      <c r="B2007" s="8"/>
      <c r="C2007" s="10"/>
      <c r="D2007" s="10"/>
      <c r="E2007" s="10">
        <v>1</v>
      </c>
      <c r="F2007" s="30"/>
      <c r="G2007" s="7">
        <f t="shared" si="574"/>
        <v>1</v>
      </c>
      <c r="H2007" s="58">
        <v>44900</v>
      </c>
      <c r="I2007" s="14"/>
      <c r="J2007" s="8"/>
      <c r="K2007" s="10"/>
      <c r="L2007" s="10"/>
      <c r="M2007" s="10"/>
      <c r="N2007" s="30"/>
      <c r="O2007" s="7">
        <f>SUM(J2007:N2007)</f>
        <v>0</v>
      </c>
    </row>
    <row r="2008" spans="1:15" x14ac:dyDescent="0.15">
      <c r="A2008" s="14" t="s">
        <v>1539</v>
      </c>
      <c r="B2008" s="11">
        <v>1</v>
      </c>
      <c r="C2008" s="12"/>
      <c r="D2008" s="12"/>
      <c r="E2008" s="12"/>
      <c r="F2008" s="31"/>
      <c r="G2008" s="7">
        <f t="shared" si="574"/>
        <v>1</v>
      </c>
      <c r="H2008" s="57">
        <v>44911</v>
      </c>
      <c r="I2008" s="16"/>
      <c r="J2008" s="11"/>
      <c r="K2008" s="12"/>
      <c r="L2008" s="12"/>
      <c r="M2008" s="12"/>
      <c r="N2008" s="31"/>
      <c r="O2008" s="7">
        <f t="shared" ref="O2008:O2018" si="576">SUM(J2008:N2008)</f>
        <v>0</v>
      </c>
    </row>
    <row r="2009" spans="1:15" x14ac:dyDescent="0.15">
      <c r="A2009" s="14" t="s">
        <v>1541</v>
      </c>
      <c r="B2009" s="8">
        <v>1</v>
      </c>
      <c r="C2009" s="10"/>
      <c r="D2009" s="10"/>
      <c r="E2009" s="10"/>
      <c r="F2009" s="30"/>
      <c r="G2009" s="7">
        <f t="shared" si="574"/>
        <v>1</v>
      </c>
      <c r="H2009" s="58">
        <v>44915</v>
      </c>
      <c r="I2009" s="16"/>
      <c r="J2009" s="8"/>
      <c r="K2009" s="10"/>
      <c r="L2009" s="10"/>
      <c r="M2009" s="10"/>
      <c r="N2009" s="30"/>
      <c r="O2009" s="7">
        <f t="shared" si="576"/>
        <v>0</v>
      </c>
    </row>
    <row r="2010" spans="1:15" x14ac:dyDescent="0.15">
      <c r="A2010" s="14" t="s">
        <v>29</v>
      </c>
      <c r="B2010" s="8"/>
      <c r="C2010" s="10"/>
      <c r="D2010" s="10"/>
      <c r="E2010" s="10"/>
      <c r="F2010" s="30">
        <v>1</v>
      </c>
      <c r="G2010" s="7">
        <f t="shared" si="574"/>
        <v>1</v>
      </c>
      <c r="H2010" s="57">
        <v>44914</v>
      </c>
      <c r="I2010" s="14"/>
      <c r="J2010" s="11"/>
      <c r="K2010" s="12"/>
      <c r="L2010" s="12"/>
      <c r="M2010" s="12"/>
      <c r="N2010" s="31"/>
      <c r="O2010" s="7">
        <f t="shared" si="576"/>
        <v>0</v>
      </c>
    </row>
    <row r="2011" spans="1:15" x14ac:dyDescent="0.15">
      <c r="A2011" s="14" t="s">
        <v>1544</v>
      </c>
      <c r="B2011" s="8">
        <v>1</v>
      </c>
      <c r="C2011" s="10"/>
      <c r="D2011" s="10"/>
      <c r="E2011" s="10"/>
      <c r="F2011" s="30"/>
      <c r="G2011" s="7">
        <f t="shared" si="574"/>
        <v>1</v>
      </c>
      <c r="H2011" s="58">
        <v>44916</v>
      </c>
      <c r="I2011" s="14"/>
      <c r="J2011" s="11"/>
      <c r="K2011" s="12"/>
      <c r="L2011" s="12"/>
      <c r="M2011" s="12"/>
      <c r="N2011" s="31"/>
      <c r="O2011" s="7">
        <f t="shared" si="576"/>
        <v>0</v>
      </c>
    </row>
    <row r="2012" spans="1:15" x14ac:dyDescent="0.15">
      <c r="A2012" s="14" t="s">
        <v>117</v>
      </c>
      <c r="B2012" s="8"/>
      <c r="C2012" s="10">
        <v>1</v>
      </c>
      <c r="D2012" s="10"/>
      <c r="E2012" s="10"/>
      <c r="F2012" s="30"/>
      <c r="G2012" s="7">
        <f t="shared" si="574"/>
        <v>1</v>
      </c>
      <c r="H2012" s="58">
        <v>44922</v>
      </c>
      <c r="I2012" s="14"/>
      <c r="J2012" s="11"/>
      <c r="K2012" s="12"/>
      <c r="L2012" s="12"/>
      <c r="M2012" s="12"/>
      <c r="N2012" s="31"/>
      <c r="O2012" s="7">
        <f t="shared" si="576"/>
        <v>0</v>
      </c>
    </row>
    <row r="2013" spans="1:15" x14ac:dyDescent="0.15">
      <c r="A2013" s="14" t="s">
        <v>117</v>
      </c>
      <c r="B2013" s="8">
        <v>1</v>
      </c>
      <c r="C2013" s="10"/>
      <c r="D2013" s="10"/>
      <c r="E2013" s="10"/>
      <c r="F2013" s="30"/>
      <c r="G2013" s="7">
        <f t="shared" si="574"/>
        <v>1</v>
      </c>
      <c r="H2013" s="58">
        <v>44932</v>
      </c>
      <c r="I2013" s="16"/>
      <c r="J2013" s="11"/>
      <c r="K2013" s="12"/>
      <c r="L2013" s="12"/>
      <c r="M2013" s="12"/>
      <c r="N2013" s="31"/>
      <c r="O2013" s="7">
        <f t="shared" si="576"/>
        <v>0</v>
      </c>
    </row>
    <row r="2014" spans="1:15" x14ac:dyDescent="0.15">
      <c r="A2014" s="14" t="s">
        <v>29</v>
      </c>
      <c r="B2014" s="11"/>
      <c r="C2014" s="12"/>
      <c r="D2014" s="12">
        <v>1</v>
      </c>
      <c r="E2014" s="12"/>
      <c r="F2014" s="31"/>
      <c r="G2014" s="7">
        <f t="shared" si="574"/>
        <v>1</v>
      </c>
      <c r="H2014" s="57">
        <v>44936</v>
      </c>
      <c r="I2014" s="16"/>
      <c r="J2014" s="11"/>
      <c r="K2014" s="12"/>
      <c r="L2014" s="12"/>
      <c r="M2014" s="12"/>
      <c r="N2014" s="31"/>
      <c r="O2014" s="7">
        <f t="shared" si="576"/>
        <v>0</v>
      </c>
    </row>
    <row r="2015" spans="1:15" x14ac:dyDescent="0.15">
      <c r="A2015" s="195" t="s">
        <v>17</v>
      </c>
      <c r="B2015" s="8"/>
      <c r="C2015" s="10">
        <v>-1</v>
      </c>
      <c r="D2015" s="10"/>
      <c r="E2015" s="10"/>
      <c r="F2015" s="30"/>
      <c r="G2015" s="7">
        <f t="shared" si="574"/>
        <v>-1</v>
      </c>
      <c r="H2015" s="57">
        <v>44942</v>
      </c>
      <c r="I2015" s="16"/>
      <c r="J2015" s="11"/>
      <c r="K2015" s="12"/>
      <c r="L2015" s="12"/>
      <c r="M2015" s="12"/>
      <c r="N2015" s="31"/>
      <c r="O2015" s="7">
        <f t="shared" si="576"/>
        <v>0</v>
      </c>
    </row>
    <row r="2016" spans="1:15" x14ac:dyDescent="0.15">
      <c r="A2016" s="14" t="s">
        <v>29</v>
      </c>
      <c r="B2016" s="8">
        <v>1</v>
      </c>
      <c r="C2016" s="10"/>
      <c r="D2016" s="10"/>
      <c r="E2016" s="10"/>
      <c r="F2016" s="30"/>
      <c r="G2016" s="7">
        <f t="shared" si="574"/>
        <v>1</v>
      </c>
      <c r="H2016" s="57">
        <v>44959</v>
      </c>
      <c r="I2016" s="16"/>
      <c r="J2016" s="11"/>
      <c r="K2016" s="12"/>
      <c r="L2016" s="12"/>
      <c r="M2016" s="12"/>
      <c r="N2016" s="31"/>
      <c r="O2016" s="7">
        <f t="shared" si="576"/>
        <v>0</v>
      </c>
    </row>
    <row r="2017" spans="1:16" x14ac:dyDescent="0.15">
      <c r="A2017" s="14" t="s">
        <v>29</v>
      </c>
      <c r="B2017" s="8"/>
      <c r="C2017" s="10">
        <v>1</v>
      </c>
      <c r="D2017" s="10"/>
      <c r="E2017" s="10"/>
      <c r="F2017" s="30"/>
      <c r="G2017" s="7">
        <f t="shared" si="574"/>
        <v>1</v>
      </c>
      <c r="H2017" s="57">
        <v>44966</v>
      </c>
      <c r="I2017" s="14" t="s">
        <v>1480</v>
      </c>
      <c r="J2017" s="11"/>
      <c r="K2017" s="12"/>
      <c r="L2017" s="12"/>
      <c r="M2017" s="12"/>
      <c r="N2017" s="31"/>
      <c r="O2017" s="7">
        <f t="shared" si="576"/>
        <v>0</v>
      </c>
      <c r="P2017" s="56" t="s">
        <v>1375</v>
      </c>
    </row>
    <row r="2018" spans="1:16" ht="14.25" thickBot="1" x14ac:dyDescent="0.2">
      <c r="A2018" s="51"/>
      <c r="B2018" s="11"/>
      <c r="C2018" s="12"/>
      <c r="D2018" s="12"/>
      <c r="E2018" s="12"/>
      <c r="F2018" s="31"/>
      <c r="G2018" s="7">
        <f t="shared" si="574"/>
        <v>0</v>
      </c>
      <c r="I2018" s="14" t="s">
        <v>1476</v>
      </c>
      <c r="J2018" s="11"/>
      <c r="K2018" s="12"/>
      <c r="L2018" s="12"/>
      <c r="M2018" s="12"/>
      <c r="N2018" s="31"/>
      <c r="O2018" s="7">
        <f t="shared" si="576"/>
        <v>0</v>
      </c>
      <c r="P2018" s="56" t="s">
        <v>1363</v>
      </c>
    </row>
    <row r="2019" spans="1:16" ht="14.25" thickBot="1" x14ac:dyDescent="0.2">
      <c r="A2019" s="3" t="s">
        <v>11</v>
      </c>
      <c r="B2019" s="23">
        <f>SUM(B1993:B2018)</f>
        <v>7</v>
      </c>
      <c r="C2019" s="4">
        <f>SUM(C1993:C2018)</f>
        <v>5</v>
      </c>
      <c r="D2019" s="4">
        <f>SUM(D1993:D2018)</f>
        <v>3</v>
      </c>
      <c r="E2019" s="6">
        <f>SUM(E1993:E2018)</f>
        <v>6</v>
      </c>
      <c r="F2019" s="32">
        <f>SUM(F1993:F2018)</f>
        <v>7</v>
      </c>
      <c r="G2019" s="5">
        <f>SUM(B2019:F2019)</f>
        <v>28</v>
      </c>
      <c r="I2019" s="3" t="s">
        <v>11</v>
      </c>
      <c r="J2019" s="23">
        <f>SUM(J1993:J2018)</f>
        <v>6</v>
      </c>
      <c r="K2019" s="4">
        <f>SUM(K1993:K2018)</f>
        <v>6</v>
      </c>
      <c r="L2019" s="4">
        <f>SUM(L1993:L2018)</f>
        <v>3</v>
      </c>
      <c r="M2019" s="6">
        <f>SUM(M1993:M2018)</f>
        <v>9</v>
      </c>
      <c r="N2019" s="6">
        <f>SUM(N1993:N2018)</f>
        <v>5</v>
      </c>
      <c r="O2019" s="5">
        <f>SUM(J2019:N2019)</f>
        <v>29</v>
      </c>
    </row>
    <row r="2020" spans="1:16" ht="14.25" thickBot="1" x14ac:dyDescent="0.2">
      <c r="A2020" s="25" t="s">
        <v>12</v>
      </c>
      <c r="B2020" s="63">
        <f>B1992-B2019</f>
        <v>5</v>
      </c>
      <c r="C2020" s="26">
        <f t="shared" ref="C2020:G2020" si="577">C1992-C2019</f>
        <v>7</v>
      </c>
      <c r="D2020" s="71">
        <f t="shared" si="577"/>
        <v>5</v>
      </c>
      <c r="E2020" s="26">
        <f t="shared" si="577"/>
        <v>11</v>
      </c>
      <c r="F2020" s="70">
        <f t="shared" si="577"/>
        <v>5</v>
      </c>
      <c r="G2020" s="27">
        <f t="shared" si="577"/>
        <v>33</v>
      </c>
      <c r="I2020" s="25" t="s">
        <v>12</v>
      </c>
      <c r="J2020" s="63">
        <f>J1992-J2019</f>
        <v>140</v>
      </c>
      <c r="K2020" s="26">
        <f>K1992-K2019</f>
        <v>185</v>
      </c>
      <c r="L2020" s="71">
        <f t="shared" ref="L2020:O2020" si="578">L1992-L2019</f>
        <v>167</v>
      </c>
      <c r="M2020" s="26">
        <f t="shared" si="578"/>
        <v>144</v>
      </c>
      <c r="N2020" s="70">
        <f t="shared" si="578"/>
        <v>126</v>
      </c>
      <c r="O2020" s="27">
        <f t="shared" si="578"/>
        <v>762</v>
      </c>
    </row>
    <row r="2021" spans="1:16" ht="21" x14ac:dyDescent="0.2">
      <c r="A2021" s="82" t="s">
        <v>55</v>
      </c>
      <c r="B2021" s="80"/>
      <c r="C2021" s="80"/>
      <c r="D2021" s="80"/>
      <c r="E2021" s="81" t="s">
        <v>53</v>
      </c>
      <c r="F2021" s="80"/>
      <c r="G2021" s="80"/>
      <c r="J2021" s="211">
        <f>J2020/$O$2021*100</f>
        <v>140</v>
      </c>
      <c r="K2021" s="211">
        <f t="shared" ref="K2021:N2021" si="579">K2020/$O$2021*100</f>
        <v>185</v>
      </c>
      <c r="L2021" s="211">
        <f t="shared" si="579"/>
        <v>167</v>
      </c>
      <c r="M2021" s="211">
        <f t="shared" si="579"/>
        <v>144</v>
      </c>
      <c r="N2021" s="211">
        <f t="shared" si="579"/>
        <v>126</v>
      </c>
      <c r="O2021" s="211">
        <f>O2020/$O$2020*100</f>
        <v>100</v>
      </c>
    </row>
    <row r="2022" spans="1:16" ht="14.25" thickBot="1" x14ac:dyDescent="0.2">
      <c r="J2022" s="211"/>
      <c r="K2022" s="211"/>
      <c r="L2022" s="211"/>
      <c r="M2022" s="211"/>
      <c r="N2022" s="211"/>
      <c r="O2022" s="211"/>
    </row>
    <row r="2023" spans="1:16" ht="14.25" thickBot="1" x14ac:dyDescent="0.2">
      <c r="A2023" s="13" t="s">
        <v>0</v>
      </c>
      <c r="B2023" s="228" t="s">
        <v>57</v>
      </c>
      <c r="C2023" s="229"/>
      <c r="D2023" s="229"/>
      <c r="E2023" s="229"/>
      <c r="F2023" s="230"/>
      <c r="G2023" s="231"/>
      <c r="I2023" s="13" t="s">
        <v>0</v>
      </c>
      <c r="J2023" s="232" t="s">
        <v>57</v>
      </c>
      <c r="K2023" s="233"/>
      <c r="L2023" s="233"/>
      <c r="M2023" s="233"/>
      <c r="N2023" s="233"/>
      <c r="O2023" s="234"/>
    </row>
    <row r="2024" spans="1:16" ht="14.25" thickBot="1" x14ac:dyDescent="0.2">
      <c r="A2024" s="3" t="s">
        <v>1</v>
      </c>
      <c r="B2024" s="2" t="s">
        <v>42</v>
      </c>
      <c r="C2024" s="21" t="s">
        <v>43</v>
      </c>
      <c r="D2024" s="21" t="s">
        <v>44</v>
      </c>
      <c r="E2024" s="24" t="s">
        <v>45</v>
      </c>
      <c r="F2024" s="33" t="s">
        <v>46</v>
      </c>
      <c r="G2024" s="3" t="s">
        <v>2</v>
      </c>
      <c r="I2024" s="3" t="s">
        <v>1</v>
      </c>
      <c r="J2024" s="2" t="s">
        <v>42</v>
      </c>
      <c r="K2024" s="21" t="s">
        <v>43</v>
      </c>
      <c r="L2024" s="21" t="s">
        <v>44</v>
      </c>
      <c r="M2024" s="24" t="s">
        <v>45</v>
      </c>
      <c r="N2024" s="33" t="s">
        <v>46</v>
      </c>
      <c r="O2024" s="3" t="s">
        <v>2</v>
      </c>
    </row>
    <row r="2025" spans="1:16" ht="14.25" thickBot="1" x14ac:dyDescent="0.2">
      <c r="A2025" s="72" t="s">
        <v>79</v>
      </c>
      <c r="B2025" s="73">
        <f>B2020</f>
        <v>5</v>
      </c>
      <c r="C2025" s="74">
        <f t="shared" ref="C2025:F2025" si="580">C2020</f>
        <v>7</v>
      </c>
      <c r="D2025" s="107">
        <f t="shared" si="580"/>
        <v>5</v>
      </c>
      <c r="E2025" s="75">
        <f t="shared" si="580"/>
        <v>11</v>
      </c>
      <c r="F2025" s="75">
        <f t="shared" si="580"/>
        <v>5</v>
      </c>
      <c r="G2025" s="76">
        <f t="shared" ref="G2025:G2034" si="581">SUM(B2025:F2025)</f>
        <v>33</v>
      </c>
      <c r="I2025" s="72" t="s">
        <v>79</v>
      </c>
      <c r="J2025" s="73">
        <f>J2020</f>
        <v>140</v>
      </c>
      <c r="K2025" s="74">
        <f t="shared" ref="K2025:N2025" si="582">K2020</f>
        <v>185</v>
      </c>
      <c r="L2025" s="107">
        <f t="shared" si="582"/>
        <v>167</v>
      </c>
      <c r="M2025" s="75">
        <f t="shared" si="582"/>
        <v>144</v>
      </c>
      <c r="N2025" s="75">
        <f t="shared" si="582"/>
        <v>126</v>
      </c>
      <c r="O2025" s="76">
        <f t="shared" ref="O2025:O2034" si="583">SUM(J2025:N2025)</f>
        <v>762</v>
      </c>
    </row>
    <row r="2026" spans="1:16" x14ac:dyDescent="0.15">
      <c r="A2026" s="38" t="s">
        <v>17</v>
      </c>
      <c r="B2026" s="11"/>
      <c r="C2026" s="100"/>
      <c r="D2026" s="100">
        <v>1</v>
      </c>
      <c r="E2026" s="100"/>
      <c r="F2026" s="101"/>
      <c r="G2026" s="102">
        <f t="shared" ref="G2026:G2033" si="584">SUM(B2026:F2026)</f>
        <v>1</v>
      </c>
      <c r="H2026" s="58">
        <v>45012</v>
      </c>
      <c r="I2026" s="15" t="s">
        <v>15</v>
      </c>
      <c r="J2026" s="8"/>
      <c r="K2026" s="10"/>
      <c r="L2026" s="10"/>
      <c r="M2026" s="10"/>
      <c r="N2026" s="30"/>
      <c r="O2026" s="7">
        <f t="shared" ref="O2026:O2031" si="585">SUM(J2026:N2026)</f>
        <v>0</v>
      </c>
    </row>
    <row r="2027" spans="1:16" x14ac:dyDescent="0.15">
      <c r="A2027" s="38" t="s">
        <v>16</v>
      </c>
      <c r="B2027" s="11">
        <v>5</v>
      </c>
      <c r="C2027" s="100">
        <v>3</v>
      </c>
      <c r="D2027" s="100"/>
      <c r="E2027" s="100"/>
      <c r="F2027" s="101">
        <v>3</v>
      </c>
      <c r="G2027" s="102">
        <f t="shared" si="584"/>
        <v>11</v>
      </c>
      <c r="H2027" s="58">
        <v>45017</v>
      </c>
      <c r="I2027" s="15" t="s">
        <v>16</v>
      </c>
      <c r="J2027" s="8"/>
      <c r="K2027" s="10"/>
      <c r="L2027" s="10"/>
      <c r="M2027" s="10"/>
      <c r="N2027" s="30"/>
      <c r="O2027" s="7">
        <f t="shared" si="585"/>
        <v>0</v>
      </c>
    </row>
    <row r="2028" spans="1:16" x14ac:dyDescent="0.15">
      <c r="A2028" s="38" t="s">
        <v>18</v>
      </c>
      <c r="B2028" s="11">
        <v>5</v>
      </c>
      <c r="C2028" s="100">
        <v>5</v>
      </c>
      <c r="D2028" s="100">
        <v>5</v>
      </c>
      <c r="E2028" s="100">
        <v>5</v>
      </c>
      <c r="F2028" s="101"/>
      <c r="G2028" s="102">
        <f t="shared" si="584"/>
        <v>20</v>
      </c>
      <c r="H2028" s="58">
        <v>45020</v>
      </c>
      <c r="I2028" s="15" t="s">
        <v>18</v>
      </c>
      <c r="J2028" s="8"/>
      <c r="K2028" s="10"/>
      <c r="L2028" s="10"/>
      <c r="M2028" s="10"/>
      <c r="N2028" s="30"/>
      <c r="O2028" s="7">
        <f t="shared" si="585"/>
        <v>0</v>
      </c>
    </row>
    <row r="2029" spans="1:16" x14ac:dyDescent="0.15">
      <c r="A2029" s="38" t="s">
        <v>1574</v>
      </c>
      <c r="B2029" s="11"/>
      <c r="C2029" s="100">
        <v>1</v>
      </c>
      <c r="D2029" s="100"/>
      <c r="E2029" s="100"/>
      <c r="F2029" s="101"/>
      <c r="G2029" s="102">
        <f t="shared" si="584"/>
        <v>1</v>
      </c>
      <c r="H2029" s="57">
        <v>45064</v>
      </c>
      <c r="I2029" s="15" t="s">
        <v>20</v>
      </c>
      <c r="J2029" s="8"/>
      <c r="K2029" s="10"/>
      <c r="L2029" s="10"/>
      <c r="M2029" s="10"/>
      <c r="N2029" s="30"/>
      <c r="O2029" s="7">
        <f t="shared" si="585"/>
        <v>0</v>
      </c>
    </row>
    <row r="2030" spans="1:16" x14ac:dyDescent="0.15">
      <c r="A2030" s="38" t="s">
        <v>1574</v>
      </c>
      <c r="B2030" s="11">
        <v>1</v>
      </c>
      <c r="C2030" s="100">
        <v>1</v>
      </c>
      <c r="D2030" s="100"/>
      <c r="E2030" s="100">
        <v>1</v>
      </c>
      <c r="F2030" s="101"/>
      <c r="G2030" s="102">
        <f t="shared" si="584"/>
        <v>3</v>
      </c>
      <c r="H2030" s="57">
        <v>45065</v>
      </c>
      <c r="I2030" s="15" t="s">
        <v>80</v>
      </c>
      <c r="J2030" s="8"/>
      <c r="K2030" s="10"/>
      <c r="L2030" s="10"/>
      <c r="M2030" s="10"/>
      <c r="N2030" s="30"/>
      <c r="O2030" s="7">
        <f t="shared" si="585"/>
        <v>0</v>
      </c>
    </row>
    <row r="2031" spans="1:16" x14ac:dyDescent="0.15">
      <c r="A2031" s="38" t="s">
        <v>81</v>
      </c>
      <c r="B2031" s="11"/>
      <c r="C2031" s="100"/>
      <c r="D2031" s="100"/>
      <c r="E2031" s="100"/>
      <c r="F2031" s="101">
        <v>5</v>
      </c>
      <c r="G2031" s="102">
        <f t="shared" si="584"/>
        <v>5</v>
      </c>
      <c r="H2031" s="58">
        <v>45078</v>
      </c>
      <c r="I2031" s="15" t="s">
        <v>81</v>
      </c>
      <c r="J2031" s="8"/>
      <c r="K2031" s="10"/>
      <c r="L2031" s="10"/>
      <c r="M2031" s="10"/>
      <c r="N2031" s="30"/>
      <c r="O2031" s="7">
        <f t="shared" si="585"/>
        <v>0</v>
      </c>
    </row>
    <row r="2032" spans="1:16" x14ac:dyDescent="0.15">
      <c r="A2032" s="38" t="s">
        <v>82</v>
      </c>
      <c r="B2032" s="11"/>
      <c r="C2032" s="100"/>
      <c r="D2032" s="100"/>
      <c r="E2032" s="100"/>
      <c r="F2032" s="101"/>
      <c r="G2032" s="102">
        <f t="shared" si="584"/>
        <v>0</v>
      </c>
      <c r="H2032" s="57"/>
      <c r="I2032" s="15" t="s">
        <v>82</v>
      </c>
      <c r="J2032" s="8"/>
      <c r="K2032" s="10"/>
      <c r="L2032" s="10"/>
      <c r="M2032" s="10"/>
      <c r="N2032" s="30"/>
      <c r="O2032" s="7">
        <f t="shared" si="583"/>
        <v>0</v>
      </c>
    </row>
    <row r="2033" spans="1:16" x14ac:dyDescent="0.15">
      <c r="A2033" s="38" t="s">
        <v>83</v>
      </c>
      <c r="B2033" s="11"/>
      <c r="C2033" s="100"/>
      <c r="D2033" s="100"/>
      <c r="E2033" s="100"/>
      <c r="F2033" s="101"/>
      <c r="G2033" s="102">
        <f t="shared" si="584"/>
        <v>0</v>
      </c>
      <c r="H2033" s="57"/>
      <c r="I2033" s="15" t="s">
        <v>83</v>
      </c>
      <c r="J2033" s="8"/>
      <c r="K2033" s="10"/>
      <c r="L2033" s="10"/>
      <c r="M2033" s="10"/>
      <c r="N2033" s="30"/>
      <c r="O2033" s="7">
        <f t="shared" si="583"/>
        <v>0</v>
      </c>
    </row>
    <row r="2034" spans="1:16" ht="14.25" thickBot="1" x14ac:dyDescent="0.2">
      <c r="A2034" s="38" t="s">
        <v>159</v>
      </c>
      <c r="B2034" s="11"/>
      <c r="C2034" s="100"/>
      <c r="D2034" s="100"/>
      <c r="E2034" s="100"/>
      <c r="F2034" s="101"/>
      <c r="G2034" s="102">
        <f t="shared" si="581"/>
        <v>0</v>
      </c>
      <c r="H2034" s="57"/>
      <c r="I2034" s="15" t="s">
        <v>87</v>
      </c>
      <c r="J2034" s="11"/>
      <c r="K2034" s="100"/>
      <c r="L2034" s="100"/>
      <c r="M2034" s="100"/>
      <c r="N2034" s="101"/>
      <c r="O2034" s="102">
        <f t="shared" si="583"/>
        <v>0</v>
      </c>
    </row>
    <row r="2035" spans="1:16" ht="14.25" thickBot="1" x14ac:dyDescent="0.2">
      <c r="A2035" s="72" t="s">
        <v>7</v>
      </c>
      <c r="B2035" s="73">
        <f>SUM(B2025:B2034)</f>
        <v>16</v>
      </c>
      <c r="C2035" s="74">
        <f t="shared" ref="C2035:G2035" si="586">SUM(C2025:C2034)</f>
        <v>17</v>
      </c>
      <c r="D2035" s="74">
        <f t="shared" si="586"/>
        <v>11</v>
      </c>
      <c r="E2035" s="74">
        <f t="shared" si="586"/>
        <v>17</v>
      </c>
      <c r="F2035" s="105">
        <f t="shared" si="586"/>
        <v>13</v>
      </c>
      <c r="G2035" s="76">
        <f t="shared" si="586"/>
        <v>74</v>
      </c>
      <c r="I2035" s="72" t="s">
        <v>7</v>
      </c>
      <c r="J2035" s="73">
        <f>SUM(J2025:J2034)</f>
        <v>140</v>
      </c>
      <c r="K2035" s="74">
        <f t="shared" ref="K2035:O2035" si="587">SUM(K2025:K2034)</f>
        <v>185</v>
      </c>
      <c r="L2035" s="74">
        <f t="shared" si="587"/>
        <v>167</v>
      </c>
      <c r="M2035" s="74">
        <f t="shared" si="587"/>
        <v>144</v>
      </c>
      <c r="N2035" s="105">
        <f t="shared" si="587"/>
        <v>126</v>
      </c>
      <c r="O2035" s="76">
        <f t="shared" si="587"/>
        <v>762</v>
      </c>
    </row>
    <row r="2036" spans="1:16" x14ac:dyDescent="0.15">
      <c r="A2036" s="14" t="s">
        <v>485</v>
      </c>
      <c r="B2036" s="8"/>
      <c r="C2036" s="10"/>
      <c r="D2036" s="10"/>
      <c r="E2036" s="10">
        <v>1</v>
      </c>
      <c r="F2036" s="30"/>
      <c r="G2036" s="7">
        <f t="shared" ref="G2036:G2058" si="588">SUM(B2036:F2036)</f>
        <v>1</v>
      </c>
      <c r="H2036" s="57">
        <v>44966</v>
      </c>
      <c r="I2036" s="38" t="s">
        <v>24</v>
      </c>
      <c r="J2036" s="8">
        <v>5</v>
      </c>
      <c r="K2036" s="10">
        <v>3</v>
      </c>
      <c r="L2036" s="10"/>
      <c r="M2036" s="10"/>
      <c r="N2036" s="30">
        <v>3</v>
      </c>
      <c r="O2036" s="7">
        <f t="shared" ref="O2036:O2038" si="589">SUM(J2036:N2036)</f>
        <v>11</v>
      </c>
      <c r="P2036" s="58">
        <v>45017</v>
      </c>
    </row>
    <row r="2037" spans="1:16" x14ac:dyDescent="0.15">
      <c r="A2037" s="14" t="s">
        <v>29</v>
      </c>
      <c r="B2037" s="8"/>
      <c r="C2037" s="10"/>
      <c r="D2037" s="10"/>
      <c r="E2037" s="10">
        <v>1</v>
      </c>
      <c r="F2037" s="30"/>
      <c r="G2037" s="7">
        <f t="shared" si="588"/>
        <v>1</v>
      </c>
      <c r="H2037" s="57">
        <v>44971</v>
      </c>
      <c r="I2037" s="38" t="s">
        <v>24</v>
      </c>
      <c r="J2037" s="8">
        <v>5</v>
      </c>
      <c r="K2037" s="10">
        <v>5</v>
      </c>
      <c r="L2037" s="10">
        <v>5</v>
      </c>
      <c r="M2037" s="10">
        <v>5</v>
      </c>
      <c r="N2037" s="30"/>
      <c r="O2037" s="7">
        <f t="shared" si="589"/>
        <v>20</v>
      </c>
      <c r="P2037" s="58">
        <v>45020</v>
      </c>
    </row>
    <row r="2038" spans="1:16" x14ac:dyDescent="0.15">
      <c r="A2038" s="14" t="s">
        <v>29</v>
      </c>
      <c r="B2038" s="8"/>
      <c r="C2038" s="10"/>
      <c r="D2038" s="10">
        <v>1</v>
      </c>
      <c r="E2038" s="10"/>
      <c r="F2038" s="30"/>
      <c r="G2038" s="7">
        <f t="shared" si="588"/>
        <v>1</v>
      </c>
      <c r="H2038" s="57">
        <v>44981</v>
      </c>
      <c r="I2038" s="38" t="s">
        <v>24</v>
      </c>
      <c r="J2038" s="8"/>
      <c r="K2038" s="10"/>
      <c r="L2038" s="10"/>
      <c r="M2038" s="10"/>
      <c r="N2038" s="30">
        <v>5</v>
      </c>
      <c r="O2038" s="7">
        <f t="shared" si="589"/>
        <v>5</v>
      </c>
      <c r="P2038" s="58">
        <v>45078</v>
      </c>
    </row>
    <row r="2039" spans="1:16" x14ac:dyDescent="0.15">
      <c r="A2039" s="14" t="s">
        <v>1561</v>
      </c>
      <c r="B2039" s="8"/>
      <c r="C2039" s="10"/>
      <c r="D2039" s="10">
        <v>1</v>
      </c>
      <c r="E2039" s="10"/>
      <c r="F2039" s="30"/>
      <c r="G2039" s="7">
        <f t="shared" si="588"/>
        <v>1</v>
      </c>
      <c r="H2039" s="58">
        <v>44986</v>
      </c>
      <c r="I2039" s="14"/>
      <c r="J2039" s="8"/>
      <c r="K2039" s="10"/>
      <c r="L2039" s="10"/>
      <c r="M2039" s="10"/>
      <c r="N2039" s="30"/>
      <c r="O2039" s="7">
        <f t="shared" ref="O2039:O2041" si="590">SUM(J2039:N2039)</f>
        <v>0</v>
      </c>
    </row>
    <row r="2040" spans="1:16" x14ac:dyDescent="0.15">
      <c r="A2040" s="14" t="s">
        <v>29</v>
      </c>
      <c r="B2040" s="8">
        <v>1</v>
      </c>
      <c r="C2040" s="10">
        <v>1</v>
      </c>
      <c r="D2040" s="10"/>
      <c r="E2040" s="10"/>
      <c r="F2040" s="30"/>
      <c r="G2040" s="7">
        <f t="shared" si="588"/>
        <v>2</v>
      </c>
      <c r="H2040" s="57">
        <v>44991</v>
      </c>
      <c r="I2040" s="14"/>
      <c r="J2040" s="8"/>
      <c r="K2040" s="10"/>
      <c r="L2040" s="10"/>
      <c r="M2040" s="10"/>
      <c r="N2040" s="30"/>
      <c r="O2040" s="7">
        <f t="shared" si="590"/>
        <v>0</v>
      </c>
    </row>
    <row r="2041" spans="1:16" x14ac:dyDescent="0.15">
      <c r="A2041" s="14" t="s">
        <v>1562</v>
      </c>
      <c r="B2041" s="8"/>
      <c r="C2041" s="10"/>
      <c r="D2041" s="10"/>
      <c r="E2041" s="10"/>
      <c r="F2041" s="30">
        <v>1</v>
      </c>
      <c r="G2041" s="7">
        <f t="shared" si="588"/>
        <v>1</v>
      </c>
      <c r="H2041" s="58">
        <v>44999</v>
      </c>
      <c r="I2041" s="14"/>
      <c r="J2041" s="8"/>
      <c r="K2041" s="10"/>
      <c r="L2041" s="10"/>
      <c r="M2041" s="10"/>
      <c r="N2041" s="30"/>
      <c r="O2041" s="7">
        <f t="shared" si="590"/>
        <v>0</v>
      </c>
    </row>
    <row r="2042" spans="1:16" x14ac:dyDescent="0.15">
      <c r="A2042" s="14" t="s">
        <v>29</v>
      </c>
      <c r="B2042" s="8"/>
      <c r="C2042" s="10"/>
      <c r="D2042" s="10"/>
      <c r="E2042" s="10"/>
      <c r="F2042" s="30">
        <v>1</v>
      </c>
      <c r="G2042" s="7">
        <f t="shared" si="588"/>
        <v>1</v>
      </c>
      <c r="H2042" s="57">
        <v>45012</v>
      </c>
      <c r="I2042" s="14"/>
      <c r="J2042" s="8"/>
      <c r="K2042" s="10"/>
      <c r="L2042" s="10"/>
      <c r="M2042" s="10"/>
      <c r="N2042" s="30"/>
      <c r="O2042" s="7">
        <f t="shared" ref="O2042:O2049" si="591">SUM(J2042:N2042)</f>
        <v>0</v>
      </c>
    </row>
    <row r="2043" spans="1:16" x14ac:dyDescent="0.15">
      <c r="A2043" s="14" t="s">
        <v>1565</v>
      </c>
      <c r="B2043" s="8"/>
      <c r="C2043" s="10">
        <v>2</v>
      </c>
      <c r="D2043" s="10"/>
      <c r="E2043" s="10"/>
      <c r="F2043" s="30"/>
      <c r="G2043" s="7">
        <f t="shared" si="588"/>
        <v>2</v>
      </c>
      <c r="H2043" s="58">
        <v>45019</v>
      </c>
      <c r="I2043" s="14"/>
      <c r="J2043" s="8"/>
      <c r="K2043" s="10"/>
      <c r="L2043" s="10"/>
      <c r="M2043" s="10"/>
      <c r="N2043" s="30"/>
      <c r="O2043" s="7">
        <f t="shared" si="591"/>
        <v>0</v>
      </c>
    </row>
    <row r="2044" spans="1:16" x14ac:dyDescent="0.15">
      <c r="A2044" s="38" t="s">
        <v>1568</v>
      </c>
      <c r="B2044" s="8"/>
      <c r="C2044" s="10">
        <v>1</v>
      </c>
      <c r="D2044" s="10"/>
      <c r="E2044" s="10"/>
      <c r="F2044" s="30"/>
      <c r="G2044" s="7">
        <f t="shared" si="588"/>
        <v>1</v>
      </c>
      <c r="H2044" s="58">
        <v>45016</v>
      </c>
      <c r="I2044" s="38"/>
      <c r="J2044" s="8"/>
      <c r="K2044" s="10"/>
      <c r="L2044" s="10"/>
      <c r="M2044" s="10"/>
      <c r="N2044" s="30"/>
      <c r="O2044" s="7">
        <f t="shared" si="591"/>
        <v>0</v>
      </c>
    </row>
    <row r="2045" spans="1:16" x14ac:dyDescent="0.15">
      <c r="A2045" s="14" t="s">
        <v>1566</v>
      </c>
      <c r="B2045" s="8">
        <v>3</v>
      </c>
      <c r="C2045" s="10"/>
      <c r="D2045" s="10"/>
      <c r="E2045" s="10">
        <v>2</v>
      </c>
      <c r="F2045" s="30"/>
      <c r="G2045" s="7">
        <f t="shared" si="588"/>
        <v>5</v>
      </c>
      <c r="H2045" s="58">
        <v>45020</v>
      </c>
      <c r="I2045" s="14"/>
      <c r="J2045" s="11"/>
      <c r="K2045" s="12"/>
      <c r="L2045" s="12"/>
      <c r="M2045" s="12"/>
      <c r="N2045" s="31"/>
      <c r="O2045" s="7">
        <f t="shared" si="591"/>
        <v>0</v>
      </c>
    </row>
    <row r="2046" spans="1:16" x14ac:dyDescent="0.15">
      <c r="A2046" s="14" t="s">
        <v>1569</v>
      </c>
      <c r="B2046" s="8"/>
      <c r="C2046" s="10">
        <v>2</v>
      </c>
      <c r="D2046" s="10"/>
      <c r="E2046" s="10">
        <v>2</v>
      </c>
      <c r="F2046" s="30"/>
      <c r="G2046" s="7">
        <f t="shared" si="588"/>
        <v>4</v>
      </c>
      <c r="H2046" s="58">
        <v>45021</v>
      </c>
      <c r="I2046" s="14"/>
      <c r="J2046" s="8"/>
      <c r="K2046" s="10"/>
      <c r="L2046" s="10"/>
      <c r="M2046" s="10"/>
      <c r="N2046" s="30"/>
      <c r="O2046" s="7">
        <f t="shared" si="591"/>
        <v>0</v>
      </c>
    </row>
    <row r="2047" spans="1:16" x14ac:dyDescent="0.15">
      <c r="A2047" s="14" t="s">
        <v>29</v>
      </c>
      <c r="B2047" s="8"/>
      <c r="C2047" s="10">
        <v>1</v>
      </c>
      <c r="D2047" s="10"/>
      <c r="E2047" s="10"/>
      <c r="F2047" s="30"/>
      <c r="G2047" s="7">
        <f t="shared" si="588"/>
        <v>1</v>
      </c>
      <c r="H2047" s="58">
        <v>45022</v>
      </c>
      <c r="I2047" s="14"/>
      <c r="J2047" s="8"/>
      <c r="K2047" s="10"/>
      <c r="L2047" s="10"/>
      <c r="M2047" s="10"/>
      <c r="N2047" s="30"/>
      <c r="O2047" s="7">
        <f t="shared" si="591"/>
        <v>0</v>
      </c>
    </row>
    <row r="2048" spans="1:16" x14ac:dyDescent="0.15">
      <c r="A2048" s="14" t="s">
        <v>1570</v>
      </c>
      <c r="B2048" s="8">
        <v>2</v>
      </c>
      <c r="C2048" s="10"/>
      <c r="D2048" s="10"/>
      <c r="E2048" s="10"/>
      <c r="F2048" s="30"/>
      <c r="G2048" s="7">
        <f t="shared" si="588"/>
        <v>2</v>
      </c>
      <c r="H2048" s="58">
        <v>45028</v>
      </c>
      <c r="I2048" s="14"/>
      <c r="J2048" s="8"/>
      <c r="K2048" s="10"/>
      <c r="L2048" s="10"/>
      <c r="M2048" s="10"/>
      <c r="N2048" s="30"/>
      <c r="O2048" s="7">
        <f t="shared" si="591"/>
        <v>0</v>
      </c>
    </row>
    <row r="2049" spans="1:17" x14ac:dyDescent="0.15">
      <c r="A2049" s="14" t="s">
        <v>29</v>
      </c>
      <c r="B2049" s="8"/>
      <c r="C2049" s="10">
        <v>1</v>
      </c>
      <c r="D2049" s="10"/>
      <c r="E2049" s="10"/>
      <c r="F2049" s="30"/>
      <c r="G2049" s="7">
        <f t="shared" si="588"/>
        <v>1</v>
      </c>
      <c r="H2049" s="57">
        <v>45026</v>
      </c>
      <c r="I2049" s="16"/>
      <c r="J2049" s="8"/>
      <c r="K2049" s="10"/>
      <c r="L2049" s="10"/>
      <c r="M2049" s="10"/>
      <c r="N2049" s="30"/>
      <c r="O2049" s="7">
        <f t="shared" si="591"/>
        <v>0</v>
      </c>
    </row>
    <row r="2050" spans="1:17" x14ac:dyDescent="0.15">
      <c r="A2050" s="38" t="s">
        <v>117</v>
      </c>
      <c r="B2050" s="8"/>
      <c r="C2050" s="10"/>
      <c r="D2050" s="10"/>
      <c r="E2050" s="10"/>
      <c r="F2050" s="30">
        <v>1</v>
      </c>
      <c r="G2050" s="7">
        <f t="shared" si="588"/>
        <v>1</v>
      </c>
      <c r="H2050" s="58">
        <v>45038</v>
      </c>
      <c r="I2050" s="14"/>
      <c r="J2050" s="8"/>
      <c r="K2050" s="10"/>
      <c r="L2050" s="10"/>
      <c r="M2050" s="10"/>
      <c r="N2050" s="30"/>
      <c r="O2050" s="7">
        <f>SUM(J2050:N2050)</f>
        <v>0</v>
      </c>
    </row>
    <row r="2051" spans="1:17" x14ac:dyDescent="0.15">
      <c r="A2051" s="14" t="s">
        <v>29</v>
      </c>
      <c r="B2051" s="8"/>
      <c r="C2051" s="10"/>
      <c r="D2051" s="10"/>
      <c r="E2051" s="10"/>
      <c r="F2051" s="30">
        <v>2</v>
      </c>
      <c r="G2051" s="7">
        <f t="shared" si="588"/>
        <v>2</v>
      </c>
      <c r="H2051" s="57">
        <v>45042</v>
      </c>
      <c r="I2051" s="16"/>
      <c r="J2051" s="11"/>
      <c r="K2051" s="12"/>
      <c r="L2051" s="12"/>
      <c r="M2051" s="12"/>
      <c r="N2051" s="31"/>
      <c r="O2051" s="7">
        <f t="shared" ref="O2051:O2059" si="592">SUM(J2051:N2051)</f>
        <v>0</v>
      </c>
    </row>
    <row r="2052" spans="1:17" x14ac:dyDescent="0.15">
      <c r="A2052" s="14" t="s">
        <v>29</v>
      </c>
      <c r="B2052" s="8"/>
      <c r="C2052" s="10">
        <v>1</v>
      </c>
      <c r="D2052" s="10"/>
      <c r="E2052" s="10"/>
      <c r="F2052" s="30"/>
      <c r="G2052" s="7">
        <f t="shared" si="588"/>
        <v>1</v>
      </c>
      <c r="H2052" s="57">
        <v>45047</v>
      </c>
      <c r="I2052" s="16"/>
      <c r="J2052" s="8"/>
      <c r="K2052" s="10"/>
      <c r="L2052" s="10"/>
      <c r="M2052" s="10"/>
      <c r="N2052" s="30"/>
      <c r="O2052" s="7">
        <f t="shared" si="592"/>
        <v>0</v>
      </c>
    </row>
    <row r="2053" spans="1:17" x14ac:dyDescent="0.15">
      <c r="A2053" s="38" t="s">
        <v>1573</v>
      </c>
      <c r="B2053" s="8"/>
      <c r="C2053" s="10"/>
      <c r="D2053" s="10"/>
      <c r="E2053" s="10">
        <v>1</v>
      </c>
      <c r="F2053" s="30"/>
      <c r="G2053" s="7">
        <f t="shared" si="588"/>
        <v>1</v>
      </c>
      <c r="H2053" s="57">
        <v>45047</v>
      </c>
      <c r="I2053" s="14"/>
      <c r="J2053" s="11"/>
      <c r="K2053" s="12"/>
      <c r="L2053" s="12"/>
      <c r="M2053" s="12"/>
      <c r="N2053" s="31"/>
      <c r="O2053" s="7">
        <f t="shared" si="592"/>
        <v>0</v>
      </c>
    </row>
    <row r="2054" spans="1:17" x14ac:dyDescent="0.15">
      <c r="A2054" s="14" t="s">
        <v>29</v>
      </c>
      <c r="B2054" s="8"/>
      <c r="C2054" s="10"/>
      <c r="D2054" s="10">
        <v>1</v>
      </c>
      <c r="E2054" s="10"/>
      <c r="F2054" s="30"/>
      <c r="G2054" s="7">
        <f t="shared" si="588"/>
        <v>1</v>
      </c>
      <c r="H2054" s="57">
        <v>45064</v>
      </c>
      <c r="I2054" s="14"/>
      <c r="J2054" s="11"/>
      <c r="K2054" s="12"/>
      <c r="L2054" s="12"/>
      <c r="M2054" s="12"/>
      <c r="N2054" s="31"/>
      <c r="O2054" s="7">
        <f t="shared" si="592"/>
        <v>0</v>
      </c>
    </row>
    <row r="2055" spans="1:17" x14ac:dyDescent="0.15">
      <c r="A2055" s="38" t="s">
        <v>117</v>
      </c>
      <c r="B2055" s="8">
        <v>1</v>
      </c>
      <c r="C2055" s="10"/>
      <c r="D2055" s="10"/>
      <c r="E2055" s="10"/>
      <c r="F2055" s="30"/>
      <c r="G2055" s="7">
        <f t="shared" si="588"/>
        <v>1</v>
      </c>
      <c r="H2055" s="58">
        <v>45069</v>
      </c>
      <c r="I2055" s="14"/>
      <c r="J2055" s="11"/>
      <c r="K2055" s="12"/>
      <c r="L2055" s="12"/>
      <c r="M2055" s="12"/>
      <c r="N2055" s="31"/>
      <c r="O2055" s="7">
        <f t="shared" si="592"/>
        <v>0</v>
      </c>
    </row>
    <row r="2056" spans="1:17" x14ac:dyDescent="0.15">
      <c r="A2056" s="14" t="s">
        <v>29</v>
      </c>
      <c r="B2056" s="8"/>
      <c r="C2056" s="10">
        <v>1</v>
      </c>
      <c r="D2056" s="10"/>
      <c r="E2056" s="10"/>
      <c r="F2056" s="30"/>
      <c r="G2056" s="7">
        <f t="shared" si="588"/>
        <v>1</v>
      </c>
      <c r="H2056" s="57">
        <v>45070</v>
      </c>
      <c r="I2056" s="16"/>
      <c r="J2056" s="11"/>
      <c r="K2056" s="12"/>
      <c r="L2056" s="12"/>
      <c r="M2056" s="12"/>
      <c r="N2056" s="31"/>
      <c r="O2056" s="7">
        <f t="shared" si="592"/>
        <v>0</v>
      </c>
    </row>
    <row r="2057" spans="1:17" x14ac:dyDescent="0.15">
      <c r="A2057" s="14" t="s">
        <v>29</v>
      </c>
      <c r="B2057" s="8"/>
      <c r="C2057" s="10"/>
      <c r="D2057" s="10"/>
      <c r="E2057" s="10"/>
      <c r="F2057" s="30">
        <v>1</v>
      </c>
      <c r="G2057" s="7">
        <f t="shared" si="588"/>
        <v>1</v>
      </c>
      <c r="H2057" s="57">
        <v>45072</v>
      </c>
      <c r="I2057" s="16"/>
      <c r="J2057" s="11"/>
      <c r="K2057" s="12"/>
      <c r="L2057" s="12"/>
      <c r="M2057" s="12"/>
      <c r="N2057" s="31"/>
      <c r="O2057" s="7">
        <f t="shared" si="592"/>
        <v>0</v>
      </c>
    </row>
    <row r="2058" spans="1:17" x14ac:dyDescent="0.15">
      <c r="A2058" s="14" t="s">
        <v>29</v>
      </c>
      <c r="B2058" s="8"/>
      <c r="C2058" s="10"/>
      <c r="D2058" s="10"/>
      <c r="E2058" s="10"/>
      <c r="F2058" s="30">
        <v>1</v>
      </c>
      <c r="G2058" s="7">
        <f t="shared" si="588"/>
        <v>1</v>
      </c>
      <c r="H2058" s="57">
        <v>45077</v>
      </c>
      <c r="I2058" s="16"/>
      <c r="J2058" s="11"/>
      <c r="K2058" s="12"/>
      <c r="L2058" s="12"/>
      <c r="M2058" s="12"/>
      <c r="N2058" s="31"/>
      <c r="O2058" s="7">
        <f t="shared" si="592"/>
        <v>0</v>
      </c>
    </row>
    <row r="2059" spans="1:17" x14ac:dyDescent="0.15">
      <c r="A2059" s="14" t="s">
        <v>29</v>
      </c>
      <c r="B2059" s="8">
        <v>1</v>
      </c>
      <c r="C2059" s="10"/>
      <c r="D2059" s="10"/>
      <c r="E2059" s="10"/>
      <c r="F2059" s="30"/>
      <c r="G2059" s="7">
        <f t="shared" ref="G2059:G2061" si="593">SUM(B2059:F2059)</f>
        <v>1</v>
      </c>
      <c r="H2059" s="57">
        <v>45084</v>
      </c>
      <c r="I2059" s="16"/>
      <c r="J2059" s="11"/>
      <c r="K2059" s="12"/>
      <c r="L2059" s="12"/>
      <c r="M2059" s="12"/>
      <c r="N2059" s="31"/>
      <c r="O2059" s="7">
        <f t="shared" si="592"/>
        <v>0</v>
      </c>
    </row>
    <row r="2060" spans="1:17" x14ac:dyDescent="0.15">
      <c r="A2060" s="14" t="s">
        <v>29</v>
      </c>
      <c r="B2060" s="8"/>
      <c r="C2060" s="10"/>
      <c r="D2060" s="10">
        <v>1</v>
      </c>
      <c r="E2060" s="10"/>
      <c r="F2060" s="30"/>
      <c r="G2060" s="7">
        <f t="shared" si="593"/>
        <v>1</v>
      </c>
      <c r="H2060" s="57">
        <v>45089</v>
      </c>
      <c r="I2060" s="16"/>
      <c r="J2060" s="11"/>
      <c r="K2060" s="12"/>
      <c r="L2060" s="12"/>
      <c r="M2060" s="12"/>
      <c r="N2060" s="31"/>
      <c r="O2060" s="7">
        <f t="shared" ref="O2060:O2061" si="594">SUM(J2060:N2060)</f>
        <v>0</v>
      </c>
    </row>
    <row r="2061" spans="1:17" ht="14.25" thickBot="1" x14ac:dyDescent="0.2">
      <c r="A2061" s="14" t="s">
        <v>29</v>
      </c>
      <c r="B2061" s="11">
        <v>1</v>
      </c>
      <c r="C2061" s="12"/>
      <c r="D2061" s="12"/>
      <c r="E2061" s="12"/>
      <c r="F2061" s="31"/>
      <c r="G2061" s="7">
        <f t="shared" si="593"/>
        <v>1</v>
      </c>
      <c r="H2061" s="57">
        <v>45091</v>
      </c>
      <c r="I2061" s="14" t="s">
        <v>1556</v>
      </c>
      <c r="J2061" s="11"/>
      <c r="K2061" s="12"/>
      <c r="L2061" s="12"/>
      <c r="M2061" s="12"/>
      <c r="N2061" s="31"/>
      <c r="O2061" s="7">
        <f t="shared" si="594"/>
        <v>0</v>
      </c>
      <c r="P2061" s="56" t="s">
        <v>1557</v>
      </c>
      <c r="Q2061" s="56"/>
    </row>
    <row r="2062" spans="1:17" ht="14.25" thickBot="1" x14ac:dyDescent="0.2">
      <c r="A2062" s="3" t="s">
        <v>11</v>
      </c>
      <c r="B2062" s="23">
        <f>SUM(B2036:B2061)</f>
        <v>9</v>
      </c>
      <c r="C2062" s="4">
        <f>SUM(C2036:C2061)</f>
        <v>10</v>
      </c>
      <c r="D2062" s="4">
        <f>SUM(D2036:D2061)</f>
        <v>4</v>
      </c>
      <c r="E2062" s="6">
        <f>SUM(E2036:E2061)</f>
        <v>7</v>
      </c>
      <c r="F2062" s="32">
        <f>SUM(F2036:F2061)</f>
        <v>7</v>
      </c>
      <c r="G2062" s="5">
        <f>SUM(B2062:F2062)</f>
        <v>37</v>
      </c>
      <c r="I2062" s="3" t="s">
        <v>11</v>
      </c>
      <c r="J2062" s="23">
        <f>SUM(J2036:J2061)</f>
        <v>10</v>
      </c>
      <c r="K2062" s="4">
        <f>SUM(K2036:K2061)</f>
        <v>8</v>
      </c>
      <c r="L2062" s="4">
        <f>SUM(L2036:L2061)</f>
        <v>5</v>
      </c>
      <c r="M2062" s="6">
        <f>SUM(M2036:M2061)</f>
        <v>5</v>
      </c>
      <c r="N2062" s="6">
        <f>SUM(N2036:N2061)</f>
        <v>8</v>
      </c>
      <c r="O2062" s="5">
        <f>SUM(J2062:N2062)</f>
        <v>36</v>
      </c>
    </row>
    <row r="2063" spans="1:17" ht="14.25" thickBot="1" x14ac:dyDescent="0.2">
      <c r="A2063" s="25" t="s">
        <v>12</v>
      </c>
      <c r="B2063" s="63">
        <f>B2035-B2062</f>
        <v>7</v>
      </c>
      <c r="C2063" s="26">
        <f t="shared" ref="C2063:G2063" si="595">C2035-C2062</f>
        <v>7</v>
      </c>
      <c r="D2063" s="71">
        <f t="shared" si="595"/>
        <v>7</v>
      </c>
      <c r="E2063" s="26">
        <f t="shared" si="595"/>
        <v>10</v>
      </c>
      <c r="F2063" s="70">
        <f t="shared" si="595"/>
        <v>6</v>
      </c>
      <c r="G2063" s="27">
        <f t="shared" si="595"/>
        <v>37</v>
      </c>
      <c r="I2063" s="25" t="s">
        <v>12</v>
      </c>
      <c r="J2063" s="63">
        <f>J2035-J2062</f>
        <v>130</v>
      </c>
      <c r="K2063" s="26">
        <f t="shared" ref="K2063:O2063" si="596">K2035-K2062</f>
        <v>177</v>
      </c>
      <c r="L2063" s="71">
        <f t="shared" si="596"/>
        <v>162</v>
      </c>
      <c r="M2063" s="26">
        <f t="shared" si="596"/>
        <v>139</v>
      </c>
      <c r="N2063" s="70">
        <f t="shared" si="596"/>
        <v>118</v>
      </c>
      <c r="O2063" s="27">
        <f t="shared" si="596"/>
        <v>726</v>
      </c>
    </row>
    <row r="2064" spans="1:17" ht="21" x14ac:dyDescent="0.2">
      <c r="A2064" s="82" t="s">
        <v>55</v>
      </c>
      <c r="B2064" s="80"/>
      <c r="C2064" s="80"/>
      <c r="D2064" s="80"/>
      <c r="E2064" s="81" t="s">
        <v>53</v>
      </c>
      <c r="F2064" s="80"/>
      <c r="G2064" s="80"/>
      <c r="J2064" s="211">
        <f>J2063/$O$2021*100</f>
        <v>130</v>
      </c>
      <c r="K2064" s="211">
        <f t="shared" ref="K2064:N2064" si="597">K2063/$O$2021*100</f>
        <v>177</v>
      </c>
      <c r="L2064" s="211">
        <f t="shared" si="597"/>
        <v>162</v>
      </c>
      <c r="M2064" s="211">
        <f t="shared" si="597"/>
        <v>139</v>
      </c>
      <c r="N2064" s="211">
        <f t="shared" si="597"/>
        <v>118</v>
      </c>
      <c r="O2064" s="211">
        <f>O2063/$O$2020*100</f>
        <v>95.275590551181097</v>
      </c>
    </row>
    <row r="2065" spans="1:17" ht="14.25" thickBot="1" x14ac:dyDescent="0.2">
      <c r="J2065" s="211"/>
      <c r="K2065" s="211"/>
      <c r="L2065" s="211"/>
      <c r="M2065" s="211"/>
      <c r="N2065" s="211"/>
      <c r="O2065" s="211"/>
    </row>
    <row r="2066" spans="1:17" ht="14.25" thickBot="1" x14ac:dyDescent="0.2">
      <c r="A2066" s="13" t="s">
        <v>0</v>
      </c>
      <c r="B2066" s="228" t="s">
        <v>57</v>
      </c>
      <c r="C2066" s="229"/>
      <c r="D2066" s="229"/>
      <c r="E2066" s="229"/>
      <c r="F2066" s="230"/>
      <c r="G2066" s="231"/>
      <c r="I2066" s="13" t="s">
        <v>0</v>
      </c>
      <c r="J2066" s="232" t="s">
        <v>57</v>
      </c>
      <c r="K2066" s="233"/>
      <c r="L2066" s="233"/>
      <c r="M2066" s="233"/>
      <c r="N2066" s="233"/>
      <c r="O2066" s="234"/>
    </row>
    <row r="2067" spans="1:17" ht="14.25" thickBot="1" x14ac:dyDescent="0.2">
      <c r="A2067" s="3" t="s">
        <v>1</v>
      </c>
      <c r="B2067" s="2" t="s">
        <v>42</v>
      </c>
      <c r="C2067" s="21" t="s">
        <v>43</v>
      </c>
      <c r="D2067" s="21" t="s">
        <v>44</v>
      </c>
      <c r="E2067" s="24" t="s">
        <v>45</v>
      </c>
      <c r="F2067" s="33" t="s">
        <v>46</v>
      </c>
      <c r="G2067" s="3" t="s">
        <v>2</v>
      </c>
      <c r="I2067" s="3" t="s">
        <v>1</v>
      </c>
      <c r="J2067" s="2" t="s">
        <v>42</v>
      </c>
      <c r="K2067" s="21" t="s">
        <v>43</v>
      </c>
      <c r="L2067" s="21" t="s">
        <v>44</v>
      </c>
      <c r="M2067" s="24" t="s">
        <v>45</v>
      </c>
      <c r="N2067" s="33" t="s">
        <v>46</v>
      </c>
      <c r="O2067" s="3" t="s">
        <v>2</v>
      </c>
    </row>
    <row r="2068" spans="1:17" ht="14.25" thickBot="1" x14ac:dyDescent="0.2">
      <c r="A2068" s="72" t="s">
        <v>79</v>
      </c>
      <c r="B2068" s="73">
        <f>B2063</f>
        <v>7</v>
      </c>
      <c r="C2068" s="74">
        <f t="shared" ref="C2068:F2068" si="598">C2063</f>
        <v>7</v>
      </c>
      <c r="D2068" s="107">
        <f t="shared" si="598"/>
        <v>7</v>
      </c>
      <c r="E2068" s="75">
        <f t="shared" si="598"/>
        <v>10</v>
      </c>
      <c r="F2068" s="75">
        <f t="shared" si="598"/>
        <v>6</v>
      </c>
      <c r="G2068" s="76">
        <f t="shared" ref="G2068" si="599">SUM(B2068:F2068)</f>
        <v>37</v>
      </c>
      <c r="I2068" s="72" t="s">
        <v>79</v>
      </c>
      <c r="J2068" s="73">
        <f>J2063</f>
        <v>130</v>
      </c>
      <c r="K2068" s="74">
        <f t="shared" ref="K2068:N2068" si="600">K2063</f>
        <v>177</v>
      </c>
      <c r="L2068" s="107">
        <f t="shared" si="600"/>
        <v>162</v>
      </c>
      <c r="M2068" s="75">
        <f t="shared" si="600"/>
        <v>139</v>
      </c>
      <c r="N2068" s="75">
        <f t="shared" si="600"/>
        <v>118</v>
      </c>
      <c r="O2068" s="76">
        <f t="shared" ref="O2068:O2077" si="601">SUM(J2068:N2068)</f>
        <v>726</v>
      </c>
    </row>
    <row r="2069" spans="1:17" x14ac:dyDescent="0.15">
      <c r="A2069" s="38" t="s">
        <v>15</v>
      </c>
      <c r="B2069" s="11">
        <v>5</v>
      </c>
      <c r="C2069" s="100">
        <v>3</v>
      </c>
      <c r="D2069" s="100">
        <v>3</v>
      </c>
      <c r="E2069" s="100"/>
      <c r="F2069" s="101"/>
      <c r="G2069" s="102">
        <f t="shared" ref="G2069:G2075" si="602">SUM(B2069:F2069)</f>
        <v>11</v>
      </c>
      <c r="H2069" s="58">
        <v>45148</v>
      </c>
      <c r="I2069" s="15" t="s">
        <v>15</v>
      </c>
      <c r="J2069" s="8"/>
      <c r="K2069" s="10"/>
      <c r="L2069" s="10"/>
      <c r="M2069" s="10"/>
      <c r="N2069" s="30"/>
      <c r="O2069" s="7">
        <f t="shared" ref="O2069:O2075" si="603">SUM(J2069:N2069)</f>
        <v>0</v>
      </c>
    </row>
    <row r="2070" spans="1:17" x14ac:dyDescent="0.15">
      <c r="A2070" s="38" t="s">
        <v>1348</v>
      </c>
      <c r="B2070" s="11">
        <v>0</v>
      </c>
      <c r="C2070" s="100">
        <v>0</v>
      </c>
      <c r="D2070" s="100">
        <v>0</v>
      </c>
      <c r="E2070" s="100">
        <v>0</v>
      </c>
      <c r="F2070" s="101">
        <v>0</v>
      </c>
      <c r="G2070" s="102">
        <f t="shared" si="602"/>
        <v>0</v>
      </c>
      <c r="H2070" s="58">
        <v>45162</v>
      </c>
      <c r="I2070" s="15" t="s">
        <v>16</v>
      </c>
      <c r="J2070" s="8"/>
      <c r="K2070" s="10"/>
      <c r="L2070" s="10"/>
      <c r="M2070" s="10"/>
      <c r="N2070" s="30"/>
      <c r="O2070" s="7">
        <f t="shared" si="603"/>
        <v>0</v>
      </c>
    </row>
    <row r="2071" spans="1:17" x14ac:dyDescent="0.15">
      <c r="A2071" s="38" t="s">
        <v>18</v>
      </c>
      <c r="B2071" s="11"/>
      <c r="C2071" s="100">
        <v>5</v>
      </c>
      <c r="D2071" s="100"/>
      <c r="E2071" s="100"/>
      <c r="F2071" s="101"/>
      <c r="G2071" s="102">
        <f t="shared" si="602"/>
        <v>5</v>
      </c>
      <c r="H2071" s="58">
        <v>45167</v>
      </c>
      <c r="I2071" s="15" t="s">
        <v>18</v>
      </c>
      <c r="J2071" s="8"/>
      <c r="K2071" s="10"/>
      <c r="L2071" s="10"/>
      <c r="M2071" s="10"/>
      <c r="N2071" s="30"/>
      <c r="O2071" s="7">
        <f t="shared" si="603"/>
        <v>0</v>
      </c>
    </row>
    <row r="2072" spans="1:17" x14ac:dyDescent="0.15">
      <c r="A2072" s="38" t="s">
        <v>20</v>
      </c>
      <c r="B2072" s="11"/>
      <c r="C2072" s="100"/>
      <c r="D2072" s="100"/>
      <c r="E2072" s="100"/>
      <c r="F2072" s="101"/>
      <c r="G2072" s="102">
        <f t="shared" si="602"/>
        <v>0</v>
      </c>
      <c r="H2072" s="57"/>
      <c r="I2072" s="15" t="s">
        <v>20</v>
      </c>
      <c r="J2072" s="8"/>
      <c r="K2072" s="10"/>
      <c r="L2072" s="10"/>
      <c r="M2072" s="10"/>
      <c r="N2072" s="30"/>
      <c r="O2072" s="7">
        <f t="shared" si="603"/>
        <v>0</v>
      </c>
    </row>
    <row r="2073" spans="1:17" x14ac:dyDescent="0.15">
      <c r="A2073" s="38" t="s">
        <v>80</v>
      </c>
      <c r="B2073" s="11"/>
      <c r="C2073" s="100"/>
      <c r="D2073" s="100"/>
      <c r="E2073" s="100"/>
      <c r="F2073" s="101"/>
      <c r="G2073" s="102">
        <f t="shared" si="602"/>
        <v>0</v>
      </c>
      <c r="H2073" s="57"/>
      <c r="I2073" s="15" t="s">
        <v>80</v>
      </c>
      <c r="J2073" s="8"/>
      <c r="K2073" s="10"/>
      <c r="L2073" s="10"/>
      <c r="M2073" s="10"/>
      <c r="N2073" s="30"/>
      <c r="O2073" s="7">
        <f t="shared" si="603"/>
        <v>0</v>
      </c>
    </row>
    <row r="2074" spans="1:17" x14ac:dyDescent="0.15">
      <c r="A2074" s="38" t="s">
        <v>81</v>
      </c>
      <c r="B2074" s="11"/>
      <c r="C2074" s="100"/>
      <c r="D2074" s="100"/>
      <c r="E2074" s="100"/>
      <c r="F2074" s="101"/>
      <c r="G2074" s="102">
        <f t="shared" si="602"/>
        <v>0</v>
      </c>
      <c r="H2074" s="57"/>
      <c r="I2074" s="15" t="s">
        <v>81</v>
      </c>
      <c r="J2074" s="8"/>
      <c r="K2074" s="10"/>
      <c r="L2074" s="10"/>
      <c r="M2074" s="10"/>
      <c r="N2074" s="30"/>
      <c r="O2074" s="7">
        <f t="shared" si="603"/>
        <v>0</v>
      </c>
    </row>
    <row r="2075" spans="1:17" x14ac:dyDescent="0.15">
      <c r="A2075" s="38" t="s">
        <v>82</v>
      </c>
      <c r="B2075" s="11"/>
      <c r="C2075" s="100"/>
      <c r="D2075" s="100"/>
      <c r="E2075" s="100"/>
      <c r="F2075" s="101"/>
      <c r="G2075" s="102">
        <f t="shared" si="602"/>
        <v>0</v>
      </c>
      <c r="H2075" s="57"/>
      <c r="I2075" s="15" t="s">
        <v>82</v>
      </c>
      <c r="J2075" s="8"/>
      <c r="K2075" s="10"/>
      <c r="L2075" s="10"/>
      <c r="M2075" s="10"/>
      <c r="N2075" s="30"/>
      <c r="O2075" s="7">
        <f t="shared" si="603"/>
        <v>0</v>
      </c>
    </row>
    <row r="2076" spans="1:17" x14ac:dyDescent="0.15">
      <c r="A2076" s="38" t="s">
        <v>83</v>
      </c>
      <c r="B2076" s="11"/>
      <c r="C2076" s="100"/>
      <c r="D2076" s="100"/>
      <c r="E2076" s="100"/>
      <c r="F2076" s="101"/>
      <c r="G2076" s="102">
        <f t="shared" ref="G2076" si="604">SUM(B2076:F2076)</f>
        <v>0</v>
      </c>
      <c r="H2076" s="57"/>
      <c r="I2076" s="15" t="s">
        <v>83</v>
      </c>
      <c r="J2076" s="8"/>
      <c r="K2076" s="10"/>
      <c r="L2076" s="10"/>
      <c r="M2076" s="10"/>
      <c r="N2076" s="30"/>
      <c r="O2076" s="7">
        <f t="shared" si="601"/>
        <v>0</v>
      </c>
    </row>
    <row r="2077" spans="1:17" ht="14.25" thickBot="1" x14ac:dyDescent="0.2">
      <c r="A2077" s="38" t="s">
        <v>159</v>
      </c>
      <c r="B2077" s="11"/>
      <c r="C2077" s="100"/>
      <c r="D2077" s="100"/>
      <c r="E2077" s="100"/>
      <c r="F2077" s="101"/>
      <c r="G2077" s="102">
        <f t="shared" ref="G2077" si="605">SUM(B2077:F2077)</f>
        <v>0</v>
      </c>
      <c r="H2077" s="57"/>
      <c r="I2077" s="15" t="s">
        <v>1583</v>
      </c>
      <c r="J2077" s="11">
        <v>0</v>
      </c>
      <c r="K2077" s="100">
        <v>1</v>
      </c>
      <c r="L2077" s="100">
        <v>1</v>
      </c>
      <c r="M2077" s="100">
        <v>1</v>
      </c>
      <c r="N2077" s="101">
        <v>1</v>
      </c>
      <c r="O2077" s="102">
        <f t="shared" si="601"/>
        <v>4</v>
      </c>
      <c r="P2077" s="57">
        <v>45185</v>
      </c>
    </row>
    <row r="2078" spans="1:17" ht="14.25" thickBot="1" x14ac:dyDescent="0.2">
      <c r="A2078" s="72" t="s">
        <v>7</v>
      </c>
      <c r="B2078" s="73">
        <f>SUM(B2068:B2077)</f>
        <v>12</v>
      </c>
      <c r="C2078" s="74">
        <f t="shared" ref="C2078:G2078" si="606">SUM(C2068:C2077)</f>
        <v>15</v>
      </c>
      <c r="D2078" s="74">
        <f t="shared" si="606"/>
        <v>10</v>
      </c>
      <c r="E2078" s="74">
        <f t="shared" si="606"/>
        <v>10</v>
      </c>
      <c r="F2078" s="105">
        <f t="shared" si="606"/>
        <v>6</v>
      </c>
      <c r="G2078" s="76">
        <f t="shared" si="606"/>
        <v>53</v>
      </c>
      <c r="I2078" s="72" t="s">
        <v>7</v>
      </c>
      <c r="J2078" s="73">
        <f>SUM(J2068:J2077)</f>
        <v>130</v>
      </c>
      <c r="K2078" s="74">
        <f t="shared" ref="K2078:O2078" si="607">SUM(K2068:K2077)</f>
        <v>178</v>
      </c>
      <c r="L2078" s="74">
        <f t="shared" si="607"/>
        <v>163</v>
      </c>
      <c r="M2078" s="74">
        <f t="shared" si="607"/>
        <v>140</v>
      </c>
      <c r="N2078" s="105">
        <f t="shared" si="607"/>
        <v>119</v>
      </c>
      <c r="O2078" s="76">
        <f t="shared" si="607"/>
        <v>730</v>
      </c>
    </row>
    <row r="2079" spans="1:17" x14ac:dyDescent="0.15">
      <c r="A2079" s="14" t="s">
        <v>29</v>
      </c>
      <c r="B2079" s="8">
        <v>1</v>
      </c>
      <c r="C2079" s="10"/>
      <c r="D2079" s="10"/>
      <c r="E2079" s="10"/>
      <c r="F2079" s="30"/>
      <c r="G2079" s="7">
        <f t="shared" ref="G2079:G2102" si="608">SUM(B2079:F2079)</f>
        <v>1</v>
      </c>
      <c r="H2079" s="57">
        <v>45093</v>
      </c>
      <c r="I2079" s="16" t="s">
        <v>1578</v>
      </c>
      <c r="J2079" s="11">
        <v>5</v>
      </c>
      <c r="K2079" s="12">
        <v>3</v>
      </c>
      <c r="L2079" s="12">
        <v>3</v>
      </c>
      <c r="M2079" s="12"/>
      <c r="N2079" s="31"/>
      <c r="O2079" s="7">
        <f t="shared" ref="O2079:O2080" si="609">SUM(J2079:N2079)</f>
        <v>11</v>
      </c>
      <c r="P2079" s="58">
        <v>45148</v>
      </c>
    </row>
    <row r="2080" spans="1:17" x14ac:dyDescent="0.15">
      <c r="A2080" s="14" t="s">
        <v>29</v>
      </c>
      <c r="B2080" s="8"/>
      <c r="C2080" s="10"/>
      <c r="D2080" s="10">
        <v>1</v>
      </c>
      <c r="E2080" s="10">
        <v>1</v>
      </c>
      <c r="F2080" s="30"/>
      <c r="G2080" s="7">
        <f t="shared" si="608"/>
        <v>2</v>
      </c>
      <c r="H2080" s="57">
        <v>45100</v>
      </c>
      <c r="I2080" s="16" t="s">
        <v>24</v>
      </c>
      <c r="J2080" s="11"/>
      <c r="K2080" s="12">
        <v>5</v>
      </c>
      <c r="L2080" s="12"/>
      <c r="M2080" s="12"/>
      <c r="N2080" s="31"/>
      <c r="O2080" s="7">
        <f t="shared" si="609"/>
        <v>5</v>
      </c>
      <c r="P2080" s="58">
        <v>45167</v>
      </c>
      <c r="Q2080" s="68"/>
    </row>
    <row r="2081" spans="1:15" x14ac:dyDescent="0.15">
      <c r="A2081" s="14" t="s">
        <v>1575</v>
      </c>
      <c r="B2081" s="8"/>
      <c r="C2081" s="10"/>
      <c r="D2081" s="10"/>
      <c r="E2081" s="10">
        <v>1</v>
      </c>
      <c r="F2081" s="30"/>
      <c r="G2081" s="7">
        <f t="shared" si="608"/>
        <v>1</v>
      </c>
      <c r="H2081" s="58">
        <v>45104</v>
      </c>
      <c r="I2081" s="16"/>
      <c r="J2081" s="11"/>
      <c r="K2081" s="12"/>
      <c r="L2081" s="12"/>
      <c r="M2081" s="12"/>
      <c r="N2081" s="31"/>
      <c r="O2081" s="7">
        <f t="shared" ref="O2081:O2102" si="610">SUM(J2081:N2081)</f>
        <v>0</v>
      </c>
    </row>
    <row r="2082" spans="1:15" x14ac:dyDescent="0.15">
      <c r="A2082" s="14" t="s">
        <v>29</v>
      </c>
      <c r="B2082" s="8"/>
      <c r="C2082" s="10">
        <v>1</v>
      </c>
      <c r="D2082" s="10"/>
      <c r="E2082" s="10"/>
      <c r="F2082" s="30">
        <v>1</v>
      </c>
      <c r="G2082" s="7">
        <f t="shared" si="608"/>
        <v>2</v>
      </c>
      <c r="H2082" s="57">
        <v>45111</v>
      </c>
      <c r="I2082" s="16"/>
      <c r="J2082" s="11"/>
      <c r="K2082" s="12"/>
      <c r="L2082" s="12"/>
      <c r="M2082" s="12"/>
      <c r="N2082" s="31"/>
      <c r="O2082" s="7">
        <f t="shared" si="610"/>
        <v>0</v>
      </c>
    </row>
    <row r="2083" spans="1:15" x14ac:dyDescent="0.15">
      <c r="A2083" s="14" t="s">
        <v>29</v>
      </c>
      <c r="B2083" s="8"/>
      <c r="C2083" s="10"/>
      <c r="D2083" s="10"/>
      <c r="E2083" s="10"/>
      <c r="F2083" s="30">
        <v>1</v>
      </c>
      <c r="G2083" s="7">
        <f t="shared" si="608"/>
        <v>1</v>
      </c>
      <c r="H2083" s="57">
        <v>45112</v>
      </c>
      <c r="I2083" s="16"/>
      <c r="J2083" s="11"/>
      <c r="K2083" s="12"/>
      <c r="L2083" s="12"/>
      <c r="M2083" s="12"/>
      <c r="N2083" s="31"/>
      <c r="O2083" s="7">
        <f t="shared" si="610"/>
        <v>0</v>
      </c>
    </row>
    <row r="2084" spans="1:15" x14ac:dyDescent="0.15">
      <c r="A2084" s="14" t="s">
        <v>29</v>
      </c>
      <c r="B2084" s="8"/>
      <c r="C2084" s="10"/>
      <c r="D2084" s="10">
        <v>1</v>
      </c>
      <c r="E2084" s="10"/>
      <c r="F2084" s="30"/>
      <c r="G2084" s="7">
        <f t="shared" si="608"/>
        <v>1</v>
      </c>
      <c r="H2084" s="57">
        <v>45117</v>
      </c>
      <c r="I2084" s="16"/>
      <c r="J2084" s="11"/>
      <c r="K2084" s="12"/>
      <c r="L2084" s="12"/>
      <c r="M2084" s="12"/>
      <c r="N2084" s="31"/>
      <c r="O2084" s="7">
        <f t="shared" si="610"/>
        <v>0</v>
      </c>
    </row>
    <row r="2085" spans="1:15" x14ac:dyDescent="0.15">
      <c r="A2085" s="14" t="s">
        <v>29</v>
      </c>
      <c r="B2085" s="8">
        <v>1</v>
      </c>
      <c r="C2085" s="10"/>
      <c r="D2085" s="10">
        <v>1</v>
      </c>
      <c r="E2085" s="10"/>
      <c r="F2085" s="30"/>
      <c r="G2085" s="7">
        <f t="shared" si="608"/>
        <v>2</v>
      </c>
      <c r="H2085" s="57">
        <v>45119</v>
      </c>
      <c r="I2085" s="16"/>
      <c r="J2085" s="11"/>
      <c r="K2085" s="12"/>
      <c r="L2085" s="12"/>
      <c r="M2085" s="12"/>
      <c r="N2085" s="31"/>
      <c r="O2085" s="7">
        <f t="shared" si="610"/>
        <v>0</v>
      </c>
    </row>
    <row r="2086" spans="1:15" x14ac:dyDescent="0.15">
      <c r="A2086" s="14" t="s">
        <v>29</v>
      </c>
      <c r="B2086" s="8"/>
      <c r="C2086" s="10">
        <v>1</v>
      </c>
      <c r="D2086" s="10"/>
      <c r="E2086" s="10"/>
      <c r="F2086" s="30"/>
      <c r="G2086" s="7">
        <f t="shared" si="608"/>
        <v>1</v>
      </c>
      <c r="H2086" s="57">
        <v>45125</v>
      </c>
      <c r="I2086" s="16"/>
      <c r="J2086" s="11"/>
      <c r="K2086" s="12"/>
      <c r="L2086" s="12"/>
      <c r="M2086" s="12"/>
      <c r="N2086" s="31"/>
      <c r="O2086" s="7">
        <f t="shared" si="610"/>
        <v>0</v>
      </c>
    </row>
    <row r="2087" spans="1:15" x14ac:dyDescent="0.15">
      <c r="A2087" s="14" t="s">
        <v>29</v>
      </c>
      <c r="B2087" s="8"/>
      <c r="C2087" s="10"/>
      <c r="D2087" s="10">
        <v>1</v>
      </c>
      <c r="E2087" s="10"/>
      <c r="F2087" s="30"/>
      <c r="G2087" s="7">
        <f t="shared" si="608"/>
        <v>1</v>
      </c>
      <c r="H2087" s="57">
        <v>45126</v>
      </c>
      <c r="I2087" s="16"/>
      <c r="J2087" s="11"/>
      <c r="K2087" s="12"/>
      <c r="L2087" s="12"/>
      <c r="M2087" s="12"/>
      <c r="N2087" s="31"/>
      <c r="O2087" s="7">
        <f t="shared" si="610"/>
        <v>0</v>
      </c>
    </row>
    <row r="2088" spans="1:15" x14ac:dyDescent="0.15">
      <c r="A2088" s="14" t="s">
        <v>29</v>
      </c>
      <c r="B2088" s="8"/>
      <c r="C2088" s="10">
        <v>1</v>
      </c>
      <c r="D2088" s="10"/>
      <c r="E2088" s="10"/>
      <c r="F2088" s="30"/>
      <c r="G2088" s="7">
        <f t="shared" si="608"/>
        <v>1</v>
      </c>
      <c r="H2088" s="57">
        <v>45127</v>
      </c>
      <c r="I2088" s="16"/>
      <c r="J2088" s="11"/>
      <c r="K2088" s="12"/>
      <c r="L2088" s="12"/>
      <c r="M2088" s="12"/>
      <c r="N2088" s="31"/>
      <c r="O2088" s="7">
        <f t="shared" si="610"/>
        <v>0</v>
      </c>
    </row>
    <row r="2089" spans="1:15" x14ac:dyDescent="0.15">
      <c r="A2089" s="14" t="s">
        <v>29</v>
      </c>
      <c r="B2089" s="8">
        <v>1</v>
      </c>
      <c r="C2089" s="10"/>
      <c r="D2089" s="10"/>
      <c r="E2089" s="10"/>
      <c r="F2089" s="30"/>
      <c r="G2089" s="7">
        <f t="shared" si="608"/>
        <v>1</v>
      </c>
      <c r="H2089" s="57">
        <v>45133</v>
      </c>
      <c r="I2089" s="16"/>
      <c r="J2089" s="11"/>
      <c r="K2089" s="12"/>
      <c r="L2089" s="12"/>
      <c r="M2089" s="12"/>
      <c r="N2089" s="31"/>
      <c r="O2089" s="7">
        <f t="shared" si="610"/>
        <v>0</v>
      </c>
    </row>
    <row r="2090" spans="1:15" x14ac:dyDescent="0.15">
      <c r="A2090" s="14" t="s">
        <v>117</v>
      </c>
      <c r="B2090" s="8"/>
      <c r="C2090" s="10"/>
      <c r="D2090" s="10"/>
      <c r="E2090" s="10"/>
      <c r="F2090" s="30">
        <v>1</v>
      </c>
      <c r="G2090" s="7">
        <f t="shared" si="608"/>
        <v>1</v>
      </c>
      <c r="H2090" s="58">
        <v>45135</v>
      </c>
      <c r="I2090" s="16"/>
      <c r="J2090" s="11"/>
      <c r="K2090" s="12"/>
      <c r="L2090" s="12"/>
      <c r="M2090" s="12"/>
      <c r="N2090" s="31"/>
      <c r="O2090" s="7">
        <f t="shared" si="610"/>
        <v>0</v>
      </c>
    </row>
    <row r="2091" spans="1:15" x14ac:dyDescent="0.15">
      <c r="A2091" s="14" t="s">
        <v>117</v>
      </c>
      <c r="B2091" s="8"/>
      <c r="C2091" s="10"/>
      <c r="D2091" s="10">
        <v>1</v>
      </c>
      <c r="E2091" s="10"/>
      <c r="F2091" s="30"/>
      <c r="G2091" s="7">
        <f t="shared" si="608"/>
        <v>1</v>
      </c>
      <c r="H2091" s="58">
        <v>45140</v>
      </c>
      <c r="I2091" s="16"/>
      <c r="J2091" s="11"/>
      <c r="K2091" s="12"/>
      <c r="L2091" s="12"/>
      <c r="M2091" s="12"/>
      <c r="N2091" s="31"/>
      <c r="O2091" s="7">
        <f t="shared" si="610"/>
        <v>0</v>
      </c>
    </row>
    <row r="2092" spans="1:15" x14ac:dyDescent="0.15">
      <c r="A2092" s="14" t="s">
        <v>29</v>
      </c>
      <c r="B2092" s="8"/>
      <c r="C2092" s="10">
        <v>1</v>
      </c>
      <c r="D2092" s="10"/>
      <c r="E2092" s="10"/>
      <c r="F2092" s="30"/>
      <c r="G2092" s="7">
        <f t="shared" si="608"/>
        <v>1</v>
      </c>
      <c r="H2092" s="57">
        <v>45140</v>
      </c>
      <c r="I2092" s="16"/>
      <c r="J2092" s="11"/>
      <c r="K2092" s="12"/>
      <c r="L2092" s="12"/>
      <c r="M2092" s="12"/>
      <c r="N2092" s="31"/>
      <c r="O2092" s="7">
        <f t="shared" si="610"/>
        <v>0</v>
      </c>
    </row>
    <row r="2093" spans="1:15" x14ac:dyDescent="0.15">
      <c r="A2093" s="14" t="s">
        <v>29</v>
      </c>
      <c r="B2093" s="8"/>
      <c r="C2093" s="10">
        <v>1</v>
      </c>
      <c r="D2093" s="10"/>
      <c r="E2093" s="10"/>
      <c r="F2093" s="30"/>
      <c r="G2093" s="7">
        <f t="shared" si="608"/>
        <v>1</v>
      </c>
      <c r="H2093" s="57">
        <v>45141</v>
      </c>
      <c r="I2093" s="16"/>
      <c r="J2093" s="11"/>
      <c r="K2093" s="12"/>
      <c r="L2093" s="12"/>
      <c r="M2093" s="12"/>
      <c r="N2093" s="31"/>
      <c r="O2093" s="7">
        <f t="shared" si="610"/>
        <v>0</v>
      </c>
    </row>
    <row r="2094" spans="1:15" x14ac:dyDescent="0.15">
      <c r="A2094" s="14" t="s">
        <v>29</v>
      </c>
      <c r="B2094" s="8"/>
      <c r="C2094" s="10"/>
      <c r="D2094" s="10"/>
      <c r="E2094" s="10">
        <v>1</v>
      </c>
      <c r="F2094" s="30"/>
      <c r="G2094" s="7">
        <f t="shared" si="608"/>
        <v>1</v>
      </c>
      <c r="H2094" s="57">
        <v>45142</v>
      </c>
      <c r="I2094" s="16"/>
      <c r="J2094" s="11"/>
      <c r="K2094" s="12"/>
      <c r="L2094" s="12"/>
      <c r="M2094" s="12"/>
      <c r="N2094" s="31"/>
      <c r="O2094" s="7">
        <f t="shared" si="610"/>
        <v>0</v>
      </c>
    </row>
    <row r="2095" spans="1:15" x14ac:dyDescent="0.15">
      <c r="A2095" s="14" t="s">
        <v>1577</v>
      </c>
      <c r="B2095" s="8">
        <v>1</v>
      </c>
      <c r="C2095" s="10"/>
      <c r="D2095" s="10"/>
      <c r="E2095" s="10"/>
      <c r="F2095" s="30"/>
      <c r="G2095" s="7">
        <f t="shared" si="608"/>
        <v>1</v>
      </c>
      <c r="H2095" s="57">
        <v>45146</v>
      </c>
      <c r="I2095" s="16"/>
      <c r="J2095" s="11"/>
      <c r="K2095" s="12"/>
      <c r="L2095" s="12"/>
      <c r="M2095" s="12"/>
      <c r="N2095" s="31"/>
      <c r="O2095" s="7">
        <f t="shared" si="610"/>
        <v>0</v>
      </c>
    </row>
    <row r="2096" spans="1:15" x14ac:dyDescent="0.15">
      <c r="A2096" s="14" t="s">
        <v>29</v>
      </c>
      <c r="B2096" s="8">
        <v>1</v>
      </c>
      <c r="C2096" s="10"/>
      <c r="D2096" s="10"/>
      <c r="E2096" s="10"/>
      <c r="F2096" s="30"/>
      <c r="G2096" s="7">
        <f t="shared" si="608"/>
        <v>1</v>
      </c>
      <c r="H2096" s="57">
        <v>45143</v>
      </c>
      <c r="I2096" s="16"/>
      <c r="J2096" s="11"/>
      <c r="K2096" s="12"/>
      <c r="L2096" s="12"/>
      <c r="M2096" s="12"/>
      <c r="N2096" s="31"/>
      <c r="O2096" s="7">
        <f t="shared" si="610"/>
        <v>0</v>
      </c>
    </row>
    <row r="2097" spans="1:17" x14ac:dyDescent="0.15">
      <c r="A2097" s="14" t="s">
        <v>29</v>
      </c>
      <c r="B2097" s="8"/>
      <c r="C2097" s="10">
        <v>1</v>
      </c>
      <c r="D2097" s="10"/>
      <c r="E2097" s="10"/>
      <c r="F2097" s="30"/>
      <c r="G2097" s="7">
        <f t="shared" si="608"/>
        <v>1</v>
      </c>
      <c r="H2097" s="57">
        <v>45145</v>
      </c>
      <c r="I2097" s="16"/>
      <c r="J2097" s="11"/>
      <c r="K2097" s="12"/>
      <c r="L2097" s="12"/>
      <c r="M2097" s="12"/>
      <c r="N2097" s="31"/>
      <c r="O2097" s="7">
        <f t="shared" si="610"/>
        <v>0</v>
      </c>
    </row>
    <row r="2098" spans="1:17" x14ac:dyDescent="0.15">
      <c r="A2098" s="14" t="s">
        <v>29</v>
      </c>
      <c r="B2098" s="8">
        <v>1</v>
      </c>
      <c r="C2098" s="10"/>
      <c r="D2098" s="10"/>
      <c r="E2098" s="10">
        <v>1</v>
      </c>
      <c r="F2098" s="30"/>
      <c r="G2098" s="7">
        <f t="shared" si="608"/>
        <v>2</v>
      </c>
      <c r="H2098" s="57">
        <v>45146</v>
      </c>
      <c r="I2098" s="16"/>
      <c r="J2098" s="11"/>
      <c r="K2098" s="12"/>
      <c r="L2098" s="12"/>
      <c r="M2098" s="12"/>
      <c r="N2098" s="31"/>
      <c r="O2098" s="7">
        <f t="shared" si="610"/>
        <v>0</v>
      </c>
    </row>
    <row r="2099" spans="1:17" x14ac:dyDescent="0.15">
      <c r="A2099" s="14" t="s">
        <v>29</v>
      </c>
      <c r="B2099" s="8"/>
      <c r="C2099" s="10">
        <v>1</v>
      </c>
      <c r="D2099" s="10"/>
      <c r="E2099" s="10"/>
      <c r="F2099" s="30"/>
      <c r="G2099" s="7">
        <f t="shared" si="608"/>
        <v>1</v>
      </c>
      <c r="H2099" s="57">
        <v>45148</v>
      </c>
      <c r="I2099" s="16"/>
      <c r="J2099" s="11"/>
      <c r="K2099" s="12"/>
      <c r="L2099" s="12"/>
      <c r="M2099" s="12"/>
      <c r="N2099" s="31"/>
      <c r="O2099" s="7">
        <f t="shared" si="610"/>
        <v>0</v>
      </c>
    </row>
    <row r="2100" spans="1:17" x14ac:dyDescent="0.15">
      <c r="A2100" s="14" t="s">
        <v>29</v>
      </c>
      <c r="B2100" s="8">
        <v>1</v>
      </c>
      <c r="C2100" s="10"/>
      <c r="D2100" s="10"/>
      <c r="E2100" s="10"/>
      <c r="F2100" s="30"/>
      <c r="G2100" s="7">
        <f t="shared" si="608"/>
        <v>1</v>
      </c>
      <c r="H2100" s="57">
        <v>45156</v>
      </c>
      <c r="I2100" s="16"/>
      <c r="J2100" s="11"/>
      <c r="K2100" s="12"/>
      <c r="L2100" s="12"/>
      <c r="M2100" s="12"/>
      <c r="N2100" s="31"/>
      <c r="O2100" s="7">
        <f t="shared" si="610"/>
        <v>0</v>
      </c>
    </row>
    <row r="2101" spans="1:17" x14ac:dyDescent="0.15">
      <c r="A2101" s="14" t="s">
        <v>29</v>
      </c>
      <c r="B2101" s="8"/>
      <c r="C2101" s="10"/>
      <c r="D2101" s="10">
        <v>1</v>
      </c>
      <c r="E2101" s="10"/>
      <c r="F2101" s="30"/>
      <c r="G2101" s="7">
        <f t="shared" si="608"/>
        <v>1</v>
      </c>
      <c r="H2101" s="57">
        <v>45157</v>
      </c>
      <c r="I2101" s="16"/>
      <c r="J2101" s="11"/>
      <c r="K2101" s="12"/>
      <c r="L2101" s="12"/>
      <c r="M2101" s="12"/>
      <c r="N2101" s="31"/>
      <c r="O2101" s="7">
        <f t="shared" si="610"/>
        <v>0</v>
      </c>
    </row>
    <row r="2102" spans="1:17" x14ac:dyDescent="0.15">
      <c r="A2102" s="14" t="s">
        <v>29</v>
      </c>
      <c r="B2102" s="8"/>
      <c r="C2102" s="10">
        <v>2</v>
      </c>
      <c r="D2102" s="10"/>
      <c r="E2102" s="10"/>
      <c r="F2102" s="30"/>
      <c r="G2102" s="7">
        <f t="shared" si="608"/>
        <v>2</v>
      </c>
      <c r="H2102" s="57">
        <v>45162</v>
      </c>
      <c r="I2102" s="16"/>
      <c r="J2102" s="11"/>
      <c r="K2102" s="12"/>
      <c r="L2102" s="12"/>
      <c r="M2102" s="12"/>
      <c r="N2102" s="31"/>
      <c r="O2102" s="7">
        <f t="shared" si="610"/>
        <v>0</v>
      </c>
    </row>
    <row r="2103" spans="1:17" x14ac:dyDescent="0.15">
      <c r="A2103" s="14" t="s">
        <v>29</v>
      </c>
      <c r="B2103" s="8">
        <v>1</v>
      </c>
      <c r="C2103" s="10"/>
      <c r="D2103" s="10"/>
      <c r="E2103" s="10"/>
      <c r="F2103" s="30"/>
      <c r="G2103" s="7">
        <f t="shared" ref="G2103:G2104" si="611">SUM(B2103:F2103)</f>
        <v>1</v>
      </c>
      <c r="H2103" s="57">
        <v>45176</v>
      </c>
      <c r="I2103" s="16"/>
      <c r="J2103" s="11"/>
      <c r="K2103" s="12"/>
      <c r="L2103" s="12"/>
      <c r="M2103" s="12"/>
      <c r="N2103" s="31"/>
      <c r="O2103" s="7">
        <f t="shared" ref="O2103:O2104" si="612">SUM(J2103:N2103)</f>
        <v>0</v>
      </c>
    </row>
    <row r="2104" spans="1:17" ht="14.25" thickBot="1" x14ac:dyDescent="0.2">
      <c r="A2104" s="14" t="s">
        <v>29</v>
      </c>
      <c r="B2104" s="8">
        <v>1</v>
      </c>
      <c r="C2104" s="10"/>
      <c r="D2104" s="10"/>
      <c r="E2104" s="10"/>
      <c r="F2104" s="30"/>
      <c r="G2104" s="7">
        <f t="shared" si="611"/>
        <v>1</v>
      </c>
      <c r="H2104" s="57">
        <v>45188</v>
      </c>
      <c r="I2104" s="16"/>
      <c r="J2104" s="11"/>
      <c r="K2104" s="12"/>
      <c r="L2104" s="12"/>
      <c r="M2104" s="12"/>
      <c r="N2104" s="31"/>
      <c r="O2104" s="7">
        <f t="shared" si="612"/>
        <v>0</v>
      </c>
      <c r="Q2104" s="56"/>
    </row>
    <row r="2105" spans="1:17" ht="14.25" thickBot="1" x14ac:dyDescent="0.2">
      <c r="A2105" s="3" t="s">
        <v>11</v>
      </c>
      <c r="B2105" s="23">
        <f>SUM(B2079:B2104)</f>
        <v>9</v>
      </c>
      <c r="C2105" s="4">
        <f>SUM(C2079:C2104)</f>
        <v>9</v>
      </c>
      <c r="D2105" s="4">
        <f>SUM(D2079:D2104)</f>
        <v>6</v>
      </c>
      <c r="E2105" s="6">
        <f>SUM(E2079:E2104)</f>
        <v>4</v>
      </c>
      <c r="F2105" s="32">
        <f>SUM(F2079:F2104)</f>
        <v>3</v>
      </c>
      <c r="G2105" s="5">
        <f>SUM(B2105:F2105)</f>
        <v>31</v>
      </c>
      <c r="I2105" s="3" t="s">
        <v>11</v>
      </c>
      <c r="J2105" s="23">
        <f>SUM(J2079:J2104)</f>
        <v>5</v>
      </c>
      <c r="K2105" s="4">
        <f>SUM(K2079:K2104)</f>
        <v>8</v>
      </c>
      <c r="L2105" s="4">
        <f>SUM(L2079:L2104)</f>
        <v>3</v>
      </c>
      <c r="M2105" s="6">
        <f>SUM(M2079:M2104)</f>
        <v>0</v>
      </c>
      <c r="N2105" s="6">
        <f>SUM(N2079:N2104)</f>
        <v>0</v>
      </c>
      <c r="O2105" s="5">
        <f>SUM(J2105:N2105)</f>
        <v>16</v>
      </c>
    </row>
    <row r="2106" spans="1:17" ht="14.25" thickBot="1" x14ac:dyDescent="0.2">
      <c r="A2106" s="25" t="s">
        <v>12</v>
      </c>
      <c r="B2106" s="63">
        <f>B2078-B2105</f>
        <v>3</v>
      </c>
      <c r="C2106" s="26">
        <f t="shared" ref="C2106:G2106" si="613">C2078-C2105</f>
        <v>6</v>
      </c>
      <c r="D2106" s="71">
        <f t="shared" si="613"/>
        <v>4</v>
      </c>
      <c r="E2106" s="26">
        <f t="shared" si="613"/>
        <v>6</v>
      </c>
      <c r="F2106" s="70">
        <f t="shared" si="613"/>
        <v>3</v>
      </c>
      <c r="G2106" s="27">
        <f t="shared" si="613"/>
        <v>22</v>
      </c>
      <c r="I2106" s="25" t="s">
        <v>12</v>
      </c>
      <c r="J2106" s="63">
        <f>J2078-J2105</f>
        <v>125</v>
      </c>
      <c r="K2106" s="26">
        <f t="shared" ref="K2106:O2106" si="614">K2078-K2105</f>
        <v>170</v>
      </c>
      <c r="L2106" s="71">
        <f t="shared" si="614"/>
        <v>160</v>
      </c>
      <c r="M2106" s="26">
        <f t="shared" si="614"/>
        <v>140</v>
      </c>
      <c r="N2106" s="70">
        <f t="shared" si="614"/>
        <v>119</v>
      </c>
      <c r="O2106" s="27">
        <f t="shared" si="614"/>
        <v>714</v>
      </c>
    </row>
    <row r="2107" spans="1:17" ht="21" x14ac:dyDescent="0.2">
      <c r="A2107" s="82" t="s">
        <v>55</v>
      </c>
      <c r="B2107" s="80"/>
      <c r="C2107" s="80"/>
      <c r="D2107" s="80"/>
      <c r="E2107" s="81" t="s">
        <v>53</v>
      </c>
      <c r="F2107" s="80"/>
      <c r="G2107" s="80"/>
      <c r="J2107" s="211"/>
      <c r="K2107" s="211"/>
      <c r="L2107" s="211"/>
      <c r="M2107" s="211"/>
      <c r="N2107" s="211"/>
      <c r="O2107" s="211"/>
    </row>
    <row r="2108" spans="1:17" ht="14.25" thickBot="1" x14ac:dyDescent="0.2">
      <c r="J2108" s="211"/>
      <c r="K2108" s="211"/>
      <c r="L2108" s="211"/>
      <c r="M2108" s="211"/>
      <c r="N2108" s="211"/>
      <c r="O2108" s="211"/>
    </row>
    <row r="2109" spans="1:17" ht="14.25" thickBot="1" x14ac:dyDescent="0.2">
      <c r="A2109" s="13" t="s">
        <v>0</v>
      </c>
      <c r="B2109" s="228" t="s">
        <v>57</v>
      </c>
      <c r="C2109" s="229"/>
      <c r="D2109" s="229"/>
      <c r="E2109" s="229"/>
      <c r="F2109" s="230"/>
      <c r="G2109" s="231"/>
      <c r="I2109" s="13" t="s">
        <v>0</v>
      </c>
      <c r="J2109" s="232" t="s">
        <v>57</v>
      </c>
      <c r="K2109" s="233"/>
      <c r="L2109" s="233"/>
      <c r="M2109" s="233"/>
      <c r="N2109" s="233"/>
      <c r="O2109" s="234"/>
    </row>
    <row r="2110" spans="1:17" ht="14.25" thickBot="1" x14ac:dyDescent="0.2">
      <c r="A2110" s="3" t="s">
        <v>1</v>
      </c>
      <c r="B2110" s="2" t="s">
        <v>42</v>
      </c>
      <c r="C2110" s="21" t="s">
        <v>43</v>
      </c>
      <c r="D2110" s="21" t="s">
        <v>44</v>
      </c>
      <c r="E2110" s="24" t="s">
        <v>45</v>
      </c>
      <c r="F2110" s="33" t="s">
        <v>46</v>
      </c>
      <c r="G2110" s="3" t="s">
        <v>2</v>
      </c>
      <c r="I2110" s="3" t="s">
        <v>1</v>
      </c>
      <c r="J2110" s="2" t="s">
        <v>42</v>
      </c>
      <c r="K2110" s="21" t="s">
        <v>43</v>
      </c>
      <c r="L2110" s="21" t="s">
        <v>44</v>
      </c>
      <c r="M2110" s="24" t="s">
        <v>45</v>
      </c>
      <c r="N2110" s="33" t="s">
        <v>46</v>
      </c>
      <c r="O2110" s="3" t="s">
        <v>2</v>
      </c>
    </row>
    <row r="2111" spans="1:17" ht="14.25" thickBot="1" x14ac:dyDescent="0.2">
      <c r="A2111" s="72" t="s">
        <v>79</v>
      </c>
      <c r="B2111" s="73">
        <f>B2106</f>
        <v>3</v>
      </c>
      <c r="C2111" s="74">
        <f t="shared" ref="C2111:F2111" si="615">C2106</f>
        <v>6</v>
      </c>
      <c r="D2111" s="107">
        <f t="shared" si="615"/>
        <v>4</v>
      </c>
      <c r="E2111" s="75">
        <f t="shared" si="615"/>
        <v>6</v>
      </c>
      <c r="F2111" s="75">
        <f t="shared" si="615"/>
        <v>3</v>
      </c>
      <c r="G2111" s="76">
        <f t="shared" ref="G2111" si="616">SUM(B2111:F2111)</f>
        <v>22</v>
      </c>
      <c r="I2111" s="72" t="s">
        <v>79</v>
      </c>
      <c r="J2111" s="73">
        <f>J2106</f>
        <v>125</v>
      </c>
      <c r="K2111" s="74">
        <f t="shared" ref="K2111:N2111" si="617">K2106</f>
        <v>170</v>
      </c>
      <c r="L2111" s="107">
        <f t="shared" si="617"/>
        <v>160</v>
      </c>
      <c r="M2111" s="75">
        <f t="shared" si="617"/>
        <v>140</v>
      </c>
      <c r="N2111" s="75">
        <f t="shared" si="617"/>
        <v>119</v>
      </c>
      <c r="O2111" s="76">
        <f t="shared" ref="O2111:O2120" si="618">SUM(J2111:N2111)</f>
        <v>714</v>
      </c>
    </row>
    <row r="2112" spans="1:17" x14ac:dyDescent="0.15">
      <c r="A2112" s="38" t="s">
        <v>15</v>
      </c>
      <c r="B2112" s="11">
        <v>5</v>
      </c>
      <c r="C2112" s="100"/>
      <c r="D2112" s="100">
        <v>5</v>
      </c>
      <c r="E2112" s="100"/>
      <c r="F2112" s="101">
        <v>5</v>
      </c>
      <c r="G2112" s="102">
        <f t="shared" ref="G2112:G2114" si="619">SUM(B2112:F2112)</f>
        <v>15</v>
      </c>
      <c r="H2112" s="58">
        <v>45245</v>
      </c>
      <c r="I2112" s="15" t="s">
        <v>15</v>
      </c>
      <c r="J2112" s="8">
        <v>1</v>
      </c>
      <c r="K2112" s="10">
        <v>8</v>
      </c>
      <c r="L2112" s="10">
        <v>3</v>
      </c>
      <c r="M2112" s="10">
        <v>6</v>
      </c>
      <c r="N2112" s="30"/>
      <c r="O2112" s="7">
        <f t="shared" si="618"/>
        <v>18</v>
      </c>
      <c r="P2112" s="57">
        <v>45458</v>
      </c>
    </row>
    <row r="2113" spans="1:17" x14ac:dyDescent="0.15">
      <c r="A2113" s="38" t="s">
        <v>16</v>
      </c>
      <c r="B2113" s="11"/>
      <c r="C2113" s="100">
        <v>5</v>
      </c>
      <c r="D2113" s="100"/>
      <c r="E2113" s="100"/>
      <c r="F2113" s="101"/>
      <c r="G2113" s="102">
        <f t="shared" si="619"/>
        <v>5</v>
      </c>
      <c r="H2113" s="58">
        <v>45357</v>
      </c>
      <c r="I2113" s="15" t="s">
        <v>16</v>
      </c>
      <c r="J2113" s="8"/>
      <c r="K2113" s="10"/>
      <c r="L2113" s="10"/>
      <c r="M2113" s="10"/>
      <c r="N2113" s="30"/>
      <c r="O2113" s="7">
        <f t="shared" si="618"/>
        <v>0</v>
      </c>
    </row>
    <row r="2114" spans="1:17" x14ac:dyDescent="0.15">
      <c r="A2114" s="38" t="s">
        <v>18</v>
      </c>
      <c r="B2114" s="11">
        <v>5</v>
      </c>
      <c r="C2114" s="100"/>
      <c r="D2114" s="100"/>
      <c r="E2114" s="100"/>
      <c r="F2114" s="101"/>
      <c r="G2114" s="102">
        <f t="shared" si="619"/>
        <v>5</v>
      </c>
      <c r="H2114" s="58">
        <v>45373</v>
      </c>
      <c r="I2114" s="15" t="s">
        <v>18</v>
      </c>
      <c r="J2114" s="8"/>
      <c r="K2114" s="10"/>
      <c r="L2114" s="10"/>
      <c r="M2114" s="10"/>
      <c r="N2114" s="30"/>
      <c r="O2114" s="7">
        <f t="shared" si="618"/>
        <v>0</v>
      </c>
    </row>
    <row r="2115" spans="1:17" x14ac:dyDescent="0.15">
      <c r="A2115" s="38" t="s">
        <v>1620</v>
      </c>
      <c r="B2115" s="11"/>
      <c r="C2115" s="100"/>
      <c r="D2115" s="100">
        <v>2</v>
      </c>
      <c r="E2115" s="100">
        <v>1</v>
      </c>
      <c r="F2115" s="101"/>
      <c r="G2115" s="102">
        <f t="shared" ref="G2115:G2120" si="620">SUM(B2115:F2115)</f>
        <v>3</v>
      </c>
      <c r="H2115" s="58">
        <v>45456</v>
      </c>
      <c r="I2115" s="15" t="s">
        <v>20</v>
      </c>
      <c r="J2115" s="8"/>
      <c r="K2115" s="10"/>
      <c r="L2115" s="10"/>
      <c r="M2115" s="10"/>
      <c r="N2115" s="30"/>
      <c r="O2115" s="7">
        <f t="shared" si="618"/>
        <v>0</v>
      </c>
    </row>
    <row r="2116" spans="1:17" x14ac:dyDescent="0.15">
      <c r="A2116" s="38" t="s">
        <v>1620</v>
      </c>
      <c r="B2116" s="11">
        <v>1</v>
      </c>
      <c r="C2116" s="100">
        <v>8</v>
      </c>
      <c r="D2116" s="100">
        <v>1</v>
      </c>
      <c r="E2116" s="100">
        <v>5</v>
      </c>
      <c r="F2116" s="101"/>
      <c r="G2116" s="102">
        <f t="shared" si="620"/>
        <v>15</v>
      </c>
      <c r="H2116" s="58">
        <v>45456</v>
      </c>
      <c r="I2116" s="15" t="s">
        <v>80</v>
      </c>
      <c r="J2116" s="8"/>
      <c r="K2116" s="10"/>
      <c r="L2116" s="10"/>
      <c r="M2116" s="10"/>
      <c r="N2116" s="30"/>
      <c r="O2116" s="7">
        <f t="shared" si="618"/>
        <v>0</v>
      </c>
    </row>
    <row r="2117" spans="1:17" x14ac:dyDescent="0.15">
      <c r="A2117" s="38" t="s">
        <v>81</v>
      </c>
      <c r="B2117" s="11"/>
      <c r="C2117" s="100"/>
      <c r="D2117" s="100"/>
      <c r="E2117" s="100"/>
      <c r="F2117" s="101"/>
      <c r="G2117" s="102">
        <f t="shared" si="620"/>
        <v>0</v>
      </c>
      <c r="H2117" s="58"/>
      <c r="I2117" s="15" t="s">
        <v>81</v>
      </c>
      <c r="J2117" s="8"/>
      <c r="K2117" s="10"/>
      <c r="L2117" s="10"/>
      <c r="M2117" s="10"/>
      <c r="N2117" s="30"/>
      <c r="O2117" s="7">
        <f t="shared" si="618"/>
        <v>0</v>
      </c>
    </row>
    <row r="2118" spans="1:17" x14ac:dyDescent="0.15">
      <c r="A2118" s="38" t="s">
        <v>82</v>
      </c>
      <c r="B2118" s="11"/>
      <c r="C2118" s="100"/>
      <c r="D2118" s="100"/>
      <c r="E2118" s="100"/>
      <c r="F2118" s="101"/>
      <c r="G2118" s="102">
        <f t="shared" si="620"/>
        <v>0</v>
      </c>
      <c r="H2118" s="57"/>
      <c r="I2118" s="15" t="s">
        <v>82</v>
      </c>
      <c r="J2118" s="8"/>
      <c r="K2118" s="10"/>
      <c r="L2118" s="10"/>
      <c r="M2118" s="10"/>
      <c r="N2118" s="30"/>
      <c r="O2118" s="7">
        <f t="shared" si="618"/>
        <v>0</v>
      </c>
    </row>
    <row r="2119" spans="1:17" x14ac:dyDescent="0.15">
      <c r="A2119" s="38" t="s">
        <v>83</v>
      </c>
      <c r="B2119" s="11"/>
      <c r="C2119" s="100"/>
      <c r="D2119" s="100"/>
      <c r="E2119" s="100"/>
      <c r="F2119" s="101"/>
      <c r="G2119" s="102">
        <f t="shared" si="620"/>
        <v>0</v>
      </c>
      <c r="H2119" s="57"/>
      <c r="I2119" s="15" t="s">
        <v>83</v>
      </c>
      <c r="J2119" s="8"/>
      <c r="K2119" s="10"/>
      <c r="L2119" s="10"/>
      <c r="M2119" s="10"/>
      <c r="N2119" s="30"/>
      <c r="O2119" s="7">
        <f t="shared" si="618"/>
        <v>0</v>
      </c>
    </row>
    <row r="2120" spans="1:17" ht="14.25" thickBot="1" x14ac:dyDescent="0.2">
      <c r="A2120" s="38" t="s">
        <v>159</v>
      </c>
      <c r="B2120" s="11"/>
      <c r="C2120" s="100"/>
      <c r="D2120" s="100"/>
      <c r="E2120" s="100"/>
      <c r="F2120" s="101"/>
      <c r="G2120" s="102">
        <f t="shared" si="620"/>
        <v>0</v>
      </c>
      <c r="H2120" s="57"/>
      <c r="I2120" s="15" t="s">
        <v>87</v>
      </c>
      <c r="J2120" s="11"/>
      <c r="K2120" s="100"/>
      <c r="L2120" s="100"/>
      <c r="M2120" s="100"/>
      <c r="N2120" s="101"/>
      <c r="O2120" s="102">
        <f t="shared" si="618"/>
        <v>0</v>
      </c>
    </row>
    <row r="2121" spans="1:17" ht="14.25" thickBot="1" x14ac:dyDescent="0.2">
      <c r="A2121" s="72" t="s">
        <v>7</v>
      </c>
      <c r="B2121" s="73">
        <f>SUM(B2111:B2120)</f>
        <v>14</v>
      </c>
      <c r="C2121" s="74">
        <f t="shared" ref="C2121:G2121" si="621">SUM(C2111:C2120)</f>
        <v>19</v>
      </c>
      <c r="D2121" s="74">
        <f t="shared" si="621"/>
        <v>12</v>
      </c>
      <c r="E2121" s="74">
        <f t="shared" si="621"/>
        <v>12</v>
      </c>
      <c r="F2121" s="105">
        <f t="shared" si="621"/>
        <v>8</v>
      </c>
      <c r="G2121" s="76">
        <f t="shared" si="621"/>
        <v>65</v>
      </c>
      <c r="I2121" s="72" t="s">
        <v>7</v>
      </c>
      <c r="J2121" s="73">
        <f>SUM(J2111:J2120)</f>
        <v>126</v>
      </c>
      <c r="K2121" s="74">
        <f t="shared" ref="K2121:O2121" si="622">SUM(K2111:K2120)</f>
        <v>178</v>
      </c>
      <c r="L2121" s="74">
        <f t="shared" si="622"/>
        <v>163</v>
      </c>
      <c r="M2121" s="74">
        <f t="shared" si="622"/>
        <v>146</v>
      </c>
      <c r="N2121" s="105">
        <f t="shared" si="622"/>
        <v>119</v>
      </c>
      <c r="O2121" s="76">
        <f t="shared" si="622"/>
        <v>732</v>
      </c>
    </row>
    <row r="2122" spans="1:17" x14ac:dyDescent="0.15">
      <c r="A2122" s="14" t="s">
        <v>29</v>
      </c>
      <c r="B2122" s="8"/>
      <c r="C2122" s="10"/>
      <c r="D2122" s="10">
        <v>1</v>
      </c>
      <c r="E2122" s="10"/>
      <c r="F2122" s="30"/>
      <c r="G2122" s="7">
        <f t="shared" ref="G2122:G2145" si="623">SUM(B2122:F2122)</f>
        <v>1</v>
      </c>
      <c r="H2122" s="57">
        <v>45189</v>
      </c>
      <c r="I2122" s="16" t="s">
        <v>24</v>
      </c>
      <c r="J2122" s="11">
        <v>5</v>
      </c>
      <c r="K2122" s="12"/>
      <c r="L2122" s="12">
        <v>5</v>
      </c>
      <c r="M2122" s="12"/>
      <c r="N2122" s="31">
        <v>5</v>
      </c>
      <c r="O2122" s="7">
        <f t="shared" ref="O2122" si="624">SUM(J2122:N2122)</f>
        <v>15</v>
      </c>
      <c r="P2122" s="58">
        <v>45245</v>
      </c>
    </row>
    <row r="2123" spans="1:17" x14ac:dyDescent="0.15">
      <c r="A2123" s="14" t="s">
        <v>1585</v>
      </c>
      <c r="B2123" s="8"/>
      <c r="C2123" s="10">
        <v>1</v>
      </c>
      <c r="D2123" s="10"/>
      <c r="E2123" s="10"/>
      <c r="F2123" s="30"/>
      <c r="G2123" s="7">
        <f t="shared" si="623"/>
        <v>1</v>
      </c>
      <c r="H2123" s="57">
        <v>45204</v>
      </c>
      <c r="I2123" s="14" t="s">
        <v>1597</v>
      </c>
      <c r="J2123" s="11">
        <v>12</v>
      </c>
      <c r="K2123" s="12">
        <v>10</v>
      </c>
      <c r="L2123" s="12">
        <v>6</v>
      </c>
      <c r="M2123" s="12">
        <v>8</v>
      </c>
      <c r="N2123" s="31"/>
      <c r="O2123" s="7">
        <f t="shared" ref="O2123:O2125" si="625">SUM(J2123:N2123)</f>
        <v>36</v>
      </c>
      <c r="P2123" s="58">
        <v>45350</v>
      </c>
    </row>
    <row r="2124" spans="1:17" x14ac:dyDescent="0.15">
      <c r="A2124" s="14" t="s">
        <v>29</v>
      </c>
      <c r="B2124" s="8"/>
      <c r="C2124" s="10"/>
      <c r="D2124" s="10"/>
      <c r="E2124" s="10">
        <v>1</v>
      </c>
      <c r="F2124" s="30"/>
      <c r="G2124" s="7">
        <f t="shared" si="623"/>
        <v>1</v>
      </c>
      <c r="H2124" s="57">
        <v>45209</v>
      </c>
      <c r="I2124" s="16" t="s">
        <v>24</v>
      </c>
      <c r="J2124" s="11"/>
      <c r="K2124" s="12">
        <v>5</v>
      </c>
      <c r="L2124" s="12"/>
      <c r="M2124" s="12"/>
      <c r="N2124" s="31"/>
      <c r="O2124" s="7">
        <f t="shared" si="625"/>
        <v>5</v>
      </c>
      <c r="P2124" s="58">
        <v>45357</v>
      </c>
    </row>
    <row r="2125" spans="1:17" x14ac:dyDescent="0.15">
      <c r="A2125" s="16" t="s">
        <v>1586</v>
      </c>
      <c r="B2125" s="8">
        <v>1</v>
      </c>
      <c r="C2125" s="10"/>
      <c r="D2125" s="10"/>
      <c r="E2125" s="10"/>
      <c r="F2125" s="30"/>
      <c r="G2125" s="7">
        <f t="shared" si="623"/>
        <v>1</v>
      </c>
      <c r="H2125" s="57">
        <v>44944</v>
      </c>
      <c r="I2125" s="16" t="s">
        <v>24</v>
      </c>
      <c r="J2125" s="11">
        <v>5</v>
      </c>
      <c r="K2125" s="12"/>
      <c r="L2125" s="12"/>
      <c r="M2125" s="12"/>
      <c r="N2125" s="31"/>
      <c r="O2125" s="7">
        <f t="shared" si="625"/>
        <v>5</v>
      </c>
      <c r="P2125" s="58">
        <v>45373</v>
      </c>
    </row>
    <row r="2126" spans="1:17" x14ac:dyDescent="0.15">
      <c r="A2126" s="14" t="s">
        <v>29</v>
      </c>
      <c r="B2126" s="8"/>
      <c r="C2126" s="10"/>
      <c r="D2126" s="10">
        <v>1</v>
      </c>
      <c r="E2126" s="10"/>
      <c r="F2126" s="30"/>
      <c r="G2126" s="7">
        <f t="shared" si="623"/>
        <v>1</v>
      </c>
      <c r="H2126" s="57">
        <v>45229</v>
      </c>
      <c r="I2126" s="14" t="s">
        <v>1601</v>
      </c>
      <c r="J2126" s="11">
        <v>25</v>
      </c>
      <c r="K2126" s="12">
        <v>25</v>
      </c>
      <c r="L2126" s="12">
        <v>25</v>
      </c>
      <c r="M2126" s="12">
        <v>25</v>
      </c>
      <c r="N2126" s="31"/>
      <c r="O2126" s="7">
        <f t="shared" ref="O2126:O2147" si="626">SUM(J2126:N2126)</f>
        <v>100</v>
      </c>
      <c r="P2126" s="58">
        <v>45397</v>
      </c>
    </row>
    <row r="2127" spans="1:17" x14ac:dyDescent="0.15">
      <c r="A2127" s="14" t="s">
        <v>29</v>
      </c>
      <c r="B2127" s="8"/>
      <c r="C2127" s="10"/>
      <c r="D2127" s="10"/>
      <c r="E2127" s="10"/>
      <c r="F2127" s="30">
        <v>1</v>
      </c>
      <c r="G2127" s="7">
        <f t="shared" si="623"/>
        <v>1</v>
      </c>
      <c r="H2127" s="57">
        <v>45230</v>
      </c>
      <c r="I2127" s="14" t="s">
        <v>1605</v>
      </c>
      <c r="J2127" s="11"/>
      <c r="K2127" s="12">
        <v>10</v>
      </c>
      <c r="L2127" s="12">
        <v>5</v>
      </c>
      <c r="M2127" s="12"/>
      <c r="N2127" s="31"/>
      <c r="O2127" s="7">
        <f t="shared" si="626"/>
        <v>15</v>
      </c>
      <c r="P2127" s="58">
        <v>45421</v>
      </c>
    </row>
    <row r="2128" spans="1:17" x14ac:dyDescent="0.15">
      <c r="A2128" s="14" t="s">
        <v>1589</v>
      </c>
      <c r="B2128" s="8"/>
      <c r="C2128" s="10"/>
      <c r="D2128" s="10"/>
      <c r="E2128" s="10"/>
      <c r="F2128" s="30">
        <v>1</v>
      </c>
      <c r="G2128" s="7">
        <f t="shared" si="623"/>
        <v>1</v>
      </c>
      <c r="H2128" s="58">
        <v>45245</v>
      </c>
      <c r="I2128" s="14" t="s">
        <v>1607</v>
      </c>
      <c r="J2128" s="11"/>
      <c r="K2128" s="12">
        <v>10</v>
      </c>
      <c r="L2128" s="12">
        <v>10</v>
      </c>
      <c r="M2128" s="12">
        <v>10</v>
      </c>
      <c r="N2128" s="31"/>
      <c r="O2128" s="7">
        <f t="shared" si="626"/>
        <v>30</v>
      </c>
      <c r="P2128" s="58">
        <v>45429</v>
      </c>
      <c r="Q2128" s="56"/>
    </row>
    <row r="2129" spans="1:20" x14ac:dyDescent="0.15">
      <c r="A2129" s="14" t="s">
        <v>29</v>
      </c>
      <c r="B2129" s="8"/>
      <c r="C2129" s="10"/>
      <c r="D2129" s="10">
        <v>1</v>
      </c>
      <c r="E2129" s="10"/>
      <c r="F2129" s="30"/>
      <c r="G2129" s="7">
        <f t="shared" si="623"/>
        <v>1</v>
      </c>
      <c r="H2129" s="57">
        <v>45252</v>
      </c>
      <c r="I2129" s="14" t="s">
        <v>1609</v>
      </c>
      <c r="J2129" s="11"/>
      <c r="K2129" s="12"/>
      <c r="L2129" s="12">
        <v>5</v>
      </c>
      <c r="M2129" s="12"/>
      <c r="N2129" s="31"/>
      <c r="O2129" s="7">
        <f t="shared" si="626"/>
        <v>5</v>
      </c>
      <c r="P2129" s="58">
        <v>45429</v>
      </c>
    </row>
    <row r="2130" spans="1:20" x14ac:dyDescent="0.15">
      <c r="A2130" s="14" t="s">
        <v>29</v>
      </c>
      <c r="B2130" s="8">
        <v>1</v>
      </c>
      <c r="C2130" s="10"/>
      <c r="D2130" s="10"/>
      <c r="E2130" s="10"/>
      <c r="F2130" s="30"/>
      <c r="G2130" s="7">
        <f t="shared" si="623"/>
        <v>1</v>
      </c>
      <c r="H2130" s="57">
        <v>45262</v>
      </c>
      <c r="I2130" s="14" t="s">
        <v>1610</v>
      </c>
      <c r="J2130" s="11"/>
      <c r="K2130" s="12">
        <v>3</v>
      </c>
      <c r="L2130" s="12"/>
      <c r="M2130" s="12"/>
      <c r="N2130" s="31"/>
      <c r="O2130" s="7">
        <f t="shared" si="626"/>
        <v>3</v>
      </c>
      <c r="P2130" s="58">
        <v>45448</v>
      </c>
    </row>
    <row r="2131" spans="1:20" x14ac:dyDescent="0.15">
      <c r="A2131" s="14" t="s">
        <v>29</v>
      </c>
      <c r="B2131" s="8"/>
      <c r="C2131" s="10"/>
      <c r="D2131" s="10">
        <v>1</v>
      </c>
      <c r="E2131" s="10"/>
      <c r="F2131" s="30"/>
      <c r="G2131" s="7">
        <f t="shared" si="623"/>
        <v>1</v>
      </c>
      <c r="H2131" s="57">
        <v>45307</v>
      </c>
      <c r="I2131" s="14" t="s">
        <v>1613</v>
      </c>
      <c r="J2131" s="11"/>
      <c r="K2131" s="12"/>
      <c r="L2131" s="12">
        <v>3</v>
      </c>
      <c r="M2131" s="12">
        <v>3</v>
      </c>
      <c r="N2131" s="31"/>
      <c r="O2131" s="7">
        <f t="shared" si="626"/>
        <v>6</v>
      </c>
      <c r="P2131" s="58">
        <v>45448</v>
      </c>
      <c r="Q2131" s="56"/>
      <c r="R2131" s="56"/>
      <c r="S2131" s="56"/>
      <c r="T2131" s="56"/>
    </row>
    <row r="2132" spans="1:20" x14ac:dyDescent="0.15">
      <c r="A2132" s="64" t="s">
        <v>1595</v>
      </c>
      <c r="B2132" s="8">
        <v>1</v>
      </c>
      <c r="C2132" s="10"/>
      <c r="D2132" s="10"/>
      <c r="E2132" s="10"/>
      <c r="F2132" s="30"/>
      <c r="G2132" s="7">
        <f t="shared" si="623"/>
        <v>1</v>
      </c>
      <c r="H2132" s="57">
        <v>45310</v>
      </c>
      <c r="I2132" s="14" t="s">
        <v>1615</v>
      </c>
      <c r="J2132" s="11"/>
      <c r="K2132" s="12">
        <v>6</v>
      </c>
      <c r="L2132" s="12">
        <v>12</v>
      </c>
      <c r="M2132" s="12">
        <v>12</v>
      </c>
      <c r="N2132" s="31"/>
      <c r="O2132" s="7">
        <f t="shared" si="626"/>
        <v>30</v>
      </c>
      <c r="P2132" s="58">
        <v>45463</v>
      </c>
      <c r="Q2132" s="56"/>
      <c r="R2132" s="56"/>
      <c r="S2132" s="56"/>
      <c r="T2132" s="56"/>
    </row>
    <row r="2133" spans="1:20" x14ac:dyDescent="0.15">
      <c r="A2133" s="14" t="s">
        <v>29</v>
      </c>
      <c r="B2133" s="8"/>
      <c r="C2133" s="10"/>
      <c r="D2133" s="10"/>
      <c r="E2133" s="10"/>
      <c r="F2133" s="30">
        <v>1</v>
      </c>
      <c r="G2133" s="7">
        <f t="shared" si="623"/>
        <v>1</v>
      </c>
      <c r="H2133" s="57">
        <v>45335</v>
      </c>
      <c r="I2133" s="14" t="s">
        <v>1617</v>
      </c>
      <c r="J2133" s="11"/>
      <c r="K2133" s="12">
        <v>2</v>
      </c>
      <c r="L2133" s="12"/>
      <c r="M2133" s="12"/>
      <c r="N2133" s="31"/>
      <c r="O2133" s="7">
        <f t="shared" si="626"/>
        <v>2</v>
      </c>
      <c r="P2133" s="58">
        <v>45469</v>
      </c>
      <c r="Q2133" s="56"/>
      <c r="R2133" s="56"/>
      <c r="S2133" s="56"/>
      <c r="T2133" s="56"/>
    </row>
    <row r="2134" spans="1:20" x14ac:dyDescent="0.15">
      <c r="A2134" s="14" t="s">
        <v>117</v>
      </c>
      <c r="B2134" s="8"/>
      <c r="C2134" s="10">
        <v>1</v>
      </c>
      <c r="D2134" s="10"/>
      <c r="E2134" s="10"/>
      <c r="F2134" s="30"/>
      <c r="G2134" s="7">
        <f t="shared" si="623"/>
        <v>1</v>
      </c>
      <c r="H2134" s="58">
        <v>45345</v>
      </c>
      <c r="I2134" s="16" t="s">
        <v>24</v>
      </c>
      <c r="J2134" s="11"/>
      <c r="K2134" s="12"/>
      <c r="L2134" s="12">
        <v>5</v>
      </c>
      <c r="M2134" s="12">
        <v>3</v>
      </c>
      <c r="N2134" s="31">
        <v>3</v>
      </c>
      <c r="O2134" s="7">
        <f t="shared" si="626"/>
        <v>11</v>
      </c>
      <c r="P2134" s="58">
        <v>45462</v>
      </c>
      <c r="Q2134" s="56"/>
    </row>
    <row r="2135" spans="1:20" x14ac:dyDescent="0.15">
      <c r="A2135" s="14" t="s">
        <v>29</v>
      </c>
      <c r="B2135" s="8"/>
      <c r="C2135" s="10">
        <v>1</v>
      </c>
      <c r="D2135" s="10"/>
      <c r="E2135" s="10"/>
      <c r="F2135" s="30"/>
      <c r="G2135" s="7">
        <f t="shared" si="623"/>
        <v>1</v>
      </c>
      <c r="H2135" s="57">
        <v>45356</v>
      </c>
      <c r="I2135" s="14" t="s">
        <v>1619</v>
      </c>
      <c r="J2135" s="11"/>
      <c r="K2135" s="12">
        <v>5</v>
      </c>
      <c r="L2135" s="12"/>
      <c r="M2135" s="12"/>
      <c r="N2135" s="31"/>
      <c r="O2135" s="7">
        <f t="shared" si="626"/>
        <v>5</v>
      </c>
      <c r="P2135" s="58">
        <v>45484</v>
      </c>
      <c r="Q2135" s="56"/>
    </row>
    <row r="2136" spans="1:20" x14ac:dyDescent="0.15">
      <c r="A2136" s="14" t="s">
        <v>29</v>
      </c>
      <c r="B2136" s="8">
        <v>2</v>
      </c>
      <c r="C2136" s="10"/>
      <c r="D2136" s="10"/>
      <c r="E2136" s="10"/>
      <c r="F2136" s="30"/>
      <c r="G2136" s="7">
        <f t="shared" si="623"/>
        <v>2</v>
      </c>
      <c r="H2136" s="57">
        <v>45357</v>
      </c>
      <c r="I2136" s="14" t="s">
        <v>1622</v>
      </c>
      <c r="J2136" s="11"/>
      <c r="K2136" s="12">
        <v>4</v>
      </c>
      <c r="L2136" s="12"/>
      <c r="M2136" s="12"/>
      <c r="N2136" s="31"/>
      <c r="O2136" s="7">
        <f t="shared" si="626"/>
        <v>4</v>
      </c>
      <c r="P2136" s="58">
        <v>45511</v>
      </c>
      <c r="Q2136" s="56"/>
    </row>
    <row r="2137" spans="1:20" x14ac:dyDescent="0.15">
      <c r="A2137" s="14" t="s">
        <v>29</v>
      </c>
      <c r="B2137" s="8">
        <v>1</v>
      </c>
      <c r="C2137" s="10"/>
      <c r="D2137" s="10"/>
      <c r="E2137" s="10"/>
      <c r="F2137" s="30"/>
      <c r="G2137" s="7">
        <f t="shared" si="623"/>
        <v>1</v>
      </c>
      <c r="H2137" s="57">
        <v>45372</v>
      </c>
      <c r="I2137" s="16" t="s">
        <v>24</v>
      </c>
      <c r="J2137" s="11"/>
      <c r="K2137" s="12"/>
      <c r="L2137" s="12"/>
      <c r="M2137" s="12">
        <v>1</v>
      </c>
      <c r="N2137" s="31"/>
      <c r="O2137" s="7">
        <f t="shared" si="626"/>
        <v>1</v>
      </c>
      <c r="P2137" s="58">
        <v>45514</v>
      </c>
      <c r="Q2137" s="56"/>
    </row>
    <row r="2138" spans="1:20" x14ac:dyDescent="0.15">
      <c r="A2138" s="14" t="s">
        <v>1603</v>
      </c>
      <c r="B2138" s="8">
        <v>1</v>
      </c>
      <c r="C2138" s="10">
        <v>1</v>
      </c>
      <c r="D2138" s="10"/>
      <c r="E2138" s="10"/>
      <c r="F2138" s="30"/>
      <c r="G2138" s="7">
        <f t="shared" si="623"/>
        <v>2</v>
      </c>
      <c r="H2138" s="57">
        <v>45397</v>
      </c>
      <c r="I2138" s="16"/>
      <c r="J2138" s="11"/>
      <c r="K2138" s="12"/>
      <c r="L2138" s="12"/>
      <c r="M2138" s="12"/>
      <c r="N2138" s="31"/>
      <c r="O2138" s="7">
        <f t="shared" si="626"/>
        <v>0</v>
      </c>
    </row>
    <row r="2139" spans="1:20" x14ac:dyDescent="0.15">
      <c r="A2139" s="14" t="s">
        <v>117</v>
      </c>
      <c r="B2139" s="8"/>
      <c r="C2139" s="10"/>
      <c r="D2139" s="10"/>
      <c r="E2139" s="10">
        <v>1</v>
      </c>
      <c r="F2139" s="30"/>
      <c r="G2139" s="7">
        <f t="shared" si="623"/>
        <v>1</v>
      </c>
      <c r="H2139" s="58">
        <v>45420</v>
      </c>
      <c r="I2139" s="16"/>
      <c r="J2139" s="11"/>
      <c r="K2139" s="12"/>
      <c r="L2139" s="12"/>
      <c r="M2139" s="12"/>
      <c r="N2139" s="31"/>
      <c r="O2139" s="7">
        <f t="shared" si="626"/>
        <v>0</v>
      </c>
    </row>
    <row r="2140" spans="1:20" x14ac:dyDescent="0.15">
      <c r="A2140" s="14" t="s">
        <v>29</v>
      </c>
      <c r="B2140" s="8"/>
      <c r="C2140" s="10"/>
      <c r="D2140" s="10"/>
      <c r="E2140" s="10"/>
      <c r="F2140" s="30">
        <v>1</v>
      </c>
      <c r="G2140" s="7">
        <f t="shared" si="623"/>
        <v>1</v>
      </c>
      <c r="H2140" s="57">
        <v>45421</v>
      </c>
      <c r="I2140" s="16"/>
      <c r="J2140" s="11"/>
      <c r="K2140" s="12"/>
      <c r="L2140" s="12"/>
      <c r="M2140" s="12"/>
      <c r="N2140" s="31"/>
      <c r="O2140" s="7">
        <f t="shared" si="626"/>
        <v>0</v>
      </c>
    </row>
    <row r="2141" spans="1:20" x14ac:dyDescent="0.15">
      <c r="A2141" s="14" t="s">
        <v>29</v>
      </c>
      <c r="B2141" s="8"/>
      <c r="C2141" s="10"/>
      <c r="D2141" s="10"/>
      <c r="E2141" s="10"/>
      <c r="F2141" s="30">
        <v>1</v>
      </c>
      <c r="G2141" s="7">
        <f t="shared" si="623"/>
        <v>1</v>
      </c>
      <c r="H2141" s="57">
        <v>45422</v>
      </c>
      <c r="I2141" s="16"/>
      <c r="J2141" s="11"/>
      <c r="K2141" s="12"/>
      <c r="L2141" s="12"/>
      <c r="M2141" s="12"/>
      <c r="N2141" s="31"/>
      <c r="O2141" s="7">
        <f t="shared" si="626"/>
        <v>0</v>
      </c>
    </row>
    <row r="2142" spans="1:20" x14ac:dyDescent="0.15">
      <c r="A2142" s="14" t="s">
        <v>29</v>
      </c>
      <c r="B2142" s="8"/>
      <c r="C2142" s="10">
        <v>1</v>
      </c>
      <c r="D2142" s="10"/>
      <c r="E2142" s="10"/>
      <c r="F2142" s="30"/>
      <c r="G2142" s="7">
        <f t="shared" si="623"/>
        <v>1</v>
      </c>
      <c r="H2142" s="57">
        <v>45439</v>
      </c>
      <c r="I2142" s="16"/>
      <c r="J2142" s="11"/>
      <c r="K2142" s="12"/>
      <c r="L2142" s="12"/>
      <c r="M2142" s="12"/>
      <c r="N2142" s="31"/>
      <c r="O2142" s="7">
        <f t="shared" si="626"/>
        <v>0</v>
      </c>
    </row>
    <row r="2143" spans="1:20" x14ac:dyDescent="0.15">
      <c r="A2143" s="14" t="s">
        <v>29</v>
      </c>
      <c r="B2143" s="8"/>
      <c r="C2143" s="10">
        <v>1</v>
      </c>
      <c r="D2143" s="10"/>
      <c r="E2143" s="10"/>
      <c r="F2143" s="30"/>
      <c r="G2143" s="7">
        <f t="shared" si="623"/>
        <v>1</v>
      </c>
      <c r="H2143" s="57">
        <v>45449</v>
      </c>
      <c r="I2143" s="16"/>
      <c r="J2143" s="11"/>
      <c r="K2143" s="12"/>
      <c r="L2143" s="12"/>
      <c r="M2143" s="12"/>
      <c r="N2143" s="31"/>
      <c r="O2143" s="7">
        <f t="shared" si="626"/>
        <v>0</v>
      </c>
    </row>
    <row r="2144" spans="1:20" x14ac:dyDescent="0.15">
      <c r="A2144" s="14" t="s">
        <v>29</v>
      </c>
      <c r="B2144" s="8"/>
      <c r="C2144" s="10"/>
      <c r="D2144" s="10">
        <v>1</v>
      </c>
      <c r="E2144" s="10"/>
      <c r="F2144" s="30"/>
      <c r="G2144" s="7">
        <f t="shared" si="623"/>
        <v>1</v>
      </c>
      <c r="H2144" s="57">
        <v>45453</v>
      </c>
      <c r="I2144" s="16"/>
      <c r="J2144" s="11"/>
      <c r="K2144" s="12"/>
      <c r="L2144" s="12"/>
      <c r="M2144" s="12"/>
      <c r="N2144" s="31"/>
      <c r="O2144" s="7">
        <f t="shared" si="626"/>
        <v>0</v>
      </c>
    </row>
    <row r="2145" spans="1:17" x14ac:dyDescent="0.15">
      <c r="A2145" s="14" t="s">
        <v>117</v>
      </c>
      <c r="B2145" s="8"/>
      <c r="C2145" s="10"/>
      <c r="D2145" s="10">
        <v>1</v>
      </c>
      <c r="E2145" s="10"/>
      <c r="F2145" s="30"/>
      <c r="G2145" s="7">
        <f t="shared" si="623"/>
        <v>1</v>
      </c>
      <c r="H2145" s="58">
        <v>45456</v>
      </c>
      <c r="I2145" s="16"/>
      <c r="J2145" s="11"/>
      <c r="K2145" s="12"/>
      <c r="L2145" s="12"/>
      <c r="M2145" s="12"/>
      <c r="N2145" s="31"/>
      <c r="O2145" s="7">
        <f t="shared" si="626"/>
        <v>0</v>
      </c>
    </row>
    <row r="2146" spans="1:17" x14ac:dyDescent="0.15">
      <c r="A2146" s="14" t="s">
        <v>29</v>
      </c>
      <c r="B2146" s="8"/>
      <c r="C2146" s="10"/>
      <c r="D2146" s="10"/>
      <c r="E2146" s="10">
        <v>1</v>
      </c>
      <c r="F2146" s="30"/>
      <c r="G2146" s="7">
        <f t="shared" ref="G2146:G2147" si="627">SUM(B2146:F2146)</f>
        <v>1</v>
      </c>
      <c r="H2146" s="57">
        <v>45455</v>
      </c>
      <c r="I2146" s="14" t="s">
        <v>1599</v>
      </c>
      <c r="J2146" s="11"/>
      <c r="K2146" s="12"/>
      <c r="L2146" s="12"/>
      <c r="M2146" s="12"/>
      <c r="N2146" s="31"/>
      <c r="O2146" s="7">
        <f t="shared" si="626"/>
        <v>0</v>
      </c>
      <c r="P2146" s="56"/>
    </row>
    <row r="2147" spans="1:17" ht="14.25" thickBot="1" x14ac:dyDescent="0.2">
      <c r="A2147" s="14" t="s">
        <v>1621</v>
      </c>
      <c r="B2147" s="8">
        <v>1</v>
      </c>
      <c r="C2147" s="10">
        <v>8</v>
      </c>
      <c r="D2147" s="10">
        <v>3</v>
      </c>
      <c r="E2147" s="10">
        <v>6</v>
      </c>
      <c r="F2147" s="30"/>
      <c r="G2147" s="7">
        <f t="shared" si="627"/>
        <v>18</v>
      </c>
      <c r="H2147" s="57">
        <v>45458</v>
      </c>
      <c r="I2147" s="14" t="s">
        <v>1582</v>
      </c>
      <c r="J2147" s="11"/>
      <c r="K2147" s="12"/>
      <c r="L2147" s="12"/>
      <c r="M2147" s="12"/>
      <c r="N2147" s="218"/>
      <c r="O2147" s="7">
        <f t="shared" si="626"/>
        <v>0</v>
      </c>
      <c r="P2147" s="56" t="s">
        <v>1593</v>
      </c>
    </row>
    <row r="2148" spans="1:17" ht="14.25" thickBot="1" x14ac:dyDescent="0.2">
      <c r="A2148" s="3" t="s">
        <v>11</v>
      </c>
      <c r="B2148" s="23">
        <f>SUM(B2122:B2147)</f>
        <v>8</v>
      </c>
      <c r="C2148" s="4">
        <f>SUM(C2122:C2147)</f>
        <v>14</v>
      </c>
      <c r="D2148" s="4">
        <f>SUM(D2122:D2147)</f>
        <v>9</v>
      </c>
      <c r="E2148" s="6">
        <f>SUM(E2122:E2147)</f>
        <v>9</v>
      </c>
      <c r="F2148" s="32">
        <f>SUM(F2122:F2147)</f>
        <v>5</v>
      </c>
      <c r="G2148" s="5">
        <f>SUM(B2148:F2148)</f>
        <v>45</v>
      </c>
      <c r="I2148" s="3" t="s">
        <v>11</v>
      </c>
      <c r="J2148" s="23">
        <f>SUM(J2122:J2147)</f>
        <v>47</v>
      </c>
      <c r="K2148" s="4">
        <f>SUM(K2122:K2147)</f>
        <v>80</v>
      </c>
      <c r="L2148" s="4">
        <f>SUM(L2122:L2147)</f>
        <v>76</v>
      </c>
      <c r="M2148" s="6">
        <f>SUM(M2122:M2147)</f>
        <v>62</v>
      </c>
      <c r="N2148" s="6">
        <f>SUM(N2122:N2147)</f>
        <v>8</v>
      </c>
      <c r="O2148" s="5">
        <f>SUM(J2148:N2148)</f>
        <v>273</v>
      </c>
    </row>
    <row r="2149" spans="1:17" ht="14.25" thickBot="1" x14ac:dyDescent="0.2">
      <c r="A2149" s="25" t="s">
        <v>12</v>
      </c>
      <c r="B2149" s="63">
        <f>B2121-B2148</f>
        <v>6</v>
      </c>
      <c r="C2149" s="26">
        <f t="shared" ref="C2149:G2149" si="628">C2121-C2148</f>
        <v>5</v>
      </c>
      <c r="D2149" s="71">
        <f t="shared" si="628"/>
        <v>3</v>
      </c>
      <c r="E2149" s="26">
        <f t="shared" si="628"/>
        <v>3</v>
      </c>
      <c r="F2149" s="70">
        <f t="shared" si="628"/>
        <v>3</v>
      </c>
      <c r="G2149" s="27">
        <f t="shared" si="628"/>
        <v>20</v>
      </c>
      <c r="I2149" s="25" t="s">
        <v>12</v>
      </c>
      <c r="J2149" s="63">
        <f>J2121-J2148</f>
        <v>79</v>
      </c>
      <c r="K2149" s="26">
        <f t="shared" ref="K2149:O2149" si="629">K2121-K2148</f>
        <v>98</v>
      </c>
      <c r="L2149" s="71">
        <f t="shared" si="629"/>
        <v>87</v>
      </c>
      <c r="M2149" s="26">
        <f t="shared" si="629"/>
        <v>84</v>
      </c>
      <c r="N2149" s="70">
        <f t="shared" si="629"/>
        <v>111</v>
      </c>
      <c r="O2149" s="27">
        <f t="shared" si="629"/>
        <v>459</v>
      </c>
    </row>
    <row r="2150" spans="1:17" ht="21" x14ac:dyDescent="0.2">
      <c r="A2150" s="82" t="s">
        <v>55</v>
      </c>
      <c r="B2150" s="80"/>
      <c r="C2150" s="80"/>
      <c r="D2150" s="80"/>
      <c r="E2150" s="81" t="s">
        <v>53</v>
      </c>
      <c r="F2150" s="80"/>
      <c r="G2150" s="80"/>
      <c r="J2150" s="211"/>
      <c r="K2150" s="211"/>
      <c r="L2150" s="211"/>
      <c r="M2150" s="211"/>
      <c r="N2150" s="211"/>
      <c r="O2150" s="211"/>
    </row>
    <row r="2151" spans="1:17" ht="14.25" thickBot="1" x14ac:dyDescent="0.2">
      <c r="J2151" s="211"/>
      <c r="K2151" s="211"/>
      <c r="L2151" s="211"/>
      <c r="M2151" s="211"/>
      <c r="N2151" s="211"/>
      <c r="O2151" s="211"/>
    </row>
    <row r="2152" spans="1:17" ht="14.25" thickBot="1" x14ac:dyDescent="0.2">
      <c r="A2152" s="13" t="s">
        <v>0</v>
      </c>
      <c r="B2152" s="228" t="s">
        <v>57</v>
      </c>
      <c r="C2152" s="229"/>
      <c r="D2152" s="229"/>
      <c r="E2152" s="229"/>
      <c r="F2152" s="230"/>
      <c r="G2152" s="231"/>
      <c r="I2152" s="13" t="s">
        <v>0</v>
      </c>
      <c r="J2152" s="232" t="s">
        <v>57</v>
      </c>
      <c r="K2152" s="233"/>
      <c r="L2152" s="233"/>
      <c r="M2152" s="233"/>
      <c r="N2152" s="233"/>
      <c r="O2152" s="234"/>
    </row>
    <row r="2153" spans="1:17" ht="14.25" thickBot="1" x14ac:dyDescent="0.2">
      <c r="A2153" s="3" t="s">
        <v>1</v>
      </c>
      <c r="B2153" s="2" t="s">
        <v>42</v>
      </c>
      <c r="C2153" s="21" t="s">
        <v>43</v>
      </c>
      <c r="D2153" s="21" t="s">
        <v>44</v>
      </c>
      <c r="E2153" s="24" t="s">
        <v>45</v>
      </c>
      <c r="F2153" s="33" t="s">
        <v>46</v>
      </c>
      <c r="G2153" s="3" t="s">
        <v>2</v>
      </c>
      <c r="I2153" s="3" t="s">
        <v>1</v>
      </c>
      <c r="J2153" s="2" t="s">
        <v>42</v>
      </c>
      <c r="K2153" s="21" t="s">
        <v>43</v>
      </c>
      <c r="L2153" s="21" t="s">
        <v>44</v>
      </c>
      <c r="M2153" s="24" t="s">
        <v>45</v>
      </c>
      <c r="N2153" s="33" t="s">
        <v>46</v>
      </c>
      <c r="O2153" s="3" t="s">
        <v>2</v>
      </c>
    </row>
    <row r="2154" spans="1:17" ht="14.25" thickBot="1" x14ac:dyDescent="0.2">
      <c r="A2154" s="72" t="s">
        <v>79</v>
      </c>
      <c r="B2154" s="73">
        <f>B2149</f>
        <v>6</v>
      </c>
      <c r="C2154" s="74">
        <f t="shared" ref="C2154:F2154" si="630">C2149</f>
        <v>5</v>
      </c>
      <c r="D2154" s="107">
        <f t="shared" si="630"/>
        <v>3</v>
      </c>
      <c r="E2154" s="75">
        <f t="shared" si="630"/>
        <v>3</v>
      </c>
      <c r="F2154" s="75">
        <f t="shared" si="630"/>
        <v>3</v>
      </c>
      <c r="G2154" s="76">
        <f t="shared" ref="G2154:G2163" si="631">SUM(B2154:F2154)</f>
        <v>20</v>
      </c>
      <c r="I2154" s="72" t="s">
        <v>79</v>
      </c>
      <c r="J2154" s="73">
        <f>J2149</f>
        <v>79</v>
      </c>
      <c r="K2154" s="74">
        <f t="shared" ref="K2154:N2154" si="632">K2149</f>
        <v>98</v>
      </c>
      <c r="L2154" s="107">
        <f t="shared" si="632"/>
        <v>87</v>
      </c>
      <c r="M2154" s="75">
        <f t="shared" si="632"/>
        <v>84</v>
      </c>
      <c r="N2154" s="75">
        <f t="shared" si="632"/>
        <v>111</v>
      </c>
      <c r="O2154" s="76">
        <f t="shared" ref="O2154:O2163" si="633">SUM(J2154:N2154)</f>
        <v>459</v>
      </c>
    </row>
    <row r="2155" spans="1:17" x14ac:dyDescent="0.15">
      <c r="A2155" s="38" t="s">
        <v>15</v>
      </c>
      <c r="B2155" s="11"/>
      <c r="C2155" s="100"/>
      <c r="D2155" s="100">
        <v>5</v>
      </c>
      <c r="E2155" s="100">
        <v>3</v>
      </c>
      <c r="F2155" s="101">
        <v>3</v>
      </c>
      <c r="G2155" s="102">
        <f t="shared" ref="G2155:G2161" si="634">SUM(B2155:F2155)</f>
        <v>11</v>
      </c>
      <c r="H2155" s="58">
        <v>45462</v>
      </c>
      <c r="I2155" s="15" t="s">
        <v>9</v>
      </c>
      <c r="J2155" s="8">
        <v>2</v>
      </c>
      <c r="K2155" s="10">
        <v>5</v>
      </c>
      <c r="L2155" s="10">
        <v>5</v>
      </c>
      <c r="M2155" s="10">
        <v>4</v>
      </c>
      <c r="N2155" s="30"/>
      <c r="O2155" s="7">
        <f t="shared" si="633"/>
        <v>16</v>
      </c>
      <c r="P2155" s="58">
        <v>45535</v>
      </c>
      <c r="Q2155" s="56"/>
    </row>
    <row r="2156" spans="1:17" x14ac:dyDescent="0.15">
      <c r="A2156" s="38" t="s">
        <v>1620</v>
      </c>
      <c r="B2156" s="11"/>
      <c r="C2156" s="100"/>
      <c r="D2156" s="100"/>
      <c r="E2156" s="100">
        <v>1</v>
      </c>
      <c r="F2156" s="101"/>
      <c r="G2156" s="102">
        <f t="shared" si="634"/>
        <v>1</v>
      </c>
      <c r="H2156" s="58">
        <v>45489</v>
      </c>
      <c r="I2156" s="15" t="s">
        <v>16</v>
      </c>
      <c r="J2156" s="8"/>
      <c r="K2156" s="10"/>
      <c r="L2156" s="10"/>
      <c r="M2156" s="10"/>
      <c r="N2156" s="30"/>
      <c r="O2156" s="7">
        <f t="shared" ref="O2156:O2158" si="635">SUM(J2156:N2156)</f>
        <v>0</v>
      </c>
    </row>
    <row r="2157" spans="1:17" x14ac:dyDescent="0.15">
      <c r="A2157" s="38" t="s">
        <v>18</v>
      </c>
      <c r="B2157" s="11"/>
      <c r="C2157" s="100"/>
      <c r="D2157" s="100"/>
      <c r="E2157" s="100">
        <v>1</v>
      </c>
      <c r="F2157" s="101"/>
      <c r="G2157" s="102">
        <f t="shared" si="634"/>
        <v>1</v>
      </c>
      <c r="H2157" s="58">
        <v>45514</v>
      </c>
      <c r="I2157" s="15" t="s">
        <v>18</v>
      </c>
      <c r="J2157" s="8"/>
      <c r="K2157" s="10"/>
      <c r="L2157" s="10"/>
      <c r="M2157" s="10"/>
      <c r="N2157" s="30"/>
      <c r="O2157" s="7">
        <f t="shared" si="635"/>
        <v>0</v>
      </c>
    </row>
    <row r="2158" spans="1:17" x14ac:dyDescent="0.15">
      <c r="A2158" s="38" t="s">
        <v>1620</v>
      </c>
      <c r="B2158" s="11">
        <v>2</v>
      </c>
      <c r="C2158" s="100">
        <v>5</v>
      </c>
      <c r="D2158" s="100">
        <v>5</v>
      </c>
      <c r="E2158" s="100">
        <v>4</v>
      </c>
      <c r="F2158" s="101"/>
      <c r="G2158" s="102">
        <f t="shared" si="634"/>
        <v>16</v>
      </c>
      <c r="H2158" s="58">
        <v>45531</v>
      </c>
      <c r="I2158" s="15" t="s">
        <v>20</v>
      </c>
      <c r="J2158" s="8"/>
      <c r="K2158" s="10"/>
      <c r="L2158" s="10"/>
      <c r="M2158" s="10"/>
      <c r="N2158" s="30"/>
      <c r="O2158" s="7">
        <f t="shared" si="635"/>
        <v>0</v>
      </c>
    </row>
    <row r="2159" spans="1:17" x14ac:dyDescent="0.15">
      <c r="A2159" s="38" t="s">
        <v>1348</v>
      </c>
      <c r="B2159" s="11">
        <v>0</v>
      </c>
      <c r="C2159" s="100">
        <v>0</v>
      </c>
      <c r="D2159" s="100">
        <v>1</v>
      </c>
      <c r="E2159" s="100">
        <v>-2</v>
      </c>
      <c r="F2159" s="101">
        <v>-1</v>
      </c>
      <c r="G2159" s="102">
        <f t="shared" si="634"/>
        <v>-2</v>
      </c>
      <c r="H2159" s="58">
        <v>45531</v>
      </c>
      <c r="I2159" s="15" t="s">
        <v>80</v>
      </c>
      <c r="J2159" s="8"/>
      <c r="K2159" s="10"/>
      <c r="L2159" s="10"/>
      <c r="M2159" s="10"/>
      <c r="N2159" s="30"/>
      <c r="O2159" s="7">
        <f t="shared" si="633"/>
        <v>0</v>
      </c>
    </row>
    <row r="2160" spans="1:17" x14ac:dyDescent="0.15">
      <c r="A2160" s="38" t="s">
        <v>81</v>
      </c>
      <c r="B2160" s="11"/>
      <c r="C2160" s="100"/>
      <c r="D2160" s="100">
        <v>3</v>
      </c>
      <c r="E2160" s="100">
        <v>5</v>
      </c>
      <c r="F2160" s="101">
        <v>3</v>
      </c>
      <c r="G2160" s="102">
        <f t="shared" si="634"/>
        <v>11</v>
      </c>
      <c r="H2160" s="58">
        <v>45540</v>
      </c>
      <c r="I2160" s="15" t="s">
        <v>81</v>
      </c>
      <c r="J2160" s="8"/>
      <c r="K2160" s="10"/>
      <c r="L2160" s="10"/>
      <c r="M2160" s="10"/>
      <c r="N2160" s="30"/>
      <c r="O2160" s="7">
        <f t="shared" si="633"/>
        <v>0</v>
      </c>
    </row>
    <row r="2161" spans="1:17" x14ac:dyDescent="0.15">
      <c r="A2161" s="38" t="s">
        <v>82</v>
      </c>
      <c r="B2161" s="11"/>
      <c r="C2161" s="100">
        <v>5</v>
      </c>
      <c r="D2161" s="100"/>
      <c r="E2161" s="100"/>
      <c r="F2161" s="101"/>
      <c r="G2161" s="102">
        <f t="shared" si="634"/>
        <v>5</v>
      </c>
      <c r="H2161" s="58">
        <v>45555</v>
      </c>
      <c r="I2161" s="15" t="s">
        <v>82</v>
      </c>
      <c r="J2161" s="8"/>
      <c r="K2161" s="10"/>
      <c r="L2161" s="10"/>
      <c r="M2161" s="10"/>
      <c r="N2161" s="30"/>
      <c r="O2161" s="7">
        <f t="shared" si="633"/>
        <v>0</v>
      </c>
    </row>
    <row r="2162" spans="1:17" x14ac:dyDescent="0.15">
      <c r="A2162" s="38" t="s">
        <v>83</v>
      </c>
      <c r="B2162" s="11"/>
      <c r="C2162" s="100"/>
      <c r="D2162" s="100">
        <v>5</v>
      </c>
      <c r="E2162" s="100"/>
      <c r="F2162" s="101"/>
      <c r="G2162" s="102">
        <f t="shared" si="631"/>
        <v>5</v>
      </c>
      <c r="H2162" s="58">
        <v>45573</v>
      </c>
      <c r="I2162" s="15" t="s">
        <v>83</v>
      </c>
      <c r="J2162" s="8"/>
      <c r="K2162" s="10"/>
      <c r="L2162" s="10"/>
      <c r="M2162" s="10"/>
      <c r="N2162" s="30"/>
      <c r="O2162" s="7">
        <f t="shared" si="633"/>
        <v>0</v>
      </c>
    </row>
    <row r="2163" spans="1:17" ht="14.25" thickBot="1" x14ac:dyDescent="0.2">
      <c r="A2163" s="38" t="s">
        <v>159</v>
      </c>
      <c r="B2163" s="11">
        <v>3</v>
      </c>
      <c r="C2163" s="100"/>
      <c r="D2163" s="100"/>
      <c r="E2163" s="100"/>
      <c r="F2163" s="101">
        <v>3</v>
      </c>
      <c r="G2163" s="102">
        <f t="shared" si="631"/>
        <v>6</v>
      </c>
      <c r="H2163" s="58">
        <v>45612</v>
      </c>
      <c r="I2163" s="15" t="s">
        <v>87</v>
      </c>
      <c r="J2163" s="11"/>
      <c r="K2163" s="100"/>
      <c r="L2163" s="100"/>
      <c r="M2163" s="100"/>
      <c r="N2163" s="101"/>
      <c r="O2163" s="102">
        <f t="shared" si="633"/>
        <v>0</v>
      </c>
    </row>
    <row r="2164" spans="1:17" ht="14.25" thickBot="1" x14ac:dyDescent="0.2">
      <c r="A2164" s="72" t="s">
        <v>7</v>
      </c>
      <c r="B2164" s="73">
        <f>SUM(B2154:B2163)</f>
        <v>11</v>
      </c>
      <c r="C2164" s="74">
        <f t="shared" ref="C2164:G2164" si="636">SUM(C2154:C2163)</f>
        <v>15</v>
      </c>
      <c r="D2164" s="74">
        <f t="shared" si="636"/>
        <v>22</v>
      </c>
      <c r="E2164" s="74">
        <f t="shared" si="636"/>
        <v>15</v>
      </c>
      <c r="F2164" s="105">
        <f t="shared" si="636"/>
        <v>11</v>
      </c>
      <c r="G2164" s="76">
        <f t="shared" si="636"/>
        <v>74</v>
      </c>
      <c r="I2164" s="72" t="s">
        <v>7</v>
      </c>
      <c r="J2164" s="73">
        <f>SUM(J2154:J2163)</f>
        <v>81</v>
      </c>
      <c r="K2164" s="74">
        <f t="shared" ref="K2164:O2164" si="637">SUM(K2154:K2163)</f>
        <v>103</v>
      </c>
      <c r="L2164" s="74">
        <f t="shared" si="637"/>
        <v>92</v>
      </c>
      <c r="M2164" s="74">
        <f t="shared" si="637"/>
        <v>88</v>
      </c>
      <c r="N2164" s="105">
        <f t="shared" si="637"/>
        <v>111</v>
      </c>
      <c r="O2164" s="76">
        <f t="shared" si="637"/>
        <v>475</v>
      </c>
    </row>
    <row r="2165" spans="1:17" x14ac:dyDescent="0.15">
      <c r="A2165" s="14" t="s">
        <v>29</v>
      </c>
      <c r="B2165" s="8"/>
      <c r="C2165" s="10"/>
      <c r="D2165" s="10">
        <v>1</v>
      </c>
      <c r="E2165" s="10"/>
      <c r="F2165" s="30"/>
      <c r="G2165" s="7">
        <f t="shared" ref="G2165:G2187" si="638">SUM(B2165:F2165)</f>
        <v>1</v>
      </c>
      <c r="H2165" s="58">
        <v>45458</v>
      </c>
      <c r="I2165" s="14" t="s">
        <v>1625</v>
      </c>
      <c r="J2165" s="11"/>
      <c r="K2165" s="12">
        <v>1</v>
      </c>
      <c r="L2165" s="12"/>
      <c r="M2165" s="12"/>
      <c r="N2165" s="31"/>
      <c r="O2165" s="7">
        <f t="shared" ref="O2165:O2178" si="639">SUM(J2165:N2165)</f>
        <v>1</v>
      </c>
      <c r="P2165" s="58">
        <v>45547</v>
      </c>
    </row>
    <row r="2166" spans="1:17" x14ac:dyDescent="0.15">
      <c r="A2166" s="14" t="s">
        <v>29</v>
      </c>
      <c r="B2166" s="8"/>
      <c r="C2166" s="10"/>
      <c r="D2166" s="10">
        <v>2</v>
      </c>
      <c r="E2166" s="10">
        <v>1</v>
      </c>
      <c r="F2166" s="30"/>
      <c r="G2166" s="7">
        <f t="shared" si="638"/>
        <v>3</v>
      </c>
      <c r="H2166" s="58">
        <v>45460</v>
      </c>
      <c r="I2166" s="16" t="s">
        <v>24</v>
      </c>
      <c r="J2166" s="11"/>
      <c r="K2166" s="12"/>
      <c r="L2166" s="12">
        <v>3</v>
      </c>
      <c r="M2166" s="12">
        <v>5</v>
      </c>
      <c r="N2166" s="31">
        <v>3</v>
      </c>
      <c r="O2166" s="7">
        <f t="shared" si="639"/>
        <v>11</v>
      </c>
      <c r="P2166" s="58">
        <v>45540</v>
      </c>
    </row>
    <row r="2167" spans="1:17" x14ac:dyDescent="0.15">
      <c r="A2167" s="14" t="s">
        <v>29</v>
      </c>
      <c r="B2167" s="8"/>
      <c r="C2167" s="10"/>
      <c r="D2167" s="10">
        <v>1</v>
      </c>
      <c r="E2167" s="10"/>
      <c r="F2167" s="30"/>
      <c r="G2167" s="7">
        <f t="shared" si="638"/>
        <v>1</v>
      </c>
      <c r="H2167" s="58">
        <v>45479</v>
      </c>
      <c r="I2167" s="14" t="s">
        <v>1630</v>
      </c>
      <c r="J2167" s="11"/>
      <c r="K2167" s="12">
        <v>2</v>
      </c>
      <c r="L2167" s="12"/>
      <c r="M2167" s="12"/>
      <c r="N2167" s="31"/>
      <c r="O2167" s="7">
        <f t="shared" si="639"/>
        <v>2</v>
      </c>
      <c r="P2167" s="58">
        <v>45559</v>
      </c>
      <c r="Q2167" s="56"/>
    </row>
    <row r="2168" spans="1:17" x14ac:dyDescent="0.15">
      <c r="A2168" s="14" t="s">
        <v>29</v>
      </c>
      <c r="B2168" s="8"/>
      <c r="C2168" s="10"/>
      <c r="D2168" s="10">
        <v>1</v>
      </c>
      <c r="E2168" s="10"/>
      <c r="F2168" s="30"/>
      <c r="G2168" s="7">
        <f t="shared" si="638"/>
        <v>1</v>
      </c>
      <c r="H2168" s="58">
        <v>45481</v>
      </c>
      <c r="I2168" s="16" t="s">
        <v>24</v>
      </c>
      <c r="J2168" s="11"/>
      <c r="K2168" s="12">
        <v>5</v>
      </c>
      <c r="L2168" s="12"/>
      <c r="M2168" s="12"/>
      <c r="N2168" s="31"/>
      <c r="O2168" s="7">
        <f t="shared" si="639"/>
        <v>5</v>
      </c>
      <c r="P2168" s="58">
        <v>45555</v>
      </c>
      <c r="Q2168" s="56"/>
    </row>
    <row r="2169" spans="1:17" x14ac:dyDescent="0.15">
      <c r="A2169" s="14" t="s">
        <v>696</v>
      </c>
      <c r="B2169" s="8"/>
      <c r="C2169" s="10"/>
      <c r="D2169" s="10">
        <v>-1</v>
      </c>
      <c r="E2169" s="10"/>
      <c r="F2169" s="30"/>
      <c r="G2169" s="7">
        <f t="shared" si="638"/>
        <v>-1</v>
      </c>
      <c r="H2169" s="58">
        <v>45483</v>
      </c>
      <c r="I2169" s="16" t="s">
        <v>24</v>
      </c>
      <c r="J2169" s="11"/>
      <c r="K2169" s="12"/>
      <c r="L2169" s="12">
        <v>5</v>
      </c>
      <c r="M2169" s="12"/>
      <c r="N2169" s="31"/>
      <c r="O2169" s="7">
        <f t="shared" si="639"/>
        <v>5</v>
      </c>
      <c r="P2169" s="58">
        <v>45573</v>
      </c>
      <c r="Q2169" s="56"/>
    </row>
    <row r="2170" spans="1:17" x14ac:dyDescent="0.15">
      <c r="A2170" s="14" t="s">
        <v>29</v>
      </c>
      <c r="B2170" s="8"/>
      <c r="C2170" s="10"/>
      <c r="D2170" s="10"/>
      <c r="E2170" s="10"/>
      <c r="F2170" s="30">
        <v>1</v>
      </c>
      <c r="G2170" s="7">
        <f t="shared" si="638"/>
        <v>1</v>
      </c>
      <c r="H2170" s="58">
        <v>45484</v>
      </c>
      <c r="I2170" s="16" t="s">
        <v>24</v>
      </c>
      <c r="J2170" s="11">
        <v>3</v>
      </c>
      <c r="K2170" s="12"/>
      <c r="L2170" s="12"/>
      <c r="M2170" s="12"/>
      <c r="N2170" s="31">
        <v>3</v>
      </c>
      <c r="O2170" s="7">
        <f t="shared" si="639"/>
        <v>6</v>
      </c>
      <c r="P2170" s="58">
        <v>45612</v>
      </c>
      <c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"30">
        <v>1</v>
      </c>
      <c r="G2171" s="7">
        <f t="shared" si="638"/>
        <v>1</v>
      </c>
      <c r="H2171" s="58">
        <v>45485</v>
      </c>
      <c r="I2171" s="16"/>
      <c r="J2171" s="11"/>
      <c r="K2171" s="12"/>
      <c r="L2171" s="12"/>
      <c r="M2171" s="12"/>
      <c r="N2171" s="31"/>
      <c r="O2171" s="7">
        <f t="shared" si="639"/>
        <v>0</v>
      </c>
      <c r="P2171" s="56"/>
      <c r="Q2171" s="56"/>
    </row>
    <row r="2172" spans="1:17" x14ac:dyDescent="0.15">
      <c r="A2172" s="14" t="s">
        <v>29</v>
      </c>
      <c r="B2172" s="8">
        <v>1</v>
      </c>
      <c r="C2172" s="10"/>
      <c r="D2172" s="10"/>
      <c r="E2172" s="10">
        <v>1</v>
      </c>
      <c r="F2172" s="30"/>
      <c r="G2172" s="7">
        <f t="shared" si="638"/>
        <v>2</v>
      </c>
      <c r="H2172" s="58">
        <v>45492</v>
      </c>
      <c r="I2172" s="16"/>
      <c r="J2172" s="11"/>
      <c r="K2172" s="12"/>
      <c r="L2172" s="12"/>
      <c r="M2172" s="12"/>
      <c r="N2172" s="31"/>
      <c r="O2172" s="7">
        <f t="shared" si="639"/>
        <v>0</v>
      </c>
      <c r="P2172" s="56"/>
    </row>
    <row r="2173" spans="1:17" x14ac:dyDescent="0.15">
      <c r="A2173" s="14" t="s">
        <v>29</v>
      </c>
      <c r="B2173" s="8"/>
      <c r="C2173" s="10">
        <v>1</v>
      </c>
      <c r="D2173" s="10"/>
      <c r="E2173" s="10"/>
      <c r="F2173" s="30"/>
      <c r="G2173" s="7">
        <f t="shared" si="638"/>
        <v>1</v>
      </c>
      <c r="H2173" s="58">
        <v>45502</v>
      </c>
      <c r="I2173" s="16"/>
      <c r="J2173" s="11"/>
      <c r="K2173" s="12"/>
      <c r="L2173" s="12"/>
      <c r="M2173" s="12"/>
      <c r="N2173" s="31"/>
      <c r="O2173" s="7">
        <f t="shared" si="639"/>
        <v>0</v>
      </c>
      <c r="P2173" s="56"/>
    </row>
    <row r="2174" spans="1:17" x14ac:dyDescent="0.15">
      <c r="A2174" s="14" t="s">
        <v>29</v>
      </c>
      <c r="B2174" s="8">
        <v>1</v>
      </c>
      <c r="C2174" s="10"/>
      <c r="D2174" s="10"/>
      <c r="E2174" s="10"/>
      <c r="F2174" s="30"/>
      <c r="G2174" s="7">
        <f t="shared" si="638"/>
        <v>1</v>
      </c>
      <c r="H2174" s="58">
        <v>45505</v>
      </c>
      <c r="I2174" s="16"/>
      <c r="J2174" s="11"/>
      <c r="K2174" s="12"/>
      <c r="L2174" s="12"/>
      <c r="M2174" s="12"/>
      <c r="N2174" s="31"/>
      <c r="O2174" s="7">
        <f t="shared" si="639"/>
        <v>0</v>
      </c>
      <c r="P2174" s="56"/>
    </row>
    <row r="2175" spans="1:17" x14ac:dyDescent="0.15">
      <c r="A2175" s="14" t="s">
        <v>29</v>
      </c>
      <c r="B2175" s="8"/>
      <c r="C2175" s="10"/>
      <c r="D2175" s="10"/>
      <c r="E2175" s="10">
        <v>1</v>
      </c>
      <c r="F2175" s="30"/>
      <c r="G2175" s="7">
        <f t="shared" si="638"/>
        <v>1</v>
      </c>
      <c r="H2175" s="58">
        <v>45512</v>
      </c>
      <c r="I2175" s="16"/>
      <c r="J2175" s="11"/>
      <c r="K2175" s="12"/>
      <c r="L2175" s="12"/>
      <c r="M2175" s="12"/>
      <c r="N2175" s="31"/>
      <c r="O2175" s="7">
        <f t="shared" si="639"/>
        <v>0</v>
      </c>
    </row>
    <row r="2176" spans="1:17" x14ac:dyDescent="0.15">
      <c r="A2176" s="14" t="s">
        <v>29</v>
      </c>
      <c r="B2176" s="8"/>
      <c r="C2176" s="10"/>
      <c r="D2176" s="10">
        <v>1</v>
      </c>
      <c r="E2176" s="10"/>
      <c r="F2176" s="30"/>
      <c r="G2176" s="7">
        <f t="shared" si="638"/>
        <v>1</v>
      </c>
      <c r="H2176" s="58">
        <v>45515</v>
      </c>
      <c r="I2176" s="16"/>
      <c r="J2176" s="11"/>
      <c r="K2176" s="12"/>
      <c r="L2176" s="12"/>
      <c r="M2176" s="12"/>
      <c r="N2176" s="31"/>
      <c r="O2176" s="7">
        <f t="shared" si="639"/>
        <v>0</v>
      </c>
    </row>
    <row r="2177" spans="1:15" x14ac:dyDescent="0.15">
      <c r="A2177" s="14" t="s">
        <v>29</v>
      </c>
      <c r="B2177" s="8"/>
      <c r="C2177" s="10"/>
      <c r="D2177" s="10"/>
      <c r="E2177" s="10">
        <v>1</v>
      </c>
      <c r="F2177" s="30"/>
      <c r="G2177" s="7">
        <f t="shared" si="638"/>
        <v>1</v>
      </c>
      <c r="H2177" s="58">
        <v>45523</v>
      </c>
      <c r="I2177" s="16"/>
      <c r="J2177" s="11"/>
      <c r="K2177" s="12"/>
      <c r="L2177" s="12"/>
      <c r="M2177" s="12"/>
      <c r="N2177" s="31"/>
      <c r="O2177" s="7">
        <f t="shared" si="639"/>
        <v>0</v>
      </c>
    </row>
    <row r="2178" spans="1:15" x14ac:dyDescent="0.15">
      <c r="A2178" s="14" t="s">
        <v>29</v>
      </c>
      <c r="B2178" s="8"/>
      <c r="C2178" s="10"/>
      <c r="D2178" s="10"/>
      <c r="E2178" s="10">
        <v>1</v>
      </c>
      <c r="F2178" s="30"/>
      <c r="G2178" s="7">
        <f t="shared" si="638"/>
        <v>1</v>
      </c>
      <c r="H2178" s="58">
        <v>45527</v>
      </c>
      <c r="I2178" s="16"/>
      <c r="J2178" s="11"/>
      <c r="K2178" s="12"/>
      <c r="L2178" s="12"/>
      <c r="M2178" s="12"/>
      <c r="N2178" s="31"/>
      <c r="O2178" s="7">
        <f t="shared" si="639"/>
        <v>0</v>
      </c>
    </row>
    <row r="2179" spans="1:15" x14ac:dyDescent="0.15">
      <c r="A2179" s="14" t="s">
        <v>1633</v>
      </c>
      <c r="B2179" s="11">
        <v>2</v>
      </c>
      <c r="C2179" s="100">
        <v>5</v>
      </c>
      <c r="D2179" s="100">
        <v>5</v>
      </c>
      <c r="E2179" s="100">
        <v>4</v>
      </c>
      <c r="F2179" s="101"/>
      <c r="G2179" s="7">
        <f t="shared" si="638"/>
        <v>16</v>
      </c>
      <c r="H2179" s="58">
        <v>45535</v>
      </c>
      <c r="I2179" s="16"/>
      <c r="J2179" s="11"/>
      <c r="K2179" s="12"/>
      <c r="L2179" s="12"/>
      <c r="M2179" s="12"/>
      <c r="N2179" s="31"/>
      <c r="O2179" s="7">
        <f t="shared" ref="O2179:O2182" si="640">SUM(J2179:N2179)</f>
        <v>0</v>
      </c>
    </row>
    <row r="2180" spans="1:15" x14ac:dyDescent="0.15">
      <c r="A2180" s="14" t="s">
        <v>29</v>
      </c>
      <c r="B2180" s="8"/>
      <c r="C2180" s="10"/>
      <c r="D2180" s="10">
        <v>1</v>
      </c>
      <c r="E2180" s="10"/>
      <c r="F2180" s="30"/>
      <c r="G2180" s="7">
        <f t="shared" si="638"/>
        <v>1</v>
      </c>
      <c r="H2180" s="58">
        <v>45540</v>
      </c>
      <c r="I2180" s="16"/>
      <c r="J2180" s="11"/>
      <c r="K2180" s="12"/>
      <c r="L2180" s="12"/>
      <c r="M2180" s="12"/>
      <c r="N2180" s="31"/>
      <c r="O2180" s="7">
        <f t="shared" si="640"/>
        <v>0</v>
      </c>
    </row>
    <row r="2181" spans="1:15" x14ac:dyDescent="0.15">
      <c r="A2181" s="14" t="s">
        <v>29</v>
      </c>
      <c r="B2181" s="8"/>
      <c r="C2181" s="10"/>
      <c r="D2181" s="10"/>
      <c r="E2181" s="10">
        <v>1</v>
      </c>
      <c r="F2181" s="30"/>
      <c r="G2181" s="7">
        <f t="shared" si="638"/>
        <v>1</v>
      </c>
      <c r="H2181" s="58">
        <v>45541</v>
      </c>
      <c r="I2181" s="16"/>
      <c r="J2181" s="11"/>
      <c r="K2181" s="12"/>
      <c r="L2181" s="12"/>
      <c r="M2181" s="12"/>
      <c r="N2181" s="31"/>
      <c r="O2181" s="7">
        <f t="shared" si="640"/>
        <v>0</v>
      </c>
    </row>
    <row r="2182" spans="1:15" x14ac:dyDescent="0.15">
      <c r="A2182" s="14" t="s">
        <v>1635</v>
      </c>
      <c r="B2182" s="8"/>
      <c r="C2182" s="10"/>
      <c r="D2182" s="10"/>
      <c r="E2182" s="10"/>
      <c r="F2182" s="30">
        <v>1</v>
      </c>
      <c r="G2182" s="7">
        <f t="shared" si="638"/>
        <v>1</v>
      </c>
      <c r="H2182" s="58">
        <v>45545</v>
      </c>
      <c r="I2182" s="16"/>
      <c r="J2182" s="11"/>
      <c r="K2182" s="12"/>
      <c r="L2182" s="12"/>
      <c r="M2182" s="12"/>
      <c r="N2182" s="31"/>
      <c r="O2182" s="7">
        <f t="shared" si="640"/>
        <v>0</v>
      </c>
    </row>
    <row r="2183" spans="1:15" x14ac:dyDescent="0.15">
      <c r="A2183" s="14" t="s">
        <v>29</v>
      </c>
      <c r="B2183" s="8"/>
      <c r="C2183" s="10">
        <f>1+1</f>
        <v>2</v>
      </c>
      <c r="D2183" s="10">
        <v>1</v>
      </c>
      <c r="E2183" s="10"/>
      <c r="F2183" s="30"/>
      <c r="G2183" s="7">
        <f t="shared" si="638"/>
        <v>3</v>
      </c>
      <c r="H2183" s="58">
        <v>45546</v>
      </c>
      <c r="I2183" s="16"/>
      <c r="J2183" s="11"/>
      <c r="K2183" s="12"/>
      <c r="L2183" s="12"/>
      <c r="M2183" s="12"/>
      <c r="N2183" s="31"/>
      <c r="O2183" s="7">
        <f t="shared" ref="O2183:O2190" si="641">SUM(J2183:N2183)</f>
        <v>0</v>
      </c>
    </row>
    <row r="2184" spans="1:15" x14ac:dyDescent="0.15">
      <c r="A2184" s="14" t="s">
        <v>29</v>
      </c>
      <c r="B2184" s="8"/>
      <c r="C2184" s="10"/>
      <c r="D2184" s="10">
        <v>1</v>
      </c>
      <c r="E2184" s="10"/>
      <c r="F2184" s="30"/>
      <c r="G2184" s="7">
        <f t="shared" si="638"/>
        <v>1</v>
      </c>
      <c r="H2184" s="58">
        <v>45552</v>
      </c>
      <c r="I2184" s="16"/>
      <c r="J2184" s="11"/>
      <c r="K2184" s="12"/>
      <c r="L2184" s="12"/>
      <c r="M2184" s="12"/>
      <c r="N2184" s="31"/>
      <c r="O2184" s="7">
        <f t="shared" si="641"/>
        <v>0</v>
      </c>
    </row>
    <row r="2185" spans="1:15" x14ac:dyDescent="0.15">
      <c r="A2185" s="14" t="s">
        <v>29</v>
      </c>
      <c r="B2185" s="8"/>
      <c r="C2185" s="10">
        <v>1</v>
      </c>
      <c r="D2185" s="10">
        <v>1</v>
      </c>
      <c r="E2185" s="10"/>
      <c r="F2185" s="30"/>
      <c r="G2185" s="7">
        <f t="shared" si="638"/>
        <v>2</v>
      </c>
      <c r="H2185" s="58">
        <v>45555</v>
      </c>
      <c r="I2185" s="16"/>
      <c r="J2185" s="11"/>
      <c r="K2185" s="12"/>
      <c r="L2185" s="12"/>
      <c r="M2185" s="12"/>
      <c r="N2185" s="31"/>
      <c r="O2185" s="7">
        <f t="shared" si="641"/>
        <v>0</v>
      </c>
    </row>
    <row r="2186" spans="1:15" x14ac:dyDescent="0.15">
      <c r="A2186" s="14" t="s">
        <v>29</v>
      </c>
      <c r="B2186" s="8"/>
      <c r="C2186" s="10"/>
      <c r="D2186" s="10">
        <v>2</v>
      </c>
      <c r="E2186" s="10"/>
      <c r="F2186" s="30"/>
      <c r="G2186" s="7">
        <f t="shared" si="638"/>
        <v>2</v>
      </c>
      <c r="H2186" s="58">
        <v>45565</v>
      </c>
      <c r="I2186" s="16"/>
      <c r="J2186" s="11"/>
      <c r="K2186" s="12"/>
      <c r="L2186" s="12"/>
      <c r="M2186" s="12"/>
      <c r="N2186" s="31"/>
      <c r="O2186" s="7">
        <f t="shared" si="641"/>
        <v>0</v>
      </c>
    </row>
    <row r="2187" spans="1:15" x14ac:dyDescent="0.15">
      <c r="A2187" s="14" t="s">
        <v>29</v>
      </c>
      <c r="B2187" s="8"/>
      <c r="C2187" s="10"/>
      <c r="D2187" s="10"/>
      <c r="E2187" s="10"/>
      <c r="F2187" s="30">
        <v>1</v>
      </c>
      <c r="G2187" s="7">
        <f t="shared" si="638"/>
        <v>1</v>
      </c>
      <c r="H2187" s="58">
        <v>45582</v>
      </c>
      <c r="I2187" s="16"/>
      <c r="J2187" s="11"/>
      <c r="K2187" s="12"/>
      <c r="L2187" s="12"/>
      <c r="M2187" s="12"/>
      <c r="N2187" s="31"/>
      <c r="O2187" s="7">
        <f t="shared" si="641"/>
        <v>0</v>
      </c>
    </row>
    <row r="2188" spans="1:15" x14ac:dyDescent="0.15">
      <c r="A2188" s="14" t="s">
        <v>29</v>
      </c>
      <c r="B2188" s="8"/>
      <c r="C2188" s="10"/>
      <c r="D2188" s="10"/>
      <c r="E2188" s="10"/>
      <c r="F2188" s="30">
        <v>1</v>
      </c>
      <c r="G2188" s="7">
        <f t="shared" ref="G2188:G2190" si="642">SUM(B2188:F2188)</f>
        <v>1</v>
      </c>
      <c r="H2188" s="58">
        <v>45598</v>
      </c>
      <c r="I2188" s="16"/>
      <c r="J2188" s="11"/>
      <c r="K2188" s="12"/>
      <c r="L2188" s="12"/>
      <c r="M2188" s="12"/>
      <c r="N2188" s="31"/>
      <c r="O2188" s="7">
        <f t="shared" si="641"/>
        <v>0</v>
      </c>
    </row>
    <row r="2189" spans="1:15" x14ac:dyDescent="0.15">
      <c r="A2189" s="14" t="s">
        <v>29</v>
      </c>
      <c r="B2189" s="8"/>
      <c r="C2189" s="10">
        <v>1</v>
      </c>
      <c r="D2189" s="10"/>
      <c r="E2189" s="10"/>
      <c r="F2189" s="30"/>
      <c r="G2189" s="7">
        <f t="shared" si="642"/>
        <v>1</v>
      </c>
      <c r="H2189" s="57">
        <v>45607</v>
      </c>
      <c r="I2189" s="16"/>
      <c r="J2189" s="11"/>
      <c r="K2189" s="12"/>
      <c r="L2189" s="12"/>
      <c r="M2189" s="12"/>
      <c r="N2189" s="31"/>
      <c r="O2189" s="7">
        <f t="shared" si="641"/>
        <v>0</v>
      </c>
    </row>
    <row r="2190" spans="1:15" ht="14.25" thickBot="1" x14ac:dyDescent="0.2">
      <c r="A2190" s="14" t="s">
        <v>29</v>
      </c>
      <c r="B2190" s="8">
        <v>1</v>
      </c>
      <c r="C2190" s="10"/>
      <c r="D2190" s="10"/>
      <c r="E2190" s="10">
        <v>1</v>
      </c>
      <c r="F2190" s="30"/>
      <c r="G2190" s="7">
        <f t="shared" si="642"/>
        <v>2</v>
      </c>
      <c r="H2190" s="57">
        <v>45614</v>
      </c>
      <c r="I2190" s="16"/>
      <c r="J2190" s="11"/>
      <c r="K2190" s="12"/>
      <c r="L2190" s="12"/>
      <c r="M2190" s="12"/>
      <c r="N2190" s="31"/>
      <c r="O2190" s="7">
        <f t="shared" si="641"/>
        <v>0</v>
      </c>
    </row>
    <row r="2191" spans="1:15" ht="14.25" thickBot="1" x14ac:dyDescent="0.2">
      <c r="A2191" s="3" t="s">
        <v>11</v>
      </c>
      <c r="B2191" s="23">
        <f>SUM(B2165:B2190)</f>
        <v>5</v>
      </c>
      <c r="C2191" s="4">
        <f>SUM(C2165:C2190)</f>
        <v>10</v>
      </c>
      <c r="D2191" s="4">
        <f>SUM(D2165:D2190)</f>
        <v>16</v>
      </c>
      <c r="E2191" s="6">
        <f>SUM(E2165:E2190)</f>
        <v>11</v>
      </c>
      <c r="F2191" s="32">
        <f>SUM(F2165:F2190)</f>
        <v>5</v>
      </c>
      <c r="G2191" s="5">
        <f>SUM(B2191:F2191)</f>
        <v>47</v>
      </c>
      <c r="I2191" s="3" t="s">
        <v>11</v>
      </c>
      <c r="J2191" s="23">
        <f>SUM(J2165:J2190)</f>
        <v>3</v>
      </c>
      <c r="K2191" s="4">
        <f>SUM(K2165:K2190)</f>
        <v>8</v>
      </c>
      <c r="L2191" s="4">
        <f>SUM(L2165:L2190)</f>
        <v>8</v>
      </c>
      <c r="M2191" s="6">
        <f>SUM(M2165:M2190)</f>
        <v>5</v>
      </c>
      <c r="N2191" s="6">
        <f>SUM(N2165:N2190)</f>
        <v>6</v>
      </c>
      <c r="O2191" s="5">
        <f>SUM(J2191:N2191)</f>
        <v>30</v>
      </c>
    </row>
    <row r="2192" spans="1:15" ht="14.25" thickBot="1" x14ac:dyDescent="0.2">
      <c r="A2192" s="25" t="s">
        <v>12</v>
      </c>
      <c r="B2192" s="63">
        <f>B2164-B2191</f>
        <v>6</v>
      </c>
      <c r="C2192" s="26">
        <f t="shared" ref="C2192:G2192" si="643">C2164-C2191</f>
        <v>5</v>
      </c>
      <c r="D2192" s="71">
        <f t="shared" si="643"/>
        <v>6</v>
      </c>
      <c r="E2192" s="26">
        <f t="shared" si="643"/>
        <v>4</v>
      </c>
      <c r="F2192" s="70">
        <f t="shared" si="643"/>
        <v>6</v>
      </c>
      <c r="G2192" s="27">
        <f t="shared" si="643"/>
        <v>27</v>
      </c>
      <c r="I2192" s="25" t="s">
        <v>12</v>
      </c>
      <c r="J2192" s="63">
        <f>J2164-J2191</f>
        <v>78</v>
      </c>
      <c r="K2192" s="26">
        <f t="shared" ref="K2192:O2192" si="644">K2164-K2191</f>
        <v>95</v>
      </c>
      <c r="L2192" s="71">
        <f t="shared" si="644"/>
        <v>84</v>
      </c>
      <c r="M2192" s="26">
        <f t="shared" si="644"/>
        <v>83</v>
      </c>
      <c r="N2192" s="70">
        <f t="shared" si="644"/>
        <v>105</v>
      </c>
      <c r="O2192" s="27">
        <f t="shared" si="644"/>
        <v>445</v>
      </c>
    </row>
    <row r="2193" spans="1:16" ht="21" x14ac:dyDescent="0.2">
      <c r="A2193" s="82" t="s">
        <v>55</v>
      </c>
      <c r="B2193" s="80"/>
      <c r="C2193" s="80"/>
      <c r="D2193" s="80"/>
      <c r="E2193" s="81" t="s">
        <v>53</v>
      </c>
      <c r="F2193" s="80"/>
      <c r="G2193" s="80"/>
      <c r="J2193" s="211"/>
      <c r="K2193" s="211"/>
      <c r="L2193" s="211"/>
      <c r="M2193" s="211"/>
      <c r="N2193" s="211"/>
      <c r="O2193" s="211"/>
    </row>
    <row r="2194" spans="1:16" ht="14.25" thickBot="1" x14ac:dyDescent="0.2">
      <c r="J2194" s="211"/>
      <c r="K2194" s="211"/>
      <c r="L2194" s="211"/>
      <c r="M2194" s="211"/>
      <c r="N2194" s="211"/>
      <c r="O2194" s="211"/>
    </row>
    <row r="2195" spans="1:16" ht="14.25" thickBot="1" x14ac:dyDescent="0.2">
      <c r="A2195" s="13" t="s">
        <v>0</v>
      </c>
      <c r="B2195" s="228" t="s">
        <v>57</v>
      </c>
      <c r="C2195" s="229"/>
      <c r="D2195" s="229"/>
      <c r="E2195" s="229"/>
      <c r="F2195" s="230"/>
      <c r="G2195" s="231"/>
      <c r="I2195" s="13" t="s">
        <v>0</v>
      </c>
      <c r="J2195" s="232" t="s">
        <v>57</v>
      </c>
      <c r="K2195" s="233"/>
      <c r="L2195" s="233"/>
      <c r="M2195" s="233"/>
      <c r="N2195" s="233"/>
      <c r="O2195" s="234"/>
    </row>
    <row r="2196" spans="1:16" ht="14.25" thickBot="1" x14ac:dyDescent="0.2">
      <c r="A2196" s="3" t="s">
        <v>1</v>
      </c>
      <c r="B2196" s="2" t="s">
        <v>42</v>
      </c>
      <c r="C2196" s="21" t="s">
        <v>43</v>
      </c>
      <c r="D2196" s="21" t="s">
        <v>44</v>
      </c>
      <c r="E2196" s="24" t="s">
        <v>45</v>
      </c>
      <c r="F2196" s="33" t="s">
        <v>46</v>
      </c>
      <c r="G2196" s="3" t="s">
        <v>2</v>
      </c>
      <c r="I2196" s="3" t="s">
        <v>1</v>
      </c>
      <c r="J2196" s="2" t="s">
        <v>42</v>
      </c>
      <c r="K2196" s="21" t="s">
        <v>43</v>
      </c>
      <c r="L2196" s="21" t="s">
        <v>44</v>
      </c>
      <c r="M2196" s="24" t="s">
        <v>45</v>
      </c>
      <c r="N2196" s="33" t="s">
        <v>46</v>
      </c>
      <c r="O2196" s="3" t="s">
        <v>2</v>
      </c>
    </row>
    <row r="2197" spans="1:16" ht="14.25" thickBot="1" x14ac:dyDescent="0.2">
      <c r="A2197" s="72" t="s">
        <v>79</v>
      </c>
      <c r="B2197" s="73">
        <f>B2192</f>
        <v>6</v>
      </c>
      <c r="C2197" s="74">
        <f t="shared" ref="C2197:F2197" si="645">C2192</f>
        <v>5</v>
      </c>
      <c r="D2197" s="107">
        <f t="shared" si="645"/>
        <v>6</v>
      </c>
      <c r="E2197" s="75">
        <f t="shared" si="645"/>
        <v>4</v>
      </c>
      <c r="F2197" s="75">
        <f t="shared" si="645"/>
        <v>6</v>
      </c>
      <c r="G2197" s="76">
        <f t="shared" ref="G2197:G2206" si="646">SUM(B2197:F2197)</f>
        <v>27</v>
      </c>
      <c r="I2197" s="72" t="s">
        <v>79</v>
      </c>
      <c r="J2197" s="73">
        <f>J2192</f>
        <v>78</v>
      </c>
      <c r="K2197" s="74">
        <f t="shared" ref="K2197:N2197" si="647">K2192</f>
        <v>95</v>
      </c>
      <c r="L2197" s="107">
        <f t="shared" si="647"/>
        <v>84</v>
      </c>
      <c r="M2197" s="75">
        <f t="shared" si="647"/>
        <v>83</v>
      </c>
      <c r="N2197" s="75">
        <f t="shared" si="647"/>
        <v>105</v>
      </c>
      <c r="O2197" s="76">
        <f t="shared" ref="O2197:O2206" si="648">SUM(J2197:N2197)</f>
        <v>445</v>
      </c>
    </row>
    <row r="2198" spans="1:16" x14ac:dyDescent="0.15">
      <c r="A2198" s="38" t="s">
        <v>1620</v>
      </c>
      <c r="B2198" s="11">
        <v>7</v>
      </c>
      <c r="C2198" s="100">
        <v>1</v>
      </c>
      <c r="D2198" s="100">
        <v>2</v>
      </c>
      <c r="E2198" s="100">
        <v>4</v>
      </c>
      <c r="F2198" s="101"/>
      <c r="G2198" s="102">
        <f t="shared" si="646"/>
        <v>14</v>
      </c>
      <c r="H2198" s="58">
        <v>45630</v>
      </c>
      <c r="I2198" s="15" t="s">
        <v>15</v>
      </c>
      <c r="J2198" s="8"/>
      <c r="K2198" s="10"/>
      <c r="L2198" s="10"/>
      <c r="M2198" s="10"/>
      <c r="N2198" s="30"/>
      <c r="O2198" s="7">
        <f t="shared" si="648"/>
        <v>0</v>
      </c>
    </row>
    <row r="2199" spans="1:16" x14ac:dyDescent="0.15">
      <c r="A2199" s="38" t="s">
        <v>1620</v>
      </c>
      <c r="B2199" s="11"/>
      <c r="C2199" s="100"/>
      <c r="D2199" s="100"/>
      <c r="E2199" s="100">
        <v>1</v>
      </c>
      <c r="F2199" s="101"/>
      <c r="G2199" s="102">
        <f t="shared" si="646"/>
        <v>1</v>
      </c>
      <c r="H2199" s="58">
        <v>45300</v>
      </c>
      <c r="I2199" s="15" t="s">
        <v>16</v>
      </c>
      <c r="J2199" s="8"/>
      <c r="K2199" s="10"/>
      <c r="L2199" s="10"/>
      <c r="M2199" s="10"/>
      <c r="N2199" s="30"/>
      <c r="O2199" s="7">
        <f t="shared" si="648"/>
        <v>0</v>
      </c>
    </row>
    <row r="2200" spans="1:16" x14ac:dyDescent="0.15">
      <c r="A2200" s="38" t="s">
        <v>18</v>
      </c>
      <c r="B2200" s="11"/>
      <c r="C2200" s="100">
        <v>3</v>
      </c>
      <c r="D2200" s="100"/>
      <c r="E2200" s="100"/>
      <c r="F2200" s="101"/>
      <c r="G2200" s="102">
        <f t="shared" si="646"/>
        <v>3</v>
      </c>
      <c r="H2200" s="58">
        <v>45685</v>
      </c>
      <c r="I2200" s="15" t="s">
        <v>18</v>
      </c>
      <c r="J2200" s="8"/>
      <c r="K2200" s="10"/>
      <c r="L2200" s="10"/>
      <c r="M2200" s="10"/>
      <c r="N2200" s="30"/>
      <c r="O2200" s="7">
        <f t="shared" si="648"/>
        <v>0</v>
      </c>
    </row>
    <row r="2201" spans="1:16" x14ac:dyDescent="0.15">
      <c r="A2201" s="38" t="s">
        <v>20</v>
      </c>
      <c r="B2201" s="11"/>
      <c r="C2201" s="100">
        <v>3</v>
      </c>
      <c r="D2201" s="100">
        <v>3</v>
      </c>
      <c r="E2201" s="100"/>
      <c r="F2201" s="101">
        <v>3</v>
      </c>
      <c r="G2201" s="102">
        <f t="shared" si="646"/>
        <v>9</v>
      </c>
      <c r="H2201" s="58">
        <v>45709</v>
      </c>
      <c r="I2201" s="15" t="s">
        <v>20</v>
      </c>
      <c r="J2201" s="8"/>
      <c r="K2201" s="10"/>
      <c r="L2201" s="10"/>
      <c r="M2201" s="10"/>
      <c r="N2201" s="30"/>
      <c r="O2201" s="7">
        <f t="shared" si="648"/>
        <v>0</v>
      </c>
    </row>
    <row r="2202" spans="1:16" x14ac:dyDescent="0.15">
      <c r="A2202" s="38" t="s">
        <v>80</v>
      </c>
      <c r="B2202" s="11"/>
      <c r="C2202" s="100"/>
      <c r="D2202" s="100"/>
      <c r="E2202" s="100"/>
      <c r="F2202" s="101"/>
      <c r="G2202" s="102">
        <f t="shared" si="646"/>
        <v>0</v>
      </c>
      <c r="H2202" s="58"/>
      <c r="I2202" s="15" t="s">
        <v>80</v>
      </c>
      <c r="J2202" s="8"/>
      <c r="K2202" s="10"/>
      <c r="L2202" s="10"/>
      <c r="M2202" s="10"/>
      <c r="N2202" s="30"/>
      <c r="O2202" s="7">
        <f t="shared" si="648"/>
        <v>0</v>
      </c>
    </row>
    <row r="2203" spans="1:16" x14ac:dyDescent="0.15">
      <c r="A2203" s="38" t="s">
        <v>81</v>
      </c>
      <c r="B2203" s="11"/>
      <c r="C2203" s="100"/>
      <c r="D2203" s="100"/>
      <c r="E2203" s="100"/>
      <c r="F2203" s="101"/>
      <c r="G2203" s="102">
        <f t="shared" si="646"/>
        <v>0</v>
      </c>
      <c r="H2203" s="58"/>
      <c r="I2203" s="15" t="s">
        <v>81</v>
      </c>
      <c r="J2203" s="8"/>
      <c r="K2203" s="10"/>
      <c r="L2203" s="10"/>
      <c r="M2203" s="10"/>
      <c r="N2203" s="30"/>
      <c r="O2203" s="7">
        <f t="shared" si="648"/>
        <v>0</v>
      </c>
    </row>
    <row r="2204" spans="1:16" x14ac:dyDescent="0.15">
      <c r="A2204" s="38" t="s">
        <v>82</v>
      </c>
      <c r="B2204" s="11"/>
      <c r="C2204" s="100"/>
      <c r="D2204" s="100"/>
      <c r="E2204" s="100"/>
      <c r="F2204" s="101"/>
      <c r="G2204" s="102">
        <f t="shared" si="646"/>
        <v>0</v>
      </c>
      <c r="H2204" s="58"/>
      <c r="I2204" s="15" t="s">
        <v>82</v>
      </c>
      <c r="J2204" s="8"/>
      <c r="K2204" s="10"/>
      <c r="L2204" s="10"/>
      <c r="M2204" s="10"/>
      <c r="N2204" s="30"/>
      <c r="O2204" s="7">
        <f t="shared" si="648"/>
        <v>0</v>
      </c>
    </row>
    <row r="2205" spans="1:16" x14ac:dyDescent="0.15">
      <c r="A2205" s="38" t="s">
        <v>83</v>
      </c>
      <c r="B2205" s="11"/>
      <c r="C2205" s="100"/>
      <c r="D2205" s="100"/>
      <c r="E2205" s="100"/>
      <c r="F2205" s="101"/>
      <c r="G2205" s="102">
        <f t="shared" si="646"/>
        <v>0</v>
      </c>
      <c r="H2205" s="58"/>
      <c r="I2205" s="15" t="s">
        <v>83</v>
      </c>
      <c r="J2205" s="8"/>
      <c r="K2205" s="10"/>
      <c r="L2205" s="10"/>
      <c r="M2205" s="10"/>
      <c r="N2205" s="30"/>
      <c r="O2205" s="7">
        <f t="shared" si="648"/>
        <v>0</v>
      </c>
    </row>
    <row r="2206" spans="1:16" ht="14.25" thickBot="1" x14ac:dyDescent="0.2">
      <c r="A2206" s="38" t="s">
        <v>159</v>
      </c>
      <c r="B2206" s="11"/>
      <c r="C2206" s="100"/>
      <c r="D2206" s="100"/>
      <c r="E2206" s="100"/>
      <c r="F2206" s="101"/>
      <c r="G2206" s="102">
        <f t="shared" si="646"/>
        <v>0</v>
      </c>
      <c r="H2206" s="57"/>
      <c r="I2206" s="15" t="s">
        <v>87</v>
      </c>
      <c r="J2206" s="11"/>
      <c r="K2206" s="100"/>
      <c r="L2206" s="100"/>
      <c r="M2206" s="100"/>
      <c r="N2206" s="101"/>
      <c r="O2206" s="102">
        <f t="shared" si="648"/>
        <v>0</v>
      </c>
    </row>
    <row r="2207" spans="1:16" ht="14.25" thickBot="1" x14ac:dyDescent="0.2">
      <c r="A2207" s="72" t="s">
        <v>7</v>
      </c>
      <c r="B2207" s="73">
        <f>SUM(B2197:B2206)</f>
        <v>13</v>
      </c>
      <c r="C2207" s="74">
        <f t="shared" ref="C2207:G2207" si="649">SUM(C2197:C2206)</f>
        <v>12</v>
      </c>
      <c r="D2207" s="74">
        <f t="shared" si="649"/>
        <v>11</v>
      </c>
      <c r="E2207" s="74">
        <f t="shared" si="649"/>
        <v>9</v>
      </c>
      <c r="F2207" s="105">
        <f t="shared" si="649"/>
        <v>9</v>
      </c>
      <c r="G2207" s="76">
        <f t="shared" si="649"/>
        <v>54</v>
      </c>
      <c r="I2207" s="72" t="s">
        <v>7</v>
      </c>
      <c r="J2207" s="73">
        <f>SUM(J2197:J2206)</f>
        <v>78</v>
      </c>
      <c r="K2207" s="74">
        <f t="shared" ref="K2207:O2207" si="650">SUM(K2197:K2206)</f>
        <v>95</v>
      </c>
      <c r="L2207" s="74">
        <f t="shared" si="650"/>
        <v>84</v>
      </c>
      <c r="M2207" s="74">
        <f t="shared" si="650"/>
        <v>83</v>
      </c>
      <c r="N2207" s="105">
        <f t="shared" si="650"/>
        <v>105</v>
      </c>
      <c r="O2207" s="76">
        <f t="shared" si="650"/>
        <v>445</v>
      </c>
    </row>
    <row r="2208" spans="1:16" x14ac:dyDescent="0.15">
      <c r="A2208" s="14" t="s">
        <v>29</v>
      </c>
      <c r="B2208" s="8">
        <v>-1</v>
      </c>
      <c r="C2208" s="10">
        <v>1</v>
      </c>
      <c r="D2208" s="10"/>
      <c r="E2208" s="10"/>
      <c r="F2208" s="30"/>
      <c r="G2208" s="7">
        <f t="shared" ref="G2208:G2233" si="651">SUM(B2208:F2208)</f>
        <v>0</v>
      </c>
      <c r="H2208" s="58">
        <v>45621</v>
      </c>
      <c r="I2208" s="16" t="s">
        <v>24</v>
      </c>
      <c r="J2208" s="11"/>
      <c r="K2208" s="12">
        <v>3</v>
      </c>
      <c r="L2208" s="12"/>
      <c r="M2208" s="12"/>
      <c r="N2208" s="31"/>
      <c r="O2208" s="7">
        <f t="shared" ref="O2208:O2209" si="652">SUM(J2208:N2208)</f>
        <v>3</v>
      </c>
      <c r="P2208" s="58">
        <v>45685</v>
      </c>
    </row>
    <row r="2209" spans="1:17" x14ac:dyDescent="0.15">
      <c r="A2209" s="14" t="s">
        <v>29</v>
      </c>
      <c r="B2209" s="8"/>
      <c r="C2209" s="10">
        <v>1</v>
      </c>
      <c r="D2209" s="10"/>
      <c r="E2209" s="10"/>
      <c r="F2209" s="30"/>
      <c r="G2209" s="7">
        <f t="shared" si="651"/>
        <v>1</v>
      </c>
      <c r="H2209" s="58">
        <v>45623</v>
      </c>
      <c r="I2209" s="16" t="s">
        <v>24</v>
      </c>
      <c r="J2209" s="11"/>
      <c r="K2209" s="12">
        <v>3</v>
      </c>
      <c r="L2209" s="12">
        <v>3</v>
      </c>
      <c r="M2209" s="12"/>
      <c r="N2209" s="31">
        <v>3</v>
      </c>
      <c r="O2209" s="7">
        <f t="shared" si="652"/>
        <v>9</v>
      </c>
      <c r="P2209" s="58">
        <v>45709</v>
      </c>
      <c r="Q2209" s="56"/>
    </row>
    <row r="2210" spans="1:17" x14ac:dyDescent="0.15">
      <c r="A2210" s="14" t="s">
        <v>117</v>
      </c>
      <c r="B2210" s="8"/>
      <c r="C2210" s="10"/>
      <c r="D2210" s="10"/>
      <c r="E2210" s="10">
        <v>1</v>
      </c>
      <c r="F2210" s="30"/>
      <c r="G2210" s="7">
        <f t="shared" si="651"/>
        <v>1</v>
      </c>
      <c r="H2210" s="58">
        <v>45626</v>
      </c>
      <c r="I2210" s="16"/>
      <c r="J2210" s="11"/>
      <c r="K2210" s="12"/>
      <c r="L2210" s="12"/>
      <c r="M2210" s="12"/>
      <c r="N2210" s="31"/>
      <c r="O2210" s="7">
        <f t="shared" ref="O2210:O2213" si="653">SUM(J2210:N2210)</f>
        <v>0</v>
      </c>
      <c r="P2210" s="56"/>
      <c r="Q2210" s="56"/>
    </row>
    <row r="2211" spans="1:17" x14ac:dyDescent="0.15">
      <c r="A2211" s="14" t="s">
        <v>29</v>
      </c>
      <c r="B2211" s="8"/>
      <c r="C2211" s="10"/>
      <c r="D2211" s="10"/>
      <c r="E2211" s="10">
        <v>1</v>
      </c>
      <c r="F2211" s="30"/>
      <c r="G2211" s="7">
        <f t="shared" si="651"/>
        <v>1</v>
      </c>
      <c r="H2211" s="58">
        <v>45628</v>
      </c>
      <c r="I2211" s="16"/>
      <c r="J2211" s="11"/>
      <c r="K2211" s="12"/>
      <c r="L2211" s="12"/>
      <c r="M2211" s="12"/>
      <c r="N2211" s="31"/>
      <c r="O2211" s="7">
        <f t="shared" si="653"/>
        <v>0</v>
      </c>
      <c r="P2211" s="56"/>
      <c r="Q2211" s="56"/>
    </row>
    <row r="2212" spans="1:17" x14ac:dyDescent="0.15">
      <c r="A2212" s="14" t="s">
        <v>117</v>
      </c>
      <c r="B2212" s="8"/>
      <c r="C2212" s="10"/>
      <c r="D2212" s="10">
        <v>1</v>
      </c>
      <c r="E2212" s="10"/>
      <c r="F2212" s="30"/>
      <c r="G2212" s="7">
        <f t="shared" si="651"/>
        <v>1</v>
      </c>
      <c r="H2212" s="58">
        <v>45636</v>
      </c>
      <c r="I2212" s="16"/>
      <c r="J2212" s="11"/>
      <c r="K2212" s="12"/>
      <c r="L2212" s="12"/>
      <c r="M2212" s="12"/>
      <c r="N2212" s="31"/>
      <c r="O2212" s="7">
        <f t="shared" si="653"/>
        <v>0</v>
      </c>
      <c r="P2212" s="56"/>
      <c r="Q2212" s="56"/>
    </row>
    <row r="2213" spans="1:17" x14ac:dyDescent="0.15">
      <c r="A2213" s="14" t="s">
        <v>117</v>
      </c>
      <c r="B2213" s="8">
        <v>1</v>
      </c>
      <c r="C2213" s="10"/>
      <c r="D2213" s="10"/>
      <c r="E2213" s="10"/>
      <c r="F2213" s="30"/>
      <c r="G2213" s="7">
        <f t="shared" si="651"/>
        <v>1</v>
      </c>
      <c r="H2213" s="58">
        <v>45647</v>
      </c>
      <c r="I2213" s="16"/>
      <c r="J2213" s="11"/>
      <c r="K2213" s="12"/>
      <c r="L2213" s="12"/>
      <c r="M2213" s="12"/>
      <c r="N2213" s="31"/>
      <c r="O2213" s="7">
        <f t="shared" si="653"/>
        <v>0</v>
      </c>
    </row>
    <row r="2214" spans="1:17" x14ac:dyDescent="0.15">
      <c r="A2214" s="14" t="s">
        <v>29</v>
      </c>
      <c r="B2214" s="8"/>
      <c r="C2214" s="10"/>
      <c r="D2214" s="10"/>
      <c r="E2214" s="10"/>
      <c r="F2214" s="30">
        <v>1</v>
      </c>
      <c r="G2214" s="7">
        <f t="shared" si="651"/>
        <v>1</v>
      </c>
      <c r="H2214" s="58">
        <v>45649</v>
      </c>
      <c r="I2214" s="16"/>
      <c r="J2214" s="11"/>
      <c r="K2214" s="12"/>
      <c r="L2214" s="12"/>
      <c r="M2214" s="12"/>
      <c r="N2214" s="31"/>
      <c r="O2214" s="7">
        <f t="shared" ref="O2214:O2233" si="654">SUM(J2214:N2214)</f>
        <v>0</v>
      </c>
    </row>
    <row r="2215" spans="1:17" x14ac:dyDescent="0.15">
      <c r="A2215" s="14" t="s">
        <v>29</v>
      </c>
      <c r="B2215" s="8"/>
      <c r="C2215" s="10"/>
      <c r="D2215" s="10">
        <v>1</v>
      </c>
      <c r="E2215" s="10"/>
      <c r="F2215" s="30"/>
      <c r="G2215" s="7">
        <f t="shared" si="651"/>
        <v>1</v>
      </c>
      <c r="H2215" s="58">
        <v>45673</v>
      </c>
      <c r="I2215" s="16"/>
      <c r="J2215" s="11"/>
      <c r="K2215" s="12"/>
      <c r="L2215" s="12"/>
      <c r="M2215" s="12"/>
      <c r="N2215" s="31"/>
      <c r="O2215" s="7">
        <f t="shared" si="654"/>
        <v>0</v>
      </c>
    </row>
    <row r="2216" spans="1:17" x14ac:dyDescent="0.15">
      <c r="A2216" s="14" t="s">
        <v>29</v>
      </c>
      <c r="B2216" s="8"/>
      <c r="C2216" s="10">
        <v>1</v>
      </c>
      <c r="D2216" s="10"/>
      <c r="E2216" s="10"/>
      <c r="F2216" s="30"/>
      <c r="G2216" s="7">
        <f t="shared" si="651"/>
        <v>1</v>
      </c>
      <c r="H2216" s="58">
        <v>45677</v>
      </c>
      <c r="I2216" s="16"/>
      <c r="J2216" s="11"/>
      <c r="K2216" s="12"/>
      <c r="L2216" s="12"/>
      <c r="M2216" s="12"/>
      <c r="N2216" s="31"/>
      <c r="O2216" s="7">
        <f t="shared" si="654"/>
        <v>0</v>
      </c>
    </row>
    <row r="2217" spans="1:17" x14ac:dyDescent="0.15">
      <c r="A2217" s="14" t="s">
        <v>29</v>
      </c>
      <c r="B2217" s="8"/>
      <c r="C2217" s="10"/>
      <c r="D2217" s="10">
        <v>1</v>
      </c>
      <c r="E2217" s="10">
        <v>1</v>
      </c>
      <c r="F2217" s="30"/>
      <c r="G2217" s="7">
        <f t="shared" si="651"/>
        <v>2</v>
      </c>
      <c r="H2217" s="58">
        <v>45684</v>
      </c>
      <c r="I2217" s="16"/>
      <c r="J2217" s="11"/>
      <c r="K2217" s="12"/>
      <c r="L2217" s="12"/>
      <c r="M2217" s="12"/>
      <c r="N2217" s="31"/>
      <c r="O2217" s="7">
        <f t="shared" si="654"/>
        <v>0</v>
      </c>
    </row>
    <row r="2218" spans="1:17" x14ac:dyDescent="0.15">
      <c r="A2218" s="14" t="s">
        <v>29</v>
      </c>
      <c r="B2218" s="8"/>
      <c r="C2218" s="10">
        <v>1</v>
      </c>
      <c r="D2218" s="10"/>
      <c r="E2218" s="10">
        <v>1</v>
      </c>
      <c r="F2218" s="30"/>
      <c r="G2218" s="7">
        <f t="shared" si="651"/>
        <v>2</v>
      </c>
      <c r="H2218" s="58">
        <v>45685</v>
      </c>
      <c r="I2218" s="16"/>
      <c r="J2218" s="11"/>
      <c r="K2218" s="12"/>
      <c r="L2218" s="12"/>
      <c r="M2218" s="12"/>
      <c r="N2218" s="31"/>
      <c r="O2218" s="7">
        <f t="shared" si="654"/>
        <v>0</v>
      </c>
    </row>
    <row r="2219" spans="1:17" x14ac:dyDescent="0.15">
      <c r="A2219" s="14" t="s">
        <v>29</v>
      </c>
      <c r="B2219" s="8"/>
      <c r="C2219" s="10"/>
      <c r="D2219" s="10">
        <v>1</v>
      </c>
      <c r="E2219" s="10"/>
      <c r="F2219" s="30"/>
      <c r="G2219" s="7">
        <f t="shared" si="651"/>
        <v>1</v>
      </c>
      <c r="H2219" s="58">
        <v>45686</v>
      </c>
      <c r="I2219" s="16"/>
      <c r="J2219" s="11"/>
      <c r="K2219" s="12"/>
      <c r="L2219" s="12"/>
      <c r="M2219" s="12"/>
      <c r="N2219" s="31"/>
      <c r="O2219" s="7">
        <f t="shared" si="654"/>
        <v>0</v>
      </c>
    </row>
    <row r="2220" spans="1:17" x14ac:dyDescent="0.15">
      <c r="A2220" s="14" t="s">
        <v>29</v>
      </c>
      <c r="B2220" s="8"/>
      <c r="C2220" s="10"/>
      <c r="D2220" s="10"/>
      <c r="E2220" s="10"/>
      <c r="F2220" s="30">
        <v>1</v>
      </c>
      <c r="G2220" s="7">
        <f t="shared" si="651"/>
        <v>1</v>
      </c>
      <c r="H2220" s="58">
        <v>45693</v>
      </c>
      <c r="I2220" s="16"/>
      <c r="J2220" s="11"/>
      <c r="K2220" s="12"/>
      <c r="L2220" s="12"/>
      <c r="M2220" s="12"/>
      <c r="N2220" s="31"/>
      <c r="O2220" s="7">
        <f t="shared" si="654"/>
        <v>0</v>
      </c>
    </row>
    <row r="2221" spans="1:17" x14ac:dyDescent="0.15">
      <c r="A2221" s="14" t="s">
        <v>29</v>
      </c>
      <c r="B2221" s="8"/>
      <c r="C2221" s="10">
        <v>1</v>
      </c>
      <c r="D2221" s="10"/>
      <c r="E2221" s="10"/>
      <c r="F2221" s="30"/>
      <c r="G2221" s="7">
        <f t="shared" si="651"/>
        <v>1</v>
      </c>
      <c r="H2221" s="58">
        <v>45695</v>
      </c>
      <c r="I2221" s="16"/>
      <c r="J2221" s="11"/>
      <c r="K2221" s="12"/>
      <c r="L2221" s="12"/>
      <c r="M2221" s="12"/>
      <c r="N2221" s="31"/>
      <c r="O2221" s="7">
        <f t="shared" si="654"/>
        <v>0</v>
      </c>
    </row>
    <row r="2222" spans="1:17" x14ac:dyDescent="0.15">
      <c r="A2222" s="14" t="s">
        <v>29</v>
      </c>
      <c r="B2222" s="11">
        <v>1</v>
      </c>
      <c r="C2222" s="100"/>
      <c r="D2222" s="100"/>
      <c r="E2222" s="100"/>
      <c r="F2222" s="101"/>
      <c r="G2222" s="7">
        <f t="shared" si="651"/>
        <v>1</v>
      </c>
      <c r="H2222" s="58">
        <v>45698</v>
      </c>
      <c r="I2222" s="16"/>
      <c r="J2222" s="11"/>
      <c r="K2222" s="12"/>
      <c r="L2222" s="12"/>
      <c r="M2222" s="12"/>
      <c r="N2222" s="31"/>
      <c r="O2222" s="7">
        <f t="shared" si="654"/>
        <v>0</v>
      </c>
    </row>
    <row r="2223" spans="1:17" x14ac:dyDescent="0.15">
      <c r="A2223" s="14" t="s">
        <v>29</v>
      </c>
      <c r="B2223" s="8">
        <v>-1</v>
      </c>
      <c r="C2223" s="10">
        <v>1</v>
      </c>
      <c r="D2223" s="10"/>
      <c r="E2223" s="10"/>
      <c r="F2223" s="30"/>
      <c r="G2223" s="7">
        <f t="shared" si="651"/>
        <v>0</v>
      </c>
      <c r="H2223" s="58">
        <v>45702</v>
      </c>
      <c r="I2223" s="16"/>
      <c r="J2223" s="11"/>
      <c r="K2223" s="12"/>
      <c r="L2223" s="12"/>
      <c r="M2223" s="12"/>
      <c r="N2223" s="31"/>
      <c r="O2223" s="7">
        <f t="shared" si="654"/>
        <v>0</v>
      </c>
    </row>
    <row r="2224" spans="1:17" x14ac:dyDescent="0.15">
      <c r="A2224" s="14" t="s">
        <v>29</v>
      </c>
      <c r="B2224" s="8"/>
      <c r="C2224" s="10"/>
      <c r="D2224" s="10">
        <v>1</v>
      </c>
      <c r="E2224" s="10"/>
      <c r="F2224" s="30"/>
      <c r="G2224" s="7">
        <f t="shared" si="651"/>
        <v>1</v>
      </c>
      <c r="H2224" s="58">
        <v>45705</v>
      </c>
      <c r="I2224" s="16"/>
      <c r="J2224" s="11"/>
      <c r="K2224" s="12"/>
      <c r="L2224" s="12"/>
      <c r="M2224" s="12"/>
      <c r="N2224" s="31"/>
      <c r="O2224" s="7">
        <f t="shared" si="654"/>
        <v>0</v>
      </c>
    </row>
    <row r="2225" spans="1:15" x14ac:dyDescent="0.15">
      <c r="A2225" s="14" t="s">
        <v>29</v>
      </c>
      <c r="B2225" s="8"/>
      <c r="C2225" s="10"/>
      <c r="D2225" s="10"/>
      <c r="E2225" s="10"/>
      <c r="F2225" s="30">
        <v>1</v>
      </c>
      <c r="G2225" s="7">
        <f t="shared" si="651"/>
        <v>1</v>
      </c>
      <c r="H2225" s="58">
        <v>45708</v>
      </c>
      <c r="I2225" s="16"/>
      <c r="J2225" s="11"/>
      <c r="K2225" s="12"/>
      <c r="L2225" s="12"/>
      <c r="M2225" s="12"/>
      <c r="N2225" s="31"/>
      <c r="O2225" s="7">
        <f t="shared" si="654"/>
        <v>0</v>
      </c>
    </row>
    <row r="2226" spans="1:15" x14ac:dyDescent="0.15">
      <c r="A2226" s="14" t="s">
        <v>29</v>
      </c>
      <c r="B2226" s="8"/>
      <c r="C2226" s="10"/>
      <c r="D2226" s="10">
        <v>1</v>
      </c>
      <c r="E2226" s="10"/>
      <c r="F2226" s="30">
        <v>1</v>
      </c>
      <c r="G2226" s="7">
        <f t="shared" si="651"/>
        <v>2</v>
      </c>
      <c r="H2226" s="58">
        <v>45713</v>
      </c>
      <c r="I2226" s="16"/>
      <c r="J2226" s="11"/>
      <c r="K2226" s="12"/>
      <c r="L2226" s="12"/>
      <c r="M2226" s="12"/>
      <c r="N2226" s="31"/>
      <c r="O2226" s="7">
        <f t="shared" si="654"/>
        <v>0</v>
      </c>
    </row>
    <row r="2227" spans="1:15" x14ac:dyDescent="0.15">
      <c r="A2227" s="14" t="s">
        <v>29</v>
      </c>
      <c r="B2227" s="8"/>
      <c r="C2227" s="10">
        <v>1</v>
      </c>
      <c r="D2227" s="10"/>
      <c r="E2227" s="10"/>
      <c r="F2227" s="30">
        <v>1</v>
      </c>
      <c r="G2227" s="7">
        <f t="shared" si="651"/>
        <v>2</v>
      </c>
      <c r="H2227" s="58">
        <v>45714</v>
      </c>
      <c r="I2227" s="16"/>
      <c r="J2227" s="11"/>
      <c r="K2227" s="12"/>
      <c r="L2227" s="12"/>
      <c r="M2227" s="12"/>
      <c r="N2227" s="31"/>
      <c r="O2227" s="7">
        <f t="shared" si="654"/>
        <v>0</v>
      </c>
    </row>
    <row r="2228" spans="1:15" x14ac:dyDescent="0.15">
      <c r="A2228" s="14" t="s">
        <v>29</v>
      </c>
      <c r="B2228" s="8"/>
      <c r="C2228" s="10"/>
      <c r="D2228" s="10">
        <v>1</v>
      </c>
      <c r="E2228" s="10"/>
      <c r="F2228" s="30"/>
      <c r="G2228" s="7">
        <f t="shared" si="651"/>
        <v>1</v>
      </c>
      <c r="H2228" s="58">
        <v>45722</v>
      </c>
      <c r="I2228" s="16"/>
      <c r="J2228" s="11"/>
      <c r="K2228" s="12"/>
      <c r="L2228" s="12"/>
      <c r="M2228" s="12"/>
      <c r="N2228" s="31"/>
      <c r="O2228" s="7">
        <f t="shared" si="654"/>
        <v>0</v>
      </c>
    </row>
    <row r="2229" spans="1:15" x14ac:dyDescent="0.15">
      <c r="A2229" s="14" t="s">
        <v>29</v>
      </c>
      <c r="B2229" s="8">
        <v>1</v>
      </c>
      <c r="C2229" s="10"/>
      <c r="D2229" s="10"/>
      <c r="E2229" s="10"/>
      <c r="F2229" s="30"/>
      <c r="G2229" s="7">
        <f t="shared" si="651"/>
        <v>1</v>
      </c>
      <c r="H2229" s="58">
        <v>45723</v>
      </c>
      <c r="I2229" s="16"/>
      <c r="J2229" s="11"/>
      <c r="K2229" s="12"/>
      <c r="L2229" s="12"/>
      <c r="M2229" s="12"/>
      <c r="N2229" s="31"/>
      <c r="O2229" s="7">
        <f t="shared" si="654"/>
        <v>0</v>
      </c>
    </row>
    <row r="2230" spans="1:15" x14ac:dyDescent="0.15">
      <c r="A2230" s="14" t="s">
        <v>1640</v>
      </c>
      <c r="B2230" s="8"/>
      <c r="C2230" s="10"/>
      <c r="D2230" s="10">
        <v>1</v>
      </c>
      <c r="E2230" s="10">
        <v>1</v>
      </c>
      <c r="F2230" s="30"/>
      <c r="G2230" s="7">
        <f t="shared" si="651"/>
        <v>2</v>
      </c>
      <c r="H2230" s="58">
        <v>45724</v>
      </c>
      <c r="I2230" s="16"/>
      <c r="J2230" s="11"/>
      <c r="K2230" s="12"/>
      <c r="L2230" s="12"/>
      <c r="M2230" s="12"/>
      <c r="N2230" s="31"/>
      <c r="O2230" s="7">
        <f t="shared" si="654"/>
        <v>0</v>
      </c>
    </row>
    <row r="2231" spans="1:15" x14ac:dyDescent="0.15">
      <c r="A2231" s="14" t="s">
        <v>29</v>
      </c>
      <c r="B2231" s="8"/>
      <c r="C2231" s="10"/>
      <c r="D2231" s="10"/>
      <c r="E2231" s="10"/>
      <c r="F2231" s="30">
        <v>-1</v>
      </c>
      <c r="G2231" s="7">
        <f>SUM(B2231:F2231)</f>
        <v>-1</v>
      </c>
      <c r="H2231" s="58">
        <v>45727</v>
      </c>
      <c r="I2231" s="16"/>
      <c r="J2231" s="11"/>
      <c r="K2231" s="12"/>
      <c r="L2231" s="12"/>
      <c r="M2231" s="12"/>
      <c r="N2231" s="31"/>
      <c r="O2231" s="7">
        <f t="shared" si="654"/>
        <v>0</v>
      </c>
    </row>
    <row r="2232" spans="1:15" x14ac:dyDescent="0.15">
      <c r="A2232" s="14" t="s">
        <v>29</v>
      </c>
      <c r="B2232" s="8"/>
      <c r="C2232" s="10">
        <v>1</v>
      </c>
      <c r="D2232" s="10"/>
      <c r="E2232" s="10"/>
      <c r="F2232" s="30"/>
      <c r="G2232" s="7">
        <f t="shared" si="651"/>
        <v>1</v>
      </c>
      <c r="H2232" s="57">
        <v>45728</v>
      </c>
      <c r="I2232" s="16"/>
      <c r="J2232" s="11"/>
      <c r="K2232" s="12"/>
      <c r="L2232" s="12"/>
      <c r="M2232" s="12"/>
      <c r="N2232" s="31"/>
      <c r="O2232" s="7">
        <f t="shared" si="654"/>
        <v>0</v>
      </c>
    </row>
    <row r="2233" spans="1:15" ht="14.25" thickBot="1" x14ac:dyDescent="0.2">
      <c r="A2233" s="14" t="s">
        <v>1641</v>
      </c>
      <c r="B2233" s="8"/>
      <c r="C2233" s="10"/>
      <c r="D2233" s="10">
        <v>-1</v>
      </c>
      <c r="E2233" s="10">
        <v>-1</v>
      </c>
      <c r="F2233" s="30"/>
      <c r="G2233" s="7">
        <f t="shared" si="651"/>
        <v>-2</v>
      </c>
      <c r="H2233" s="57">
        <v>45733</v>
      </c>
      <c r="I2233" s="16"/>
      <c r="J2233" s="11"/>
      <c r="K2233" s="12"/>
      <c r="L2233" s="12"/>
      <c r="M2233" s="12"/>
      <c r="N2233" s="31"/>
      <c r="O2233" s="7">
        <f t="shared" si="654"/>
        <v>0</v>
      </c>
    </row>
    <row r="2234" spans="1:15" ht="14.25" thickBot="1" x14ac:dyDescent="0.2">
      <c r="A2234" s="3" t="s">
        <v>11</v>
      </c>
      <c r="B2234" s="23">
        <f>SUM(B2208:B2233)</f>
        <v>1</v>
      </c>
      <c r="C2234" s="4">
        <f>SUM(C2208:C2233)</f>
        <v>8</v>
      </c>
      <c r="D2234" s="4">
        <f>SUM(D2208:D2233)</f>
        <v>7</v>
      </c>
      <c r="E2234" s="6">
        <f>SUM(E2208:E2233)</f>
        <v>4</v>
      </c>
      <c r="F2234" s="32">
        <f>SUM(F2208:F2233)</f>
        <v>4</v>
      </c>
      <c r="G2234" s="5">
        <f>SUM(B2234:F2234)</f>
        <v>24</v>
      </c>
      <c r="I2234" s="3" t="s">
        <v>11</v>
      </c>
      <c r="J2234" s="23">
        <f>SUM(J2208:J2233)</f>
        <v>0</v>
      </c>
      <c r="K2234" s="4">
        <f>SUM(K2208:K2233)</f>
        <v>6</v>
      </c>
      <c r="L2234" s="4">
        <f>SUM(L2208:L2233)</f>
        <v>3</v>
      </c>
      <c r="M2234" s="6">
        <f>SUM(M2208:M2233)</f>
        <v>0</v>
      </c>
      <c r="N2234" s="6">
        <f>SUM(N2208:N2233)</f>
        <v>3</v>
      </c>
      <c r="O2234" s="5">
        <f>SUM(J2234:N2234)</f>
        <v>12</v>
      </c>
    </row>
    <row r="2235" spans="1:15" ht="14.25" thickBot="1" x14ac:dyDescent="0.2">
      <c r="A2235" s="25" t="s">
        <v>12</v>
      </c>
      <c r="B2235" s="63">
        <f>B2207-B2234</f>
        <v>12</v>
      </c>
      <c r="C2235" s="26">
        <f t="shared" ref="C2235:G2235" si="655">C2207-C2234</f>
        <v>4</v>
      </c>
      <c r="D2235" s="71">
        <f t="shared" si="655"/>
        <v>4</v>
      </c>
      <c r="E2235" s="26">
        <f t="shared" si="655"/>
        <v>5</v>
      </c>
      <c r="F2235" s="70">
        <f t="shared" si="655"/>
        <v>5</v>
      </c>
      <c r="G2235" s="27">
        <f t="shared" si="655"/>
        <v>30</v>
      </c>
      <c r="I2235" s="25" t="s">
        <v>12</v>
      </c>
      <c r="J2235" s="63">
        <f>J2207-J2234</f>
        <v>78</v>
      </c>
      <c r="K2235" s="26">
        <f t="shared" ref="K2235:O2235" si="656">K2207-K2234</f>
        <v>89</v>
      </c>
      <c r="L2235" s="71">
        <f t="shared" si="656"/>
        <v>81</v>
      </c>
      <c r="M2235" s="26">
        <f t="shared" si="656"/>
        <v>83</v>
      </c>
      <c r="N2235" s="70">
        <f t="shared" si="656"/>
        <v>102</v>
      </c>
      <c r="O2235" s="27">
        <f t="shared" si="656"/>
        <v>433</v>
      </c>
    </row>
    <row r="2236" spans="1:15" ht="21" x14ac:dyDescent="0.2">
      <c r="A2236" s="82" t="s">
        <v>55</v>
      </c>
      <c r="B2236" s="80"/>
      <c r="C2236" s="80"/>
      <c r="D2236" s="80"/>
      <c r="E2236" s="81" t="s">
        <v>53</v>
      </c>
      <c r="F2236" s="80"/>
      <c r="G2236" s="80"/>
      <c r="J2236" s="211"/>
      <c r="K2236" s="211"/>
      <c r="L2236" s="211"/>
      <c r="M2236" s="211"/>
      <c r="N2236" s="211"/>
      <c r="O2236" s="211"/>
    </row>
    <row r="2237" spans="1:15" ht="14.25" thickBot="1" x14ac:dyDescent="0.2">
      <c r="J2237" s="211"/>
      <c r="K2237" s="211"/>
      <c r="L2237" s="211"/>
      <c r="M2237" s="211"/>
      <c r="N2237" s="211"/>
      <c r="O2237" s="211"/>
    </row>
    <row r="2238" spans="1:15" ht="14.25" thickBot="1" x14ac:dyDescent="0.2">
      <c r="A2238" s="13" t="s">
        <v>0</v>
      </c>
      <c r="B2238" s="228" t="s">
        <v>57</v>
      </c>
      <c r="C2238" s="229"/>
      <c r="D2238" s="229"/>
      <c r="E2238" s="229"/>
      <c r="F2238" s="230"/>
      <c r="G2238" s="231"/>
      <c r="I2238" s="13" t="s">
        <v>0</v>
      </c>
      <c r="J2238" s="232" t="s">
        <v>57</v>
      </c>
      <c r="K2238" s="233"/>
      <c r="L2238" s="233"/>
      <c r="M2238" s="233"/>
      <c r="N2238" s="233"/>
      <c r="O2238" s="234"/>
    </row>
    <row r="2239" spans="1:15" ht="14.25" thickBot="1" x14ac:dyDescent="0.2">
      <c r="A2239" s="3" t="s">
        <v>1</v>
      </c>
      <c r="B2239" s="2" t="s">
        <v>42</v>
      </c>
      <c r="C2239" s="21" t="s">
        <v>43</v>
      </c>
      <c r="D2239" s="21" t="s">
        <v>44</v>
      </c>
      <c r="E2239" s="24" t="s">
        <v>45</v>
      </c>
      <c r="F2239" s="33" t="s">
        <v>46</v>
      </c>
      <c r="G2239" s="3" t="s">
        <v>2</v>
      </c>
      <c r="I2239" s="3" t="s">
        <v>1</v>
      </c>
      <c r="J2239" s="2" t="s">
        <v>42</v>
      </c>
      <c r="K2239" s="21" t="s">
        <v>43</v>
      </c>
      <c r="L2239" s="21" t="s">
        <v>44</v>
      </c>
      <c r="M2239" s="24" t="s">
        <v>45</v>
      </c>
      <c r="N2239" s="33" t="s">
        <v>46</v>
      </c>
      <c r="O2239" s="3" t="s">
        <v>2</v>
      </c>
    </row>
    <row r="2240" spans="1:15" ht="14.25" thickBot="1" x14ac:dyDescent="0.2">
      <c r="A2240" s="72" t="s">
        <v>79</v>
      </c>
      <c r="B2240" s="73">
        <f>B2235</f>
        <v>12</v>
      </c>
      <c r="C2240" s="74">
        <f t="shared" ref="C2240:F2240" si="657">C2235</f>
        <v>4</v>
      </c>
      <c r="D2240" s="107">
        <f t="shared" si="657"/>
        <v>4</v>
      </c>
      <c r="E2240" s="75">
        <f t="shared" si="657"/>
        <v>5</v>
      </c>
      <c r="F2240" s="75">
        <f t="shared" si="657"/>
        <v>5</v>
      </c>
      <c r="G2240" s="76">
        <f t="shared" ref="G2240:G2249" si="658">SUM(B2240:F2240)</f>
        <v>30</v>
      </c>
      <c r="I2240" s="72" t="s">
        <v>79</v>
      </c>
      <c r="J2240" s="73">
        <f>J2235</f>
        <v>78</v>
      </c>
      <c r="K2240" s="74">
        <f t="shared" ref="K2240:N2240" si="659">K2235</f>
        <v>89</v>
      </c>
      <c r="L2240" s="107">
        <f t="shared" si="659"/>
        <v>81</v>
      </c>
      <c r="M2240" s="75">
        <f t="shared" si="659"/>
        <v>83</v>
      </c>
      <c r="N2240" s="75">
        <f t="shared" si="659"/>
        <v>102</v>
      </c>
      <c r="O2240" s="76">
        <f t="shared" ref="O2240:O2249" si="660">SUM(J2240:N2240)</f>
        <v>433</v>
      </c>
    </row>
    <row r="2241" spans="1:18" x14ac:dyDescent="0.15">
      <c r="A2241" s="38" t="s">
        <v>15</v>
      </c>
      <c r="B2241" s="11"/>
      <c r="C2241" s="100">
        <v>3</v>
      </c>
      <c r="D2241" s="100">
        <v>3</v>
      </c>
      <c r="E2241" s="100">
        <v>3</v>
      </c>
      <c r="F2241" s="101">
        <v>3</v>
      </c>
      <c r="G2241" s="102">
        <f t="shared" ref="G2241:G2246" si="661">SUM(B2241:F2241)</f>
        <v>12</v>
      </c>
      <c r="H2241" s="58">
        <v>45752</v>
      </c>
      <c r="I2241" s="15" t="s">
        <v>15</v>
      </c>
      <c r="J2241" s="8"/>
      <c r="K2241" s="10"/>
      <c r="L2241" s="10"/>
      <c r="M2241" s="10"/>
      <c r="N2241" s="30"/>
      <c r="O2241" s="7">
        <f t="shared" si="660"/>
        <v>0</v>
      </c>
    </row>
    <row r="2242" spans="1:18" x14ac:dyDescent="0.15">
      <c r="A2242" s="38" t="s">
        <v>16</v>
      </c>
      <c r="B2242" s="11"/>
      <c r="C2242" s="100">
        <v>10</v>
      </c>
      <c r="D2242" s="100"/>
      <c r="E2242" s="100"/>
      <c r="F2242" s="101"/>
      <c r="G2242" s="102">
        <f t="shared" si="661"/>
        <v>10</v>
      </c>
      <c r="H2242" s="58">
        <v>45778</v>
      </c>
      <c r="I2242" s="15" t="s">
        <v>16</v>
      </c>
      <c r="J2242" s="8"/>
      <c r="K2242" s="10"/>
      <c r="L2242" s="10"/>
      <c r="M2242" s="10"/>
      <c r="N2242" s="30"/>
      <c r="O2242" s="7">
        <f t="shared" si="660"/>
        <v>0</v>
      </c>
    </row>
    <row r="2243" spans="1:18" x14ac:dyDescent="0.15">
      <c r="A2243" s="38" t="s">
        <v>18</v>
      </c>
      <c r="B2243" s="11"/>
      <c r="C2243" s="100"/>
      <c r="D2243" s="100">
        <v>5</v>
      </c>
      <c r="E2243" s="100"/>
      <c r="F2243" s="101"/>
      <c r="G2243" s="102">
        <f t="shared" si="661"/>
        <v>5</v>
      </c>
      <c r="H2243" s="58">
        <v>45808</v>
      </c>
      <c r="I2243" s="15" t="s">
        <v>18</v>
      </c>
      <c r="J2243" s="8"/>
      <c r="K2243" s="10"/>
      <c r="L2243" s="10"/>
      <c r="M2243" s="10"/>
      <c r="N2243" s="30"/>
      <c r="O2243" s="7">
        <f t="shared" si="660"/>
        <v>0</v>
      </c>
    </row>
    <row r="2244" spans="1:18" x14ac:dyDescent="0.15">
      <c r="A2244" s="38" t="s">
        <v>20</v>
      </c>
      <c r="B2244" s="11"/>
      <c r="C2244" s="100"/>
      <c r="D2244" s="100"/>
      <c r="E2244" s="100"/>
      <c r="F2244" s="101"/>
      <c r="G2244" s="102">
        <f t="shared" si="661"/>
        <v>0</v>
      </c>
      <c r="H2244" s="58"/>
      <c r="I2244" s="15" t="s">
        <v>20</v>
      </c>
      <c r="J2244" s="8"/>
      <c r="K2244" s="10"/>
      <c r="L2244" s="10"/>
      <c r="M2244" s="10"/>
      <c r="N2244" s="30"/>
      <c r="O2244" s="7">
        <f t="shared" si="660"/>
        <v>0</v>
      </c>
    </row>
    <row r="2245" spans="1:18" x14ac:dyDescent="0.15">
      <c r="A2245" s="38" t="s">
        <v>80</v>
      </c>
      <c r="B2245" s="11"/>
      <c r="C2245" s="100"/>
      <c r="D2245" s="100"/>
      <c r="E2245" s="100"/>
      <c r="F2245" s="101"/>
      <c r="G2245" s="102">
        <f t="shared" si="661"/>
        <v>0</v>
      </c>
      <c r="H2245" s="58"/>
      <c r="I2245" s="15" t="s">
        <v>80</v>
      </c>
      <c r="J2245" s="8"/>
      <c r="K2245" s="10"/>
      <c r="L2245" s="10"/>
      <c r="M2245" s="10"/>
      <c r="N2245" s="30"/>
      <c r="O2245" s="7">
        <f t="shared" si="660"/>
        <v>0</v>
      </c>
    </row>
    <row r="2246" spans="1:18" x14ac:dyDescent="0.15">
      <c r="A2246" s="38" t="s">
        <v>81</v>
      </c>
      <c r="B2246" s="11"/>
      <c r="C2246" s="100"/>
      <c r="D2246" s="100"/>
      <c r="E2246" s="100"/>
      <c r="F2246" s="101"/>
      <c r="G2246" s="102">
        <f t="shared" si="661"/>
        <v>0</v>
      </c>
      <c r="H2246" s="58"/>
      <c r="I2246" s="15" t="s">
        <v>81</v>
      </c>
      <c r="J2246" s="8"/>
      <c r="K2246" s="10"/>
      <c r="L2246" s="10"/>
      <c r="M2246" s="10"/>
      <c r="N2246" s="30"/>
      <c r="O2246" s="7">
        <f t="shared" si="660"/>
        <v>0</v>
      </c>
    </row>
    <row r="2247" spans="1:18" x14ac:dyDescent="0.15">
      <c r="A2247" s="38" t="s">
        <v>82</v>
      </c>
      <c r="B2247" s="11"/>
      <c r="C2247" s="100"/>
      <c r="D2247" s="100"/>
      <c r="E2247" s="100"/>
      <c r="F2247" s="101"/>
      <c r="G2247" s="102">
        <f t="shared" si="658"/>
        <v>0</v>
      </c>
      <c r="H2247" s="58"/>
      <c r="I2247" s="15" t="s">
        <v>82</v>
      </c>
      <c r="J2247" s="8"/>
      <c r="K2247" s="10"/>
      <c r="L2247" s="10"/>
      <c r="M2247" s="10"/>
      <c r="N2247" s="30"/>
      <c r="O2247" s="7">
        <f t="shared" si="660"/>
        <v>0</v>
      </c>
    </row>
    <row r="2248" spans="1:18" x14ac:dyDescent="0.15">
      <c r="A2248" s="38" t="s">
        <v>83</v>
      </c>
      <c r="B2248" s="11"/>
      <c r="C2248" s="100"/>
      <c r="D2248" s="100"/>
      <c r="E2248" s="100"/>
      <c r="F2248" s="101"/>
      <c r="G2248" s="102">
        <f t="shared" si="658"/>
        <v>0</v>
      </c>
      <c r="H2248" s="58"/>
      <c r="I2248" s="15" t="s">
        <v>83</v>
      </c>
      <c r="J2248" s="8"/>
      <c r="K2248" s="10"/>
      <c r="L2248" s="10"/>
      <c r="M2248" s="10"/>
      <c r="N2248" s="30"/>
      <c r="O2248" s="7">
        <f t="shared" si="660"/>
        <v>0</v>
      </c>
    </row>
    <row r="2249" spans="1:18" ht="14.25" thickBot="1" x14ac:dyDescent="0.2">
      <c r="A2249" s="38" t="s">
        <v>159</v>
      </c>
      <c r="B2249" s="11"/>
      <c r="C2249" s="100"/>
      <c r="D2249" s="100"/>
      <c r="E2249" s="100"/>
      <c r="F2249" s="101"/>
      <c r="G2249" s="102">
        <f t="shared" si="658"/>
        <v>0</v>
      </c>
      <c r="H2249" s="57"/>
      <c r="I2249" s="15" t="s">
        <v>87</v>
      </c>
      <c r="J2249" s="11"/>
      <c r="K2249" s="100"/>
      <c r="L2249" s="100"/>
      <c r="M2249" s="100"/>
      <c r="N2249" s="101"/>
      <c r="O2249" s="102">
        <f t="shared" si="660"/>
        <v>0</v>
      </c>
    </row>
    <row r="2250" spans="1:18" ht="14.25" thickBot="1" x14ac:dyDescent="0.2">
      <c r="A2250" s="72" t="s">
        <v>7</v>
      </c>
      <c r="B2250" s="73">
        <f>SUM(B2240:B2249)</f>
        <v>12</v>
      </c>
      <c r="C2250" s="74">
        <f t="shared" ref="C2250:G2250" si="662">SUM(C2240:C2249)</f>
        <v>17</v>
      </c>
      <c r="D2250" s="74">
        <f t="shared" si="662"/>
        <v>12</v>
      </c>
      <c r="E2250" s="74">
        <f t="shared" si="662"/>
        <v>8</v>
      </c>
      <c r="F2250" s="105">
        <f t="shared" si="662"/>
        <v>8</v>
      </c>
      <c r="G2250" s="76">
        <f t="shared" si="662"/>
        <v>57</v>
      </c>
      <c r="I2250" s="72" t="s">
        <v>7</v>
      </c>
      <c r="J2250" s="73">
        <f>SUM(J2240:J2249)</f>
        <v>78</v>
      </c>
      <c r="K2250" s="74">
        <f t="shared" ref="K2250:O2250" si="663">SUM(K2240:K2249)</f>
        <v>89</v>
      </c>
      <c r="L2250" s="74">
        <f t="shared" si="663"/>
        <v>81</v>
      </c>
      <c r="M2250" s="74">
        <f t="shared" si="663"/>
        <v>83</v>
      </c>
      <c r="N2250" s="105">
        <f t="shared" si="663"/>
        <v>102</v>
      </c>
      <c r="O2250" s="76">
        <f t="shared" si="663"/>
        <v>433</v>
      </c>
    </row>
    <row r="2251" spans="1:18" x14ac:dyDescent="0.15">
      <c r="A2251" s="14" t="s">
        <v>29</v>
      </c>
      <c r="B2251" s="8"/>
      <c r="C2251" s="10"/>
      <c r="D2251" s="10"/>
      <c r="E2251" s="10"/>
      <c r="F2251" s="30">
        <v>1</v>
      </c>
      <c r="G2251" s="7">
        <f t="shared" ref="G2251:G2271" si="664">SUM(B2251:F2251)</f>
        <v>1</v>
      </c>
      <c r="H2251" s="58">
        <v>45734</v>
      </c>
      <c r="I2251" s="16" t="s">
        <v>24</v>
      </c>
      <c r="J2251" s="11"/>
      <c r="K2251" s="12">
        <v>3</v>
      </c>
      <c r="L2251" s="12">
        <v>3</v>
      </c>
      <c r="M2251" s="12">
        <v>3</v>
      </c>
      <c r="N2251" s="31">
        <v>3</v>
      </c>
      <c r="O2251" s="7">
        <f t="shared" ref="O2251:O2253" si="665">SUM(J2251:N2251)</f>
        <v>12</v>
      </c>
      <c r="P2251" s="58">
        <v>45752</v>
      </c>
      <c r="Q2251" s="56"/>
    </row>
    <row r="2252" spans="1:18" x14ac:dyDescent="0.15">
      <c r="A2252" s="14" t="s">
        <v>29</v>
      </c>
      <c r="B2252" s="8"/>
      <c r="C2252" s="10"/>
      <c r="D2252" s="10"/>
      <c r="E2252" s="10"/>
      <c r="F2252" s="30">
        <v>1</v>
      </c>
      <c r="G2252" s="7">
        <f t="shared" si="664"/>
        <v>1</v>
      </c>
      <c r="H2252" s="58">
        <v>45741</v>
      </c>
      <c r="I2252" s="16" t="s">
        <v>24</v>
      </c>
      <c r="J2252" s="11"/>
      <c r="K2252" s="12">
        <v>10</v>
      </c>
      <c r="L2252" s="12"/>
      <c r="M2252" s="12"/>
      <c r="N2252" s="31"/>
      <c r="O2252" s="7">
        <f t="shared" si="665"/>
        <v>10</v>
      </c>
      <c r="P2252" s="58">
        <v>45778</v>
      </c>
      <c r="Q2252" s="56"/>
      <c r="R2252" s="56"/>
    </row>
    <row r="2253" spans="1:18" x14ac:dyDescent="0.15">
      <c r="A2253" s="14" t="s">
        <v>29</v>
      </c>
      <c r="B2253" s="8"/>
      <c r="C2253" s="10">
        <v>1</v>
      </c>
      <c r="D2253" s="10"/>
      <c r="E2253" s="10"/>
      <c r="F2253" s="30"/>
      <c r="G2253" s="7">
        <f t="shared" si="664"/>
        <v>1</v>
      </c>
      <c r="H2253" s="58">
        <v>45747</v>
      </c>
      <c r="I2253" s="16" t="s">
        <v>24</v>
      </c>
      <c r="J2253" s="11"/>
      <c r="K2253" s="12"/>
      <c r="L2253" s="12">
        <v>5</v>
      </c>
      <c r="M2253" s="12"/>
      <c r="N2253" s="31"/>
      <c r="O2253" s="7">
        <f t="shared" si="665"/>
        <v>5</v>
      </c>
      <c r="P2253" s="58">
        <v>45808</v>
      </c>
    </row>
    <row r="2254" spans="1:18" x14ac:dyDescent="0.15">
      <c r="A2254" s="14" t="s">
        <v>29</v>
      </c>
      <c r="B2254" s="8"/>
      <c r="C2254" s="10"/>
      <c r="D2254" s="10">
        <v>1</v>
      </c>
      <c r="E2254" s="10">
        <v>1</v>
      </c>
      <c r="F2254" s="30"/>
      <c r="G2254" s="7">
        <f t="shared" si="664"/>
        <v>2</v>
      </c>
      <c r="H2254" s="58">
        <v>45768</v>
      </c>
      <c r="I2254" s="16"/>
      <c r="J2254" s="11"/>
      <c r="K2254" s="12"/>
      <c r="L2254" s="12"/>
      <c r="M2254" s="12"/>
      <c r="N2254" s="31"/>
      <c r="O2254" s="7">
        <f t="shared" ref="O2254:O2276" si="666">SUM(J2254:N2254)</f>
        <v>0</v>
      </c>
    </row>
    <row r="2255" spans="1:18" x14ac:dyDescent="0.15">
      <c r="A2255" s="14" t="s">
        <v>1643</v>
      </c>
      <c r="B2255" s="8"/>
      <c r="C2255" s="10">
        <v>1</v>
      </c>
      <c r="D2255" s="10"/>
      <c r="E2255" s="10"/>
      <c r="F2255" s="30"/>
      <c r="G2255" s="7">
        <f t="shared" si="664"/>
        <v>1</v>
      </c>
      <c r="H2255" s="58">
        <v>45769</v>
      </c>
      <c r="I2255" s="16"/>
      <c r="J2255" s="11"/>
      <c r="K2255" s="12"/>
      <c r="L2255" s="12"/>
      <c r="M2255" s="12"/>
      <c r="N2255" s="31"/>
      <c r="O2255" s="7">
        <f t="shared" si="666"/>
        <v>0</v>
      </c>
    </row>
    <row r="2256" spans="1:18" x14ac:dyDescent="0.15">
      <c r="A2256" s="14" t="s">
        <v>29</v>
      </c>
      <c r="B2256" s="8"/>
      <c r="C2256" s="10">
        <f>1+1</f>
        <v>2</v>
      </c>
      <c r="D2256" s="10"/>
      <c r="E2256" s="10"/>
      <c r="F2256" s="30"/>
      <c r="G2256" s="7">
        <f t="shared" si="664"/>
        <v>2</v>
      </c>
      <c r="H2256" s="58">
        <v>45775</v>
      </c>
      <c r="I2256" s="16"/>
      <c r="J2256" s="11"/>
      <c r="K2256" s="12"/>
      <c r="L2256" s="12"/>
      <c r="M2256" s="12"/>
      <c r="N2256" s="31"/>
      <c r="O2256" s="7">
        <f t="shared" si="666"/>
        <v>0</v>
      </c>
    </row>
    <row r="2257" spans="1:15" x14ac:dyDescent="0.15">
      <c r="A2257" s="14" t="s">
        <v>29</v>
      </c>
      <c r="B2257" s="8"/>
      <c r="C2257" s="10">
        <v>1</v>
      </c>
      <c r="D2257" s="10"/>
      <c r="E2257" s="10"/>
      <c r="F2257" s="30"/>
      <c r="G2257" s="7">
        <f t="shared" si="664"/>
        <v>1</v>
      </c>
      <c r="H2257" s="58">
        <v>45777</v>
      </c>
      <c r="I2257" s="16"/>
      <c r="J2257" s="11"/>
      <c r="K2257" s="12"/>
      <c r="L2257" s="12"/>
      <c r="M2257" s="12"/>
      <c r="N2257" s="31"/>
      <c r="O2257" s="7">
        <f t="shared" si="666"/>
        <v>0</v>
      </c>
    </row>
    <row r="2258" spans="1:15" x14ac:dyDescent="0.15">
      <c r="A2258" s="14" t="s">
        <v>29</v>
      </c>
      <c r="B2258" s="8"/>
      <c r="C2258" s="10"/>
      <c r="D2258" s="10">
        <v>1</v>
      </c>
      <c r="E2258" s="10"/>
      <c r="F2258" s="30"/>
      <c r="G2258" s="7">
        <f t="shared" ref="G2258" si="667">SUM(B2258:F2258)</f>
        <v>1</v>
      </c>
      <c r="H2258" s="58">
        <v>45791</v>
      </c>
      <c r="I2258" s="221"/>
      <c r="J2258" s="11"/>
      <c r="K2258" s="12"/>
      <c r="L2258" s="12"/>
      <c r="M2258" s="12"/>
      <c r="N2258" s="31"/>
      <c r="O2258" s="7">
        <f t="shared" si="666"/>
        <v>0</v>
      </c>
    </row>
    <row r="2259" spans="1:15" x14ac:dyDescent="0.15">
      <c r="A2259" s="14" t="s">
        <v>29</v>
      </c>
      <c r="B2259" s="8">
        <v>1</v>
      </c>
      <c r="C2259" s="10"/>
      <c r="D2259" s="10"/>
      <c r="E2259" s="10"/>
      <c r="F2259" s="30"/>
      <c r="G2259" s="7">
        <f t="shared" si="664"/>
        <v>1</v>
      </c>
      <c r="H2259" s="58">
        <v>45796</v>
      </c>
      <c r="I2259" s="16"/>
      <c r="J2259" s="11"/>
      <c r="K2259" s="12"/>
      <c r="L2259" s="12"/>
      <c r="M2259" s="12"/>
      <c r="N2259" s="31"/>
      <c r="O2259" s="7">
        <f t="shared" si="666"/>
        <v>0</v>
      </c>
    </row>
    <row r="2260" spans="1:15" x14ac:dyDescent="0.15">
      <c r="A2260" s="14" t="s">
        <v>29</v>
      </c>
      <c r="B2260" s="8"/>
      <c r="C2260" s="10"/>
      <c r="D2260" s="10">
        <v>1</v>
      </c>
      <c r="E2260" s="10"/>
      <c r="F2260" s="30"/>
      <c r="G2260" s="7">
        <f t="shared" si="664"/>
        <v>1</v>
      </c>
      <c r="H2260" s="58">
        <v>45803</v>
      </c>
      <c r="I2260" s="16"/>
      <c r="J2260" s="11"/>
      <c r="K2260" s="12"/>
      <c r="L2260" s="12"/>
      <c r="M2260" s="12"/>
      <c r="N2260" s="31"/>
      <c r="O2260" s="7">
        <f t="shared" si="666"/>
        <v>0</v>
      </c>
    </row>
    <row r="2261" spans="1:15" x14ac:dyDescent="0.15">
      <c r="A2261" s="14" t="s">
        <v>29</v>
      </c>
      <c r="B2261" s="8"/>
      <c r="C2261" s="10"/>
      <c r="D2261" s="10">
        <v>2</v>
      </c>
      <c r="E2261" s="10"/>
      <c r="F2261" s="30"/>
      <c r="G2261" s="7">
        <f t="shared" si="664"/>
        <v>2</v>
      </c>
      <c r="H2261" s="58">
        <v>45807</v>
      </c>
      <c r="I2261" s="16"/>
      <c r="J2261" s="11"/>
      <c r="K2261" s="12"/>
      <c r="L2261" s="12"/>
      <c r="M2261" s="12"/>
      <c r="N2261" s="31"/>
      <c r="O2261" s="7">
        <f t="shared" si="666"/>
        <v>0</v>
      </c>
    </row>
    <row r="2262" spans="1:15" x14ac:dyDescent="0.15">
      <c r="A2262" s="14" t="s">
        <v>29</v>
      </c>
      <c r="B2262" s="8"/>
      <c r="C2262" s="10">
        <v>1</v>
      </c>
      <c r="D2262" s="10"/>
      <c r="E2262" s="10">
        <v>1</v>
      </c>
      <c r="F2262" s="30"/>
      <c r="G2262" s="7">
        <f t="shared" si="664"/>
        <v>2</v>
      </c>
      <c r="H2262" s="58">
        <v>45813</v>
      </c>
      <c r="I2262" s="16"/>
      <c r="J2262" s="11"/>
      <c r="K2262" s="12"/>
      <c r="L2262" s="12"/>
      <c r="M2262" s="12"/>
      <c r="N2262" s="31"/>
      <c r="O2262" s="7">
        <f t="shared" si="666"/>
        <v>0</v>
      </c>
    </row>
    <row r="2263" spans="1:15" x14ac:dyDescent="0.15">
      <c r="A2263" s="14" t="s">
        <v>29</v>
      </c>
      <c r="B2263" s="8">
        <v>1</v>
      </c>
      <c r="C2263" s="10"/>
      <c r="D2263" s="10"/>
      <c r="E2263" s="10">
        <v>1</v>
      </c>
      <c r="F2263" s="30"/>
      <c r="G2263" s="7">
        <f t="shared" si="664"/>
        <v>2</v>
      </c>
      <c r="H2263" s="58">
        <v>45817</v>
      </c>
      <c r="I2263" s="16"/>
      <c r="J2263" s="11"/>
      <c r="K2263" s="12"/>
      <c r="L2263" s="12"/>
      <c r="M2263" s="12"/>
      <c r="N2263" s="31"/>
      <c r="O2263" s="7">
        <f t="shared" si="666"/>
        <v>0</v>
      </c>
    </row>
    <row r="2264" spans="1:15" x14ac:dyDescent="0.15">
      <c r="A2264" s="14" t="s">
        <v>117</v>
      </c>
      <c r="B2264" s="8"/>
      <c r="C2264" s="10"/>
      <c r="D2264" s="10">
        <v>1</v>
      </c>
      <c r="E2264" s="10"/>
      <c r="F2264" s="30"/>
      <c r="G2264" s="7">
        <f t="shared" si="664"/>
        <v>1</v>
      </c>
      <c r="H2264" s="58">
        <v>45825</v>
      </c>
      <c r="I2264" s="16"/>
      <c r="J2264" s="11"/>
      <c r="K2264" s="12"/>
      <c r="L2264" s="12"/>
      <c r="M2264" s="12"/>
      <c r="N2264" s="31"/>
      <c r="O2264" s="7">
        <f t="shared" si="666"/>
        <v>0</v>
      </c>
    </row>
    <row r="2265" spans="1:15" x14ac:dyDescent="0.15">
      <c r="A2265" s="14" t="s">
        <v>29</v>
      </c>
      <c r="B2265" s="8">
        <v>1</v>
      </c>
      <c r="C2265" s="10"/>
      <c r="D2265" s="10"/>
      <c r="E2265" s="10"/>
      <c r="F2265" s="30"/>
      <c r="G2265" s="7">
        <f t="shared" si="664"/>
        <v>1</v>
      </c>
      <c r="H2265" s="58">
        <v>45826</v>
      </c>
      <c r="I2265" s="16"/>
      <c r="J2265" s="11"/>
      <c r="K2265" s="12"/>
      <c r="L2265" s="12"/>
      <c r="M2265" s="12"/>
      <c r="N2265" s="31"/>
      <c r="O2265" s="7">
        <f t="shared" si="666"/>
        <v>0</v>
      </c>
    </row>
    <row r="2266" spans="1:15" x14ac:dyDescent="0.15">
      <c r="A2266" s="14" t="s">
        <v>29</v>
      </c>
      <c r="B2266" s="8">
        <v>1</v>
      </c>
      <c r="C2266" s="10"/>
      <c r="D2266" s="10"/>
      <c r="E2266" s="10"/>
      <c r="F2266" s="30"/>
      <c r="G2266" s="7">
        <f t="shared" si="664"/>
        <v>1</v>
      </c>
      <c r="H2266" s="58">
        <v>45834</v>
      </c>
      <c r="I2266" s="16"/>
      <c r="J2266" s="11"/>
      <c r="K2266" s="12"/>
      <c r="L2266" s="12"/>
      <c r="M2266" s="12"/>
      <c r="N2266" s="31"/>
      <c r="O2266" s="7">
        <f t="shared" si="666"/>
        <v>0</v>
      </c>
    </row>
    <row r="2267" spans="1:15" x14ac:dyDescent="0.15">
      <c r="A2267" s="14" t="s">
        <v>29</v>
      </c>
      <c r="B2267" s="8"/>
      <c r="C2267" s="10">
        <v>1</v>
      </c>
      <c r="D2267" s="10"/>
      <c r="E2267" s="10"/>
      <c r="F2267" s="30"/>
      <c r="G2267" s="7">
        <f t="shared" si="664"/>
        <v>1</v>
      </c>
      <c r="H2267" s="58">
        <v>45840</v>
      </c>
      <c r="I2267" s="16"/>
      <c r="J2267" s="11"/>
      <c r="K2267" s="12"/>
      <c r="L2267" s="12"/>
      <c r="M2267" s="12"/>
      <c r="N2267" s="31"/>
      <c r="O2267" s="7">
        <f t="shared" si="666"/>
        <v>0</v>
      </c>
    </row>
    <row r="2268" spans="1:15" x14ac:dyDescent="0.15">
      <c r="A2268" s="14" t="s">
        <v>29</v>
      </c>
      <c r="B2268" s="8"/>
      <c r="C2268" s="10">
        <v>1</v>
      </c>
      <c r="D2268" s="10"/>
      <c r="E2268" s="10"/>
      <c r="F2268" s="30"/>
      <c r="G2268" s="7">
        <f t="shared" si="664"/>
        <v>1</v>
      </c>
      <c r="H2268" s="58">
        <v>45845</v>
      </c>
      <c r="I2268" s="16"/>
      <c r="J2268" s="11"/>
      <c r="K2268" s="12"/>
      <c r="L2268" s="12"/>
      <c r="M2268" s="12"/>
      <c r="N2268" s="31"/>
      <c r="O2268" s="7">
        <f t="shared" si="666"/>
        <v>0</v>
      </c>
    </row>
    <row r="2269" spans="1:15" x14ac:dyDescent="0.15">
      <c r="A2269" s="14" t="s">
        <v>29</v>
      </c>
      <c r="B2269" s="8"/>
      <c r="C2269" s="10"/>
      <c r="D2269" s="10">
        <v>1</v>
      </c>
      <c r="E2269" s="10"/>
      <c r="F2269" s="30"/>
      <c r="G2269" s="7">
        <f t="shared" si="664"/>
        <v>1</v>
      </c>
      <c r="H2269" s="58">
        <v>45846</v>
      </c>
      <c r="I2269" s="16"/>
      <c r="J2269" s="11"/>
      <c r="K2269" s="12"/>
      <c r="L2269" s="12"/>
      <c r="M2269" s="12"/>
      <c r="N2269" s="31"/>
      <c r="O2269" s="7">
        <f t="shared" si="666"/>
        <v>0</v>
      </c>
    </row>
    <row r="2270" spans="1:15" x14ac:dyDescent="0.15">
      <c r="A2270" s="14" t="s">
        <v>29</v>
      </c>
      <c r="B2270" s="8"/>
      <c r="C2270" s="10"/>
      <c r="D2270" s="10">
        <v>1</v>
      </c>
      <c r="E2270" s="10"/>
      <c r="F2270" s="30"/>
      <c r="G2270" s="7">
        <f t="shared" si="664"/>
        <v>1</v>
      </c>
      <c r="H2270" s="58">
        <v>45849</v>
      </c>
      <c r="I2270" s="16"/>
      <c r="J2270" s="11"/>
      <c r="K2270" s="12"/>
      <c r="L2270" s="12"/>
      <c r="M2270" s="12"/>
      <c r="N2270" s="31"/>
      <c r="O2270" s="7">
        <f t="shared" si="666"/>
        <v>0</v>
      </c>
    </row>
    <row r="2271" spans="1:15" x14ac:dyDescent="0.15">
      <c r="A2271" s="14" t="s">
        <v>29</v>
      </c>
      <c r="B2271" s="8">
        <v>1</v>
      </c>
      <c r="C2271" s="10"/>
      <c r="D2271" s="10"/>
      <c r="E2271" s="10"/>
      <c r="F2271" s="30"/>
      <c r="G2271" s="7">
        <f t="shared" si="664"/>
        <v>1</v>
      </c>
      <c r="H2271" s="58">
        <v>45852</v>
      </c>
      <c r="I2271" s="16"/>
      <c r="J2271" s="11"/>
      <c r="K2271" s="12"/>
      <c r="L2271" s="12"/>
      <c r="M2271" s="12"/>
      <c r="N2271" s="31"/>
      <c r="O2271" s="7">
        <f t="shared" si="666"/>
        <v>0</v>
      </c>
    </row>
    <row r="2272" spans="1:15" x14ac:dyDescent="0.15">
      <c r="A2272" s="14" t="s">
        <v>29</v>
      </c>
      <c r="B2272" s="8"/>
      <c r="C2272" s="10">
        <v>1</v>
      </c>
      <c r="D2272" s="10"/>
      <c r="E2272" s="10"/>
      <c r="F2272" s="30"/>
      <c r="G2272" s="7">
        <f t="shared" ref="G2272:G2276" si="668">SUM(B2272:F2272)</f>
        <v>1</v>
      </c>
      <c r="H2272" s="58">
        <v>45866</v>
      </c>
      <c r="I2272" s="16"/>
      <c r="J2272" s="11"/>
      <c r="K2272" s="12"/>
      <c r="L2272" s="12"/>
      <c r="M2272" s="12"/>
      <c r="N2272" s="31"/>
      <c r="O2272" s="7">
        <f t="shared" si="666"/>
        <v>0</v>
      </c>
    </row>
    <row r="2273" spans="1:15" x14ac:dyDescent="0.15">
      <c r="A2273" s="14" t="s">
        <v>29</v>
      </c>
      <c r="B2273" s="8">
        <v>1</v>
      </c>
      <c r="C2273" s="10"/>
      <c r="D2273" s="10"/>
      <c r="E2273" s="10"/>
      <c r="F2273" s="30"/>
      <c r="G2273" s="7">
        <f t="shared" si="668"/>
        <v>1</v>
      </c>
      <c r="H2273" s="58">
        <v>45869</v>
      </c>
      <c r="I2273" s="16"/>
      <c r="J2273" s="11"/>
      <c r="K2273" s="12"/>
      <c r="L2273" s="12"/>
      <c r="M2273" s="12"/>
      <c r="N2273" s="31"/>
      <c r="O2273" s="7">
        <f t="shared" si="666"/>
        <v>0</v>
      </c>
    </row>
    <row r="2274" spans="1:15" x14ac:dyDescent="0.15">
      <c r="A2274" s="14" t="s">
        <v>117</v>
      </c>
      <c r="B2274" s="8"/>
      <c r="C2274" s="10">
        <v>1</v>
      </c>
      <c r="D2274" s="10"/>
      <c r="E2274" s="10"/>
      <c r="F2274" s="30"/>
      <c r="G2274" s="7">
        <f t="shared" si="668"/>
        <v>1</v>
      </c>
      <c r="H2274" s="58">
        <v>45876</v>
      </c>
      <c r="I2274" s="16"/>
      <c r="J2274" s="11"/>
      <c r="K2274" s="12"/>
      <c r="L2274" s="12"/>
      <c r="M2274" s="12"/>
      <c r="N2274" s="31"/>
      <c r="O2274" s="7">
        <f t="shared" si="666"/>
        <v>0</v>
      </c>
    </row>
    <row r="2275" spans="1:15" x14ac:dyDescent="0.15">
      <c r="A2275" s="14" t="s">
        <v>29</v>
      </c>
      <c r="B2275" s="8">
        <v>1</v>
      </c>
      <c r="C2275" s="10"/>
      <c r="D2275" s="10"/>
      <c r="E2275" s="10"/>
      <c r="F2275" s="30"/>
      <c r="G2275" s="7">
        <f t="shared" si="668"/>
        <v>1</v>
      </c>
      <c r="H2275" s="57">
        <v>45878</v>
      </c>
      <c r="I2275" s="16"/>
      <c r="J2275" s="11"/>
      <c r="K2275" s="12"/>
      <c r="L2275" s="12"/>
      <c r="M2275" s="12"/>
      <c r="N2275" s="31"/>
      <c r="O2275" s="7">
        <f t="shared" si="666"/>
        <v>0</v>
      </c>
    </row>
    <row r="2276" spans="1:15" ht="14.25" thickBot="1" x14ac:dyDescent="0.2">
      <c r="A2276" s="14" t="s">
        <v>29</v>
      </c>
      <c r="B2276" s="8"/>
      <c r="C2276" s="10"/>
      <c r="D2276" s="10">
        <v>1</v>
      </c>
      <c r="E2276" s="10"/>
      <c r="F2276" s="30"/>
      <c r="G2276" s="7">
        <f t="shared" si="668"/>
        <v>1</v>
      </c>
      <c r="H2276" s="57">
        <v>45887</v>
      </c>
      <c r="I2276" s="16"/>
      <c r="J2276" s="11"/>
      <c r="K2276" s="12"/>
      <c r="L2276" s="12"/>
      <c r="M2276" s="12"/>
      <c r="N2276" s="31"/>
      <c r="O2276" s="7">
        <f t="shared" si="666"/>
        <v>0</v>
      </c>
    </row>
    <row r="2277" spans="1:15" ht="14.25" thickBot="1" x14ac:dyDescent="0.2">
      <c r="A2277" s="3" t="s">
        <v>11</v>
      </c>
      <c r="B2277" s="23">
        <f>SUM(B2251:B2276)</f>
        <v>7</v>
      </c>
      <c r="C2277" s="4">
        <f>SUM(C2251:C2276)</f>
        <v>10</v>
      </c>
      <c r="D2277" s="4">
        <f>SUM(D2251:D2276)</f>
        <v>9</v>
      </c>
      <c r="E2277" s="6">
        <f>SUM(E2251:E2276)</f>
        <v>3</v>
      </c>
      <c r="F2277" s="32">
        <f>SUM(F2251:F2276)</f>
        <v>2</v>
      </c>
      <c r="G2277" s="5">
        <f>SUM(B2277:F2277)</f>
        <v>31</v>
      </c>
      <c r="I2277" s="3" t="s">
        <v>11</v>
      </c>
      <c r="J2277" s="23">
        <f>SUM(J2251:J2276)</f>
        <v>0</v>
      </c>
      <c r="K2277" s="4">
        <f>SUM(K2251:K2276)</f>
        <v>13</v>
      </c>
      <c r="L2277" s="4">
        <f>SUM(L2251:L2276)</f>
        <v>8</v>
      </c>
      <c r="M2277" s="6">
        <f>SUM(M2251:M2276)</f>
        <v>3</v>
      </c>
      <c r="N2277" s="6">
        <f>SUM(N2251:N2276)</f>
        <v>3</v>
      </c>
      <c r="O2277" s="5">
        <f>SUM(J2277:N2277)</f>
        <v>27</v>
      </c>
    </row>
    <row r="2278" spans="1:15" ht="14.25" thickBot="1" x14ac:dyDescent="0.2">
      <c r="A2278" s="25" t="s">
        <v>12</v>
      </c>
      <c r="B2278" s="63">
        <f>B2250-B2277</f>
        <v>5</v>
      </c>
      <c r="C2278" s="26">
        <f t="shared" ref="C2278:G2278" si="669">C2250-C2277</f>
        <v>7</v>
      </c>
      <c r="D2278" s="71">
        <f t="shared" si="669"/>
        <v>3</v>
      </c>
      <c r="E2278" s="26">
        <f t="shared" si="669"/>
        <v>5</v>
      </c>
      <c r="F2278" s="70">
        <f t="shared" si="669"/>
        <v>6</v>
      </c>
      <c r="G2278" s="27">
        <f t="shared" si="669"/>
        <v>26</v>
      </c>
      <c r="I2278" s="25" t="s">
        <v>12</v>
      </c>
      <c r="J2278" s="63">
        <f>J2250-J2277</f>
        <v>78</v>
      </c>
      <c r="K2278" s="26">
        <f t="shared" ref="K2278:O2278" si="670">K2250-K2277</f>
        <v>76</v>
      </c>
      <c r="L2278" s="71">
        <f t="shared" si="670"/>
        <v>73</v>
      </c>
      <c r="M2278" s="26">
        <f t="shared" si="670"/>
        <v>80</v>
      </c>
      <c r="N2278" s="70">
        <f t="shared" si="670"/>
        <v>99</v>
      </c>
      <c r="O2278" s="27">
        <f t="shared" si="670"/>
        <v>406</v>
      </c>
    </row>
    <row r="2279" spans="1:15" ht="21" x14ac:dyDescent="0.2">
      <c r="A2279" s="82" t="s">
        <v>55</v>
      </c>
      <c r="B2279" s="80"/>
      <c r="C2279" s="80"/>
      <c r="D2279" s="80"/>
      <c r="E2279" s="81" t="s">
        <v>53</v>
      </c>
      <c r="F2279" s="80"/>
      <c r="G2279" s="80"/>
      <c r="J2279" s="211"/>
      <c r="K2279" s="211"/>
      <c r="L2279" s="211"/>
      <c r="M2279" s="211"/>
      <c r="N2279" s="211"/>
      <c r="O2279" s="211"/>
    </row>
    <row r="2280" spans="1:15" ht="14.25" thickBot="1" x14ac:dyDescent="0.2">
      <c r="J2280" s="211"/>
      <c r="K2280" s="211"/>
      <c r="L2280" s="211"/>
      <c r="M2280" s="211"/>
      <c r="N2280" s="211"/>
      <c r="O2280" s="211"/>
    </row>
    <row r="2281" spans="1:15" ht="14.25" thickBot="1" x14ac:dyDescent="0.2">
      <c r="A2281" s="13" t="s">
        <v>0</v>
      </c>
      <c r="B2281" s="228" t="s">
        <v>57</v>
      </c>
      <c r="C2281" s="229"/>
      <c r="D2281" s="229"/>
      <c r="E2281" s="229"/>
      <c r="F2281" s="230"/>
      <c r="G2281" s="231"/>
      <c r="I2281" s="13" t="s">
        <v>0</v>
      </c>
      <c r="J2281" s="232" t="s">
        <v>57</v>
      </c>
      <c r="K2281" s="233"/>
      <c r="L2281" s="233"/>
      <c r="M2281" s="233"/>
      <c r="N2281" s="233"/>
      <c r="O2281" s="234"/>
    </row>
    <row r="2282" spans="1:15" ht="14.25" thickBot="1" x14ac:dyDescent="0.2">
      <c r="A2282" s="3" t="s">
        <v>1</v>
      </c>
      <c r="B2282" s="2" t="s">
        <v>42</v>
      </c>
      <c r="C2282" s="21" t="s">
        <v>43</v>
      </c>
      <c r="D2282" s="21" t="s">
        <v>44</v>
      </c>
      <c r="E2282" s="24" t="s">
        <v>45</v>
      </c>
      <c r="F2282" s="33" t="s">
        <v>46</v>
      </c>
      <c r="G2282" s="3" t="s">
        <v>2</v>
      </c>
      <c r="I2282" s="3" t="s">
        <v>1</v>
      </c>
      <c r="J2282" s="2" t="s">
        <v>42</v>
      </c>
      <c r="K2282" s="21" t="s">
        <v>43</v>
      </c>
      <c r="L2282" s="21" t="s">
        <v>44</v>
      </c>
      <c r="M2282" s="24" t="s">
        <v>45</v>
      </c>
      <c r="N2282" s="33" t="s">
        <v>46</v>
      </c>
      <c r="O2282" s="3" t="s">
        <v>2</v>
      </c>
    </row>
    <row r="2283" spans="1:15" ht="14.25" thickBot="1" x14ac:dyDescent="0.2">
      <c r="A2283" s="72" t="s">
        <v>79</v>
      </c>
      <c r="B2283" s="73">
        <f>B2278</f>
        <v>5</v>
      </c>
      <c r="C2283" s="74">
        <f t="shared" ref="C2283:F2283" si="671">C2278</f>
        <v>7</v>
      </c>
      <c r="D2283" s="107">
        <f t="shared" si="671"/>
        <v>3</v>
      </c>
      <c r="E2283" s="75">
        <f t="shared" si="671"/>
        <v>5</v>
      </c>
      <c r="F2283" s="75">
        <f t="shared" si="671"/>
        <v>6</v>
      </c>
      <c r="G2283" s="76">
        <f t="shared" ref="G2283:G2292" si="672">SUM(B2283:F2283)</f>
        <v>26</v>
      </c>
      <c r="I2283" s="72" t="s">
        <v>79</v>
      </c>
      <c r="J2283" s="73">
        <f>J2278</f>
        <v>78</v>
      </c>
      <c r="K2283" s="74">
        <f t="shared" ref="K2283:N2283" si="673">K2278</f>
        <v>76</v>
      </c>
      <c r="L2283" s="107">
        <f t="shared" si="673"/>
        <v>73</v>
      </c>
      <c r="M2283" s="75">
        <f t="shared" si="673"/>
        <v>80</v>
      </c>
      <c r="N2283" s="75">
        <f t="shared" si="673"/>
        <v>99</v>
      </c>
      <c r="O2283" s="76">
        <f t="shared" ref="O2283:O2292" si="674">SUM(J2283:N2283)</f>
        <v>406</v>
      </c>
    </row>
    <row r="2284" spans="1:15" x14ac:dyDescent="0.15">
      <c r="A2284" s="38" t="s">
        <v>1348</v>
      </c>
      <c r="B2284" s="11">
        <v>0</v>
      </c>
      <c r="C2284" s="100">
        <v>0</v>
      </c>
      <c r="D2284" s="100">
        <v>1</v>
      </c>
      <c r="E2284" s="100">
        <v>-1</v>
      </c>
      <c r="F2284" s="101">
        <v>0</v>
      </c>
      <c r="G2284" s="102">
        <f t="shared" ref="G2284:G2286" si="675">SUM(B2284:F2284)</f>
        <v>0</v>
      </c>
      <c r="H2284" s="58">
        <v>45894</v>
      </c>
      <c r="I2284" s="15" t="s">
        <v>15</v>
      </c>
      <c r="J2284" s="8"/>
      <c r="K2284" s="10"/>
      <c r="L2284" s="10"/>
      <c r="M2284" s="10"/>
      <c r="N2284" s="30"/>
      <c r="O2284" s="7">
        <f t="shared" si="674"/>
        <v>0</v>
      </c>
    </row>
    <row r="2285" spans="1:15" x14ac:dyDescent="0.15">
      <c r="A2285" s="38" t="s">
        <v>16</v>
      </c>
      <c r="B2285" s="11">
        <v>2</v>
      </c>
      <c r="C2285" s="100"/>
      <c r="D2285" s="100"/>
      <c r="E2285" s="100"/>
      <c r="F2285" s="101"/>
      <c r="G2285" s="102">
        <f t="shared" si="675"/>
        <v>2</v>
      </c>
      <c r="H2285" s="58">
        <v>45897</v>
      </c>
      <c r="I2285" s="15" t="s">
        <v>16</v>
      </c>
      <c r="J2285" s="8"/>
      <c r="K2285" s="10"/>
      <c r="L2285" s="10"/>
      <c r="M2285" s="10"/>
      <c r="N2285" s="30"/>
      <c r="O2285" s="7">
        <f t="shared" si="674"/>
        <v>0</v>
      </c>
    </row>
    <row r="2286" spans="1:15" x14ac:dyDescent="0.15">
      <c r="A2286" s="38" t="s">
        <v>18</v>
      </c>
      <c r="B2286" s="11"/>
      <c r="C2286" s="100">
        <v>5</v>
      </c>
      <c r="D2286" s="100">
        <v>5</v>
      </c>
      <c r="E2286" s="100"/>
      <c r="F2286" s="101"/>
      <c r="G2286" s="102">
        <f t="shared" si="675"/>
        <v>10</v>
      </c>
      <c r="H2286" s="58">
        <v>45944</v>
      </c>
      <c r="I2286" s="15" t="s">
        <v>18</v>
      </c>
      <c r="J2286" s="8"/>
      <c r="K2286" s="10"/>
      <c r="L2286" s="10"/>
      <c r="M2286" s="10"/>
      <c r="N2286" s="30"/>
      <c r="O2286" s="7">
        <f t="shared" si="674"/>
        <v>0</v>
      </c>
    </row>
    <row r="2287" spans="1:15" x14ac:dyDescent="0.15">
      <c r="A2287" s="38" t="s">
        <v>20</v>
      </c>
      <c r="B2287" s="11">
        <v>10</v>
      </c>
      <c r="C2287" s="100"/>
      <c r="D2287" s="100"/>
      <c r="E2287" s="100"/>
      <c r="F2287" s="101"/>
      <c r="G2287" s="102">
        <f t="shared" si="672"/>
        <v>10</v>
      </c>
      <c r="H2287" s="58">
        <v>45976</v>
      </c>
      <c r="I2287" s="15" t="s">
        <v>20</v>
      </c>
      <c r="J2287" s="8"/>
      <c r="K2287" s="10"/>
      <c r="L2287" s="10"/>
      <c r="M2287" s="10"/>
      <c r="N2287" s="30"/>
      <c r="O2287" s="7">
        <f t="shared" si="674"/>
        <v>0</v>
      </c>
    </row>
    <row r="2288" spans="1:15" x14ac:dyDescent="0.15">
      <c r="A2288" s="38" t="s">
        <v>80</v>
      </c>
      <c r="B2288" s="11"/>
      <c r="C2288" s="100"/>
      <c r="D2288" s="100"/>
      <c r="E2288" s="100">
        <v>3</v>
      </c>
      <c r="F2288" s="101"/>
      <c r="G2288" s="102">
        <f t="shared" si="672"/>
        <v>3</v>
      </c>
      <c r="H2288" s="58">
        <v>45989</v>
      </c>
      <c r="I2288" s="15" t="s">
        <v>80</v>
      </c>
      <c r="J2288" s="8"/>
      <c r="K2288" s="10"/>
      <c r="L2288" s="10"/>
      <c r="M2288" s="10"/>
      <c r="N2288" s="30"/>
      <c r="O2288" s="7">
        <f t="shared" si="674"/>
        <v>0</v>
      </c>
    </row>
    <row r="2289" spans="1:17" x14ac:dyDescent="0.15">
      <c r="A2289" s="195" t="s">
        <v>81</v>
      </c>
      <c r="B2289" s="166"/>
      <c r="C2289" s="224"/>
      <c r="D2289" s="224"/>
      <c r="E2289" s="224">
        <v>5</v>
      </c>
      <c r="F2289" s="225"/>
      <c r="G2289" s="226">
        <f t="shared" si="672"/>
        <v>5</v>
      </c>
      <c r="H2289" s="162">
        <v>46000</v>
      </c>
      <c r="I2289" s="15" t="s">
        <v>81</v>
      </c>
      <c r="J2289" s="8"/>
      <c r="K2289" s="10"/>
      <c r="L2289" s="10"/>
      <c r="M2289" s="10"/>
      <c r="N2289" s="30"/>
      <c r="O2289" s="7">
        <f t="shared" si="674"/>
        <v>0</v>
      </c>
    </row>
    <row r="2290" spans="1:17" x14ac:dyDescent="0.15">
      <c r="A2290" s="38" t="s">
        <v>82</v>
      </c>
      <c r="B2290" s="11"/>
      <c r="C2290" s="100"/>
      <c r="D2290" s="100">
        <v>3</v>
      </c>
      <c r="E2290" s="100"/>
      <c r="F2290" s="101"/>
      <c r="G2290" s="102">
        <f t="shared" si="672"/>
        <v>3</v>
      </c>
      <c r="H2290" s="58">
        <v>46017</v>
      </c>
      <c r="I2290" s="15" t="s">
        <v>82</v>
      </c>
      <c r="J2290" s="8"/>
      <c r="K2290" s="10"/>
      <c r="L2290" s="10"/>
      <c r="M2290" s="10"/>
      <c r="N2290" s="30"/>
      <c r="O2290" s="7">
        <f t="shared" si="674"/>
        <v>0</v>
      </c>
    </row>
    <row r="2291" spans="1:17" x14ac:dyDescent="0.15">
      <c r="A2291" s="38" t="s">
        <v>83</v>
      </c>
      <c r="B2291" s="11"/>
      <c r="C2291" s="100">
        <v>3</v>
      </c>
      <c r="D2291" s="100"/>
      <c r="E2291" s="100"/>
      <c r="F2291" s="101"/>
      <c r="G2291" s="102">
        <f t="shared" si="672"/>
        <v>3</v>
      </c>
      <c r="H2291" s="58">
        <v>46038</v>
      </c>
      <c r="I2291" s="15" t="s">
        <v>83</v>
      </c>
      <c r="J2291" s="8"/>
      <c r="K2291" s="10"/>
      <c r="L2291" s="10"/>
      <c r="M2291" s="10"/>
      <c r="N2291" s="30"/>
      <c r="O2291" s="7">
        <f t="shared" si="674"/>
        <v>0</v>
      </c>
    </row>
    <row r="2292" spans="1:17" ht="14.25" thickBot="1" x14ac:dyDescent="0.2">
      <c r="A2292" s="38" t="s">
        <v>159</v>
      </c>
      <c r="B2292" s="11"/>
      <c r="C2292" s="100"/>
      <c r="D2292" s="100"/>
      <c r="E2292" s="100"/>
      <c r="F2292" s="101"/>
      <c r="G2292" s="102">
        <f t="shared" si="672"/>
        <v>0</v>
      </c>
      <c r="H2292" s="57"/>
      <c r="I2292" s="15" t="s">
        <v>87</v>
      </c>
      <c r="J2292" s="11"/>
      <c r="K2292" s="100"/>
      <c r="L2292" s="100"/>
      <c r="M2292" s="100"/>
      <c r="N2292" s="101"/>
      <c r="O2292" s="102">
        <f t="shared" si="674"/>
        <v>0</v>
      </c>
    </row>
    <row r="2293" spans="1:17" ht="14.25" thickBot="1" x14ac:dyDescent="0.2">
      <c r="A2293" s="72" t="s">
        <v>7</v>
      </c>
      <c r="B2293" s="73">
        <f>SUM(B2283:B2292)</f>
        <v>17</v>
      </c>
      <c r="C2293" s="74">
        <f t="shared" ref="C2293:G2293" si="676">SUM(C2283:C2292)</f>
        <v>15</v>
      </c>
      <c r="D2293" s="74">
        <f t="shared" si="676"/>
        <v>12</v>
      </c>
      <c r="E2293" s="74">
        <f t="shared" si="676"/>
        <v>12</v>
      </c>
      <c r="F2293" s="105">
        <f t="shared" si="676"/>
        <v>6</v>
      </c>
      <c r="G2293" s="76">
        <f t="shared" si="676"/>
        <v>62</v>
      </c>
      <c r="I2293" s="72" t="s">
        <v>7</v>
      </c>
      <c r="J2293" s="73">
        <f>SUM(J2283:J2292)</f>
        <v>78</v>
      </c>
      <c r="K2293" s="74">
        <f t="shared" ref="K2293:O2293" si="677">SUM(K2283:K2292)</f>
        <v>76</v>
      </c>
      <c r="L2293" s="74">
        <f t="shared" si="677"/>
        <v>73</v>
      </c>
      <c r="M2293" s="74">
        <f t="shared" si="677"/>
        <v>80</v>
      </c>
      <c r="N2293" s="105">
        <f t="shared" si="677"/>
        <v>99</v>
      </c>
      <c r="O2293" s="76">
        <f t="shared" si="677"/>
        <v>406</v>
      </c>
    </row>
    <row r="2294" spans="1:17" x14ac:dyDescent="0.15">
      <c r="A2294" s="14" t="s">
        <v>29</v>
      </c>
      <c r="B2294" s="8"/>
      <c r="C2294" s="10">
        <v>1</v>
      </c>
      <c r="D2294" s="10"/>
      <c r="E2294" s="10"/>
      <c r="F2294" s="30"/>
      <c r="G2294" s="7">
        <f t="shared" ref="G2294:G2319" si="678">SUM(B2294:F2294)</f>
        <v>1</v>
      </c>
      <c r="H2294" s="58">
        <v>45894</v>
      </c>
      <c r="I2294" s="194" t="s">
        <v>1646</v>
      </c>
      <c r="J2294" s="166"/>
      <c r="K2294" s="167">
        <v>5</v>
      </c>
      <c r="L2294" s="167">
        <v>5</v>
      </c>
      <c r="M2294" s="167"/>
      <c r="N2294" s="168"/>
      <c r="O2294" s="161">
        <f t="shared" ref="O2294:O2319" si="679">SUM(J2294:N2294)</f>
        <v>10</v>
      </c>
      <c r="P2294" s="162">
        <v>45944</v>
      </c>
    </row>
    <row r="2295" spans="1:17" x14ac:dyDescent="0.15">
      <c r="A2295" s="14" t="s">
        <v>29</v>
      </c>
      <c r="B2295" s="8"/>
      <c r="C2295" s="10">
        <v>1</v>
      </c>
      <c r="D2295" s="10">
        <v>1</v>
      </c>
      <c r="E2295" s="10"/>
      <c r="F2295" s="30"/>
      <c r="G2295" s="7">
        <f t="shared" si="678"/>
        <v>2</v>
      </c>
      <c r="H2295" s="58">
        <v>45901</v>
      </c>
      <c r="I2295" s="16" t="s">
        <v>24</v>
      </c>
      <c r="J2295" s="11">
        <v>10</v>
      </c>
      <c r="K2295" s="12"/>
      <c r="L2295" s="12"/>
      <c r="M2295" s="12"/>
      <c r="N2295" s="31"/>
      <c r="O2295" s="7">
        <f t="shared" si="679"/>
        <v>10</v>
      </c>
      <c r="P2295" s="58">
        <v>45976</v>
      </c>
    </row>
    <row r="2296" spans="1:17" x14ac:dyDescent="0.15">
      <c r="A2296" s="14" t="s">
        <v>29</v>
      </c>
      <c r="B2296" s="8"/>
      <c r="C2296" s="10">
        <v>1</v>
      </c>
      <c r="D2296" s="10"/>
      <c r="E2296" s="10"/>
      <c r="F2296" s="30"/>
      <c r="G2296" s="7">
        <f t="shared" si="678"/>
        <v>1</v>
      </c>
      <c r="H2296" s="58">
        <v>45902</v>
      </c>
      <c r="I2296" s="16" t="s">
        <v>24</v>
      </c>
      <c r="J2296" s="11"/>
      <c r="K2296" s="12"/>
      <c r="L2296" s="12"/>
      <c r="M2296" s="12">
        <v>3</v>
      </c>
      <c r="N2296" s="31"/>
      <c r="O2296" s="7">
        <f t="shared" si="679"/>
        <v>3</v>
      </c>
      <c r="P2296" s="58">
        <v>45989</v>
      </c>
    </row>
    <row r="2297" spans="1:17" x14ac:dyDescent="0.15">
      <c r="A2297" s="14" t="s">
        <v>29</v>
      </c>
      <c r="B2297" s="8">
        <v>1</v>
      </c>
      <c r="C2297" s="10"/>
      <c r="D2297" s="10"/>
      <c r="E2297" s="10"/>
      <c r="F2297" s="30"/>
      <c r="G2297" s="7">
        <f t="shared" si="678"/>
        <v>1</v>
      </c>
      <c r="H2297" s="58">
        <v>45906</v>
      </c>
      <c r="I2297" s="194" t="s">
        <v>24</v>
      </c>
      <c r="J2297" s="166"/>
      <c r="K2297" s="167"/>
      <c r="L2297" s="167"/>
      <c r="M2297" s="167">
        <v>5</v>
      </c>
      <c r="N2297" s="168"/>
      <c r="O2297" s="161">
        <f t="shared" si="679"/>
        <v>5</v>
      </c>
      <c r="P2297" s="162">
        <v>46000</v>
      </c>
    </row>
    <row r="2298" spans="1:17" x14ac:dyDescent="0.15">
      <c r="A2298" s="14" t="s">
        <v>29</v>
      </c>
      <c r="B2298" s="8"/>
      <c r="C2298" s="10">
        <v>1</v>
      </c>
      <c r="D2298" s="10"/>
      <c r="E2298" s="10"/>
      <c r="F2298" s="30"/>
      <c r="G2298" s="7">
        <f t="shared" si="678"/>
        <v>1</v>
      </c>
      <c r="H2298" s="58">
        <v>45908</v>
      </c>
      <c r="I2298" s="16" t="s">
        <v>24</v>
      </c>
      <c r="J2298" s="11"/>
      <c r="K2298" s="12"/>
      <c r="L2298" s="12">
        <v>3</v>
      </c>
      <c r="M2298" s="12"/>
      <c r="N2298" s="31"/>
      <c r="O2298" s="7">
        <f t="shared" si="679"/>
        <v>3</v>
      </c>
      <c r="P2298" s="58">
        <v>46017</v>
      </c>
    </row>
    <row r="2299" spans="1:17" x14ac:dyDescent="0.15">
      <c r="A2299" s="14" t="s">
        <v>29</v>
      </c>
      <c r="B2299" s="8"/>
      <c r="C2299" s="10">
        <v>1</v>
      </c>
      <c r="D2299" s="10"/>
      <c r="E2299" s="10"/>
      <c r="F2299" s="30"/>
      <c r="G2299" s="7">
        <f t="shared" si="678"/>
        <v>1</v>
      </c>
      <c r="H2299" s="58">
        <v>45936</v>
      </c>
      <c r="I2299" s="16" t="s">
        <v>24</v>
      </c>
      <c r="J2299" s="11"/>
      <c r="K2299" s="12">
        <v>3</v>
      </c>
      <c r="L2299" s="12"/>
      <c r="M2299" s="12"/>
      <c r="N2299" s="31"/>
      <c r="O2299" s="7">
        <f t="shared" si="679"/>
        <v>3</v>
      </c>
      <c r="P2299" s="58">
        <v>46038</v>
      </c>
      <c r="Q2299" s="56"/>
    </row>
    <row r="2300" spans="1:17" x14ac:dyDescent="0.15">
      <c r="A2300" s="14" t="s">
        <v>29</v>
      </c>
      <c r="B2300" s="8"/>
      <c r="C2300" s="10"/>
      <c r="D2300" s="10">
        <v>1</v>
      </c>
      <c r="E2300" s="10"/>
      <c r="F2300" s="30">
        <v>1</v>
      </c>
      <c r="G2300" s="7">
        <f t="shared" si="678"/>
        <v>2</v>
      </c>
      <c r="H2300" s="58">
        <v>45939</v>
      </c>
      <c r="I2300" s="16"/>
      <c r="J2300" s="11"/>
      <c r="K2300" s="12"/>
      <c r="L2300" s="12"/>
      <c r="M2300" s="12"/>
      <c r="N2300" s="31"/>
      <c r="O2300" s="7">
        <f t="shared" si="679"/>
        <v>0</v>
      </c>
    </row>
    <row r="2301" spans="1:17" x14ac:dyDescent="0.15">
      <c r="A2301" s="14" t="s">
        <v>29</v>
      </c>
      <c r="B2301" s="8"/>
      <c r="C2301" s="10">
        <v>1</v>
      </c>
      <c r="D2301" s="10"/>
      <c r="E2301" s="10"/>
      <c r="F2301" s="30"/>
      <c r="G2301" s="7">
        <f t="shared" si="678"/>
        <v>1</v>
      </c>
      <c r="H2301" s="58">
        <v>45945</v>
      </c>
      <c r="I2301" s="221"/>
      <c r="J2301" s="11"/>
      <c r="K2301" s="12"/>
      <c r="L2301" s="12"/>
      <c r="M2301" s="12"/>
      <c r="N2301" s="31"/>
      <c r="O2301" s="7">
        <f t="shared" si="679"/>
        <v>0</v>
      </c>
    </row>
    <row r="2302" spans="1:17" x14ac:dyDescent="0.15">
      <c r="A2302" s="14" t="s">
        <v>29</v>
      </c>
      <c r="B2302" s="8"/>
      <c r="C2302" s="10"/>
      <c r="D2302" s="10">
        <v>1</v>
      </c>
      <c r="E2302" s="10"/>
      <c r="F2302" s="30"/>
      <c r="G2302" s="7">
        <f t="shared" si="678"/>
        <v>1</v>
      </c>
      <c r="H2302" s="58">
        <v>45947</v>
      </c>
      <c r="I2302" s="16"/>
      <c r="J2302" s="11"/>
      <c r="K2302" s="12"/>
      <c r="L2302" s="12"/>
      <c r="M2302" s="12"/>
      <c r="N2302" s="31"/>
      <c r="O2302" s="7">
        <f t="shared" si="679"/>
        <v>0</v>
      </c>
    </row>
    <row r="2303" spans="1:17" x14ac:dyDescent="0.15">
      <c r="A2303" s="14" t="s">
        <v>29</v>
      </c>
      <c r="B2303" s="8"/>
      <c r="C2303" s="10"/>
      <c r="D2303" s="10"/>
      <c r="E2303" s="10">
        <v>1</v>
      </c>
      <c r="F2303" s="30"/>
      <c r="G2303" s="7">
        <f t="shared" si="678"/>
        <v>1</v>
      </c>
      <c r="H2303" s="58">
        <v>45950</v>
      </c>
      <c r="I2303" s="16"/>
      <c r="J2303" s="11"/>
      <c r="K2303" s="12"/>
      <c r="L2303" s="12"/>
      <c r="M2303" s="12"/>
      <c r="N2303" s="31"/>
      <c r="O2303" s="7">
        <f t="shared" si="679"/>
        <v>0</v>
      </c>
    </row>
    <row r="2304" spans="1:17" x14ac:dyDescent="0.15">
      <c r="A2304" s="14" t="s">
        <v>29</v>
      </c>
      <c r="B2304" s="8"/>
      <c r="C2304" s="10">
        <v>1</v>
      </c>
      <c r="D2304" s="10"/>
      <c r="E2304" s="10"/>
      <c r="F2304" s="30"/>
      <c r="G2304" s="7">
        <f t="shared" si="678"/>
        <v>1</v>
      </c>
      <c r="H2304" s="58">
        <v>45953</v>
      </c>
      <c r="I2304" s="16"/>
      <c r="J2304" s="11"/>
      <c r="K2304" s="12"/>
      <c r="L2304" s="12"/>
      <c r="M2304" s="12"/>
      <c r="N2304" s="31"/>
      <c r="O2304" s="7">
        <f t="shared" si="679"/>
        <v>0</v>
      </c>
    </row>
    <row r="2305" spans="1:15" x14ac:dyDescent="0.15">
      <c r="A2305" s="14" t="s">
        <v>1647</v>
      </c>
      <c r="B2305" s="8"/>
      <c r="C2305" s="10">
        <v>-1</v>
      </c>
      <c r="D2305" s="10">
        <v>1</v>
      </c>
      <c r="E2305" s="10"/>
      <c r="F2305" s="30"/>
      <c r="G2305" s="7">
        <f t="shared" si="678"/>
        <v>0</v>
      </c>
      <c r="H2305" s="58">
        <v>45957</v>
      </c>
      <c r="I2305" s="16"/>
      <c r="J2305" s="11"/>
      <c r="K2305" s="12"/>
      <c r="L2305" s="12"/>
      <c r="M2305" s="12"/>
      <c r="N2305" s="31"/>
      <c r="O2305" s="7">
        <f t="shared" si="679"/>
        <v>0</v>
      </c>
    </row>
    <row r="2306" spans="1:15" x14ac:dyDescent="0.15">
      <c r="A2306" s="14" t="s">
        <v>29</v>
      </c>
      <c r="B2306" s="8"/>
      <c r="C2306" s="10"/>
      <c r="D2306" s="10"/>
      <c r="E2306" s="10">
        <v>1</v>
      </c>
      <c r="F2306" s="30"/>
      <c r="G2306" s="7">
        <f t="shared" si="678"/>
        <v>1</v>
      </c>
      <c r="H2306" s="58">
        <v>45958</v>
      </c>
      <c r="I2306" s="16"/>
      <c r="J2306" s="11"/>
      <c r="K2306" s="12"/>
      <c r="L2306" s="12"/>
      <c r="M2306" s="12"/>
      <c r="N2306" s="31"/>
      <c r="O2306" s="7">
        <f t="shared" si="679"/>
        <v>0</v>
      </c>
    </row>
    <row r="2307" spans="1:15" x14ac:dyDescent="0.15">
      <c r="A2307" s="14" t="s">
        <v>29</v>
      </c>
      <c r="B2307" s="8"/>
      <c r="C2307" s="10"/>
      <c r="D2307" s="10">
        <v>1</v>
      </c>
      <c r="E2307" s="10"/>
      <c r="F2307" s="30"/>
      <c r="G2307" s="7">
        <f t="shared" si="678"/>
        <v>1</v>
      </c>
      <c r="H2307" s="58">
        <v>45971</v>
      </c>
      <c r="I2307" s="16"/>
      <c r="J2307" s="11"/>
      <c r="K2307" s="12"/>
      <c r="L2307" s="12"/>
      <c r="M2307" s="12"/>
      <c r="N2307" s="31"/>
      <c r="O2307" s="7">
        <f t="shared" si="679"/>
        <v>0</v>
      </c>
    </row>
    <row r="2308" spans="1:15" x14ac:dyDescent="0.15">
      <c r="A2308" s="14" t="s">
        <v>29</v>
      </c>
      <c r="B2308" s="8">
        <v>1</v>
      </c>
      <c r="C2308" s="10"/>
      <c r="D2308" s="10"/>
      <c r="E2308" s="10">
        <v>1</v>
      </c>
      <c r="F2308" s="30"/>
      <c r="G2308" s="7">
        <f t="shared" si="678"/>
        <v>2</v>
      </c>
      <c r="H2308" s="58">
        <v>45987</v>
      </c>
      <c r="I2308" s="16"/>
      <c r="J2308" s="11"/>
      <c r="K2308" s="12"/>
      <c r="L2308" s="12"/>
      <c r="M2308" s="12"/>
      <c r="N2308" s="31"/>
      <c r="O2308" s="7">
        <f t="shared" si="679"/>
        <v>0</v>
      </c>
    </row>
    <row r="2309" spans="1:15" x14ac:dyDescent="0.15">
      <c r="A2309" s="14" t="s">
        <v>29</v>
      </c>
      <c r="B2309" s="8"/>
      <c r="C2309" s="10"/>
      <c r="D2309" s="10"/>
      <c r="E2309" s="10">
        <v>1</v>
      </c>
      <c r="F2309" s="30"/>
      <c r="G2309" s="7">
        <f t="shared" si="678"/>
        <v>1</v>
      </c>
      <c r="H2309" s="58">
        <v>45992</v>
      </c>
      <c r="I2309" s="16"/>
      <c r="J2309" s="11"/>
      <c r="K2309" s="12"/>
      <c r="L2309" s="12"/>
      <c r="M2309" s="12"/>
      <c r="N2309" s="31"/>
      <c r="O2309" s="7">
        <f t="shared" si="679"/>
        <v>0</v>
      </c>
    </row>
    <row r="2310" spans="1:15" x14ac:dyDescent="0.15">
      <c r="A2310" s="14" t="s">
        <v>29</v>
      </c>
      <c r="B2310" s="8"/>
      <c r="C2310" s="10"/>
      <c r="D2310" s="10"/>
      <c r="E2310" s="10">
        <v>1</v>
      </c>
      <c r="F2310" s="30"/>
      <c r="G2310" s="7">
        <f t="shared" si="678"/>
        <v>1</v>
      </c>
      <c r="H2310" s="58">
        <v>45993</v>
      </c>
      <c r="I2310" s="16"/>
      <c r="J2310" s="11"/>
      <c r="K2310" s="12"/>
      <c r="L2310" s="12"/>
      <c r="M2310" s="12"/>
      <c r="N2310" s="31"/>
      <c r="O2310" s="7">
        <f t="shared" si="679"/>
        <v>0</v>
      </c>
    </row>
    <row r="2311" spans="1:15" x14ac:dyDescent="0.15">
      <c r="A2311" s="14" t="s">
        <v>29</v>
      </c>
      <c r="B2311" s="8"/>
      <c r="C2311" s="10">
        <v>1</v>
      </c>
      <c r="D2311" s="10"/>
      <c r="E2311" s="10"/>
      <c r="F2311" s="30"/>
      <c r="G2311" s="7">
        <f t="shared" si="678"/>
        <v>1</v>
      </c>
      <c r="H2311" s="58">
        <v>45997</v>
      </c>
      <c r="I2311" s="16"/>
      <c r="J2311" s="11"/>
      <c r="K2311" s="12"/>
      <c r="L2311" s="12"/>
      <c r="M2311" s="12"/>
      <c r="N2311" s="31"/>
      <c r="O2311" s="7">
        <f t="shared" si="679"/>
        <v>0</v>
      </c>
    </row>
    <row r="2312" spans="1:15" x14ac:dyDescent="0.15">
      <c r="A2312" s="14" t="s">
        <v>29</v>
      </c>
      <c r="B2312" s="8">
        <v>1</v>
      </c>
      <c r="C2312" s="10"/>
      <c r="D2312" s="10">
        <v>1</v>
      </c>
      <c r="E2312" s="10"/>
      <c r="F2312" s="30"/>
      <c r="G2312" s="7">
        <f t="shared" si="678"/>
        <v>2</v>
      </c>
      <c r="H2312" s="58">
        <v>45999</v>
      </c>
      <c r="I2312" s="16"/>
      <c r="J2312" s="11"/>
      <c r="K2312" s="12"/>
      <c r="L2312" s="12"/>
      <c r="M2312" s="12"/>
      <c r="N2312" s="31"/>
      <c r="O2312" s="7">
        <f t="shared" si="679"/>
        <v>0</v>
      </c>
    </row>
    <row r="2313" spans="1:15" x14ac:dyDescent="0.15">
      <c r="A2313" s="14" t="s">
        <v>29</v>
      </c>
      <c r="B2313" s="8">
        <v>1</v>
      </c>
      <c r="C2313" s="10"/>
      <c r="D2313" s="10"/>
      <c r="E2313" s="10"/>
      <c r="F2313" s="30"/>
      <c r="G2313" s="7">
        <f t="shared" si="678"/>
        <v>1</v>
      </c>
      <c r="H2313" s="58">
        <v>46002</v>
      </c>
      <c r="I2313" s="16"/>
      <c r="J2313" s="11"/>
      <c r="K2313" s="12"/>
      <c r="L2313" s="12"/>
      <c r="M2313" s="12"/>
      <c r="N2313" s="31"/>
      <c r="O2313" s="7">
        <f t="shared" si="679"/>
        <v>0</v>
      </c>
    </row>
    <row r="2314" spans="1:15" x14ac:dyDescent="0.15">
      <c r="A2314" s="14" t="s">
        <v>29</v>
      </c>
      <c r="B2314" s="8"/>
      <c r="C2314" s="10"/>
      <c r="D2314" s="10">
        <v>1</v>
      </c>
      <c r="E2314" s="10"/>
      <c r="F2314" s="30">
        <v>1</v>
      </c>
      <c r="G2314" s="7">
        <f t="shared" si="678"/>
        <v>2</v>
      </c>
      <c r="H2314" s="58">
        <v>46016</v>
      </c>
      <c r="I2314" s="16"/>
      <c r="J2314" s="11"/>
      <c r="K2314" s="12"/>
      <c r="L2314" s="12"/>
      <c r="M2314" s="12"/>
      <c r="N2314" s="31"/>
      <c r="O2314" s="7">
        <f t="shared" si="679"/>
        <v>0</v>
      </c>
    </row>
    <row r="2315" spans="1:15" x14ac:dyDescent="0.15">
      <c r="A2315" s="14" t="s">
        <v>29</v>
      </c>
      <c r="B2315" s="8"/>
      <c r="C2315" s="10">
        <v>1</v>
      </c>
      <c r="D2315" s="10"/>
      <c r="E2315" s="10"/>
      <c r="F2315" s="30"/>
      <c r="G2315" s="7">
        <f t="shared" si="678"/>
        <v>1</v>
      </c>
      <c r="H2315" s="58">
        <v>46027</v>
      </c>
      <c r="I2315" s="16"/>
      <c r="J2315" s="11"/>
      <c r="K2315" s="12"/>
      <c r="L2315" s="12"/>
      <c r="M2315" s="12"/>
      <c r="N2315" s="31"/>
      <c r="O2315" s="7">
        <f t="shared" si="679"/>
        <v>0</v>
      </c>
    </row>
    <row r="2316" spans="1:15" x14ac:dyDescent="0.15">
      <c r="A2316" s="14" t="s">
        <v>29</v>
      </c>
      <c r="B2316" s="8"/>
      <c r="C2316" s="10"/>
      <c r="D2316" s="10">
        <v>1</v>
      </c>
      <c r="E2316" s="10"/>
      <c r="F2316" s="30"/>
      <c r="G2316" s="7">
        <f t="shared" si="678"/>
        <v>1</v>
      </c>
      <c r="H2316" s="58">
        <v>46031</v>
      </c>
      <c r="I2316" s="16"/>
      <c r="J2316" s="11"/>
      <c r="K2316" s="12"/>
      <c r="L2316" s="12"/>
      <c r="M2316" s="12"/>
      <c r="N2316" s="31"/>
      <c r="O2316" s="7">
        <f t="shared" si="679"/>
        <v>0</v>
      </c>
    </row>
    <row r="2317" spans="1:15" x14ac:dyDescent="0.15">
      <c r="A2317" s="14" t="s">
        <v>29</v>
      </c>
      <c r="B2317" s="8"/>
      <c r="C2317" s="10">
        <v>1</v>
      </c>
      <c r="D2317" s="10"/>
      <c r="E2317" s="10">
        <v>1</v>
      </c>
      <c r="F2317" s="30"/>
      <c r="G2317" s="7">
        <f t="shared" si="678"/>
        <v>2</v>
      </c>
      <c r="H2317" s="58">
        <v>46035</v>
      </c>
      <c r="I2317" s="16"/>
      <c r="J2317" s="11"/>
      <c r="K2317" s="12"/>
      <c r="L2317" s="12"/>
      <c r="M2317" s="12"/>
      <c r="N2317" s="31"/>
      <c r="O2317" s="7">
        <f t="shared" si="679"/>
        <v>0</v>
      </c>
    </row>
    <row r="2318" spans="1:15" x14ac:dyDescent="0.15">
      <c r="A2318" s="14" t="s">
        <v>29</v>
      </c>
      <c r="B2318" s="8"/>
      <c r="C2318" s="10">
        <v>1</v>
      </c>
      <c r="D2318" s="10"/>
      <c r="E2318" s="10"/>
      <c r="F2318" s="30"/>
      <c r="G2318" s="7">
        <f t="shared" si="678"/>
        <v>1</v>
      </c>
      <c r="H2318" s="58">
        <v>46037</v>
      </c>
      <c r="I2318" s="16"/>
      <c r="J2318" s="11"/>
      <c r="K2318" s="12"/>
      <c r="L2318" s="12"/>
      <c r="M2318" s="12"/>
      <c r="N2318" s="31"/>
      <c r="O2318" s="7">
        <f t="shared" si="679"/>
        <v>0</v>
      </c>
    </row>
    <row r="2319" spans="1:15" ht="14.25" thickBot="1" x14ac:dyDescent="0.2">
      <c r="A2319" s="14" t="s">
        <v>29</v>
      </c>
      <c r="B2319" s="8"/>
      <c r="C2319" s="10">
        <v>1</v>
      </c>
      <c r="D2319" s="10"/>
      <c r="E2319" s="10"/>
      <c r="F2319" s="30"/>
      <c r="G2319" s="7">
        <f t="shared" si="678"/>
        <v>1</v>
      </c>
      <c r="H2319" s="57">
        <v>46050</v>
      </c>
      <c r="I2319" s="16"/>
      <c r="J2319" s="11"/>
      <c r="K2319" s="12"/>
      <c r="L2319" s="12"/>
      <c r="M2319" s="12"/>
      <c r="N2319" s="31"/>
      <c r="O2319" s="7">
        <f t="shared" si="679"/>
        <v>0</v>
      </c>
    </row>
    <row r="2320" spans="1:15" ht="14.25" thickBot="1" x14ac:dyDescent="0.2">
      <c r="A2320" s="3" t="s">
        <v>11</v>
      </c>
      <c r="B2320" s="23">
        <f>SUM(B2294:B2319)</f>
        <v>4</v>
      </c>
      <c r="C2320" s="4">
        <f>SUM(C2294:C2319)</f>
        <v>11</v>
      </c>
      <c r="D2320" s="4">
        <f>SUM(D2294:D2319)</f>
        <v>8</v>
      </c>
      <c r="E2320" s="6">
        <f>SUM(E2294:E2319)</f>
        <v>6</v>
      </c>
      <c r="F2320" s="32">
        <f>SUM(F2294:F2319)</f>
        <v>2</v>
      </c>
      <c r="G2320" s="5">
        <f>SUM(B2320:F2320)</f>
        <v>31</v>
      </c>
      <c r="I2320" s="3" t="s">
        <v>11</v>
      </c>
      <c r="J2320" s="23">
        <f>SUM(J2294:J2319)</f>
        <v>10</v>
      </c>
      <c r="K2320" s="4">
        <f>SUM(K2294:K2319)</f>
        <v>8</v>
      </c>
      <c r="L2320" s="4">
        <f>SUM(L2294:L2319)</f>
        <v>8</v>
      </c>
      <c r="M2320" s="6">
        <f>SUM(M2294:M2319)</f>
        <v>8</v>
      </c>
      <c r="N2320" s="6">
        <f>SUM(N2294:N2319)</f>
        <v>0</v>
      </c>
      <c r="O2320" s="5">
        <f>SUM(J2320:N2320)</f>
        <v>34</v>
      </c>
    </row>
    <row r="2321" spans="1:15" ht="14.25" thickBot="1" x14ac:dyDescent="0.2">
      <c r="A2321" s="25" t="s">
        <v>12</v>
      </c>
      <c r="B2321" s="63">
        <f>B2293-B2320</f>
        <v>13</v>
      </c>
      <c r="C2321" s="26">
        <f t="shared" ref="C2321:G2321" si="680">C2293-C2320</f>
        <v>4</v>
      </c>
      <c r="D2321" s="71">
        <f t="shared" si="680"/>
        <v>4</v>
      </c>
      <c r="E2321" s="26">
        <f t="shared" si="680"/>
        <v>6</v>
      </c>
      <c r="F2321" s="70">
        <f t="shared" si="680"/>
        <v>4</v>
      </c>
      <c r="G2321" s="27">
        <f t="shared" si="680"/>
        <v>31</v>
      </c>
      <c r="I2321" s="25" t="s">
        <v>12</v>
      </c>
      <c r="J2321" s="63">
        <f>J2293-J2320</f>
        <v>68</v>
      </c>
      <c r="K2321" s="26">
        <f t="shared" ref="K2321:O2321" si="681">K2293-K2320</f>
        <v>68</v>
      </c>
      <c r="L2321" s="71">
        <f t="shared" si="681"/>
        <v>65</v>
      </c>
      <c r="M2321" s="26">
        <f t="shared" si="681"/>
        <v>72</v>
      </c>
      <c r="N2321" s="70">
        <f t="shared" si="681"/>
        <v>99</v>
      </c>
      <c r="O2321" s="27">
        <f t="shared" si="681"/>
        <v>372</v>
      </c>
    </row>
    <row r="2322" spans="1:15" ht="21" x14ac:dyDescent="0.2">
      <c r="A2322" s="82" t="s">
        <v>55</v>
      </c>
      <c r="B2322" s="80"/>
      <c r="C2322" s="80"/>
      <c r="D2322" s="80"/>
      <c r="E2322" s="81" t="s">
        <v>53</v>
      </c>
      <c r="F2322" s="80"/>
      <c r="G2322" s="80"/>
      <c r="J2322" s="227">
        <f>J2321+B2321</f>
        <v>81</v>
      </c>
      <c r="K2322" s="227">
        <f t="shared" ref="K2322:O2322" si="682">K2321+C2321</f>
        <v>72</v>
      </c>
      <c r="L2322" s="227">
        <f t="shared" si="682"/>
        <v>69</v>
      </c>
      <c r="M2322" s="227">
        <f t="shared" si="682"/>
        <v>78</v>
      </c>
      <c r="N2322" s="227">
        <f t="shared" si="682"/>
        <v>103</v>
      </c>
      <c r="O2322" s="227">
        <f t="shared" si="682"/>
        <v>403</v>
      </c>
    </row>
    <row r="2323" spans="1:15" ht="14.25" thickBot="1" x14ac:dyDescent="0.2">
      <c r="J2323" s="211"/>
      <c r="K2323" s="211"/>
      <c r="L2323" s="211"/>
      <c r="M2323" s="211"/>
      <c r="N2323" s="211"/>
      <c r="O2323" s="211"/>
    </row>
    <row r="2324" spans="1:15" ht="14.25" thickBot="1" x14ac:dyDescent="0.2">
      <c r="A2324" s="13" t="s">
        <v>0</v>
      </c>
      <c r="B2324" s="228" t="s">
        <v>57</v>
      </c>
      <c r="C2324" s="229"/>
      <c r="D2324" s="229"/>
      <c r="E2324" s="229"/>
      <c r="F2324" s="230"/>
      <c r="G2324" s="231"/>
      <c r="I2324" s="13" t="s">
        <v>0</v>
      </c>
      <c r="J2324" s="232" t="s">
        <v>57</v>
      </c>
      <c r="K2324" s="233"/>
      <c r="L2324" s="233"/>
      <c r="M2324" s="233"/>
      <c r="N2324" s="233"/>
      <c r="O2324" s="234"/>
    </row>
    <row r="2325" spans="1:15" ht="14.25" thickBot="1" x14ac:dyDescent="0.2">
      <c r="A2325" s="3" t="s">
        <v>1</v>
      </c>
      <c r="B2325" s="2" t="s">
        <v>42</v>
      </c>
      <c r="C2325" s="21" t="s">
        <v>43</v>
      </c>
      <c r="D2325" s="21" t="s">
        <v>44</v>
      </c>
      <c r="E2325" s="24" t="s">
        <v>45</v>
      </c>
      <c r="F2325" s="33" t="s">
        <v>46</v>
      </c>
      <c r="G2325" s="3" t="s">
        <v>2</v>
      </c>
      <c r="I2325" s="3" t="s">
        <v>1</v>
      </c>
      <c r="J2325" s="2" t="s">
        <v>42</v>
      </c>
      <c r="K2325" s="21" t="s">
        <v>43</v>
      </c>
      <c r="L2325" s="21" t="s">
        <v>44</v>
      </c>
      <c r="M2325" s="24" t="s">
        <v>45</v>
      </c>
      <c r="N2325" s="33" t="s">
        <v>46</v>
      </c>
      <c r="O2325" s="3" t="s">
        <v>2</v>
      </c>
    </row>
    <row r="2326" spans="1:15" ht="14.25" thickBot="1" x14ac:dyDescent="0.2">
      <c r="A2326" s="72" t="s">
        <v>79</v>
      </c>
      <c r="B2326" s="73">
        <f>B2321</f>
        <v>13</v>
      </c>
      <c r="C2326" s="74">
        <f t="shared" ref="C2326:F2326" si="683">C2321</f>
        <v>4</v>
      </c>
      <c r="D2326" s="107">
        <f t="shared" si="683"/>
        <v>4</v>
      </c>
      <c r="E2326" s="75">
        <f t="shared" si="683"/>
        <v>6</v>
      </c>
      <c r="F2326" s="75">
        <f t="shared" si="683"/>
        <v>4</v>
      </c>
      <c r="G2326" s="76">
        <f t="shared" ref="G2326:G2335" si="684">SUM(B2326:F2326)</f>
        <v>31</v>
      </c>
      <c r="I2326" s="72" t="s">
        <v>79</v>
      </c>
      <c r="J2326" s="73">
        <f>J2321</f>
        <v>68</v>
      </c>
      <c r="K2326" s="74">
        <f t="shared" ref="K2326:N2326" si="685">K2321</f>
        <v>68</v>
      </c>
      <c r="L2326" s="107">
        <f t="shared" si="685"/>
        <v>65</v>
      </c>
      <c r="M2326" s="75">
        <f t="shared" si="685"/>
        <v>72</v>
      </c>
      <c r="N2326" s="75">
        <f t="shared" si="685"/>
        <v>99</v>
      </c>
      <c r="O2326" s="76">
        <f t="shared" ref="O2326:O2335" si="686">SUM(J2326:N2326)</f>
        <v>372</v>
      </c>
    </row>
    <row r="2327" spans="1:15" x14ac:dyDescent="0.15">
      <c r="A2327" s="38" t="s">
        <v>15</v>
      </c>
      <c r="B2327" s="11"/>
      <c r="C2327" s="100">
        <v>3</v>
      </c>
      <c r="D2327" s="100">
        <v>3</v>
      </c>
      <c r="E2327" s="100"/>
      <c r="F2327" s="101"/>
      <c r="G2327" s="102">
        <f t="shared" si="684"/>
        <v>6</v>
      </c>
      <c r="H2327" s="58">
        <v>46060</v>
      </c>
      <c r="I2327" s="15" t="s">
        <v>15</v>
      </c>
      <c r="J2327" s="8"/>
      <c r="K2327" s="10"/>
      <c r="L2327" s="10"/>
      <c r="M2327" s="10"/>
      <c r="N2327" s="30"/>
      <c r="O2327" s="7">
        <f t="shared" si="686"/>
        <v>0</v>
      </c>
    </row>
    <row r="2328" spans="1:15" x14ac:dyDescent="0.15">
      <c r="A2328" s="195" t="s">
        <v>16</v>
      </c>
      <c r="B2328" s="166"/>
      <c r="C2328" s="224"/>
      <c r="D2328" s="224">
        <v>3</v>
      </c>
      <c r="E2328" s="224"/>
      <c r="F2328" s="225"/>
      <c r="G2328" s="226">
        <f t="shared" si="684"/>
        <v>3</v>
      </c>
      <c r="H2328" s="162">
        <v>46070</v>
      </c>
      <c r="I2328" s="15" t="s">
        <v>16</v>
      </c>
      <c r="J2328" s="8"/>
      <c r="K2328" s="10"/>
      <c r="L2328" s="10"/>
      <c r="M2328" s="10"/>
      <c r="N2328" s="30"/>
      <c r="O2328" s="7">
        <f t="shared" si="686"/>
        <v>0</v>
      </c>
    </row>
    <row r="2329" spans="1:15" x14ac:dyDescent="0.15">
      <c r="A2329" s="195" t="s">
        <v>18</v>
      </c>
      <c r="B2329" s="166"/>
      <c r="C2329" s="224"/>
      <c r="D2329" s="224">
        <v>5</v>
      </c>
      <c r="E2329" s="224"/>
      <c r="F2329" s="225"/>
      <c r="G2329" s="226">
        <f t="shared" si="684"/>
        <v>5</v>
      </c>
      <c r="H2329" s="162">
        <v>46078</v>
      </c>
      <c r="I2329" s="15" t="s">
        <v>18</v>
      </c>
      <c r="J2329" s="8"/>
      <c r="K2329" s="10"/>
      <c r="L2329" s="10"/>
      <c r="M2329" s="10"/>
      <c r="N2329" s="30"/>
      <c r="O2329" s="7">
        <f t="shared" si="686"/>
        <v>0</v>
      </c>
    </row>
    <row r="2330" spans="1:15" x14ac:dyDescent="0.15">
      <c r="A2330" s="195" t="s">
        <v>20</v>
      </c>
      <c r="B2330" s="166"/>
      <c r="C2330" s="224"/>
      <c r="D2330" s="224"/>
      <c r="E2330" s="224"/>
      <c r="F2330" s="225">
        <v>3</v>
      </c>
      <c r="G2330" s="226">
        <f t="shared" si="684"/>
        <v>3</v>
      </c>
      <c r="H2330" s="162">
        <v>46113</v>
      </c>
      <c r="I2330" s="15" t="s">
        <v>20</v>
      </c>
      <c r="J2330" s="8"/>
      <c r="K2330" s="10"/>
      <c r="L2330" s="10"/>
      <c r="M2330" s="10"/>
      <c r="N2330" s="30"/>
      <c r="O2330" s="7">
        <f t="shared" si="686"/>
        <v>0</v>
      </c>
    </row>
    <row r="2331" spans="1:15" x14ac:dyDescent="0.15">
      <c r="A2331" s="195" t="s">
        <v>80</v>
      </c>
      <c r="B2331" s="166"/>
      <c r="C2331" s="224"/>
      <c r="D2331" s="224">
        <v>5</v>
      </c>
      <c r="E2331" s="224"/>
      <c r="F2331" s="225"/>
      <c r="G2331" s="226">
        <f t="shared" si="684"/>
        <v>5</v>
      </c>
      <c r="H2331" s="162">
        <v>46119</v>
      </c>
      <c r="I2331" s="15" t="s">
        <v>80</v>
      </c>
      <c r="J2331" s="8"/>
      <c r="K2331" s="10"/>
      <c r="L2331" s="10"/>
      <c r="M2331" s="10"/>
      <c r="N2331" s="30"/>
      <c r="O2331" s="7">
        <f t="shared" si="686"/>
        <v>0</v>
      </c>
    </row>
    <row r="2332" spans="1:15" x14ac:dyDescent="0.15">
      <c r="A2332" s="195" t="s">
        <v>81</v>
      </c>
      <c r="B2332" s="166"/>
      <c r="C2332" s="224"/>
      <c r="D2332" s="224"/>
      <c r="E2332" s="224">
        <v>3</v>
      </c>
      <c r="F2332" s="225"/>
      <c r="G2332" s="226">
        <f t="shared" si="684"/>
        <v>3</v>
      </c>
      <c r="H2332" s="162">
        <v>46140</v>
      </c>
      <c r="I2332" s="15" t="s">
        <v>81</v>
      </c>
      <c r="J2332" s="8"/>
      <c r="K2332" s="10"/>
      <c r="L2332" s="10"/>
      <c r="M2332" s="10"/>
      <c r="N2332" s="30"/>
      <c r="O2332" s="7">
        <f t="shared" si="686"/>
        <v>0</v>
      </c>
    </row>
    <row r="2333" spans="1:15" x14ac:dyDescent="0.15">
      <c r="A2333" s="38" t="s">
        <v>17</v>
      </c>
      <c r="B2333" s="11"/>
      <c r="C2333" s="100">
        <v>5</v>
      </c>
      <c r="D2333" s="100">
        <v>3</v>
      </c>
      <c r="E2333" s="100">
        <v>1</v>
      </c>
      <c r="F2333" s="101">
        <v>4</v>
      </c>
      <c r="G2333" s="102">
        <f t="shared" si="684"/>
        <v>13</v>
      </c>
      <c r="H2333" s="58">
        <v>46154</v>
      </c>
      <c r="I2333" s="15" t="s">
        <v>82</v>
      </c>
      <c r="J2333" s="8"/>
      <c r="K2333" s="10"/>
      <c r="L2333" s="10"/>
      <c r="M2333" s="10"/>
      <c r="N2333" s="30"/>
      <c r="O2333" s="7">
        <f t="shared" si="686"/>
        <v>0</v>
      </c>
    </row>
    <row r="2334" spans="1:15" x14ac:dyDescent="0.15">
      <c r="A2334" s="38" t="s">
        <v>83</v>
      </c>
      <c r="B2334" s="11"/>
      <c r="C2334" s="100"/>
      <c r="D2334" s="100"/>
      <c r="E2334" s="100"/>
      <c r="F2334" s="101"/>
      <c r="G2334" s="102">
        <f t="shared" si="684"/>
        <v>0</v>
      </c>
      <c r="H2334" s="58"/>
      <c r="I2334" s="15" t="s">
        <v>83</v>
      </c>
      <c r="J2334" s="8"/>
      <c r="K2334" s="10"/>
      <c r="L2334" s="10"/>
      <c r="M2334" s="10"/>
      <c r="N2334" s="30"/>
      <c r="O2334" s="7">
        <f t="shared" si="686"/>
        <v>0</v>
      </c>
    </row>
    <row r="2335" spans="1:15" ht="14.25" thickBot="1" x14ac:dyDescent="0.2">
      <c r="A2335" s="38" t="s">
        <v>159</v>
      </c>
      <c r="B2335" s="11"/>
      <c r="C2335" s="100"/>
      <c r="D2335" s="100"/>
      <c r="E2335" s="100"/>
      <c r="F2335" s="101"/>
      <c r="G2335" s="102">
        <f t="shared" si="684"/>
        <v>0</v>
      </c>
      <c r="H2335" s="57"/>
      <c r="I2335" s="15" t="s">
        <v>87</v>
      </c>
      <c r="J2335" s="11"/>
      <c r="K2335" s="100"/>
      <c r="L2335" s="100"/>
      <c r="M2335" s="100"/>
      <c r="N2335" s="101"/>
      <c r="O2335" s="102">
        <f t="shared" si="686"/>
        <v>0</v>
      </c>
    </row>
    <row r="2336" spans="1:15" ht="14.25" thickBot="1" x14ac:dyDescent="0.2">
      <c r="A2336" s="72" t="s">
        <v>7</v>
      </c>
      <c r="B2336" s="73">
        <f>SUM(B2326:B2335)</f>
        <v>13</v>
      </c>
      <c r="C2336" s="74">
        <f t="shared" ref="C2336:G2336" si="687">SUM(C2326:C2335)</f>
        <v>12</v>
      </c>
      <c r="D2336" s="74">
        <f t="shared" si="687"/>
        <v>23</v>
      </c>
      <c r="E2336" s="74">
        <f t="shared" si="687"/>
        <v>10</v>
      </c>
      <c r="F2336" s="105">
        <f t="shared" si="687"/>
        <v>11</v>
      </c>
      <c r="G2336" s="76">
        <f t="shared" si="687"/>
        <v>69</v>
      </c>
      <c r="I2336" s="72" t="s">
        <v>7</v>
      </c>
      <c r="J2336" s="73">
        <f>SUM(J2326:J2335)</f>
        <v>68</v>
      </c>
      <c r="K2336" s="74">
        <f t="shared" ref="K2336:O2336" si="688">SUM(K2326:K2335)</f>
        <v>68</v>
      </c>
      <c r="L2336" s="74">
        <f t="shared" si="688"/>
        <v>65</v>
      </c>
      <c r="M2336" s="74">
        <f t="shared" si="688"/>
        <v>72</v>
      </c>
      <c r="N2336" s="105">
        <f t="shared" si="688"/>
        <v>99</v>
      </c>
      <c r="O2336" s="76">
        <f t="shared" si="688"/>
        <v>372</v>
      </c>
    </row>
    <row r="2337" spans="1:18" x14ac:dyDescent="0.15">
      <c r="A2337" s="14" t="s">
        <v>29</v>
      </c>
      <c r="B2337" s="8"/>
      <c r="C2337" s="10">
        <v>1</v>
      </c>
      <c r="D2337" s="10"/>
      <c r="E2337" s="10"/>
      <c r="F2337" s="30"/>
      <c r="G2337" s="7">
        <f t="shared" ref="G2337:G2362" si="689">SUM(B2337:F2337)</f>
        <v>1</v>
      </c>
      <c r="H2337" s="58">
        <v>46052</v>
      </c>
      <c r="I2337" s="16" t="s">
        <v>1651</v>
      </c>
      <c r="J2337" s="11"/>
      <c r="K2337" s="12">
        <v>3</v>
      </c>
      <c r="L2337" s="12">
        <v>3</v>
      </c>
      <c r="M2337" s="12"/>
      <c r="N2337" s="31"/>
      <c r="O2337" s="7">
        <f t="shared" ref="O2337:O2344" si="690">SUM(J2337:N2337)</f>
        <v>6</v>
      </c>
      <c r="P2337" s="57">
        <v>46060</v>
      </c>
    </row>
    <row r="2338" spans="1:18" x14ac:dyDescent="0.15">
      <c r="A2338" s="14" t="s">
        <v>29</v>
      </c>
      <c r="B2338" s="8">
        <v>1</v>
      </c>
      <c r="C2338" s="10"/>
      <c r="D2338" s="10"/>
      <c r="E2338" s="10"/>
      <c r="F2338" s="30"/>
      <c r="G2338" s="7">
        <f t="shared" si="689"/>
        <v>1</v>
      </c>
      <c r="H2338" s="58">
        <v>46053</v>
      </c>
      <c r="I2338" s="194" t="s">
        <v>1652</v>
      </c>
      <c r="J2338" s="166"/>
      <c r="K2338" s="167"/>
      <c r="L2338" s="167">
        <v>3</v>
      </c>
      <c r="M2338" s="167"/>
      <c r="N2338" s="168"/>
      <c r="O2338" s="161">
        <f t="shared" si="690"/>
        <v>3</v>
      </c>
      <c r="P2338" s="162">
        <v>46070</v>
      </c>
    </row>
    <row r="2339" spans="1:18" x14ac:dyDescent="0.15">
      <c r="A2339" s="14" t="s">
        <v>1650</v>
      </c>
      <c r="B2339" s="8"/>
      <c r="C2339" s="10"/>
      <c r="D2339" s="10"/>
      <c r="E2339" s="10"/>
      <c r="F2339" s="30">
        <v>1</v>
      </c>
      <c r="G2339" s="7">
        <f t="shared" si="689"/>
        <v>1</v>
      </c>
      <c r="H2339" s="58">
        <v>46060</v>
      </c>
      <c r="I2339" s="16" t="s">
        <v>1652</v>
      </c>
      <c r="J2339" s="11"/>
      <c r="K2339" s="12"/>
      <c r="L2339" s="12">
        <v>5</v>
      </c>
      <c r="M2339" s="12"/>
      <c r="N2339" s="31"/>
      <c r="O2339" s="7">
        <f t="shared" si="690"/>
        <v>5</v>
      </c>
      <c r="P2339" s="58">
        <v>46078</v>
      </c>
      <c r="Q2339" s="56"/>
    </row>
    <row r="2340" spans="1:18" x14ac:dyDescent="0.15">
      <c r="A2340" s="14" t="s">
        <v>29</v>
      </c>
      <c r="B2340" s="8"/>
      <c r="C2340" s="10"/>
      <c r="D2340" s="10">
        <v>2</v>
      </c>
      <c r="E2340" s="10"/>
      <c r="F2340" s="30"/>
      <c r="G2340" s="7">
        <f t="shared" si="689"/>
        <v>2</v>
      </c>
      <c r="H2340" s="58">
        <v>46059</v>
      </c>
      <c r="I2340" s="16" t="s">
        <v>1652</v>
      </c>
      <c r="J2340" s="11"/>
      <c r="K2340" s="12"/>
      <c r="L2340" s="12"/>
      <c r="M2340" s="12"/>
      <c r="N2340" s="31">
        <v>3</v>
      </c>
      <c r="O2340" s="7">
        <f t="shared" si="690"/>
        <v>3</v>
      </c>
      <c r="P2340" s="58">
        <v>46113</v>
      </c>
      <c r="Q2340" s="56"/>
    </row>
    <row r="2341" spans="1:18" x14ac:dyDescent="0.15">
      <c r="A2341" s="14" t="s">
        <v>29</v>
      </c>
      <c r="B2341" s="8">
        <v>1</v>
      </c>
      <c r="C2341" s="10">
        <v>1</v>
      </c>
      <c r="D2341" s="10">
        <v>2</v>
      </c>
      <c r="E2341" s="10"/>
      <c r="F2341" s="30"/>
      <c r="G2341" s="7">
        <f t="shared" si="689"/>
        <v>4</v>
      </c>
      <c r="H2341" s="58">
        <v>46062</v>
      </c>
      <c r="I2341" s="16" t="s">
        <v>1652</v>
      </c>
      <c r="J2341" s="11"/>
      <c r="K2341" s="12"/>
      <c r="L2341" s="12">
        <v>5</v>
      </c>
      <c r="M2341" s="12"/>
      <c r="N2341" s="31"/>
      <c r="O2341" s="7">
        <f t="shared" si="690"/>
        <v>5</v>
      </c>
      <c r="P2341" s="58">
        <v>46119</v>
      </c>
      <c r="Q2341" s="56"/>
    </row>
    <row r="2342" spans="1:18" x14ac:dyDescent="0.15">
      <c r="A2342" s="14" t="s">
        <v>29</v>
      </c>
      <c r="B2342" s="8"/>
      <c r="C2342" s="10"/>
      <c r="D2342" s="10">
        <v>1</v>
      </c>
      <c r="E2342" s="10"/>
      <c r="F2342" s="30"/>
      <c r="G2342" s="7">
        <f t="shared" si="689"/>
        <v>1</v>
      </c>
      <c r="H2342" s="58">
        <v>46066</v>
      </c>
      <c r="I2342" s="16" t="s">
        <v>1662</v>
      </c>
      <c r="J2342" s="11">
        <v>1</v>
      </c>
      <c r="K2342" s="12">
        <v>1</v>
      </c>
      <c r="L2342" s="12">
        <v>1</v>
      </c>
      <c r="M2342" s="12">
        <v>1</v>
      </c>
      <c r="N2342" s="31">
        <v>1</v>
      </c>
      <c r="O2342" s="7">
        <f t="shared" si="690"/>
        <v>5</v>
      </c>
      <c r="P2342" s="58">
        <v>46125</v>
      </c>
      <c r="Q2342" s="56"/>
      <c r="R2342" s="56"/>
    </row>
    <row r="2343" spans="1:18" x14ac:dyDescent="0.15">
      <c r="A2343" s="14" t="s">
        <v>29</v>
      </c>
      <c r="B2343" s="8"/>
      <c r="C2343" s="10"/>
      <c r="D2343" s="10">
        <v>1</v>
      </c>
      <c r="E2343" s="10"/>
      <c r="F2343" s="30"/>
      <c r="G2343" s="7">
        <f t="shared" si="689"/>
        <v>1</v>
      </c>
      <c r="H2343" s="58">
        <v>46069</v>
      </c>
      <c r="I2343" s="16" t="s">
        <v>25</v>
      </c>
      <c r="J2343" s="11"/>
      <c r="K2343" s="12"/>
      <c r="L2343" s="12">
        <v>8</v>
      </c>
      <c r="M2343" s="12"/>
      <c r="N2343" s="31">
        <v>14</v>
      </c>
      <c r="O2343" s="7">
        <f t="shared" si="690"/>
        <v>22</v>
      </c>
      <c r="P2343" s="58">
        <v>46127</v>
      </c>
      <c r="Q2343" s="56"/>
      <c r="R2343" s="56"/>
    </row>
    <row r="2344" spans="1:18" x14ac:dyDescent="0.15">
      <c r="A2344" s="14" t="s">
        <v>29</v>
      </c>
      <c r="B2344" s="8"/>
      <c r="C2344" s="10">
        <v>1</v>
      </c>
      <c r="D2344" s="10"/>
      <c r="E2344" s="10"/>
      <c r="F2344" s="30"/>
      <c r="G2344" s="7">
        <f t="shared" si="689"/>
        <v>1</v>
      </c>
      <c r="H2344" s="58">
        <v>46073</v>
      </c>
      <c r="I2344" s="16" t="s">
        <v>25</v>
      </c>
      <c r="J2344" s="11"/>
      <c r="K2344" s="12">
        <v>8</v>
      </c>
      <c r="L2344" s="12"/>
      <c r="M2344" s="12"/>
      <c r="N2344" s="31">
        <v>4</v>
      </c>
      <c r="O2344" s="7">
        <f t="shared" si="690"/>
        <v>12</v>
      </c>
      <c r="P2344" s="58">
        <v>46128</v>
      </c>
      <c r="Q2344" s="56"/>
    </row>
    <row r="2345" spans="1:18" x14ac:dyDescent="0.15">
      <c r="A2345" s="14" t="s">
        <v>29</v>
      </c>
      <c r="B2345" s="8"/>
      <c r="C2345" s="10"/>
      <c r="D2345" s="10">
        <v>4</v>
      </c>
      <c r="E2345" s="10"/>
      <c r="F2345" s="30"/>
      <c r="G2345" s="7">
        <f t="shared" si="689"/>
        <v>4</v>
      </c>
      <c r="H2345" s="58">
        <v>46077</v>
      </c>
      <c r="I2345" s="16" t="s">
        <v>25</v>
      </c>
      <c r="J2345" s="11">
        <v>1</v>
      </c>
      <c r="K2345" s="12">
        <v>1</v>
      </c>
      <c r="L2345" s="12"/>
      <c r="M2345" s="12">
        <v>6</v>
      </c>
      <c r="N2345" s="31"/>
      <c r="O2345" s="7">
        <f t="shared" ref="O2345:O2361" si="691">SUM(J2345:N2345)</f>
        <v>8</v>
      </c>
      <c r="P2345" s="58">
        <v>46129</v>
      </c>
      <c r="Q2345" s="56"/>
    </row>
    <row r="2346" spans="1:18" x14ac:dyDescent="0.15">
      <c r="A2346" s="14" t="s">
        <v>29</v>
      </c>
      <c r="B2346" s="8"/>
      <c r="C2346" s="10"/>
      <c r="D2346" s="10"/>
      <c r="E2346" s="10">
        <v>1</v>
      </c>
      <c r="F2346" s="30"/>
      <c r="G2346" s="7">
        <f t="shared" si="689"/>
        <v>1</v>
      </c>
      <c r="H2346" s="58">
        <v>46090</v>
      </c>
      <c r="I2346" s="16" t="s">
        <v>25</v>
      </c>
      <c r="J2346" s="11">
        <v>3</v>
      </c>
      <c r="K2346" s="12">
        <v>3</v>
      </c>
      <c r="L2346" s="12">
        <v>1</v>
      </c>
      <c r="M2346" s="12">
        <v>6</v>
      </c>
      <c r="N2346" s="31"/>
      <c r="O2346" s="7">
        <f t="shared" si="691"/>
        <v>13</v>
      </c>
      <c r="P2346" s="58">
        <v>46129</v>
      </c>
      <c r="Q2346" s="56"/>
    </row>
    <row r="2347" spans="1:18" x14ac:dyDescent="0.15">
      <c r="A2347" s="14" t="s">
        <v>29</v>
      </c>
      <c r="B2347" s="8"/>
      <c r="C2347" s="10">
        <v>1</v>
      </c>
      <c r="D2347" s="10">
        <v>1</v>
      </c>
      <c r="E2347" s="10"/>
      <c r="F2347" s="30"/>
      <c r="G2347" s="7">
        <f t="shared" si="689"/>
        <v>2</v>
      </c>
      <c r="H2347" s="58">
        <v>46092</v>
      </c>
      <c r="I2347" s="16" t="s">
        <v>25</v>
      </c>
      <c r="J2347" s="11"/>
      <c r="K2347" s="12">
        <v>4</v>
      </c>
      <c r="L2347" s="12"/>
      <c r="M2347" s="12">
        <v>4</v>
      </c>
      <c r="N2347" s="31">
        <v>2</v>
      </c>
      <c r="O2347" s="7">
        <f t="shared" si="691"/>
        <v>10</v>
      </c>
      <c r="P2347" s="58">
        <v>46132</v>
      </c>
    </row>
    <row r="2348" spans="1:18" x14ac:dyDescent="0.15">
      <c r="A2348" s="14" t="s">
        <v>29</v>
      </c>
      <c r="B2348" s="8">
        <v>2</v>
      </c>
      <c r="C2348" s="10"/>
      <c r="D2348" s="10">
        <v>1</v>
      </c>
      <c r="E2348" s="10"/>
      <c r="F2348" s="30">
        <v>1</v>
      </c>
      <c r="G2348" s="7">
        <f t="shared" si="689"/>
        <v>4</v>
      </c>
      <c r="H2348" s="58">
        <v>46104</v>
      </c>
      <c r="I2348" s="16" t="s">
        <v>25</v>
      </c>
      <c r="J2348" s="11"/>
      <c r="K2348" s="12">
        <v>6</v>
      </c>
      <c r="L2348" s="12">
        <v>6</v>
      </c>
      <c r="M2348" s="12"/>
      <c r="N2348" s="31">
        <v>1</v>
      </c>
      <c r="O2348" s="7">
        <f t="shared" si="691"/>
        <v>13</v>
      </c>
      <c r="P2348" s="58">
        <v>46134</v>
      </c>
      <c r="Q2348" s="56"/>
    </row>
    <row r="2349" spans="1:18" x14ac:dyDescent="0.15">
      <c r="A2349" s="14" t="s">
        <v>29</v>
      </c>
      <c r="B2349" s="8"/>
      <c r="C2349" s="10"/>
      <c r="D2349" s="10">
        <v>1</v>
      </c>
      <c r="E2349" s="10"/>
      <c r="F2349" s="30"/>
      <c r="G2349" s="7">
        <f t="shared" si="689"/>
        <v>1</v>
      </c>
      <c r="H2349" s="58">
        <v>46105</v>
      </c>
      <c r="I2349" s="16" t="s">
        <v>25</v>
      </c>
      <c r="J2349" s="11"/>
      <c r="K2349" s="12">
        <v>1</v>
      </c>
      <c r="L2349" s="12"/>
      <c r="M2349" s="12"/>
      <c r="N2349" s="31"/>
      <c r="O2349" s="7">
        <f t="shared" si="691"/>
        <v>1</v>
      </c>
      <c r="P2349" s="58">
        <v>46135</v>
      </c>
    </row>
    <row r="2350" spans="1:18" x14ac:dyDescent="0.15">
      <c r="A2350" s="14" t="s">
        <v>29</v>
      </c>
      <c r="B2350" s="8"/>
      <c r="C2350" s="10"/>
      <c r="D2350" s="10"/>
      <c r="E2350" s="10">
        <v>1</v>
      </c>
      <c r="F2350" s="30"/>
      <c r="G2350" s="7">
        <f t="shared" si="689"/>
        <v>1</v>
      </c>
      <c r="H2350" s="58">
        <v>46106</v>
      </c>
      <c r="I2350" s="16" t="s">
        <v>25</v>
      </c>
      <c r="J2350" s="11">
        <v>3</v>
      </c>
      <c r="K2350" s="12">
        <v>4</v>
      </c>
      <c r="L2350" s="12">
        <v>1</v>
      </c>
      <c r="M2350" s="12"/>
      <c r="N2350" s="31"/>
      <c r="O2350" s="7">
        <f t="shared" si="691"/>
        <v>8</v>
      </c>
      <c r="P2350" s="58">
        <v>46136</v>
      </c>
    </row>
    <row r="2351" spans="1:18" x14ac:dyDescent="0.15">
      <c r="A2351" s="14" t="s">
        <v>29</v>
      </c>
      <c r="B2351" s="8">
        <v>1</v>
      </c>
      <c r="C2351" s="10"/>
      <c r="D2351" s="10"/>
      <c r="E2351" s="10"/>
      <c r="F2351" s="30"/>
      <c r="G2351" s="7">
        <f t="shared" si="689"/>
        <v>1</v>
      </c>
      <c r="H2351" s="58">
        <v>46107</v>
      </c>
      <c r="I2351" s="16" t="s">
        <v>25</v>
      </c>
      <c r="J2351" s="11"/>
      <c r="K2351" s="12"/>
      <c r="L2351" s="12"/>
      <c r="M2351" s="12">
        <v>1</v>
      </c>
      <c r="N2351" s="31"/>
      <c r="O2351" s="7">
        <f t="shared" si="691"/>
        <v>1</v>
      </c>
      <c r="P2351" s="58">
        <v>46139</v>
      </c>
      <c r="Q2351" s="56"/>
    </row>
    <row r="2352" spans="1:18" x14ac:dyDescent="0.15">
      <c r="A2352" s="14" t="s">
        <v>29</v>
      </c>
      <c r="B2352" s="8">
        <v>1</v>
      </c>
      <c r="C2352" s="10"/>
      <c r="D2352" s="10"/>
      <c r="E2352" s="10"/>
      <c r="F2352" s="30"/>
      <c r="G2352" s="7">
        <f t="shared" si="689"/>
        <v>1</v>
      </c>
      <c r="H2352" s="58">
        <v>46108</v>
      </c>
      <c r="I2352" s="16" t="s">
        <v>25</v>
      </c>
      <c r="J2352" s="11">
        <v>1</v>
      </c>
      <c r="K2352" s="12"/>
      <c r="L2352" s="12">
        <v>2</v>
      </c>
      <c r="M2352" s="12"/>
      <c r="N2352" s="31"/>
      <c r="O2352" s="7">
        <f t="shared" si="691"/>
        <v>3</v>
      </c>
      <c r="P2352" s="58">
        <v>46140</v>
      </c>
      <c r="Q2352" s="56"/>
    </row>
    <row r="2353" spans="1:17" x14ac:dyDescent="0.15">
      <c r="A2353" s="14" t="s">
        <v>29</v>
      </c>
      <c r="B2353" s="8"/>
      <c r="C2353" s="10"/>
      <c r="D2353" s="10"/>
      <c r="E2353" s="10">
        <v>1</v>
      </c>
      <c r="F2353" s="30"/>
      <c r="G2353" s="7">
        <f t="shared" si="689"/>
        <v>1</v>
      </c>
      <c r="H2353" s="58">
        <v>46111</v>
      </c>
      <c r="I2353" s="194" t="s">
        <v>1652</v>
      </c>
      <c r="J2353" s="166"/>
      <c r="K2353" s="167"/>
      <c r="L2353" s="167"/>
      <c r="M2353" s="167">
        <v>3</v>
      </c>
      <c r="N2353" s="168"/>
      <c r="O2353" s="161">
        <f t="shared" si="691"/>
        <v>3</v>
      </c>
      <c r="P2353" s="162">
        <v>46140</v>
      </c>
    </row>
    <row r="2354" spans="1:17" x14ac:dyDescent="0.15">
      <c r="A2354" s="14" t="s">
        <v>29</v>
      </c>
      <c r="B2354" s="8"/>
      <c r="C2354" s="10"/>
      <c r="D2354" s="10"/>
      <c r="E2354" s="10"/>
      <c r="F2354" s="30">
        <v>2</v>
      </c>
      <c r="G2354" s="7">
        <f t="shared" si="689"/>
        <v>2</v>
      </c>
      <c r="H2354" s="58">
        <v>46112</v>
      </c>
      <c r="I2354" s="16" t="s">
        <v>25</v>
      </c>
      <c r="J2354" s="11"/>
      <c r="K2354" s="12"/>
      <c r="L2354" s="12">
        <v>3</v>
      </c>
      <c r="M2354" s="12">
        <v>2</v>
      </c>
      <c r="N2354" s="31"/>
      <c r="O2354" s="7">
        <f t="shared" si="691"/>
        <v>5</v>
      </c>
      <c r="P2354" s="58">
        <v>46142</v>
      </c>
      <c r="Q2354" s="56"/>
    </row>
    <row r="2355" spans="1:17" x14ac:dyDescent="0.15">
      <c r="A2355" s="14" t="s">
        <v>29</v>
      </c>
      <c r="B2355" s="8"/>
      <c r="C2355" s="10"/>
      <c r="D2355" s="10">
        <v>2</v>
      </c>
      <c r="E2355" s="10"/>
      <c r="F2355" s="30"/>
      <c r="G2355" s="7">
        <f t="shared" si="689"/>
        <v>2</v>
      </c>
      <c r="H2355" s="58">
        <v>46118</v>
      </c>
      <c r="I2355" s="16" t="s">
        <v>25</v>
      </c>
      <c r="J2355" s="11"/>
      <c r="K2355" s="12"/>
      <c r="L2355" s="12"/>
      <c r="M2355" s="12">
        <v>1</v>
      </c>
      <c r="N2355" s="31"/>
      <c r="O2355" s="7">
        <f t="shared" si="691"/>
        <v>1</v>
      </c>
      <c r="P2355" s="58">
        <v>46149</v>
      </c>
    </row>
    <row r="2356" spans="1:17" x14ac:dyDescent="0.15">
      <c r="A2356" s="14" t="s">
        <v>117</v>
      </c>
      <c r="B2356" s="8"/>
      <c r="C2356" s="10">
        <v>1</v>
      </c>
      <c r="D2356" s="10"/>
      <c r="E2356" s="10"/>
      <c r="F2356" s="30"/>
      <c r="G2356" s="7">
        <f t="shared" si="689"/>
        <v>1</v>
      </c>
      <c r="H2356" s="58">
        <v>46119</v>
      </c>
      <c r="I2356" s="16" t="s">
        <v>25</v>
      </c>
      <c r="J2356" s="11"/>
      <c r="K2356" s="12"/>
      <c r="L2356" s="12"/>
      <c r="M2356" s="12">
        <v>2</v>
      </c>
      <c r="N2356" s="31">
        <v>3</v>
      </c>
      <c r="O2356" s="7">
        <f t="shared" si="691"/>
        <v>5</v>
      </c>
      <c r="P2356" s="58">
        <v>46153</v>
      </c>
      <c r="Q2356" s="56"/>
    </row>
    <row r="2357" spans="1:17" x14ac:dyDescent="0.15">
      <c r="A2357" s="14" t="s">
        <v>29</v>
      </c>
      <c r="B2357" s="8"/>
      <c r="C2357" s="10"/>
      <c r="D2357" s="10">
        <v>1</v>
      </c>
      <c r="E2357" s="10"/>
      <c r="F2357" s="30"/>
      <c r="G2357" s="7">
        <f t="shared" si="689"/>
        <v>1</v>
      </c>
      <c r="H2357" s="58">
        <v>46126</v>
      </c>
      <c r="I2357" s="16"/>
      <c r="J2357" s="11"/>
      <c r="K2357" s="12"/>
      <c r="L2357" s="12"/>
      <c r="M2357" s="12"/>
      <c r="N2357" s="31"/>
      <c r="O2357" s="7">
        <f t="shared" si="691"/>
        <v>0</v>
      </c>
    </row>
    <row r="2358" spans="1:17" x14ac:dyDescent="0.15">
      <c r="A2358" s="14" t="s">
        <v>29</v>
      </c>
      <c r="B2358" s="8"/>
      <c r="C2358" s="10"/>
      <c r="D2358" s="10">
        <v>1</v>
      </c>
      <c r="E2358" s="10"/>
      <c r="F2358" s="30"/>
      <c r="G2358" s="7">
        <f t="shared" si="689"/>
        <v>1</v>
      </c>
      <c r="H2358" s="58">
        <v>46132</v>
      </c>
      <c r="I2358" s="16"/>
      <c r="J2358" s="11"/>
      <c r="K2358" s="12"/>
      <c r="L2358" s="12"/>
      <c r="M2358" s="12"/>
      <c r="N2358" s="31"/>
      <c r="O2358" s="7">
        <f t="shared" si="691"/>
        <v>0</v>
      </c>
    </row>
    <row r="2359" spans="1:17" x14ac:dyDescent="0.15">
      <c r="A2359" s="14" t="s">
        <v>29</v>
      </c>
      <c r="B2359" s="8"/>
      <c r="C2359" s="10"/>
      <c r="D2359" s="10">
        <v>1</v>
      </c>
      <c r="E2359" s="10">
        <v>2</v>
      </c>
      <c r="F2359" s="30"/>
      <c r="G2359" s="7">
        <f t="shared" si="689"/>
        <v>3</v>
      </c>
      <c r="H2359" s="58">
        <v>46139</v>
      </c>
      <c r="I2359" s="16"/>
      <c r="J2359" s="11"/>
      <c r="K2359" s="12"/>
      <c r="L2359" s="12"/>
      <c r="M2359" s="12"/>
      <c r="N2359" s="31"/>
      <c r="O2359" s="7">
        <f t="shared" si="691"/>
        <v>0</v>
      </c>
    </row>
    <row r="2360" spans="1:17" x14ac:dyDescent="0.15">
      <c r="A2360" s="14" t="s">
        <v>1663</v>
      </c>
      <c r="B2360" s="8"/>
      <c r="C2360" s="10"/>
      <c r="D2360" s="10"/>
      <c r="E2360" s="10"/>
      <c r="F2360" s="30">
        <v>1</v>
      </c>
      <c r="G2360" s="7">
        <f t="shared" si="689"/>
        <v>1</v>
      </c>
      <c r="H2360" s="58">
        <v>46158</v>
      </c>
      <c r="I2360" s="16"/>
      <c r="J2360" s="11"/>
      <c r="K2360" s="12"/>
      <c r="L2360" s="12"/>
      <c r="M2360" s="12"/>
      <c r="N2360" s="31"/>
      <c r="O2360" s="7">
        <f t="shared" si="691"/>
        <v>0</v>
      </c>
    </row>
    <row r="2361" spans="1:17" x14ac:dyDescent="0.15">
      <c r="A2361" s="14" t="s">
        <v>29</v>
      </c>
      <c r="B2361" s="8">
        <v>1</v>
      </c>
      <c r="C2361" s="10"/>
      <c r="D2361" s="10"/>
      <c r="E2361" s="10"/>
      <c r="F2361" s="30"/>
      <c r="G2361" s="7">
        <f t="shared" si="689"/>
        <v>1</v>
      </c>
      <c r="H2361" s="58">
        <v>46157</v>
      </c>
      <c r="I2361" s="16"/>
      <c r="J2361" s="11"/>
      <c r="K2361" s="12"/>
      <c r="L2361" s="12"/>
      <c r="M2361" s="12"/>
      <c r="N2361" s="31"/>
      <c r="O2361" s="7">
        <f t="shared" si="691"/>
        <v>0</v>
      </c>
    </row>
    <row r="2362" spans="1:17" ht="14.25" thickBot="1" x14ac:dyDescent="0.2">
      <c r="A2362" s="14" t="s">
        <v>25</v>
      </c>
      <c r="B2362" s="8"/>
      <c r="C2362" s="10"/>
      <c r="D2362" s="10"/>
      <c r="E2362" s="10">
        <v>1</v>
      </c>
      <c r="F2362" s="30">
        <v>1</v>
      </c>
      <c r="G2362" s="7">
        <f t="shared" si="689"/>
        <v>2</v>
      </c>
      <c r="H2362" s="58">
        <v>46162</v>
      </c>
      <c r="I2362" s="16"/>
      <c r="J2362" s="11"/>
      <c r="K2362" s="12"/>
      <c r="L2362" s="12"/>
      <c r="M2362" s="12"/>
      <c r="N2362" s="31"/>
      <c r="O2362" s="7">
        <f t="shared" ref="O2362" si="692">SUM(J2362:N2362)</f>
        <v>0</v>
      </c>
    </row>
    <row r="2363" spans="1:17" ht="14.25" thickBot="1" x14ac:dyDescent="0.2">
      <c r="A2363" s="3" t="s">
        <v>11</v>
      </c>
      <c r="B2363" s="23">
        <f>SUM(B2337:B2362)</f>
        <v>7</v>
      </c>
      <c r="C2363" s="4">
        <f>SUM(C2337:C2362)</f>
        <v>5</v>
      </c>
      <c r="D2363" s="4">
        <f>SUM(D2337:D2362)</f>
        <v>18</v>
      </c>
      <c r="E2363" s="6">
        <f>SUM(E2337:E2362)</f>
        <v>6</v>
      </c>
      <c r="F2363" s="32">
        <f>SUM(F2337:F2362)</f>
        <v>6</v>
      </c>
      <c r="G2363" s="5">
        <f>SUM(B2363:F2363)</f>
        <v>42</v>
      </c>
      <c r="I2363" s="3" t="s">
        <v>11</v>
      </c>
      <c r="J2363" s="23">
        <f>SUM(J2337:J2362)</f>
        <v>9</v>
      </c>
      <c r="K2363" s="4">
        <f>SUM(K2337:K2362)</f>
        <v>31</v>
      </c>
      <c r="L2363" s="4">
        <f>SUM(L2337:L2362)</f>
        <v>38</v>
      </c>
      <c r="M2363" s="6">
        <f>SUM(M2337:M2362)</f>
        <v>26</v>
      </c>
      <c r="N2363" s="6">
        <f>SUM(N2337:N2362)</f>
        <v>28</v>
      </c>
      <c r="O2363" s="5">
        <f>SUM(J2363:N2363)</f>
        <v>132</v>
      </c>
    </row>
    <row r="2364" spans="1:17" ht="14.25" thickBot="1" x14ac:dyDescent="0.2">
      <c r="A2364" s="25" t="s">
        <v>12</v>
      </c>
      <c r="B2364" s="63">
        <f>B2336-B2363</f>
        <v>6</v>
      </c>
      <c r="C2364" s="26">
        <f t="shared" ref="C2364:G2364" si="693">C2336-C2363</f>
        <v>7</v>
      </c>
      <c r="D2364" s="71">
        <f t="shared" si="693"/>
        <v>5</v>
      </c>
      <c r="E2364" s="26">
        <f t="shared" si="693"/>
        <v>4</v>
      </c>
      <c r="F2364" s="70">
        <f t="shared" si="693"/>
        <v>5</v>
      </c>
      <c r="G2364" s="27">
        <f t="shared" si="693"/>
        <v>27</v>
      </c>
      <c r="I2364" s="25" t="s">
        <v>12</v>
      </c>
      <c r="J2364" s="63">
        <f>J2336-J2363</f>
        <v>59</v>
      </c>
      <c r="K2364" s="26">
        <f t="shared" ref="K2364:O2364" si="694">K2336-K2363</f>
        <v>37</v>
      </c>
      <c r="L2364" s="71">
        <f t="shared" si="694"/>
        <v>27</v>
      </c>
      <c r="M2364" s="26">
        <f t="shared" si="694"/>
        <v>46</v>
      </c>
      <c r="N2364" s="70">
        <f t="shared" si="694"/>
        <v>71</v>
      </c>
      <c r="O2364" s="27">
        <f t="shared" si="694"/>
        <v>240</v>
      </c>
    </row>
    <row r="2365" spans="1:17" ht="21" x14ac:dyDescent="0.2">
      <c r="A2365" s="82" t="s">
        <v>55</v>
      </c>
      <c r="B2365" s="80"/>
      <c r="C2365" s="80"/>
      <c r="D2365" s="80"/>
      <c r="E2365" s="81" t="s">
        <v>53</v>
      </c>
      <c r="F2365" s="80"/>
      <c r="G2365" s="80"/>
      <c r="J2365" s="227">
        <f>J2364+B2364</f>
        <v>65</v>
      </c>
      <c r="K2365" s="227">
        <f t="shared" ref="K2365" si="695">K2364+C2364</f>
        <v>44</v>
      </c>
      <c r="L2365" s="227">
        <f t="shared" ref="L2365" si="696">L2364+D2364</f>
        <v>32</v>
      </c>
      <c r="M2365" s="227">
        <f t="shared" ref="M2365" si="697">M2364+E2364</f>
        <v>50</v>
      </c>
      <c r="N2365" s="227">
        <f t="shared" ref="N2365" si="698">N2364+F2364</f>
        <v>76</v>
      </c>
      <c r="O2365" s="227">
        <f t="shared" ref="O2365" si="699">O2364+G2364</f>
        <v>267</v>
      </c>
    </row>
    <row r="2366" spans="1:17" ht="14.25" thickBot="1" x14ac:dyDescent="0.2">
      <c r="J2366" s="211"/>
      <c r="K2366" s="211"/>
      <c r="L2366" s="211"/>
      <c r="M2366" s="211"/>
      <c r="N2366" s="211"/>
      <c r="O2366" s="211"/>
    </row>
    <row r="2367" spans="1:17" ht="14.25" thickBot="1" x14ac:dyDescent="0.2">
      <c r="A2367" s="13" t="s">
        <v>0</v>
      </c>
      <c r="B2367" s="228" t="s">
        <v>57</v>
      </c>
      <c r="C2367" s="229"/>
      <c r="D2367" s="229"/>
      <c r="E2367" s="229"/>
      <c r="F2367" s="230"/>
      <c r="G2367" s="231"/>
      <c r="I2367" s="13" t="s">
        <v>0</v>
      </c>
      <c r="J2367" s="232" t="s">
        <v>57</v>
      </c>
      <c r="K2367" s="233"/>
      <c r="L2367" s="233"/>
      <c r="M2367" s="233"/>
      <c r="N2367" s="233"/>
      <c r="O2367" s="234"/>
    </row>
    <row r="2368" spans="1:17" ht="14.25" thickBot="1" x14ac:dyDescent="0.2">
      <c r="A2368" s="3" t="s">
        <v>1</v>
      </c>
      <c r="B2368" s="2" t="s">
        <v>42</v>
      </c>
      <c r="C2368" s="21" t="s">
        <v>43</v>
      </c>
      <c r="D2368" s="21" t="s">
        <v>44</v>
      </c>
      <c r="E2368" s="24" t="s">
        <v>45</v>
      </c>
      <c r="F2368" s="33" t="s">
        <v>46</v>
      </c>
      <c r="G2368" s="3" t="s">
        <v>2</v>
      </c>
      <c r="I2368" s="3" t="s">
        <v>1</v>
      </c>
      <c r="J2368" s="2" t="s">
        <v>42</v>
      </c>
      <c r="K2368" s="21" t="s">
        <v>43</v>
      </c>
      <c r="L2368" s="21" t="s">
        <v>44</v>
      </c>
      <c r="M2368" s="24" t="s">
        <v>45</v>
      </c>
      <c r="N2368" s="33" t="s">
        <v>46</v>
      </c>
      <c r="O2368" s="3" t="s">
        <v>2</v>
      </c>
    </row>
    <row r="2369" spans="1:16" ht="14.25" thickBot="1" x14ac:dyDescent="0.2">
      <c r="A2369" s="72" t="s">
        <v>79</v>
      </c>
      <c r="B2369" s="73">
        <f>B2364</f>
        <v>6</v>
      </c>
      <c r="C2369" s="74">
        <f t="shared" ref="C2369:F2369" si="700">C2364</f>
        <v>7</v>
      </c>
      <c r="D2369" s="107">
        <f t="shared" si="700"/>
        <v>5</v>
      </c>
      <c r="E2369" s="75">
        <f t="shared" si="700"/>
        <v>4</v>
      </c>
      <c r="F2369" s="75">
        <f t="shared" si="700"/>
        <v>5</v>
      </c>
      <c r="G2369" s="76">
        <f t="shared" ref="G2369:G2378" si="701">SUM(B2369:F2369)</f>
        <v>27</v>
      </c>
      <c r="I2369" s="72" t="s">
        <v>79</v>
      </c>
      <c r="J2369" s="73">
        <f>J2364</f>
        <v>59</v>
      </c>
      <c r="K2369" s="74">
        <f t="shared" ref="K2369:N2369" si="702">K2364</f>
        <v>37</v>
      </c>
      <c r="L2369" s="107">
        <f t="shared" si="702"/>
        <v>27</v>
      </c>
      <c r="M2369" s="75">
        <f t="shared" si="702"/>
        <v>46</v>
      </c>
      <c r="N2369" s="75">
        <f t="shared" si="702"/>
        <v>71</v>
      </c>
      <c r="O2369" s="76">
        <f t="shared" ref="O2369:O2378" si="703">SUM(J2369:N2369)</f>
        <v>240</v>
      </c>
    </row>
    <row r="2370" spans="1:16" x14ac:dyDescent="0.15">
      <c r="A2370" s="38" t="s">
        <v>17</v>
      </c>
      <c r="B2370" s="11"/>
      <c r="C2370" s="100"/>
      <c r="D2370" s="100">
        <v>3</v>
      </c>
      <c r="E2370" s="100"/>
      <c r="F2370" s="101"/>
      <c r="G2370" s="102">
        <f t="shared" si="701"/>
        <v>3</v>
      </c>
      <c r="H2370" s="58">
        <v>46168</v>
      </c>
      <c r="I2370" s="15" t="s">
        <v>15</v>
      </c>
      <c r="J2370" s="8"/>
      <c r="K2370" s="10"/>
      <c r="L2370" s="10"/>
      <c r="M2370" s="10"/>
      <c r="N2370" s="30"/>
      <c r="O2370" s="7">
        <f t="shared" si="703"/>
        <v>0</v>
      </c>
    </row>
    <row r="2371" spans="1:16" x14ac:dyDescent="0.15">
      <c r="A2371" s="195" t="s">
        <v>16</v>
      </c>
      <c r="B2371" s="166">
        <v>10</v>
      </c>
      <c r="C2371" s="224"/>
      <c r="D2371" s="224"/>
      <c r="E2371" s="224"/>
      <c r="F2371" s="225"/>
      <c r="G2371" s="226">
        <f t="shared" si="701"/>
        <v>10</v>
      </c>
      <c r="H2371" s="162">
        <v>46172</v>
      </c>
      <c r="I2371" s="15" t="s">
        <v>16</v>
      </c>
      <c r="J2371" s="8"/>
      <c r="K2371" s="10"/>
      <c r="L2371" s="10"/>
      <c r="M2371" s="10"/>
      <c r="N2371" s="30"/>
      <c r="O2371" s="7">
        <f t="shared" si="703"/>
        <v>0</v>
      </c>
    </row>
    <row r="2372" spans="1:16" x14ac:dyDescent="0.15">
      <c r="A2372" s="195" t="s">
        <v>18</v>
      </c>
      <c r="B2372" s="166"/>
      <c r="C2372" s="224">
        <v>6</v>
      </c>
      <c r="D2372" s="224"/>
      <c r="E2372" s="224">
        <v>3</v>
      </c>
      <c r="F2372" s="225"/>
      <c r="G2372" s="226">
        <f t="shared" si="701"/>
        <v>9</v>
      </c>
      <c r="H2372" s="162">
        <v>46175</v>
      </c>
      <c r="I2372" s="15" t="s">
        <v>18</v>
      </c>
      <c r="J2372" s="8"/>
      <c r="K2372" s="10"/>
      <c r="L2372" s="10"/>
      <c r="M2372" s="10"/>
      <c r="N2372" s="30"/>
      <c r="O2372" s="7">
        <f t="shared" si="703"/>
        <v>0</v>
      </c>
    </row>
    <row r="2373" spans="1:16" x14ac:dyDescent="0.15">
      <c r="A2373" s="38" t="s">
        <v>20</v>
      </c>
      <c r="B2373" s="11"/>
      <c r="C2373" s="100">
        <v>5</v>
      </c>
      <c r="D2373" s="100"/>
      <c r="E2373" s="100"/>
      <c r="F2373" s="101"/>
      <c r="G2373" s="102">
        <f t="shared" si="701"/>
        <v>5</v>
      </c>
      <c r="H2373" s="58">
        <v>46176</v>
      </c>
      <c r="I2373" s="15" t="s">
        <v>20</v>
      </c>
      <c r="J2373" s="8"/>
      <c r="K2373" s="10"/>
      <c r="L2373" s="10"/>
      <c r="M2373" s="10"/>
      <c r="N2373" s="30"/>
      <c r="O2373" s="7">
        <f t="shared" si="703"/>
        <v>0</v>
      </c>
    </row>
    <row r="2374" spans="1:16" x14ac:dyDescent="0.15">
      <c r="A2374" s="38" t="s">
        <v>80</v>
      </c>
      <c r="B2374" s="11"/>
      <c r="C2374" s="100"/>
      <c r="D2374" s="100">
        <v>5</v>
      </c>
      <c r="E2374" s="100">
        <v>5</v>
      </c>
      <c r="F2374" s="101">
        <v>5</v>
      </c>
      <c r="G2374" s="102">
        <f t="shared" si="701"/>
        <v>15</v>
      </c>
      <c r="H2374" s="58">
        <v>46179</v>
      </c>
      <c r="I2374" s="15" t="s">
        <v>80</v>
      </c>
      <c r="J2374" s="8"/>
      <c r="K2374" s="10"/>
      <c r="L2374" s="10"/>
      <c r="M2374" s="10"/>
      <c r="N2374" s="30"/>
      <c r="O2374" s="7">
        <f t="shared" si="703"/>
        <v>0</v>
      </c>
    </row>
    <row r="2375" spans="1:16" x14ac:dyDescent="0.15">
      <c r="A2375" s="195" t="s">
        <v>17</v>
      </c>
      <c r="B2375" s="166"/>
      <c r="C2375" s="224">
        <v>2</v>
      </c>
      <c r="D2375" s="224">
        <v>3</v>
      </c>
      <c r="E2375" s="224">
        <v>2</v>
      </c>
      <c r="F2375" s="225">
        <v>2</v>
      </c>
      <c r="G2375" s="226">
        <f t="shared" si="701"/>
        <v>9</v>
      </c>
      <c r="H2375" s="162">
        <v>46181</v>
      </c>
      <c r="I2375" s="15" t="s">
        <v>81</v>
      </c>
      <c r="J2375" s="8"/>
      <c r="K2375" s="10"/>
      <c r="L2375" s="10"/>
      <c r="M2375" s="10"/>
      <c r="N2375" s="30"/>
      <c r="O2375" s="7">
        <f t="shared" si="703"/>
        <v>0</v>
      </c>
    </row>
    <row r="2376" spans="1:16" x14ac:dyDescent="0.15">
      <c r="A2376" s="195" t="s">
        <v>17</v>
      </c>
      <c r="B2376" s="11"/>
      <c r="C2376" s="100">
        <v>1</v>
      </c>
      <c r="D2376" s="100"/>
      <c r="E2376" s="100">
        <v>1</v>
      </c>
      <c r="F2376" s="101"/>
      <c r="G2376" s="102">
        <f t="shared" si="701"/>
        <v>2</v>
      </c>
      <c r="H2376" s="58">
        <v>46181</v>
      </c>
      <c r="I2376" s="15" t="s">
        <v>82</v>
      </c>
      <c r="J2376" s="8"/>
      <c r="K2376" s="10"/>
      <c r="L2376" s="10"/>
      <c r="M2376" s="10"/>
      <c r="N2376" s="30"/>
      <c r="O2376" s="7">
        <f t="shared" si="703"/>
        <v>0</v>
      </c>
    </row>
    <row r="2377" spans="1:16" x14ac:dyDescent="0.15">
      <c r="A2377" s="195" t="s">
        <v>83</v>
      </c>
      <c r="B2377" s="11"/>
      <c r="C2377" s="100"/>
      <c r="D2377" s="100"/>
      <c r="E2377" s="100"/>
      <c r="F2377" s="101"/>
      <c r="G2377" s="102">
        <f t="shared" si="701"/>
        <v>0</v>
      </c>
      <c r="H2377" s="58"/>
      <c r="I2377" s="15" t="s">
        <v>83</v>
      </c>
      <c r="J2377" s="8"/>
      <c r="K2377" s="10"/>
      <c r="L2377" s="10"/>
      <c r="M2377" s="10"/>
      <c r="N2377" s="30"/>
      <c r="O2377" s="7">
        <f t="shared" si="703"/>
        <v>0</v>
      </c>
    </row>
    <row r="2378" spans="1:16" ht="14.25" thickBot="1" x14ac:dyDescent="0.2">
      <c r="A2378" s="195" t="s">
        <v>159</v>
      </c>
      <c r="B2378" s="11"/>
      <c r="C2378" s="100"/>
      <c r="D2378" s="100"/>
      <c r="E2378" s="100"/>
      <c r="F2378" s="101"/>
      <c r="G2378" s="102">
        <f t="shared" si="701"/>
        <v>0</v>
      </c>
      <c r="H2378" s="57"/>
      <c r="I2378" s="15" t="s">
        <v>87</v>
      </c>
      <c r="J2378" s="11"/>
      <c r="K2378" s="100"/>
      <c r="L2378" s="100"/>
      <c r="M2378" s="100"/>
      <c r="N2378" s="101"/>
      <c r="O2378" s="102">
        <f t="shared" si="703"/>
        <v>0</v>
      </c>
    </row>
    <row r="2379" spans="1:16" ht="14.25" thickBot="1" x14ac:dyDescent="0.2">
      <c r="A2379" s="72" t="s">
        <v>7</v>
      </c>
      <c r="B2379" s="73">
        <f>SUM(B2369:B2378)</f>
        <v>16</v>
      </c>
      <c r="C2379" s="74">
        <f t="shared" ref="C2379:G2379" si="704">SUM(C2369:C2378)</f>
        <v>21</v>
      </c>
      <c r="D2379" s="74">
        <f t="shared" si="704"/>
        <v>16</v>
      </c>
      <c r="E2379" s="74">
        <f t="shared" si="704"/>
        <v>15</v>
      </c>
      <c r="F2379" s="105">
        <f t="shared" si="704"/>
        <v>12</v>
      </c>
      <c r="G2379" s="76">
        <f t="shared" si="704"/>
        <v>80</v>
      </c>
      <c r="I2379" s="72" t="s">
        <v>7</v>
      </c>
      <c r="J2379" s="73">
        <f>SUM(J2369:J2378)</f>
        <v>59</v>
      </c>
      <c r="K2379" s="74">
        <f t="shared" ref="K2379:O2379" si="705">SUM(K2369:K2378)</f>
        <v>37</v>
      </c>
      <c r="L2379" s="74">
        <f t="shared" si="705"/>
        <v>27</v>
      </c>
      <c r="M2379" s="74">
        <f t="shared" si="705"/>
        <v>46</v>
      </c>
      <c r="N2379" s="105">
        <f t="shared" si="705"/>
        <v>71</v>
      </c>
      <c r="O2379" s="76">
        <f t="shared" si="705"/>
        <v>240</v>
      </c>
    </row>
    <row r="2380" spans="1:16" x14ac:dyDescent="0.15">
      <c r="A2380" s="14" t="s">
        <v>25</v>
      </c>
      <c r="B2380" s="8">
        <v>1</v>
      </c>
      <c r="C2380" s="10"/>
      <c r="D2380" s="10"/>
      <c r="E2380" s="10">
        <v>1</v>
      </c>
      <c r="F2380" s="30"/>
      <c r="G2380" s="7">
        <f t="shared" ref="G2380:G2405" si="706">SUM(B2380:F2380)</f>
        <v>2</v>
      </c>
      <c r="H2380" s="58">
        <v>46163</v>
      </c>
      <c r="I2380" s="16" t="s">
        <v>1668</v>
      </c>
      <c r="J2380" s="11">
        <v>10</v>
      </c>
      <c r="K2380" s="12"/>
      <c r="L2380" s="12"/>
      <c r="M2380" s="12"/>
      <c r="N2380" s="31"/>
      <c r="O2380" s="7">
        <f t="shared" ref="O2380:O2403" si="707">SUM(J2380:N2380)</f>
        <v>10</v>
      </c>
      <c r="P2380" s="57">
        <v>46172</v>
      </c>
    </row>
    <row r="2381" spans="1:16" x14ac:dyDescent="0.15">
      <c r="A2381" s="14" t="s">
        <v>25</v>
      </c>
      <c r="B2381" s="8">
        <v>1</v>
      </c>
      <c r="C2381" s="10"/>
      <c r="D2381" s="10">
        <v>1</v>
      </c>
      <c r="E2381" s="10"/>
      <c r="F2381" s="30"/>
      <c r="G2381" s="7">
        <f t="shared" si="706"/>
        <v>2</v>
      </c>
      <c r="H2381" s="58">
        <v>46164</v>
      </c>
      <c r="I2381" s="16" t="s">
        <v>1652</v>
      </c>
      <c r="J2381" s="11"/>
      <c r="K2381" s="12">
        <v>6</v>
      </c>
      <c r="L2381" s="12"/>
      <c r="M2381" s="12">
        <v>3</v>
      </c>
      <c r="N2381" s="31"/>
      <c r="O2381" s="7">
        <f t="shared" si="707"/>
        <v>9</v>
      </c>
      <c r="P2381" s="58">
        <v>46175</v>
      </c>
    </row>
    <row r="2382" spans="1:16" x14ac:dyDescent="0.15">
      <c r="A2382" s="14" t="s">
        <v>25</v>
      </c>
      <c r="B2382" s="8"/>
      <c r="C2382" s="10">
        <v>1</v>
      </c>
      <c r="D2382" s="10"/>
      <c r="E2382" s="10"/>
      <c r="F2382" s="30">
        <v>1</v>
      </c>
      <c r="G2382" s="7">
        <f t="shared" si="706"/>
        <v>2</v>
      </c>
      <c r="H2382" s="58">
        <v>46165</v>
      </c>
      <c r="I2382" s="16" t="s">
        <v>1652</v>
      </c>
      <c r="J2382" s="11"/>
      <c r="K2382" s="12">
        <v>5</v>
      </c>
      <c r="L2382" s="12"/>
      <c r="M2382" s="12"/>
      <c r="N2382" s="31"/>
      <c r="O2382" s="7">
        <f t="shared" si="707"/>
        <v>5</v>
      </c>
      <c r="P2382" s="58">
        <v>46176</v>
      </c>
    </row>
    <row r="2383" spans="1:16" x14ac:dyDescent="0.15">
      <c r="A2383" s="14" t="s">
        <v>1665</v>
      </c>
      <c r="B2383" s="8"/>
      <c r="C2383" s="10">
        <v>1</v>
      </c>
      <c r="D2383" s="10"/>
      <c r="E2383" s="10"/>
      <c r="F2383" s="30"/>
      <c r="G2383" s="7">
        <f t="shared" si="706"/>
        <v>1</v>
      </c>
      <c r="H2383" s="58">
        <v>46163</v>
      </c>
      <c r="I2383" s="16" t="s">
        <v>1652</v>
      </c>
      <c r="J2383" s="11"/>
      <c r="K2383" s="12"/>
      <c r="L2383" s="12">
        <v>5</v>
      </c>
      <c r="M2383" s="12">
        <v>5</v>
      </c>
      <c r="N2383" s="31">
        <v>5</v>
      </c>
      <c r="O2383" s="7">
        <f t="shared" si="707"/>
        <v>15</v>
      </c>
      <c r="P2383" s="58">
        <v>46179</v>
      </c>
    </row>
    <row r="2384" spans="1:16" x14ac:dyDescent="0.15">
      <c r="A2384" s="14" t="s">
        <v>25</v>
      </c>
      <c r="B2384" s="8"/>
      <c r="C2384" s="10">
        <v>1</v>
      </c>
      <c r="D2384" s="10">
        <v>1</v>
      </c>
      <c r="E2384" s="10"/>
      <c r="F2384" s="30"/>
      <c r="G2384" s="7">
        <f t="shared" si="706"/>
        <v>2</v>
      </c>
      <c r="H2384" s="58">
        <v>46167</v>
      </c>
      <c r="I2384" s="16"/>
      <c r="J2384" s="11"/>
      <c r="K2384" s="12"/>
      <c r="L2384" s="12"/>
      <c r="M2384" s="12"/>
      <c r="N2384" s="31"/>
      <c r="O2384" s="7">
        <f t="shared" si="707"/>
        <v>0</v>
      </c>
      <c r="P2384" s="56"/>
    </row>
    <row r="2385" spans="1:15" x14ac:dyDescent="0.15">
      <c r="A2385" s="14" t="s">
        <v>25</v>
      </c>
      <c r="B2385" s="8">
        <v>1</v>
      </c>
      <c r="C2385" s="10">
        <v>1</v>
      </c>
      <c r="D2385" s="10"/>
      <c r="E2385" s="10"/>
      <c r="F2385" s="30"/>
      <c r="G2385" s="7">
        <f t="shared" si="706"/>
        <v>2</v>
      </c>
      <c r="H2385" s="58">
        <v>46170</v>
      </c>
      <c r="I2385" s="16"/>
      <c r="J2385" s="11"/>
      <c r="K2385" s="12"/>
      <c r="L2385" s="12"/>
      <c r="M2385" s="12"/>
      <c r="N2385" s="31"/>
      <c r="O2385" s="7">
        <f t="shared" si="707"/>
        <v>0</v>
      </c>
    </row>
    <row r="2386" spans="1:15" x14ac:dyDescent="0.15">
      <c r="A2386" s="14" t="s">
        <v>25</v>
      </c>
      <c r="B2386" s="8"/>
      <c r="C2386" s="10"/>
      <c r="D2386" s="10">
        <v>1</v>
      </c>
      <c r="E2386" s="10"/>
      <c r="F2386" s="30"/>
      <c r="G2386" s="7">
        <f t="shared" si="706"/>
        <v>1</v>
      </c>
      <c r="H2386" s="58">
        <v>46171</v>
      </c>
      <c r="I2386" s="16"/>
      <c r="J2386" s="11"/>
      <c r="K2386" s="12"/>
      <c r="L2386" s="12"/>
      <c r="M2386" s="12"/>
      <c r="N2386" s="31"/>
      <c r="O2386" s="7">
        <f t="shared" si="707"/>
        <v>0</v>
      </c>
    </row>
    <row r="2387" spans="1:15" x14ac:dyDescent="0.15">
      <c r="A2387" s="14" t="s">
        <v>29</v>
      </c>
      <c r="B2387" s="8"/>
      <c r="C2387" s="10">
        <v>1</v>
      </c>
      <c r="D2387" s="10"/>
      <c r="E2387" s="10"/>
      <c r="F2387" s="30"/>
      <c r="G2387" s="7">
        <f t="shared" si="706"/>
        <v>1</v>
      </c>
      <c r="H2387" s="58">
        <v>46171</v>
      </c>
      <c r="I2387" s="16"/>
      <c r="J2387" s="11"/>
      <c r="K2387" s="12"/>
      <c r="L2387" s="12"/>
      <c r="M2387" s="12"/>
      <c r="N2387" s="31"/>
      <c r="O2387" s="7">
        <f t="shared" si="707"/>
        <v>0</v>
      </c>
    </row>
    <row r="2388" spans="1:15" x14ac:dyDescent="0.15">
      <c r="A2388" s="14" t="s">
        <v>29</v>
      </c>
      <c r="B2388" s="8">
        <v>1</v>
      </c>
      <c r="C2388" s="10">
        <v>1</v>
      </c>
      <c r="D2388" s="10"/>
      <c r="E2388" s="10"/>
      <c r="F2388" s="30"/>
      <c r="G2388" s="7">
        <f t="shared" si="706"/>
        <v>2</v>
      </c>
      <c r="H2388" s="58">
        <v>46174</v>
      </c>
      <c r="I2388" s="16"/>
      <c r="J2388" s="11"/>
      <c r="K2388" s="12"/>
      <c r="L2388" s="12"/>
      <c r="M2388" s="12"/>
      <c r="N2388" s="31"/>
      <c r="O2388" s="7">
        <f t="shared" si="707"/>
        <v>0</v>
      </c>
    </row>
    <row r="2389" spans="1:15" x14ac:dyDescent="0.15">
      <c r="A2389" s="14" t="s">
        <v>25</v>
      </c>
      <c r="B2389" s="8">
        <v>1</v>
      </c>
      <c r="C2389" s="10"/>
      <c r="D2389" s="10">
        <v>2</v>
      </c>
      <c r="E2389" s="10"/>
      <c r="F2389" s="30"/>
      <c r="G2389" s="7">
        <f t="shared" si="706"/>
        <v>3</v>
      </c>
      <c r="H2389" s="58">
        <v>46177</v>
      </c>
      <c r="I2389" s="16"/>
      <c r="J2389" s="11"/>
      <c r="K2389" s="12"/>
      <c r="L2389" s="12"/>
      <c r="M2389" s="12"/>
      <c r="N2389" s="31"/>
      <c r="O2389" s="7">
        <f t="shared" si="707"/>
        <v>0</v>
      </c>
    </row>
    <row r="2390" spans="1:15" x14ac:dyDescent="0.15">
      <c r="A2390" s="14" t="s">
        <v>29</v>
      </c>
      <c r="B2390" s="8"/>
      <c r="C2390" s="10">
        <v>1</v>
      </c>
      <c r="D2390" s="10"/>
      <c r="E2390" s="10"/>
      <c r="F2390" s="30"/>
      <c r="G2390" s="7">
        <f t="shared" si="706"/>
        <v>1</v>
      </c>
      <c r="H2390" s="58">
        <v>46175</v>
      </c>
      <c r="I2390" s="16"/>
      <c r="J2390" s="11"/>
      <c r="K2390" s="12"/>
      <c r="L2390" s="12"/>
      <c r="M2390" s="12"/>
      <c r="N2390" s="31"/>
      <c r="O2390" s="7">
        <f t="shared" si="707"/>
        <v>0</v>
      </c>
    </row>
    <row r="2391" spans="1:15" x14ac:dyDescent="0.15">
      <c r="A2391" s="14" t="s">
        <v>29</v>
      </c>
      <c r="B2391" s="8"/>
      <c r="C2391" s="10">
        <v>2</v>
      </c>
      <c r="D2391" s="10"/>
      <c r="E2391" s="10">
        <v>3</v>
      </c>
      <c r="F2391" s="30"/>
      <c r="G2391" s="7">
        <f t="shared" si="706"/>
        <v>5</v>
      </c>
      <c r="H2391" s="58">
        <v>46176</v>
      </c>
      <c r="I2391" s="16"/>
      <c r="J2391" s="11"/>
      <c r="K2391" s="12"/>
      <c r="L2391" s="12"/>
      <c r="M2391" s="12"/>
      <c r="N2391" s="31"/>
      <c r="O2391" s="7">
        <f t="shared" si="707"/>
        <v>0</v>
      </c>
    </row>
    <row r="2392" spans="1:15" x14ac:dyDescent="0.15">
      <c r="A2392" s="14" t="s">
        <v>25</v>
      </c>
      <c r="B2392" s="8">
        <v>1</v>
      </c>
      <c r="C2392" s="10"/>
      <c r="D2392" s="10"/>
      <c r="E2392" s="10"/>
      <c r="F2392" s="30"/>
      <c r="G2392" s="7">
        <f t="shared" si="706"/>
        <v>1</v>
      </c>
      <c r="H2392" s="58">
        <v>46178</v>
      </c>
      <c r="I2392" s="16"/>
      <c r="J2392" s="11"/>
      <c r="K2392" s="12"/>
      <c r="L2392" s="12"/>
      <c r="M2392" s="12"/>
      <c r="N2392" s="31"/>
      <c r="O2392" s="7">
        <f t="shared" si="707"/>
        <v>0</v>
      </c>
    </row>
    <row r="2393" spans="1:15" x14ac:dyDescent="0.15">
      <c r="A2393" s="14" t="s">
        <v>25</v>
      </c>
      <c r="B2393" s="8"/>
      <c r="C2393" s="10"/>
      <c r="D2393" s="10"/>
      <c r="E2393" s="10"/>
      <c r="F2393" s="30">
        <v>3</v>
      </c>
      <c r="G2393" s="7">
        <f t="shared" si="706"/>
        <v>3</v>
      </c>
      <c r="H2393" s="58">
        <v>46181</v>
      </c>
      <c r="I2393" s="16"/>
      <c r="J2393" s="11"/>
      <c r="K2393" s="12"/>
      <c r="L2393" s="12"/>
      <c r="M2393" s="12"/>
      <c r="N2393" s="31"/>
      <c r="O2393" s="7">
        <f t="shared" si="707"/>
        <v>0</v>
      </c>
    </row>
    <row r="2394" spans="1:15" x14ac:dyDescent="0.15">
      <c r="A2394" s="14" t="s">
        <v>29</v>
      </c>
      <c r="B2394" s="8"/>
      <c r="C2394" s="10"/>
      <c r="D2394" s="10"/>
      <c r="E2394" s="10">
        <v>2</v>
      </c>
      <c r="F2394" s="30"/>
      <c r="G2394" s="7">
        <f t="shared" si="706"/>
        <v>2</v>
      </c>
      <c r="H2394" s="58">
        <v>46178</v>
      </c>
      <c r="I2394" s="16"/>
      <c r="J2394" s="11"/>
      <c r="K2394" s="12"/>
      <c r="L2394" s="12"/>
      <c r="M2394" s="12"/>
      <c r="N2394" s="31"/>
      <c r="O2394" s="7">
        <f t="shared" si="707"/>
        <v>0</v>
      </c>
    </row>
    <row r="2395" spans="1:15" x14ac:dyDescent="0.15">
      <c r="A2395" s="14" t="s">
        <v>29</v>
      </c>
      <c r="B2395" s="8"/>
      <c r="C2395" s="10">
        <v>1</v>
      </c>
      <c r="D2395" s="10"/>
      <c r="E2395" s="10">
        <v>2</v>
      </c>
      <c r="F2395" s="30"/>
      <c r="G2395" s="7">
        <f t="shared" si="706"/>
        <v>3</v>
      </c>
      <c r="H2395" s="58">
        <v>46181</v>
      </c>
      <c r="I2395" s="16"/>
      <c r="J2395" s="11"/>
      <c r="K2395" s="12"/>
      <c r="L2395" s="12"/>
      <c r="M2395" s="12"/>
      <c r="N2395" s="31"/>
      <c r="O2395" s="7">
        <f t="shared" si="707"/>
        <v>0</v>
      </c>
    </row>
    <row r="2396" spans="1:15" x14ac:dyDescent="0.15">
      <c r="A2396" s="14" t="s">
        <v>25</v>
      </c>
      <c r="B2396" s="8"/>
      <c r="C2396" s="10"/>
      <c r="D2396" s="10"/>
      <c r="E2396" s="10"/>
      <c r="F2396" s="30">
        <v>1</v>
      </c>
      <c r="G2396" s="7">
        <f t="shared" si="706"/>
        <v>1</v>
      </c>
      <c r="H2396" s="58">
        <v>46184</v>
      </c>
      <c r="I2396" s="194"/>
      <c r="J2396" s="166"/>
      <c r="K2396" s="167"/>
      <c r="L2396" s="167"/>
      <c r="M2396" s="167"/>
      <c r="N2396" s="168"/>
      <c r="O2396" s="161">
        <f t="shared" si="707"/>
        <v>0</v>
      </c>
    </row>
    <row r="2397" spans="1:15" x14ac:dyDescent="0.15">
      <c r="A2397" s="14" t="s">
        <v>25</v>
      </c>
      <c r="B2397" s="8"/>
      <c r="C2397" s="10">
        <v>1</v>
      </c>
      <c r="D2397" s="10"/>
      <c r="E2397" s="10"/>
      <c r="F2397" s="30"/>
      <c r="G2397" s="7">
        <f t="shared" si="706"/>
        <v>1</v>
      </c>
      <c r="H2397" s="58">
        <v>46185</v>
      </c>
      <c r="I2397" s="16"/>
      <c r="J2397" s="11"/>
      <c r="K2397" s="12"/>
      <c r="L2397" s="12"/>
      <c r="M2397" s="12"/>
      <c r="N2397" s="31"/>
      <c r="O2397" s="7">
        <f t="shared" si="707"/>
        <v>0</v>
      </c>
    </row>
    <row r="2398" spans="1:15" x14ac:dyDescent="0.15">
      <c r="A2398" s="14" t="s">
        <v>29</v>
      </c>
      <c r="B2398" s="8">
        <v>1</v>
      </c>
      <c r="C2398" s="10">
        <v>2</v>
      </c>
      <c r="D2398" s="10"/>
      <c r="E2398" s="10"/>
      <c r="F2398" s="30"/>
      <c r="G2398" s="7">
        <f t="shared" si="706"/>
        <v>3</v>
      </c>
      <c r="H2398" s="58">
        <v>46183</v>
      </c>
      <c r="I2398" s="16"/>
      <c r="J2398" s="11"/>
      <c r="K2398" s="12"/>
      <c r="L2398" s="12"/>
      <c r="M2398" s="12"/>
      <c r="N2398" s="31"/>
      <c r="O2398" s="7">
        <f t="shared" si="707"/>
        <v>0</v>
      </c>
    </row>
    <row r="2399" spans="1:15" x14ac:dyDescent="0.15">
      <c r="A2399" s="14" t="s">
        <v>25</v>
      </c>
      <c r="B2399" s="8"/>
      <c r="C2399" s="10">
        <v>1</v>
      </c>
      <c r="D2399" s="10"/>
      <c r="E2399" s="10"/>
      <c r="F2399" s="30"/>
      <c r="G2399" s="7">
        <f t="shared" si="706"/>
        <v>1</v>
      </c>
      <c r="H2399" s="58">
        <v>46185</v>
      </c>
      <c r="I2399" s="16"/>
      <c r="J2399" s="11"/>
      <c r="K2399" s="12"/>
      <c r="L2399" s="12"/>
      <c r="M2399" s="12"/>
      <c r="N2399" s="31"/>
      <c r="O2399" s="7">
        <f t="shared" si="707"/>
        <v>0</v>
      </c>
    </row>
    <row r="2400" spans="1:15" x14ac:dyDescent="0.15">
      <c r="A2400" s="14" t="s">
        <v>29</v>
      </c>
      <c r="B2400" s="8"/>
      <c r="C2400" s="10">
        <v>1</v>
      </c>
      <c r="D2400" s="10"/>
      <c r="E2400" s="10"/>
      <c r="F2400" s="30"/>
      <c r="G2400" s="7">
        <f t="shared" si="706"/>
        <v>1</v>
      </c>
      <c r="H2400" s="58">
        <v>46184</v>
      </c>
      <c r="I2400" s="16"/>
      <c r="J2400" s="11"/>
      <c r="K2400" s="12"/>
      <c r="L2400" s="12"/>
      <c r="M2400" s="12"/>
      <c r="N2400" s="31"/>
      <c r="O2400" s="7">
        <f t="shared" si="707"/>
        <v>0</v>
      </c>
    </row>
    <row r="2401" spans="1:15" x14ac:dyDescent="0.15">
      <c r="A2401" s="14" t="s">
        <v>25</v>
      </c>
      <c r="B2401" s="8"/>
      <c r="C2401" s="10">
        <v>1</v>
      </c>
      <c r="D2401" s="10"/>
      <c r="E2401" s="10"/>
      <c r="F2401" s="30"/>
      <c r="G2401" s="7">
        <f t="shared" si="706"/>
        <v>1</v>
      </c>
      <c r="H2401" s="58">
        <v>46190</v>
      </c>
      <c r="I2401" s="16"/>
      <c r="J2401" s="11"/>
      <c r="K2401" s="12"/>
      <c r="L2401" s="12"/>
      <c r="M2401" s="12"/>
      <c r="N2401" s="31"/>
      <c r="O2401" s="7">
        <f t="shared" si="707"/>
        <v>0</v>
      </c>
    </row>
    <row r="2402" spans="1:15" x14ac:dyDescent="0.15">
      <c r="A2402" s="14" t="s">
        <v>29</v>
      </c>
      <c r="B2402" s="8"/>
      <c r="C2402" s="10"/>
      <c r="D2402" s="10"/>
      <c r="E2402" s="10"/>
      <c r="F2402" s="30">
        <v>1</v>
      </c>
      <c r="G2402" s="7">
        <f t="shared" si="706"/>
        <v>1</v>
      </c>
      <c r="H2402" s="58">
        <v>46189</v>
      </c>
      <c r="I2402" s="16"/>
      <c r="J2402" s="11"/>
      <c r="K2402" s="12"/>
      <c r="L2402" s="12"/>
      <c r="M2402" s="12"/>
      <c r="N2402" s="31"/>
      <c r="O2402" s="7">
        <f t="shared" si="707"/>
        <v>0</v>
      </c>
    </row>
    <row r="2403" spans="1:15" x14ac:dyDescent="0.15">
      <c r="A2403" s="14" t="s">
        <v>29</v>
      </c>
      <c r="B2403" s="8"/>
      <c r="C2403" s="10"/>
      <c r="D2403" s="10"/>
      <c r="E2403" s="10">
        <v>1</v>
      </c>
      <c r="F2403" s="30"/>
      <c r="G2403" s="7">
        <f t="shared" si="706"/>
        <v>1</v>
      </c>
      <c r="H2403" s="58">
        <v>46190</v>
      </c>
      <c r="I2403" s="16"/>
      <c r="J2403" s="11"/>
      <c r="K2403" s="12"/>
      <c r="L2403" s="12"/>
      <c r="M2403" s="12"/>
      <c r="N2403" s="31"/>
      <c r="O2403" s="7">
        <f t="shared" si="707"/>
        <v>0</v>
      </c>
    </row>
    <row r="2404" spans="1:15" x14ac:dyDescent="0.15">
      <c r="A2404" s="14"/>
      <c r="B2404" s="8"/>
      <c r="C2404" s="10"/>
      <c r="D2404" s="10"/>
      <c r="E2404" s="10"/>
      <c r="F2404" s="30"/>
      <c r="G2404" s="7">
        <f t="shared" si="706"/>
        <v>0</v>
      </c>
      <c r="H2404" s="58"/>
      <c r="I2404" s="16"/>
      <c r="J2404" s="11"/>
      <c r="K2404" s="12"/>
      <c r="L2404" s="12"/>
      <c r="M2404" s="12"/>
      <c r="N2404" s="31"/>
      <c r="O2404" s="7">
        <f t="shared" ref="O2404:O2405" si="708">SUM(J2404:N2404)</f>
        <v>0</v>
      </c>
    </row>
    <row r="2405" spans="1:15" ht="14.25" thickBot="1" x14ac:dyDescent="0.2">
      <c r="A2405" s="14"/>
      <c r="B2405" s="8"/>
      <c r="C2405" s="10"/>
      <c r="D2405" s="10"/>
      <c r="E2405" s="10"/>
      <c r="F2405" s="30"/>
      <c r="G2405" s="7">
        <f t="shared" si="706"/>
        <v>0</v>
      </c>
      <c r="H2405" s="57"/>
      <c r="I2405" s="94" t="s">
        <v>1666</v>
      </c>
      <c r="J2405" s="91">
        <v>20</v>
      </c>
      <c r="K2405" s="92">
        <v>25</v>
      </c>
      <c r="L2405" s="92">
        <f>27-2</f>
        <v>25</v>
      </c>
      <c r="M2405" s="92">
        <v>1</v>
      </c>
      <c r="N2405" s="93">
        <v>20</v>
      </c>
      <c r="O2405" s="61">
        <f t="shared" si="708"/>
        <v>91</v>
      </c>
    </row>
    <row r="2406" spans="1:15" ht="14.25" thickBot="1" x14ac:dyDescent="0.2">
      <c r="A2406" s="3" t="s">
        <v>11</v>
      </c>
      <c r="B2406" s="23">
        <f>SUM(B2380:B2405)</f>
        <v>7</v>
      </c>
      <c r="C2406" s="4">
        <f>SUM(C2380:C2405)</f>
        <v>16</v>
      </c>
      <c r="D2406" s="4">
        <f>SUM(D2380:D2405)</f>
        <v>5</v>
      </c>
      <c r="E2406" s="6">
        <f>SUM(E2380:E2405)</f>
        <v>9</v>
      </c>
      <c r="F2406" s="32">
        <f>SUM(F2380:F2405)</f>
        <v>6</v>
      </c>
      <c r="G2406" s="5">
        <f>SUM(B2406:F2406)</f>
        <v>43</v>
      </c>
      <c r="I2406" s="3" t="s">
        <v>11</v>
      </c>
      <c r="J2406" s="23">
        <f>SUM(J2380:J2405)</f>
        <v>30</v>
      </c>
      <c r="K2406" s="4">
        <f>SUM(K2380:K2405)</f>
        <v>36</v>
      </c>
      <c r="L2406" s="4">
        <f>SUM(L2380:L2405)</f>
        <v>30</v>
      </c>
      <c r="M2406" s="6">
        <f>SUM(M2380:M2405)</f>
        <v>9</v>
      </c>
      <c r="N2406" s="6">
        <f>SUM(N2380:N2405)</f>
        <v>25</v>
      </c>
      <c r="O2406" s="5">
        <f>SUM(J2406:N2406)</f>
        <v>130</v>
      </c>
    </row>
    <row r="2407" spans="1:15" ht="14.25" thickBot="1" x14ac:dyDescent="0.2">
      <c r="A2407" s="25" t="s">
        <v>12</v>
      </c>
      <c r="B2407" s="63">
        <f>B2379-B2406</f>
        <v>9</v>
      </c>
      <c r="C2407" s="26">
        <f t="shared" ref="C2407:G2407" si="709">C2379-C2406</f>
        <v>5</v>
      </c>
      <c r="D2407" s="71">
        <f t="shared" si="709"/>
        <v>11</v>
      </c>
      <c r="E2407" s="26">
        <f t="shared" si="709"/>
        <v>6</v>
      </c>
      <c r="F2407" s="70">
        <f t="shared" si="709"/>
        <v>6</v>
      </c>
      <c r="G2407" s="27">
        <f t="shared" si="709"/>
        <v>37</v>
      </c>
      <c r="I2407" s="25" t="s">
        <v>12</v>
      </c>
      <c r="J2407" s="63">
        <f>J2379-J2406</f>
        <v>29</v>
      </c>
      <c r="K2407" s="26">
        <f t="shared" ref="K2407:O2407" si="710">K2379-K2406</f>
        <v>1</v>
      </c>
      <c r="L2407" s="71">
        <f t="shared" si="710"/>
        <v>-3</v>
      </c>
      <c r="M2407" s="26">
        <f t="shared" si="710"/>
        <v>37</v>
      </c>
      <c r="N2407" s="70">
        <f t="shared" si="710"/>
        <v>46</v>
      </c>
      <c r="O2407" s="27">
        <f t="shared" si="710"/>
        <v>110</v>
      </c>
    </row>
    <row r="2408" spans="1:15" ht="21" x14ac:dyDescent="0.2">
      <c r="A2408" s="82" t="s">
        <v>55</v>
      </c>
      <c r="B2408" s="80"/>
      <c r="C2408" s="80"/>
      <c r="D2408" s="80"/>
      <c r="E2408" s="81" t="s">
        <v>53</v>
      </c>
      <c r="F2408" s="80"/>
      <c r="G2408" s="80"/>
      <c r="J2408" s="227">
        <f>J2407+B2407</f>
        <v>38</v>
      </c>
      <c r="K2408" s="227">
        <f t="shared" ref="K2408" si="711">K2407+C2407</f>
        <v>6</v>
      </c>
      <c r="L2408" s="227">
        <f t="shared" ref="L2408" si="712">L2407+D2407</f>
        <v>8</v>
      </c>
      <c r="M2408" s="227">
        <f t="shared" ref="M2408" si="713">M2407+E2407</f>
        <v>43</v>
      </c>
      <c r="N2408" s="227">
        <f t="shared" ref="N2408" si="714">N2407+F2407</f>
        <v>52</v>
      </c>
      <c r="O2408" s="227">
        <f t="shared" ref="O2408" si="715">O2407+G2407</f>
        <v>147</v>
      </c>
    </row>
    <row r="2409" spans="1:15" ht="14.25" thickBot="1" x14ac:dyDescent="0.2">
      <c r="J2409" s="211"/>
      <c r="K2409" s="211"/>
      <c r="L2409" s="211"/>
      <c r="M2409" s="211"/>
      <c r="N2409" s="211"/>
      <c r="O2409" s="211"/>
    </row>
    <row r="2410" spans="1:15" ht="14.25" thickBot="1" x14ac:dyDescent="0.2">
      <c r="A2410" s="13" t="s">
        <v>0</v>
      </c>
      <c r="B2410" s="228" t="s">
        <v>57</v>
      </c>
      <c r="C2410" s="229"/>
      <c r="D2410" s="229"/>
      <c r="E2410" s="229"/>
      <c r="F2410" s="230"/>
      <c r="G2410" s="231"/>
      <c r="I2410" s="13" t="s">
        <v>0</v>
      </c>
      <c r="J2410" s="232" t="s">
        <v>57</v>
      </c>
      <c r="K2410" s="233"/>
      <c r="L2410" s="233"/>
      <c r="M2410" s="233"/>
      <c r="N2410" s="233"/>
      <c r="O2410" s="234"/>
    </row>
    <row r="2411" spans="1:15" ht="14.25" thickBot="1" x14ac:dyDescent="0.2">
      <c r="A2411" s="3" t="s">
        <v>1</v>
      </c>
      <c r="B2411" s="2" t="s">
        <v>42</v>
      </c>
      <c r="C2411" s="21" t="s">
        <v>43</v>
      </c>
      <c r="D2411" s="21" t="s">
        <v>44</v>
      </c>
      <c r="E2411" s="24" t="s">
        <v>45</v>
      </c>
      <c r="F2411" s="33" t="s">
        <v>46</v>
      </c>
      <c r="G2411" s="3" t="s">
        <v>2</v>
      </c>
      <c r="I2411" s="3" t="s">
        <v>1</v>
      </c>
      <c r="J2411" s="2" t="s">
        <v>42</v>
      </c>
      <c r="K2411" s="21" t="s">
        <v>43</v>
      </c>
      <c r="L2411" s="21" t="s">
        <v>44</v>
      </c>
      <c r="M2411" s="24" t="s">
        <v>45</v>
      </c>
      <c r="N2411" s="33" t="s">
        <v>46</v>
      </c>
      <c r="O2411" s="3" t="s">
        <v>2</v>
      </c>
    </row>
    <row r="2412" spans="1:15" ht="14.25" thickBot="1" x14ac:dyDescent="0.2">
      <c r="A2412" s="72" t="s">
        <v>79</v>
      </c>
      <c r="B2412" s="73">
        <f>B2407</f>
        <v>9</v>
      </c>
      <c r="C2412" s="74">
        <f t="shared" ref="C2412:F2412" si="716">C2407</f>
        <v>5</v>
      </c>
      <c r="D2412" s="107">
        <f t="shared" si="716"/>
        <v>11</v>
      </c>
      <c r="E2412" s="75">
        <f t="shared" si="716"/>
        <v>6</v>
      </c>
      <c r="F2412" s="75">
        <f t="shared" si="716"/>
        <v>6</v>
      </c>
      <c r="G2412" s="76">
        <f t="shared" ref="G2412:G2421" si="717">SUM(B2412:F2412)</f>
        <v>37</v>
      </c>
      <c r="I2412" s="72" t="s">
        <v>79</v>
      </c>
      <c r="J2412" s="73">
        <f>J2407</f>
        <v>29</v>
      </c>
      <c r="K2412" s="74">
        <f t="shared" ref="K2412:N2412" si="718">K2407</f>
        <v>1</v>
      </c>
      <c r="L2412" s="107">
        <f t="shared" si="718"/>
        <v>-3</v>
      </c>
      <c r="M2412" s="75">
        <f t="shared" si="718"/>
        <v>37</v>
      </c>
      <c r="N2412" s="75">
        <f t="shared" si="718"/>
        <v>46</v>
      </c>
      <c r="O2412" s="76">
        <f t="shared" ref="O2412:O2421" si="719">SUM(J2412:N2412)</f>
        <v>110</v>
      </c>
    </row>
    <row r="2413" spans="1:15" x14ac:dyDescent="0.15">
      <c r="A2413" s="195" t="s">
        <v>15</v>
      </c>
      <c r="B2413" s="11"/>
      <c r="C2413" s="100"/>
      <c r="D2413" s="100"/>
      <c r="E2413" s="100"/>
      <c r="F2413" s="101"/>
      <c r="G2413" s="102">
        <f t="shared" si="717"/>
        <v>0</v>
      </c>
      <c r="H2413" s="58"/>
      <c r="I2413" s="15" t="s">
        <v>15</v>
      </c>
      <c r="J2413" s="8"/>
      <c r="K2413" s="10"/>
      <c r="L2413" s="10"/>
      <c r="M2413" s="10"/>
      <c r="N2413" s="30"/>
      <c r="O2413" s="7">
        <f t="shared" si="719"/>
        <v>0</v>
      </c>
    </row>
    <row r="2414" spans="1:15" x14ac:dyDescent="0.15">
      <c r="A2414" s="195" t="s">
        <v>16</v>
      </c>
      <c r="B2414" s="166"/>
      <c r="C2414" s="224"/>
      <c r="D2414" s="224"/>
      <c r="E2414" s="224"/>
      <c r="F2414" s="225"/>
      <c r="G2414" s="226">
        <f t="shared" si="717"/>
        <v>0</v>
      </c>
      <c r="H2414" s="162"/>
      <c r="I2414" s="15" t="s">
        <v>16</v>
      </c>
      <c r="J2414" s="8"/>
      <c r="K2414" s="10"/>
      <c r="L2414" s="10"/>
      <c r="M2414" s="10"/>
      <c r="N2414" s="30"/>
      <c r="O2414" s="7">
        <f t="shared" si="719"/>
        <v>0</v>
      </c>
    </row>
    <row r="2415" spans="1:15" x14ac:dyDescent="0.15">
      <c r="A2415" s="195" t="s">
        <v>18</v>
      </c>
      <c r="B2415" s="166"/>
      <c r="C2415" s="224"/>
      <c r="D2415" s="224"/>
      <c r="E2415" s="224"/>
      <c r="F2415" s="225"/>
      <c r="G2415" s="226">
        <f t="shared" si="717"/>
        <v>0</v>
      </c>
      <c r="H2415" s="162"/>
      <c r="I2415" s="15" t="s">
        <v>18</v>
      </c>
      <c r="J2415" s="8"/>
      <c r="K2415" s="10"/>
      <c r="L2415" s="10"/>
      <c r="M2415" s="10"/>
      <c r="N2415" s="30"/>
      <c r="O2415" s="7">
        <f t="shared" si="719"/>
        <v>0</v>
      </c>
    </row>
    <row r="2416" spans="1:15" x14ac:dyDescent="0.15">
      <c r="A2416" s="195" t="s">
        <v>20</v>
      </c>
      <c r="B2416" s="11"/>
      <c r="C2416" s="100"/>
      <c r="D2416" s="100"/>
      <c r="E2416" s="100"/>
      <c r="F2416" s="101"/>
      <c r="G2416" s="102">
        <f t="shared" si="717"/>
        <v>0</v>
      </c>
      <c r="H2416" s="58"/>
      <c r="I2416" s="15" t="s">
        <v>20</v>
      </c>
      <c r="J2416" s="8"/>
      <c r="K2416" s="10"/>
      <c r="L2416" s="10"/>
      <c r="M2416" s="10"/>
      <c r="N2416" s="30"/>
      <c r="O2416" s="7">
        <f t="shared" si="719"/>
        <v>0</v>
      </c>
    </row>
    <row r="2417" spans="1:15" x14ac:dyDescent="0.15">
      <c r="A2417" s="195" t="s">
        <v>80</v>
      </c>
      <c r="B2417" s="11"/>
      <c r="C2417" s="100"/>
      <c r="D2417" s="100"/>
      <c r="E2417" s="100"/>
      <c r="F2417" s="101"/>
      <c r="G2417" s="102">
        <f t="shared" si="717"/>
        <v>0</v>
      </c>
      <c r="H2417" s="58"/>
      <c r="I2417" s="15" t="s">
        <v>80</v>
      </c>
      <c r="J2417" s="8"/>
      <c r="K2417" s="10"/>
      <c r="L2417" s="10"/>
      <c r="M2417" s="10"/>
      <c r="N2417" s="30"/>
      <c r="O2417" s="7">
        <f t="shared" si="719"/>
        <v>0</v>
      </c>
    </row>
    <row r="2418" spans="1:15" x14ac:dyDescent="0.15">
      <c r="A2418" s="195" t="s">
        <v>81</v>
      </c>
      <c r="B2418" s="166"/>
      <c r="C2418" s="224"/>
      <c r="D2418" s="224"/>
      <c r="E2418" s="224"/>
      <c r="F2418" s="225"/>
      <c r="G2418" s="226">
        <f t="shared" si="717"/>
        <v>0</v>
      </c>
      <c r="H2418" s="162"/>
      <c r="I2418" s="15" t="s">
        <v>81</v>
      </c>
      <c r="J2418" s="8"/>
      <c r="K2418" s="10"/>
      <c r="L2418" s="10"/>
      <c r="M2418" s="10"/>
      <c r="N2418" s="30"/>
      <c r="O2418" s="7">
        <f t="shared" si="719"/>
        <v>0</v>
      </c>
    </row>
    <row r="2419" spans="1:15" x14ac:dyDescent="0.15">
      <c r="A2419" s="195" t="s">
        <v>82</v>
      </c>
      <c r="B2419" s="11"/>
      <c r="C2419" s="100"/>
      <c r="D2419" s="100"/>
      <c r="E2419" s="100"/>
      <c r="F2419" s="101"/>
      <c r="G2419" s="102">
        <f t="shared" si="717"/>
        <v>0</v>
      </c>
      <c r="H2419" s="58"/>
      <c r="I2419" s="15" t="s">
        <v>82</v>
      </c>
      <c r="J2419" s="8"/>
      <c r="K2419" s="10"/>
      <c r="L2419" s="10"/>
      <c r="M2419" s="10"/>
      <c r="N2419" s="30"/>
      <c r="O2419" s="7">
        <f t="shared" si="719"/>
        <v>0</v>
      </c>
    </row>
    <row r="2420" spans="1:15" x14ac:dyDescent="0.15">
      <c r="A2420" s="195" t="s">
        <v>83</v>
      </c>
      <c r="B2420" s="11"/>
      <c r="C2420" s="100"/>
      <c r="D2420" s="100"/>
      <c r="E2420" s="100"/>
      <c r="F2420" s="101"/>
      <c r="G2420" s="102">
        <f t="shared" si="717"/>
        <v>0</v>
      </c>
      <c r="H2420" s="58"/>
      <c r="I2420" s="15" t="s">
        <v>83</v>
      </c>
      <c r="J2420" s="8"/>
      <c r="K2420" s="10"/>
      <c r="L2420" s="10"/>
      <c r="M2420" s="10"/>
      <c r="N2420" s="30"/>
      <c r="O2420" s="7">
        <f t="shared" si="719"/>
        <v>0</v>
      </c>
    </row>
    <row r="2421" spans="1:15" ht="14.25" thickBot="1" x14ac:dyDescent="0.2">
      <c r="A2421" s="195" t="s">
        <v>159</v>
      </c>
      <c r="B2421" s="11"/>
      <c r="C2421" s="100"/>
      <c r="D2421" s="100"/>
      <c r="E2421" s="100"/>
      <c r="F2421" s="101"/>
      <c r="G2421" s="102">
        <f t="shared" si="717"/>
        <v>0</v>
      </c>
      <c r="H2421" s="57"/>
      <c r="I2421" s="15" t="s">
        <v>87</v>
      </c>
      <c r="J2421" s="11"/>
      <c r="K2421" s="100"/>
      <c r="L2421" s="100"/>
      <c r="M2421" s="100"/>
      <c r="N2421" s="101"/>
      <c r="O2421" s="102">
        <f t="shared" si="719"/>
        <v>0</v>
      </c>
    </row>
    <row r="2422" spans="1:15" ht="14.25" thickBot="1" x14ac:dyDescent="0.2">
      <c r="A2422" s="72" t="s">
        <v>7</v>
      </c>
      <c r="B2422" s="73">
        <f>SUM(B2412:B2421)</f>
        <v>9</v>
      </c>
      <c r="C2422" s="74">
        <f t="shared" ref="C2422:G2422" si="720">SUM(C2412:C2421)</f>
        <v>5</v>
      </c>
      <c r="D2422" s="74">
        <f t="shared" si="720"/>
        <v>11</v>
      </c>
      <c r="E2422" s="74">
        <f t="shared" si="720"/>
        <v>6</v>
      </c>
      <c r="F2422" s="105">
        <f t="shared" si="720"/>
        <v>6</v>
      </c>
      <c r="G2422" s="76">
        <f t="shared" si="720"/>
        <v>37</v>
      </c>
      <c r="I2422" s="72" t="s">
        <v>7</v>
      </c>
      <c r="J2422" s="73">
        <f>SUM(J2412:J2421)</f>
        <v>29</v>
      </c>
      <c r="K2422" s="74">
        <f t="shared" ref="K2422:O2422" si="721">SUM(K2412:K2421)</f>
        <v>1</v>
      </c>
      <c r="L2422" s="74">
        <f t="shared" si="721"/>
        <v>-3</v>
      </c>
      <c r="M2422" s="74">
        <f t="shared" si="721"/>
        <v>37</v>
      </c>
      <c r="N2422" s="105">
        <f t="shared" si="721"/>
        <v>46</v>
      </c>
      <c r="O2422" s="76">
        <f t="shared" si="721"/>
        <v>110</v>
      </c>
    </row>
    <row r="2423" spans="1:15" x14ac:dyDescent="0.15">
      <c r="A2423" s="14"/>
      <c r="B2423" s="8"/>
      <c r="C2423" s="10"/>
      <c r="D2423" s="10"/>
      <c r="E2423" s="10"/>
      <c r="F2423" s="30"/>
      <c r="G2423" s="7">
        <f t="shared" ref="G2423:G2448" si="722">SUM(B2423:F2423)</f>
        <v>0</v>
      </c>
      <c r="H2423" s="58"/>
      <c r="I2423" s="16"/>
      <c r="J2423" s="11"/>
      <c r="K2423" s="12"/>
      <c r="L2423" s="12"/>
      <c r="M2423" s="12"/>
      <c r="N2423" s="31"/>
      <c r="O2423" s="7">
        <f t="shared" ref="O2423:O2426" si="723">SUM(J2423:N2423)</f>
        <v>0</v>
      </c>
    </row>
    <row r="2424" spans="1:15" x14ac:dyDescent="0.15">
      <c r="A2424" s="14"/>
      <c r="B2424" s="8"/>
      <c r="C2424" s="10"/>
      <c r="D2424" s="10"/>
      <c r="E2424" s="10"/>
      <c r="F2424" s="30"/>
      <c r="G2424" s="7">
        <f t="shared" si="722"/>
        <v>0</v>
      </c>
      <c r="H2424" s="58"/>
      <c r="I2424" s="16"/>
      <c r="J2424" s="11"/>
      <c r="K2424" s="12"/>
      <c r="L2424" s="12"/>
      <c r="M2424" s="12"/>
      <c r="N2424" s="31"/>
      <c r="O2424" s="7">
        <f t="shared" si="723"/>
        <v>0</v>
      </c>
    </row>
    <row r="2425" spans="1:15" x14ac:dyDescent="0.15">
      <c r="A2425" s="14"/>
      <c r="B2425" s="8"/>
      <c r="C2425" s="10"/>
      <c r="D2425" s="10"/>
      <c r="E2425" s="10"/>
      <c r="F2425" s="30"/>
      <c r="G2425" s="7">
        <f t="shared" si="722"/>
        <v>0</v>
      </c>
      <c r="H2425" s="58"/>
      <c r="I2425" s="16"/>
      <c r="J2425" s="11"/>
      <c r="K2425" s="12"/>
      <c r="L2425" s="12"/>
      <c r="M2425" s="12"/>
      <c r="N2425" s="31"/>
      <c r="O2425" s="7">
        <f t="shared" si="723"/>
        <v>0</v>
      </c>
    </row>
    <row r="2426" spans="1:15" x14ac:dyDescent="0.15">
      <c r="A2426" s="14"/>
      <c r="B2426" s="8"/>
      <c r="C2426" s="10"/>
      <c r="D2426" s="10"/>
      <c r="E2426" s="10"/>
      <c r="F2426" s="30"/>
      <c r="G2426" s="7">
        <f t="shared" si="722"/>
        <v>0</v>
      </c>
      <c r="H2426" s="58"/>
      <c r="I2426" s="16"/>
      <c r="J2426" s="11"/>
      <c r="K2426" s="12"/>
      <c r="L2426" s="12"/>
      <c r="M2426" s="12"/>
      <c r="N2426" s="31"/>
      <c r="O2426" s="7">
        <f t="shared" si="723"/>
        <v>0</v>
      </c>
    </row>
    <row r="2427" spans="1:15" x14ac:dyDescent="0.15">
      <c r="A2427" s="14"/>
      <c r="B2427" s="8"/>
      <c r="C2427" s="10"/>
      <c r="D2427" s="10"/>
      <c r="E2427" s="10"/>
      <c r="F2427" s="30"/>
      <c r="G2427" s="7">
        <f t="shared" si="722"/>
        <v>0</v>
      </c>
      <c r="H2427" s="58"/>
      <c r="I2427" s="16"/>
      <c r="J2427" s="11"/>
      <c r="K2427" s="12"/>
      <c r="L2427" s="12"/>
      <c r="M2427" s="12"/>
      <c r="N2427" s="31"/>
      <c r="O2427" s="7">
        <f t="shared" ref="O2427:O2447" si="724">SUM(J2427:N2427)</f>
        <v>0</v>
      </c>
    </row>
    <row r="2428" spans="1:15" x14ac:dyDescent="0.15">
      <c r="A2428" s="14"/>
      <c r="B2428" s="8"/>
      <c r="C2428" s="10"/>
      <c r="D2428" s="10"/>
      <c r="E2428" s="10"/>
      <c r="F2428" s="30"/>
      <c r="G2428" s="7">
        <f t="shared" si="722"/>
        <v>0</v>
      </c>
      <c r="H2428" s="58"/>
      <c r="I2428" s="16"/>
      <c r="J2428" s="11"/>
      <c r="K2428" s="12"/>
      <c r="L2428" s="12"/>
      <c r="M2428" s="12"/>
      <c r="N2428" s="31"/>
      <c r="O2428" s="7">
        <f t="shared" si="724"/>
        <v>0</v>
      </c>
    </row>
    <row r="2429" spans="1:15" x14ac:dyDescent="0.15">
      <c r="A2429" s="14"/>
      <c r="B2429" s="8"/>
      <c r="C2429" s="10"/>
      <c r="D2429" s="10"/>
      <c r="E2429" s="10"/>
      <c r="F2429" s="30"/>
      <c r="G2429" s="7">
        <f t="shared" si="722"/>
        <v>0</v>
      </c>
      <c r="H2429" s="58"/>
      <c r="I2429" s="16"/>
      <c r="J2429" s="11"/>
      <c r="K2429" s="12"/>
      <c r="L2429" s="12"/>
      <c r="M2429" s="12"/>
      <c r="N2429" s="31"/>
      <c r="O2429" s="7">
        <f t="shared" si="724"/>
        <v>0</v>
      </c>
    </row>
    <row r="2430" spans="1:15" x14ac:dyDescent="0.15">
      <c r="A2430" s="14"/>
      <c r="B2430" s="8"/>
      <c r="C2430" s="10"/>
      <c r="D2430" s="10"/>
      <c r="E2430" s="10"/>
      <c r="F2430" s="30"/>
      <c r="G2430" s="7">
        <f t="shared" si="722"/>
        <v>0</v>
      </c>
      <c r="H2430" s="58"/>
      <c r="I2430" s="16"/>
      <c r="J2430" s="11"/>
      <c r="K2430" s="12"/>
      <c r="L2430" s="12"/>
      <c r="M2430" s="12"/>
      <c r="N2430" s="31"/>
      <c r="O2430" s="7">
        <f t="shared" si="724"/>
        <v>0</v>
      </c>
    </row>
    <row r="2431" spans="1:15" x14ac:dyDescent="0.15">
      <c r="A2431" s="14"/>
      <c r="B2431" s="8"/>
      <c r="C2431" s="10"/>
      <c r="D2431" s="10"/>
      <c r="E2431" s="10"/>
      <c r="F2431" s="30"/>
      <c r="G2431" s="7">
        <f t="shared" si="722"/>
        <v>0</v>
      </c>
      <c r="H2431" s="58"/>
      <c r="I2431" s="16"/>
      <c r="J2431" s="11"/>
      <c r="K2431" s="12"/>
      <c r="L2431" s="12"/>
      <c r="M2431" s="12"/>
      <c r="N2431" s="31"/>
      <c r="O2431" s="7">
        <f t="shared" si="724"/>
        <v>0</v>
      </c>
    </row>
    <row r="2432" spans="1:15" x14ac:dyDescent="0.15">
      <c r="A2432" s="14"/>
      <c r="B2432" s="8"/>
      <c r="C2432" s="10"/>
      <c r="D2432" s="10"/>
      <c r="E2432" s="10"/>
      <c r="F2432" s="30"/>
      <c r="G2432" s="7">
        <f t="shared" si="722"/>
        <v>0</v>
      </c>
      <c r="H2432" s="58"/>
      <c r="I2432" s="16"/>
      <c r="J2432" s="11"/>
      <c r="K2432" s="12"/>
      <c r="L2432" s="12"/>
      <c r="M2432" s="12"/>
      <c r="N2432" s="31"/>
      <c r="O2432" s="7">
        <f t="shared" si="724"/>
        <v>0</v>
      </c>
    </row>
    <row r="2433" spans="1:15" x14ac:dyDescent="0.15">
      <c r="A2433" s="14"/>
      <c r="B2433" s="8"/>
      <c r="C2433" s="10"/>
      <c r="D2433" s="10"/>
      <c r="E2433" s="10"/>
      <c r="F2433" s="30"/>
      <c r="G2433" s="7">
        <f t="shared" si="722"/>
        <v>0</v>
      </c>
      <c r="H2433" s="58"/>
      <c r="I2433" s="16"/>
      <c r="J2433" s="11"/>
      <c r="K2433" s="12"/>
      <c r="L2433" s="12"/>
      <c r="M2433" s="12"/>
      <c r="N2433" s="31"/>
      <c r="O2433" s="7">
        <f t="shared" si="724"/>
        <v>0</v>
      </c>
    </row>
    <row r="2434" spans="1:15" x14ac:dyDescent="0.15">
      <c r="A2434" s="14"/>
      <c r="B2434" s="8"/>
      <c r="C2434" s="10"/>
      <c r="D2434" s="10"/>
      <c r="E2434" s="10"/>
      <c r="F2434" s="30"/>
      <c r="G2434" s="7">
        <f t="shared" si="722"/>
        <v>0</v>
      </c>
      <c r="H2434" s="58"/>
      <c r="I2434" s="16"/>
      <c r="J2434" s="11"/>
      <c r="K2434" s="12"/>
      <c r="L2434" s="12"/>
      <c r="M2434" s="12"/>
      <c r="N2434" s="31"/>
      <c r="O2434" s="7">
        <f t="shared" si="724"/>
        <v>0</v>
      </c>
    </row>
    <row r="2435" spans="1:15" x14ac:dyDescent="0.15">
      <c r="A2435" s="14"/>
      <c r="B2435" s="8"/>
      <c r="C2435" s="10"/>
      <c r="D2435" s="10"/>
      <c r="E2435" s="10"/>
      <c r="F2435" s="30"/>
      <c r="G2435" s="7">
        <f t="shared" si="722"/>
        <v>0</v>
      </c>
      <c r="H2435" s="58"/>
      <c r="I2435" s="16"/>
      <c r="J2435" s="11"/>
      <c r="K2435" s="12"/>
      <c r="L2435" s="12"/>
      <c r="M2435" s="12"/>
      <c r="N2435" s="31"/>
      <c r="O2435" s="7">
        <f t="shared" si="724"/>
        <v>0</v>
      </c>
    </row>
    <row r="2436" spans="1:15" x14ac:dyDescent="0.15">
      <c r="A2436" s="14"/>
      <c r="B2436" s="8"/>
      <c r="C2436" s="10"/>
      <c r="D2436" s="10"/>
      <c r="E2436" s="10"/>
      <c r="F2436" s="30"/>
      <c r="G2436" s="7">
        <f t="shared" si="722"/>
        <v>0</v>
      </c>
      <c r="H2436" s="58"/>
      <c r="I2436" s="16"/>
      <c r="J2436" s="11"/>
      <c r="K2436" s="12"/>
      <c r="L2436" s="12"/>
      <c r="M2436" s="12"/>
      <c r="N2436" s="31"/>
      <c r="O2436" s="7">
        <f t="shared" si="724"/>
        <v>0</v>
      </c>
    </row>
    <row r="2437" spans="1:15" x14ac:dyDescent="0.15">
      <c r="A2437" s="14"/>
      <c r="B2437" s="8"/>
      <c r="C2437" s="10"/>
      <c r="D2437" s="10"/>
      <c r="E2437" s="10"/>
      <c r="F2437" s="30"/>
      <c r="G2437" s="7">
        <f t="shared" si="722"/>
        <v>0</v>
      </c>
      <c r="H2437" s="58"/>
      <c r="I2437" s="16"/>
      <c r="J2437" s="11"/>
      <c r="K2437" s="12"/>
      <c r="L2437" s="12"/>
      <c r="M2437" s="12"/>
      <c r="N2437" s="31"/>
      <c r="O2437" s="7">
        <f t="shared" si="724"/>
        <v>0</v>
      </c>
    </row>
    <row r="2438" spans="1:15" x14ac:dyDescent="0.15">
      <c r="A2438" s="14"/>
      <c r="B2438" s="8"/>
      <c r="C2438" s="10"/>
      <c r="D2438" s="10"/>
      <c r="E2438" s="10"/>
      <c r="F2438" s="30"/>
      <c r="G2438" s="7">
        <f t="shared" si="722"/>
        <v>0</v>
      </c>
      <c r="H2438" s="58"/>
      <c r="I2438" s="16"/>
      <c r="J2438" s="11"/>
      <c r="K2438" s="12"/>
      <c r="L2438" s="12"/>
      <c r="M2438" s="12"/>
      <c r="N2438" s="31"/>
      <c r="O2438" s="7">
        <f t="shared" si="724"/>
        <v>0</v>
      </c>
    </row>
    <row r="2439" spans="1:15" x14ac:dyDescent="0.15">
      <c r="A2439" s="14"/>
      <c r="B2439" s="8"/>
      <c r="C2439" s="10"/>
      <c r="D2439" s="10"/>
      <c r="E2439" s="10"/>
      <c r="F2439" s="30"/>
      <c r="G2439" s="7">
        <f t="shared" si="722"/>
        <v>0</v>
      </c>
      <c r="H2439" s="58"/>
      <c r="I2439" s="194"/>
      <c r="J2439" s="166"/>
      <c r="K2439" s="167"/>
      <c r="L2439" s="167"/>
      <c r="M2439" s="167"/>
      <c r="N2439" s="168"/>
      <c r="O2439" s="161">
        <f t="shared" si="724"/>
        <v>0</v>
      </c>
    </row>
    <row r="2440" spans="1:15" x14ac:dyDescent="0.15">
      <c r="A2440" s="14"/>
      <c r="B2440" s="8"/>
      <c r="C2440" s="10"/>
      <c r="D2440" s="10"/>
      <c r="E2440" s="10"/>
      <c r="F2440" s="30"/>
      <c r="G2440" s="7">
        <f t="shared" si="722"/>
        <v>0</v>
      </c>
      <c r="H2440" s="58"/>
      <c r="I2440" s="16"/>
      <c r="J2440" s="11"/>
      <c r="K2440" s="12"/>
      <c r="L2440" s="12"/>
      <c r="M2440" s="12"/>
      <c r="N2440" s="31"/>
      <c r="O2440" s="7">
        <f t="shared" si="724"/>
        <v>0</v>
      </c>
    </row>
    <row r="2441" spans="1:15" x14ac:dyDescent="0.15">
      <c r="A2441" s="14"/>
      <c r="B2441" s="8"/>
      <c r="C2441" s="10"/>
      <c r="D2441" s="10"/>
      <c r="E2441" s="10"/>
      <c r="F2441" s="30"/>
      <c r="G2441" s="7">
        <f t="shared" si="722"/>
        <v>0</v>
      </c>
      <c r="H2441" s="58"/>
      <c r="I2441" s="16"/>
      <c r="J2441" s="11"/>
      <c r="K2441" s="12"/>
      <c r="L2441" s="12"/>
      <c r="M2441" s="12"/>
      <c r="N2441" s="31"/>
      <c r="O2441" s="7">
        <f t="shared" si="724"/>
        <v>0</v>
      </c>
    </row>
    <row r="2442" spans="1:15" x14ac:dyDescent="0.15">
      <c r="A2442" s="14"/>
      <c r="B2442" s="8"/>
      <c r="C2442" s="10"/>
      <c r="D2442" s="10"/>
      <c r="E2442" s="10"/>
      <c r="F2442" s="30"/>
      <c r="G2442" s="7">
        <f t="shared" si="722"/>
        <v>0</v>
      </c>
      <c r="H2442" s="58"/>
      <c r="I2442" s="16"/>
      <c r="J2442" s="11"/>
      <c r="K2442" s="12"/>
      <c r="L2442" s="12"/>
      <c r="M2442" s="12"/>
      <c r="N2442" s="31"/>
      <c r="O2442" s="7">
        <f t="shared" si="724"/>
        <v>0</v>
      </c>
    </row>
    <row r="2443" spans="1:15" x14ac:dyDescent="0.15">
      <c r="A2443" s="14"/>
      <c r="B2443" s="8"/>
      <c r="C2443" s="10"/>
      <c r="D2443" s="10"/>
      <c r="E2443" s="10"/>
      <c r="F2443" s="30"/>
      <c r="G2443" s="7">
        <f t="shared" si="722"/>
        <v>0</v>
      </c>
      <c r="H2443" s="58"/>
      <c r="I2443" s="16"/>
      <c r="J2443" s="11"/>
      <c r="K2443" s="12"/>
      <c r="L2443" s="12"/>
      <c r="M2443" s="12"/>
      <c r="N2443" s="31"/>
      <c r="O2443" s="7">
        <f t="shared" si="724"/>
        <v>0</v>
      </c>
    </row>
    <row r="2444" spans="1:15" x14ac:dyDescent="0.15">
      <c r="A2444" s="14"/>
      <c r="B2444" s="8"/>
      <c r="C2444" s="10"/>
      <c r="D2444" s="10"/>
      <c r="E2444" s="10"/>
      <c r="F2444" s="30"/>
      <c r="G2444" s="7">
        <f t="shared" si="722"/>
        <v>0</v>
      </c>
      <c r="H2444" s="58"/>
      <c r="I2444" s="16"/>
      <c r="J2444" s="11"/>
      <c r="K2444" s="12"/>
      <c r="L2444" s="12"/>
      <c r="M2444" s="12"/>
      <c r="N2444" s="31"/>
      <c r="O2444" s="7">
        <f t="shared" si="724"/>
        <v>0</v>
      </c>
    </row>
    <row r="2445" spans="1:15" x14ac:dyDescent="0.15">
      <c r="A2445" s="14"/>
      <c r="B2445" s="8"/>
      <c r="C2445" s="10"/>
      <c r="D2445" s="10"/>
      <c r="E2445" s="10"/>
      <c r="F2445" s="30"/>
      <c r="G2445" s="7">
        <f t="shared" si="722"/>
        <v>0</v>
      </c>
      <c r="H2445" s="58"/>
      <c r="I2445" s="16"/>
      <c r="J2445" s="11"/>
      <c r="K2445" s="12"/>
      <c r="L2445" s="12"/>
      <c r="M2445" s="12"/>
      <c r="N2445" s="31"/>
      <c r="O2445" s="7">
        <f t="shared" si="724"/>
        <v>0</v>
      </c>
    </row>
    <row r="2446" spans="1:15" x14ac:dyDescent="0.15">
      <c r="A2446" s="14"/>
      <c r="B2446" s="8"/>
      <c r="C2446" s="10"/>
      <c r="D2446" s="10"/>
      <c r="E2446" s="10"/>
      <c r="F2446" s="30"/>
      <c r="G2446" s="7">
        <f t="shared" si="722"/>
        <v>0</v>
      </c>
      <c r="H2446" s="58"/>
      <c r="I2446" s="16"/>
      <c r="J2446" s="11"/>
      <c r="K2446" s="12"/>
      <c r="L2446" s="12"/>
      <c r="M2446" s="12"/>
      <c r="N2446" s="31"/>
      <c r="O2446" s="7">
        <f t="shared" si="724"/>
        <v>0</v>
      </c>
    </row>
    <row r="2447" spans="1:15" x14ac:dyDescent="0.15">
      <c r="A2447" s="14"/>
      <c r="B2447" s="8"/>
      <c r="C2447" s="10"/>
      <c r="D2447" s="10"/>
      <c r="E2447" s="10"/>
      <c r="F2447" s="30"/>
      <c r="G2447" s="7">
        <f t="shared" si="722"/>
        <v>0</v>
      </c>
      <c r="H2447" s="58"/>
      <c r="I2447" s="16"/>
      <c r="J2447" s="11"/>
      <c r="K2447" s="12"/>
      <c r="L2447" s="12"/>
      <c r="M2447" s="12"/>
      <c r="N2447" s="31"/>
      <c r="O2447" s="7">
        <f t="shared" si="724"/>
        <v>0</v>
      </c>
    </row>
    <row r="2448" spans="1:15" ht="14.25" thickBot="1" x14ac:dyDescent="0.2">
      <c r="A2448" s="14"/>
      <c r="B2448" s="8"/>
      <c r="C2448" s="10"/>
      <c r="D2448" s="10"/>
      <c r="E2448" s="10"/>
      <c r="F2448" s="30"/>
      <c r="G2448" s="7">
        <f t="shared" si="722"/>
        <v>0</v>
      </c>
      <c r="H2448" s="57"/>
      <c r="I2448" s="16"/>
      <c r="J2448" s="11"/>
      <c r="K2448" s="12"/>
      <c r="L2448" s="12"/>
      <c r="M2448" s="12"/>
      <c r="N2448" s="31"/>
      <c r="O2448" s="7">
        <f t="shared" ref="O2448" si="725">SUM(J2448:N2448)</f>
        <v>0</v>
      </c>
    </row>
    <row r="2449" spans="1:15" ht="14.25" thickBot="1" x14ac:dyDescent="0.2">
      <c r="A2449" s="3" t="s">
        <v>11</v>
      </c>
      <c r="B2449" s="23">
        <f>SUM(B2423:B2448)</f>
        <v>0</v>
      </c>
      <c r="C2449" s="4">
        <f>SUM(C2423:C2448)</f>
        <v>0</v>
      </c>
      <c r="D2449" s="4">
        <f>SUM(D2423:D2448)</f>
        <v>0</v>
      </c>
      <c r="E2449" s="6">
        <f>SUM(E2423:E2448)</f>
        <v>0</v>
      </c>
      <c r="F2449" s="32">
        <f>SUM(F2423:F2448)</f>
        <v>0</v>
      </c>
      <c r="G2449" s="5">
        <f>SUM(B2449:F2449)</f>
        <v>0</v>
      </c>
      <c r="I2449" s="3" t="s">
        <v>11</v>
      </c>
      <c r="J2449" s="23">
        <f>SUM(J2423:J2448)</f>
        <v>0</v>
      </c>
      <c r="K2449" s="4">
        <f>SUM(K2423:K2448)</f>
        <v>0</v>
      </c>
      <c r="L2449" s="4">
        <f>SUM(L2423:L2448)</f>
        <v>0</v>
      </c>
      <c r="M2449" s="6">
        <f>SUM(M2423:M2448)</f>
        <v>0</v>
      </c>
      <c r="N2449" s="6">
        <f>SUM(N2423:N2448)</f>
        <v>0</v>
      </c>
      <c r="O2449" s="5">
        <f>SUM(J2449:N2449)</f>
        <v>0</v>
      </c>
    </row>
    <row r="2450" spans="1:15" ht="14.25" thickBot="1" x14ac:dyDescent="0.2">
      <c r="A2450" s="25" t="s">
        <v>12</v>
      </c>
      <c r="B2450" s="63">
        <f>B2422-B2449</f>
        <v>9</v>
      </c>
      <c r="C2450" s="26">
        <f t="shared" ref="C2450:G2450" si="726">C2422-C2449</f>
        <v>5</v>
      </c>
      <c r="D2450" s="71">
        <f t="shared" si="726"/>
        <v>11</v>
      </c>
      <c r="E2450" s="26">
        <f t="shared" si="726"/>
        <v>6</v>
      </c>
      <c r="F2450" s="70">
        <f t="shared" si="726"/>
        <v>6</v>
      </c>
      <c r="G2450" s="27">
        <f t="shared" si="726"/>
        <v>37</v>
      </c>
      <c r="I2450" s="25" t="s">
        <v>12</v>
      </c>
      <c r="J2450" s="63">
        <f>J2422-J2449</f>
        <v>29</v>
      </c>
      <c r="K2450" s="26">
        <f t="shared" ref="K2450:O2450" si="727">K2422-K2449</f>
        <v>1</v>
      </c>
      <c r="L2450" s="71">
        <f t="shared" si="727"/>
        <v>-3</v>
      </c>
      <c r="M2450" s="26">
        <f t="shared" si="727"/>
        <v>37</v>
      </c>
      <c r="N2450" s="70">
        <f t="shared" si="727"/>
        <v>46</v>
      </c>
      <c r="O2450" s="27">
        <f t="shared" si="727"/>
        <v>110</v>
      </c>
    </row>
  </sheetData>
  <mergeCells count="114">
    <mergeCell ref="B2410:G2410"/>
    <mergeCell ref="J2410:O2410"/>
    <mergeCell ref="B2324:G2324"/>
    <mergeCell ref="J2324:O2324"/>
    <mergeCell ref="B2195:G2195"/>
    <mergeCell ref="J2195:O2195"/>
    <mergeCell ref="B2152:G2152"/>
    <mergeCell ref="J2152:O2152"/>
    <mergeCell ref="B1980:G1980"/>
    <mergeCell ref="B2281:G2281"/>
    <mergeCell ref="J2281:O2281"/>
    <mergeCell ref="B2238:G2238"/>
    <mergeCell ref="J2238:O2238"/>
    <mergeCell ref="B2367:G2367"/>
    <mergeCell ref="J2367:O2367"/>
    <mergeCell ref="B1808:G1808"/>
    <mergeCell ref="J1808:O1808"/>
    <mergeCell ref="B2109:G2109"/>
    <mergeCell ref="J2109:O2109"/>
    <mergeCell ref="B2066:G2066"/>
    <mergeCell ref="J2066:O2066"/>
    <mergeCell ref="B2023:G2023"/>
    <mergeCell ref="J2023:O2023"/>
    <mergeCell ref="B1937:G1937"/>
    <mergeCell ref="J1937:O1937"/>
    <mergeCell ref="B1894:G1894"/>
    <mergeCell ref="J1894:O1894"/>
    <mergeCell ref="B1851:G1851"/>
    <mergeCell ref="J1851:O1851"/>
    <mergeCell ref="J1980:O1980"/>
    <mergeCell ref="B3:G3"/>
    <mergeCell ref="J3:O3"/>
    <mergeCell ref="B88:G88"/>
    <mergeCell ref="J88:O88"/>
    <mergeCell ref="B45:G45"/>
    <mergeCell ref="J45:O45"/>
    <mergeCell ref="B260:G260"/>
    <mergeCell ref="J260:O260"/>
    <mergeCell ref="B303:G303"/>
    <mergeCell ref="J303:O303"/>
    <mergeCell ref="J131:O131"/>
    <mergeCell ref="B131:G131"/>
    <mergeCell ref="B174:G174"/>
    <mergeCell ref="J174:O174"/>
    <mergeCell ref="B217:G217"/>
    <mergeCell ref="J217:O217"/>
    <mergeCell ref="J561:O561"/>
    <mergeCell ref="B561:G561"/>
    <mergeCell ref="J346:O346"/>
    <mergeCell ref="B346:G346"/>
    <mergeCell ref="B475:G475"/>
    <mergeCell ref="J475:O475"/>
    <mergeCell ref="B432:G432"/>
    <mergeCell ref="J389:O389"/>
    <mergeCell ref="B389:G389"/>
    <mergeCell ref="J432:O432"/>
    <mergeCell ref="B518:G518"/>
    <mergeCell ref="J518:O518"/>
    <mergeCell ref="J604:O604"/>
    <mergeCell ref="B604:G604"/>
    <mergeCell ref="B1550:G1550"/>
    <mergeCell ref="J1550:O1550"/>
    <mergeCell ref="B1507:G1507"/>
    <mergeCell ref="J1507:O1507"/>
    <mergeCell ref="B647:G647"/>
    <mergeCell ref="J647:O647"/>
    <mergeCell ref="B905:G905"/>
    <mergeCell ref="J905:O905"/>
    <mergeCell ref="J819:O819"/>
    <mergeCell ref="B819:G819"/>
    <mergeCell ref="B862:G862"/>
    <mergeCell ref="J862:O862"/>
    <mergeCell ref="B948:G948"/>
    <mergeCell ref="J948:O948"/>
    <mergeCell ref="B991:G991"/>
    <mergeCell ref="J991:O991"/>
    <mergeCell ref="B1206:G1206"/>
    <mergeCell ref="J1206:O1206"/>
    <mergeCell ref="B1120:G1120"/>
    <mergeCell ref="J1120:O1120"/>
    <mergeCell ref="B1034:G1034"/>
    <mergeCell ref="J1034:O1034"/>
    <mergeCell ref="B690:G690"/>
    <mergeCell ref="B776:G776"/>
    <mergeCell ref="J776:O776"/>
    <mergeCell ref="J733:O733"/>
    <mergeCell ref="B733:G733"/>
    <mergeCell ref="J690:O690"/>
    <mergeCell ref="B1077:G1077"/>
    <mergeCell ref="J1077:O1077"/>
    <mergeCell ref="B1163:G1163"/>
    <mergeCell ref="J1163:O1163"/>
    <mergeCell ref="B1421:G1421"/>
    <mergeCell ref="J1421:O1421"/>
    <mergeCell ref="B1292:G1292"/>
    <mergeCell ref="J1292:O1292"/>
    <mergeCell ref="B1249:G1249"/>
    <mergeCell ref="J1249:O1249"/>
    <mergeCell ref="B1378:G1378"/>
    <mergeCell ref="J1378:O1378"/>
    <mergeCell ref="B1335:G1335"/>
    <mergeCell ref="J1335:O1335"/>
    <mergeCell ref="B1765:G1765"/>
    <mergeCell ref="J1765:O1765"/>
    <mergeCell ref="B1593:G1593"/>
    <mergeCell ref="J1593:O1593"/>
    <mergeCell ref="B1679:G1679"/>
    <mergeCell ref="J1679:O1679"/>
    <mergeCell ref="B1464:G1464"/>
    <mergeCell ref="J1464:O1464"/>
    <mergeCell ref="B1722:G1722"/>
    <mergeCell ref="J1722:O1722"/>
    <mergeCell ref="B1636:G1636"/>
    <mergeCell ref="J1636:O1636"/>
  </mergeCells>
  <phoneticPr fontId="1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499984740745262"/>
  </sheetPr>
  <dimension ref="A1:AB1765"/>
  <sheetViews>
    <sheetView tabSelected="1" topLeftCell="A1747" zoomScale="90" zoomScaleNormal="90" workbookViewId="0">
      <selection activeCell="A1755" sqref="A1755"/>
    </sheetView>
  </sheetViews>
  <sheetFormatPr defaultRowHeight="13.5" x14ac:dyDescent="0.15"/>
  <cols>
    <col min="1" max="1" width="25.625" customWidth="1"/>
    <col min="8" max="8" width="9.25" bestFit="1" customWidth="1"/>
    <col min="9" max="9" width="24.375" customWidth="1"/>
    <col min="16" max="16" width="10.75" customWidth="1"/>
  </cols>
  <sheetData>
    <row r="1" spans="1:17" ht="17.25" x14ac:dyDescent="0.2">
      <c r="A1" s="79" t="s">
        <v>391</v>
      </c>
      <c r="B1" s="80"/>
      <c r="C1" s="80"/>
      <c r="D1" s="80"/>
      <c r="E1" s="80"/>
      <c r="F1" s="80"/>
      <c r="G1" s="80"/>
      <c r="H1" s="1"/>
      <c r="I1" s="79" t="s">
        <v>391</v>
      </c>
      <c r="J1" s="80"/>
      <c r="K1" s="80"/>
      <c r="L1" s="80"/>
      <c r="M1" s="80"/>
      <c r="N1" s="80"/>
      <c r="O1" s="1"/>
      <c r="P1" s="1"/>
    </row>
    <row r="2" spans="1:17" ht="21.75" thickBot="1" x14ac:dyDescent="0.25">
      <c r="A2" s="82" t="s">
        <v>390</v>
      </c>
      <c r="B2" s="80"/>
      <c r="C2" s="80"/>
      <c r="D2" s="80"/>
      <c r="E2" s="81" t="s">
        <v>53</v>
      </c>
      <c r="F2" s="80"/>
      <c r="G2" s="80"/>
      <c r="H2" s="1"/>
      <c r="I2" s="82" t="s">
        <v>390</v>
      </c>
      <c r="J2" s="80"/>
      <c r="K2" s="80"/>
      <c r="L2" s="80"/>
      <c r="M2" s="81" t="s">
        <v>393</v>
      </c>
      <c r="N2" s="80"/>
      <c r="O2" s="1"/>
      <c r="P2" s="1"/>
    </row>
    <row r="3" spans="1:17" ht="14.25" thickBot="1" x14ac:dyDescent="0.2">
      <c r="A3" s="13" t="s">
        <v>0</v>
      </c>
      <c r="B3" s="228" t="s">
        <v>392</v>
      </c>
      <c r="C3" s="229"/>
      <c r="D3" s="229"/>
      <c r="E3" s="229"/>
      <c r="F3" s="230"/>
      <c r="G3" s="231"/>
      <c r="H3" s="1"/>
      <c r="I3" s="13" t="s">
        <v>0</v>
      </c>
      <c r="J3" s="228" t="s">
        <v>392</v>
      </c>
      <c r="K3" s="229"/>
      <c r="L3" s="229"/>
      <c r="M3" s="229"/>
      <c r="N3" s="230"/>
      <c r="O3" s="231"/>
      <c r="P3" s="1"/>
    </row>
    <row r="4" spans="1:17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4" t="s">
        <v>2</v>
      </c>
      <c r="H4" s="1"/>
      <c r="I4" s="3" t="s">
        <v>1</v>
      </c>
      <c r="J4" s="2" t="s">
        <v>42</v>
      </c>
      <c r="K4" s="21" t="s">
        <v>43</v>
      </c>
      <c r="L4" s="21" t="s">
        <v>44</v>
      </c>
      <c r="M4" s="24" t="s">
        <v>45</v>
      </c>
      <c r="N4" s="33" t="s">
        <v>46</v>
      </c>
      <c r="O4" s="3" t="s">
        <v>2</v>
      </c>
      <c r="P4" s="1"/>
    </row>
    <row r="5" spans="1:17" x14ac:dyDescent="0.15">
      <c r="A5" s="15" t="s">
        <v>14</v>
      </c>
      <c r="B5" s="17">
        <v>20</v>
      </c>
      <c r="C5" s="22">
        <v>20</v>
      </c>
      <c r="D5" s="22">
        <v>20</v>
      </c>
      <c r="E5" s="22">
        <v>20</v>
      </c>
      <c r="F5" s="29">
        <v>20</v>
      </c>
      <c r="G5" s="18">
        <f t="shared" ref="G5:G40" si="0">SUM(B5:F5)</f>
        <v>100</v>
      </c>
      <c r="H5" s="36">
        <v>42900</v>
      </c>
      <c r="I5" s="15" t="s">
        <v>14</v>
      </c>
      <c r="J5" s="37">
        <v>194</v>
      </c>
      <c r="K5" s="35">
        <v>198</v>
      </c>
      <c r="L5" s="35">
        <v>200</v>
      </c>
      <c r="M5" s="35">
        <v>199</v>
      </c>
      <c r="N5" s="28">
        <v>200</v>
      </c>
      <c r="O5" s="18">
        <f t="shared" ref="O5:O40" si="1">SUM(J5:N5)</f>
        <v>991</v>
      </c>
      <c r="P5" s="36">
        <v>42892</v>
      </c>
    </row>
    <row r="6" spans="1:17" x14ac:dyDescent="0.15">
      <c r="A6" s="15" t="s">
        <v>3</v>
      </c>
      <c r="B6" s="8">
        <v>4</v>
      </c>
      <c r="C6" s="10">
        <v>2</v>
      </c>
      <c r="D6" s="10"/>
      <c r="E6" s="10">
        <v>1</v>
      </c>
      <c r="F6" s="28"/>
      <c r="G6" s="9">
        <f t="shared" si="0"/>
        <v>7</v>
      </c>
      <c r="H6" s="36">
        <v>42900</v>
      </c>
      <c r="I6" s="15" t="s">
        <v>3</v>
      </c>
      <c r="J6" s="8"/>
      <c r="K6" s="10"/>
      <c r="L6" s="10"/>
      <c r="M6" s="10"/>
      <c r="N6" s="28"/>
      <c r="O6" s="9">
        <f t="shared" si="1"/>
        <v>0</v>
      </c>
      <c r="P6" s="36"/>
      <c r="Q6" s="56"/>
    </row>
    <row r="7" spans="1:17" x14ac:dyDescent="0.15">
      <c r="A7" s="15" t="s">
        <v>4</v>
      </c>
      <c r="B7" s="8"/>
      <c r="C7" s="10"/>
      <c r="D7" s="10"/>
      <c r="E7" s="10">
        <v>10</v>
      </c>
      <c r="F7" s="28"/>
      <c r="G7" s="9">
        <f t="shared" si="0"/>
        <v>10</v>
      </c>
      <c r="H7" s="36">
        <v>42928</v>
      </c>
      <c r="I7" s="15" t="s">
        <v>4</v>
      </c>
      <c r="J7" s="8"/>
      <c r="K7" s="10"/>
      <c r="L7" s="10"/>
      <c r="M7" s="10"/>
      <c r="N7" s="28"/>
      <c r="O7" s="9">
        <f t="shared" si="1"/>
        <v>0</v>
      </c>
      <c r="P7" s="36"/>
    </row>
    <row r="8" spans="1:17" x14ac:dyDescent="0.15">
      <c r="A8" s="15" t="s">
        <v>5</v>
      </c>
      <c r="B8" s="8"/>
      <c r="C8" s="10"/>
      <c r="D8" s="10"/>
      <c r="E8" s="10"/>
      <c r="F8" s="28">
        <v>10</v>
      </c>
      <c r="G8" s="9">
        <f t="shared" si="0"/>
        <v>10</v>
      </c>
      <c r="H8" s="36">
        <v>42937</v>
      </c>
      <c r="I8" s="15" t="s">
        <v>5</v>
      </c>
      <c r="J8" s="8"/>
      <c r="K8" s="10"/>
      <c r="L8" s="10"/>
      <c r="M8" s="10"/>
      <c r="N8" s="28"/>
      <c r="O8" s="9">
        <f t="shared" si="1"/>
        <v>0</v>
      </c>
      <c r="P8" s="1"/>
    </row>
    <row r="9" spans="1:17" x14ac:dyDescent="0.15">
      <c r="A9" s="15" t="s">
        <v>6</v>
      </c>
      <c r="B9" s="8"/>
      <c r="C9" s="10">
        <v>10</v>
      </c>
      <c r="D9" s="10"/>
      <c r="E9" s="10"/>
      <c r="F9" s="28">
        <v>10</v>
      </c>
      <c r="G9" s="9">
        <f t="shared" si="0"/>
        <v>20</v>
      </c>
      <c r="H9" s="36">
        <v>42949</v>
      </c>
      <c r="I9" s="15" t="s">
        <v>6</v>
      </c>
      <c r="J9" s="8"/>
      <c r="K9" s="10"/>
      <c r="L9" s="10"/>
      <c r="M9" s="10"/>
      <c r="N9" s="28"/>
      <c r="O9" s="9">
        <f t="shared" si="1"/>
        <v>0</v>
      </c>
      <c r="P9" s="1"/>
    </row>
    <row r="10" spans="1:17" x14ac:dyDescent="0.15">
      <c r="A10" s="15" t="s">
        <v>84</v>
      </c>
      <c r="B10" s="8">
        <v>1</v>
      </c>
      <c r="C10" s="10"/>
      <c r="D10" s="10">
        <v>1</v>
      </c>
      <c r="E10" s="10">
        <v>1</v>
      </c>
      <c r="F10" s="30">
        <v>1</v>
      </c>
      <c r="G10" s="7">
        <f t="shared" si="0"/>
        <v>4</v>
      </c>
      <c r="H10" s="36">
        <v>42948</v>
      </c>
      <c r="I10" s="15" t="s">
        <v>84</v>
      </c>
      <c r="J10" s="8"/>
      <c r="K10" s="10"/>
      <c r="L10" s="10"/>
      <c r="M10" s="10"/>
      <c r="N10" s="30"/>
      <c r="O10" s="7">
        <f t="shared" si="1"/>
        <v>0</v>
      </c>
      <c r="P10" s="1"/>
    </row>
    <row r="11" spans="1:17" x14ac:dyDescent="0.15">
      <c r="A11" s="15" t="s">
        <v>85</v>
      </c>
      <c r="B11" s="8"/>
      <c r="C11" s="10"/>
      <c r="D11" s="10"/>
      <c r="E11" s="10">
        <v>10</v>
      </c>
      <c r="F11" s="30"/>
      <c r="G11" s="7">
        <f t="shared" si="0"/>
        <v>10</v>
      </c>
      <c r="H11" s="36">
        <v>42966</v>
      </c>
      <c r="I11" s="15" t="s">
        <v>85</v>
      </c>
      <c r="J11" s="8"/>
      <c r="K11" s="10"/>
      <c r="L11" s="10"/>
      <c r="M11" s="10"/>
      <c r="N11" s="30"/>
      <c r="O11" s="7">
        <f t="shared" si="1"/>
        <v>0</v>
      </c>
      <c r="P11" s="1"/>
    </row>
    <row r="12" spans="1:17" x14ac:dyDescent="0.15">
      <c r="A12" s="15" t="s">
        <v>19</v>
      </c>
      <c r="B12" s="8"/>
      <c r="C12" s="10">
        <v>2</v>
      </c>
      <c r="D12" s="10"/>
      <c r="E12" s="10"/>
      <c r="F12" s="30"/>
      <c r="G12" s="7">
        <f t="shared" si="0"/>
        <v>2</v>
      </c>
      <c r="H12" s="36">
        <v>43003</v>
      </c>
      <c r="I12" s="15" t="s">
        <v>86</v>
      </c>
      <c r="J12" s="8"/>
      <c r="K12" s="10"/>
      <c r="L12" s="10"/>
      <c r="M12" s="10"/>
      <c r="N12" s="30"/>
      <c r="O12" s="7">
        <f t="shared" si="1"/>
        <v>0</v>
      </c>
      <c r="P12" s="1"/>
    </row>
    <row r="13" spans="1:17" ht="14.25" thickBot="1" x14ac:dyDescent="0.2">
      <c r="A13" s="15" t="s">
        <v>87</v>
      </c>
      <c r="B13" s="11"/>
      <c r="C13" s="100"/>
      <c r="D13" s="100">
        <v>10</v>
      </c>
      <c r="E13" s="100">
        <v>5</v>
      </c>
      <c r="F13" s="101"/>
      <c r="G13" s="102">
        <f t="shared" si="0"/>
        <v>15</v>
      </c>
      <c r="H13" s="36">
        <v>43006</v>
      </c>
      <c r="I13" s="15" t="s">
        <v>87</v>
      </c>
      <c r="J13" s="11"/>
      <c r="K13" s="100"/>
      <c r="L13" s="100"/>
      <c r="M13" s="100"/>
      <c r="N13" s="101"/>
      <c r="O13" s="102">
        <f t="shared" si="1"/>
        <v>0</v>
      </c>
      <c r="P13" s="1"/>
    </row>
    <row r="14" spans="1:17" ht="14.25" thickBot="1" x14ac:dyDescent="0.2">
      <c r="A14" s="72" t="s">
        <v>7</v>
      </c>
      <c r="B14" s="73">
        <f>SUM(B5:B13)</f>
        <v>25</v>
      </c>
      <c r="C14" s="74">
        <f t="shared" ref="C14:G14" si="2">SUM(C5:C13)</f>
        <v>34</v>
      </c>
      <c r="D14" s="74">
        <f t="shared" si="2"/>
        <v>31</v>
      </c>
      <c r="E14" s="74">
        <f t="shared" si="2"/>
        <v>47</v>
      </c>
      <c r="F14" s="105">
        <f t="shared" si="2"/>
        <v>41</v>
      </c>
      <c r="G14" s="76">
        <f t="shared" si="2"/>
        <v>178</v>
      </c>
      <c r="H14" s="1"/>
      <c r="I14" s="72" t="s">
        <v>7</v>
      </c>
      <c r="J14" s="73">
        <f>SUM(J5:J13)</f>
        <v>194</v>
      </c>
      <c r="K14" s="74">
        <f t="shared" ref="K14:O14" si="3">SUM(K5:K13)</f>
        <v>198</v>
      </c>
      <c r="L14" s="74">
        <f t="shared" si="3"/>
        <v>200</v>
      </c>
      <c r="M14" s="74">
        <f t="shared" si="3"/>
        <v>199</v>
      </c>
      <c r="N14" s="105">
        <f t="shared" si="3"/>
        <v>200</v>
      </c>
      <c r="O14" s="76">
        <f t="shared" si="3"/>
        <v>991</v>
      </c>
      <c r="P14" s="69"/>
    </row>
    <row r="15" spans="1:17" x14ac:dyDescent="0.15">
      <c r="A15" s="16" t="s">
        <v>443</v>
      </c>
      <c r="B15" s="37">
        <v>10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50</v>
      </c>
      <c r="H15" s="36">
        <v>42905</v>
      </c>
      <c r="I15" s="16" t="s">
        <v>461</v>
      </c>
      <c r="J15" s="17">
        <v>20</v>
      </c>
      <c r="K15" s="22">
        <v>20</v>
      </c>
      <c r="L15" s="22">
        <v>20</v>
      </c>
      <c r="M15" s="22">
        <v>20</v>
      </c>
      <c r="N15" s="29">
        <v>20</v>
      </c>
      <c r="O15" s="18">
        <f t="shared" si="1"/>
        <v>100</v>
      </c>
      <c r="P15" s="36">
        <v>42900</v>
      </c>
    </row>
    <row r="16" spans="1:17" x14ac:dyDescent="0.15">
      <c r="A16" s="51" t="s">
        <v>448</v>
      </c>
      <c r="B16" s="8">
        <v>1</v>
      </c>
      <c r="C16" s="10"/>
      <c r="D16" s="10"/>
      <c r="E16" s="10"/>
      <c r="F16" s="30"/>
      <c r="G16" s="7">
        <f t="shared" si="0"/>
        <v>1</v>
      </c>
      <c r="H16" s="36">
        <v>42881</v>
      </c>
      <c r="I16" s="16" t="s">
        <v>24</v>
      </c>
      <c r="J16" s="8"/>
      <c r="K16" s="10"/>
      <c r="L16" s="10"/>
      <c r="M16" s="10">
        <v>10</v>
      </c>
      <c r="N16" s="30"/>
      <c r="O16" s="7">
        <f t="shared" si="1"/>
        <v>10</v>
      </c>
      <c r="P16" s="36">
        <v>42928</v>
      </c>
    </row>
    <row r="17" spans="1:17" x14ac:dyDescent="0.15">
      <c r="A17" s="14" t="s">
        <v>464</v>
      </c>
      <c r="B17" s="8"/>
      <c r="C17" s="10"/>
      <c r="D17" s="10"/>
      <c r="E17" s="10">
        <v>2</v>
      </c>
      <c r="F17" s="30"/>
      <c r="G17" s="7">
        <f t="shared" si="0"/>
        <v>2</v>
      </c>
      <c r="H17" s="36">
        <v>42900</v>
      </c>
      <c r="I17" s="16" t="s">
        <v>24</v>
      </c>
      <c r="J17" s="8"/>
      <c r="K17" s="10"/>
      <c r="L17" s="10"/>
      <c r="M17" s="10"/>
      <c r="N17" s="30">
        <v>10</v>
      </c>
      <c r="O17" s="7">
        <f t="shared" si="1"/>
        <v>10</v>
      </c>
      <c r="P17" s="36">
        <v>42937</v>
      </c>
    </row>
    <row r="18" spans="1:17" x14ac:dyDescent="0.15">
      <c r="A18" s="51" t="s">
        <v>470</v>
      </c>
      <c r="B18" s="8">
        <v>-1</v>
      </c>
      <c r="C18" s="10"/>
      <c r="D18" s="10"/>
      <c r="E18" s="10"/>
      <c r="F18" s="30"/>
      <c r="G18" s="7">
        <f t="shared" si="0"/>
        <v>-1</v>
      </c>
      <c r="H18" s="36">
        <v>42919</v>
      </c>
      <c r="I18" s="16" t="s">
        <v>24</v>
      </c>
      <c r="J18" s="8"/>
      <c r="K18" s="10">
        <v>10</v>
      </c>
      <c r="L18" s="10"/>
      <c r="M18" s="10"/>
      <c r="N18" s="30">
        <v>10</v>
      </c>
      <c r="O18" s="7">
        <f t="shared" si="1"/>
        <v>20</v>
      </c>
      <c r="P18" s="36">
        <v>42949</v>
      </c>
    </row>
    <row r="19" spans="1:17" x14ac:dyDescent="0.15">
      <c r="A19" s="16" t="s">
        <v>22</v>
      </c>
      <c r="B19" s="8"/>
      <c r="C19" s="10"/>
      <c r="D19" s="10"/>
      <c r="E19" s="10">
        <v>10</v>
      </c>
      <c r="F19" s="30"/>
      <c r="G19" s="7">
        <f t="shared" si="0"/>
        <v>10</v>
      </c>
      <c r="H19" s="36">
        <v>42930</v>
      </c>
      <c r="I19" s="16" t="s">
        <v>24</v>
      </c>
      <c r="J19" s="8"/>
      <c r="K19" s="10"/>
      <c r="L19" s="10"/>
      <c r="M19" s="10">
        <v>10</v>
      </c>
      <c r="N19" s="30"/>
      <c r="O19" s="7">
        <f t="shared" si="1"/>
        <v>10</v>
      </c>
      <c r="P19" s="36">
        <v>42966</v>
      </c>
    </row>
    <row r="20" spans="1:17" x14ac:dyDescent="0.15">
      <c r="A20" s="16" t="s">
        <v>22</v>
      </c>
      <c r="B20" s="8"/>
      <c r="C20" s="10"/>
      <c r="D20" s="10"/>
      <c r="E20" s="10"/>
      <c r="F20" s="30">
        <v>10</v>
      </c>
      <c r="G20" s="7">
        <f t="shared" si="0"/>
        <v>10</v>
      </c>
      <c r="H20" s="36">
        <v>42942</v>
      </c>
      <c r="I20" s="16" t="s">
        <v>24</v>
      </c>
      <c r="J20" s="8"/>
      <c r="K20" s="10"/>
      <c r="L20" s="10">
        <v>10</v>
      </c>
      <c r="M20" s="10">
        <v>5</v>
      </c>
      <c r="N20" s="30"/>
      <c r="O20" s="7">
        <f t="shared" si="1"/>
        <v>15</v>
      </c>
      <c r="P20" s="36">
        <v>43006</v>
      </c>
    </row>
    <row r="21" spans="1:17" x14ac:dyDescent="0.15">
      <c r="A21" s="16" t="s">
        <v>22</v>
      </c>
      <c r="B21" s="8"/>
      <c r="C21" s="10">
        <v>10</v>
      </c>
      <c r="D21" s="10"/>
      <c r="E21" s="10"/>
      <c r="F21" s="30">
        <v>10</v>
      </c>
      <c r="G21" s="7">
        <f t="shared" si="0"/>
        <v>20</v>
      </c>
      <c r="H21" s="36">
        <v>42954</v>
      </c>
      <c r="I21" s="16" t="s">
        <v>24</v>
      </c>
      <c r="J21" s="8">
        <v>10</v>
      </c>
      <c r="K21" s="10">
        <v>11</v>
      </c>
      <c r="L21" s="10">
        <v>15</v>
      </c>
      <c r="M21" s="10">
        <v>10</v>
      </c>
      <c r="N21" s="30">
        <v>10</v>
      </c>
      <c r="O21" s="7">
        <f t="shared" si="1"/>
        <v>56</v>
      </c>
      <c r="P21" s="36">
        <v>43011</v>
      </c>
    </row>
    <row r="22" spans="1:17" x14ac:dyDescent="0.15">
      <c r="A22" s="16" t="s">
        <v>505</v>
      </c>
      <c r="B22" s="8"/>
      <c r="C22" s="10"/>
      <c r="D22" s="10"/>
      <c r="E22" s="10"/>
      <c r="F22" s="30">
        <v>-1</v>
      </c>
      <c r="G22" s="7">
        <f t="shared" si="0"/>
        <v>-1</v>
      </c>
      <c r="H22" s="36">
        <v>42950</v>
      </c>
      <c r="I22" s="16" t="s">
        <v>24</v>
      </c>
      <c r="J22" s="8"/>
      <c r="K22" s="10"/>
      <c r="L22" s="10"/>
      <c r="M22" s="10">
        <v>10</v>
      </c>
      <c r="N22" s="30"/>
      <c r="O22" s="7">
        <f t="shared" si="1"/>
        <v>10</v>
      </c>
      <c r="P22" s="36">
        <v>43013</v>
      </c>
    </row>
    <row r="23" spans="1:17" x14ac:dyDescent="0.15">
      <c r="A23" s="16" t="s">
        <v>23</v>
      </c>
      <c r="B23" s="8"/>
      <c r="C23" s="10">
        <v>-1</v>
      </c>
      <c r="D23" s="10"/>
      <c r="E23" s="10">
        <v>-1</v>
      </c>
      <c r="F23" s="30">
        <v>-1</v>
      </c>
      <c r="G23" s="7">
        <f t="shared" si="0"/>
        <v>-3</v>
      </c>
      <c r="H23" s="36">
        <v>42963</v>
      </c>
      <c r="I23" s="16" t="s">
        <v>24</v>
      </c>
      <c r="J23" s="8"/>
      <c r="K23" s="10"/>
      <c r="L23" s="10"/>
      <c r="M23" s="10"/>
      <c r="N23" s="30">
        <v>10</v>
      </c>
      <c r="O23" s="7">
        <f t="shared" si="1"/>
        <v>10</v>
      </c>
      <c r="P23" s="36">
        <v>43020</v>
      </c>
      <c r="Q23" s="56"/>
    </row>
    <row r="24" spans="1:17" x14ac:dyDescent="0.15">
      <c r="A24" s="16" t="s">
        <v>22</v>
      </c>
      <c r="B24" s="11"/>
      <c r="C24" s="12"/>
      <c r="D24" s="12"/>
      <c r="E24" s="12">
        <v>10</v>
      </c>
      <c r="F24" s="31"/>
      <c r="G24" s="7">
        <f t="shared" si="0"/>
        <v>10</v>
      </c>
      <c r="H24" s="36">
        <v>42971</v>
      </c>
      <c r="I24" s="16" t="s">
        <v>24</v>
      </c>
      <c r="J24" s="11"/>
      <c r="K24" s="12"/>
      <c r="L24" s="12"/>
      <c r="M24" s="12"/>
      <c r="N24" s="31">
        <v>10</v>
      </c>
      <c r="O24" s="7">
        <f t="shared" si="1"/>
        <v>10</v>
      </c>
      <c r="P24" s="36">
        <v>43024</v>
      </c>
      <c r="Q24" s="56"/>
    </row>
    <row r="25" spans="1:17" x14ac:dyDescent="0.15">
      <c r="A25" s="16" t="s">
        <v>22</v>
      </c>
      <c r="B25" s="8"/>
      <c r="C25" s="10"/>
      <c r="D25" s="10">
        <v>10</v>
      </c>
      <c r="E25" s="10"/>
      <c r="F25" s="30"/>
      <c r="G25" s="7">
        <f t="shared" si="0"/>
        <v>10</v>
      </c>
      <c r="H25" s="36">
        <v>42975</v>
      </c>
      <c r="I25" s="16"/>
      <c r="J25" s="8"/>
      <c r="K25" s="10"/>
      <c r="L25" s="10"/>
      <c r="M25" s="10"/>
      <c r="N25" s="30"/>
      <c r="O25" s="7">
        <f t="shared" si="1"/>
        <v>0</v>
      </c>
      <c r="P25" s="1"/>
    </row>
    <row r="26" spans="1:17" x14ac:dyDescent="0.15">
      <c r="A26" s="16" t="s">
        <v>23</v>
      </c>
      <c r="B26" s="8"/>
      <c r="C26" s="10"/>
      <c r="D26" s="10"/>
      <c r="E26" s="10">
        <v>-1</v>
      </c>
      <c r="F26" s="30">
        <v>-1</v>
      </c>
      <c r="G26" s="7">
        <f t="shared" si="0"/>
        <v>-2</v>
      </c>
      <c r="H26" s="36">
        <v>42975</v>
      </c>
      <c r="I26" s="14"/>
      <c r="J26" s="8"/>
      <c r="K26" s="10"/>
      <c r="L26" s="10"/>
      <c r="M26" s="10"/>
      <c r="N26" s="30"/>
      <c r="O26" s="7">
        <f t="shared" si="1"/>
        <v>0</v>
      </c>
      <c r="P26" s="1"/>
    </row>
    <row r="27" spans="1:17" x14ac:dyDescent="0.15">
      <c r="A27" s="16" t="s">
        <v>22</v>
      </c>
      <c r="B27" s="8"/>
      <c r="C27" s="10"/>
      <c r="D27" s="10"/>
      <c r="E27" s="10"/>
      <c r="F27" s="30">
        <v>10</v>
      </c>
      <c r="G27" s="7">
        <f t="shared" si="0"/>
        <v>10</v>
      </c>
      <c r="H27" s="36">
        <v>42986</v>
      </c>
      <c r="I27" s="16"/>
      <c r="J27" s="8"/>
      <c r="K27" s="10"/>
      <c r="L27" s="10"/>
      <c r="M27" s="10"/>
      <c r="N27" s="30"/>
      <c r="O27" s="7">
        <f t="shared" si="1"/>
        <v>0</v>
      </c>
      <c r="P27" s="1"/>
    </row>
    <row r="28" spans="1:17" x14ac:dyDescent="0.15">
      <c r="A28" s="16" t="s">
        <v>22</v>
      </c>
      <c r="B28" s="8">
        <v>10</v>
      </c>
      <c r="C28" s="10"/>
      <c r="D28" s="10"/>
      <c r="E28" s="10"/>
      <c r="F28" s="30"/>
      <c r="G28" s="7">
        <f t="shared" si="0"/>
        <v>10</v>
      </c>
      <c r="H28" s="36">
        <v>42999</v>
      </c>
      <c r="I28" s="16"/>
      <c r="J28" s="8"/>
      <c r="K28" s="10"/>
      <c r="L28" s="10"/>
      <c r="M28" s="10"/>
      <c r="N28" s="30"/>
      <c r="O28" s="7">
        <f t="shared" si="1"/>
        <v>0</v>
      </c>
      <c r="P28" s="1"/>
    </row>
    <row r="29" spans="1:17" x14ac:dyDescent="0.15">
      <c r="A29" s="16" t="s">
        <v>22</v>
      </c>
      <c r="B29" s="8"/>
      <c r="C29" s="10"/>
      <c r="D29" s="10">
        <v>10</v>
      </c>
      <c r="E29" s="10">
        <v>10</v>
      </c>
      <c r="F29" s="30"/>
      <c r="G29" s="7">
        <f t="shared" si="0"/>
        <v>20</v>
      </c>
      <c r="H29" s="36">
        <v>43011</v>
      </c>
      <c r="I29" s="16"/>
      <c r="J29" s="8"/>
      <c r="K29" s="10"/>
      <c r="L29" s="10"/>
      <c r="M29" s="10"/>
      <c r="N29" s="30"/>
      <c r="O29" s="7">
        <f t="shared" si="1"/>
        <v>0</v>
      </c>
      <c r="P29" s="1"/>
    </row>
    <row r="30" spans="1:17" x14ac:dyDescent="0.15">
      <c r="A30" s="16" t="s">
        <v>22</v>
      </c>
      <c r="B30" s="8"/>
      <c r="C30" s="10">
        <v>10</v>
      </c>
      <c r="D30" s="10"/>
      <c r="E30" s="10"/>
      <c r="F30" s="30"/>
      <c r="G30" s="7">
        <f t="shared" si="0"/>
        <v>10</v>
      </c>
      <c r="H30" s="36">
        <v>43014</v>
      </c>
      <c r="I30" s="16"/>
      <c r="J30" s="8"/>
      <c r="K30" s="10"/>
      <c r="L30" s="10"/>
      <c r="M30" s="10"/>
      <c r="N30" s="30"/>
      <c r="O30" s="7">
        <f t="shared" si="1"/>
        <v>0</v>
      </c>
      <c r="P30" s="1"/>
    </row>
    <row r="31" spans="1:17" x14ac:dyDescent="0.15">
      <c r="A31" s="14" t="s">
        <v>545</v>
      </c>
      <c r="B31" s="8">
        <v>-10</v>
      </c>
      <c r="C31" s="10">
        <v>-11</v>
      </c>
      <c r="D31" s="10">
        <v>-15</v>
      </c>
      <c r="E31" s="10">
        <v>-10</v>
      </c>
      <c r="F31" s="30">
        <v>-10</v>
      </c>
      <c r="G31" s="7">
        <f t="shared" si="0"/>
        <v>-56</v>
      </c>
      <c r="H31" s="36">
        <v>43011</v>
      </c>
      <c r="I31" s="14"/>
      <c r="J31" s="8"/>
      <c r="K31" s="10"/>
      <c r="L31" s="10"/>
      <c r="M31" s="10"/>
      <c r="N31" s="30"/>
      <c r="O31" s="7">
        <f t="shared" si="1"/>
        <v>0</v>
      </c>
      <c r="P31" s="1"/>
    </row>
    <row r="32" spans="1:17" x14ac:dyDescent="0.15">
      <c r="A32" s="16" t="s">
        <v>22</v>
      </c>
      <c r="B32" s="8"/>
      <c r="C32" s="10"/>
      <c r="D32" s="10"/>
      <c r="E32" s="10">
        <v>10</v>
      </c>
      <c r="F32" s="30"/>
      <c r="G32" s="7">
        <f t="shared" si="0"/>
        <v>10</v>
      </c>
      <c r="H32" s="36">
        <v>43018</v>
      </c>
      <c r="I32" s="16"/>
      <c r="J32" s="8"/>
      <c r="K32" s="10"/>
      <c r="L32" s="10"/>
      <c r="M32" s="10"/>
      <c r="N32" s="30"/>
      <c r="O32" s="7">
        <f t="shared" si="1"/>
        <v>0</v>
      </c>
      <c r="P32" s="1"/>
    </row>
    <row r="33" spans="1:16" x14ac:dyDescent="0.15">
      <c r="A33" s="14" t="s">
        <v>28</v>
      </c>
      <c r="B33" s="8"/>
      <c r="C33" s="10"/>
      <c r="D33" s="10"/>
      <c r="E33" s="10">
        <v>-10</v>
      </c>
      <c r="F33" s="30"/>
      <c r="G33" s="7">
        <f t="shared" si="0"/>
        <v>-10</v>
      </c>
      <c r="H33" s="36">
        <v>43013</v>
      </c>
      <c r="I33" s="16"/>
      <c r="J33" s="8"/>
      <c r="K33" s="10"/>
      <c r="L33" s="10"/>
      <c r="M33" s="10"/>
      <c r="N33" s="30"/>
      <c r="O33" s="7">
        <f t="shared" si="1"/>
        <v>0</v>
      </c>
      <c r="P33" s="1"/>
    </row>
    <row r="34" spans="1:16" x14ac:dyDescent="0.15">
      <c r="A34" s="16" t="s">
        <v>22</v>
      </c>
      <c r="B34" s="8"/>
      <c r="C34" s="10"/>
      <c r="D34" s="10"/>
      <c r="E34" s="10"/>
      <c r="F34" s="30">
        <v>10</v>
      </c>
      <c r="G34" s="7">
        <f t="shared" si="0"/>
        <v>10</v>
      </c>
      <c r="H34" s="36">
        <v>43021</v>
      </c>
      <c r="I34" s="16"/>
      <c r="J34" s="8"/>
      <c r="K34" s="10"/>
      <c r="L34" s="10"/>
      <c r="M34" s="10"/>
      <c r="N34" s="30"/>
      <c r="O34" s="7">
        <f t="shared" si="1"/>
        <v>0</v>
      </c>
      <c r="P34" s="1"/>
    </row>
    <row r="35" spans="1:16" x14ac:dyDescent="0.15">
      <c r="A35" s="14" t="s">
        <v>28</v>
      </c>
      <c r="B35" s="8"/>
      <c r="C35" s="10"/>
      <c r="D35" s="10"/>
      <c r="E35" s="10"/>
      <c r="F35" s="30">
        <v>-10</v>
      </c>
      <c r="G35" s="7">
        <f t="shared" si="0"/>
        <v>-10</v>
      </c>
      <c r="H35" s="36">
        <v>43020</v>
      </c>
      <c r="I35" s="14"/>
      <c r="J35" s="8"/>
      <c r="K35" s="10"/>
      <c r="L35" s="10"/>
      <c r="M35" s="10"/>
      <c r="N35" s="30"/>
      <c r="O35" s="7">
        <f t="shared" si="1"/>
        <v>0</v>
      </c>
      <c r="P35" s="1"/>
    </row>
    <row r="36" spans="1:16" x14ac:dyDescent="0.15">
      <c r="A36" s="16" t="s">
        <v>22</v>
      </c>
      <c r="B36" s="11"/>
      <c r="C36" s="12"/>
      <c r="D36" s="12"/>
      <c r="E36" s="12"/>
      <c r="F36" s="31">
        <v>10</v>
      </c>
      <c r="G36" s="7">
        <f t="shared" si="0"/>
        <v>10</v>
      </c>
      <c r="H36" s="36">
        <v>43026</v>
      </c>
      <c r="I36" s="16"/>
      <c r="J36" s="11"/>
      <c r="K36" s="12"/>
      <c r="L36" s="12"/>
      <c r="M36" s="12"/>
      <c r="N36" s="31"/>
      <c r="O36" s="7">
        <f t="shared" si="1"/>
        <v>0</v>
      </c>
      <c r="P36" s="1"/>
    </row>
    <row r="37" spans="1:16" x14ac:dyDescent="0.15">
      <c r="A37" s="14" t="s">
        <v>28</v>
      </c>
      <c r="B37" s="8"/>
      <c r="C37" s="10"/>
      <c r="D37" s="10"/>
      <c r="E37" s="10"/>
      <c r="F37" s="30">
        <v>-10</v>
      </c>
      <c r="G37" s="7">
        <f t="shared" si="0"/>
        <v>-10</v>
      </c>
      <c r="H37" s="36">
        <v>43024</v>
      </c>
      <c r="I37" s="14"/>
      <c r="J37" s="8"/>
      <c r="K37" s="10"/>
      <c r="L37" s="10"/>
      <c r="M37" s="10"/>
      <c r="N37" s="30"/>
      <c r="O37" s="7">
        <f t="shared" si="1"/>
        <v>0</v>
      </c>
      <c r="P37" s="1"/>
    </row>
    <row r="38" spans="1:16" x14ac:dyDescent="0.15">
      <c r="A38" s="14" t="s">
        <v>554</v>
      </c>
      <c r="B38" s="8">
        <v>-1</v>
      </c>
      <c r="C38" s="10">
        <v>-1</v>
      </c>
      <c r="D38" s="10">
        <v>-1</v>
      </c>
      <c r="E38" s="10">
        <v>-1</v>
      </c>
      <c r="F38" s="30">
        <v>-2</v>
      </c>
      <c r="G38" s="7">
        <f t="shared" si="0"/>
        <v>-6</v>
      </c>
      <c r="H38" s="36">
        <v>43029</v>
      </c>
      <c r="I38" s="14"/>
      <c r="J38" s="8"/>
      <c r="K38" s="10"/>
      <c r="L38" s="10"/>
      <c r="M38" s="10"/>
      <c r="N38" s="30"/>
      <c r="O38" s="7">
        <f t="shared" si="1"/>
        <v>0</v>
      </c>
      <c r="P38" s="1"/>
    </row>
    <row r="39" spans="1:16" x14ac:dyDescent="0.15">
      <c r="A39" s="16" t="s">
        <v>22</v>
      </c>
      <c r="B39" s="8"/>
      <c r="C39" s="10">
        <v>10</v>
      </c>
      <c r="D39" s="10">
        <v>10</v>
      </c>
      <c r="E39" s="10"/>
      <c r="F39" s="30"/>
      <c r="G39" s="7">
        <f t="shared" si="0"/>
        <v>20</v>
      </c>
      <c r="H39" s="36">
        <v>43045</v>
      </c>
      <c r="I39" s="20"/>
      <c r="J39" s="8"/>
      <c r="K39" s="10"/>
      <c r="L39" s="10"/>
      <c r="M39" s="10"/>
      <c r="N39" s="30"/>
      <c r="O39" s="7">
        <f t="shared" si="1"/>
        <v>0</v>
      </c>
      <c r="P39" s="36"/>
    </row>
    <row r="40" spans="1:16" ht="14.25" thickBot="1" x14ac:dyDescent="0.2">
      <c r="A40" s="20" t="s">
        <v>560</v>
      </c>
      <c r="B40" s="11"/>
      <c r="C40" s="12">
        <v>1</v>
      </c>
      <c r="D40" s="12"/>
      <c r="E40" s="12"/>
      <c r="F40" s="31"/>
      <c r="G40" s="7">
        <f t="shared" si="0"/>
        <v>1</v>
      </c>
      <c r="H40" s="36">
        <v>43040</v>
      </c>
      <c r="I40" s="62"/>
      <c r="J40" s="11"/>
      <c r="K40" s="12"/>
      <c r="L40" s="12"/>
      <c r="M40" s="12"/>
      <c r="N40" s="31"/>
      <c r="O40" s="7">
        <f t="shared" si="1"/>
        <v>0</v>
      </c>
      <c r="P40" s="36"/>
    </row>
    <row r="41" spans="1:16" ht="14.25" thickBot="1" x14ac:dyDescent="0.2">
      <c r="A41" s="3" t="s">
        <v>11</v>
      </c>
      <c r="B41" s="23">
        <f>SUM(B15:B40)</f>
        <v>9</v>
      </c>
      <c r="C41" s="4">
        <f>SUM(C15:C40)</f>
        <v>28</v>
      </c>
      <c r="D41" s="4">
        <f>SUM(D15:D40)</f>
        <v>24</v>
      </c>
      <c r="E41" s="6">
        <f>SUM(E15:E40)</f>
        <v>29</v>
      </c>
      <c r="F41" s="32">
        <f>SUM(F15:F40)</f>
        <v>25</v>
      </c>
      <c r="G41" s="5">
        <f>SUM(B41:F41)</f>
        <v>115</v>
      </c>
      <c r="H41" s="1"/>
      <c r="I41" s="3" t="s">
        <v>11</v>
      </c>
      <c r="J41" s="23">
        <f>SUM(J15:J40)</f>
        <v>30</v>
      </c>
      <c r="K41" s="4">
        <f>SUM(K15:K40)</f>
        <v>41</v>
      </c>
      <c r="L41" s="4">
        <f>SUM(L15:L40)</f>
        <v>45</v>
      </c>
      <c r="M41" s="6">
        <f>SUM(M15:M40)</f>
        <v>65</v>
      </c>
      <c r="N41" s="32">
        <f>SUM(N15:N40)</f>
        <v>70</v>
      </c>
      <c r="O41" s="5">
        <f>SUM(J41:N41)</f>
        <v>251</v>
      </c>
      <c r="P41" s="1"/>
    </row>
    <row r="42" spans="1:16" ht="14.25" thickBot="1" x14ac:dyDescent="0.2">
      <c r="A42" s="25" t="s">
        <v>12</v>
      </c>
      <c r="B42" s="63">
        <f>B14-B41</f>
        <v>16</v>
      </c>
      <c r="C42" s="26">
        <f t="shared" ref="C42:G42" si="4">C14-C41</f>
        <v>6</v>
      </c>
      <c r="D42" s="71">
        <f t="shared" si="4"/>
        <v>7</v>
      </c>
      <c r="E42" s="26">
        <f t="shared" si="4"/>
        <v>18</v>
      </c>
      <c r="F42" s="70">
        <f t="shared" si="4"/>
        <v>16</v>
      </c>
      <c r="G42" s="27">
        <f t="shared" si="4"/>
        <v>63</v>
      </c>
      <c r="H42" s="1"/>
      <c r="I42" s="25" t="s">
        <v>12</v>
      </c>
      <c r="J42" s="63">
        <f>J14-J41</f>
        <v>164</v>
      </c>
      <c r="K42" s="26">
        <f t="shared" ref="K42:O42" si="5">K14-K41</f>
        <v>157</v>
      </c>
      <c r="L42" s="71">
        <f t="shared" si="5"/>
        <v>155</v>
      </c>
      <c r="M42" s="26">
        <f t="shared" si="5"/>
        <v>134</v>
      </c>
      <c r="N42" s="70">
        <f t="shared" si="5"/>
        <v>130</v>
      </c>
      <c r="O42" s="27">
        <f t="shared" si="5"/>
        <v>740</v>
      </c>
      <c r="P42" s="1"/>
    </row>
    <row r="43" spans="1:16" ht="17.25" x14ac:dyDescent="0.2">
      <c r="A43" s="79" t="s">
        <v>391</v>
      </c>
      <c r="B43" s="80"/>
      <c r="C43" s="80"/>
      <c r="D43" s="80"/>
      <c r="E43" s="80"/>
      <c r="F43" s="80"/>
      <c r="G43" s="80"/>
      <c r="H43" s="56"/>
      <c r="I43" s="79" t="s">
        <v>391</v>
      </c>
      <c r="J43" s="80"/>
      <c r="K43" s="80"/>
      <c r="L43" s="80"/>
      <c r="M43" s="80"/>
      <c r="N43" s="80"/>
      <c r="O43" s="1"/>
    </row>
    <row r="44" spans="1:16" ht="21.75" thickBot="1" x14ac:dyDescent="0.25">
      <c r="A44" s="82" t="s">
        <v>390</v>
      </c>
      <c r="B44" s="80"/>
      <c r="C44" s="80"/>
      <c r="D44" s="80"/>
      <c r="E44" s="81" t="s">
        <v>53</v>
      </c>
      <c r="F44" s="80"/>
      <c r="G44" s="80"/>
      <c r="H44" s="56"/>
      <c r="I44" s="82" t="s">
        <v>390</v>
      </c>
      <c r="J44" s="80"/>
      <c r="K44" s="80"/>
      <c r="L44" s="80"/>
      <c r="M44" s="81" t="s">
        <v>393</v>
      </c>
      <c r="N44" s="80"/>
      <c r="O44" s="1"/>
    </row>
    <row r="45" spans="1:16" ht="14.25" thickBot="1" x14ac:dyDescent="0.2">
      <c r="A45" s="13" t="s">
        <v>0</v>
      </c>
      <c r="B45" s="228" t="s">
        <v>392</v>
      </c>
      <c r="C45" s="229"/>
      <c r="D45" s="229"/>
      <c r="E45" s="229"/>
      <c r="F45" s="230"/>
      <c r="G45" s="231"/>
      <c r="H45" s="56"/>
      <c r="I45" s="13" t="s">
        <v>0</v>
      </c>
      <c r="J45" s="228" t="s">
        <v>392</v>
      </c>
      <c r="K45" s="229"/>
      <c r="L45" s="229"/>
      <c r="M45" s="229"/>
      <c r="N45" s="230"/>
      <c r="O45" s="231"/>
    </row>
    <row r="46" spans="1:16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4" t="s">
        <v>2</v>
      </c>
      <c r="H46" s="56"/>
      <c r="I46" s="3" t="s">
        <v>1</v>
      </c>
      <c r="J46" s="41" t="s">
        <v>42</v>
      </c>
      <c r="K46" s="42" t="s">
        <v>43</v>
      </c>
      <c r="L46" s="42" t="s">
        <v>44</v>
      </c>
      <c r="M46" s="43" t="s">
        <v>45</v>
      </c>
      <c r="N46" s="44" t="s">
        <v>46</v>
      </c>
      <c r="O46" s="3" t="s">
        <v>2</v>
      </c>
    </row>
    <row r="47" spans="1:16" ht="14.25" thickBot="1" x14ac:dyDescent="0.2">
      <c r="A47" s="72" t="s">
        <v>456</v>
      </c>
      <c r="B47" s="73">
        <f>B42</f>
        <v>16</v>
      </c>
      <c r="C47" s="74">
        <f t="shared" ref="C47:F47" si="6">C42</f>
        <v>6</v>
      </c>
      <c r="D47" s="74">
        <f t="shared" si="6"/>
        <v>7</v>
      </c>
      <c r="E47" s="74">
        <f t="shared" si="6"/>
        <v>18</v>
      </c>
      <c r="F47" s="105">
        <f t="shared" si="6"/>
        <v>16</v>
      </c>
      <c r="G47" s="131">
        <f t="shared" ref="G47" si="7">SUM(B47:F47)</f>
        <v>63</v>
      </c>
      <c r="H47" s="56"/>
      <c r="I47" s="72" t="s">
        <v>456</v>
      </c>
      <c r="J47" s="73">
        <f>J42</f>
        <v>164</v>
      </c>
      <c r="K47" s="74">
        <f t="shared" ref="K47:N47" si="8">K42</f>
        <v>157</v>
      </c>
      <c r="L47" s="74">
        <f t="shared" si="8"/>
        <v>155</v>
      </c>
      <c r="M47" s="74">
        <f t="shared" si="8"/>
        <v>134</v>
      </c>
      <c r="N47" s="105">
        <f t="shared" si="8"/>
        <v>130</v>
      </c>
      <c r="O47" s="131">
        <f t="shared" ref="O47:O55" si="9">SUM(J47:N47)</f>
        <v>740</v>
      </c>
    </row>
    <row r="48" spans="1:16" x14ac:dyDescent="0.15">
      <c r="A48" s="15" t="s">
        <v>3</v>
      </c>
      <c r="B48" s="8"/>
      <c r="C48" s="10">
        <v>5</v>
      </c>
      <c r="D48" s="10">
        <v>5</v>
      </c>
      <c r="E48" s="10"/>
      <c r="F48" s="28"/>
      <c r="G48" s="9">
        <f t="shared" ref="G48:G55" si="10">SUM(B48:F48)</f>
        <v>10</v>
      </c>
      <c r="H48" s="58">
        <v>43040</v>
      </c>
      <c r="I48" s="38" t="s">
        <v>14</v>
      </c>
      <c r="J48" s="37"/>
      <c r="K48" s="35"/>
      <c r="L48" s="35"/>
      <c r="M48" s="35"/>
      <c r="N48" s="28"/>
      <c r="O48" s="7">
        <f t="shared" si="9"/>
        <v>0</v>
      </c>
    </row>
    <row r="49" spans="1:16" x14ac:dyDescent="0.15">
      <c r="A49" s="15" t="s">
        <v>4</v>
      </c>
      <c r="B49" s="8"/>
      <c r="C49" s="10">
        <v>10</v>
      </c>
      <c r="D49" s="10"/>
      <c r="E49" s="10"/>
      <c r="F49" s="28"/>
      <c r="G49" s="9">
        <f t="shared" si="10"/>
        <v>10</v>
      </c>
      <c r="H49" s="58">
        <v>43047</v>
      </c>
      <c r="I49" s="38" t="s">
        <v>3</v>
      </c>
      <c r="J49" s="8"/>
      <c r="K49" s="10"/>
      <c r="L49" s="10"/>
      <c r="M49" s="10"/>
      <c r="N49" s="28"/>
      <c r="O49" s="9">
        <f t="shared" si="9"/>
        <v>0</v>
      </c>
    </row>
    <row r="50" spans="1:16" x14ac:dyDescent="0.15">
      <c r="A50" s="15" t="s">
        <v>5</v>
      </c>
      <c r="B50" s="8"/>
      <c r="C50" s="10"/>
      <c r="D50" s="10">
        <v>5</v>
      </c>
      <c r="E50" s="10">
        <v>5</v>
      </c>
      <c r="F50" s="28"/>
      <c r="G50" s="9">
        <f t="shared" si="10"/>
        <v>10</v>
      </c>
      <c r="H50" s="58">
        <v>43052</v>
      </c>
      <c r="I50" s="38" t="s">
        <v>4</v>
      </c>
      <c r="J50" s="8">
        <v>100</v>
      </c>
      <c r="K50" s="10">
        <v>100</v>
      </c>
      <c r="L50" s="10">
        <v>100</v>
      </c>
      <c r="M50" s="10">
        <v>100</v>
      </c>
      <c r="N50" s="28">
        <v>100</v>
      </c>
      <c r="O50" s="9">
        <f t="shared" si="9"/>
        <v>500</v>
      </c>
      <c r="P50" s="56" t="s">
        <v>502</v>
      </c>
    </row>
    <row r="51" spans="1:16" x14ac:dyDescent="0.15">
      <c r="A51" s="15" t="s">
        <v>6</v>
      </c>
      <c r="B51" s="8">
        <v>10</v>
      </c>
      <c r="C51" s="10"/>
      <c r="D51" s="10"/>
      <c r="E51" s="10"/>
      <c r="F51" s="28"/>
      <c r="G51" s="9">
        <f t="shared" si="10"/>
        <v>10</v>
      </c>
      <c r="H51" s="58">
        <v>43059</v>
      </c>
      <c r="I51" s="38" t="s">
        <v>5</v>
      </c>
      <c r="J51" s="8"/>
      <c r="K51" s="10"/>
      <c r="L51" s="10"/>
      <c r="M51" s="10"/>
      <c r="N51" s="28"/>
      <c r="O51" s="9">
        <f t="shared" si="9"/>
        <v>0</v>
      </c>
    </row>
    <row r="52" spans="1:16" x14ac:dyDescent="0.15">
      <c r="A52" s="15" t="s">
        <v>84</v>
      </c>
      <c r="B52" s="8"/>
      <c r="C52" s="10">
        <v>5</v>
      </c>
      <c r="D52" s="10"/>
      <c r="E52" s="10">
        <v>10</v>
      </c>
      <c r="F52" s="30"/>
      <c r="G52" s="7">
        <f t="shared" si="10"/>
        <v>15</v>
      </c>
      <c r="H52" s="58">
        <v>43068</v>
      </c>
      <c r="I52" s="38" t="s">
        <v>6</v>
      </c>
      <c r="J52" s="8"/>
      <c r="K52" s="10"/>
      <c r="L52" s="10"/>
      <c r="M52" s="10"/>
      <c r="N52" s="30"/>
      <c r="O52" s="7">
        <f t="shared" si="9"/>
        <v>0</v>
      </c>
    </row>
    <row r="53" spans="1:16" x14ac:dyDescent="0.15">
      <c r="A53" s="15" t="s">
        <v>175</v>
      </c>
      <c r="B53" s="8"/>
      <c r="C53" s="10"/>
      <c r="D53" s="10"/>
      <c r="E53" s="10"/>
      <c r="F53" s="30">
        <v>1</v>
      </c>
      <c r="G53" s="7">
        <f t="shared" si="10"/>
        <v>1</v>
      </c>
      <c r="H53" s="58">
        <v>43067</v>
      </c>
      <c r="I53" s="38" t="s">
        <v>84</v>
      </c>
      <c r="J53" s="8"/>
      <c r="K53" s="10"/>
      <c r="L53" s="10"/>
      <c r="M53" s="10"/>
      <c r="N53" s="30"/>
      <c r="O53" s="7">
        <f t="shared" si="9"/>
        <v>0</v>
      </c>
    </row>
    <row r="54" spans="1:16" x14ac:dyDescent="0.15">
      <c r="A54" s="15" t="s">
        <v>19</v>
      </c>
      <c r="B54" s="8"/>
      <c r="C54" s="10">
        <v>1</v>
      </c>
      <c r="D54" s="10">
        <v>1</v>
      </c>
      <c r="E54" s="10">
        <v>1</v>
      </c>
      <c r="F54" s="30"/>
      <c r="G54" s="7">
        <f t="shared" si="10"/>
        <v>3</v>
      </c>
      <c r="H54" s="58">
        <v>43070</v>
      </c>
      <c r="I54" s="38" t="s">
        <v>85</v>
      </c>
      <c r="J54" s="8"/>
      <c r="K54" s="10"/>
      <c r="L54" s="10"/>
      <c r="M54" s="10"/>
      <c r="N54" s="30"/>
      <c r="O54" s="7">
        <f t="shared" si="9"/>
        <v>0</v>
      </c>
    </row>
    <row r="55" spans="1:16" ht="14.25" thickBot="1" x14ac:dyDescent="0.2">
      <c r="A55" s="15" t="s">
        <v>87</v>
      </c>
      <c r="B55" s="11"/>
      <c r="C55" s="100"/>
      <c r="D55" s="100"/>
      <c r="E55" s="100">
        <v>5</v>
      </c>
      <c r="F55" s="101">
        <v>10</v>
      </c>
      <c r="G55" s="102">
        <f t="shared" si="10"/>
        <v>15</v>
      </c>
      <c r="H55" s="58">
        <v>43075</v>
      </c>
      <c r="I55" s="38" t="s">
        <v>86</v>
      </c>
      <c r="J55" s="11"/>
      <c r="K55" s="100"/>
      <c r="L55" s="100"/>
      <c r="M55" s="100"/>
      <c r="N55" s="101"/>
      <c r="O55" s="102">
        <f t="shared" si="9"/>
        <v>0</v>
      </c>
    </row>
    <row r="56" spans="1:16" ht="14.25" thickBot="1" x14ac:dyDescent="0.2">
      <c r="A56" s="72" t="s">
        <v>7</v>
      </c>
      <c r="B56" s="73">
        <f>SUM(B47:B55)</f>
        <v>26</v>
      </c>
      <c r="C56" s="74">
        <f t="shared" ref="C56:G56" si="11">SUM(C47:C55)</f>
        <v>27</v>
      </c>
      <c r="D56" s="74">
        <f t="shared" si="11"/>
        <v>18</v>
      </c>
      <c r="E56" s="74">
        <f t="shared" si="11"/>
        <v>39</v>
      </c>
      <c r="F56" s="105">
        <f t="shared" si="11"/>
        <v>27</v>
      </c>
      <c r="G56" s="76">
        <f t="shared" si="11"/>
        <v>137</v>
      </c>
      <c r="H56" s="56"/>
      <c r="I56" s="72" t="s">
        <v>7</v>
      </c>
      <c r="J56" s="73">
        <f>SUM(J47:J55)</f>
        <v>264</v>
      </c>
      <c r="K56" s="74">
        <f t="shared" ref="K56:O56" si="12">SUM(K47:K55)</f>
        <v>257</v>
      </c>
      <c r="L56" s="74">
        <f t="shared" si="12"/>
        <v>255</v>
      </c>
      <c r="M56" s="74">
        <f t="shared" si="12"/>
        <v>234</v>
      </c>
      <c r="N56" s="105">
        <f t="shared" si="12"/>
        <v>230</v>
      </c>
      <c r="O56" s="76">
        <f t="shared" si="12"/>
        <v>1240</v>
      </c>
    </row>
    <row r="57" spans="1:16" x14ac:dyDescent="0.15">
      <c r="A57" s="20" t="s">
        <v>25</v>
      </c>
      <c r="B57" s="37"/>
      <c r="C57" s="35">
        <v>1</v>
      </c>
      <c r="D57" s="35"/>
      <c r="E57" s="35"/>
      <c r="F57" s="28">
        <v>1</v>
      </c>
      <c r="G57" s="18">
        <f t="shared" ref="G57:G82" si="13">SUM(B57:F57)</f>
        <v>2</v>
      </c>
      <c r="H57" s="58">
        <v>43043</v>
      </c>
      <c r="I57" s="140" t="s">
        <v>559</v>
      </c>
      <c r="J57" s="17"/>
      <c r="K57" s="22">
        <v>5</v>
      </c>
      <c r="L57" s="22">
        <v>5</v>
      </c>
      <c r="M57" s="22"/>
      <c r="N57" s="29"/>
      <c r="O57" s="18">
        <f t="shared" ref="O57:O82" si="14">SUM(J57:N57)</f>
        <v>10</v>
      </c>
      <c r="P57" s="58">
        <v>43040</v>
      </c>
    </row>
    <row r="58" spans="1:16" x14ac:dyDescent="0.15">
      <c r="A58" s="20" t="s">
        <v>25</v>
      </c>
      <c r="B58" s="8"/>
      <c r="C58" s="10">
        <v>4</v>
      </c>
      <c r="D58" s="10"/>
      <c r="E58" s="10">
        <v>5</v>
      </c>
      <c r="F58" s="30"/>
      <c r="G58" s="7">
        <f t="shared" si="13"/>
        <v>9</v>
      </c>
      <c r="H58" s="58">
        <v>43046</v>
      </c>
      <c r="I58" s="16" t="s">
        <v>24</v>
      </c>
      <c r="J58" s="8"/>
      <c r="K58" s="10">
        <v>10</v>
      </c>
      <c r="L58" s="10"/>
      <c r="M58" s="10"/>
      <c r="N58" s="30"/>
      <c r="O58" s="7">
        <f t="shared" si="14"/>
        <v>10</v>
      </c>
      <c r="P58" s="58">
        <v>43047</v>
      </c>
    </row>
    <row r="59" spans="1:16" x14ac:dyDescent="0.15">
      <c r="A59" s="20" t="s">
        <v>25</v>
      </c>
      <c r="B59" s="8"/>
      <c r="C59" s="10">
        <v>1</v>
      </c>
      <c r="D59" s="10">
        <v>1</v>
      </c>
      <c r="E59" s="10">
        <v>1</v>
      </c>
      <c r="F59" s="30">
        <v>1</v>
      </c>
      <c r="G59" s="7">
        <f t="shared" si="13"/>
        <v>4</v>
      </c>
      <c r="H59" s="58">
        <v>43048</v>
      </c>
      <c r="I59" s="16" t="s">
        <v>24</v>
      </c>
      <c r="J59" s="8"/>
      <c r="K59" s="10"/>
      <c r="L59" s="10">
        <v>5</v>
      </c>
      <c r="M59" s="10">
        <v>5</v>
      </c>
      <c r="N59" s="30"/>
      <c r="O59" s="7">
        <f t="shared" si="14"/>
        <v>10</v>
      </c>
      <c r="P59" s="58">
        <v>43052</v>
      </c>
    </row>
    <row r="60" spans="1:16" x14ac:dyDescent="0.15">
      <c r="A60" s="14" t="s">
        <v>25</v>
      </c>
      <c r="B60" s="8"/>
      <c r="C60" s="10">
        <v>2</v>
      </c>
      <c r="D60" s="10"/>
      <c r="E60" s="10">
        <v>2</v>
      </c>
      <c r="F60" s="30"/>
      <c r="G60" s="7">
        <f t="shared" si="13"/>
        <v>4</v>
      </c>
      <c r="H60" s="58">
        <v>43050</v>
      </c>
      <c r="I60" s="16" t="s">
        <v>24</v>
      </c>
      <c r="J60" s="8">
        <v>10</v>
      </c>
      <c r="K60" s="10"/>
      <c r="L60" s="10"/>
      <c r="M60" s="10"/>
      <c r="N60" s="30"/>
      <c r="O60" s="7">
        <f t="shared" si="14"/>
        <v>10</v>
      </c>
      <c r="P60" s="58">
        <v>43059</v>
      </c>
    </row>
    <row r="61" spans="1:16" x14ac:dyDescent="0.15">
      <c r="A61" s="14" t="s">
        <v>25</v>
      </c>
      <c r="B61" s="37"/>
      <c r="C61" s="35"/>
      <c r="D61" s="35"/>
      <c r="E61" s="35"/>
      <c r="F61" s="28">
        <v>1</v>
      </c>
      <c r="G61" s="7">
        <f t="shared" si="13"/>
        <v>1</v>
      </c>
      <c r="H61" s="58">
        <v>43057</v>
      </c>
      <c r="I61" s="16" t="s">
        <v>24</v>
      </c>
      <c r="J61" s="8"/>
      <c r="K61" s="10">
        <v>5</v>
      </c>
      <c r="L61" s="10"/>
      <c r="M61" s="10">
        <v>10</v>
      </c>
      <c r="N61" s="30"/>
      <c r="O61" s="7">
        <f t="shared" si="14"/>
        <v>15</v>
      </c>
      <c r="P61" s="58">
        <v>43068</v>
      </c>
    </row>
    <row r="62" spans="1:16" x14ac:dyDescent="0.15">
      <c r="A62" s="14" t="s">
        <v>573</v>
      </c>
      <c r="B62" s="8">
        <v>10</v>
      </c>
      <c r="C62" s="10"/>
      <c r="D62" s="10"/>
      <c r="E62" s="10"/>
      <c r="F62" s="30"/>
      <c r="G62" s="7">
        <f t="shared" si="13"/>
        <v>10</v>
      </c>
      <c r="H62" s="58">
        <v>43063</v>
      </c>
      <c r="I62" s="16" t="s">
        <v>24</v>
      </c>
      <c r="J62" s="8"/>
      <c r="K62" s="10"/>
      <c r="L62" s="10"/>
      <c r="M62" s="10">
        <v>5</v>
      </c>
      <c r="N62" s="30">
        <v>10</v>
      </c>
      <c r="O62" s="7">
        <f t="shared" si="14"/>
        <v>15</v>
      </c>
      <c r="P62" s="58">
        <v>43075</v>
      </c>
    </row>
    <row r="63" spans="1:16" x14ac:dyDescent="0.15">
      <c r="A63" s="14" t="s">
        <v>25</v>
      </c>
      <c r="B63" s="8"/>
      <c r="C63" s="10"/>
      <c r="D63" s="10">
        <v>1</v>
      </c>
      <c r="E63" s="10"/>
      <c r="F63" s="30"/>
      <c r="G63" s="7">
        <f t="shared" si="13"/>
        <v>1</v>
      </c>
      <c r="H63" s="58">
        <v>43061</v>
      </c>
      <c r="I63" s="16" t="s">
        <v>24</v>
      </c>
      <c r="J63" s="8"/>
      <c r="K63" s="10">
        <v>10</v>
      </c>
      <c r="L63" s="10">
        <v>10</v>
      </c>
      <c r="M63" s="10"/>
      <c r="N63" s="30"/>
      <c r="O63" s="7">
        <f t="shared" si="14"/>
        <v>20</v>
      </c>
      <c r="P63" s="58">
        <v>43080</v>
      </c>
    </row>
    <row r="64" spans="1:16" x14ac:dyDescent="0.15">
      <c r="A64" s="14" t="s">
        <v>25</v>
      </c>
      <c r="B64" s="8"/>
      <c r="C64" s="10"/>
      <c r="D64" s="10">
        <v>1</v>
      </c>
      <c r="E64" s="10">
        <v>1</v>
      </c>
      <c r="F64" s="30"/>
      <c r="G64" s="7">
        <f t="shared" si="13"/>
        <v>2</v>
      </c>
      <c r="H64" s="58">
        <v>43064</v>
      </c>
      <c r="I64" s="16" t="s">
        <v>24</v>
      </c>
      <c r="J64" s="8"/>
      <c r="K64" s="10"/>
      <c r="L64" s="10"/>
      <c r="M64" s="10"/>
      <c r="N64" s="30">
        <v>20</v>
      </c>
      <c r="O64" s="7">
        <f t="shared" si="14"/>
        <v>20</v>
      </c>
      <c r="P64" s="58">
        <v>43089</v>
      </c>
    </row>
    <row r="65" spans="1:16" x14ac:dyDescent="0.15">
      <c r="A65" s="14" t="s">
        <v>22</v>
      </c>
      <c r="B65" s="8"/>
      <c r="C65" s="10"/>
      <c r="D65" s="10"/>
      <c r="E65" s="10">
        <v>10</v>
      </c>
      <c r="F65" s="30"/>
      <c r="G65" s="7">
        <f t="shared" si="13"/>
        <v>10</v>
      </c>
      <c r="H65" s="58">
        <v>43070</v>
      </c>
      <c r="I65" s="39"/>
      <c r="J65" s="8"/>
      <c r="K65" s="10"/>
      <c r="L65" s="10"/>
      <c r="M65" s="10"/>
      <c r="N65" s="30"/>
      <c r="O65" s="7">
        <f t="shared" si="14"/>
        <v>0</v>
      </c>
    </row>
    <row r="66" spans="1:16" x14ac:dyDescent="0.15">
      <c r="A66" s="14" t="s">
        <v>25</v>
      </c>
      <c r="B66" s="11"/>
      <c r="C66" s="12">
        <v>5</v>
      </c>
      <c r="D66" s="12">
        <v>1</v>
      </c>
      <c r="E66" s="12">
        <v>1</v>
      </c>
      <c r="F66" s="31"/>
      <c r="G66" s="7">
        <f t="shared" si="13"/>
        <v>7</v>
      </c>
      <c r="H66" s="58">
        <v>43067</v>
      </c>
      <c r="I66" s="16"/>
      <c r="J66" s="11"/>
      <c r="K66" s="12"/>
      <c r="L66" s="12"/>
      <c r="M66" s="12"/>
      <c r="N66" s="31"/>
      <c r="O66" s="7">
        <f t="shared" si="14"/>
        <v>0</v>
      </c>
    </row>
    <row r="67" spans="1:16" x14ac:dyDescent="0.15">
      <c r="A67" s="14" t="s">
        <v>25</v>
      </c>
      <c r="B67" s="8"/>
      <c r="C67" s="10"/>
      <c r="D67" s="10">
        <v>1</v>
      </c>
      <c r="E67" s="10"/>
      <c r="F67" s="30">
        <v>2</v>
      </c>
      <c r="G67" s="7">
        <f t="shared" si="13"/>
        <v>3</v>
      </c>
      <c r="H67" s="58">
        <v>43068</v>
      </c>
      <c r="I67" s="16"/>
      <c r="J67" s="8"/>
      <c r="K67" s="10"/>
      <c r="L67" s="10"/>
      <c r="M67" s="10"/>
      <c r="N67" s="30"/>
      <c r="O67" s="7">
        <f t="shared" si="14"/>
        <v>0</v>
      </c>
    </row>
    <row r="68" spans="1:16" x14ac:dyDescent="0.15">
      <c r="A68" s="14" t="s">
        <v>582</v>
      </c>
      <c r="B68" s="8">
        <v>1</v>
      </c>
      <c r="C68" s="10"/>
      <c r="D68" s="10"/>
      <c r="E68" s="10"/>
      <c r="F68" s="30"/>
      <c r="G68" s="7">
        <f t="shared" si="13"/>
        <v>1</v>
      </c>
      <c r="H68" s="58">
        <v>43067</v>
      </c>
      <c r="I68" s="14"/>
      <c r="J68" s="8"/>
      <c r="K68" s="10"/>
      <c r="L68" s="10"/>
      <c r="M68" s="10"/>
      <c r="N68" s="30"/>
      <c r="O68" s="7">
        <f t="shared" si="14"/>
        <v>0</v>
      </c>
    </row>
    <row r="69" spans="1:16" x14ac:dyDescent="0.15">
      <c r="A69" s="14" t="s">
        <v>25</v>
      </c>
      <c r="B69" s="8">
        <v>1</v>
      </c>
      <c r="C69" s="10"/>
      <c r="D69" s="10"/>
      <c r="E69" s="10">
        <v>3</v>
      </c>
      <c r="F69" s="30">
        <v>1</v>
      </c>
      <c r="G69" s="7">
        <f t="shared" si="13"/>
        <v>5</v>
      </c>
      <c r="H69" s="58">
        <v>43073</v>
      </c>
      <c r="I69" s="16"/>
      <c r="J69" s="8"/>
      <c r="K69" s="10"/>
      <c r="L69" s="10"/>
      <c r="M69" s="10"/>
      <c r="N69" s="30"/>
      <c r="O69" s="7">
        <f t="shared" si="14"/>
        <v>0</v>
      </c>
    </row>
    <row r="70" spans="1:16" x14ac:dyDescent="0.15">
      <c r="A70" s="14" t="s">
        <v>25</v>
      </c>
      <c r="B70" s="8"/>
      <c r="C70" s="10"/>
      <c r="D70" s="10"/>
      <c r="E70" s="10"/>
      <c r="F70" s="30">
        <v>4</v>
      </c>
      <c r="G70" s="7">
        <f t="shared" si="13"/>
        <v>4</v>
      </c>
      <c r="H70" s="58">
        <v>43075</v>
      </c>
      <c r="I70" s="16"/>
      <c r="J70" s="8"/>
      <c r="K70" s="10"/>
      <c r="L70" s="10"/>
      <c r="M70" s="10"/>
      <c r="N70" s="30"/>
      <c r="O70" s="7">
        <f t="shared" si="14"/>
        <v>0</v>
      </c>
    </row>
    <row r="71" spans="1:16" x14ac:dyDescent="0.15">
      <c r="A71" s="15" t="s">
        <v>175</v>
      </c>
      <c r="B71" s="8"/>
      <c r="C71" s="10"/>
      <c r="D71" s="10"/>
      <c r="E71" s="10">
        <v>-1</v>
      </c>
      <c r="F71" s="30"/>
      <c r="G71" s="7">
        <f t="shared" si="13"/>
        <v>-1</v>
      </c>
      <c r="H71" s="58">
        <v>43075</v>
      </c>
      <c r="I71" s="16"/>
      <c r="J71" s="8"/>
      <c r="K71" s="10"/>
      <c r="L71" s="10"/>
      <c r="M71" s="10"/>
      <c r="N71" s="30"/>
      <c r="O71" s="7">
        <f t="shared" si="14"/>
        <v>0</v>
      </c>
    </row>
    <row r="72" spans="1:16" x14ac:dyDescent="0.15">
      <c r="A72" s="14" t="s">
        <v>25</v>
      </c>
      <c r="B72" s="8"/>
      <c r="C72" s="10"/>
      <c r="D72" s="10"/>
      <c r="E72" s="10">
        <v>2</v>
      </c>
      <c r="F72" s="30"/>
      <c r="G72" s="7">
        <f t="shared" si="13"/>
        <v>2</v>
      </c>
      <c r="H72" s="58">
        <v>43077</v>
      </c>
      <c r="I72" s="16"/>
      <c r="J72" s="8"/>
      <c r="K72" s="10"/>
      <c r="L72" s="10"/>
      <c r="M72" s="10"/>
      <c r="N72" s="30"/>
      <c r="O72" s="7">
        <f t="shared" si="14"/>
        <v>0</v>
      </c>
    </row>
    <row r="73" spans="1:16" x14ac:dyDescent="0.15">
      <c r="A73" s="14" t="s">
        <v>584</v>
      </c>
      <c r="B73" s="8"/>
      <c r="C73" s="10">
        <v>1</v>
      </c>
      <c r="D73" s="10"/>
      <c r="E73" s="10"/>
      <c r="F73" s="30"/>
      <c r="G73" s="7">
        <f t="shared" si="13"/>
        <v>1</v>
      </c>
      <c r="H73" s="58">
        <v>43076</v>
      </c>
      <c r="I73" s="14"/>
      <c r="J73" s="8"/>
      <c r="K73" s="10"/>
      <c r="L73" s="10"/>
      <c r="M73" s="10"/>
      <c r="N73" s="30"/>
      <c r="O73" s="7">
        <f t="shared" si="14"/>
        <v>0</v>
      </c>
    </row>
    <row r="74" spans="1:16" x14ac:dyDescent="0.15">
      <c r="A74" s="14" t="s">
        <v>22</v>
      </c>
      <c r="B74" s="8"/>
      <c r="C74" s="10">
        <v>10</v>
      </c>
      <c r="D74" s="10">
        <v>10</v>
      </c>
      <c r="E74" s="10"/>
      <c r="F74" s="30"/>
      <c r="G74" s="7">
        <f t="shared" si="13"/>
        <v>20</v>
      </c>
      <c r="H74" s="58">
        <v>43084</v>
      </c>
      <c r="I74" s="16"/>
      <c r="J74" s="8"/>
      <c r="K74" s="10"/>
      <c r="L74" s="10"/>
      <c r="M74" s="10"/>
      <c r="N74" s="30"/>
      <c r="O74" s="7">
        <f t="shared" si="14"/>
        <v>0</v>
      </c>
    </row>
    <row r="75" spans="1:16" x14ac:dyDescent="0.15">
      <c r="A75" s="14" t="s">
        <v>587</v>
      </c>
      <c r="B75" s="8"/>
      <c r="C75" s="10">
        <v>-10</v>
      </c>
      <c r="D75" s="10">
        <v>-10</v>
      </c>
      <c r="E75" s="10"/>
      <c r="F75" s="30"/>
      <c r="G75" s="7">
        <f t="shared" si="13"/>
        <v>-20</v>
      </c>
      <c r="H75" s="58">
        <v>43080</v>
      </c>
      <c r="I75" s="16"/>
      <c r="J75" s="8"/>
      <c r="K75" s="10"/>
      <c r="L75" s="10"/>
      <c r="M75" s="10"/>
      <c r="N75" s="30"/>
      <c r="O75" s="7">
        <f t="shared" si="14"/>
        <v>0</v>
      </c>
    </row>
    <row r="76" spans="1:16" x14ac:dyDescent="0.15">
      <c r="A76" s="14" t="s">
        <v>25</v>
      </c>
      <c r="B76" s="8"/>
      <c r="C76" s="10"/>
      <c r="D76" s="10">
        <v>2</v>
      </c>
      <c r="E76" s="10"/>
      <c r="F76" s="30"/>
      <c r="G76" s="7">
        <f t="shared" si="13"/>
        <v>2</v>
      </c>
      <c r="H76" s="58">
        <v>43081</v>
      </c>
      <c r="I76" s="16"/>
      <c r="J76" s="8"/>
      <c r="K76" s="10"/>
      <c r="L76" s="10"/>
      <c r="M76" s="10"/>
      <c r="N76" s="30"/>
      <c r="O76" s="7">
        <f t="shared" si="14"/>
        <v>0</v>
      </c>
    </row>
    <row r="77" spans="1:16" x14ac:dyDescent="0.15">
      <c r="A77" s="14" t="s">
        <v>590</v>
      </c>
      <c r="B77" s="8"/>
      <c r="C77" s="10"/>
      <c r="D77" s="10"/>
      <c r="E77" s="10">
        <v>1</v>
      </c>
      <c r="F77" s="30"/>
      <c r="G77" s="7">
        <f t="shared" si="13"/>
        <v>1</v>
      </c>
      <c r="H77" s="58">
        <v>43080</v>
      </c>
      <c r="I77" s="20"/>
      <c r="J77" s="8"/>
      <c r="K77" s="10"/>
      <c r="L77" s="10"/>
      <c r="M77" s="10"/>
      <c r="N77" s="30"/>
      <c r="O77" s="7">
        <f t="shared" si="14"/>
        <v>0</v>
      </c>
      <c r="P77" s="56"/>
    </row>
    <row r="78" spans="1:16" x14ac:dyDescent="0.15">
      <c r="A78" s="14" t="s">
        <v>25</v>
      </c>
      <c r="B78" s="11">
        <v>1</v>
      </c>
      <c r="C78" s="12"/>
      <c r="D78" s="12"/>
      <c r="E78" s="12"/>
      <c r="F78" s="31"/>
      <c r="G78" s="7">
        <f t="shared" si="13"/>
        <v>1</v>
      </c>
      <c r="H78" s="58">
        <v>43084</v>
      </c>
      <c r="I78" s="14"/>
      <c r="J78" s="11"/>
      <c r="K78" s="12"/>
      <c r="L78" s="12"/>
      <c r="M78" s="12"/>
      <c r="N78" s="31"/>
      <c r="O78" s="7">
        <f t="shared" si="14"/>
        <v>0</v>
      </c>
      <c r="P78" s="56"/>
    </row>
    <row r="79" spans="1:16" x14ac:dyDescent="0.15">
      <c r="A79" s="15" t="s">
        <v>175</v>
      </c>
      <c r="B79" s="8"/>
      <c r="C79" s="10"/>
      <c r="D79" s="10"/>
      <c r="E79" s="10">
        <v>-1</v>
      </c>
      <c r="F79" s="30"/>
      <c r="G79" s="7">
        <f t="shared" si="13"/>
        <v>-1</v>
      </c>
      <c r="H79" s="58">
        <v>43083</v>
      </c>
      <c r="I79" s="14"/>
      <c r="J79" s="8"/>
      <c r="K79" s="10"/>
      <c r="L79" s="10"/>
      <c r="M79" s="10"/>
      <c r="N79" s="30"/>
      <c r="O79" s="7">
        <f t="shared" si="14"/>
        <v>0</v>
      </c>
      <c r="P79" s="58"/>
    </row>
    <row r="80" spans="1:16" x14ac:dyDescent="0.15">
      <c r="A80" s="14" t="s">
        <v>25</v>
      </c>
      <c r="B80" s="8">
        <v>1</v>
      </c>
      <c r="C80" s="10"/>
      <c r="D80" s="10"/>
      <c r="E80" s="10">
        <v>1</v>
      </c>
      <c r="F80" s="30"/>
      <c r="G80" s="7">
        <f t="shared" si="13"/>
        <v>2</v>
      </c>
      <c r="H80" s="58">
        <v>43088</v>
      </c>
      <c r="I80" s="20"/>
      <c r="J80" s="8"/>
      <c r="K80" s="10"/>
      <c r="L80" s="10"/>
      <c r="M80" s="10"/>
      <c r="N80" s="30"/>
      <c r="O80" s="7">
        <f t="shared" ref="O80" si="15">SUM(J80:N80)</f>
        <v>0</v>
      </c>
      <c r="P80" s="56"/>
    </row>
    <row r="81" spans="1:20" x14ac:dyDescent="0.15">
      <c r="A81" s="14" t="s">
        <v>22</v>
      </c>
      <c r="B81" s="8"/>
      <c r="C81" s="10"/>
      <c r="D81" s="10"/>
      <c r="E81" s="10"/>
      <c r="F81" s="30">
        <v>20</v>
      </c>
      <c r="G81" s="7">
        <f t="shared" si="13"/>
        <v>20</v>
      </c>
      <c r="H81" s="58">
        <v>43094</v>
      </c>
      <c r="I81" s="14"/>
      <c r="J81" s="8"/>
      <c r="K81" s="10"/>
      <c r="L81" s="10"/>
      <c r="M81" s="10"/>
      <c r="N81" s="30"/>
      <c r="O81" s="7">
        <f t="shared" ref="O81" si="16">SUM(J81:N81)</f>
        <v>0</v>
      </c>
      <c r="P81" s="58"/>
    </row>
    <row r="82" spans="1:20" ht="14.25" thickBot="1" x14ac:dyDescent="0.2">
      <c r="A82" s="20" t="s">
        <v>592</v>
      </c>
      <c r="B82" s="11"/>
      <c r="C82" s="12"/>
      <c r="D82" s="12"/>
      <c r="E82" s="12"/>
      <c r="F82" s="31">
        <v>-20</v>
      </c>
      <c r="G82" s="115">
        <f t="shared" si="13"/>
        <v>-20</v>
      </c>
      <c r="H82" s="58">
        <v>43089</v>
      </c>
      <c r="I82" s="117"/>
      <c r="J82" s="11"/>
      <c r="K82" s="12"/>
      <c r="L82" s="12"/>
      <c r="M82" s="12"/>
      <c r="N82" s="31"/>
      <c r="O82" s="7">
        <f t="shared" si="14"/>
        <v>0</v>
      </c>
      <c r="P82" s="58"/>
    </row>
    <row r="83" spans="1:20" ht="14.25" thickBot="1" x14ac:dyDescent="0.2">
      <c r="A83" s="3" t="s">
        <v>11</v>
      </c>
      <c r="B83" s="23">
        <f>SUM(B57:B82)</f>
        <v>14</v>
      </c>
      <c r="C83" s="4">
        <f>SUM(C57:C82)</f>
        <v>14</v>
      </c>
      <c r="D83" s="4">
        <f>SUM(D57:D82)</f>
        <v>7</v>
      </c>
      <c r="E83" s="6">
        <f>SUM(E57:E82)</f>
        <v>25</v>
      </c>
      <c r="F83" s="32">
        <f>SUM(F57:F82)</f>
        <v>10</v>
      </c>
      <c r="G83" s="5">
        <f>SUM(B83:F83)</f>
        <v>70</v>
      </c>
      <c r="H83" s="56"/>
      <c r="I83" s="3" t="s">
        <v>11</v>
      </c>
      <c r="J83" s="23">
        <f>SUM(J57:J82)</f>
        <v>10</v>
      </c>
      <c r="K83" s="4">
        <f>SUM(K57:K82)</f>
        <v>30</v>
      </c>
      <c r="L83" s="4">
        <f>SUM(L57:L82)</f>
        <v>20</v>
      </c>
      <c r="M83" s="6">
        <f>SUM(M57:M82)</f>
        <v>20</v>
      </c>
      <c r="N83" s="32">
        <f>SUM(N57:N82)</f>
        <v>30</v>
      </c>
      <c r="O83" s="5">
        <f>SUM(J83:N83)</f>
        <v>110</v>
      </c>
    </row>
    <row r="84" spans="1:20" ht="14.25" thickBot="1" x14ac:dyDescent="0.2">
      <c r="A84" s="25" t="s">
        <v>12</v>
      </c>
      <c r="B84" s="63">
        <f>B56-B83</f>
        <v>12</v>
      </c>
      <c r="C84" s="26">
        <f t="shared" ref="C84:G84" si="17">C56-C83</f>
        <v>13</v>
      </c>
      <c r="D84" s="71">
        <f t="shared" si="17"/>
        <v>11</v>
      </c>
      <c r="E84" s="26">
        <f t="shared" si="17"/>
        <v>14</v>
      </c>
      <c r="F84" s="70">
        <f t="shared" si="17"/>
        <v>17</v>
      </c>
      <c r="G84" s="27">
        <f t="shared" si="17"/>
        <v>67</v>
      </c>
      <c r="H84" s="56"/>
      <c r="I84" s="25" t="s">
        <v>12</v>
      </c>
      <c r="J84" s="63">
        <f>J56-J83</f>
        <v>254</v>
      </c>
      <c r="K84" s="26">
        <f t="shared" ref="K84:O84" si="18">K56-K83</f>
        <v>227</v>
      </c>
      <c r="L84" s="71">
        <f t="shared" si="18"/>
        <v>235</v>
      </c>
      <c r="M84" s="26">
        <f t="shared" si="18"/>
        <v>214</v>
      </c>
      <c r="N84" s="70">
        <f t="shared" si="18"/>
        <v>200</v>
      </c>
      <c r="O84" s="27">
        <f t="shared" si="18"/>
        <v>1130</v>
      </c>
    </row>
    <row r="85" spans="1:20" ht="17.25" x14ac:dyDescent="0.2">
      <c r="A85" s="79" t="s">
        <v>391</v>
      </c>
      <c r="B85" s="80"/>
      <c r="C85" s="80"/>
      <c r="D85" s="80"/>
      <c r="E85" s="80"/>
      <c r="F85" s="80"/>
      <c r="G85" s="80"/>
      <c r="H85" s="56"/>
      <c r="I85" s="79" t="s">
        <v>391</v>
      </c>
      <c r="J85" s="80"/>
      <c r="K85" s="80"/>
      <c r="L85" s="80"/>
      <c r="M85" s="80"/>
      <c r="N85" s="80"/>
      <c r="O85" s="1"/>
    </row>
    <row r="86" spans="1:20" ht="21.75" thickBot="1" x14ac:dyDescent="0.25">
      <c r="A86" s="82" t="s">
        <v>390</v>
      </c>
      <c r="B86" s="80"/>
      <c r="C86" s="80"/>
      <c r="D86" s="80"/>
      <c r="E86" s="81" t="s">
        <v>53</v>
      </c>
      <c r="F86" s="80"/>
      <c r="G86" s="80"/>
      <c r="H86" s="56"/>
      <c r="I86" s="82" t="s">
        <v>390</v>
      </c>
      <c r="J86" s="80"/>
      <c r="K86" s="80"/>
      <c r="L86" s="80"/>
      <c r="M86" s="81" t="s">
        <v>393</v>
      </c>
      <c r="N86" s="80"/>
      <c r="O86" s="1"/>
    </row>
    <row r="87" spans="1:20" ht="14.25" thickBot="1" x14ac:dyDescent="0.2">
      <c r="A87" s="13" t="s">
        <v>0</v>
      </c>
      <c r="B87" s="228" t="s">
        <v>392</v>
      </c>
      <c r="C87" s="229"/>
      <c r="D87" s="229"/>
      <c r="E87" s="229"/>
      <c r="F87" s="230"/>
      <c r="G87" s="231"/>
      <c r="H87" s="56"/>
      <c r="I87" s="13" t="s">
        <v>0</v>
      </c>
      <c r="J87" s="228" t="s">
        <v>392</v>
      </c>
      <c r="K87" s="229"/>
      <c r="L87" s="229"/>
      <c r="M87" s="229"/>
      <c r="N87" s="230"/>
      <c r="O87" s="231"/>
    </row>
    <row r="88" spans="1:20" ht="14.25" thickBot="1" x14ac:dyDescent="0.2">
      <c r="A88" s="3" t="s">
        <v>1</v>
      </c>
      <c r="B88" s="2" t="s">
        <v>42</v>
      </c>
      <c r="C88" s="21" t="s">
        <v>43</v>
      </c>
      <c r="D88" s="21" t="s">
        <v>44</v>
      </c>
      <c r="E88" s="24" t="s">
        <v>45</v>
      </c>
      <c r="F88" s="33" t="s">
        <v>46</v>
      </c>
      <c r="G88" s="34" t="s">
        <v>2</v>
      </c>
      <c r="H88" s="56"/>
      <c r="I88" s="3" t="s">
        <v>1</v>
      </c>
      <c r="J88" s="41" t="s">
        <v>42</v>
      </c>
      <c r="K88" s="42" t="s">
        <v>43</v>
      </c>
      <c r="L88" s="42" t="s">
        <v>44</v>
      </c>
      <c r="M88" s="43" t="s">
        <v>45</v>
      </c>
      <c r="N88" s="44" t="s">
        <v>46</v>
      </c>
      <c r="O88" s="3" t="s">
        <v>2</v>
      </c>
    </row>
    <row r="89" spans="1:20" ht="14.25" thickBot="1" x14ac:dyDescent="0.2">
      <c r="A89" s="72" t="s">
        <v>456</v>
      </c>
      <c r="B89" s="73">
        <f>B84</f>
        <v>12</v>
      </c>
      <c r="C89" s="74">
        <f t="shared" ref="C89:F89" si="19">C84</f>
        <v>13</v>
      </c>
      <c r="D89" s="74">
        <f t="shared" si="19"/>
        <v>11</v>
      </c>
      <c r="E89" s="74">
        <f t="shared" si="19"/>
        <v>14</v>
      </c>
      <c r="F89" s="105">
        <f t="shared" si="19"/>
        <v>17</v>
      </c>
      <c r="G89" s="131">
        <f t="shared" ref="G89:G97" si="20">SUM(B89:F89)</f>
        <v>67</v>
      </c>
      <c r="H89" s="56"/>
      <c r="I89" s="72" t="s">
        <v>456</v>
      </c>
      <c r="J89" s="73">
        <f>J84</f>
        <v>254</v>
      </c>
      <c r="K89" s="74">
        <f t="shared" ref="K89:N89" si="21">K84</f>
        <v>227</v>
      </c>
      <c r="L89" s="74">
        <f t="shared" si="21"/>
        <v>235</v>
      </c>
      <c r="M89" s="74">
        <f t="shared" si="21"/>
        <v>214</v>
      </c>
      <c r="N89" s="105">
        <f t="shared" si="21"/>
        <v>200</v>
      </c>
      <c r="O89" s="131">
        <f t="shared" ref="O89:O97" si="22">SUM(J89:N89)</f>
        <v>1130</v>
      </c>
    </row>
    <row r="90" spans="1:20" x14ac:dyDescent="0.15">
      <c r="A90" s="15" t="s">
        <v>3</v>
      </c>
      <c r="B90" s="8">
        <v>15</v>
      </c>
      <c r="C90" s="10"/>
      <c r="D90" s="10">
        <v>10</v>
      </c>
      <c r="E90" s="10"/>
      <c r="F90" s="28"/>
      <c r="G90" s="9">
        <f t="shared" si="20"/>
        <v>25</v>
      </c>
      <c r="H90" s="58">
        <v>43095</v>
      </c>
      <c r="I90" s="38" t="s">
        <v>14</v>
      </c>
      <c r="J90" s="37"/>
      <c r="K90" s="35"/>
      <c r="L90" s="35"/>
      <c r="M90" s="35"/>
      <c r="N90" s="28"/>
      <c r="O90" s="7">
        <f t="shared" si="22"/>
        <v>0</v>
      </c>
    </row>
    <row r="91" spans="1:20" x14ac:dyDescent="0.15">
      <c r="A91" s="15" t="s">
        <v>4</v>
      </c>
      <c r="B91" s="8"/>
      <c r="C91" s="10">
        <v>10</v>
      </c>
      <c r="D91" s="10"/>
      <c r="E91" s="10"/>
      <c r="F91" s="28"/>
      <c r="G91" s="9">
        <f t="shared" si="20"/>
        <v>10</v>
      </c>
      <c r="H91" s="58">
        <v>43096</v>
      </c>
      <c r="I91" s="38" t="s">
        <v>3</v>
      </c>
      <c r="J91" s="8"/>
      <c r="K91" s="10"/>
      <c r="L91" s="10"/>
      <c r="M91" s="10"/>
      <c r="N91" s="28"/>
      <c r="O91" s="9">
        <f t="shared" si="22"/>
        <v>0</v>
      </c>
    </row>
    <row r="92" spans="1:20" x14ac:dyDescent="0.15">
      <c r="A92" s="15" t="s">
        <v>5</v>
      </c>
      <c r="B92" s="8"/>
      <c r="C92" s="10">
        <v>5</v>
      </c>
      <c r="D92" s="10">
        <v>5</v>
      </c>
      <c r="E92" s="10"/>
      <c r="F92" s="28"/>
      <c r="G92" s="9">
        <f t="shared" si="20"/>
        <v>10</v>
      </c>
      <c r="H92" s="58">
        <v>43113</v>
      </c>
      <c r="I92" s="38" t="s">
        <v>4</v>
      </c>
      <c r="J92" s="8"/>
      <c r="K92" s="10"/>
      <c r="L92" s="10"/>
      <c r="M92" s="10"/>
      <c r="N92" s="28"/>
      <c r="O92" s="9">
        <f t="shared" si="22"/>
        <v>0</v>
      </c>
    </row>
    <row r="93" spans="1:20" x14ac:dyDescent="0.15">
      <c r="A93" s="15" t="s">
        <v>6</v>
      </c>
      <c r="B93" s="8"/>
      <c r="C93" s="10">
        <v>10</v>
      </c>
      <c r="D93" s="10"/>
      <c r="E93" s="10"/>
      <c r="F93" s="28"/>
      <c r="G93" s="9">
        <f t="shared" si="20"/>
        <v>10</v>
      </c>
      <c r="H93" s="58">
        <v>43118</v>
      </c>
      <c r="I93" s="38" t="s">
        <v>5</v>
      </c>
      <c r="J93" s="8"/>
      <c r="K93" s="10"/>
      <c r="L93" s="10"/>
      <c r="M93" s="10"/>
      <c r="N93" s="28"/>
      <c r="O93" s="9">
        <f t="shared" si="22"/>
        <v>0</v>
      </c>
    </row>
    <row r="94" spans="1:20" x14ac:dyDescent="0.15">
      <c r="A94" s="15" t="s">
        <v>19</v>
      </c>
      <c r="B94" s="8"/>
      <c r="C94" s="10">
        <v>1</v>
      </c>
      <c r="D94" s="10"/>
      <c r="E94" s="10"/>
      <c r="F94" s="30"/>
      <c r="G94" s="7">
        <f t="shared" si="20"/>
        <v>1</v>
      </c>
      <c r="H94" s="58">
        <v>43118</v>
      </c>
      <c r="I94" s="38" t="s">
        <v>6</v>
      </c>
      <c r="J94" s="8"/>
      <c r="K94" s="10"/>
      <c r="L94" s="10"/>
      <c r="M94" s="10"/>
      <c r="N94" s="30"/>
      <c r="O94" s="7">
        <f t="shared" si="22"/>
        <v>0</v>
      </c>
    </row>
    <row r="95" spans="1:20" x14ac:dyDescent="0.15">
      <c r="A95" s="15" t="s">
        <v>616</v>
      </c>
      <c r="B95" s="8"/>
      <c r="C95" s="10"/>
      <c r="D95" s="10">
        <v>1</v>
      </c>
      <c r="E95" s="10"/>
      <c r="F95" s="30"/>
      <c r="G95" s="7">
        <f t="shared" si="20"/>
        <v>1</v>
      </c>
      <c r="H95" s="58">
        <v>43119</v>
      </c>
      <c r="I95" s="38" t="s">
        <v>84</v>
      </c>
      <c r="J95" s="8"/>
      <c r="K95" s="10"/>
      <c r="L95" s="10"/>
      <c r="M95" s="10"/>
      <c r="N95" s="30"/>
      <c r="O95" s="7">
        <f t="shared" si="22"/>
        <v>0</v>
      </c>
    </row>
    <row r="96" spans="1:20" x14ac:dyDescent="0.15">
      <c r="A96" s="15" t="s">
        <v>17</v>
      </c>
      <c r="B96" s="8"/>
      <c r="C96" s="10"/>
      <c r="D96" s="10">
        <v>1</v>
      </c>
      <c r="E96" s="10"/>
      <c r="F96" s="30"/>
      <c r="G96" s="7">
        <f t="shared" si="20"/>
        <v>1</v>
      </c>
      <c r="H96" s="58">
        <v>43119</v>
      </c>
      <c r="I96" s="38" t="s">
        <v>85</v>
      </c>
      <c r="J96" s="8"/>
      <c r="K96" s="10"/>
      <c r="L96" s="10"/>
      <c r="M96" s="10"/>
      <c r="N96" s="30"/>
      <c r="O96" s="7">
        <f t="shared" si="22"/>
        <v>0</v>
      </c>
      <c r="P96" s="58"/>
      <c r="Q96" s="56"/>
      <c r="R96" s="56"/>
      <c r="S96" s="56"/>
      <c r="T96" s="56"/>
    </row>
    <row r="97" spans="1:16" ht="14.25" thickBot="1" x14ac:dyDescent="0.2">
      <c r="A97" s="15" t="s">
        <v>87</v>
      </c>
      <c r="B97" s="11"/>
      <c r="C97" s="100"/>
      <c r="D97" s="100">
        <v>10</v>
      </c>
      <c r="E97" s="100">
        <v>15</v>
      </c>
      <c r="F97" s="101"/>
      <c r="G97" s="102">
        <f t="shared" si="20"/>
        <v>25</v>
      </c>
      <c r="H97" s="58">
        <v>43125</v>
      </c>
      <c r="I97" s="38" t="s">
        <v>86</v>
      </c>
      <c r="J97" s="11"/>
      <c r="K97" s="100"/>
      <c r="L97" s="100"/>
      <c r="M97" s="100"/>
      <c r="N97" s="101"/>
      <c r="O97" s="102">
        <f t="shared" si="22"/>
        <v>0</v>
      </c>
    </row>
    <row r="98" spans="1:16" ht="14.25" thickBot="1" x14ac:dyDescent="0.2">
      <c r="A98" s="72" t="s">
        <v>7</v>
      </c>
      <c r="B98" s="73">
        <f>SUM(B89:B97)</f>
        <v>27</v>
      </c>
      <c r="C98" s="74">
        <f t="shared" ref="C98:G98" si="23">SUM(C89:C97)</f>
        <v>39</v>
      </c>
      <c r="D98" s="74">
        <f t="shared" si="23"/>
        <v>38</v>
      </c>
      <c r="E98" s="74">
        <f t="shared" si="23"/>
        <v>29</v>
      </c>
      <c r="F98" s="105">
        <f t="shared" si="23"/>
        <v>17</v>
      </c>
      <c r="G98" s="76">
        <f t="shared" si="23"/>
        <v>150</v>
      </c>
      <c r="H98" s="56"/>
      <c r="I98" s="72" t="s">
        <v>7</v>
      </c>
      <c r="J98" s="73">
        <f>SUM(J89:J97)</f>
        <v>254</v>
      </c>
      <c r="K98" s="74">
        <f t="shared" ref="K98:O98" si="24">SUM(K89:K97)</f>
        <v>227</v>
      </c>
      <c r="L98" s="74">
        <f t="shared" si="24"/>
        <v>235</v>
      </c>
      <c r="M98" s="74">
        <f t="shared" si="24"/>
        <v>214</v>
      </c>
      <c r="N98" s="105">
        <f t="shared" si="24"/>
        <v>200</v>
      </c>
      <c r="O98" s="76">
        <f t="shared" si="24"/>
        <v>1130</v>
      </c>
    </row>
    <row r="99" spans="1:16" x14ac:dyDescent="0.15">
      <c r="A99" s="14" t="s">
        <v>25</v>
      </c>
      <c r="B99" s="37"/>
      <c r="C99" s="35"/>
      <c r="D99" s="35">
        <v>2</v>
      </c>
      <c r="E99" s="35"/>
      <c r="F99" s="28">
        <v>3</v>
      </c>
      <c r="G99" s="18">
        <f t="shared" ref="G99:G124" si="25">SUM(B99:F99)</f>
        <v>5</v>
      </c>
      <c r="H99" s="58">
        <v>43089</v>
      </c>
      <c r="I99" s="16" t="s">
        <v>595</v>
      </c>
      <c r="J99" s="17">
        <v>15</v>
      </c>
      <c r="K99" s="22"/>
      <c r="L99" s="22">
        <v>10</v>
      </c>
      <c r="M99" s="22"/>
      <c r="N99" s="29"/>
      <c r="O99" s="18">
        <f t="shared" ref="O99:O124" si="26">SUM(J99:N99)</f>
        <v>25</v>
      </c>
      <c r="P99" s="58">
        <v>43095</v>
      </c>
    </row>
    <row r="100" spans="1:16" x14ac:dyDescent="0.15">
      <c r="A100" s="14" t="s">
        <v>25</v>
      </c>
      <c r="B100" s="8"/>
      <c r="C100" s="10"/>
      <c r="D100" s="10">
        <v>3</v>
      </c>
      <c r="E100" s="10"/>
      <c r="F100" s="30"/>
      <c r="G100" s="7">
        <f t="shared" si="25"/>
        <v>3</v>
      </c>
      <c r="H100" s="58">
        <v>43091</v>
      </c>
      <c r="I100" s="16" t="s">
        <v>24</v>
      </c>
      <c r="J100" s="8"/>
      <c r="K100" s="10">
        <v>10</v>
      </c>
      <c r="L100" s="10"/>
      <c r="M100" s="10"/>
      <c r="N100" s="30"/>
      <c r="O100" s="7">
        <f t="shared" si="26"/>
        <v>10</v>
      </c>
      <c r="P100" s="58">
        <v>43096</v>
      </c>
    </row>
    <row r="101" spans="1:16" x14ac:dyDescent="0.15">
      <c r="A101" s="14" t="s">
        <v>22</v>
      </c>
      <c r="B101" s="8">
        <v>10</v>
      </c>
      <c r="C101" s="10"/>
      <c r="D101" s="10"/>
      <c r="E101" s="10"/>
      <c r="F101" s="30"/>
      <c r="G101" s="7">
        <f t="shared" si="25"/>
        <v>10</v>
      </c>
      <c r="H101" s="58">
        <v>42739</v>
      </c>
      <c r="I101" s="16" t="s">
        <v>24</v>
      </c>
      <c r="J101" s="8"/>
      <c r="K101" s="10">
        <v>5</v>
      </c>
      <c r="L101" s="10">
        <v>5</v>
      </c>
      <c r="M101" s="10"/>
      <c r="N101" s="30"/>
      <c r="O101" s="7">
        <f t="shared" si="26"/>
        <v>10</v>
      </c>
      <c r="P101" s="58">
        <v>43113</v>
      </c>
    </row>
    <row r="102" spans="1:16" x14ac:dyDescent="0.15">
      <c r="A102" s="14" t="s">
        <v>25</v>
      </c>
      <c r="B102" s="8">
        <v>1</v>
      </c>
      <c r="C102" s="10"/>
      <c r="D102" s="10"/>
      <c r="E102" s="10"/>
      <c r="F102" s="30"/>
      <c r="G102" s="7">
        <f t="shared" si="25"/>
        <v>1</v>
      </c>
      <c r="H102" s="58">
        <v>43095</v>
      </c>
      <c r="I102" s="16" t="s">
        <v>24</v>
      </c>
      <c r="J102" s="8"/>
      <c r="K102" s="10">
        <v>10</v>
      </c>
      <c r="L102" s="10"/>
      <c r="M102" s="10"/>
      <c r="N102" s="30"/>
      <c r="O102" s="7">
        <f t="shared" si="26"/>
        <v>10</v>
      </c>
      <c r="P102" s="58">
        <v>43118</v>
      </c>
    </row>
    <row r="103" spans="1:16" x14ac:dyDescent="0.15">
      <c r="A103" s="14" t="s">
        <v>22</v>
      </c>
      <c r="B103" s="37"/>
      <c r="C103" s="35">
        <v>10</v>
      </c>
      <c r="D103" s="35"/>
      <c r="E103" s="35"/>
      <c r="F103" s="28"/>
      <c r="G103" s="7">
        <f t="shared" si="25"/>
        <v>10</v>
      </c>
      <c r="H103" s="58">
        <v>42744</v>
      </c>
      <c r="I103" s="16" t="s">
        <v>24</v>
      </c>
      <c r="J103" s="8"/>
      <c r="K103" s="10"/>
      <c r="L103" s="10">
        <v>10</v>
      </c>
      <c r="M103" s="10">
        <v>15</v>
      </c>
      <c r="N103" s="30"/>
      <c r="O103" s="7">
        <f t="shared" si="26"/>
        <v>25</v>
      </c>
      <c r="P103" s="58">
        <v>43125</v>
      </c>
    </row>
    <row r="104" spans="1:16" x14ac:dyDescent="0.15">
      <c r="A104" s="14" t="s">
        <v>25</v>
      </c>
      <c r="B104" s="8"/>
      <c r="C104" s="10"/>
      <c r="D104" s="10"/>
      <c r="E104" s="10"/>
      <c r="F104" s="30">
        <v>2</v>
      </c>
      <c r="G104" s="7">
        <f t="shared" si="25"/>
        <v>2</v>
      </c>
      <c r="H104" s="58">
        <v>43097</v>
      </c>
      <c r="I104" s="16" t="s">
        <v>24</v>
      </c>
      <c r="J104" s="8"/>
      <c r="K104" s="10"/>
      <c r="L104" s="10">
        <v>5</v>
      </c>
      <c r="M104" s="10"/>
      <c r="N104" s="30">
        <v>5</v>
      </c>
      <c r="O104" s="7">
        <f t="shared" si="26"/>
        <v>10</v>
      </c>
      <c r="P104" s="58">
        <v>43137</v>
      </c>
    </row>
    <row r="105" spans="1:16" x14ac:dyDescent="0.15">
      <c r="A105" s="14" t="s">
        <v>25</v>
      </c>
      <c r="B105" s="8"/>
      <c r="C105" s="10"/>
      <c r="D105" s="10"/>
      <c r="E105" s="10">
        <v>1</v>
      </c>
      <c r="F105" s="30">
        <v>1</v>
      </c>
      <c r="G105" s="7">
        <f t="shared" si="25"/>
        <v>2</v>
      </c>
      <c r="H105" s="58">
        <v>43111</v>
      </c>
      <c r="I105" s="16"/>
      <c r="J105" s="8"/>
      <c r="K105" s="10"/>
      <c r="L105" s="10"/>
      <c r="M105" s="10"/>
      <c r="N105" s="30"/>
      <c r="O105" s="7">
        <f t="shared" si="26"/>
        <v>0</v>
      </c>
    </row>
    <row r="106" spans="1:16" x14ac:dyDescent="0.15">
      <c r="A106" s="14" t="s">
        <v>25</v>
      </c>
      <c r="B106" s="8"/>
      <c r="C106" s="10">
        <v>5</v>
      </c>
      <c r="D106" s="10">
        <v>6</v>
      </c>
      <c r="E106" s="10">
        <v>1</v>
      </c>
      <c r="F106" s="30"/>
      <c r="G106" s="7">
        <f t="shared" si="25"/>
        <v>12</v>
      </c>
      <c r="H106" s="58">
        <v>43112</v>
      </c>
      <c r="I106" s="16"/>
      <c r="J106" s="8"/>
      <c r="K106" s="10"/>
      <c r="L106" s="10"/>
      <c r="M106" s="10"/>
      <c r="N106" s="30"/>
      <c r="O106" s="7">
        <f t="shared" si="26"/>
        <v>0</v>
      </c>
    </row>
    <row r="107" spans="1:16" x14ac:dyDescent="0.15">
      <c r="A107" s="14" t="s">
        <v>29</v>
      </c>
      <c r="B107" s="8"/>
      <c r="C107" s="10"/>
      <c r="D107" s="10">
        <v>1</v>
      </c>
      <c r="E107" s="10"/>
      <c r="F107" s="30"/>
      <c r="G107" s="7">
        <f t="shared" si="25"/>
        <v>1</v>
      </c>
      <c r="H107" s="58">
        <v>43112</v>
      </c>
      <c r="I107" s="39"/>
      <c r="J107" s="8"/>
      <c r="K107" s="10"/>
      <c r="L107" s="10"/>
      <c r="M107" s="10"/>
      <c r="N107" s="30"/>
      <c r="O107" s="7">
        <f t="shared" si="26"/>
        <v>0</v>
      </c>
    </row>
    <row r="108" spans="1:16" x14ac:dyDescent="0.15">
      <c r="A108" s="14" t="s">
        <v>25</v>
      </c>
      <c r="B108" s="11">
        <v>1</v>
      </c>
      <c r="C108" s="12">
        <v>2</v>
      </c>
      <c r="D108" s="12">
        <v>1</v>
      </c>
      <c r="E108" s="12"/>
      <c r="F108" s="31">
        <v>1</v>
      </c>
      <c r="G108" s="7">
        <f t="shared" si="25"/>
        <v>5</v>
      </c>
      <c r="H108" s="58">
        <v>43115</v>
      </c>
      <c r="I108" s="16"/>
      <c r="J108" s="11"/>
      <c r="K108" s="12"/>
      <c r="L108" s="12"/>
      <c r="M108" s="12"/>
      <c r="N108" s="31"/>
      <c r="O108" s="7">
        <f t="shared" si="26"/>
        <v>0</v>
      </c>
    </row>
    <row r="109" spans="1:16" x14ac:dyDescent="0.15">
      <c r="A109" s="14" t="s">
        <v>25</v>
      </c>
      <c r="B109" s="8">
        <v>2</v>
      </c>
      <c r="C109" s="10">
        <v>2</v>
      </c>
      <c r="D109" s="10">
        <v>2</v>
      </c>
      <c r="E109" s="10">
        <v>1</v>
      </c>
      <c r="F109" s="30"/>
      <c r="G109" s="7">
        <f t="shared" si="25"/>
        <v>7</v>
      </c>
      <c r="H109" s="58">
        <v>43117</v>
      </c>
      <c r="I109" s="16"/>
      <c r="J109" s="8"/>
      <c r="K109" s="10"/>
      <c r="L109" s="10"/>
      <c r="M109" s="10"/>
      <c r="N109" s="30"/>
      <c r="O109" s="7">
        <f t="shared" si="26"/>
        <v>0</v>
      </c>
    </row>
    <row r="110" spans="1:16" x14ac:dyDescent="0.15">
      <c r="A110" s="14" t="s">
        <v>25</v>
      </c>
      <c r="B110" s="8">
        <v>1</v>
      </c>
      <c r="C110" s="10"/>
      <c r="D110" s="10">
        <v>1</v>
      </c>
      <c r="E110" s="10"/>
      <c r="F110" s="30"/>
      <c r="G110" s="7">
        <f t="shared" si="25"/>
        <v>2</v>
      </c>
      <c r="H110" s="58">
        <v>43120</v>
      </c>
      <c r="I110" s="14"/>
      <c r="J110" s="8"/>
      <c r="K110" s="10"/>
      <c r="L110" s="10"/>
      <c r="M110" s="10"/>
      <c r="N110" s="30"/>
      <c r="O110" s="7">
        <f t="shared" si="26"/>
        <v>0</v>
      </c>
    </row>
    <row r="111" spans="1:16" x14ac:dyDescent="0.15">
      <c r="A111" s="51" t="s">
        <v>615</v>
      </c>
      <c r="B111" s="8"/>
      <c r="C111" s="10">
        <v>1</v>
      </c>
      <c r="D111" s="10"/>
      <c r="E111" s="10"/>
      <c r="F111" s="30"/>
      <c r="G111" s="7">
        <f t="shared" si="25"/>
        <v>1</v>
      </c>
      <c r="H111" s="58">
        <v>43119</v>
      </c>
      <c r="I111" s="16"/>
      <c r="J111" s="8"/>
      <c r="K111" s="10"/>
      <c r="L111" s="10"/>
      <c r="M111" s="10"/>
      <c r="N111" s="30"/>
      <c r="O111" s="7">
        <f t="shared" si="26"/>
        <v>0</v>
      </c>
    </row>
    <row r="112" spans="1:16" x14ac:dyDescent="0.15">
      <c r="A112" s="14" t="s">
        <v>25</v>
      </c>
      <c r="B112" s="8"/>
      <c r="C112" s="10"/>
      <c r="D112" s="10">
        <v>1</v>
      </c>
      <c r="E112" s="10"/>
      <c r="F112" s="30"/>
      <c r="G112" s="7">
        <f t="shared" si="25"/>
        <v>1</v>
      </c>
      <c r="H112" s="58">
        <v>43122</v>
      </c>
      <c r="I112" s="16"/>
      <c r="J112" s="8"/>
      <c r="K112" s="10"/>
      <c r="L112" s="10"/>
      <c r="M112" s="10"/>
      <c r="N112" s="30"/>
      <c r="O112" s="7">
        <f t="shared" si="26"/>
        <v>0</v>
      </c>
    </row>
    <row r="113" spans="1:19" x14ac:dyDescent="0.15">
      <c r="A113" s="39" t="s">
        <v>617</v>
      </c>
      <c r="B113" s="8"/>
      <c r="C113" s="10"/>
      <c r="D113" s="10">
        <v>1</v>
      </c>
      <c r="E113" s="10"/>
      <c r="F113" s="30"/>
      <c r="G113" s="7">
        <f t="shared" si="25"/>
        <v>1</v>
      </c>
      <c r="H113" s="58">
        <v>43122</v>
      </c>
      <c r="I113" s="16"/>
      <c r="J113" s="8"/>
      <c r="K113" s="10"/>
      <c r="L113" s="10"/>
      <c r="M113" s="10"/>
      <c r="N113" s="30"/>
      <c r="O113" s="7">
        <f t="shared" si="26"/>
        <v>0</v>
      </c>
    </row>
    <row r="114" spans="1:19" x14ac:dyDescent="0.15">
      <c r="A114" s="14" t="s">
        <v>25</v>
      </c>
      <c r="B114" s="8"/>
      <c r="C114" s="10"/>
      <c r="D114" s="10"/>
      <c r="E114" s="10">
        <v>2</v>
      </c>
      <c r="F114" s="30"/>
      <c r="G114" s="7">
        <f t="shared" si="25"/>
        <v>2</v>
      </c>
      <c r="H114" s="58">
        <v>43124</v>
      </c>
      <c r="I114" s="16"/>
      <c r="J114" s="8"/>
      <c r="K114" s="10"/>
      <c r="L114" s="10"/>
      <c r="M114" s="10"/>
      <c r="N114" s="30"/>
      <c r="O114" s="7">
        <f t="shared" si="26"/>
        <v>0</v>
      </c>
    </row>
    <row r="115" spans="1:19" x14ac:dyDescent="0.15">
      <c r="A115" s="14" t="s">
        <v>22</v>
      </c>
      <c r="B115" s="8"/>
      <c r="C115" s="10"/>
      <c r="D115" s="10">
        <v>10</v>
      </c>
      <c r="E115" s="10">
        <v>10</v>
      </c>
      <c r="F115" s="30"/>
      <c r="G115" s="7">
        <f t="shared" si="25"/>
        <v>20</v>
      </c>
      <c r="H115" s="58">
        <v>43129</v>
      </c>
      <c r="I115" s="14"/>
      <c r="J115" s="8"/>
      <c r="K115" s="10"/>
      <c r="L115" s="10"/>
      <c r="M115" s="10"/>
      <c r="N115" s="30"/>
      <c r="O115" s="7">
        <f t="shared" si="26"/>
        <v>0</v>
      </c>
    </row>
    <row r="116" spans="1:19" x14ac:dyDescent="0.15">
      <c r="A116" s="15" t="s">
        <v>17</v>
      </c>
      <c r="B116" s="8"/>
      <c r="C116" s="10">
        <v>-1</v>
      </c>
      <c r="D116" s="10">
        <v>-1</v>
      </c>
      <c r="E116" s="10"/>
      <c r="F116" s="30"/>
      <c r="G116" s="7">
        <f t="shared" si="25"/>
        <v>-2</v>
      </c>
      <c r="H116" s="58">
        <v>43131</v>
      </c>
      <c r="I116" s="16"/>
      <c r="J116" s="8"/>
      <c r="K116" s="10"/>
      <c r="L116" s="10"/>
      <c r="M116" s="10"/>
      <c r="N116" s="30"/>
      <c r="O116" s="7">
        <f t="shared" si="26"/>
        <v>0</v>
      </c>
    </row>
    <row r="117" spans="1:19" x14ac:dyDescent="0.15">
      <c r="A117" s="39" t="s">
        <v>29</v>
      </c>
      <c r="B117" s="8"/>
      <c r="C117" s="10"/>
      <c r="D117" s="10"/>
      <c r="E117" s="10">
        <v>1</v>
      </c>
      <c r="F117" s="30"/>
      <c r="G117" s="7">
        <f t="shared" si="25"/>
        <v>1</v>
      </c>
      <c r="H117" s="58">
        <v>43131</v>
      </c>
      <c r="I117" s="16"/>
      <c r="J117" s="8"/>
      <c r="K117" s="10"/>
      <c r="L117" s="10"/>
      <c r="M117" s="10"/>
      <c r="N117" s="30"/>
      <c r="O117" s="7">
        <f t="shared" si="26"/>
        <v>0</v>
      </c>
      <c r="P117" s="58"/>
      <c r="Q117" s="56"/>
    </row>
    <row r="118" spans="1:19" x14ac:dyDescent="0.15">
      <c r="A118" s="14" t="s">
        <v>25</v>
      </c>
      <c r="B118" s="8"/>
      <c r="C118" s="10"/>
      <c r="D118" s="10"/>
      <c r="E118" s="10"/>
      <c r="F118" s="30">
        <v>1</v>
      </c>
      <c r="G118" s="7">
        <f t="shared" si="25"/>
        <v>1</v>
      </c>
      <c r="H118" s="58">
        <v>43134</v>
      </c>
      <c r="I118" s="16"/>
      <c r="J118" s="8"/>
      <c r="K118" s="10"/>
      <c r="L118" s="10"/>
      <c r="M118" s="10"/>
      <c r="N118" s="30"/>
      <c r="O118" s="7">
        <f t="shared" si="26"/>
        <v>0</v>
      </c>
      <c r="P118" s="56"/>
      <c r="Q118" s="56"/>
    </row>
    <row r="119" spans="1:19" x14ac:dyDescent="0.15">
      <c r="A119" s="14" t="s">
        <v>618</v>
      </c>
      <c r="B119" s="8"/>
      <c r="C119" s="10"/>
      <c r="D119" s="10">
        <v>-5</v>
      </c>
      <c r="E119" s="10"/>
      <c r="F119" s="30">
        <v>-5</v>
      </c>
      <c r="G119" s="7">
        <f t="shared" si="25"/>
        <v>-10</v>
      </c>
      <c r="H119" s="58">
        <v>43137</v>
      </c>
      <c r="I119" s="51"/>
      <c r="J119" s="11"/>
      <c r="K119" s="12"/>
      <c r="L119" s="12"/>
      <c r="M119" s="12"/>
      <c r="N119" s="31"/>
      <c r="O119" s="7">
        <f t="shared" si="26"/>
        <v>0</v>
      </c>
      <c r="P119" s="58"/>
      <c r="Q119" s="56"/>
    </row>
    <row r="120" spans="1:19" x14ac:dyDescent="0.15">
      <c r="A120" s="14" t="s">
        <v>25</v>
      </c>
      <c r="B120" s="11"/>
      <c r="C120" s="12">
        <v>1</v>
      </c>
      <c r="D120" s="12"/>
      <c r="E120" s="12"/>
      <c r="F120" s="31"/>
      <c r="G120" s="7">
        <f t="shared" si="25"/>
        <v>1</v>
      </c>
      <c r="H120" s="58">
        <v>43138</v>
      </c>
      <c r="I120" s="14"/>
      <c r="J120" s="11"/>
      <c r="K120" s="12"/>
      <c r="L120" s="12"/>
      <c r="M120" s="12"/>
      <c r="N120" s="31"/>
      <c r="O120" s="7">
        <f t="shared" si="26"/>
        <v>0</v>
      </c>
      <c r="P120" s="58"/>
      <c r="Q120" s="56"/>
    </row>
    <row r="121" spans="1:19" x14ac:dyDescent="0.15">
      <c r="A121" s="14" t="s">
        <v>25</v>
      </c>
      <c r="B121" s="8"/>
      <c r="C121" s="10">
        <v>4</v>
      </c>
      <c r="D121" s="10">
        <v>2</v>
      </c>
      <c r="E121" s="10"/>
      <c r="F121" s="30">
        <v>1</v>
      </c>
      <c r="G121" s="7">
        <f t="shared" si="25"/>
        <v>7</v>
      </c>
      <c r="H121" s="58">
        <v>43140</v>
      </c>
      <c r="I121" s="16"/>
      <c r="J121" s="8"/>
      <c r="K121" s="10"/>
      <c r="L121" s="10"/>
      <c r="M121" s="10"/>
      <c r="N121" s="30"/>
      <c r="O121" s="7">
        <f t="shared" si="26"/>
        <v>0</v>
      </c>
      <c r="P121" s="58"/>
      <c r="Q121" s="56"/>
    </row>
    <row r="122" spans="1:19" x14ac:dyDescent="0.15">
      <c r="A122" s="39" t="s">
        <v>29</v>
      </c>
      <c r="B122" s="8"/>
      <c r="C122" s="10"/>
      <c r="D122" s="10"/>
      <c r="E122" s="10">
        <v>1</v>
      </c>
      <c r="F122" s="30"/>
      <c r="G122" s="7">
        <f t="shared" si="25"/>
        <v>1</v>
      </c>
      <c r="H122" s="57">
        <v>43140</v>
      </c>
      <c r="I122" s="14"/>
      <c r="J122" s="8"/>
      <c r="K122" s="10"/>
      <c r="L122" s="10"/>
      <c r="M122" s="10"/>
      <c r="N122" s="30"/>
      <c r="O122" s="7">
        <f t="shared" si="26"/>
        <v>0</v>
      </c>
      <c r="P122" s="58"/>
      <c r="Q122" s="56"/>
    </row>
    <row r="123" spans="1:19" x14ac:dyDescent="0.15">
      <c r="A123" s="14" t="s">
        <v>25</v>
      </c>
      <c r="B123" s="8"/>
      <c r="C123" s="10"/>
      <c r="D123" s="10"/>
      <c r="E123" s="10">
        <v>1</v>
      </c>
      <c r="F123" s="30"/>
      <c r="G123" s="7">
        <f t="shared" si="25"/>
        <v>1</v>
      </c>
      <c r="H123" s="58">
        <v>43145</v>
      </c>
      <c r="I123" s="20"/>
      <c r="J123" s="8"/>
      <c r="K123" s="10"/>
      <c r="L123" s="10"/>
      <c r="M123" s="10"/>
      <c r="N123" s="30"/>
      <c r="O123" s="7">
        <f t="shared" si="26"/>
        <v>0</v>
      </c>
      <c r="P123" s="56"/>
      <c r="Q123" s="56"/>
    </row>
    <row r="124" spans="1:19" ht="14.25" thickBot="1" x14ac:dyDescent="0.2">
      <c r="A124" s="14" t="s">
        <v>25</v>
      </c>
      <c r="B124" s="11"/>
      <c r="C124" s="12"/>
      <c r="D124" s="12"/>
      <c r="E124" s="12"/>
      <c r="F124" s="31">
        <v>1</v>
      </c>
      <c r="G124" s="115">
        <f t="shared" si="25"/>
        <v>1</v>
      </c>
      <c r="H124" s="58">
        <v>43147</v>
      </c>
      <c r="I124" s="20"/>
      <c r="J124" s="11"/>
      <c r="K124" s="12"/>
      <c r="L124" s="12"/>
      <c r="M124" s="12"/>
      <c r="N124" s="31"/>
      <c r="O124" s="7">
        <f t="shared" si="26"/>
        <v>0</v>
      </c>
      <c r="P124" s="56"/>
      <c r="Q124" s="56"/>
      <c r="R124" s="56"/>
      <c r="S124" s="56"/>
    </row>
    <row r="125" spans="1:19" ht="14.25" thickBot="1" x14ac:dyDescent="0.2">
      <c r="A125" s="3" t="s">
        <v>11</v>
      </c>
      <c r="B125" s="23">
        <f>SUM(B99:B124)</f>
        <v>15</v>
      </c>
      <c r="C125" s="4">
        <f>SUM(C99:C124)</f>
        <v>24</v>
      </c>
      <c r="D125" s="4">
        <f>SUM(D99:D124)</f>
        <v>24</v>
      </c>
      <c r="E125" s="6">
        <f>SUM(E99:E124)</f>
        <v>18</v>
      </c>
      <c r="F125" s="32">
        <f>SUM(F99:F124)</f>
        <v>5</v>
      </c>
      <c r="G125" s="5">
        <f>SUM(B125:F125)</f>
        <v>86</v>
      </c>
      <c r="H125" s="56"/>
      <c r="I125" s="3" t="s">
        <v>11</v>
      </c>
      <c r="J125" s="23">
        <f>SUM(J99:J124)</f>
        <v>15</v>
      </c>
      <c r="K125" s="4">
        <f>SUM(K99:K124)</f>
        <v>25</v>
      </c>
      <c r="L125" s="4">
        <f>SUM(L99:L124)</f>
        <v>30</v>
      </c>
      <c r="M125" s="6">
        <f>SUM(M99:M124)</f>
        <v>15</v>
      </c>
      <c r="N125" s="32">
        <f>SUM(N99:N124)</f>
        <v>5</v>
      </c>
      <c r="O125" s="5">
        <f>SUM(J125:N125)</f>
        <v>90</v>
      </c>
    </row>
    <row r="126" spans="1:19" ht="14.25" thickBot="1" x14ac:dyDescent="0.2">
      <c r="A126" s="25" t="s">
        <v>12</v>
      </c>
      <c r="B126" s="63">
        <f>B98-B125</f>
        <v>12</v>
      </c>
      <c r="C126" s="26">
        <f t="shared" ref="C126:G126" si="27">C98-C125</f>
        <v>15</v>
      </c>
      <c r="D126" s="71">
        <f t="shared" si="27"/>
        <v>14</v>
      </c>
      <c r="E126" s="26">
        <f t="shared" si="27"/>
        <v>11</v>
      </c>
      <c r="F126" s="70">
        <f t="shared" si="27"/>
        <v>12</v>
      </c>
      <c r="G126" s="27">
        <f t="shared" si="27"/>
        <v>64</v>
      </c>
      <c r="I126" s="25" t="s">
        <v>12</v>
      </c>
      <c r="J126" s="63">
        <f>J98-J125</f>
        <v>239</v>
      </c>
      <c r="K126" s="26">
        <f t="shared" ref="K126:O126" si="28">K98-K125</f>
        <v>202</v>
      </c>
      <c r="L126" s="71">
        <f t="shared" si="28"/>
        <v>205</v>
      </c>
      <c r="M126" s="26">
        <f t="shared" si="28"/>
        <v>199</v>
      </c>
      <c r="N126" s="70">
        <f t="shared" si="28"/>
        <v>195</v>
      </c>
      <c r="O126" s="27">
        <f t="shared" si="28"/>
        <v>1040</v>
      </c>
    </row>
    <row r="127" spans="1:19" ht="17.25" x14ac:dyDescent="0.2">
      <c r="A127" s="79" t="s">
        <v>391</v>
      </c>
      <c r="B127" s="80"/>
      <c r="C127" s="80"/>
      <c r="D127" s="80"/>
      <c r="E127" s="80"/>
      <c r="F127" s="80"/>
      <c r="G127" s="80"/>
      <c r="H127" s="56"/>
      <c r="I127" s="79" t="s">
        <v>391</v>
      </c>
      <c r="J127" s="80"/>
      <c r="K127" s="80"/>
      <c r="L127" s="80"/>
      <c r="M127" s="80"/>
      <c r="N127" s="80"/>
      <c r="O127" s="1"/>
    </row>
    <row r="128" spans="1:19" ht="21.75" thickBot="1" x14ac:dyDescent="0.25">
      <c r="A128" s="82" t="s">
        <v>390</v>
      </c>
      <c r="B128" s="80"/>
      <c r="C128" s="80"/>
      <c r="D128" s="80"/>
      <c r="E128" s="81" t="s">
        <v>53</v>
      </c>
      <c r="F128" s="80"/>
      <c r="G128" s="80"/>
      <c r="H128" s="56"/>
      <c r="I128" s="82" t="s">
        <v>390</v>
      </c>
      <c r="J128" s="80"/>
      <c r="K128" s="80"/>
      <c r="L128" s="80"/>
      <c r="M128" s="81" t="s">
        <v>393</v>
      </c>
      <c r="N128" s="80"/>
      <c r="O128" s="1"/>
    </row>
    <row r="129" spans="1:28" ht="14.25" thickBot="1" x14ac:dyDescent="0.2">
      <c r="A129" s="13" t="s">
        <v>0</v>
      </c>
      <c r="B129" s="228" t="s">
        <v>392</v>
      </c>
      <c r="C129" s="229"/>
      <c r="D129" s="229"/>
      <c r="E129" s="229"/>
      <c r="F129" s="230"/>
      <c r="G129" s="231"/>
      <c r="H129" s="56"/>
      <c r="I129" s="13" t="s">
        <v>0</v>
      </c>
      <c r="J129" s="228" t="s">
        <v>392</v>
      </c>
      <c r="K129" s="229"/>
      <c r="L129" s="229"/>
      <c r="M129" s="229"/>
      <c r="N129" s="230"/>
      <c r="O129" s="231"/>
    </row>
    <row r="130" spans="1:28" ht="14.25" thickBot="1" x14ac:dyDescent="0.2">
      <c r="A130" s="3" t="s">
        <v>1</v>
      </c>
      <c r="B130" s="2" t="s">
        <v>42</v>
      </c>
      <c r="C130" s="21" t="s">
        <v>43</v>
      </c>
      <c r="D130" s="21" t="s">
        <v>44</v>
      </c>
      <c r="E130" s="24" t="s">
        <v>45</v>
      </c>
      <c r="F130" s="33" t="s">
        <v>46</v>
      </c>
      <c r="G130" s="34" t="s">
        <v>2</v>
      </c>
      <c r="H130" s="56"/>
      <c r="I130" s="3" t="s">
        <v>1</v>
      </c>
      <c r="J130" s="41" t="s">
        <v>42</v>
      </c>
      <c r="K130" s="42" t="s">
        <v>43</v>
      </c>
      <c r="L130" s="42" t="s">
        <v>44</v>
      </c>
      <c r="M130" s="43" t="s">
        <v>45</v>
      </c>
      <c r="N130" s="44" t="s">
        <v>46</v>
      </c>
      <c r="O130" s="3" t="s">
        <v>2</v>
      </c>
    </row>
    <row r="131" spans="1:28" ht="14.25" thickBot="1" x14ac:dyDescent="0.2">
      <c r="A131" s="72" t="s">
        <v>456</v>
      </c>
      <c r="B131" s="73">
        <f>B126</f>
        <v>12</v>
      </c>
      <c r="C131" s="74">
        <f t="shared" ref="C131:F131" si="29">C126</f>
        <v>15</v>
      </c>
      <c r="D131" s="74">
        <f t="shared" si="29"/>
        <v>14</v>
      </c>
      <c r="E131" s="74">
        <f t="shared" si="29"/>
        <v>11</v>
      </c>
      <c r="F131" s="105">
        <f t="shared" si="29"/>
        <v>12</v>
      </c>
      <c r="G131" s="131">
        <f t="shared" ref="G131:G139" si="30">SUM(B131:F131)</f>
        <v>64</v>
      </c>
      <c r="H131" s="56"/>
      <c r="I131" s="72" t="s">
        <v>456</v>
      </c>
      <c r="J131" s="73">
        <f>J126</f>
        <v>239</v>
      </c>
      <c r="K131" s="74">
        <f t="shared" ref="K131:N131" si="31">K126</f>
        <v>202</v>
      </c>
      <c r="L131" s="74">
        <f t="shared" si="31"/>
        <v>205</v>
      </c>
      <c r="M131" s="74">
        <f t="shared" si="31"/>
        <v>199</v>
      </c>
      <c r="N131" s="105">
        <f t="shared" si="31"/>
        <v>195</v>
      </c>
      <c r="O131" s="131">
        <f t="shared" ref="O131:O139" si="32">SUM(J131:N131)</f>
        <v>1040</v>
      </c>
    </row>
    <row r="132" spans="1:28" x14ac:dyDescent="0.15">
      <c r="A132" s="15" t="s">
        <v>3</v>
      </c>
      <c r="B132" s="8"/>
      <c r="C132" s="10"/>
      <c r="D132" s="10"/>
      <c r="E132" s="10">
        <v>10</v>
      </c>
      <c r="F132" s="28"/>
      <c r="G132" s="9">
        <f t="shared" si="30"/>
        <v>10</v>
      </c>
      <c r="H132" s="58">
        <v>43150</v>
      </c>
      <c r="I132" s="38" t="s">
        <v>14</v>
      </c>
      <c r="J132" s="37"/>
      <c r="K132" s="35"/>
      <c r="L132" s="35"/>
      <c r="M132" s="35"/>
      <c r="N132" s="28"/>
      <c r="O132" s="7">
        <f t="shared" si="32"/>
        <v>0</v>
      </c>
    </row>
    <row r="133" spans="1:28" x14ac:dyDescent="0.15">
      <c r="A133" s="15" t="s">
        <v>19</v>
      </c>
      <c r="B133" s="8"/>
      <c r="C133" s="10"/>
      <c r="D133" s="10">
        <v>1</v>
      </c>
      <c r="E133" s="10">
        <v>1</v>
      </c>
      <c r="F133" s="28">
        <v>2</v>
      </c>
      <c r="G133" s="9">
        <f t="shared" si="30"/>
        <v>4</v>
      </c>
      <c r="H133" s="58">
        <v>43157</v>
      </c>
      <c r="I133" s="38" t="s">
        <v>3</v>
      </c>
      <c r="J133" s="8"/>
      <c r="K133" s="10"/>
      <c r="L133" s="10"/>
      <c r="M133" s="10"/>
      <c r="N133" s="28"/>
      <c r="O133" s="9">
        <f t="shared" si="32"/>
        <v>0</v>
      </c>
    </row>
    <row r="134" spans="1:28" x14ac:dyDescent="0.15">
      <c r="A134" s="15" t="s">
        <v>5</v>
      </c>
      <c r="B134" s="8">
        <v>5</v>
      </c>
      <c r="C134" s="10">
        <v>10</v>
      </c>
      <c r="D134" s="10">
        <v>10</v>
      </c>
      <c r="E134" s="10"/>
      <c r="F134" s="28"/>
      <c r="G134" s="9">
        <f t="shared" si="30"/>
        <v>25</v>
      </c>
      <c r="H134" s="58">
        <v>43160</v>
      </c>
      <c r="I134" s="38" t="s">
        <v>4</v>
      </c>
      <c r="J134" s="8"/>
      <c r="K134" s="10"/>
      <c r="L134" s="10"/>
      <c r="M134" s="10"/>
      <c r="N134" s="28"/>
      <c r="O134" s="9">
        <f t="shared" si="32"/>
        <v>0</v>
      </c>
    </row>
    <row r="135" spans="1:28" x14ac:dyDescent="0.15">
      <c r="A135" s="15" t="s">
        <v>6</v>
      </c>
      <c r="B135" s="8"/>
      <c r="C135" s="10">
        <v>5</v>
      </c>
      <c r="D135" s="10"/>
      <c r="E135" s="10">
        <v>5</v>
      </c>
      <c r="F135" s="28"/>
      <c r="G135" s="9">
        <f t="shared" si="30"/>
        <v>10</v>
      </c>
      <c r="H135" s="58">
        <v>43161</v>
      </c>
      <c r="I135" s="38" t="s">
        <v>5</v>
      </c>
      <c r="J135" s="8"/>
      <c r="K135" s="10"/>
      <c r="L135" s="10"/>
      <c r="M135" s="10"/>
      <c r="N135" s="28"/>
      <c r="O135" s="9">
        <f t="shared" si="32"/>
        <v>0</v>
      </c>
    </row>
    <row r="136" spans="1:28" x14ac:dyDescent="0.15">
      <c r="A136" s="15" t="s">
        <v>84</v>
      </c>
      <c r="B136" s="8"/>
      <c r="C136" s="10">
        <v>5</v>
      </c>
      <c r="D136" s="10">
        <v>5</v>
      </c>
      <c r="E136" s="10"/>
      <c r="F136" s="30">
        <v>5</v>
      </c>
      <c r="G136" s="7">
        <f t="shared" si="30"/>
        <v>15</v>
      </c>
      <c r="H136" s="58">
        <v>43167</v>
      </c>
      <c r="I136" s="38" t="s">
        <v>6</v>
      </c>
      <c r="J136" s="8"/>
      <c r="K136" s="10"/>
      <c r="L136" s="10"/>
      <c r="M136" s="10"/>
      <c r="N136" s="30"/>
      <c r="O136" s="7">
        <f t="shared" si="32"/>
        <v>0</v>
      </c>
    </row>
    <row r="137" spans="1:28" x14ac:dyDescent="0.15">
      <c r="A137" s="15" t="s">
        <v>411</v>
      </c>
      <c r="B137" s="8"/>
      <c r="C137" s="10"/>
      <c r="D137" s="10">
        <v>1</v>
      </c>
      <c r="E137" s="10"/>
      <c r="F137" s="30"/>
      <c r="G137" s="7">
        <f t="shared" si="30"/>
        <v>1</v>
      </c>
      <c r="H137" s="58">
        <v>43167</v>
      </c>
      <c r="I137" s="38" t="s">
        <v>84</v>
      </c>
      <c r="J137" s="8"/>
      <c r="K137" s="10"/>
      <c r="L137" s="10"/>
      <c r="M137" s="10"/>
      <c r="N137" s="30"/>
      <c r="O137" s="7">
        <f t="shared" si="32"/>
        <v>0</v>
      </c>
    </row>
    <row r="138" spans="1:28" x14ac:dyDescent="0.15">
      <c r="A138" s="15" t="s">
        <v>86</v>
      </c>
      <c r="B138" s="8">
        <v>15</v>
      </c>
      <c r="C138" s="10"/>
      <c r="D138" s="10"/>
      <c r="E138" s="10"/>
      <c r="F138" s="30"/>
      <c r="G138" s="7">
        <f t="shared" si="30"/>
        <v>15</v>
      </c>
      <c r="H138" s="58">
        <v>43173</v>
      </c>
      <c r="I138" s="38" t="s">
        <v>85</v>
      </c>
      <c r="J138" s="8">
        <v>40</v>
      </c>
      <c r="K138" s="10">
        <v>80</v>
      </c>
      <c r="L138" s="10">
        <v>80</v>
      </c>
      <c r="M138" s="10">
        <v>165</v>
      </c>
      <c r="N138" s="30">
        <v>115</v>
      </c>
      <c r="O138" s="7">
        <f t="shared" si="32"/>
        <v>480</v>
      </c>
      <c r="P138" s="58">
        <v>42782</v>
      </c>
      <c r="Q138" s="56" t="s">
        <v>539</v>
      </c>
      <c r="R138" s="56" t="s">
        <v>540</v>
      </c>
      <c r="S138" s="56" t="s">
        <v>541</v>
      </c>
      <c r="T138" s="56" t="s">
        <v>538</v>
      </c>
      <c r="U138" s="56"/>
      <c r="V138" s="56"/>
      <c r="W138" s="56"/>
      <c r="X138" s="56"/>
      <c r="Y138" s="56"/>
      <c r="Z138" s="56"/>
      <c r="AA138" s="56"/>
      <c r="AB138" s="56"/>
    </row>
    <row r="139" spans="1:28" ht="14.25" thickBot="1" x14ac:dyDescent="0.2">
      <c r="A139" s="15" t="s">
        <v>19</v>
      </c>
      <c r="B139" s="11"/>
      <c r="C139" s="100"/>
      <c r="D139" s="100"/>
      <c r="E139" s="100"/>
      <c r="F139" s="101">
        <v>1</v>
      </c>
      <c r="G139" s="102">
        <f t="shared" si="30"/>
        <v>1</v>
      </c>
      <c r="H139" s="58">
        <v>43174</v>
      </c>
      <c r="I139" s="38" t="s">
        <v>86</v>
      </c>
      <c r="J139" s="11"/>
      <c r="K139" s="100"/>
      <c r="L139" s="100"/>
      <c r="M139" s="100"/>
      <c r="N139" s="101"/>
      <c r="O139" s="102">
        <f t="shared" si="32"/>
        <v>0</v>
      </c>
    </row>
    <row r="140" spans="1:28" ht="14.25" thickBot="1" x14ac:dyDescent="0.2">
      <c r="A140" s="72" t="s">
        <v>7</v>
      </c>
      <c r="B140" s="73">
        <f>SUM(B131:B139)</f>
        <v>32</v>
      </c>
      <c r="C140" s="74">
        <f t="shared" ref="C140:G140" si="33">SUM(C131:C139)</f>
        <v>35</v>
      </c>
      <c r="D140" s="74">
        <f t="shared" si="33"/>
        <v>31</v>
      </c>
      <c r="E140" s="74">
        <f t="shared" si="33"/>
        <v>27</v>
      </c>
      <c r="F140" s="105">
        <f t="shared" si="33"/>
        <v>20</v>
      </c>
      <c r="G140" s="76">
        <f t="shared" si="33"/>
        <v>145</v>
      </c>
      <c r="H140" s="56"/>
      <c r="I140" s="72" t="s">
        <v>7</v>
      </c>
      <c r="J140" s="73">
        <f>SUM(J131:J139)</f>
        <v>279</v>
      </c>
      <c r="K140" s="74">
        <f t="shared" ref="K140:O140" si="34">SUM(K131:K139)</f>
        <v>282</v>
      </c>
      <c r="L140" s="74">
        <f t="shared" si="34"/>
        <v>285</v>
      </c>
      <c r="M140" s="74">
        <f t="shared" si="34"/>
        <v>364</v>
      </c>
      <c r="N140" s="105">
        <f t="shared" si="34"/>
        <v>310</v>
      </c>
      <c r="O140" s="76">
        <f t="shared" si="34"/>
        <v>1520</v>
      </c>
    </row>
    <row r="141" spans="1:28" x14ac:dyDescent="0.15">
      <c r="A141" s="14" t="s">
        <v>22</v>
      </c>
      <c r="B141" s="37"/>
      <c r="C141" s="35"/>
      <c r="D141" s="35"/>
      <c r="E141" s="35">
        <v>10</v>
      </c>
      <c r="F141" s="28"/>
      <c r="G141" s="18">
        <f t="shared" ref="G141:G166" si="35">SUM(B141:F141)</f>
        <v>10</v>
      </c>
      <c r="H141" s="58">
        <v>43154</v>
      </c>
      <c r="I141" s="16" t="s">
        <v>624</v>
      </c>
      <c r="J141" s="17"/>
      <c r="K141" s="22"/>
      <c r="L141" s="22"/>
      <c r="M141" s="22">
        <v>10</v>
      </c>
      <c r="N141" s="29"/>
      <c r="O141" s="18">
        <f t="shared" ref="O141:O166" si="36">SUM(J141:N141)</f>
        <v>10</v>
      </c>
      <c r="P141" s="58">
        <v>43150</v>
      </c>
    </row>
    <row r="142" spans="1:28" x14ac:dyDescent="0.15">
      <c r="A142" s="14" t="s">
        <v>25</v>
      </c>
      <c r="B142" s="8"/>
      <c r="C142" s="10"/>
      <c r="D142" s="10">
        <v>1</v>
      </c>
      <c r="E142" s="10"/>
      <c r="F142" s="30"/>
      <c r="G142" s="7">
        <f t="shared" si="35"/>
        <v>1</v>
      </c>
      <c r="H142" s="58">
        <v>43150</v>
      </c>
      <c r="I142" s="16" t="s">
        <v>24</v>
      </c>
      <c r="J142" s="8">
        <v>5</v>
      </c>
      <c r="K142" s="10">
        <v>10</v>
      </c>
      <c r="L142" s="10">
        <v>10</v>
      </c>
      <c r="M142" s="10"/>
      <c r="N142" s="30"/>
      <c r="O142" s="7">
        <f t="shared" si="36"/>
        <v>25</v>
      </c>
      <c r="P142" s="58">
        <v>43160</v>
      </c>
    </row>
    <row r="143" spans="1:28" x14ac:dyDescent="0.15">
      <c r="A143" s="14" t="s">
        <v>632</v>
      </c>
      <c r="B143" s="8">
        <v>2</v>
      </c>
      <c r="C143" s="10">
        <v>2</v>
      </c>
      <c r="D143" s="10">
        <v>2</v>
      </c>
      <c r="E143" s="10">
        <v>2</v>
      </c>
      <c r="F143" s="30">
        <v>2</v>
      </c>
      <c r="G143" s="7">
        <f t="shared" si="35"/>
        <v>10</v>
      </c>
      <c r="H143" s="58">
        <v>43165</v>
      </c>
      <c r="I143" s="16" t="s">
        <v>24</v>
      </c>
      <c r="J143" s="8"/>
      <c r="K143" s="10">
        <v>5</v>
      </c>
      <c r="L143" s="10"/>
      <c r="M143" s="10">
        <v>5</v>
      </c>
      <c r="N143" s="30"/>
      <c r="O143" s="7">
        <f t="shared" si="36"/>
        <v>10</v>
      </c>
      <c r="P143" s="58">
        <v>43161</v>
      </c>
      <c r="Q143" s="56"/>
    </row>
    <row r="144" spans="1:28" x14ac:dyDescent="0.15">
      <c r="A144" s="14" t="s">
        <v>25</v>
      </c>
      <c r="B144" s="8">
        <v>1</v>
      </c>
      <c r="C144" s="10">
        <v>2</v>
      </c>
      <c r="D144" s="10"/>
      <c r="E144" s="10"/>
      <c r="F144" s="30"/>
      <c r="G144" s="7">
        <f t="shared" si="35"/>
        <v>3</v>
      </c>
      <c r="H144" s="58">
        <v>43154</v>
      </c>
      <c r="I144" s="16" t="s">
        <v>24</v>
      </c>
      <c r="J144" s="8"/>
      <c r="K144" s="10">
        <v>5</v>
      </c>
      <c r="L144" s="10">
        <v>5</v>
      </c>
      <c r="M144" s="10"/>
      <c r="N144" s="30">
        <v>5</v>
      </c>
      <c r="O144" s="7">
        <f t="shared" si="36"/>
        <v>15</v>
      </c>
      <c r="P144" s="58">
        <v>43167</v>
      </c>
    </row>
    <row r="145" spans="1:17" x14ac:dyDescent="0.15">
      <c r="A145" s="14" t="s">
        <v>22</v>
      </c>
      <c r="B145" s="37"/>
      <c r="C145" s="35">
        <v>10</v>
      </c>
      <c r="D145" s="35">
        <v>10</v>
      </c>
      <c r="E145" s="35"/>
      <c r="F145" s="28"/>
      <c r="G145" s="7">
        <f t="shared" si="35"/>
        <v>20</v>
      </c>
      <c r="H145" s="58">
        <v>43165</v>
      </c>
      <c r="I145" s="16" t="s">
        <v>24</v>
      </c>
      <c r="J145" s="8">
        <v>15</v>
      </c>
      <c r="K145" s="10"/>
      <c r="L145" s="10"/>
      <c r="M145" s="10"/>
      <c r="N145" s="30"/>
      <c r="O145" s="7">
        <f t="shared" si="36"/>
        <v>15</v>
      </c>
      <c r="P145" s="58">
        <v>43173</v>
      </c>
    </row>
    <row r="146" spans="1:17" x14ac:dyDescent="0.15">
      <c r="A146" s="14" t="s">
        <v>589</v>
      </c>
      <c r="B146" s="8">
        <v>1</v>
      </c>
      <c r="C146" s="10">
        <v>3</v>
      </c>
      <c r="D146" s="10"/>
      <c r="E146" s="10">
        <v>1</v>
      </c>
      <c r="F146" s="30"/>
      <c r="G146" s="7">
        <f t="shared" si="35"/>
        <v>5</v>
      </c>
      <c r="H146" s="58">
        <v>43164</v>
      </c>
      <c r="I146" s="16" t="s">
        <v>24</v>
      </c>
      <c r="J146" s="8"/>
      <c r="K146" s="10">
        <v>10</v>
      </c>
      <c r="L146" s="10"/>
      <c r="M146" s="10"/>
      <c r="N146" s="30"/>
      <c r="O146" s="7">
        <f t="shared" si="36"/>
        <v>10</v>
      </c>
      <c r="P146" s="58">
        <v>43178</v>
      </c>
    </row>
    <row r="147" spans="1:17" x14ac:dyDescent="0.15">
      <c r="A147" s="51" t="s">
        <v>638</v>
      </c>
      <c r="B147" s="8"/>
      <c r="C147" s="10">
        <v>1</v>
      </c>
      <c r="D147" s="10"/>
      <c r="E147" s="10"/>
      <c r="F147" s="30"/>
      <c r="G147" s="7">
        <f t="shared" si="35"/>
        <v>1</v>
      </c>
      <c r="H147" s="58">
        <v>43162</v>
      </c>
      <c r="I147" s="16" t="s">
        <v>24</v>
      </c>
      <c r="J147" s="8"/>
      <c r="K147" s="10"/>
      <c r="L147" s="10"/>
      <c r="M147" s="10">
        <v>15</v>
      </c>
      <c r="N147" s="30"/>
      <c r="O147" s="7">
        <f t="shared" si="36"/>
        <v>15</v>
      </c>
      <c r="P147" s="58">
        <v>43181</v>
      </c>
      <c r="Q147" s="56"/>
    </row>
    <row r="148" spans="1:17" x14ac:dyDescent="0.15">
      <c r="A148" s="14" t="s">
        <v>25</v>
      </c>
      <c r="B148" s="8"/>
      <c r="C148" s="10"/>
      <c r="D148" s="10"/>
      <c r="E148" s="10">
        <v>1</v>
      </c>
      <c r="F148" s="30"/>
      <c r="G148" s="7">
        <f t="shared" si="35"/>
        <v>1</v>
      </c>
      <c r="H148" s="58">
        <v>43165</v>
      </c>
      <c r="I148" s="16"/>
      <c r="J148" s="8"/>
      <c r="K148" s="10"/>
      <c r="L148" s="10"/>
      <c r="M148" s="10"/>
      <c r="N148" s="30"/>
      <c r="O148" s="7">
        <f t="shared" si="36"/>
        <v>0</v>
      </c>
    </row>
    <row r="149" spans="1:17" x14ac:dyDescent="0.15">
      <c r="A149" s="14" t="s">
        <v>640</v>
      </c>
      <c r="B149" s="8"/>
      <c r="C149" s="10">
        <v>1</v>
      </c>
      <c r="D149" s="10">
        <v>3</v>
      </c>
      <c r="E149" s="10"/>
      <c r="F149" s="30">
        <v>2</v>
      </c>
      <c r="G149" s="7">
        <f t="shared" si="35"/>
        <v>6</v>
      </c>
      <c r="H149" s="58">
        <v>43167</v>
      </c>
      <c r="I149" s="39"/>
      <c r="J149" s="8"/>
      <c r="K149" s="10"/>
      <c r="L149" s="10"/>
      <c r="M149" s="10"/>
      <c r="N149" s="30"/>
      <c r="O149" s="7">
        <f t="shared" si="36"/>
        <v>0</v>
      </c>
    </row>
    <row r="150" spans="1:17" x14ac:dyDescent="0.15">
      <c r="A150" s="14" t="s">
        <v>25</v>
      </c>
      <c r="B150" s="11">
        <v>1</v>
      </c>
      <c r="C150" s="12">
        <v>1</v>
      </c>
      <c r="D150" s="12"/>
      <c r="E150" s="12"/>
      <c r="F150" s="31"/>
      <c r="G150" s="7">
        <f t="shared" si="35"/>
        <v>2</v>
      </c>
      <c r="H150" s="58">
        <v>43168</v>
      </c>
      <c r="I150" s="16"/>
      <c r="J150" s="11"/>
      <c r="K150" s="12"/>
      <c r="L150" s="12"/>
      <c r="M150" s="12"/>
      <c r="N150" s="31"/>
      <c r="O150" s="7">
        <f t="shared" si="36"/>
        <v>0</v>
      </c>
    </row>
    <row r="151" spans="1:17" x14ac:dyDescent="0.15">
      <c r="A151" s="14" t="s">
        <v>644</v>
      </c>
      <c r="B151" s="8"/>
      <c r="C151" s="10">
        <v>1</v>
      </c>
      <c r="D151" s="10"/>
      <c r="E151" s="10"/>
      <c r="F151" s="30">
        <v>1</v>
      </c>
      <c r="G151" s="7">
        <f t="shared" si="35"/>
        <v>2</v>
      </c>
      <c r="H151" s="58">
        <v>43169</v>
      </c>
      <c r="I151" s="16"/>
      <c r="J151" s="8"/>
      <c r="K151" s="10"/>
      <c r="L151" s="10"/>
      <c r="M151" s="10"/>
      <c r="N151" s="30"/>
      <c r="O151" s="7">
        <f t="shared" si="36"/>
        <v>0</v>
      </c>
    </row>
    <row r="152" spans="1:17" x14ac:dyDescent="0.15">
      <c r="A152" s="14" t="s">
        <v>22</v>
      </c>
      <c r="B152" s="8">
        <v>10</v>
      </c>
      <c r="C152" s="10"/>
      <c r="D152" s="10"/>
      <c r="E152" s="10"/>
      <c r="F152" s="30"/>
      <c r="G152" s="7">
        <f t="shared" si="35"/>
        <v>10</v>
      </c>
      <c r="H152" s="58">
        <v>43175</v>
      </c>
      <c r="I152" s="14"/>
      <c r="J152" s="8"/>
      <c r="K152" s="10"/>
      <c r="L152" s="10"/>
      <c r="M152" s="10"/>
      <c r="N152" s="30"/>
      <c r="O152" s="7">
        <f t="shared" si="36"/>
        <v>0</v>
      </c>
    </row>
    <row r="153" spans="1:17" x14ac:dyDescent="0.15">
      <c r="A153" s="14" t="s">
        <v>25</v>
      </c>
      <c r="B153" s="8">
        <v>1</v>
      </c>
      <c r="C153" s="10"/>
      <c r="D153" s="10"/>
      <c r="E153" s="10"/>
      <c r="F153" s="30"/>
      <c r="G153" s="7">
        <f t="shared" si="35"/>
        <v>1</v>
      </c>
      <c r="H153" s="58">
        <v>43172</v>
      </c>
      <c r="I153" s="16"/>
      <c r="J153" s="8"/>
      <c r="K153" s="10"/>
      <c r="L153" s="10"/>
      <c r="M153" s="10"/>
      <c r="N153" s="30"/>
      <c r="O153" s="7">
        <f t="shared" si="36"/>
        <v>0</v>
      </c>
    </row>
    <row r="154" spans="1:17" x14ac:dyDescent="0.15">
      <c r="A154" s="14" t="s">
        <v>646</v>
      </c>
      <c r="B154" s="8"/>
      <c r="C154" s="10">
        <v>2</v>
      </c>
      <c r="D154" s="10"/>
      <c r="E154" s="10">
        <v>1</v>
      </c>
      <c r="F154" s="30">
        <v>1</v>
      </c>
      <c r="G154" s="7">
        <f t="shared" si="35"/>
        <v>4</v>
      </c>
      <c r="H154" s="58">
        <v>43174</v>
      </c>
      <c r="I154" s="16"/>
      <c r="J154" s="8"/>
      <c r="K154" s="10"/>
      <c r="L154" s="10"/>
      <c r="M154" s="10"/>
      <c r="N154" s="30"/>
      <c r="O154" s="7">
        <f t="shared" si="36"/>
        <v>0</v>
      </c>
    </row>
    <row r="155" spans="1:17" x14ac:dyDescent="0.15">
      <c r="A155" s="14" t="s">
        <v>25</v>
      </c>
      <c r="B155" s="8"/>
      <c r="C155" s="10">
        <v>2</v>
      </c>
      <c r="D155" s="10"/>
      <c r="E155" s="10">
        <v>1</v>
      </c>
      <c r="F155" s="30"/>
      <c r="G155" s="7">
        <f t="shared" si="35"/>
        <v>3</v>
      </c>
      <c r="H155" s="58">
        <v>43174</v>
      </c>
      <c r="I155" s="16"/>
      <c r="J155" s="8"/>
      <c r="K155" s="10"/>
      <c r="L155" s="10"/>
      <c r="M155" s="10"/>
      <c r="N155" s="30"/>
      <c r="O155" s="7">
        <f t="shared" si="36"/>
        <v>0</v>
      </c>
    </row>
    <row r="156" spans="1:17" x14ac:dyDescent="0.15">
      <c r="A156" s="14" t="s">
        <v>649</v>
      </c>
      <c r="B156" s="8">
        <v>2</v>
      </c>
      <c r="C156" s="10"/>
      <c r="D156" s="10">
        <v>1</v>
      </c>
      <c r="E156" s="10">
        <v>1</v>
      </c>
      <c r="F156" s="30"/>
      <c r="G156" s="7">
        <f t="shared" si="35"/>
        <v>4</v>
      </c>
      <c r="H156" s="58">
        <v>43178</v>
      </c>
      <c r="I156" s="16"/>
      <c r="J156" s="8"/>
      <c r="K156" s="10"/>
      <c r="L156" s="10"/>
      <c r="M156" s="10"/>
      <c r="N156" s="30"/>
      <c r="O156" s="7">
        <f t="shared" si="36"/>
        <v>0</v>
      </c>
      <c r="P156" s="58"/>
    </row>
    <row r="157" spans="1:17" x14ac:dyDescent="0.15">
      <c r="A157" s="14" t="s">
        <v>25</v>
      </c>
      <c r="B157" s="8"/>
      <c r="C157" s="10">
        <v>2</v>
      </c>
      <c r="D157" s="10"/>
      <c r="E157" s="10"/>
      <c r="F157" s="30"/>
      <c r="G157" s="7">
        <f t="shared" si="35"/>
        <v>2</v>
      </c>
      <c r="H157" s="58">
        <v>43176</v>
      </c>
      <c r="I157" s="14"/>
      <c r="J157" s="8"/>
      <c r="K157" s="10"/>
      <c r="L157" s="10"/>
      <c r="M157" s="10"/>
      <c r="N157" s="30"/>
      <c r="O157" s="7">
        <f t="shared" si="36"/>
        <v>0</v>
      </c>
      <c r="P157" s="58"/>
    </row>
    <row r="158" spans="1:17" x14ac:dyDescent="0.15">
      <c r="A158" s="15" t="s">
        <v>651</v>
      </c>
      <c r="B158" s="8"/>
      <c r="C158" s="10">
        <v>-10</v>
      </c>
      <c r="D158" s="10"/>
      <c r="E158" s="10"/>
      <c r="F158" s="30"/>
      <c r="G158" s="7">
        <f t="shared" si="35"/>
        <v>-10</v>
      </c>
      <c r="H158" s="58">
        <v>43179</v>
      </c>
      <c r="I158" s="16"/>
      <c r="J158" s="8"/>
      <c r="K158" s="10"/>
      <c r="L158" s="10"/>
      <c r="M158" s="10"/>
      <c r="N158" s="30"/>
      <c r="O158" s="7">
        <f t="shared" si="36"/>
        <v>0</v>
      </c>
      <c r="P158" s="58"/>
    </row>
    <row r="159" spans="1:17" x14ac:dyDescent="0.15">
      <c r="A159" s="14" t="s">
        <v>25</v>
      </c>
      <c r="B159" s="8"/>
      <c r="C159" s="10"/>
      <c r="D159" s="10"/>
      <c r="E159" s="10"/>
      <c r="F159" s="30">
        <v>2</v>
      </c>
      <c r="G159" s="7">
        <f t="shared" si="35"/>
        <v>2</v>
      </c>
      <c r="H159" s="58">
        <v>43179</v>
      </c>
      <c r="I159" s="16"/>
      <c r="J159" s="8"/>
      <c r="K159" s="10"/>
      <c r="L159" s="10"/>
      <c r="M159" s="10"/>
      <c r="N159" s="30"/>
      <c r="O159" s="7">
        <f t="shared" si="36"/>
        <v>0</v>
      </c>
      <c r="P159" s="58"/>
    </row>
    <row r="160" spans="1:17" x14ac:dyDescent="0.15">
      <c r="A160" s="14" t="s">
        <v>654</v>
      </c>
      <c r="B160" s="8"/>
      <c r="C160" s="10">
        <v>2</v>
      </c>
      <c r="D160" s="10">
        <v>1</v>
      </c>
      <c r="E160" s="10">
        <v>2</v>
      </c>
      <c r="F160" s="30">
        <v>2</v>
      </c>
      <c r="G160" s="7">
        <f t="shared" si="35"/>
        <v>7</v>
      </c>
      <c r="H160" s="58">
        <v>43181</v>
      </c>
      <c r="I160" s="16"/>
      <c r="J160" s="8"/>
      <c r="K160" s="10"/>
      <c r="L160" s="10"/>
      <c r="M160" s="10"/>
      <c r="N160" s="30"/>
      <c r="O160" s="7">
        <f t="shared" si="36"/>
        <v>0</v>
      </c>
      <c r="P160" s="58"/>
    </row>
    <row r="161" spans="1:20" x14ac:dyDescent="0.15">
      <c r="A161" s="14" t="s">
        <v>22</v>
      </c>
      <c r="B161" s="8"/>
      <c r="C161" s="10"/>
      <c r="D161" s="10"/>
      <c r="E161" s="10">
        <v>10</v>
      </c>
      <c r="F161" s="30"/>
      <c r="G161" s="7">
        <f t="shared" si="35"/>
        <v>10</v>
      </c>
      <c r="H161" s="58">
        <v>43185</v>
      </c>
      <c r="I161" s="51"/>
      <c r="J161" s="11"/>
      <c r="K161" s="12"/>
      <c r="L161" s="12"/>
      <c r="M161" s="12"/>
      <c r="N161" s="31"/>
      <c r="O161" s="7">
        <f t="shared" si="36"/>
        <v>0</v>
      </c>
      <c r="P161" s="58"/>
    </row>
    <row r="162" spans="1:20" x14ac:dyDescent="0.15">
      <c r="A162" s="14" t="s">
        <v>657</v>
      </c>
      <c r="B162" s="11"/>
      <c r="C162" s="12"/>
      <c r="D162" s="12"/>
      <c r="E162" s="12">
        <v>-15</v>
      </c>
      <c r="F162" s="31"/>
      <c r="G162" s="7">
        <f t="shared" si="35"/>
        <v>-15</v>
      </c>
      <c r="H162" s="58">
        <v>43181</v>
      </c>
      <c r="I162" s="14"/>
      <c r="J162" s="11"/>
      <c r="K162" s="12"/>
      <c r="L162" s="12"/>
      <c r="M162" s="12"/>
      <c r="N162" s="31"/>
      <c r="O162" s="7">
        <f t="shared" si="36"/>
        <v>0</v>
      </c>
      <c r="P162" s="58"/>
    </row>
    <row r="163" spans="1:20" x14ac:dyDescent="0.15">
      <c r="A163" s="14" t="s">
        <v>658</v>
      </c>
      <c r="B163" s="8"/>
      <c r="C163" s="10">
        <v>1</v>
      </c>
      <c r="D163" s="10"/>
      <c r="E163" s="10"/>
      <c r="F163" s="30"/>
      <c r="G163" s="7">
        <f t="shared" si="35"/>
        <v>1</v>
      </c>
      <c r="H163" s="58">
        <v>43179</v>
      </c>
      <c r="I163" s="16"/>
      <c r="J163" s="8"/>
      <c r="K163" s="10"/>
      <c r="L163" s="10"/>
      <c r="M163" s="10"/>
      <c r="N163" s="30"/>
      <c r="O163" s="7">
        <f t="shared" ref="O163:O165" si="37">SUM(J163:N163)</f>
        <v>0</v>
      </c>
      <c r="P163" s="58"/>
    </row>
    <row r="164" spans="1:20" x14ac:dyDescent="0.15">
      <c r="A164" s="14" t="s">
        <v>25</v>
      </c>
      <c r="B164" s="8"/>
      <c r="C164" s="10"/>
      <c r="D164" s="10">
        <v>2</v>
      </c>
      <c r="E164" s="10">
        <v>1</v>
      </c>
      <c r="F164" s="30">
        <v>2</v>
      </c>
      <c r="G164" s="7">
        <f t="shared" si="35"/>
        <v>5</v>
      </c>
      <c r="H164" s="58">
        <v>43182</v>
      </c>
      <c r="I164" s="16"/>
      <c r="J164" s="8"/>
      <c r="K164" s="10"/>
      <c r="L164" s="10"/>
      <c r="M164" s="10"/>
      <c r="N164" s="30"/>
      <c r="O164" s="7">
        <f t="shared" si="37"/>
        <v>0</v>
      </c>
      <c r="P164" s="58"/>
    </row>
    <row r="165" spans="1:20" x14ac:dyDescent="0.15">
      <c r="A165" s="14" t="s">
        <v>25</v>
      </c>
      <c r="B165" s="8"/>
      <c r="C165" s="10"/>
      <c r="D165" s="10">
        <v>7</v>
      </c>
      <c r="E165" s="10"/>
      <c r="F165" s="30"/>
      <c r="G165" s="7">
        <f t="shared" si="35"/>
        <v>7</v>
      </c>
      <c r="H165" s="58">
        <v>43186</v>
      </c>
      <c r="I165" s="16"/>
      <c r="J165" s="8"/>
      <c r="K165" s="10"/>
      <c r="L165" s="10"/>
      <c r="M165" s="10"/>
      <c r="N165" s="30"/>
      <c r="O165" s="7">
        <f t="shared" si="37"/>
        <v>0</v>
      </c>
      <c r="P165" s="58"/>
    </row>
    <row r="166" spans="1:20" ht="14.25" thickBot="1" x14ac:dyDescent="0.2">
      <c r="A166" s="14" t="s">
        <v>663</v>
      </c>
      <c r="B166" s="11"/>
      <c r="C166" s="12">
        <v>1</v>
      </c>
      <c r="D166" s="12"/>
      <c r="E166" s="12">
        <v>1</v>
      </c>
      <c r="F166" s="31">
        <v>1</v>
      </c>
      <c r="G166" s="115">
        <f t="shared" si="35"/>
        <v>3</v>
      </c>
      <c r="H166" s="58">
        <v>43188</v>
      </c>
      <c r="I166" s="146" t="s">
        <v>562</v>
      </c>
      <c r="J166" s="121">
        <v>10</v>
      </c>
      <c r="K166" s="122">
        <v>40</v>
      </c>
      <c r="L166" s="122">
        <v>50</v>
      </c>
      <c r="M166" s="122">
        <v>110</v>
      </c>
      <c r="N166" s="123">
        <v>65</v>
      </c>
      <c r="O166" s="124">
        <f t="shared" si="36"/>
        <v>275</v>
      </c>
      <c r="P166" s="145" t="s">
        <v>539</v>
      </c>
      <c r="Q166" s="145" t="s">
        <v>540</v>
      </c>
      <c r="R166" s="145" t="s">
        <v>541</v>
      </c>
      <c r="S166" s="145" t="s">
        <v>538</v>
      </c>
      <c r="T166" s="56"/>
    </row>
    <row r="167" spans="1:20" ht="14.25" thickBot="1" x14ac:dyDescent="0.2">
      <c r="A167" s="3" t="s">
        <v>11</v>
      </c>
      <c r="B167" s="23">
        <f>SUM(B141:B166)</f>
        <v>18</v>
      </c>
      <c r="C167" s="4">
        <f>SUM(C141:C166)</f>
        <v>21</v>
      </c>
      <c r="D167" s="4">
        <f>SUM(D141:D166)</f>
        <v>27</v>
      </c>
      <c r="E167" s="6">
        <f>SUM(E141:E166)</f>
        <v>16</v>
      </c>
      <c r="F167" s="32">
        <f>SUM(F141:F166)</f>
        <v>13</v>
      </c>
      <c r="G167" s="5">
        <f>SUM(B167:F167)</f>
        <v>95</v>
      </c>
      <c r="I167" s="3" t="s">
        <v>11</v>
      </c>
      <c r="J167" s="23">
        <f>SUM(J141:J166)</f>
        <v>30</v>
      </c>
      <c r="K167" s="4">
        <f>SUM(K141:K166)</f>
        <v>70</v>
      </c>
      <c r="L167" s="4">
        <f>SUM(L141:L166)</f>
        <v>65</v>
      </c>
      <c r="M167" s="6">
        <f>SUM(M141:M166)</f>
        <v>140</v>
      </c>
      <c r="N167" s="32">
        <f>SUM(N141:N166)</f>
        <v>70</v>
      </c>
      <c r="O167" s="5">
        <f>SUM(J167:N167)</f>
        <v>375</v>
      </c>
    </row>
    <row r="168" spans="1:20" ht="14.25" thickBot="1" x14ac:dyDescent="0.2">
      <c r="A168" s="25" t="s">
        <v>12</v>
      </c>
      <c r="B168" s="63">
        <f>B140-B167</f>
        <v>14</v>
      </c>
      <c r="C168" s="26">
        <f t="shared" ref="C168:G168" si="38">C140-C167</f>
        <v>14</v>
      </c>
      <c r="D168" s="71">
        <f t="shared" si="38"/>
        <v>4</v>
      </c>
      <c r="E168" s="26">
        <f t="shared" si="38"/>
        <v>11</v>
      </c>
      <c r="F168" s="70">
        <f t="shared" si="38"/>
        <v>7</v>
      </c>
      <c r="G168" s="27">
        <f t="shared" si="38"/>
        <v>50</v>
      </c>
      <c r="I168" s="25" t="s">
        <v>12</v>
      </c>
      <c r="J168" s="63">
        <f>J140-J167</f>
        <v>249</v>
      </c>
      <c r="K168" s="26">
        <f t="shared" ref="K168:O168" si="39">K140-K167</f>
        <v>212</v>
      </c>
      <c r="L168" s="71">
        <f t="shared" si="39"/>
        <v>220</v>
      </c>
      <c r="M168" s="26">
        <f t="shared" si="39"/>
        <v>224</v>
      </c>
      <c r="N168" s="70">
        <f t="shared" si="39"/>
        <v>240</v>
      </c>
      <c r="O168" s="27">
        <f t="shared" si="39"/>
        <v>1145</v>
      </c>
    </row>
    <row r="169" spans="1:20" ht="17.25" x14ac:dyDescent="0.2">
      <c r="A169" s="79" t="s">
        <v>391</v>
      </c>
      <c r="B169" s="80"/>
      <c r="C169" s="80"/>
      <c r="D169" s="80"/>
      <c r="E169" s="80"/>
      <c r="F169" s="80"/>
      <c r="G169" s="80"/>
      <c r="H169" s="56"/>
      <c r="I169" s="79" t="s">
        <v>391</v>
      </c>
      <c r="J169" s="80"/>
      <c r="K169" s="80"/>
      <c r="L169" s="80"/>
      <c r="M169" s="80"/>
      <c r="N169" s="80"/>
      <c r="O169" s="1"/>
    </row>
    <row r="170" spans="1:20" ht="21.75" thickBot="1" x14ac:dyDescent="0.25">
      <c r="A170" s="82" t="s">
        <v>390</v>
      </c>
      <c r="B170" s="80"/>
      <c r="C170" s="80"/>
      <c r="D170" s="80"/>
      <c r="E170" s="81" t="s">
        <v>53</v>
      </c>
      <c r="F170" s="80"/>
      <c r="G170" s="80"/>
      <c r="H170" s="56"/>
      <c r="I170" s="82" t="s">
        <v>390</v>
      </c>
      <c r="J170" s="80"/>
      <c r="K170" s="80"/>
      <c r="L170" s="80"/>
      <c r="M170" s="81" t="s">
        <v>393</v>
      </c>
      <c r="N170" s="80"/>
      <c r="O170" s="1"/>
    </row>
    <row r="171" spans="1:20" ht="14.25" thickBot="1" x14ac:dyDescent="0.2">
      <c r="A171" s="13" t="s">
        <v>0</v>
      </c>
      <c r="B171" s="228" t="s">
        <v>392</v>
      </c>
      <c r="C171" s="229"/>
      <c r="D171" s="229"/>
      <c r="E171" s="229"/>
      <c r="F171" s="230"/>
      <c r="G171" s="231"/>
      <c r="H171" s="56"/>
      <c r="I171" s="13" t="s">
        <v>0</v>
      </c>
      <c r="J171" s="228" t="s">
        <v>392</v>
      </c>
      <c r="K171" s="229"/>
      <c r="L171" s="229"/>
      <c r="M171" s="229"/>
      <c r="N171" s="230"/>
      <c r="O171" s="231"/>
    </row>
    <row r="172" spans="1:20" ht="14.25" thickBot="1" x14ac:dyDescent="0.2">
      <c r="A172" s="3" t="s">
        <v>1</v>
      </c>
      <c r="B172" s="2" t="s">
        <v>42</v>
      </c>
      <c r="C172" s="21" t="s">
        <v>43</v>
      </c>
      <c r="D172" s="21" t="s">
        <v>44</v>
      </c>
      <c r="E172" s="24" t="s">
        <v>45</v>
      </c>
      <c r="F172" s="33" t="s">
        <v>46</v>
      </c>
      <c r="G172" s="34" t="s">
        <v>2</v>
      </c>
      <c r="H172" s="56"/>
      <c r="I172" s="3" t="s">
        <v>1</v>
      </c>
      <c r="J172" s="41" t="s">
        <v>42</v>
      </c>
      <c r="K172" s="42" t="s">
        <v>43</v>
      </c>
      <c r="L172" s="42" t="s">
        <v>44</v>
      </c>
      <c r="M172" s="43" t="s">
        <v>45</v>
      </c>
      <c r="N172" s="44" t="s">
        <v>46</v>
      </c>
      <c r="O172" s="3" t="s">
        <v>2</v>
      </c>
    </row>
    <row r="173" spans="1:20" ht="14.25" thickBot="1" x14ac:dyDescent="0.2">
      <c r="A173" s="72" t="s">
        <v>456</v>
      </c>
      <c r="B173" s="73">
        <f>B168</f>
        <v>14</v>
      </c>
      <c r="C173" s="74">
        <f t="shared" ref="C173:F173" si="40">C168</f>
        <v>14</v>
      </c>
      <c r="D173" s="74">
        <f t="shared" si="40"/>
        <v>4</v>
      </c>
      <c r="E173" s="74">
        <f t="shared" si="40"/>
        <v>11</v>
      </c>
      <c r="F173" s="105">
        <f t="shared" si="40"/>
        <v>7</v>
      </c>
      <c r="G173" s="131">
        <f t="shared" ref="G173:G181" si="41">SUM(B173:F173)</f>
        <v>50</v>
      </c>
      <c r="H173" s="56"/>
      <c r="I173" s="72" t="s">
        <v>456</v>
      </c>
      <c r="J173" s="73">
        <f>J168</f>
        <v>249</v>
      </c>
      <c r="K173" s="74">
        <f t="shared" ref="K173:N173" si="42">K168</f>
        <v>212</v>
      </c>
      <c r="L173" s="74">
        <f t="shared" si="42"/>
        <v>220</v>
      </c>
      <c r="M173" s="74">
        <f t="shared" si="42"/>
        <v>224</v>
      </c>
      <c r="N173" s="105">
        <f t="shared" si="42"/>
        <v>240</v>
      </c>
      <c r="O173" s="131">
        <f t="shared" ref="O173:O181" si="43">SUM(J173:N173)</f>
        <v>1145</v>
      </c>
    </row>
    <row r="174" spans="1:20" x14ac:dyDescent="0.15">
      <c r="A174" s="15" t="s">
        <v>3</v>
      </c>
      <c r="B174" s="8"/>
      <c r="C174" s="10"/>
      <c r="D174" s="10">
        <v>10</v>
      </c>
      <c r="E174" s="10"/>
      <c r="F174" s="28"/>
      <c r="G174" s="9">
        <f t="shared" si="41"/>
        <v>10</v>
      </c>
      <c r="H174" s="58">
        <v>43187</v>
      </c>
      <c r="I174" s="38" t="s">
        <v>14</v>
      </c>
      <c r="J174" s="37"/>
      <c r="K174" s="35"/>
      <c r="L174" s="35"/>
      <c r="M174" s="35"/>
      <c r="N174" s="28"/>
      <c r="O174" s="7">
        <f t="shared" si="43"/>
        <v>0</v>
      </c>
    </row>
    <row r="175" spans="1:20" x14ac:dyDescent="0.15">
      <c r="A175" s="15" t="s">
        <v>4</v>
      </c>
      <c r="B175" s="8"/>
      <c r="C175" s="10">
        <v>10</v>
      </c>
      <c r="D175" s="10"/>
      <c r="E175" s="10"/>
      <c r="F175" s="28">
        <v>15</v>
      </c>
      <c r="G175" s="9">
        <f t="shared" si="41"/>
        <v>25</v>
      </c>
      <c r="H175" s="58">
        <v>43188</v>
      </c>
      <c r="I175" s="38" t="s">
        <v>3</v>
      </c>
      <c r="J175" s="8"/>
      <c r="K175" s="10"/>
      <c r="L175" s="10"/>
      <c r="M175" s="10"/>
      <c r="N175" s="28"/>
      <c r="O175" s="9">
        <f t="shared" si="43"/>
        <v>0</v>
      </c>
    </row>
    <row r="176" spans="1:20" x14ac:dyDescent="0.15">
      <c r="A176" s="15" t="s">
        <v>19</v>
      </c>
      <c r="B176" s="8"/>
      <c r="C176" s="10"/>
      <c r="D176" s="10">
        <v>2</v>
      </c>
      <c r="E176" s="10">
        <v>2</v>
      </c>
      <c r="F176" s="28">
        <v>3</v>
      </c>
      <c r="G176" s="9">
        <f t="shared" si="41"/>
        <v>7</v>
      </c>
      <c r="H176" s="58">
        <v>43190</v>
      </c>
      <c r="I176" s="38" t="s">
        <v>4</v>
      </c>
      <c r="J176" s="8"/>
      <c r="K176" s="10"/>
      <c r="L176" s="10"/>
      <c r="M176" s="10"/>
      <c r="N176" s="28"/>
      <c r="O176" s="9">
        <f t="shared" si="43"/>
        <v>0</v>
      </c>
    </row>
    <row r="177" spans="1:16" x14ac:dyDescent="0.15">
      <c r="A177" s="15" t="s">
        <v>6</v>
      </c>
      <c r="B177" s="8"/>
      <c r="C177" s="10"/>
      <c r="D177" s="10">
        <v>15</v>
      </c>
      <c r="E177" s="10">
        <v>5</v>
      </c>
      <c r="F177" s="28"/>
      <c r="G177" s="9">
        <f t="shared" si="41"/>
        <v>20</v>
      </c>
      <c r="H177" s="58">
        <v>43199</v>
      </c>
      <c r="I177" s="38" t="s">
        <v>5</v>
      </c>
      <c r="J177" s="8"/>
      <c r="K177" s="10"/>
      <c r="L177" s="10"/>
      <c r="M177" s="10"/>
      <c r="N177" s="28"/>
      <c r="O177" s="9">
        <f t="shared" si="43"/>
        <v>0</v>
      </c>
    </row>
    <row r="178" spans="1:16" x14ac:dyDescent="0.15">
      <c r="A178" s="15" t="s">
        <v>84</v>
      </c>
      <c r="B178" s="8">
        <v>10</v>
      </c>
      <c r="C178" s="10">
        <v>5</v>
      </c>
      <c r="D178" s="10"/>
      <c r="E178" s="10">
        <v>5</v>
      </c>
      <c r="F178" s="30">
        <v>5</v>
      </c>
      <c r="G178" s="7">
        <f t="shared" si="41"/>
        <v>25</v>
      </c>
      <c r="H178" s="58">
        <v>43206</v>
      </c>
      <c r="I178" s="38" t="s">
        <v>6</v>
      </c>
      <c r="J178" s="8"/>
      <c r="K178" s="10"/>
      <c r="L178" s="10"/>
      <c r="M178" s="10"/>
      <c r="N178" s="30"/>
      <c r="O178" s="7">
        <f t="shared" si="43"/>
        <v>0</v>
      </c>
    </row>
    <row r="179" spans="1:16" x14ac:dyDescent="0.15">
      <c r="A179" s="15" t="s">
        <v>85</v>
      </c>
      <c r="B179" s="8">
        <v>5</v>
      </c>
      <c r="C179" s="10"/>
      <c r="D179" s="10">
        <v>20</v>
      </c>
      <c r="E179" s="10">
        <v>5</v>
      </c>
      <c r="F179" s="30"/>
      <c r="G179" s="7">
        <f t="shared" si="41"/>
        <v>30</v>
      </c>
      <c r="H179" s="58">
        <v>43213</v>
      </c>
      <c r="I179" s="38" t="s">
        <v>84</v>
      </c>
      <c r="J179" s="8"/>
      <c r="K179" s="10"/>
      <c r="L179" s="10"/>
      <c r="M179" s="10"/>
      <c r="N179" s="30"/>
      <c r="O179" s="7">
        <f t="shared" si="43"/>
        <v>0</v>
      </c>
    </row>
    <row r="180" spans="1:16" x14ac:dyDescent="0.15">
      <c r="A180" s="15" t="s">
        <v>86</v>
      </c>
      <c r="B180" s="8"/>
      <c r="C180" s="10"/>
      <c r="D180" s="10">
        <v>15</v>
      </c>
      <c r="E180" s="10"/>
      <c r="F180" s="30"/>
      <c r="G180" s="7">
        <f t="shared" si="41"/>
        <v>15</v>
      </c>
      <c r="H180" s="58">
        <v>43216</v>
      </c>
      <c r="I180" s="38" t="s">
        <v>85</v>
      </c>
      <c r="J180" s="8"/>
      <c r="K180" s="10"/>
      <c r="L180" s="10"/>
      <c r="M180" s="10"/>
      <c r="N180" s="30"/>
      <c r="O180" s="7">
        <f t="shared" si="43"/>
        <v>0</v>
      </c>
    </row>
    <row r="181" spans="1:16" ht="14.25" thickBot="1" x14ac:dyDescent="0.2">
      <c r="A181" s="15" t="s">
        <v>17</v>
      </c>
      <c r="B181" s="11"/>
      <c r="C181" s="100"/>
      <c r="D181" s="100">
        <v>1</v>
      </c>
      <c r="E181" s="100">
        <v>1</v>
      </c>
      <c r="F181" s="101"/>
      <c r="G181" s="102">
        <f t="shared" si="41"/>
        <v>2</v>
      </c>
      <c r="H181" s="58">
        <v>43215</v>
      </c>
      <c r="I181" s="38" t="s">
        <v>86</v>
      </c>
      <c r="J181" s="11"/>
      <c r="K181" s="100"/>
      <c r="L181" s="100"/>
      <c r="M181" s="100"/>
      <c r="N181" s="101"/>
      <c r="O181" s="102">
        <f t="shared" si="43"/>
        <v>0</v>
      </c>
    </row>
    <row r="182" spans="1:16" ht="14.25" thickBot="1" x14ac:dyDescent="0.2">
      <c r="A182" s="72" t="s">
        <v>7</v>
      </c>
      <c r="B182" s="73">
        <f>SUM(B173:B181)</f>
        <v>29</v>
      </c>
      <c r="C182" s="74">
        <f t="shared" ref="C182:G182" si="44">SUM(C173:C181)</f>
        <v>29</v>
      </c>
      <c r="D182" s="74">
        <f t="shared" si="44"/>
        <v>67</v>
      </c>
      <c r="E182" s="74">
        <f t="shared" si="44"/>
        <v>29</v>
      </c>
      <c r="F182" s="105">
        <f t="shared" si="44"/>
        <v>30</v>
      </c>
      <c r="G182" s="76">
        <f t="shared" si="44"/>
        <v>184</v>
      </c>
      <c r="H182" s="56"/>
      <c r="I182" s="72" t="s">
        <v>7</v>
      </c>
      <c r="J182" s="73">
        <f>SUM(J173:J181)</f>
        <v>249</v>
      </c>
      <c r="K182" s="74">
        <f t="shared" ref="K182:O182" si="45">SUM(K173:K181)</f>
        <v>212</v>
      </c>
      <c r="L182" s="74">
        <f t="shared" si="45"/>
        <v>220</v>
      </c>
      <c r="M182" s="74">
        <f t="shared" si="45"/>
        <v>224</v>
      </c>
      <c r="N182" s="105">
        <f t="shared" si="45"/>
        <v>240</v>
      </c>
      <c r="O182" s="76">
        <f t="shared" si="45"/>
        <v>1145</v>
      </c>
    </row>
    <row r="183" spans="1:16" x14ac:dyDescent="0.15">
      <c r="A183" s="14" t="s">
        <v>22</v>
      </c>
      <c r="B183" s="37"/>
      <c r="C183" s="35">
        <v>10</v>
      </c>
      <c r="D183" s="35"/>
      <c r="E183" s="35"/>
      <c r="F183" s="28">
        <v>10</v>
      </c>
      <c r="G183" s="18">
        <f t="shared" ref="G183:G208" si="46">SUM(B183:F183)</f>
        <v>20</v>
      </c>
      <c r="H183" s="58">
        <v>43193</v>
      </c>
      <c r="I183" s="16" t="s">
        <v>664</v>
      </c>
      <c r="J183" s="17"/>
      <c r="K183" s="22"/>
      <c r="L183" s="22">
        <v>10</v>
      </c>
      <c r="M183" s="22"/>
      <c r="N183" s="29"/>
      <c r="O183" s="18">
        <f t="shared" ref="O183:O208" si="47">SUM(J183:N183)</f>
        <v>10</v>
      </c>
      <c r="P183" s="58">
        <v>43187</v>
      </c>
    </row>
    <row r="184" spans="1:16" x14ac:dyDescent="0.15">
      <c r="A184" s="14" t="s">
        <v>110</v>
      </c>
      <c r="B184" s="8">
        <v>2</v>
      </c>
      <c r="C184" s="10"/>
      <c r="D184" s="10">
        <v>2</v>
      </c>
      <c r="E184" s="10"/>
      <c r="F184" s="30"/>
      <c r="G184" s="7">
        <f t="shared" si="46"/>
        <v>4</v>
      </c>
      <c r="H184" s="58">
        <v>43195</v>
      </c>
      <c r="I184" s="16" t="s">
        <v>24</v>
      </c>
      <c r="J184" s="8"/>
      <c r="K184" s="10">
        <v>10</v>
      </c>
      <c r="L184" s="10"/>
      <c r="M184" s="10"/>
      <c r="N184" s="30">
        <v>15</v>
      </c>
      <c r="O184" s="7">
        <f t="shared" si="47"/>
        <v>25</v>
      </c>
      <c r="P184" s="58">
        <v>43188</v>
      </c>
    </row>
    <row r="185" spans="1:16" x14ac:dyDescent="0.15">
      <c r="A185" s="14" t="s">
        <v>25</v>
      </c>
      <c r="B185" s="8">
        <v>1</v>
      </c>
      <c r="C185" s="10"/>
      <c r="D185" s="10"/>
      <c r="E185" s="10"/>
      <c r="F185" s="30">
        <v>1</v>
      </c>
      <c r="G185" s="7">
        <f t="shared" si="46"/>
        <v>2</v>
      </c>
      <c r="H185" s="58">
        <v>43189</v>
      </c>
      <c r="I185" s="16" t="s">
        <v>24</v>
      </c>
      <c r="J185" s="8"/>
      <c r="K185" s="10"/>
      <c r="L185" s="10">
        <v>15</v>
      </c>
      <c r="M185" s="10">
        <v>5</v>
      </c>
      <c r="N185" s="30"/>
      <c r="O185" s="7">
        <f t="shared" si="47"/>
        <v>20</v>
      </c>
      <c r="P185" s="58">
        <v>43199</v>
      </c>
    </row>
    <row r="186" spans="1:16" x14ac:dyDescent="0.15">
      <c r="A186" s="14" t="s">
        <v>668</v>
      </c>
      <c r="B186" s="8"/>
      <c r="C186" s="10">
        <v>2</v>
      </c>
      <c r="D186" s="10"/>
      <c r="E186" s="10"/>
      <c r="F186" s="30"/>
      <c r="G186" s="7">
        <f t="shared" si="46"/>
        <v>2</v>
      </c>
      <c r="H186" s="58">
        <v>43192</v>
      </c>
      <c r="I186" s="16" t="s">
        <v>24</v>
      </c>
      <c r="J186" s="8">
        <v>10</v>
      </c>
      <c r="K186" s="10">
        <v>5</v>
      </c>
      <c r="L186" s="10"/>
      <c r="M186" s="10">
        <v>5</v>
      </c>
      <c r="N186" s="30">
        <v>5</v>
      </c>
      <c r="O186" s="7">
        <f t="shared" si="47"/>
        <v>25</v>
      </c>
      <c r="P186" s="58">
        <v>43206</v>
      </c>
    </row>
    <row r="187" spans="1:16" x14ac:dyDescent="0.15">
      <c r="A187" s="14" t="s">
        <v>25</v>
      </c>
      <c r="B187" s="37">
        <v>1</v>
      </c>
      <c r="C187" s="35"/>
      <c r="D187" s="35">
        <v>1</v>
      </c>
      <c r="E187" s="35"/>
      <c r="F187" s="28"/>
      <c r="G187" s="7">
        <f t="shared" si="46"/>
        <v>2</v>
      </c>
      <c r="H187" s="58">
        <v>43193</v>
      </c>
      <c r="I187" s="16" t="s">
        <v>24</v>
      </c>
      <c r="J187" s="8">
        <v>5</v>
      </c>
      <c r="K187" s="10"/>
      <c r="L187" s="10">
        <v>20</v>
      </c>
      <c r="M187" s="10">
        <v>5</v>
      </c>
      <c r="N187" s="30"/>
      <c r="O187" s="7">
        <f t="shared" si="47"/>
        <v>30</v>
      </c>
      <c r="P187" s="58">
        <v>43213</v>
      </c>
    </row>
    <row r="188" spans="1:16" x14ac:dyDescent="0.15">
      <c r="A188" s="14" t="s">
        <v>110</v>
      </c>
      <c r="B188" s="8"/>
      <c r="C188" s="10"/>
      <c r="D188" s="10"/>
      <c r="E188" s="10">
        <v>3</v>
      </c>
      <c r="F188" s="30">
        <v>3</v>
      </c>
      <c r="G188" s="7">
        <f t="shared" si="46"/>
        <v>6</v>
      </c>
      <c r="H188" s="58">
        <v>43199</v>
      </c>
      <c r="I188" s="16" t="s">
        <v>24</v>
      </c>
      <c r="J188" s="8"/>
      <c r="K188" s="10"/>
      <c r="L188" s="10">
        <v>15</v>
      </c>
      <c r="M188" s="10"/>
      <c r="N188" s="30"/>
      <c r="O188" s="7">
        <f t="shared" si="47"/>
        <v>15</v>
      </c>
      <c r="P188" s="58">
        <v>43216</v>
      </c>
    </row>
    <row r="189" spans="1:16" x14ac:dyDescent="0.15">
      <c r="A189" s="14" t="s">
        <v>673</v>
      </c>
      <c r="B189" s="8"/>
      <c r="C189" s="10">
        <v>1</v>
      </c>
      <c r="D189" s="10"/>
      <c r="E189" s="10"/>
      <c r="F189" s="30"/>
      <c r="G189" s="7">
        <f t="shared" si="46"/>
        <v>1</v>
      </c>
      <c r="H189" s="58">
        <v>43196</v>
      </c>
      <c r="I189" s="16"/>
      <c r="J189" s="8"/>
      <c r="K189" s="10"/>
      <c r="L189" s="10"/>
      <c r="M189" s="10"/>
      <c r="N189" s="30"/>
      <c r="O189" s="7">
        <f t="shared" si="47"/>
        <v>0</v>
      </c>
    </row>
    <row r="190" spans="1:16" x14ac:dyDescent="0.15">
      <c r="A190" s="14" t="s">
        <v>674</v>
      </c>
      <c r="B190" s="8"/>
      <c r="C190" s="10"/>
      <c r="D190" s="10">
        <v>1</v>
      </c>
      <c r="E190" s="10"/>
      <c r="F190" s="30"/>
      <c r="G190" s="7">
        <f t="shared" si="46"/>
        <v>1</v>
      </c>
      <c r="H190" s="58">
        <v>43200</v>
      </c>
      <c r="I190" s="16"/>
      <c r="J190" s="8"/>
      <c r="K190" s="10"/>
      <c r="L190" s="10"/>
      <c r="M190" s="10"/>
      <c r="N190" s="30"/>
      <c r="O190" s="7">
        <f t="shared" si="47"/>
        <v>0</v>
      </c>
    </row>
    <row r="191" spans="1:16" x14ac:dyDescent="0.15">
      <c r="A191" s="14" t="s">
        <v>25</v>
      </c>
      <c r="B191" s="8"/>
      <c r="C191" s="10">
        <v>1</v>
      </c>
      <c r="D191" s="10">
        <v>1</v>
      </c>
      <c r="E191" s="10">
        <v>1</v>
      </c>
      <c r="F191" s="30"/>
      <c r="G191" s="7">
        <f t="shared" si="46"/>
        <v>3</v>
      </c>
      <c r="H191" s="58">
        <v>43195</v>
      </c>
      <c r="I191" s="39"/>
      <c r="J191" s="8"/>
      <c r="K191" s="10"/>
      <c r="L191" s="10"/>
      <c r="M191" s="10"/>
      <c r="N191" s="30"/>
      <c r="O191" s="7">
        <f t="shared" si="47"/>
        <v>0</v>
      </c>
    </row>
    <row r="192" spans="1:16" x14ac:dyDescent="0.15">
      <c r="A192" s="14" t="s">
        <v>22</v>
      </c>
      <c r="B192" s="11"/>
      <c r="C192" s="12"/>
      <c r="D192" s="12">
        <v>10</v>
      </c>
      <c r="E192" s="12"/>
      <c r="F192" s="31"/>
      <c r="G192" s="7">
        <f t="shared" si="46"/>
        <v>10</v>
      </c>
      <c r="H192" s="58">
        <v>43203</v>
      </c>
      <c r="I192" s="16"/>
      <c r="J192" s="11"/>
      <c r="K192" s="12"/>
      <c r="L192" s="12"/>
      <c r="M192" s="12"/>
      <c r="N192" s="31"/>
      <c r="O192" s="7">
        <f t="shared" si="47"/>
        <v>0</v>
      </c>
    </row>
    <row r="193" spans="1:16" x14ac:dyDescent="0.15">
      <c r="A193" s="14" t="s">
        <v>25</v>
      </c>
      <c r="B193" s="8"/>
      <c r="C193" s="10">
        <v>1</v>
      </c>
      <c r="D193" s="10"/>
      <c r="E193" s="10">
        <v>2</v>
      </c>
      <c r="F193" s="30"/>
      <c r="G193" s="7">
        <f t="shared" si="46"/>
        <v>3</v>
      </c>
      <c r="H193" s="58">
        <v>43200</v>
      </c>
      <c r="I193" s="16"/>
      <c r="J193" s="8"/>
      <c r="K193" s="10"/>
      <c r="L193" s="10"/>
      <c r="M193" s="10"/>
      <c r="N193" s="30"/>
      <c r="O193" s="7">
        <f t="shared" si="47"/>
        <v>0</v>
      </c>
    </row>
    <row r="194" spans="1:16" x14ac:dyDescent="0.15">
      <c r="A194" s="14" t="s">
        <v>110</v>
      </c>
      <c r="B194" s="8">
        <v>3</v>
      </c>
      <c r="C194" s="10"/>
      <c r="D194" s="10">
        <v>2</v>
      </c>
      <c r="E194" s="10"/>
      <c r="F194" s="30"/>
      <c r="G194" s="7">
        <f t="shared" si="46"/>
        <v>5</v>
      </c>
      <c r="H194" s="58">
        <v>43206</v>
      </c>
      <c r="I194" s="14"/>
      <c r="J194" s="8"/>
      <c r="K194" s="10"/>
      <c r="L194" s="10"/>
      <c r="M194" s="10"/>
      <c r="N194" s="30"/>
      <c r="O194" s="7">
        <f t="shared" si="47"/>
        <v>0</v>
      </c>
    </row>
    <row r="195" spans="1:16" x14ac:dyDescent="0.15">
      <c r="A195" s="14" t="s">
        <v>25</v>
      </c>
      <c r="B195" s="8"/>
      <c r="C195" s="10"/>
      <c r="D195" s="10"/>
      <c r="E195" s="10">
        <v>1</v>
      </c>
      <c r="F195" s="30">
        <v>2</v>
      </c>
      <c r="G195" s="7">
        <f t="shared" si="46"/>
        <v>3</v>
      </c>
      <c r="H195" s="58">
        <v>43202</v>
      </c>
      <c r="I195" s="16"/>
      <c r="J195" s="8"/>
      <c r="K195" s="10"/>
      <c r="L195" s="10"/>
      <c r="M195" s="10"/>
      <c r="N195" s="30"/>
      <c r="O195" s="7">
        <f t="shared" si="47"/>
        <v>0</v>
      </c>
    </row>
    <row r="196" spans="1:16" x14ac:dyDescent="0.15">
      <c r="A196" s="14" t="s">
        <v>687</v>
      </c>
      <c r="B196" s="8"/>
      <c r="C196" s="10">
        <v>1</v>
      </c>
      <c r="D196" s="10">
        <v>1</v>
      </c>
      <c r="E196" s="10"/>
      <c r="F196" s="30"/>
      <c r="G196" s="7">
        <f t="shared" si="46"/>
        <v>2</v>
      </c>
      <c r="H196" s="58">
        <v>43204</v>
      </c>
      <c r="I196" s="16"/>
      <c r="J196" s="8"/>
      <c r="K196" s="10"/>
      <c r="L196" s="10"/>
      <c r="M196" s="10"/>
      <c r="N196" s="30"/>
      <c r="O196" s="7">
        <f t="shared" si="47"/>
        <v>0</v>
      </c>
    </row>
    <row r="197" spans="1:16" x14ac:dyDescent="0.15">
      <c r="A197" s="14" t="s">
        <v>25</v>
      </c>
      <c r="B197" s="8"/>
      <c r="C197" s="10"/>
      <c r="D197" s="10"/>
      <c r="E197" s="10">
        <v>3</v>
      </c>
      <c r="F197" s="30">
        <v>1</v>
      </c>
      <c r="G197" s="7">
        <f t="shared" si="46"/>
        <v>4</v>
      </c>
      <c r="H197" s="58">
        <v>43204</v>
      </c>
      <c r="I197" s="16"/>
      <c r="J197" s="8"/>
      <c r="K197" s="10"/>
      <c r="L197" s="10"/>
      <c r="M197" s="10"/>
      <c r="N197" s="30"/>
      <c r="O197" s="7">
        <f t="shared" si="47"/>
        <v>0</v>
      </c>
    </row>
    <row r="198" spans="1:16" x14ac:dyDescent="0.15">
      <c r="A198" s="14" t="s">
        <v>25</v>
      </c>
      <c r="B198" s="8"/>
      <c r="C198" s="10">
        <v>1</v>
      </c>
      <c r="D198" s="10">
        <v>1</v>
      </c>
      <c r="E198" s="10">
        <v>1</v>
      </c>
      <c r="F198" s="30"/>
      <c r="G198" s="7">
        <f t="shared" si="46"/>
        <v>3</v>
      </c>
      <c r="H198" s="58">
        <v>43207</v>
      </c>
      <c r="I198" s="16"/>
      <c r="J198" s="8"/>
      <c r="K198" s="10"/>
      <c r="L198" s="10"/>
      <c r="M198" s="10"/>
      <c r="N198" s="30"/>
      <c r="O198" s="7">
        <f t="shared" si="47"/>
        <v>0</v>
      </c>
    </row>
    <row r="199" spans="1:16" x14ac:dyDescent="0.15">
      <c r="A199" s="14" t="s">
        <v>690</v>
      </c>
      <c r="B199" s="8"/>
      <c r="C199" s="10"/>
      <c r="D199" s="10"/>
      <c r="E199" s="10"/>
      <c r="F199" s="30">
        <v>1</v>
      </c>
      <c r="G199" s="7">
        <f t="shared" si="46"/>
        <v>1</v>
      </c>
      <c r="H199" s="58">
        <v>43206</v>
      </c>
      <c r="I199" s="14"/>
      <c r="J199" s="8"/>
      <c r="K199" s="10"/>
      <c r="L199" s="10"/>
      <c r="M199" s="10"/>
      <c r="N199" s="30"/>
      <c r="O199" s="7">
        <f t="shared" si="47"/>
        <v>0</v>
      </c>
    </row>
    <row r="200" spans="1:16" x14ac:dyDescent="0.15">
      <c r="A200" s="14" t="s">
        <v>25</v>
      </c>
      <c r="B200" s="8">
        <v>1</v>
      </c>
      <c r="C200" s="10">
        <v>2</v>
      </c>
      <c r="D200" s="10"/>
      <c r="E200" s="10">
        <v>1</v>
      </c>
      <c r="F200" s="30">
        <v>1</v>
      </c>
      <c r="G200" s="7">
        <f t="shared" si="46"/>
        <v>5</v>
      </c>
      <c r="H200" s="58">
        <v>43209</v>
      </c>
      <c r="I200" s="16"/>
      <c r="J200" s="8"/>
      <c r="K200" s="10"/>
      <c r="L200" s="10"/>
      <c r="M200" s="10"/>
      <c r="N200" s="30"/>
      <c r="O200" s="7">
        <f t="shared" si="47"/>
        <v>0</v>
      </c>
      <c r="P200" s="58"/>
    </row>
    <row r="201" spans="1:16" x14ac:dyDescent="0.15">
      <c r="A201" s="39" t="s">
        <v>691</v>
      </c>
      <c r="B201" s="8"/>
      <c r="C201" s="10"/>
      <c r="D201" s="10"/>
      <c r="E201" s="10">
        <v>3</v>
      </c>
      <c r="F201" s="30"/>
      <c r="G201" s="7">
        <f t="shared" si="46"/>
        <v>3</v>
      </c>
      <c r="H201" s="58">
        <v>43209</v>
      </c>
      <c r="I201" s="16"/>
      <c r="J201" s="8"/>
      <c r="K201" s="10"/>
      <c r="L201" s="10"/>
      <c r="M201" s="10"/>
      <c r="N201" s="30"/>
      <c r="O201" s="7">
        <f t="shared" si="47"/>
        <v>0</v>
      </c>
      <c r="P201" s="58"/>
    </row>
    <row r="202" spans="1:16" x14ac:dyDescent="0.15">
      <c r="A202" s="14" t="s">
        <v>25</v>
      </c>
      <c r="B202" s="8"/>
      <c r="C202" s="10"/>
      <c r="D202" s="10">
        <v>2</v>
      </c>
      <c r="E202" s="10"/>
      <c r="F202" s="30">
        <v>1</v>
      </c>
      <c r="G202" s="7">
        <f t="shared" si="46"/>
        <v>3</v>
      </c>
      <c r="H202" s="58">
        <v>43211</v>
      </c>
      <c r="I202" s="16"/>
      <c r="J202" s="8"/>
      <c r="K202" s="10"/>
      <c r="L202" s="10"/>
      <c r="M202" s="10"/>
      <c r="N202" s="30"/>
      <c r="O202" s="7">
        <f t="shared" si="47"/>
        <v>0</v>
      </c>
      <c r="P202" s="58"/>
    </row>
    <row r="203" spans="1:16" x14ac:dyDescent="0.15">
      <c r="A203" s="14" t="s">
        <v>29</v>
      </c>
      <c r="B203" s="8"/>
      <c r="C203" s="10"/>
      <c r="D203" s="10"/>
      <c r="E203" s="10">
        <v>2</v>
      </c>
      <c r="F203" s="30"/>
      <c r="G203" s="7">
        <f t="shared" si="46"/>
        <v>2</v>
      </c>
      <c r="H203" s="58">
        <v>43210</v>
      </c>
      <c r="I203" s="16"/>
      <c r="J203" s="8"/>
      <c r="K203" s="10"/>
      <c r="L203" s="10"/>
      <c r="M203" s="10"/>
      <c r="N203" s="30"/>
      <c r="O203" s="7">
        <f t="shared" si="47"/>
        <v>0</v>
      </c>
      <c r="P203" s="58"/>
    </row>
    <row r="204" spans="1:16" x14ac:dyDescent="0.15">
      <c r="A204" s="14" t="s">
        <v>22</v>
      </c>
      <c r="B204" s="11">
        <v>10</v>
      </c>
      <c r="C204" s="12"/>
      <c r="D204" s="12">
        <v>20</v>
      </c>
      <c r="E204" s="12"/>
      <c r="F204" s="31"/>
      <c r="G204" s="7">
        <f t="shared" si="46"/>
        <v>30</v>
      </c>
      <c r="H204" s="58">
        <v>43216</v>
      </c>
      <c r="I204" s="14"/>
      <c r="J204" s="8"/>
      <c r="K204" s="10"/>
      <c r="L204" s="10"/>
      <c r="M204" s="10"/>
      <c r="N204" s="30"/>
      <c r="O204" s="7">
        <f t="shared" si="47"/>
        <v>0</v>
      </c>
      <c r="P204" s="58"/>
    </row>
    <row r="205" spans="1:16" x14ac:dyDescent="0.15">
      <c r="A205" s="14" t="s">
        <v>693</v>
      </c>
      <c r="B205" s="8"/>
      <c r="C205" s="10"/>
      <c r="D205" s="10">
        <v>2</v>
      </c>
      <c r="E205" s="10"/>
      <c r="F205" s="30"/>
      <c r="G205" s="7">
        <f t="shared" si="46"/>
        <v>2</v>
      </c>
      <c r="H205" s="58">
        <v>43217</v>
      </c>
      <c r="I205" s="14"/>
      <c r="J205" s="8"/>
      <c r="K205" s="10"/>
      <c r="L205" s="10"/>
      <c r="M205" s="10"/>
      <c r="N205" s="30"/>
      <c r="O205" s="7">
        <f t="shared" si="47"/>
        <v>0</v>
      </c>
      <c r="P205" s="58"/>
    </row>
    <row r="206" spans="1:16" x14ac:dyDescent="0.15">
      <c r="A206" s="14" t="s">
        <v>25</v>
      </c>
      <c r="B206" s="8"/>
      <c r="C206" s="10">
        <v>1</v>
      </c>
      <c r="D206" s="10">
        <v>5</v>
      </c>
      <c r="E206" s="10">
        <v>1</v>
      </c>
      <c r="F206" s="30">
        <v>1</v>
      </c>
      <c r="G206" s="7">
        <f t="shared" si="46"/>
        <v>8</v>
      </c>
      <c r="H206" s="58">
        <v>43215</v>
      </c>
      <c r="I206" s="14"/>
      <c r="J206" s="8"/>
      <c r="K206" s="10"/>
      <c r="L206" s="10"/>
      <c r="M206" s="10"/>
      <c r="N206" s="30"/>
      <c r="O206" s="7">
        <f t="shared" si="47"/>
        <v>0</v>
      </c>
      <c r="P206" s="58"/>
    </row>
    <row r="207" spans="1:16" x14ac:dyDescent="0.15">
      <c r="A207" s="14" t="s">
        <v>29</v>
      </c>
      <c r="B207" s="8"/>
      <c r="C207" s="10"/>
      <c r="D207" s="10">
        <v>1</v>
      </c>
      <c r="E207" s="10"/>
      <c r="F207" s="30"/>
      <c r="G207" s="7">
        <f t="shared" si="46"/>
        <v>1</v>
      </c>
      <c r="H207" s="58">
        <v>43215</v>
      </c>
      <c r="I207" s="141"/>
      <c r="J207" s="8"/>
      <c r="K207" s="10"/>
      <c r="L207" s="10"/>
      <c r="M207" s="10"/>
      <c r="N207" s="30"/>
      <c r="O207" s="7">
        <f t="shared" si="47"/>
        <v>0</v>
      </c>
      <c r="P207" s="56"/>
    </row>
    <row r="208" spans="1:16" ht="14.25" thickBot="1" x14ac:dyDescent="0.2">
      <c r="A208" s="14" t="s">
        <v>25</v>
      </c>
      <c r="B208" s="11"/>
      <c r="C208" s="12"/>
      <c r="D208" s="12"/>
      <c r="E208" s="12"/>
      <c r="F208" s="31">
        <v>1</v>
      </c>
      <c r="G208" s="115">
        <f t="shared" si="46"/>
        <v>1</v>
      </c>
      <c r="H208" s="58">
        <v>43218</v>
      </c>
      <c r="I208" s="20"/>
      <c r="J208" s="11"/>
      <c r="K208" s="12"/>
      <c r="L208" s="12"/>
      <c r="M208" s="12"/>
      <c r="N208" s="31"/>
      <c r="O208" s="7">
        <f t="shared" si="47"/>
        <v>0</v>
      </c>
      <c r="P208" s="56"/>
    </row>
    <row r="209" spans="1:15" ht="14.25" thickBot="1" x14ac:dyDescent="0.2">
      <c r="A209" s="3" t="s">
        <v>11</v>
      </c>
      <c r="B209" s="23">
        <f>SUM(B183:B208)</f>
        <v>18</v>
      </c>
      <c r="C209" s="4">
        <f>SUM(C183:C208)</f>
        <v>20</v>
      </c>
      <c r="D209" s="4">
        <f>SUM(D183:D208)</f>
        <v>49</v>
      </c>
      <c r="E209" s="6">
        <f>SUM(E183:E208)</f>
        <v>18</v>
      </c>
      <c r="F209" s="32">
        <f>SUM(F183:F208)</f>
        <v>22</v>
      </c>
      <c r="G209" s="5">
        <f>SUM(B209:F209)</f>
        <v>127</v>
      </c>
      <c r="I209" s="3" t="s">
        <v>11</v>
      </c>
      <c r="J209" s="23">
        <f>SUM(J183:J208)</f>
        <v>15</v>
      </c>
      <c r="K209" s="4">
        <f>SUM(K183:K208)</f>
        <v>15</v>
      </c>
      <c r="L209" s="4">
        <f>SUM(L183:L208)</f>
        <v>60</v>
      </c>
      <c r="M209" s="6">
        <f>SUM(M183:M208)</f>
        <v>15</v>
      </c>
      <c r="N209" s="32">
        <f>SUM(N183:N208)</f>
        <v>20</v>
      </c>
      <c r="O209" s="5">
        <f>SUM(J209:N209)</f>
        <v>125</v>
      </c>
    </row>
    <row r="210" spans="1:15" ht="14.25" thickBot="1" x14ac:dyDescent="0.2">
      <c r="A210" s="25" t="s">
        <v>12</v>
      </c>
      <c r="B210" s="63">
        <f>B182-B209</f>
        <v>11</v>
      </c>
      <c r="C210" s="26">
        <f t="shared" ref="C210:G210" si="48">C182-C209</f>
        <v>9</v>
      </c>
      <c r="D210" s="71">
        <f t="shared" si="48"/>
        <v>18</v>
      </c>
      <c r="E210" s="26">
        <f t="shared" si="48"/>
        <v>11</v>
      </c>
      <c r="F210" s="70">
        <f t="shared" si="48"/>
        <v>8</v>
      </c>
      <c r="G210" s="27">
        <f t="shared" si="48"/>
        <v>57</v>
      </c>
      <c r="I210" s="25" t="s">
        <v>12</v>
      </c>
      <c r="J210" s="63">
        <f>J182-J209</f>
        <v>234</v>
      </c>
      <c r="K210" s="26">
        <f t="shared" ref="K210:O210" si="49">K182-K209</f>
        <v>197</v>
      </c>
      <c r="L210" s="71">
        <f t="shared" si="49"/>
        <v>160</v>
      </c>
      <c r="M210" s="26">
        <f t="shared" si="49"/>
        <v>209</v>
      </c>
      <c r="N210" s="70">
        <f t="shared" si="49"/>
        <v>220</v>
      </c>
      <c r="O210" s="27">
        <f t="shared" si="49"/>
        <v>1020</v>
      </c>
    </row>
    <row r="211" spans="1:15" ht="17.25" x14ac:dyDescent="0.2">
      <c r="A211" s="79" t="s">
        <v>391</v>
      </c>
      <c r="B211" s="80"/>
      <c r="C211" s="80"/>
      <c r="D211" s="80"/>
      <c r="E211" s="80"/>
      <c r="F211" s="80"/>
      <c r="G211" s="80"/>
      <c r="H211" s="56"/>
      <c r="I211" s="79" t="s">
        <v>391</v>
      </c>
      <c r="J211" s="80"/>
      <c r="K211" s="80"/>
      <c r="L211" s="80"/>
      <c r="M211" s="80"/>
      <c r="N211" s="80"/>
      <c r="O211" s="1"/>
    </row>
    <row r="212" spans="1:15" ht="21.75" thickBot="1" x14ac:dyDescent="0.25">
      <c r="A212" s="82" t="s">
        <v>390</v>
      </c>
      <c r="B212" s="80"/>
      <c r="C212" s="80"/>
      <c r="D212" s="80"/>
      <c r="E212" s="81" t="s">
        <v>53</v>
      </c>
      <c r="F212" s="80"/>
      <c r="G212" s="80"/>
      <c r="H212" s="56"/>
      <c r="I212" s="82" t="s">
        <v>390</v>
      </c>
      <c r="J212" s="80"/>
      <c r="K212" s="80"/>
      <c r="L212" s="80"/>
      <c r="M212" s="81" t="s">
        <v>393</v>
      </c>
      <c r="N212" s="80"/>
      <c r="O212" s="1"/>
    </row>
    <row r="213" spans="1:15" ht="14.25" thickBot="1" x14ac:dyDescent="0.2">
      <c r="A213" s="13" t="s">
        <v>0</v>
      </c>
      <c r="B213" s="228" t="s">
        <v>392</v>
      </c>
      <c r="C213" s="229"/>
      <c r="D213" s="229"/>
      <c r="E213" s="229"/>
      <c r="F213" s="230"/>
      <c r="G213" s="231"/>
      <c r="H213" s="56"/>
      <c r="I213" s="13" t="s">
        <v>0</v>
      </c>
      <c r="J213" s="228" t="s">
        <v>392</v>
      </c>
      <c r="K213" s="229"/>
      <c r="L213" s="229"/>
      <c r="M213" s="229"/>
      <c r="N213" s="230"/>
      <c r="O213" s="231"/>
    </row>
    <row r="214" spans="1:15" ht="14.25" thickBot="1" x14ac:dyDescent="0.2">
      <c r="A214" s="3" t="s">
        <v>1</v>
      </c>
      <c r="B214" s="2" t="s">
        <v>42</v>
      </c>
      <c r="C214" s="21" t="s">
        <v>43</v>
      </c>
      <c r="D214" s="21" t="s">
        <v>44</v>
      </c>
      <c r="E214" s="24" t="s">
        <v>45</v>
      </c>
      <c r="F214" s="33" t="s">
        <v>46</v>
      </c>
      <c r="G214" s="34" t="s">
        <v>2</v>
      </c>
      <c r="H214" s="56"/>
      <c r="I214" s="3" t="s">
        <v>1</v>
      </c>
      <c r="J214" s="41" t="s">
        <v>42</v>
      </c>
      <c r="K214" s="42" t="s">
        <v>43</v>
      </c>
      <c r="L214" s="42" t="s">
        <v>44</v>
      </c>
      <c r="M214" s="43" t="s">
        <v>45</v>
      </c>
      <c r="N214" s="44" t="s">
        <v>46</v>
      </c>
      <c r="O214" s="3" t="s">
        <v>2</v>
      </c>
    </row>
    <row r="215" spans="1:15" ht="14.25" thickBot="1" x14ac:dyDescent="0.2">
      <c r="A215" s="72" t="s">
        <v>456</v>
      </c>
      <c r="B215" s="73">
        <f>B210</f>
        <v>11</v>
      </c>
      <c r="C215" s="74">
        <f t="shared" ref="C215:F215" si="50">C210</f>
        <v>9</v>
      </c>
      <c r="D215" s="74">
        <f t="shared" si="50"/>
        <v>18</v>
      </c>
      <c r="E215" s="74">
        <f t="shared" si="50"/>
        <v>11</v>
      </c>
      <c r="F215" s="105">
        <f t="shared" si="50"/>
        <v>8</v>
      </c>
      <c r="G215" s="131">
        <f t="shared" ref="G215:G223" si="51">SUM(B215:F215)</f>
        <v>57</v>
      </c>
      <c r="H215" s="56"/>
      <c r="I215" s="72" t="s">
        <v>456</v>
      </c>
      <c r="J215" s="73">
        <f>J210</f>
        <v>234</v>
      </c>
      <c r="K215" s="74">
        <f t="shared" ref="K215:N215" si="52">K210</f>
        <v>197</v>
      </c>
      <c r="L215" s="74">
        <f t="shared" si="52"/>
        <v>160</v>
      </c>
      <c r="M215" s="74">
        <f t="shared" si="52"/>
        <v>209</v>
      </c>
      <c r="N215" s="105">
        <f t="shared" si="52"/>
        <v>220</v>
      </c>
      <c r="O215" s="131">
        <f t="shared" ref="O215:O223" si="53">SUM(J215:N215)</f>
        <v>1020</v>
      </c>
    </row>
    <row r="216" spans="1:15" x14ac:dyDescent="0.15">
      <c r="A216" s="15" t="s">
        <v>3</v>
      </c>
      <c r="B216" s="8"/>
      <c r="C216" s="10"/>
      <c r="D216" s="10"/>
      <c r="E216" s="10"/>
      <c r="F216" s="28">
        <v>10</v>
      </c>
      <c r="G216" s="9">
        <f t="shared" si="51"/>
        <v>10</v>
      </c>
      <c r="H216" s="58">
        <v>43229</v>
      </c>
      <c r="I216" s="38" t="s">
        <v>14</v>
      </c>
      <c r="J216" s="37"/>
      <c r="K216" s="35"/>
      <c r="L216" s="35"/>
      <c r="M216" s="35"/>
      <c r="N216" s="28"/>
      <c r="O216" s="7">
        <f t="shared" si="53"/>
        <v>0</v>
      </c>
    </row>
    <row r="217" spans="1:15" x14ac:dyDescent="0.15">
      <c r="A217" s="15" t="s">
        <v>4</v>
      </c>
      <c r="B217" s="8">
        <v>5</v>
      </c>
      <c r="C217" s="10">
        <v>5</v>
      </c>
      <c r="D217" s="10"/>
      <c r="E217" s="10">
        <v>5</v>
      </c>
      <c r="F217" s="28">
        <v>5</v>
      </c>
      <c r="G217" s="9">
        <f t="shared" si="51"/>
        <v>20</v>
      </c>
      <c r="H217" s="58">
        <v>43231</v>
      </c>
      <c r="I217" s="38" t="s">
        <v>3</v>
      </c>
      <c r="J217" s="8"/>
      <c r="K217" s="10"/>
      <c r="L217" s="10"/>
      <c r="M217" s="10"/>
      <c r="N217" s="28"/>
      <c r="O217" s="9">
        <f t="shared" si="53"/>
        <v>0</v>
      </c>
    </row>
    <row r="218" spans="1:15" x14ac:dyDescent="0.15">
      <c r="A218" s="15" t="s">
        <v>17</v>
      </c>
      <c r="B218" s="8"/>
      <c r="C218" s="10"/>
      <c r="D218" s="10"/>
      <c r="E218" s="10"/>
      <c r="F218" s="28">
        <v>1</v>
      </c>
      <c r="G218" s="9">
        <f t="shared" si="51"/>
        <v>1</v>
      </c>
      <c r="H218" s="58">
        <v>43230</v>
      </c>
      <c r="I218" s="38" t="s">
        <v>4</v>
      </c>
      <c r="J218" s="8"/>
      <c r="K218" s="10"/>
      <c r="L218" s="10"/>
      <c r="M218" s="10"/>
      <c r="N218" s="28"/>
      <c r="O218" s="9">
        <f t="shared" si="53"/>
        <v>0</v>
      </c>
    </row>
    <row r="219" spans="1:15" x14ac:dyDescent="0.15">
      <c r="A219" s="15" t="s">
        <v>6</v>
      </c>
      <c r="B219" s="8"/>
      <c r="C219" s="10"/>
      <c r="D219" s="10"/>
      <c r="E219" s="10">
        <v>15</v>
      </c>
      <c r="F219" s="28"/>
      <c r="G219" s="9">
        <f t="shared" si="51"/>
        <v>15</v>
      </c>
      <c r="H219" s="58">
        <v>43232</v>
      </c>
      <c r="I219" s="38" t="s">
        <v>5</v>
      </c>
      <c r="J219" s="8"/>
      <c r="K219" s="10"/>
      <c r="L219" s="10"/>
      <c r="M219" s="10"/>
      <c r="N219" s="28"/>
      <c r="O219" s="9">
        <f t="shared" si="53"/>
        <v>0</v>
      </c>
    </row>
    <row r="220" spans="1:15" x14ac:dyDescent="0.15">
      <c r="A220" s="15" t="s">
        <v>19</v>
      </c>
      <c r="B220" s="8"/>
      <c r="C220" s="10"/>
      <c r="D220" s="10">
        <v>1</v>
      </c>
      <c r="E220" s="10">
        <v>1</v>
      </c>
      <c r="F220" s="30">
        <v>3</v>
      </c>
      <c r="G220" s="7">
        <f t="shared" si="51"/>
        <v>5</v>
      </c>
      <c r="H220" s="58">
        <v>43234</v>
      </c>
      <c r="I220" s="38" t="s">
        <v>6</v>
      </c>
      <c r="J220" s="8"/>
      <c r="K220" s="10"/>
      <c r="L220" s="10"/>
      <c r="M220" s="10"/>
      <c r="N220" s="30"/>
      <c r="O220" s="7">
        <f t="shared" si="53"/>
        <v>0</v>
      </c>
    </row>
    <row r="221" spans="1:15" x14ac:dyDescent="0.15">
      <c r="A221" s="15" t="s">
        <v>17</v>
      </c>
      <c r="B221" s="8"/>
      <c r="C221" s="10"/>
      <c r="D221" s="10"/>
      <c r="E221" s="10"/>
      <c r="F221" s="30">
        <v>1</v>
      </c>
      <c r="G221" s="7">
        <f t="shared" si="51"/>
        <v>1</v>
      </c>
      <c r="H221" s="58">
        <v>43238</v>
      </c>
      <c r="I221" s="38" t="s">
        <v>84</v>
      </c>
      <c r="J221" s="8"/>
      <c r="K221" s="10"/>
      <c r="L221" s="10"/>
      <c r="M221" s="10"/>
      <c r="N221" s="30"/>
      <c r="O221" s="7">
        <f t="shared" si="53"/>
        <v>0</v>
      </c>
    </row>
    <row r="222" spans="1:15" x14ac:dyDescent="0.15">
      <c r="A222" s="15" t="s">
        <v>86</v>
      </c>
      <c r="B222" s="8"/>
      <c r="C222" s="10">
        <v>15</v>
      </c>
      <c r="D222" s="10">
        <v>15</v>
      </c>
      <c r="E222" s="10"/>
      <c r="F222" s="30">
        <v>5</v>
      </c>
      <c r="G222" s="7">
        <f t="shared" si="51"/>
        <v>35</v>
      </c>
      <c r="H222" s="58">
        <v>43241</v>
      </c>
      <c r="I222" s="38" t="s">
        <v>85</v>
      </c>
      <c r="J222" s="8"/>
      <c r="K222" s="10"/>
      <c r="L222" s="10"/>
      <c r="M222" s="10"/>
      <c r="N222" s="30"/>
      <c r="O222" s="7">
        <f t="shared" si="53"/>
        <v>0</v>
      </c>
    </row>
    <row r="223" spans="1:15" ht="14.25" thickBot="1" x14ac:dyDescent="0.2">
      <c r="A223" s="15" t="s">
        <v>137</v>
      </c>
      <c r="B223" s="11"/>
      <c r="C223" s="100"/>
      <c r="D223" s="100">
        <v>1</v>
      </c>
      <c r="E223" s="100"/>
      <c r="F223" s="101"/>
      <c r="G223" s="102">
        <f t="shared" si="51"/>
        <v>1</v>
      </c>
      <c r="H223" s="58">
        <v>43244</v>
      </c>
      <c r="I223" s="38" t="s">
        <v>86</v>
      </c>
      <c r="J223" s="11"/>
      <c r="K223" s="100"/>
      <c r="L223" s="100"/>
      <c r="M223" s="100"/>
      <c r="N223" s="101"/>
      <c r="O223" s="102">
        <f t="shared" si="53"/>
        <v>0</v>
      </c>
    </row>
    <row r="224" spans="1:15" ht="14.25" thickBot="1" x14ac:dyDescent="0.2">
      <c r="A224" s="72" t="s">
        <v>7</v>
      </c>
      <c r="B224" s="73">
        <f>SUM(B215:B223)</f>
        <v>16</v>
      </c>
      <c r="C224" s="74">
        <f t="shared" ref="C224:G224" si="54">SUM(C215:C223)</f>
        <v>29</v>
      </c>
      <c r="D224" s="74">
        <f t="shared" si="54"/>
        <v>35</v>
      </c>
      <c r="E224" s="74">
        <f t="shared" si="54"/>
        <v>32</v>
      </c>
      <c r="F224" s="105">
        <f t="shared" si="54"/>
        <v>33</v>
      </c>
      <c r="G224" s="76">
        <f t="shared" si="54"/>
        <v>145</v>
      </c>
      <c r="H224" s="56"/>
      <c r="I224" s="72" t="s">
        <v>7</v>
      </c>
      <c r="J224" s="73">
        <f>SUM(J215:J223)</f>
        <v>234</v>
      </c>
      <c r="K224" s="74">
        <f t="shared" ref="K224:O224" si="55">SUM(K215:K223)</f>
        <v>197</v>
      </c>
      <c r="L224" s="74">
        <f t="shared" si="55"/>
        <v>160</v>
      </c>
      <c r="M224" s="74">
        <f t="shared" si="55"/>
        <v>209</v>
      </c>
      <c r="N224" s="105">
        <f t="shared" si="55"/>
        <v>220</v>
      </c>
      <c r="O224" s="76">
        <f t="shared" si="55"/>
        <v>1020</v>
      </c>
    </row>
    <row r="225" spans="1:16" x14ac:dyDescent="0.15">
      <c r="A225" s="14" t="s">
        <v>699</v>
      </c>
      <c r="B225" s="37"/>
      <c r="C225" s="35"/>
      <c r="D225" s="35">
        <v>1</v>
      </c>
      <c r="E225" s="35"/>
      <c r="F225" s="28"/>
      <c r="G225" s="18">
        <f t="shared" ref="G225:G250" si="56">SUM(B225:F225)</f>
        <v>1</v>
      </c>
      <c r="H225" s="58">
        <v>43224</v>
      </c>
      <c r="I225" s="16" t="s">
        <v>24</v>
      </c>
      <c r="J225" s="8"/>
      <c r="K225" s="10"/>
      <c r="L225" s="10"/>
      <c r="M225" s="10"/>
      <c r="N225" s="30">
        <v>10</v>
      </c>
      <c r="O225" s="7">
        <f t="shared" ref="O225:O226" si="57">SUM(J225:N225)</f>
        <v>10</v>
      </c>
      <c r="P225" s="58">
        <v>43229</v>
      </c>
    </row>
    <row r="226" spans="1:16" x14ac:dyDescent="0.15">
      <c r="A226" s="14" t="s">
        <v>25</v>
      </c>
      <c r="B226" s="8"/>
      <c r="C226" s="10">
        <v>1</v>
      </c>
      <c r="D226" s="10"/>
      <c r="E226" s="10"/>
      <c r="F226" s="30"/>
      <c r="G226" s="7">
        <f t="shared" si="56"/>
        <v>1</v>
      </c>
      <c r="H226" s="58">
        <v>43222</v>
      </c>
      <c r="I226" s="16" t="s">
        <v>24</v>
      </c>
      <c r="J226" s="8">
        <v>5</v>
      </c>
      <c r="K226" s="10">
        <v>5</v>
      </c>
      <c r="L226" s="10"/>
      <c r="M226" s="10">
        <v>5</v>
      </c>
      <c r="N226" s="30">
        <v>5</v>
      </c>
      <c r="O226" s="7">
        <f t="shared" si="57"/>
        <v>20</v>
      </c>
      <c r="P226" s="58">
        <v>43231</v>
      </c>
    </row>
    <row r="227" spans="1:16" x14ac:dyDescent="0.15">
      <c r="A227" s="14" t="s">
        <v>700</v>
      </c>
      <c r="B227" s="8"/>
      <c r="C227" s="10"/>
      <c r="D227" s="10">
        <v>1</v>
      </c>
      <c r="E227" s="10"/>
      <c r="F227" s="30"/>
      <c r="G227" s="7">
        <f t="shared" si="56"/>
        <v>1</v>
      </c>
      <c r="H227" s="58">
        <v>43234</v>
      </c>
      <c r="I227" s="16" t="s">
        <v>705</v>
      </c>
      <c r="J227" s="8"/>
      <c r="K227" s="10"/>
      <c r="L227" s="10"/>
      <c r="M227" s="10">
        <v>15</v>
      </c>
      <c r="N227" s="30"/>
      <c r="O227" s="7">
        <f t="shared" ref="O227:O247" si="58">SUM(J227:N227)</f>
        <v>15</v>
      </c>
      <c r="P227" s="58">
        <v>43232</v>
      </c>
    </row>
    <row r="228" spans="1:16" x14ac:dyDescent="0.15">
      <c r="A228" s="14" t="s">
        <v>25</v>
      </c>
      <c r="B228" s="8">
        <v>1</v>
      </c>
      <c r="C228" s="10">
        <v>2</v>
      </c>
      <c r="D228" s="10"/>
      <c r="E228" s="10"/>
      <c r="F228" s="30"/>
      <c r="G228" s="7">
        <f t="shared" si="56"/>
        <v>3</v>
      </c>
      <c r="H228" s="58">
        <v>43228</v>
      </c>
      <c r="I228" s="16" t="s">
        <v>24</v>
      </c>
      <c r="J228" s="8"/>
      <c r="K228" s="10">
        <v>15</v>
      </c>
      <c r="L228" s="10">
        <v>15</v>
      </c>
      <c r="M228" s="10"/>
      <c r="N228" s="30">
        <v>5</v>
      </c>
      <c r="O228" s="7">
        <f t="shared" ref="O228" si="59">SUM(J228:N228)</f>
        <v>35</v>
      </c>
      <c r="P228" s="58">
        <v>43241</v>
      </c>
    </row>
    <row r="229" spans="1:16" x14ac:dyDescent="0.15">
      <c r="A229" s="14" t="s">
        <v>22</v>
      </c>
      <c r="B229" s="37"/>
      <c r="C229" s="35"/>
      <c r="D229" s="35"/>
      <c r="E229" s="35"/>
      <c r="F229" s="28">
        <v>10</v>
      </c>
      <c r="G229" s="7">
        <f t="shared" si="56"/>
        <v>10</v>
      </c>
      <c r="H229" s="58">
        <v>43234</v>
      </c>
      <c r="I229" s="16" t="s">
        <v>24</v>
      </c>
      <c r="J229" s="8">
        <v>5</v>
      </c>
      <c r="K229" s="10"/>
      <c r="L229" s="10"/>
      <c r="M229" s="10"/>
      <c r="N229" s="30">
        <v>5</v>
      </c>
      <c r="O229" s="7">
        <f t="shared" si="58"/>
        <v>10</v>
      </c>
      <c r="P229" s="58">
        <v>43249</v>
      </c>
    </row>
    <row r="230" spans="1:16" x14ac:dyDescent="0.15">
      <c r="A230" s="14" t="s">
        <v>110</v>
      </c>
      <c r="B230" s="8"/>
      <c r="C230" s="10"/>
      <c r="D230" s="10"/>
      <c r="E230" s="10">
        <v>3</v>
      </c>
      <c r="F230" s="30">
        <v>3</v>
      </c>
      <c r="G230" s="7">
        <f t="shared" si="56"/>
        <v>6</v>
      </c>
      <c r="H230" s="58">
        <v>43235</v>
      </c>
      <c r="I230" s="16" t="s">
        <v>24</v>
      </c>
      <c r="J230" s="8"/>
      <c r="K230" s="10"/>
      <c r="L230" s="10"/>
      <c r="M230" s="10"/>
      <c r="N230" s="30">
        <v>10</v>
      </c>
      <c r="O230" s="7">
        <f t="shared" si="58"/>
        <v>10</v>
      </c>
      <c r="P230" s="58">
        <v>43252</v>
      </c>
    </row>
    <row r="231" spans="1:16" x14ac:dyDescent="0.15">
      <c r="A231" s="14" t="s">
        <v>25</v>
      </c>
      <c r="B231" s="8">
        <v>1</v>
      </c>
      <c r="C231" s="10">
        <v>3</v>
      </c>
      <c r="D231" s="10"/>
      <c r="E231" s="10">
        <v>1</v>
      </c>
      <c r="F231" s="30"/>
      <c r="G231" s="7">
        <f t="shared" si="56"/>
        <v>5</v>
      </c>
      <c r="H231" s="58">
        <v>43230</v>
      </c>
      <c r="I231" s="16"/>
      <c r="J231" s="8"/>
      <c r="K231" s="10"/>
      <c r="L231" s="10"/>
      <c r="M231" s="10"/>
      <c r="N231" s="30"/>
      <c r="O231" s="7">
        <f t="shared" si="58"/>
        <v>0</v>
      </c>
    </row>
    <row r="232" spans="1:16" x14ac:dyDescent="0.15">
      <c r="A232" s="14" t="s">
        <v>704</v>
      </c>
      <c r="B232" s="8">
        <v>1</v>
      </c>
      <c r="C232" s="10"/>
      <c r="D232" s="10"/>
      <c r="E232" s="10"/>
      <c r="F232" s="30"/>
      <c r="G232" s="7">
        <f t="shared" si="56"/>
        <v>1</v>
      </c>
      <c r="H232" s="58">
        <v>43230</v>
      </c>
      <c r="I232" s="16"/>
      <c r="J232" s="8"/>
      <c r="K232" s="10"/>
      <c r="L232" s="10"/>
      <c r="M232" s="10"/>
      <c r="N232" s="30"/>
      <c r="O232" s="7">
        <f t="shared" si="58"/>
        <v>0</v>
      </c>
    </row>
    <row r="233" spans="1:16" x14ac:dyDescent="0.15">
      <c r="A233" s="14" t="s">
        <v>22</v>
      </c>
      <c r="B233" s="8"/>
      <c r="C233" s="10"/>
      <c r="D233" s="10"/>
      <c r="E233" s="10">
        <v>10</v>
      </c>
      <c r="F233" s="30"/>
      <c r="G233" s="7">
        <f t="shared" si="56"/>
        <v>10</v>
      </c>
      <c r="H233" s="58">
        <v>43238</v>
      </c>
      <c r="I233" s="39"/>
      <c r="J233" s="8"/>
      <c r="K233" s="10"/>
      <c r="L233" s="10"/>
      <c r="M233" s="10"/>
      <c r="N233" s="30"/>
      <c r="O233" s="7">
        <f t="shared" si="58"/>
        <v>0</v>
      </c>
    </row>
    <row r="234" spans="1:16" x14ac:dyDescent="0.15">
      <c r="A234" s="14" t="s">
        <v>25</v>
      </c>
      <c r="B234" s="11"/>
      <c r="C234" s="12">
        <v>1</v>
      </c>
      <c r="D234" s="12"/>
      <c r="E234" s="12"/>
      <c r="F234" s="31"/>
      <c r="G234" s="7">
        <f t="shared" si="56"/>
        <v>1</v>
      </c>
      <c r="H234" s="58">
        <v>43235</v>
      </c>
      <c r="I234" s="16"/>
      <c r="J234" s="11"/>
      <c r="K234" s="12"/>
      <c r="L234" s="12"/>
      <c r="M234" s="12"/>
      <c r="N234" s="31"/>
      <c r="O234" s="7">
        <f t="shared" si="58"/>
        <v>0</v>
      </c>
    </row>
    <row r="235" spans="1:16" x14ac:dyDescent="0.15">
      <c r="A235" s="14" t="s">
        <v>29</v>
      </c>
      <c r="B235" s="8"/>
      <c r="C235" s="10"/>
      <c r="D235" s="10">
        <v>1</v>
      </c>
      <c r="E235" s="10"/>
      <c r="F235" s="30"/>
      <c r="G235" s="7">
        <f t="shared" si="56"/>
        <v>1</v>
      </c>
      <c r="H235" s="58">
        <v>43234</v>
      </c>
      <c r="I235" s="16"/>
      <c r="J235" s="8"/>
      <c r="K235" s="10"/>
      <c r="L235" s="10"/>
      <c r="M235" s="10"/>
      <c r="N235" s="30"/>
      <c r="O235" s="7">
        <f t="shared" si="58"/>
        <v>0</v>
      </c>
    </row>
    <row r="236" spans="1:16" x14ac:dyDescent="0.15">
      <c r="A236" s="14" t="s">
        <v>25</v>
      </c>
      <c r="B236" s="8"/>
      <c r="C236" s="10">
        <v>2</v>
      </c>
      <c r="D236" s="10"/>
      <c r="E236" s="10">
        <v>2</v>
      </c>
      <c r="F236" s="30">
        <v>1</v>
      </c>
      <c r="G236" s="7">
        <f t="shared" si="56"/>
        <v>5</v>
      </c>
      <c r="H236" s="58">
        <v>43237</v>
      </c>
      <c r="I236" s="14"/>
      <c r="J236" s="8"/>
      <c r="K236" s="10"/>
      <c r="L236" s="10"/>
      <c r="M236" s="10"/>
      <c r="N236" s="30"/>
      <c r="O236" s="7">
        <f t="shared" si="58"/>
        <v>0</v>
      </c>
    </row>
    <row r="237" spans="1:16" x14ac:dyDescent="0.15">
      <c r="A237" s="51" t="s">
        <v>709</v>
      </c>
      <c r="B237" s="8"/>
      <c r="C237" s="10">
        <v>2</v>
      </c>
      <c r="D237" s="10"/>
      <c r="E237" s="10"/>
      <c r="F237" s="30"/>
      <c r="G237" s="7">
        <f t="shared" si="56"/>
        <v>2</v>
      </c>
      <c r="H237" s="58">
        <v>43238</v>
      </c>
      <c r="I237" s="16"/>
      <c r="J237" s="8"/>
      <c r="K237" s="10"/>
      <c r="L237" s="10"/>
      <c r="M237" s="10"/>
      <c r="N237" s="30"/>
      <c r="O237" s="7">
        <f t="shared" si="58"/>
        <v>0</v>
      </c>
    </row>
    <row r="238" spans="1:16" x14ac:dyDescent="0.15">
      <c r="A238" s="14" t="s">
        <v>25</v>
      </c>
      <c r="B238" s="8"/>
      <c r="C238" s="10"/>
      <c r="D238" s="10">
        <v>2</v>
      </c>
      <c r="E238" s="10"/>
      <c r="F238" s="30">
        <v>1</v>
      </c>
      <c r="G238" s="7">
        <f t="shared" si="56"/>
        <v>3</v>
      </c>
      <c r="H238" s="58">
        <v>43239</v>
      </c>
      <c r="I238" s="16"/>
      <c r="J238" s="8"/>
      <c r="K238" s="10"/>
      <c r="L238" s="10"/>
      <c r="M238" s="10"/>
      <c r="N238" s="30"/>
      <c r="O238" s="7">
        <f t="shared" si="58"/>
        <v>0</v>
      </c>
    </row>
    <row r="239" spans="1:16" x14ac:dyDescent="0.15">
      <c r="A239" s="14" t="s">
        <v>110</v>
      </c>
      <c r="B239" s="8"/>
      <c r="C239" s="10"/>
      <c r="D239" s="10">
        <v>5</v>
      </c>
      <c r="E239" s="10"/>
      <c r="F239" s="30"/>
      <c r="G239" s="7">
        <f t="shared" si="56"/>
        <v>5</v>
      </c>
      <c r="H239" s="58">
        <v>43248</v>
      </c>
      <c r="I239" s="16"/>
      <c r="J239" s="8"/>
      <c r="K239" s="10"/>
      <c r="L239" s="10"/>
      <c r="M239" s="10"/>
      <c r="N239" s="30"/>
      <c r="O239" s="7">
        <f t="shared" si="58"/>
        <v>0</v>
      </c>
    </row>
    <row r="240" spans="1:16" x14ac:dyDescent="0.15">
      <c r="A240" s="16" t="s">
        <v>711</v>
      </c>
      <c r="B240" s="8">
        <v>5</v>
      </c>
      <c r="C240" s="10">
        <v>5</v>
      </c>
      <c r="D240" s="10">
        <v>5</v>
      </c>
      <c r="E240" s="10">
        <v>5</v>
      </c>
      <c r="F240" s="30">
        <v>5</v>
      </c>
      <c r="G240" s="7">
        <f t="shared" si="56"/>
        <v>25</v>
      </c>
      <c r="H240" s="58">
        <v>43248</v>
      </c>
      <c r="I240" s="16"/>
      <c r="J240" s="8"/>
      <c r="K240" s="10"/>
      <c r="L240" s="10"/>
      <c r="M240" s="10"/>
      <c r="N240" s="30"/>
      <c r="O240" s="7">
        <f t="shared" si="58"/>
        <v>0</v>
      </c>
    </row>
    <row r="241" spans="1:16" x14ac:dyDescent="0.15">
      <c r="A241" s="14" t="s">
        <v>25</v>
      </c>
      <c r="B241" s="8">
        <v>1</v>
      </c>
      <c r="C241" s="10"/>
      <c r="D241" s="10"/>
      <c r="E241" s="10"/>
      <c r="F241" s="30">
        <v>1</v>
      </c>
      <c r="G241" s="7">
        <f t="shared" si="56"/>
        <v>2</v>
      </c>
      <c r="H241" s="58">
        <v>43244</v>
      </c>
      <c r="I241" s="14"/>
      <c r="J241" s="8"/>
      <c r="K241" s="10"/>
      <c r="L241" s="10"/>
      <c r="M241" s="10"/>
      <c r="N241" s="30"/>
      <c r="O241" s="7">
        <f t="shared" si="58"/>
        <v>0</v>
      </c>
      <c r="P241" s="58"/>
    </row>
    <row r="242" spans="1:16" x14ac:dyDescent="0.15">
      <c r="A242" s="14" t="s">
        <v>25</v>
      </c>
      <c r="B242" s="8"/>
      <c r="C242" s="10"/>
      <c r="D242" s="10"/>
      <c r="E242" s="10"/>
      <c r="F242" s="30">
        <v>1</v>
      </c>
      <c r="G242" s="7">
        <f t="shared" si="56"/>
        <v>1</v>
      </c>
      <c r="H242" s="58">
        <v>43246</v>
      </c>
      <c r="I242" s="14"/>
      <c r="J242" s="8"/>
      <c r="K242" s="10"/>
      <c r="L242" s="10"/>
      <c r="M242" s="10"/>
      <c r="N242" s="30"/>
      <c r="O242" s="7">
        <f t="shared" si="58"/>
        <v>0</v>
      </c>
      <c r="P242" s="58"/>
    </row>
    <row r="243" spans="1:16" x14ac:dyDescent="0.15">
      <c r="A243" s="14" t="s">
        <v>25</v>
      </c>
      <c r="B243" s="8"/>
      <c r="C243" s="10"/>
      <c r="D243" s="10"/>
      <c r="E243" s="10"/>
      <c r="F243" s="30">
        <v>4</v>
      </c>
      <c r="G243" s="7">
        <f t="shared" si="56"/>
        <v>4</v>
      </c>
      <c r="H243" s="58">
        <v>43249</v>
      </c>
      <c r="I243" s="14"/>
      <c r="J243" s="8"/>
      <c r="K243" s="10"/>
      <c r="L243" s="10"/>
      <c r="M243" s="10"/>
      <c r="N243" s="30"/>
      <c r="O243" s="7">
        <f t="shared" si="58"/>
        <v>0</v>
      </c>
      <c r="P243" s="58"/>
    </row>
    <row r="244" spans="1:16" x14ac:dyDescent="0.15">
      <c r="A244" s="14" t="s">
        <v>716</v>
      </c>
      <c r="B244" s="8">
        <v>-5</v>
      </c>
      <c r="C244" s="10"/>
      <c r="D244" s="10"/>
      <c r="E244" s="10"/>
      <c r="F244" s="30">
        <v>-5</v>
      </c>
      <c r="G244" s="7">
        <f t="shared" si="56"/>
        <v>-10</v>
      </c>
      <c r="H244" s="58">
        <v>43249</v>
      </c>
      <c r="I244" s="14"/>
      <c r="J244" s="8"/>
      <c r="K244" s="10"/>
      <c r="L244" s="10"/>
      <c r="M244" s="10"/>
      <c r="N244" s="30"/>
      <c r="O244" s="7">
        <f t="shared" si="58"/>
        <v>0</v>
      </c>
      <c r="P244" s="58"/>
    </row>
    <row r="245" spans="1:16" x14ac:dyDescent="0.15">
      <c r="A245" s="14" t="s">
        <v>25</v>
      </c>
      <c r="B245" s="8">
        <v>2</v>
      </c>
      <c r="C245" s="10"/>
      <c r="D245" s="10">
        <v>2</v>
      </c>
      <c r="E245" s="10">
        <v>1</v>
      </c>
      <c r="F245" s="30"/>
      <c r="G245" s="7">
        <f t="shared" si="56"/>
        <v>5</v>
      </c>
      <c r="H245" s="58">
        <v>43251</v>
      </c>
      <c r="I245" s="16"/>
      <c r="J245" s="8"/>
      <c r="K245" s="10"/>
      <c r="L245" s="10"/>
      <c r="M245" s="10"/>
      <c r="N245" s="30"/>
      <c r="O245" s="7">
        <f t="shared" si="58"/>
        <v>0</v>
      </c>
      <c r="P245" s="56"/>
    </row>
    <row r="246" spans="1:16" x14ac:dyDescent="0.15">
      <c r="A246" s="14" t="s">
        <v>22</v>
      </c>
      <c r="B246" s="11"/>
      <c r="C246" s="12"/>
      <c r="D246" s="12"/>
      <c r="E246" s="12"/>
      <c r="F246" s="31">
        <v>10</v>
      </c>
      <c r="G246" s="7">
        <f t="shared" si="56"/>
        <v>10</v>
      </c>
      <c r="H246" s="58">
        <v>43255</v>
      </c>
      <c r="I246" s="14"/>
      <c r="J246" s="8"/>
      <c r="K246" s="10"/>
      <c r="L246" s="10"/>
      <c r="M246" s="10"/>
      <c r="N246" s="30"/>
      <c r="O246" s="7">
        <f t="shared" si="58"/>
        <v>0</v>
      </c>
      <c r="P246" s="56"/>
    </row>
    <row r="247" spans="1:16" x14ac:dyDescent="0.15">
      <c r="A247" s="14" t="s">
        <v>28</v>
      </c>
      <c r="B247" s="8"/>
      <c r="C247" s="10"/>
      <c r="D247" s="10"/>
      <c r="E247" s="10"/>
      <c r="F247" s="30">
        <v>-10</v>
      </c>
      <c r="G247" s="7">
        <f t="shared" si="56"/>
        <v>-10</v>
      </c>
      <c r="H247" s="58">
        <v>43252</v>
      </c>
      <c r="I247" s="14"/>
      <c r="J247" s="8"/>
      <c r="K247" s="10"/>
      <c r="L247" s="10"/>
      <c r="M247" s="10"/>
      <c r="N247" s="30"/>
      <c r="O247" s="7">
        <f t="shared" si="58"/>
        <v>0</v>
      </c>
      <c r="P247" s="56"/>
    </row>
    <row r="248" spans="1:16" x14ac:dyDescent="0.15">
      <c r="A248" s="14" t="s">
        <v>110</v>
      </c>
      <c r="B248" s="8">
        <v>6</v>
      </c>
      <c r="C248" s="10"/>
      <c r="D248" s="10"/>
      <c r="E248" s="10"/>
      <c r="F248" s="30"/>
      <c r="G248" s="7">
        <f t="shared" si="56"/>
        <v>6</v>
      </c>
      <c r="H248" s="58">
        <v>43257</v>
      </c>
      <c r="I248" s="14"/>
      <c r="J248" s="8"/>
      <c r="K248" s="10"/>
      <c r="L248" s="10"/>
      <c r="M248" s="10"/>
      <c r="N248" s="30"/>
      <c r="O248" s="7">
        <f t="shared" ref="O248:O250" si="60">SUM(J248:N248)</f>
        <v>0</v>
      </c>
      <c r="P248" s="58"/>
    </row>
    <row r="249" spans="1:16" x14ac:dyDescent="0.15">
      <c r="A249" s="14" t="s">
        <v>25</v>
      </c>
      <c r="B249" s="8">
        <v>1</v>
      </c>
      <c r="C249" s="10">
        <v>2</v>
      </c>
      <c r="D249" s="10">
        <v>1</v>
      </c>
      <c r="E249" s="10"/>
      <c r="F249" s="30"/>
      <c r="G249" s="7">
        <f t="shared" si="56"/>
        <v>4</v>
      </c>
      <c r="H249" s="58">
        <v>43255</v>
      </c>
      <c r="I249" s="14"/>
      <c r="J249" s="8"/>
      <c r="K249" s="10"/>
      <c r="L249" s="10"/>
      <c r="M249" s="10"/>
      <c r="N249" s="30"/>
      <c r="O249" s="7">
        <f t="shared" si="60"/>
        <v>0</v>
      </c>
      <c r="P249" s="58"/>
    </row>
    <row r="250" spans="1:16" ht="14.25" thickBot="1" x14ac:dyDescent="0.2">
      <c r="A250" s="20"/>
      <c r="B250" s="11"/>
      <c r="C250" s="12"/>
      <c r="D250" s="12"/>
      <c r="E250" s="12"/>
      <c r="F250" s="31"/>
      <c r="G250" s="115">
        <f t="shared" si="56"/>
        <v>0</v>
      </c>
      <c r="I250" s="14"/>
      <c r="J250" s="8"/>
      <c r="K250" s="10"/>
      <c r="L250" s="10"/>
      <c r="M250" s="10"/>
      <c r="N250" s="30"/>
      <c r="O250" s="7">
        <f t="shared" si="60"/>
        <v>0</v>
      </c>
      <c r="P250" s="58"/>
    </row>
    <row r="251" spans="1:16" ht="14.25" thickBot="1" x14ac:dyDescent="0.2">
      <c r="A251" s="3" t="s">
        <v>11</v>
      </c>
      <c r="B251" s="23">
        <f>SUM(B225:B250)</f>
        <v>13</v>
      </c>
      <c r="C251" s="4">
        <f>SUM(C225:C250)</f>
        <v>18</v>
      </c>
      <c r="D251" s="4">
        <f>SUM(D225:D250)</f>
        <v>18</v>
      </c>
      <c r="E251" s="6">
        <f>SUM(E225:E250)</f>
        <v>22</v>
      </c>
      <c r="F251" s="32">
        <f>SUM(F225:F250)</f>
        <v>21</v>
      </c>
      <c r="G251" s="5">
        <f>SUM(B251:F251)</f>
        <v>92</v>
      </c>
      <c r="I251" s="3" t="s">
        <v>11</v>
      </c>
      <c r="J251" s="23">
        <f>SUM(J225:J250)</f>
        <v>10</v>
      </c>
      <c r="K251" s="4">
        <f>SUM(K225:K250)</f>
        <v>20</v>
      </c>
      <c r="L251" s="4">
        <f>SUM(L225:L250)</f>
        <v>15</v>
      </c>
      <c r="M251" s="6">
        <f>SUM(M225:M250)</f>
        <v>20</v>
      </c>
      <c r="N251" s="32">
        <f>SUM(N225:N250)</f>
        <v>35</v>
      </c>
      <c r="O251" s="5">
        <f>SUM(J251:N251)</f>
        <v>100</v>
      </c>
    </row>
    <row r="252" spans="1:16" ht="14.25" thickBot="1" x14ac:dyDescent="0.2">
      <c r="A252" s="25" t="s">
        <v>12</v>
      </c>
      <c r="B252" s="63">
        <f>B224-B251</f>
        <v>3</v>
      </c>
      <c r="C252" s="26">
        <f t="shared" ref="C252:G252" si="61">C224-C251</f>
        <v>11</v>
      </c>
      <c r="D252" s="71">
        <f t="shared" si="61"/>
        <v>17</v>
      </c>
      <c r="E252" s="26">
        <f t="shared" si="61"/>
        <v>10</v>
      </c>
      <c r="F252" s="70">
        <f t="shared" si="61"/>
        <v>12</v>
      </c>
      <c r="G252" s="27">
        <f t="shared" si="61"/>
        <v>53</v>
      </c>
      <c r="I252" s="25" t="s">
        <v>12</v>
      </c>
      <c r="J252" s="63">
        <f>J224-J251</f>
        <v>224</v>
      </c>
      <c r="K252" s="26">
        <f t="shared" ref="K252:O252" si="62">K224-K251</f>
        <v>177</v>
      </c>
      <c r="L252" s="71">
        <f t="shared" si="62"/>
        <v>145</v>
      </c>
      <c r="M252" s="26">
        <f t="shared" si="62"/>
        <v>189</v>
      </c>
      <c r="N252" s="70">
        <f t="shared" si="62"/>
        <v>185</v>
      </c>
      <c r="O252" s="27">
        <f t="shared" si="62"/>
        <v>920</v>
      </c>
    </row>
    <row r="253" spans="1:16" ht="17.25" x14ac:dyDescent="0.2">
      <c r="A253" s="79" t="s">
        <v>391</v>
      </c>
      <c r="B253" s="80"/>
      <c r="C253" s="80"/>
      <c r="D253" s="80"/>
      <c r="E253" s="80"/>
      <c r="F253" s="80"/>
      <c r="G253" s="80"/>
      <c r="H253" s="56"/>
      <c r="I253" s="79" t="s">
        <v>391</v>
      </c>
      <c r="J253" s="80"/>
      <c r="K253" s="80"/>
      <c r="L253" s="80"/>
      <c r="M253" s="80"/>
      <c r="N253" s="80"/>
      <c r="O253" s="1"/>
    </row>
    <row r="254" spans="1:16" ht="21.75" thickBot="1" x14ac:dyDescent="0.25">
      <c r="A254" s="82" t="s">
        <v>390</v>
      </c>
      <c r="B254" s="80"/>
      <c r="C254" s="80"/>
      <c r="D254" s="80"/>
      <c r="E254" s="81" t="s">
        <v>53</v>
      </c>
      <c r="F254" s="80"/>
      <c r="G254" s="80"/>
      <c r="H254" s="56"/>
      <c r="I254" s="82" t="s">
        <v>390</v>
      </c>
      <c r="J254" s="80"/>
      <c r="K254" s="80"/>
      <c r="L254" s="80"/>
      <c r="M254" s="81" t="s">
        <v>393</v>
      </c>
      <c r="N254" s="80"/>
      <c r="O254" s="1"/>
    </row>
    <row r="255" spans="1:16" ht="14.25" thickBot="1" x14ac:dyDescent="0.2">
      <c r="A255" s="13" t="s">
        <v>0</v>
      </c>
      <c r="B255" s="228" t="s">
        <v>392</v>
      </c>
      <c r="C255" s="229"/>
      <c r="D255" s="229"/>
      <c r="E255" s="229"/>
      <c r="F255" s="230"/>
      <c r="G255" s="231"/>
      <c r="H255" s="56"/>
      <c r="I255" s="13" t="s">
        <v>0</v>
      </c>
      <c r="J255" s="228" t="s">
        <v>392</v>
      </c>
      <c r="K255" s="229"/>
      <c r="L255" s="229"/>
      <c r="M255" s="229"/>
      <c r="N255" s="230"/>
      <c r="O255" s="231"/>
    </row>
    <row r="256" spans="1:16" ht="14.25" thickBot="1" x14ac:dyDescent="0.2">
      <c r="A256" s="3" t="s">
        <v>1</v>
      </c>
      <c r="B256" s="2" t="s">
        <v>42</v>
      </c>
      <c r="C256" s="21" t="s">
        <v>43</v>
      </c>
      <c r="D256" s="21" t="s">
        <v>44</v>
      </c>
      <c r="E256" s="24" t="s">
        <v>45</v>
      </c>
      <c r="F256" s="33" t="s">
        <v>46</v>
      </c>
      <c r="G256" s="34" t="s">
        <v>2</v>
      </c>
      <c r="H256" s="56"/>
      <c r="I256" s="3" t="s">
        <v>1</v>
      </c>
      <c r="J256" s="41" t="s">
        <v>42</v>
      </c>
      <c r="K256" s="42" t="s">
        <v>43</v>
      </c>
      <c r="L256" s="42" t="s">
        <v>44</v>
      </c>
      <c r="M256" s="43" t="s">
        <v>45</v>
      </c>
      <c r="N256" s="44" t="s">
        <v>46</v>
      </c>
      <c r="O256" s="3" t="s">
        <v>2</v>
      </c>
    </row>
    <row r="257" spans="1:19" ht="14.25" thickBot="1" x14ac:dyDescent="0.2">
      <c r="A257" s="72" t="s">
        <v>456</v>
      </c>
      <c r="B257" s="73">
        <f>B252</f>
        <v>3</v>
      </c>
      <c r="C257" s="74">
        <f t="shared" ref="C257:F257" si="63">C252</f>
        <v>11</v>
      </c>
      <c r="D257" s="74">
        <f t="shared" si="63"/>
        <v>17</v>
      </c>
      <c r="E257" s="74">
        <f t="shared" si="63"/>
        <v>10</v>
      </c>
      <c r="F257" s="105">
        <f t="shared" si="63"/>
        <v>12</v>
      </c>
      <c r="G257" s="131">
        <f t="shared" ref="G257:G265" si="64">SUM(B257:F257)</f>
        <v>53</v>
      </c>
      <c r="H257" s="56"/>
      <c r="I257" s="72" t="s">
        <v>456</v>
      </c>
      <c r="J257" s="73">
        <f>J252</f>
        <v>224</v>
      </c>
      <c r="K257" s="74">
        <f t="shared" ref="K257:N257" si="65">K252</f>
        <v>177</v>
      </c>
      <c r="L257" s="74">
        <f t="shared" si="65"/>
        <v>145</v>
      </c>
      <c r="M257" s="74">
        <f t="shared" si="65"/>
        <v>189</v>
      </c>
      <c r="N257" s="105">
        <f t="shared" si="65"/>
        <v>185</v>
      </c>
      <c r="O257" s="131">
        <f t="shared" ref="O257:O265" si="66">SUM(J257:N257)</f>
        <v>920</v>
      </c>
    </row>
    <row r="258" spans="1:19" x14ac:dyDescent="0.15">
      <c r="A258" s="15" t="s">
        <v>3</v>
      </c>
      <c r="B258" s="8">
        <v>10</v>
      </c>
      <c r="C258" s="10"/>
      <c r="D258" s="10"/>
      <c r="E258" s="10"/>
      <c r="F258" s="28"/>
      <c r="G258" s="9">
        <f t="shared" si="64"/>
        <v>10</v>
      </c>
      <c r="H258" s="58">
        <v>43253</v>
      </c>
      <c r="I258" s="38" t="s">
        <v>14</v>
      </c>
      <c r="J258" s="37"/>
      <c r="K258" s="35"/>
      <c r="L258" s="35"/>
      <c r="M258" s="35"/>
      <c r="N258" s="28"/>
      <c r="O258" s="7">
        <f t="shared" si="66"/>
        <v>0</v>
      </c>
    </row>
    <row r="259" spans="1:19" x14ac:dyDescent="0.15">
      <c r="A259" s="15" t="s">
        <v>4</v>
      </c>
      <c r="B259" s="8"/>
      <c r="C259" s="10">
        <v>15</v>
      </c>
      <c r="D259" s="10"/>
      <c r="E259" s="10">
        <v>10</v>
      </c>
      <c r="F259" s="28">
        <v>5</v>
      </c>
      <c r="G259" s="9">
        <f t="shared" si="64"/>
        <v>30</v>
      </c>
      <c r="H259" s="58">
        <v>43266</v>
      </c>
      <c r="I259" s="38" t="s">
        <v>3</v>
      </c>
      <c r="J259" s="8"/>
      <c r="K259" s="10"/>
      <c r="L259" s="10"/>
      <c r="M259" s="10"/>
      <c r="N259" s="28"/>
      <c r="O259" s="9">
        <f t="shared" si="66"/>
        <v>0</v>
      </c>
    </row>
    <row r="260" spans="1:19" x14ac:dyDescent="0.15">
      <c r="A260" s="15" t="s">
        <v>5</v>
      </c>
      <c r="B260" s="8">
        <v>5</v>
      </c>
      <c r="C260" s="10"/>
      <c r="D260" s="10"/>
      <c r="E260" s="10"/>
      <c r="F260" s="28"/>
      <c r="G260" s="9">
        <f t="shared" si="64"/>
        <v>5</v>
      </c>
      <c r="H260" s="58">
        <v>43269</v>
      </c>
      <c r="I260" s="38" t="s">
        <v>4</v>
      </c>
      <c r="J260" s="8"/>
      <c r="K260" s="10"/>
      <c r="L260" s="10"/>
      <c r="M260" s="10"/>
      <c r="N260" s="28"/>
      <c r="O260" s="9">
        <f t="shared" si="66"/>
        <v>0</v>
      </c>
    </row>
    <row r="261" spans="1:19" x14ac:dyDescent="0.15">
      <c r="A261" s="15" t="s">
        <v>17</v>
      </c>
      <c r="B261" s="8"/>
      <c r="C261" s="10"/>
      <c r="D261" s="10">
        <v>2</v>
      </c>
      <c r="E261" s="10"/>
      <c r="F261" s="28"/>
      <c r="G261" s="9">
        <f t="shared" si="64"/>
        <v>2</v>
      </c>
      <c r="H261" s="58">
        <v>43271</v>
      </c>
      <c r="I261" s="38" t="s">
        <v>5</v>
      </c>
      <c r="J261" s="8"/>
      <c r="K261" s="10"/>
      <c r="L261" s="10"/>
      <c r="M261" s="10"/>
      <c r="N261" s="28"/>
      <c r="O261" s="9">
        <f t="shared" si="66"/>
        <v>0</v>
      </c>
    </row>
    <row r="262" spans="1:19" x14ac:dyDescent="0.15">
      <c r="A262" s="15" t="s">
        <v>19</v>
      </c>
      <c r="B262" s="8"/>
      <c r="C262" s="10">
        <v>1</v>
      </c>
      <c r="D262" s="10">
        <v>2</v>
      </c>
      <c r="E262" s="10">
        <v>3</v>
      </c>
      <c r="F262" s="30">
        <v>1</v>
      </c>
      <c r="G262" s="7">
        <f t="shared" si="64"/>
        <v>7</v>
      </c>
      <c r="H262" s="58">
        <v>43273</v>
      </c>
      <c r="I262" s="38" t="s">
        <v>6</v>
      </c>
      <c r="J262" s="8"/>
      <c r="K262" s="10"/>
      <c r="L262" s="10"/>
      <c r="M262" s="10"/>
      <c r="N262" s="30"/>
      <c r="O262" s="7">
        <f t="shared" si="66"/>
        <v>0</v>
      </c>
    </row>
    <row r="263" spans="1:19" x14ac:dyDescent="0.15">
      <c r="A263" s="15" t="s">
        <v>85</v>
      </c>
      <c r="B263" s="8">
        <v>5</v>
      </c>
      <c r="C263" s="10">
        <v>15</v>
      </c>
      <c r="D263" s="10"/>
      <c r="E263" s="10"/>
      <c r="F263" s="30">
        <v>5</v>
      </c>
      <c r="G263" s="7">
        <f t="shared" si="64"/>
        <v>25</v>
      </c>
      <c r="H263" s="58">
        <v>43278</v>
      </c>
      <c r="I263" s="38" t="s">
        <v>84</v>
      </c>
      <c r="J263" s="8"/>
      <c r="K263" s="10"/>
      <c r="L263" s="10"/>
      <c r="M263" s="10"/>
      <c r="N263" s="30"/>
      <c r="O263" s="7">
        <f t="shared" si="66"/>
        <v>0</v>
      </c>
    </row>
    <row r="264" spans="1:19" x14ac:dyDescent="0.15">
      <c r="A264" s="15" t="s">
        <v>85</v>
      </c>
      <c r="B264" s="8">
        <v>5</v>
      </c>
      <c r="C264" s="10">
        <v>10</v>
      </c>
      <c r="D264" s="10">
        <v>15</v>
      </c>
      <c r="E264" s="10">
        <v>5</v>
      </c>
      <c r="F264" s="30">
        <v>5</v>
      </c>
      <c r="G264" s="7">
        <f t="shared" ref="G264" si="67">SUM(B264:F264)</f>
        <v>40</v>
      </c>
      <c r="H264" s="58">
        <v>43279</v>
      </c>
      <c r="I264" s="14" t="s">
        <v>676</v>
      </c>
      <c r="J264" s="8">
        <v>100</v>
      </c>
      <c r="K264" s="10">
        <v>220</v>
      </c>
      <c r="L264" s="10">
        <v>220</v>
      </c>
      <c r="M264" s="10">
        <v>200</v>
      </c>
      <c r="N264" s="30">
        <v>220</v>
      </c>
      <c r="O264" s="7">
        <f t="shared" si="66"/>
        <v>960</v>
      </c>
      <c r="P264" s="58" t="s">
        <v>681</v>
      </c>
      <c r="Q264" s="56" t="s">
        <v>682</v>
      </c>
      <c r="R264" s="56" t="s">
        <v>683</v>
      </c>
      <c r="S264" s="56" t="s">
        <v>684</v>
      </c>
    </row>
    <row r="265" spans="1:19" ht="14.25" thickBot="1" x14ac:dyDescent="0.2">
      <c r="A265" s="15" t="s">
        <v>17</v>
      </c>
      <c r="B265" s="11"/>
      <c r="C265" s="100">
        <v>1</v>
      </c>
      <c r="D265" s="100"/>
      <c r="E265" s="100">
        <v>1</v>
      </c>
      <c r="F265" s="101"/>
      <c r="G265" s="102">
        <f t="shared" si="64"/>
        <v>2</v>
      </c>
      <c r="H265" s="58">
        <v>43279</v>
      </c>
      <c r="I265" s="38" t="s">
        <v>86</v>
      </c>
      <c r="J265" s="11"/>
      <c r="K265" s="100"/>
      <c r="L265" s="100"/>
      <c r="M265" s="100"/>
      <c r="N265" s="101"/>
      <c r="O265" s="102">
        <f t="shared" si="66"/>
        <v>0</v>
      </c>
      <c r="P265" s="137">
        <v>43276</v>
      </c>
    </row>
    <row r="266" spans="1:19" ht="14.25" thickBot="1" x14ac:dyDescent="0.2">
      <c r="A266" s="72" t="s">
        <v>7</v>
      </c>
      <c r="B266" s="73">
        <f>SUM(B257:B265)</f>
        <v>28</v>
      </c>
      <c r="C266" s="74">
        <f t="shared" ref="C266:G266" si="68">SUM(C257:C265)</f>
        <v>53</v>
      </c>
      <c r="D266" s="74">
        <f t="shared" si="68"/>
        <v>36</v>
      </c>
      <c r="E266" s="74">
        <f t="shared" si="68"/>
        <v>29</v>
      </c>
      <c r="F266" s="105">
        <f t="shared" si="68"/>
        <v>28</v>
      </c>
      <c r="G266" s="76">
        <f t="shared" si="68"/>
        <v>174</v>
      </c>
      <c r="H266" s="56"/>
      <c r="I266" s="72" t="s">
        <v>7</v>
      </c>
      <c r="J266" s="73">
        <f>SUM(J257:J265)</f>
        <v>324</v>
      </c>
      <c r="K266" s="74">
        <f t="shared" ref="K266:O266" si="69">SUM(K257:K265)</f>
        <v>397</v>
      </c>
      <c r="L266" s="74">
        <f t="shared" si="69"/>
        <v>365</v>
      </c>
      <c r="M266" s="74">
        <f t="shared" si="69"/>
        <v>389</v>
      </c>
      <c r="N266" s="105">
        <f t="shared" si="69"/>
        <v>405</v>
      </c>
      <c r="O266" s="76">
        <f t="shared" si="69"/>
        <v>1880</v>
      </c>
    </row>
    <row r="267" spans="1:19" x14ac:dyDescent="0.15">
      <c r="A267" s="14" t="s">
        <v>110</v>
      </c>
      <c r="B267" s="37"/>
      <c r="C267" s="35">
        <v>2</v>
      </c>
      <c r="D267" s="35"/>
      <c r="E267" s="35"/>
      <c r="F267" s="28"/>
      <c r="G267" s="18">
        <f t="shared" ref="G267:G292" si="70">SUM(B267:F267)</f>
        <v>2</v>
      </c>
      <c r="H267" s="58">
        <v>43259</v>
      </c>
      <c r="I267" s="16" t="s">
        <v>718</v>
      </c>
      <c r="J267" s="17">
        <v>10</v>
      </c>
      <c r="K267" s="22"/>
      <c r="L267" s="22"/>
      <c r="M267" s="22"/>
      <c r="N267" s="29"/>
      <c r="O267" s="18">
        <f t="shared" ref="O267:O289" si="71">SUM(J267:N267)</f>
        <v>10</v>
      </c>
      <c r="P267" s="58">
        <v>43253</v>
      </c>
    </row>
    <row r="268" spans="1:19" x14ac:dyDescent="0.15">
      <c r="A268" s="14" t="s">
        <v>110</v>
      </c>
      <c r="B268" s="8"/>
      <c r="C268" s="10">
        <v>3</v>
      </c>
      <c r="D268" s="10"/>
      <c r="E268" s="10"/>
      <c r="F268" s="30"/>
      <c r="G268" s="7">
        <f t="shared" si="70"/>
        <v>3</v>
      </c>
      <c r="H268" s="58">
        <v>43263</v>
      </c>
      <c r="I268" s="16" t="s">
        <v>24</v>
      </c>
      <c r="J268" s="8"/>
      <c r="K268" s="10">
        <v>15</v>
      </c>
      <c r="L268" s="10"/>
      <c r="M268" s="10">
        <v>10</v>
      </c>
      <c r="N268" s="30">
        <v>5</v>
      </c>
      <c r="O268" s="7">
        <f t="shared" si="71"/>
        <v>30</v>
      </c>
      <c r="P268" s="58">
        <v>43266</v>
      </c>
    </row>
    <row r="269" spans="1:19" x14ac:dyDescent="0.15">
      <c r="A269" s="14" t="s">
        <v>25</v>
      </c>
      <c r="B269" s="8">
        <v>1</v>
      </c>
      <c r="C269" s="10">
        <v>1</v>
      </c>
      <c r="D269" s="10"/>
      <c r="E269" s="10"/>
      <c r="F269" s="30"/>
      <c r="G269" s="7">
        <f t="shared" si="70"/>
        <v>2</v>
      </c>
      <c r="H269" s="58">
        <v>43257</v>
      </c>
      <c r="I269" s="16" t="s">
        <v>24</v>
      </c>
      <c r="J269" s="8">
        <v>5</v>
      </c>
      <c r="K269" s="10"/>
      <c r="L269" s="10"/>
      <c r="M269" s="10"/>
      <c r="N269" s="30"/>
      <c r="O269" s="7">
        <f t="shared" si="71"/>
        <v>5</v>
      </c>
      <c r="P269" s="58">
        <v>43269</v>
      </c>
    </row>
    <row r="270" spans="1:19" x14ac:dyDescent="0.15">
      <c r="A270" s="14" t="s">
        <v>25</v>
      </c>
      <c r="B270" s="8"/>
      <c r="C270" s="10"/>
      <c r="D270" s="10">
        <v>1</v>
      </c>
      <c r="E270" s="10"/>
      <c r="F270" s="30"/>
      <c r="G270" s="7">
        <f t="shared" si="70"/>
        <v>1</v>
      </c>
      <c r="H270" s="58">
        <v>43259</v>
      </c>
      <c r="I270" s="16" t="s">
        <v>24</v>
      </c>
      <c r="J270" s="8">
        <v>5</v>
      </c>
      <c r="K270" s="10">
        <v>15</v>
      </c>
      <c r="L270" s="10"/>
      <c r="M270" s="10"/>
      <c r="N270" s="30">
        <v>5</v>
      </c>
      <c r="O270" s="7">
        <f t="shared" si="71"/>
        <v>25</v>
      </c>
      <c r="P270" s="58">
        <v>43278</v>
      </c>
    </row>
    <row r="271" spans="1:19" x14ac:dyDescent="0.15">
      <c r="A271" s="14" t="s">
        <v>25</v>
      </c>
      <c r="B271" s="37">
        <v>1</v>
      </c>
      <c r="C271" s="35"/>
      <c r="D271" s="35"/>
      <c r="E271" s="35">
        <v>1</v>
      </c>
      <c r="F271" s="28"/>
      <c r="G271" s="7">
        <f t="shared" si="70"/>
        <v>2</v>
      </c>
      <c r="H271" s="58">
        <v>43263</v>
      </c>
      <c r="I271" s="16" t="s">
        <v>24</v>
      </c>
      <c r="J271" s="8">
        <v>5</v>
      </c>
      <c r="K271" s="10">
        <v>10</v>
      </c>
      <c r="L271" s="10">
        <v>15</v>
      </c>
      <c r="M271" s="10">
        <v>5</v>
      </c>
      <c r="N271" s="30">
        <v>5</v>
      </c>
      <c r="O271" s="7">
        <f t="shared" si="71"/>
        <v>40</v>
      </c>
      <c r="P271" s="58">
        <v>43279</v>
      </c>
    </row>
    <row r="272" spans="1:19" x14ac:dyDescent="0.15">
      <c r="A272" s="14" t="s">
        <v>25</v>
      </c>
      <c r="B272" s="8"/>
      <c r="C272" s="10">
        <v>1</v>
      </c>
      <c r="D272" s="10"/>
      <c r="E272" s="10"/>
      <c r="F272" s="30"/>
      <c r="G272" s="7">
        <f t="shared" si="70"/>
        <v>1</v>
      </c>
      <c r="H272" s="58">
        <v>43265</v>
      </c>
      <c r="I272" s="20" t="s">
        <v>676</v>
      </c>
      <c r="J272" s="8">
        <v>0</v>
      </c>
      <c r="K272" s="10">
        <v>10</v>
      </c>
      <c r="L272" s="10">
        <v>29</v>
      </c>
      <c r="M272" s="10">
        <v>39</v>
      </c>
      <c r="N272" s="30">
        <v>91</v>
      </c>
      <c r="O272" s="7">
        <f t="shared" si="71"/>
        <v>169</v>
      </c>
      <c r="P272" s="58" t="s">
        <v>681</v>
      </c>
      <c r="Q272" s="56" t="s">
        <v>682</v>
      </c>
      <c r="R272" s="56" t="s">
        <v>683</v>
      </c>
      <c r="S272" s="56" t="s">
        <v>684</v>
      </c>
    </row>
    <row r="273" spans="1:16" x14ac:dyDescent="0.15">
      <c r="A273" s="157" t="s">
        <v>732</v>
      </c>
      <c r="B273" s="158">
        <v>1</v>
      </c>
      <c r="C273" s="159"/>
      <c r="D273" s="159"/>
      <c r="E273" s="159"/>
      <c r="F273" s="160"/>
      <c r="G273" s="161">
        <f t="shared" si="70"/>
        <v>1</v>
      </c>
      <c r="H273" s="162">
        <v>43264</v>
      </c>
      <c r="I273" s="16"/>
      <c r="J273" s="8"/>
      <c r="K273" s="10"/>
      <c r="L273" s="10"/>
      <c r="M273" s="10"/>
      <c r="N273" s="30"/>
      <c r="O273" s="7">
        <f t="shared" si="71"/>
        <v>0</v>
      </c>
    </row>
    <row r="274" spans="1:16" x14ac:dyDescent="0.15">
      <c r="A274" s="16" t="s">
        <v>711</v>
      </c>
      <c r="B274" s="8"/>
      <c r="C274" s="10">
        <v>5</v>
      </c>
      <c r="D274" s="10"/>
      <c r="E274" s="10">
        <v>5</v>
      </c>
      <c r="F274" s="30">
        <v>5</v>
      </c>
      <c r="G274" s="7">
        <f t="shared" si="70"/>
        <v>15</v>
      </c>
      <c r="H274" s="58">
        <v>43269</v>
      </c>
      <c r="I274" s="16"/>
      <c r="J274" s="8"/>
      <c r="K274" s="10"/>
      <c r="L274" s="10"/>
      <c r="M274" s="10"/>
      <c r="N274" s="30"/>
      <c r="O274" s="7">
        <f t="shared" si="71"/>
        <v>0</v>
      </c>
    </row>
    <row r="275" spans="1:16" x14ac:dyDescent="0.15">
      <c r="A275" s="14" t="s">
        <v>736</v>
      </c>
      <c r="B275" s="8">
        <v>1</v>
      </c>
      <c r="C275" s="10"/>
      <c r="D275" s="10"/>
      <c r="E275" s="10"/>
      <c r="F275" s="30"/>
      <c r="G275" s="7">
        <f t="shared" si="70"/>
        <v>1</v>
      </c>
      <c r="H275" s="58">
        <v>43266</v>
      </c>
      <c r="I275" s="39"/>
      <c r="J275" s="8"/>
      <c r="K275" s="10"/>
      <c r="L275" s="10"/>
      <c r="M275" s="10"/>
      <c r="N275" s="30"/>
      <c r="O275" s="7">
        <f t="shared" si="71"/>
        <v>0</v>
      </c>
    </row>
    <row r="276" spans="1:16" x14ac:dyDescent="0.15">
      <c r="A276" s="14" t="s">
        <v>30</v>
      </c>
      <c r="B276" s="11">
        <v>1</v>
      </c>
      <c r="C276" s="12">
        <v>1</v>
      </c>
      <c r="D276" s="12">
        <v>1</v>
      </c>
      <c r="E276" s="12">
        <v>1</v>
      </c>
      <c r="F276" s="31"/>
      <c r="G276" s="7">
        <f t="shared" si="70"/>
        <v>4</v>
      </c>
      <c r="H276" s="58">
        <v>43271</v>
      </c>
      <c r="I276" s="16"/>
      <c r="J276" s="11"/>
      <c r="K276" s="12"/>
      <c r="L276" s="12"/>
      <c r="M276" s="12"/>
      <c r="N276" s="31"/>
      <c r="O276" s="7">
        <f t="shared" si="71"/>
        <v>0</v>
      </c>
    </row>
    <row r="277" spans="1:16" x14ac:dyDescent="0.15">
      <c r="A277" s="14" t="s">
        <v>25</v>
      </c>
      <c r="B277" s="8"/>
      <c r="C277" s="10">
        <v>2</v>
      </c>
      <c r="D277" s="10">
        <v>1</v>
      </c>
      <c r="E277" s="10">
        <v>1</v>
      </c>
      <c r="F277" s="30">
        <v>1</v>
      </c>
      <c r="G277" s="7">
        <f t="shared" si="70"/>
        <v>5</v>
      </c>
      <c r="H277" s="58">
        <v>43267</v>
      </c>
      <c r="I277" s="16"/>
      <c r="J277" s="8"/>
      <c r="K277" s="10"/>
      <c r="L277" s="10"/>
      <c r="M277" s="10"/>
      <c r="N277" s="30"/>
      <c r="O277" s="7">
        <f t="shared" si="71"/>
        <v>0</v>
      </c>
    </row>
    <row r="278" spans="1:16" x14ac:dyDescent="0.15">
      <c r="A278" s="14" t="s">
        <v>25</v>
      </c>
      <c r="B278" s="8"/>
      <c r="C278" s="10"/>
      <c r="D278" s="10"/>
      <c r="E278" s="10">
        <v>1</v>
      </c>
      <c r="F278" s="30"/>
      <c r="G278" s="7">
        <f t="shared" si="70"/>
        <v>1</v>
      </c>
      <c r="H278" s="58">
        <v>43270</v>
      </c>
      <c r="I278" s="14"/>
      <c r="J278" s="8"/>
      <c r="K278" s="10"/>
      <c r="L278" s="10"/>
      <c r="M278" s="10"/>
      <c r="N278" s="30"/>
      <c r="O278" s="7">
        <f t="shared" si="71"/>
        <v>0</v>
      </c>
    </row>
    <row r="279" spans="1:16" x14ac:dyDescent="0.15">
      <c r="A279" s="14" t="s">
        <v>25</v>
      </c>
      <c r="B279" s="8"/>
      <c r="C279" s="10"/>
      <c r="D279" s="10">
        <v>1</v>
      </c>
      <c r="E279" s="10">
        <v>1</v>
      </c>
      <c r="F279" s="30">
        <v>1</v>
      </c>
      <c r="G279" s="7">
        <f t="shared" si="70"/>
        <v>3</v>
      </c>
      <c r="H279" s="58">
        <v>43272</v>
      </c>
      <c r="I279" s="16"/>
      <c r="J279" s="8"/>
      <c r="K279" s="10"/>
      <c r="L279" s="10"/>
      <c r="M279" s="10"/>
      <c r="N279" s="30"/>
      <c r="O279" s="7">
        <f t="shared" si="71"/>
        <v>0</v>
      </c>
    </row>
    <row r="280" spans="1:16" x14ac:dyDescent="0.15">
      <c r="A280" s="157" t="s">
        <v>29</v>
      </c>
      <c r="B280" s="8"/>
      <c r="C280" s="10"/>
      <c r="D280" s="10">
        <v>1</v>
      </c>
      <c r="E280" s="10"/>
      <c r="F280" s="30"/>
      <c r="G280" s="7">
        <f t="shared" si="70"/>
        <v>1</v>
      </c>
      <c r="H280" s="58">
        <v>43272</v>
      </c>
      <c r="I280" s="16"/>
      <c r="J280" s="8"/>
      <c r="K280" s="10"/>
      <c r="L280" s="10"/>
      <c r="M280" s="10"/>
      <c r="N280" s="30"/>
      <c r="O280" s="7">
        <f t="shared" si="71"/>
        <v>0</v>
      </c>
    </row>
    <row r="281" spans="1:16" x14ac:dyDescent="0.15">
      <c r="A281" s="14" t="s">
        <v>25</v>
      </c>
      <c r="B281" s="8"/>
      <c r="C281" s="10"/>
      <c r="D281" s="10"/>
      <c r="E281" s="10">
        <v>3</v>
      </c>
      <c r="F281" s="30">
        <v>2</v>
      </c>
      <c r="G281" s="7">
        <f t="shared" si="70"/>
        <v>5</v>
      </c>
      <c r="H281" s="58">
        <v>43274</v>
      </c>
      <c r="I281" s="16"/>
      <c r="J281" s="8"/>
      <c r="K281" s="10"/>
      <c r="L281" s="10"/>
      <c r="M281" s="10"/>
      <c r="N281" s="30"/>
      <c r="O281" s="7">
        <f t="shared" si="71"/>
        <v>0</v>
      </c>
    </row>
    <row r="282" spans="1:16" x14ac:dyDescent="0.15">
      <c r="A282" s="16" t="s">
        <v>711</v>
      </c>
      <c r="B282" s="8"/>
      <c r="C282" s="10"/>
      <c r="D282" s="10">
        <v>5</v>
      </c>
      <c r="E282" s="10"/>
      <c r="F282" s="30"/>
      <c r="G282" s="7">
        <f t="shared" si="70"/>
        <v>5</v>
      </c>
      <c r="H282" s="58">
        <v>43280</v>
      </c>
      <c r="I282" s="16"/>
      <c r="J282" s="8"/>
      <c r="K282" s="10"/>
      <c r="L282" s="10"/>
      <c r="M282" s="10"/>
      <c r="N282" s="30"/>
      <c r="O282" s="7">
        <f t="shared" si="71"/>
        <v>0</v>
      </c>
    </row>
    <row r="283" spans="1:16" x14ac:dyDescent="0.15">
      <c r="A283" s="14" t="s">
        <v>29</v>
      </c>
      <c r="B283" s="8"/>
      <c r="C283" s="10"/>
      <c r="D283" s="10">
        <v>1</v>
      </c>
      <c r="E283" s="10"/>
      <c r="F283" s="30"/>
      <c r="G283" s="7">
        <f t="shared" si="70"/>
        <v>1</v>
      </c>
      <c r="H283" s="58">
        <v>43273</v>
      </c>
      <c r="I283" s="14"/>
      <c r="J283" s="8"/>
      <c r="K283" s="10"/>
      <c r="L283" s="10"/>
      <c r="M283" s="10"/>
      <c r="N283" s="30"/>
      <c r="O283" s="7">
        <f t="shared" si="71"/>
        <v>0</v>
      </c>
      <c r="P283" s="56"/>
    </row>
    <row r="284" spans="1:16" x14ac:dyDescent="0.15">
      <c r="A284" s="14" t="s">
        <v>747</v>
      </c>
      <c r="B284" s="8"/>
      <c r="C284" s="10">
        <v>10</v>
      </c>
      <c r="D284" s="10"/>
      <c r="E284" s="10"/>
      <c r="F284" s="30"/>
      <c r="G284" s="7">
        <f t="shared" si="70"/>
        <v>10</v>
      </c>
      <c r="H284" s="58">
        <v>43280</v>
      </c>
      <c r="I284" s="14"/>
      <c r="J284" s="8"/>
      <c r="K284" s="10"/>
      <c r="L284" s="10"/>
      <c r="M284" s="10"/>
      <c r="N284" s="30"/>
      <c r="O284" s="7">
        <f t="shared" si="71"/>
        <v>0</v>
      </c>
      <c r="P284" s="56"/>
    </row>
    <row r="285" spans="1:16" x14ac:dyDescent="0.15">
      <c r="A285" s="14" t="s">
        <v>746</v>
      </c>
      <c r="B285" s="8">
        <v>3</v>
      </c>
      <c r="C285" s="10">
        <v>6</v>
      </c>
      <c r="D285" s="10">
        <v>5</v>
      </c>
      <c r="E285" s="10">
        <v>3</v>
      </c>
      <c r="F285" s="30">
        <v>2</v>
      </c>
      <c r="G285" s="7">
        <f t="shared" ref="G285:G290" si="72">SUM(B285:F285)</f>
        <v>19</v>
      </c>
      <c r="H285" s="58">
        <v>43278</v>
      </c>
      <c r="I285" s="14"/>
      <c r="J285" s="8"/>
      <c r="K285" s="10"/>
      <c r="L285" s="10"/>
      <c r="M285" s="10"/>
      <c r="N285" s="30"/>
      <c r="O285" s="7">
        <f t="shared" si="71"/>
        <v>0</v>
      </c>
      <c r="P285" s="56"/>
    </row>
    <row r="286" spans="1:16" x14ac:dyDescent="0.15">
      <c r="A286" s="14" t="s">
        <v>25</v>
      </c>
      <c r="B286" s="8"/>
      <c r="C286" s="10"/>
      <c r="D286" s="10">
        <v>3</v>
      </c>
      <c r="E286" s="10"/>
      <c r="F286" s="30"/>
      <c r="G286" s="7">
        <f t="shared" si="72"/>
        <v>3</v>
      </c>
      <c r="H286" s="58">
        <v>43277</v>
      </c>
      <c r="I286" s="51"/>
      <c r="J286" s="8"/>
      <c r="K286" s="10"/>
      <c r="L286" s="10"/>
      <c r="M286" s="10"/>
      <c r="N286" s="30"/>
      <c r="O286" s="7">
        <f t="shared" si="71"/>
        <v>0</v>
      </c>
      <c r="P286" s="56"/>
    </row>
    <row r="287" spans="1:16" x14ac:dyDescent="0.15">
      <c r="A287" s="14" t="s">
        <v>110</v>
      </c>
      <c r="B287" s="8"/>
      <c r="C287" s="10">
        <v>2</v>
      </c>
      <c r="D287" s="10">
        <v>2</v>
      </c>
      <c r="E287" s="10"/>
      <c r="F287" s="30"/>
      <c r="G287" s="7">
        <f t="shared" si="72"/>
        <v>4</v>
      </c>
      <c r="H287" s="58">
        <v>43284</v>
      </c>
      <c r="I287" s="16"/>
      <c r="J287" s="8"/>
      <c r="K287" s="10"/>
      <c r="L287" s="10"/>
      <c r="M287" s="10"/>
      <c r="N287" s="30"/>
      <c r="O287" s="7">
        <f t="shared" si="71"/>
        <v>0</v>
      </c>
      <c r="P287" s="56"/>
    </row>
    <row r="288" spans="1:16" x14ac:dyDescent="0.15">
      <c r="A288" s="14" t="s">
        <v>30</v>
      </c>
      <c r="B288" s="8"/>
      <c r="C288" s="10"/>
      <c r="D288" s="10"/>
      <c r="E288" s="10"/>
      <c r="F288" s="30">
        <v>1</v>
      </c>
      <c r="G288" s="7">
        <f t="shared" si="72"/>
        <v>1</v>
      </c>
      <c r="H288" s="58">
        <v>43279</v>
      </c>
      <c r="I288" s="14"/>
      <c r="J288" s="8"/>
      <c r="K288" s="10"/>
      <c r="L288" s="10"/>
      <c r="M288" s="10"/>
      <c r="N288" s="30"/>
      <c r="O288" s="7">
        <f t="shared" si="71"/>
        <v>0</v>
      </c>
      <c r="P288" s="56"/>
    </row>
    <row r="289" spans="1:19" x14ac:dyDescent="0.15">
      <c r="A289" s="14" t="s">
        <v>25</v>
      </c>
      <c r="B289" s="11"/>
      <c r="C289" s="12"/>
      <c r="D289" s="12"/>
      <c r="E289" s="12"/>
      <c r="F289" s="31">
        <v>1</v>
      </c>
      <c r="G289" s="7">
        <f t="shared" si="72"/>
        <v>1</v>
      </c>
      <c r="H289" s="58">
        <v>43279</v>
      </c>
      <c r="I289" s="14"/>
      <c r="J289" s="8"/>
      <c r="K289" s="10"/>
      <c r="L289" s="10"/>
      <c r="M289" s="10"/>
      <c r="N289" s="30"/>
      <c r="O289" s="7">
        <f t="shared" si="71"/>
        <v>0</v>
      </c>
      <c r="P289" s="58"/>
      <c r="Q289" s="56"/>
    </row>
    <row r="290" spans="1:19" x14ac:dyDescent="0.15">
      <c r="A290" s="14" t="s">
        <v>30</v>
      </c>
      <c r="B290" s="8"/>
      <c r="C290" s="10"/>
      <c r="D290" s="10">
        <v>1</v>
      </c>
      <c r="E290" s="10"/>
      <c r="F290" s="30"/>
      <c r="G290" s="7">
        <f t="shared" si="72"/>
        <v>1</v>
      </c>
      <c r="H290" s="58">
        <v>43280</v>
      </c>
      <c r="I290" s="14"/>
      <c r="J290" s="8"/>
      <c r="K290" s="10"/>
      <c r="L290" s="10"/>
      <c r="M290" s="10"/>
      <c r="N290" s="30"/>
      <c r="O290" s="7">
        <f t="shared" ref="O290:O292" si="73">SUM(J290:N290)</f>
        <v>0</v>
      </c>
      <c r="P290" s="58"/>
      <c r="Q290" s="56"/>
    </row>
    <row r="291" spans="1:19" x14ac:dyDescent="0.15">
      <c r="A291" s="14" t="s">
        <v>30</v>
      </c>
      <c r="B291" s="8"/>
      <c r="C291" s="10"/>
      <c r="D291" s="10">
        <v>2</v>
      </c>
      <c r="E291" s="10">
        <v>2</v>
      </c>
      <c r="F291" s="30"/>
      <c r="G291" s="7">
        <f t="shared" si="70"/>
        <v>4</v>
      </c>
      <c r="H291" s="58">
        <v>43284</v>
      </c>
      <c r="I291" s="141"/>
      <c r="J291" s="8"/>
      <c r="K291" s="10"/>
      <c r="L291" s="10"/>
      <c r="M291" s="10"/>
      <c r="N291" s="30"/>
      <c r="O291" s="7">
        <f t="shared" si="73"/>
        <v>0</v>
      </c>
      <c r="P291" s="56"/>
      <c r="Q291" s="56"/>
    </row>
    <row r="292" spans="1:19" ht="14.25" thickBot="1" x14ac:dyDescent="0.2">
      <c r="A292" s="14" t="s">
        <v>25</v>
      </c>
      <c r="B292" s="11"/>
      <c r="C292" s="12">
        <v>1</v>
      </c>
      <c r="D292" s="12"/>
      <c r="E292" s="12">
        <v>1</v>
      </c>
      <c r="F292" s="31"/>
      <c r="G292" s="115">
        <f t="shared" si="70"/>
        <v>2</v>
      </c>
      <c r="H292" s="58">
        <v>43284</v>
      </c>
      <c r="I292" s="20"/>
      <c r="J292" s="8"/>
      <c r="K292" s="10"/>
      <c r="L292" s="10"/>
      <c r="M292" s="10"/>
      <c r="N292" s="30"/>
      <c r="O292" s="7">
        <f t="shared" si="73"/>
        <v>0</v>
      </c>
      <c r="P292" s="58"/>
      <c r="Q292" s="56"/>
      <c r="R292" s="56"/>
      <c r="S292" s="56"/>
    </row>
    <row r="293" spans="1:19" ht="14.25" thickBot="1" x14ac:dyDescent="0.2">
      <c r="A293" s="3" t="s">
        <v>11</v>
      </c>
      <c r="B293" s="23">
        <f>SUM(B267:B292)</f>
        <v>8</v>
      </c>
      <c r="C293" s="4">
        <f>SUM(C267:C292)</f>
        <v>34</v>
      </c>
      <c r="D293" s="4">
        <f>SUM(D267:D292)</f>
        <v>24</v>
      </c>
      <c r="E293" s="6">
        <f>SUM(E267:E292)</f>
        <v>19</v>
      </c>
      <c r="F293" s="32">
        <f>SUM(F267:F292)</f>
        <v>13</v>
      </c>
      <c r="G293" s="5">
        <f>SUM(B293:F293)</f>
        <v>98</v>
      </c>
      <c r="I293" s="3" t="s">
        <v>11</v>
      </c>
      <c r="J293" s="23">
        <f>SUM(J267:J292)</f>
        <v>25</v>
      </c>
      <c r="K293" s="4">
        <f>SUM(K267:K292)</f>
        <v>50</v>
      </c>
      <c r="L293" s="4">
        <f>SUM(L267:L292)</f>
        <v>44</v>
      </c>
      <c r="M293" s="6">
        <f>SUM(M267:M292)</f>
        <v>54</v>
      </c>
      <c r="N293" s="32">
        <f>SUM(N267:N292)</f>
        <v>106</v>
      </c>
      <c r="O293" s="5">
        <f>SUM(J293:N293)</f>
        <v>279</v>
      </c>
    </row>
    <row r="294" spans="1:19" ht="14.25" thickBot="1" x14ac:dyDescent="0.2">
      <c r="A294" s="25" t="s">
        <v>12</v>
      </c>
      <c r="B294" s="63">
        <f>B266-B293</f>
        <v>20</v>
      </c>
      <c r="C294" s="26">
        <f t="shared" ref="C294:G294" si="74">C266-C293</f>
        <v>19</v>
      </c>
      <c r="D294" s="71">
        <f t="shared" si="74"/>
        <v>12</v>
      </c>
      <c r="E294" s="26">
        <f t="shared" si="74"/>
        <v>10</v>
      </c>
      <c r="F294" s="70">
        <f t="shared" si="74"/>
        <v>15</v>
      </c>
      <c r="G294" s="27">
        <f t="shared" si="74"/>
        <v>76</v>
      </c>
      <c r="I294" s="25" t="s">
        <v>12</v>
      </c>
      <c r="J294" s="63">
        <f>J266-J293</f>
        <v>299</v>
      </c>
      <c r="K294" s="26">
        <f t="shared" ref="K294:O294" si="75">K266-K293</f>
        <v>347</v>
      </c>
      <c r="L294" s="71">
        <f t="shared" si="75"/>
        <v>321</v>
      </c>
      <c r="M294" s="26">
        <f t="shared" si="75"/>
        <v>335</v>
      </c>
      <c r="N294" s="70">
        <f t="shared" si="75"/>
        <v>299</v>
      </c>
      <c r="O294" s="27">
        <f t="shared" si="75"/>
        <v>1601</v>
      </c>
    </row>
    <row r="295" spans="1:19" ht="17.25" x14ac:dyDescent="0.2">
      <c r="A295" s="79" t="s">
        <v>391</v>
      </c>
      <c r="B295" s="80"/>
      <c r="C295" s="80"/>
      <c r="D295" s="80"/>
      <c r="E295" s="80"/>
      <c r="F295" s="80"/>
      <c r="G295" s="80"/>
      <c r="H295" s="56"/>
      <c r="I295" s="79" t="s">
        <v>391</v>
      </c>
      <c r="J295" s="80"/>
      <c r="K295" s="80"/>
      <c r="L295" s="80"/>
      <c r="M295" s="80"/>
      <c r="N295" s="80"/>
      <c r="O295" s="1"/>
    </row>
    <row r="296" spans="1:19" ht="21.75" thickBot="1" x14ac:dyDescent="0.25">
      <c r="A296" s="82" t="s">
        <v>390</v>
      </c>
      <c r="B296" s="80"/>
      <c r="C296" s="80"/>
      <c r="D296" s="80"/>
      <c r="E296" s="81" t="s">
        <v>53</v>
      </c>
      <c r="F296" s="80"/>
      <c r="G296" s="80"/>
      <c r="H296" s="56"/>
      <c r="I296" s="82" t="s">
        <v>390</v>
      </c>
      <c r="J296" s="80"/>
      <c r="K296" s="80"/>
      <c r="L296" s="80"/>
      <c r="M296" s="81" t="s">
        <v>393</v>
      </c>
      <c r="N296" s="80"/>
      <c r="O296" s="1"/>
    </row>
    <row r="297" spans="1:19" ht="14.25" thickBot="1" x14ac:dyDescent="0.2">
      <c r="A297" s="13" t="s">
        <v>0</v>
      </c>
      <c r="B297" s="228" t="s">
        <v>392</v>
      </c>
      <c r="C297" s="229"/>
      <c r="D297" s="229"/>
      <c r="E297" s="229"/>
      <c r="F297" s="230"/>
      <c r="G297" s="231"/>
      <c r="H297" s="56"/>
      <c r="I297" s="13" t="s">
        <v>0</v>
      </c>
      <c r="J297" s="228" t="s">
        <v>392</v>
      </c>
      <c r="K297" s="229"/>
      <c r="L297" s="229"/>
      <c r="M297" s="229"/>
      <c r="N297" s="230"/>
      <c r="O297" s="231"/>
    </row>
    <row r="298" spans="1:19" ht="14.25" thickBot="1" x14ac:dyDescent="0.2">
      <c r="A298" s="3" t="s">
        <v>1</v>
      </c>
      <c r="B298" s="2" t="s">
        <v>42</v>
      </c>
      <c r="C298" s="21" t="s">
        <v>43</v>
      </c>
      <c r="D298" s="21" t="s">
        <v>44</v>
      </c>
      <c r="E298" s="24" t="s">
        <v>45</v>
      </c>
      <c r="F298" s="33" t="s">
        <v>46</v>
      </c>
      <c r="G298" s="34" t="s">
        <v>2</v>
      </c>
      <c r="H298" s="56"/>
      <c r="I298" s="3" t="s">
        <v>1</v>
      </c>
      <c r="J298" s="41" t="s">
        <v>42</v>
      </c>
      <c r="K298" s="42" t="s">
        <v>43</v>
      </c>
      <c r="L298" s="42" t="s">
        <v>44</v>
      </c>
      <c r="M298" s="43" t="s">
        <v>45</v>
      </c>
      <c r="N298" s="44" t="s">
        <v>46</v>
      </c>
      <c r="O298" s="3" t="s">
        <v>2</v>
      </c>
    </row>
    <row r="299" spans="1:19" ht="14.25" thickBot="1" x14ac:dyDescent="0.2">
      <c r="A299" s="72" t="s">
        <v>456</v>
      </c>
      <c r="B299" s="73">
        <f>B294</f>
        <v>20</v>
      </c>
      <c r="C299" s="74">
        <f t="shared" ref="C299:F299" si="76">C294</f>
        <v>19</v>
      </c>
      <c r="D299" s="74">
        <f t="shared" si="76"/>
        <v>12</v>
      </c>
      <c r="E299" s="74">
        <f t="shared" si="76"/>
        <v>10</v>
      </c>
      <c r="F299" s="105">
        <f t="shared" si="76"/>
        <v>15</v>
      </c>
      <c r="G299" s="131">
        <f t="shared" ref="G299:G307" si="77">SUM(B299:F299)</f>
        <v>76</v>
      </c>
      <c r="H299" s="56"/>
      <c r="I299" s="72" t="s">
        <v>456</v>
      </c>
      <c r="J299" s="73">
        <f>J294</f>
        <v>299</v>
      </c>
      <c r="K299" s="74">
        <f t="shared" ref="K299:N299" si="78">K294</f>
        <v>347</v>
      </c>
      <c r="L299" s="74">
        <f t="shared" si="78"/>
        <v>321</v>
      </c>
      <c r="M299" s="74">
        <f t="shared" si="78"/>
        <v>335</v>
      </c>
      <c r="N299" s="105">
        <f t="shared" si="78"/>
        <v>299</v>
      </c>
      <c r="O299" s="131">
        <f t="shared" ref="O299:O307" si="79">SUM(J299:N299)</f>
        <v>1601</v>
      </c>
    </row>
    <row r="300" spans="1:19" x14ac:dyDescent="0.15">
      <c r="A300" s="15" t="s">
        <v>3</v>
      </c>
      <c r="B300" s="8"/>
      <c r="C300" s="10"/>
      <c r="D300" s="10"/>
      <c r="E300" s="10">
        <v>15</v>
      </c>
      <c r="F300" s="28">
        <v>10</v>
      </c>
      <c r="G300" s="9">
        <f t="shared" si="77"/>
        <v>25</v>
      </c>
      <c r="H300" s="58">
        <v>43290</v>
      </c>
      <c r="I300" s="38" t="s">
        <v>14</v>
      </c>
      <c r="J300" s="37"/>
      <c r="K300" s="35"/>
      <c r="L300" s="35"/>
      <c r="M300" s="35"/>
      <c r="N300" s="28"/>
      <c r="O300" s="7">
        <f t="shared" si="79"/>
        <v>0</v>
      </c>
    </row>
    <row r="301" spans="1:19" x14ac:dyDescent="0.15">
      <c r="A301" s="15" t="s">
        <v>17</v>
      </c>
      <c r="B301" s="8"/>
      <c r="C301" s="10"/>
      <c r="D301" s="10"/>
      <c r="E301" s="10">
        <v>1</v>
      </c>
      <c r="F301" s="28">
        <v>1</v>
      </c>
      <c r="G301" s="9">
        <f t="shared" si="77"/>
        <v>2</v>
      </c>
      <c r="H301" s="58">
        <v>43290</v>
      </c>
      <c r="I301" s="38" t="s">
        <v>3</v>
      </c>
      <c r="J301" s="8"/>
      <c r="K301" s="10"/>
      <c r="L301" s="10"/>
      <c r="M301" s="10"/>
      <c r="N301" s="28"/>
      <c r="O301" s="9">
        <f t="shared" si="79"/>
        <v>0</v>
      </c>
    </row>
    <row r="302" spans="1:19" x14ac:dyDescent="0.15">
      <c r="A302" s="15" t="s">
        <v>5</v>
      </c>
      <c r="B302" s="8"/>
      <c r="C302" s="10">
        <v>10</v>
      </c>
      <c r="D302" s="10">
        <v>10</v>
      </c>
      <c r="E302" s="10"/>
      <c r="F302" s="28">
        <v>5</v>
      </c>
      <c r="G302" s="9">
        <f t="shared" si="77"/>
        <v>25</v>
      </c>
      <c r="H302" s="58">
        <v>43295</v>
      </c>
      <c r="I302" s="38" t="s">
        <v>4</v>
      </c>
      <c r="J302" s="8"/>
      <c r="K302" s="10"/>
      <c r="L302" s="10"/>
      <c r="M302" s="10"/>
      <c r="N302" s="28"/>
      <c r="O302" s="9">
        <f t="shared" si="79"/>
        <v>0</v>
      </c>
    </row>
    <row r="303" spans="1:19" x14ac:dyDescent="0.15">
      <c r="A303" s="15" t="s">
        <v>6</v>
      </c>
      <c r="B303" s="8"/>
      <c r="C303" s="10"/>
      <c r="D303" s="10">
        <v>20</v>
      </c>
      <c r="E303" s="10">
        <v>20</v>
      </c>
      <c r="F303" s="28"/>
      <c r="G303" s="9">
        <f t="shared" si="77"/>
        <v>40</v>
      </c>
      <c r="H303" s="58">
        <v>43299</v>
      </c>
      <c r="I303" s="38" t="s">
        <v>5</v>
      </c>
      <c r="J303" s="8"/>
      <c r="K303" s="10"/>
      <c r="L303" s="10"/>
      <c r="M303" s="10"/>
      <c r="N303" s="28"/>
      <c r="O303" s="9">
        <f t="shared" si="79"/>
        <v>0</v>
      </c>
    </row>
    <row r="304" spans="1:19" x14ac:dyDescent="0.15">
      <c r="A304" s="15" t="s">
        <v>84</v>
      </c>
      <c r="B304" s="8"/>
      <c r="C304" s="10">
        <v>10</v>
      </c>
      <c r="D304" s="10"/>
      <c r="E304" s="10">
        <v>10</v>
      </c>
      <c r="F304" s="30"/>
      <c r="G304" s="7">
        <f t="shared" si="77"/>
        <v>20</v>
      </c>
      <c r="H304" s="58">
        <v>43301</v>
      </c>
      <c r="I304" s="38" t="s">
        <v>6</v>
      </c>
      <c r="J304" s="8"/>
      <c r="K304" s="10"/>
      <c r="L304" s="10"/>
      <c r="M304" s="10"/>
      <c r="N304" s="30"/>
      <c r="O304" s="7">
        <f t="shared" si="79"/>
        <v>0</v>
      </c>
    </row>
    <row r="305" spans="1:19" x14ac:dyDescent="0.15">
      <c r="A305" s="15" t="s">
        <v>19</v>
      </c>
      <c r="B305" s="8"/>
      <c r="C305" s="10">
        <v>1</v>
      </c>
      <c r="D305" s="10">
        <v>1</v>
      </c>
      <c r="E305" s="10">
        <v>1</v>
      </c>
      <c r="F305" s="30">
        <v>2</v>
      </c>
      <c r="G305" s="7">
        <f t="shared" si="77"/>
        <v>5</v>
      </c>
      <c r="H305" s="58">
        <v>43301</v>
      </c>
      <c r="I305" s="38" t="s">
        <v>84</v>
      </c>
      <c r="J305" s="8"/>
      <c r="K305" s="10"/>
      <c r="L305" s="10"/>
      <c r="M305" s="10"/>
      <c r="N305" s="30"/>
      <c r="O305" s="7">
        <f t="shared" si="79"/>
        <v>0</v>
      </c>
    </row>
    <row r="306" spans="1:19" x14ac:dyDescent="0.15">
      <c r="A306" s="15" t="s">
        <v>86</v>
      </c>
      <c r="B306" s="8">
        <v>10</v>
      </c>
      <c r="C306" s="10">
        <v>10</v>
      </c>
      <c r="D306" s="10"/>
      <c r="E306" s="10"/>
      <c r="F306" s="30"/>
      <c r="G306" s="7">
        <f t="shared" si="77"/>
        <v>20</v>
      </c>
      <c r="H306" s="58">
        <v>43305</v>
      </c>
      <c r="I306" s="38" t="s">
        <v>85</v>
      </c>
      <c r="J306" s="8"/>
      <c r="K306" s="10"/>
      <c r="L306" s="10"/>
      <c r="M306" s="10"/>
      <c r="N306" s="30"/>
      <c r="O306" s="7">
        <f>SUM(J306:N306)</f>
        <v>0</v>
      </c>
      <c r="P306" s="58"/>
      <c r="Q306" s="138"/>
      <c r="R306" s="138"/>
      <c r="S306" s="138"/>
    </row>
    <row r="307" spans="1:19" ht="14.25" thickBot="1" x14ac:dyDescent="0.2">
      <c r="A307" s="15" t="s">
        <v>87</v>
      </c>
      <c r="B307" s="11"/>
      <c r="C307" s="100"/>
      <c r="D307" s="100"/>
      <c r="E307" s="100"/>
      <c r="F307" s="101"/>
      <c r="G307" s="102">
        <f t="shared" si="77"/>
        <v>0</v>
      </c>
      <c r="H307" s="58"/>
      <c r="I307" s="38" t="s">
        <v>86</v>
      </c>
      <c r="J307" s="11"/>
      <c r="K307" s="100"/>
      <c r="L307" s="100"/>
      <c r="M307" s="100"/>
      <c r="N307" s="101"/>
      <c r="O307" s="102">
        <f t="shared" si="79"/>
        <v>0</v>
      </c>
      <c r="P307" s="56"/>
    </row>
    <row r="308" spans="1:19" ht="14.25" thickBot="1" x14ac:dyDescent="0.2">
      <c r="A308" s="72" t="s">
        <v>7</v>
      </c>
      <c r="B308" s="73">
        <f>SUM(B299:B307)</f>
        <v>30</v>
      </c>
      <c r="C308" s="74">
        <f t="shared" ref="C308:G308" si="80">SUM(C299:C307)</f>
        <v>50</v>
      </c>
      <c r="D308" s="74">
        <f t="shared" si="80"/>
        <v>43</v>
      </c>
      <c r="E308" s="74">
        <f t="shared" si="80"/>
        <v>57</v>
      </c>
      <c r="F308" s="105">
        <f t="shared" si="80"/>
        <v>33</v>
      </c>
      <c r="G308" s="76">
        <f t="shared" si="80"/>
        <v>213</v>
      </c>
      <c r="H308" s="56"/>
      <c r="I308" s="72" t="s">
        <v>7</v>
      </c>
      <c r="J308" s="73">
        <f>SUM(J299:J307)</f>
        <v>299</v>
      </c>
      <c r="K308" s="74">
        <f t="shared" ref="K308:O308" si="81">SUM(K299:K307)</f>
        <v>347</v>
      </c>
      <c r="L308" s="74">
        <f t="shared" si="81"/>
        <v>321</v>
      </c>
      <c r="M308" s="74">
        <f t="shared" si="81"/>
        <v>335</v>
      </c>
      <c r="N308" s="105">
        <f t="shared" si="81"/>
        <v>299</v>
      </c>
      <c r="O308" s="76">
        <f t="shared" si="81"/>
        <v>1601</v>
      </c>
    </row>
    <row r="309" spans="1:19" x14ac:dyDescent="0.15">
      <c r="A309" s="14" t="s">
        <v>751</v>
      </c>
      <c r="B309" s="37"/>
      <c r="C309" s="35">
        <v>1</v>
      </c>
      <c r="D309" s="35"/>
      <c r="E309" s="35"/>
      <c r="F309" s="28"/>
      <c r="G309" s="18">
        <f t="shared" ref="G309:G334" si="82">SUM(B309:F309)</f>
        <v>1</v>
      </c>
      <c r="H309" s="58">
        <v>43283</v>
      </c>
      <c r="I309" s="16" t="s">
        <v>758</v>
      </c>
      <c r="J309" s="17"/>
      <c r="K309" s="22"/>
      <c r="L309" s="22"/>
      <c r="M309" s="22">
        <v>15</v>
      </c>
      <c r="N309" s="29">
        <v>10</v>
      </c>
      <c r="O309" s="18">
        <f t="shared" ref="O309:O334" si="83">SUM(J309:N309)</f>
        <v>25</v>
      </c>
      <c r="P309" s="58">
        <v>43290</v>
      </c>
    </row>
    <row r="310" spans="1:19" x14ac:dyDescent="0.15">
      <c r="A310" s="14" t="s">
        <v>25</v>
      </c>
      <c r="B310" s="8"/>
      <c r="C310" s="10"/>
      <c r="D310" s="10"/>
      <c r="E310" s="10"/>
      <c r="F310" s="30">
        <v>1</v>
      </c>
      <c r="G310" s="7">
        <f t="shared" si="82"/>
        <v>1</v>
      </c>
      <c r="H310" s="58">
        <v>43286</v>
      </c>
      <c r="I310" s="16" t="s">
        <v>743</v>
      </c>
      <c r="J310" s="8"/>
      <c r="K310" s="10">
        <v>10</v>
      </c>
      <c r="L310" s="10">
        <v>10</v>
      </c>
      <c r="M310" s="10"/>
      <c r="N310" s="30">
        <v>5</v>
      </c>
      <c r="O310" s="7">
        <f t="shared" si="83"/>
        <v>25</v>
      </c>
      <c r="P310" s="58">
        <v>43295</v>
      </c>
    </row>
    <row r="311" spans="1:19" x14ac:dyDescent="0.15">
      <c r="A311" s="14" t="s">
        <v>746</v>
      </c>
      <c r="B311" s="8">
        <v>3</v>
      </c>
      <c r="C311" s="10"/>
      <c r="D311" s="10"/>
      <c r="E311" s="10"/>
      <c r="F311" s="30">
        <v>2</v>
      </c>
      <c r="G311" s="7">
        <f t="shared" si="82"/>
        <v>5</v>
      </c>
      <c r="H311" s="58">
        <v>43287</v>
      </c>
      <c r="I311" s="16" t="s">
        <v>24</v>
      </c>
      <c r="J311" s="8"/>
      <c r="K311" s="10"/>
      <c r="L311" s="10">
        <v>20</v>
      </c>
      <c r="M311" s="10">
        <v>20</v>
      </c>
      <c r="N311" s="30"/>
      <c r="O311" s="7">
        <f t="shared" si="83"/>
        <v>40</v>
      </c>
      <c r="P311" s="58">
        <v>43299</v>
      </c>
    </row>
    <row r="312" spans="1:19" x14ac:dyDescent="0.15">
      <c r="A312" s="14" t="s">
        <v>756</v>
      </c>
      <c r="B312" s="8"/>
      <c r="C312" s="10"/>
      <c r="D312" s="10"/>
      <c r="E312" s="10">
        <v>1</v>
      </c>
      <c r="F312" s="30"/>
      <c r="G312" s="7">
        <f t="shared" si="82"/>
        <v>1</v>
      </c>
      <c r="H312" s="58">
        <v>43287</v>
      </c>
      <c r="I312" s="14" t="s">
        <v>110</v>
      </c>
      <c r="J312" s="8"/>
      <c r="K312" s="10"/>
      <c r="L312" s="10"/>
      <c r="M312" s="10"/>
      <c r="N312" s="30">
        <v>2</v>
      </c>
      <c r="O312" s="7">
        <f t="shared" si="83"/>
        <v>2</v>
      </c>
      <c r="P312" s="58">
        <v>43305</v>
      </c>
    </row>
    <row r="313" spans="1:19" x14ac:dyDescent="0.15">
      <c r="A313" s="14" t="s">
        <v>22</v>
      </c>
      <c r="B313" s="37"/>
      <c r="C313" s="35"/>
      <c r="D313" s="35"/>
      <c r="E313" s="35">
        <v>10</v>
      </c>
      <c r="F313" s="28">
        <v>10</v>
      </c>
      <c r="G313" s="7">
        <f t="shared" si="82"/>
        <v>20</v>
      </c>
      <c r="H313" s="58">
        <v>43294</v>
      </c>
      <c r="I313" s="16" t="s">
        <v>24</v>
      </c>
      <c r="J313" s="8"/>
      <c r="K313" s="10">
        <v>10</v>
      </c>
      <c r="L313" s="10"/>
      <c r="M313" s="10">
        <v>10</v>
      </c>
      <c r="N313" s="30"/>
      <c r="O313" s="7">
        <f t="shared" si="83"/>
        <v>20</v>
      </c>
      <c r="P313" s="58">
        <v>43301</v>
      </c>
    </row>
    <row r="314" spans="1:19" x14ac:dyDescent="0.15">
      <c r="A314" s="14" t="s">
        <v>759</v>
      </c>
      <c r="B314" s="8"/>
      <c r="C314" s="10">
        <v>5</v>
      </c>
      <c r="D314" s="10"/>
      <c r="E314" s="10"/>
      <c r="F314" s="30"/>
      <c r="G314" s="7">
        <f t="shared" si="82"/>
        <v>5</v>
      </c>
      <c r="H314" s="58">
        <v>43304</v>
      </c>
      <c r="I314" s="16" t="s">
        <v>24</v>
      </c>
      <c r="J314" s="8">
        <v>10</v>
      </c>
      <c r="K314" s="10">
        <v>10</v>
      </c>
      <c r="L314" s="10"/>
      <c r="M314" s="10"/>
      <c r="N314" s="30"/>
      <c r="O314" s="7">
        <f t="shared" si="83"/>
        <v>20</v>
      </c>
      <c r="P314" s="58">
        <v>43305</v>
      </c>
    </row>
    <row r="315" spans="1:19" x14ac:dyDescent="0.15">
      <c r="A315" s="14" t="s">
        <v>25</v>
      </c>
      <c r="B315" s="8"/>
      <c r="C315" s="10"/>
      <c r="D315" s="10"/>
      <c r="E315" s="10"/>
      <c r="F315" s="30">
        <v>1</v>
      </c>
      <c r="G315" s="7">
        <f t="shared" si="82"/>
        <v>1</v>
      </c>
      <c r="H315" s="58">
        <v>43288</v>
      </c>
      <c r="I315" s="16"/>
      <c r="J315" s="8"/>
      <c r="K315" s="10"/>
      <c r="L315" s="10"/>
      <c r="M315" s="10"/>
      <c r="N315" s="30"/>
      <c r="O315" s="7">
        <f t="shared" si="83"/>
        <v>0</v>
      </c>
    </row>
    <row r="316" spans="1:19" x14ac:dyDescent="0.15">
      <c r="A316" s="14" t="s">
        <v>760</v>
      </c>
      <c r="B316" s="8"/>
      <c r="C316" s="10">
        <v>1</v>
      </c>
      <c r="D316" s="10"/>
      <c r="E316" s="10"/>
      <c r="F316" s="30"/>
      <c r="G316" s="7">
        <f t="shared" si="82"/>
        <v>1</v>
      </c>
      <c r="H316" s="58">
        <v>43287</v>
      </c>
      <c r="I316" s="16"/>
      <c r="J316" s="8"/>
      <c r="K316" s="10"/>
      <c r="L316" s="10"/>
      <c r="M316" s="10"/>
      <c r="N316" s="30"/>
      <c r="O316" s="7">
        <f t="shared" si="83"/>
        <v>0</v>
      </c>
    </row>
    <row r="317" spans="1:19" x14ac:dyDescent="0.15">
      <c r="A317" s="14" t="s">
        <v>29</v>
      </c>
      <c r="B317" s="8"/>
      <c r="C317" s="10"/>
      <c r="D317" s="10">
        <v>1</v>
      </c>
      <c r="E317" s="10"/>
      <c r="F317" s="30"/>
      <c r="G317" s="7">
        <f t="shared" si="82"/>
        <v>1</v>
      </c>
      <c r="H317" s="58">
        <v>43288</v>
      </c>
      <c r="I317" s="39"/>
      <c r="J317" s="8"/>
      <c r="K317" s="10"/>
      <c r="L317" s="10"/>
      <c r="M317" s="10"/>
      <c r="N317" s="30"/>
      <c r="O317" s="7">
        <f t="shared" si="83"/>
        <v>0</v>
      </c>
    </row>
    <row r="318" spans="1:19" x14ac:dyDescent="0.15">
      <c r="A318" s="14" t="s">
        <v>110</v>
      </c>
      <c r="B318" s="11"/>
      <c r="C318" s="12"/>
      <c r="D318" s="12">
        <v>2</v>
      </c>
      <c r="E318" s="12"/>
      <c r="F318" s="31"/>
      <c r="G318" s="7">
        <f t="shared" si="82"/>
        <v>2</v>
      </c>
      <c r="H318" s="58">
        <v>43298</v>
      </c>
      <c r="I318" s="16"/>
      <c r="J318" s="11"/>
      <c r="K318" s="12"/>
      <c r="L318" s="12"/>
      <c r="M318" s="12"/>
      <c r="N318" s="31"/>
      <c r="O318" s="7">
        <f t="shared" si="83"/>
        <v>0</v>
      </c>
    </row>
    <row r="319" spans="1:19" x14ac:dyDescent="0.15">
      <c r="A319" s="14" t="s">
        <v>746</v>
      </c>
      <c r="B319" s="8">
        <v>3</v>
      </c>
      <c r="C319" s="10">
        <v>5</v>
      </c>
      <c r="D319" s="10"/>
      <c r="E319" s="10"/>
      <c r="F319" s="30"/>
      <c r="G319" s="7">
        <f t="shared" si="82"/>
        <v>8</v>
      </c>
      <c r="H319" s="58">
        <v>43292</v>
      </c>
      <c r="I319" s="16"/>
      <c r="J319" s="8"/>
      <c r="K319" s="10"/>
      <c r="L319" s="10"/>
      <c r="M319" s="10"/>
      <c r="N319" s="30"/>
      <c r="O319" s="7">
        <f t="shared" si="83"/>
        <v>0</v>
      </c>
    </row>
    <row r="320" spans="1:19" x14ac:dyDescent="0.15">
      <c r="A320" s="14" t="s">
        <v>763</v>
      </c>
      <c r="B320" s="8">
        <v>1</v>
      </c>
      <c r="C320" s="10"/>
      <c r="D320" s="10"/>
      <c r="E320" s="10"/>
      <c r="F320" s="30"/>
      <c r="G320" s="7">
        <f t="shared" si="82"/>
        <v>1</v>
      </c>
      <c r="H320" s="58">
        <v>43292</v>
      </c>
      <c r="I320" s="14"/>
      <c r="J320" s="8"/>
      <c r="K320" s="10"/>
      <c r="L320" s="10"/>
      <c r="M320" s="10"/>
      <c r="N320" s="30"/>
      <c r="O320" s="7">
        <f t="shared" si="83"/>
        <v>0</v>
      </c>
    </row>
    <row r="321" spans="1:19" x14ac:dyDescent="0.15">
      <c r="A321" s="51" t="s">
        <v>746</v>
      </c>
      <c r="B321" s="8"/>
      <c r="C321" s="10"/>
      <c r="D321" s="10"/>
      <c r="E321" s="10">
        <v>1</v>
      </c>
      <c r="F321" s="30"/>
      <c r="G321" s="7">
        <f t="shared" si="82"/>
        <v>1</v>
      </c>
      <c r="H321" s="58">
        <v>43294</v>
      </c>
      <c r="I321" s="16"/>
      <c r="J321" s="8"/>
      <c r="K321" s="10"/>
      <c r="L321" s="10"/>
      <c r="M321" s="10"/>
      <c r="N321" s="30"/>
      <c r="O321" s="7">
        <f t="shared" si="83"/>
        <v>0</v>
      </c>
    </row>
    <row r="322" spans="1:19" x14ac:dyDescent="0.15">
      <c r="A322" s="14" t="s">
        <v>25</v>
      </c>
      <c r="B322" s="8"/>
      <c r="C322" s="10">
        <v>1</v>
      </c>
      <c r="D322" s="10"/>
      <c r="E322" s="10"/>
      <c r="F322" s="30"/>
      <c r="G322" s="7">
        <f t="shared" si="82"/>
        <v>1</v>
      </c>
      <c r="H322" s="58">
        <v>43293</v>
      </c>
      <c r="I322" s="16"/>
      <c r="J322" s="8"/>
      <c r="K322" s="10"/>
      <c r="L322" s="10"/>
      <c r="M322" s="10"/>
      <c r="N322" s="30"/>
      <c r="O322" s="7">
        <f t="shared" si="83"/>
        <v>0</v>
      </c>
    </row>
    <row r="323" spans="1:19" x14ac:dyDescent="0.15">
      <c r="A323" s="14" t="s">
        <v>746</v>
      </c>
      <c r="B323" s="8">
        <v>3</v>
      </c>
      <c r="C323" s="10"/>
      <c r="D323" s="10"/>
      <c r="E323" s="10"/>
      <c r="F323" s="30">
        <v>2</v>
      </c>
      <c r="G323" s="7">
        <f t="shared" si="82"/>
        <v>5</v>
      </c>
      <c r="H323" s="58">
        <v>43294</v>
      </c>
      <c r="I323" s="16"/>
      <c r="J323" s="8"/>
      <c r="K323" s="10"/>
      <c r="L323" s="10"/>
      <c r="M323" s="10"/>
      <c r="N323" s="30"/>
      <c r="O323" s="7">
        <f t="shared" si="83"/>
        <v>0</v>
      </c>
    </row>
    <row r="324" spans="1:19" x14ac:dyDescent="0.15">
      <c r="A324" s="14" t="s">
        <v>30</v>
      </c>
      <c r="B324" s="8"/>
      <c r="C324" s="10"/>
      <c r="D324" s="10"/>
      <c r="E324" s="10"/>
      <c r="F324" s="30">
        <v>1</v>
      </c>
      <c r="G324" s="7">
        <f t="shared" si="82"/>
        <v>1</v>
      </c>
      <c r="H324" s="58">
        <v>43298</v>
      </c>
      <c r="I324" s="16"/>
      <c r="J324" s="8"/>
      <c r="K324" s="10"/>
      <c r="L324" s="10"/>
      <c r="M324" s="10"/>
      <c r="N324" s="30"/>
      <c r="O324" s="7">
        <f t="shared" si="83"/>
        <v>0</v>
      </c>
    </row>
    <row r="325" spans="1:19" x14ac:dyDescent="0.15">
      <c r="A325" s="14" t="s">
        <v>746</v>
      </c>
      <c r="B325" s="8"/>
      <c r="C325" s="10">
        <v>3</v>
      </c>
      <c r="D325" s="10">
        <v>3</v>
      </c>
      <c r="E325" s="10"/>
      <c r="F325" s="30"/>
      <c r="G325" s="7">
        <f t="shared" si="82"/>
        <v>6</v>
      </c>
      <c r="H325" s="58">
        <v>43298</v>
      </c>
      <c r="I325" s="14"/>
      <c r="J325" s="8"/>
      <c r="K325" s="10"/>
      <c r="L325" s="10"/>
      <c r="M325" s="10"/>
      <c r="N325" s="30"/>
      <c r="O325" s="7">
        <f t="shared" si="83"/>
        <v>0</v>
      </c>
    </row>
    <row r="326" spans="1:19" x14ac:dyDescent="0.15">
      <c r="A326" s="14" t="s">
        <v>25</v>
      </c>
      <c r="B326" s="8"/>
      <c r="C326" s="10"/>
      <c r="D326" s="10">
        <v>1</v>
      </c>
      <c r="E326" s="10">
        <v>1</v>
      </c>
      <c r="F326" s="30"/>
      <c r="G326" s="7">
        <f t="shared" si="82"/>
        <v>2</v>
      </c>
      <c r="H326" s="58">
        <v>43299</v>
      </c>
      <c r="I326" s="14"/>
      <c r="J326" s="8"/>
      <c r="K326" s="10"/>
      <c r="L326" s="10"/>
      <c r="M326" s="10"/>
      <c r="N326" s="30"/>
      <c r="O326" s="7">
        <f t="shared" si="83"/>
        <v>0</v>
      </c>
    </row>
    <row r="327" spans="1:19" x14ac:dyDescent="0.15">
      <c r="A327" s="14" t="s">
        <v>22</v>
      </c>
      <c r="B327" s="8"/>
      <c r="C327" s="10"/>
      <c r="D327" s="10"/>
      <c r="E327" s="10">
        <v>20</v>
      </c>
      <c r="F327" s="30"/>
      <c r="G327" s="7">
        <f t="shared" si="82"/>
        <v>20</v>
      </c>
      <c r="H327" s="58">
        <v>43304</v>
      </c>
      <c r="I327" s="14"/>
      <c r="J327" s="8"/>
      <c r="K327" s="10"/>
      <c r="L327" s="10"/>
      <c r="M327" s="10"/>
      <c r="N327" s="30"/>
      <c r="O327" s="7">
        <f t="shared" si="83"/>
        <v>0</v>
      </c>
      <c r="P327" s="56"/>
      <c r="Q327" s="56"/>
    </row>
    <row r="328" spans="1:19" x14ac:dyDescent="0.15">
      <c r="A328" s="14" t="s">
        <v>29</v>
      </c>
      <c r="B328" s="8"/>
      <c r="C328" s="10"/>
      <c r="D328" s="10"/>
      <c r="E328" s="10">
        <v>1</v>
      </c>
      <c r="F328" s="30"/>
      <c r="G328" s="7">
        <f t="shared" si="82"/>
        <v>1</v>
      </c>
      <c r="H328" s="58">
        <v>43298</v>
      </c>
      <c r="I328" s="14"/>
      <c r="J328" s="8"/>
      <c r="K328" s="10"/>
      <c r="L328" s="10"/>
      <c r="M328" s="10"/>
      <c r="N328" s="30"/>
      <c r="O328" s="7">
        <f t="shared" si="83"/>
        <v>0</v>
      </c>
      <c r="P328" s="56"/>
      <c r="Q328" s="56"/>
    </row>
    <row r="329" spans="1:19" x14ac:dyDescent="0.15">
      <c r="A329" s="14" t="s">
        <v>746</v>
      </c>
      <c r="B329" s="8">
        <v>5</v>
      </c>
      <c r="C329" s="10">
        <v>10</v>
      </c>
      <c r="D329" s="10">
        <v>3</v>
      </c>
      <c r="E329" s="10">
        <v>5</v>
      </c>
      <c r="F329" s="30"/>
      <c r="G329" s="7">
        <f t="shared" si="82"/>
        <v>23</v>
      </c>
      <c r="H329" s="58">
        <v>43301</v>
      </c>
      <c r="I329" s="14"/>
      <c r="J329" s="8"/>
      <c r="K329" s="10"/>
      <c r="L329" s="10"/>
      <c r="M329" s="10"/>
      <c r="N329" s="30"/>
      <c r="O329" s="7">
        <f t="shared" si="83"/>
        <v>0</v>
      </c>
      <c r="P329" s="58"/>
      <c r="Q329" s="56"/>
    </row>
    <row r="330" spans="1:19" x14ac:dyDescent="0.15">
      <c r="A330" s="14" t="s">
        <v>746</v>
      </c>
      <c r="B330" s="11"/>
      <c r="C330" s="12"/>
      <c r="D330" s="12"/>
      <c r="E330" s="12"/>
      <c r="F330" s="31">
        <v>2</v>
      </c>
      <c r="G330" s="7">
        <f t="shared" si="82"/>
        <v>2</v>
      </c>
      <c r="H330" s="58">
        <v>43304</v>
      </c>
      <c r="I330" s="141"/>
      <c r="J330" s="8"/>
      <c r="K330" s="10"/>
      <c r="L330" s="10"/>
      <c r="M330" s="10"/>
      <c r="N330" s="30"/>
      <c r="O330" s="7">
        <f t="shared" si="83"/>
        <v>0</v>
      </c>
      <c r="P330" s="56"/>
      <c r="Q330" s="56"/>
    </row>
    <row r="331" spans="1:19" x14ac:dyDescent="0.15">
      <c r="A331" s="14" t="s">
        <v>25</v>
      </c>
      <c r="B331" s="8"/>
      <c r="C331" s="10">
        <v>1</v>
      </c>
      <c r="D331" s="10"/>
      <c r="E331" s="10">
        <v>1</v>
      </c>
      <c r="F331" s="30"/>
      <c r="G331" s="7">
        <f t="shared" si="82"/>
        <v>2</v>
      </c>
      <c r="H331" s="58">
        <v>43301</v>
      </c>
      <c r="I331" s="51"/>
      <c r="J331" s="8"/>
      <c r="K331" s="10"/>
      <c r="L331" s="10"/>
      <c r="M331" s="10"/>
      <c r="N331" s="30"/>
      <c r="O331" s="7">
        <f t="shared" si="83"/>
        <v>0</v>
      </c>
      <c r="P331" s="56"/>
      <c r="Q331" s="56"/>
    </row>
    <row r="332" spans="1:19" x14ac:dyDescent="0.15">
      <c r="A332" s="14" t="s">
        <v>30</v>
      </c>
      <c r="B332" s="8">
        <v>1</v>
      </c>
      <c r="C332" s="10"/>
      <c r="D332" s="10"/>
      <c r="E332" s="10"/>
      <c r="F332" s="30"/>
      <c r="G332" s="7">
        <f t="shared" si="82"/>
        <v>1</v>
      </c>
      <c r="H332" s="58">
        <v>43304</v>
      </c>
      <c r="I332" s="20"/>
      <c r="J332" s="11"/>
      <c r="K332" s="12"/>
      <c r="L332" s="12"/>
      <c r="M332" s="12"/>
      <c r="N332" s="31"/>
      <c r="O332" s="7">
        <f t="shared" si="83"/>
        <v>0</v>
      </c>
      <c r="P332" s="56"/>
      <c r="Q332" s="56"/>
    </row>
    <row r="333" spans="1:19" x14ac:dyDescent="0.15">
      <c r="A333" s="14" t="s">
        <v>22</v>
      </c>
      <c r="B333" s="8">
        <v>10</v>
      </c>
      <c r="C333" s="10">
        <v>10</v>
      </c>
      <c r="D333" s="10"/>
      <c r="E333" s="10"/>
      <c r="F333" s="30"/>
      <c r="G333" s="7">
        <f t="shared" si="82"/>
        <v>20</v>
      </c>
      <c r="H333" s="58">
        <v>43308</v>
      </c>
      <c r="I333" s="51"/>
      <c r="J333" s="8"/>
      <c r="K333" s="10"/>
      <c r="L333" s="10"/>
      <c r="M333" s="10"/>
      <c r="N333" s="30"/>
      <c r="O333" s="7">
        <f t="shared" si="83"/>
        <v>0</v>
      </c>
      <c r="P333" s="56"/>
      <c r="Q333" s="56"/>
    </row>
    <row r="334" spans="1:19" ht="14.25" thickBot="1" x14ac:dyDescent="0.2">
      <c r="A334" s="14" t="s">
        <v>746</v>
      </c>
      <c r="B334" s="11"/>
      <c r="C334" s="12"/>
      <c r="D334" s="12">
        <v>2</v>
      </c>
      <c r="E334" s="12">
        <v>2</v>
      </c>
      <c r="F334" s="31"/>
      <c r="G334" s="115">
        <f t="shared" si="82"/>
        <v>4</v>
      </c>
      <c r="H334" s="58">
        <v>43307</v>
      </c>
      <c r="I334" s="51"/>
      <c r="J334" s="8"/>
      <c r="K334" s="10"/>
      <c r="L334" s="10"/>
      <c r="M334" s="10"/>
      <c r="N334" s="30"/>
      <c r="O334" s="7">
        <f t="shared" si="83"/>
        <v>0</v>
      </c>
      <c r="P334" s="56"/>
      <c r="Q334" s="56"/>
      <c r="R334" s="56"/>
      <c r="S334" s="56"/>
    </row>
    <row r="335" spans="1:19" ht="14.25" thickBot="1" x14ac:dyDescent="0.2">
      <c r="A335" s="3" t="s">
        <v>11</v>
      </c>
      <c r="B335" s="23">
        <f>SUM(B309:B334)</f>
        <v>26</v>
      </c>
      <c r="C335" s="4">
        <f>SUM(C309:C334)</f>
        <v>37</v>
      </c>
      <c r="D335" s="4">
        <f>SUM(D309:D334)</f>
        <v>12</v>
      </c>
      <c r="E335" s="6">
        <f>SUM(E309:E334)</f>
        <v>42</v>
      </c>
      <c r="F335" s="32">
        <f>SUM(F309:F334)</f>
        <v>19</v>
      </c>
      <c r="G335" s="5">
        <f>SUM(B335:F335)</f>
        <v>136</v>
      </c>
      <c r="I335" s="3" t="s">
        <v>11</v>
      </c>
      <c r="J335" s="23">
        <f>SUM(J309:J334)</f>
        <v>10</v>
      </c>
      <c r="K335" s="4">
        <f>SUM(K309:K334)</f>
        <v>30</v>
      </c>
      <c r="L335" s="4">
        <f>SUM(L309:L334)</f>
        <v>30</v>
      </c>
      <c r="M335" s="6">
        <f>SUM(M309:M334)</f>
        <v>45</v>
      </c>
      <c r="N335" s="32">
        <f>SUM(N309:N334)</f>
        <v>17</v>
      </c>
      <c r="O335" s="5">
        <f>SUM(J335:N335)</f>
        <v>132</v>
      </c>
    </row>
    <row r="336" spans="1:19" ht="14.25" thickBot="1" x14ac:dyDescent="0.2">
      <c r="A336" s="25" t="s">
        <v>12</v>
      </c>
      <c r="B336" s="63">
        <f>B308-B335</f>
        <v>4</v>
      </c>
      <c r="C336" s="26">
        <f t="shared" ref="C336:G336" si="84">C308-C335</f>
        <v>13</v>
      </c>
      <c r="D336" s="71">
        <f t="shared" si="84"/>
        <v>31</v>
      </c>
      <c r="E336" s="26">
        <f t="shared" si="84"/>
        <v>15</v>
      </c>
      <c r="F336" s="70">
        <f t="shared" si="84"/>
        <v>14</v>
      </c>
      <c r="G336" s="27">
        <f t="shared" si="84"/>
        <v>77</v>
      </c>
      <c r="I336" s="25" t="s">
        <v>12</v>
      </c>
      <c r="J336" s="63">
        <f>J308-J335</f>
        <v>289</v>
      </c>
      <c r="K336" s="26">
        <f t="shared" ref="K336:O336" si="85">K308-K335</f>
        <v>317</v>
      </c>
      <c r="L336" s="71">
        <f t="shared" si="85"/>
        <v>291</v>
      </c>
      <c r="M336" s="26">
        <f t="shared" si="85"/>
        <v>290</v>
      </c>
      <c r="N336" s="70">
        <f t="shared" si="85"/>
        <v>282</v>
      </c>
      <c r="O336" s="27">
        <f t="shared" si="85"/>
        <v>1469</v>
      </c>
    </row>
    <row r="337" spans="1:17" ht="17.25" x14ac:dyDescent="0.2">
      <c r="A337" s="79" t="s">
        <v>391</v>
      </c>
      <c r="B337" s="80"/>
      <c r="C337" s="80"/>
      <c r="D337" s="80"/>
      <c r="E337" s="80"/>
      <c r="F337" s="80"/>
      <c r="G337" s="80"/>
      <c r="H337" s="56"/>
      <c r="I337" s="79" t="s">
        <v>391</v>
      </c>
      <c r="J337" s="80"/>
      <c r="K337" s="80"/>
      <c r="L337" s="80"/>
      <c r="M337" s="80"/>
      <c r="N337" s="80"/>
      <c r="O337" s="1"/>
    </row>
    <row r="338" spans="1:17" ht="21.75" thickBot="1" x14ac:dyDescent="0.25">
      <c r="A338" s="82" t="s">
        <v>390</v>
      </c>
      <c r="B338" s="80"/>
      <c r="C338" s="80"/>
      <c r="D338" s="80"/>
      <c r="E338" s="81" t="s">
        <v>53</v>
      </c>
      <c r="F338" s="80"/>
      <c r="G338" s="80"/>
      <c r="H338" s="56"/>
      <c r="I338" s="82" t="s">
        <v>390</v>
      </c>
      <c r="J338" s="80"/>
      <c r="K338" s="80"/>
      <c r="L338" s="80"/>
      <c r="M338" s="81" t="s">
        <v>393</v>
      </c>
      <c r="N338" s="80"/>
      <c r="O338" s="1"/>
    </row>
    <row r="339" spans="1:17" ht="14.25" thickBot="1" x14ac:dyDescent="0.2">
      <c r="A339" s="13" t="s">
        <v>0</v>
      </c>
      <c r="B339" s="228" t="s">
        <v>392</v>
      </c>
      <c r="C339" s="229"/>
      <c r="D339" s="229"/>
      <c r="E339" s="229"/>
      <c r="F339" s="230"/>
      <c r="G339" s="231"/>
      <c r="H339" s="56"/>
      <c r="I339" s="13" t="s">
        <v>0</v>
      </c>
      <c r="J339" s="228" t="s">
        <v>392</v>
      </c>
      <c r="K339" s="229"/>
      <c r="L339" s="229"/>
      <c r="M339" s="229"/>
      <c r="N339" s="230"/>
      <c r="O339" s="231"/>
    </row>
    <row r="340" spans="1:17" ht="14.25" thickBot="1" x14ac:dyDescent="0.2">
      <c r="A340" s="3" t="s">
        <v>1</v>
      </c>
      <c r="B340" s="2" t="s">
        <v>42</v>
      </c>
      <c r="C340" s="21" t="s">
        <v>43</v>
      </c>
      <c r="D340" s="21" t="s">
        <v>44</v>
      </c>
      <c r="E340" s="24" t="s">
        <v>45</v>
      </c>
      <c r="F340" s="33" t="s">
        <v>46</v>
      </c>
      <c r="G340" s="34" t="s">
        <v>2</v>
      </c>
      <c r="H340" s="56"/>
      <c r="I340" s="3" t="s">
        <v>1</v>
      </c>
      <c r="J340" s="41" t="s">
        <v>42</v>
      </c>
      <c r="K340" s="42" t="s">
        <v>43</v>
      </c>
      <c r="L340" s="42" t="s">
        <v>44</v>
      </c>
      <c r="M340" s="43" t="s">
        <v>45</v>
      </c>
      <c r="N340" s="44" t="s">
        <v>46</v>
      </c>
      <c r="O340" s="3" t="s">
        <v>2</v>
      </c>
    </row>
    <row r="341" spans="1:17" ht="14.25" thickBot="1" x14ac:dyDescent="0.2">
      <c r="A341" s="72" t="s">
        <v>456</v>
      </c>
      <c r="B341" s="73">
        <f>B336</f>
        <v>4</v>
      </c>
      <c r="C341" s="74">
        <f t="shared" ref="C341:F341" si="86">C336</f>
        <v>13</v>
      </c>
      <c r="D341" s="74">
        <f t="shared" si="86"/>
        <v>31</v>
      </c>
      <c r="E341" s="74">
        <f t="shared" si="86"/>
        <v>15</v>
      </c>
      <c r="F341" s="105">
        <f t="shared" si="86"/>
        <v>14</v>
      </c>
      <c r="G341" s="131">
        <f t="shared" ref="G341:G349" si="87">SUM(B341:F341)</f>
        <v>77</v>
      </c>
      <c r="H341" s="56"/>
      <c r="I341" s="72" t="s">
        <v>456</v>
      </c>
      <c r="J341" s="73">
        <f>J336</f>
        <v>289</v>
      </c>
      <c r="K341" s="74">
        <f t="shared" ref="K341:N341" si="88">K336</f>
        <v>317</v>
      </c>
      <c r="L341" s="74">
        <f t="shared" si="88"/>
        <v>291</v>
      </c>
      <c r="M341" s="74">
        <f t="shared" si="88"/>
        <v>290</v>
      </c>
      <c r="N341" s="105">
        <f t="shared" si="88"/>
        <v>282</v>
      </c>
      <c r="O341" s="131">
        <f t="shared" ref="O341:O349" si="89">SUM(J341:N341)</f>
        <v>1469</v>
      </c>
    </row>
    <row r="342" spans="1:17" x14ac:dyDescent="0.15">
      <c r="A342" s="15" t="s">
        <v>787</v>
      </c>
      <c r="B342" s="8"/>
      <c r="C342" s="10">
        <v>1</v>
      </c>
      <c r="D342" s="10"/>
      <c r="E342" s="10"/>
      <c r="F342" s="28"/>
      <c r="G342" s="9">
        <f t="shared" si="87"/>
        <v>1</v>
      </c>
      <c r="H342" s="58">
        <v>43313</v>
      </c>
      <c r="I342" s="38" t="s">
        <v>14</v>
      </c>
      <c r="J342" s="37"/>
      <c r="K342" s="35"/>
      <c r="L342" s="35"/>
      <c r="M342" s="35"/>
      <c r="N342" s="28"/>
      <c r="O342" s="7">
        <f t="shared" si="89"/>
        <v>0</v>
      </c>
    </row>
    <row r="343" spans="1:17" x14ac:dyDescent="0.15">
      <c r="A343" s="19" t="s">
        <v>789</v>
      </c>
      <c r="B343" s="8"/>
      <c r="C343" s="10">
        <v>1</v>
      </c>
      <c r="D343" s="10"/>
      <c r="E343" s="10"/>
      <c r="F343" s="28"/>
      <c r="G343" s="9">
        <f t="shared" si="87"/>
        <v>1</v>
      </c>
      <c r="H343" s="58">
        <v>43314</v>
      </c>
      <c r="I343" s="38" t="s">
        <v>3</v>
      </c>
      <c r="J343" s="8"/>
      <c r="K343" s="10"/>
      <c r="L343" s="10"/>
      <c r="M343" s="10"/>
      <c r="N343" s="28"/>
      <c r="O343" s="9">
        <f t="shared" si="89"/>
        <v>0</v>
      </c>
    </row>
    <row r="344" spans="1:17" x14ac:dyDescent="0.15">
      <c r="A344" s="15" t="s">
        <v>5</v>
      </c>
      <c r="B344" s="8"/>
      <c r="C344" s="10"/>
      <c r="D344" s="10"/>
      <c r="E344" s="10"/>
      <c r="F344" s="28">
        <v>10</v>
      </c>
      <c r="G344" s="9">
        <f t="shared" si="87"/>
        <v>10</v>
      </c>
      <c r="H344" s="58">
        <v>43332</v>
      </c>
      <c r="I344" s="38" t="s">
        <v>4</v>
      </c>
      <c r="J344" s="8"/>
      <c r="K344" s="10"/>
      <c r="L344" s="10"/>
      <c r="M344" s="10"/>
      <c r="N344" s="28"/>
      <c r="O344" s="9">
        <f t="shared" si="89"/>
        <v>0</v>
      </c>
    </row>
    <row r="345" spans="1:17" x14ac:dyDescent="0.15">
      <c r="A345" s="15" t="s">
        <v>6</v>
      </c>
      <c r="B345" s="8"/>
      <c r="C345" s="10">
        <v>5</v>
      </c>
      <c r="D345" s="10"/>
      <c r="E345" s="10">
        <v>5</v>
      </c>
      <c r="F345" s="28"/>
      <c r="G345" s="9">
        <f t="shared" si="87"/>
        <v>10</v>
      </c>
      <c r="H345" s="58">
        <v>43333</v>
      </c>
      <c r="I345" s="38" t="s">
        <v>5</v>
      </c>
      <c r="J345" s="8"/>
      <c r="K345" s="10"/>
      <c r="L345" s="10"/>
      <c r="M345" s="10"/>
      <c r="N345" s="28"/>
      <c r="O345" s="9">
        <f t="shared" si="89"/>
        <v>0</v>
      </c>
    </row>
    <row r="346" spans="1:17" x14ac:dyDescent="0.15">
      <c r="A346" s="15" t="s">
        <v>19</v>
      </c>
      <c r="B346" s="8">
        <v>2</v>
      </c>
      <c r="C346" s="10"/>
      <c r="D346" s="10">
        <v>8</v>
      </c>
      <c r="E346" s="10">
        <v>3</v>
      </c>
      <c r="F346" s="30">
        <v>1</v>
      </c>
      <c r="G346" s="7">
        <f t="shared" si="87"/>
        <v>14</v>
      </c>
      <c r="H346" s="58">
        <v>43333</v>
      </c>
      <c r="I346" s="38" t="s">
        <v>6</v>
      </c>
      <c r="J346" s="8"/>
      <c r="K346" s="10"/>
      <c r="L346" s="10"/>
      <c r="M346" s="10"/>
      <c r="N346" s="30"/>
      <c r="O346" s="7">
        <f t="shared" si="89"/>
        <v>0</v>
      </c>
    </row>
    <row r="347" spans="1:17" x14ac:dyDescent="0.15">
      <c r="A347" s="15" t="s">
        <v>84</v>
      </c>
      <c r="B347" s="8">
        <v>10</v>
      </c>
      <c r="C347" s="10"/>
      <c r="D347" s="10"/>
      <c r="E347" s="10">
        <v>10</v>
      </c>
      <c r="F347" s="30">
        <v>10</v>
      </c>
      <c r="G347" s="7">
        <f t="shared" ref="G347" si="90">SUM(B347:F347)</f>
        <v>30</v>
      </c>
      <c r="H347" s="58">
        <v>43336</v>
      </c>
      <c r="I347" s="38" t="s">
        <v>84</v>
      </c>
      <c r="J347" s="8"/>
      <c r="K347" s="10"/>
      <c r="L347" s="10"/>
      <c r="M347" s="10"/>
      <c r="N347" s="30"/>
      <c r="O347" s="7">
        <f t="shared" si="89"/>
        <v>0</v>
      </c>
    </row>
    <row r="348" spans="1:17" x14ac:dyDescent="0.15">
      <c r="A348" s="15" t="s">
        <v>86</v>
      </c>
      <c r="B348" s="8"/>
      <c r="C348" s="10">
        <v>2</v>
      </c>
      <c r="D348" s="10">
        <v>2</v>
      </c>
      <c r="E348" s="10">
        <v>-1</v>
      </c>
      <c r="F348" s="30">
        <v>1</v>
      </c>
      <c r="G348" s="7">
        <f t="shared" si="87"/>
        <v>4</v>
      </c>
      <c r="H348" s="58">
        <v>43336</v>
      </c>
      <c r="I348" s="38" t="s">
        <v>85</v>
      </c>
      <c r="J348" s="8"/>
      <c r="K348" s="10"/>
      <c r="L348" s="10"/>
      <c r="M348" s="10"/>
      <c r="N348" s="30"/>
      <c r="O348" s="7">
        <f t="shared" si="89"/>
        <v>0</v>
      </c>
      <c r="P348" s="58"/>
      <c r="Q348" s="56"/>
    </row>
    <row r="349" spans="1:17" ht="14.25" thickBot="1" x14ac:dyDescent="0.2">
      <c r="A349" s="15" t="s">
        <v>17</v>
      </c>
      <c r="B349" s="11"/>
      <c r="C349" s="100">
        <v>2</v>
      </c>
      <c r="D349" s="100"/>
      <c r="E349" s="100"/>
      <c r="F349" s="101"/>
      <c r="G349" s="102">
        <f t="shared" si="87"/>
        <v>2</v>
      </c>
      <c r="H349" s="58">
        <v>43341</v>
      </c>
      <c r="I349" s="38" t="s">
        <v>86</v>
      </c>
      <c r="J349" s="11"/>
      <c r="K349" s="100"/>
      <c r="L349" s="100"/>
      <c r="M349" s="100"/>
      <c r="N349" s="101"/>
      <c r="O349" s="102">
        <f t="shared" si="89"/>
        <v>0</v>
      </c>
      <c r="P349" s="130"/>
    </row>
    <row r="350" spans="1:17" ht="14.25" thickBot="1" x14ac:dyDescent="0.2">
      <c r="A350" s="72" t="s">
        <v>7</v>
      </c>
      <c r="B350" s="73">
        <f>SUM(B341:B349)</f>
        <v>16</v>
      </c>
      <c r="C350" s="74">
        <f t="shared" ref="C350:G350" si="91">SUM(C341:C349)</f>
        <v>24</v>
      </c>
      <c r="D350" s="74">
        <f t="shared" si="91"/>
        <v>41</v>
      </c>
      <c r="E350" s="74">
        <f t="shared" si="91"/>
        <v>32</v>
      </c>
      <c r="F350" s="105">
        <f t="shared" si="91"/>
        <v>36</v>
      </c>
      <c r="G350" s="76">
        <f t="shared" si="91"/>
        <v>149</v>
      </c>
      <c r="H350" s="56"/>
      <c r="I350" s="72" t="s">
        <v>7</v>
      </c>
      <c r="J350" s="73">
        <f>SUM(J341:J349)</f>
        <v>289</v>
      </c>
      <c r="K350" s="74">
        <f t="shared" ref="K350:O350" si="92">SUM(K341:K349)</f>
        <v>317</v>
      </c>
      <c r="L350" s="74">
        <f t="shared" si="92"/>
        <v>291</v>
      </c>
      <c r="M350" s="74">
        <f t="shared" si="92"/>
        <v>290</v>
      </c>
      <c r="N350" s="105">
        <f t="shared" si="92"/>
        <v>282</v>
      </c>
      <c r="O350" s="76">
        <f t="shared" si="92"/>
        <v>1469</v>
      </c>
    </row>
    <row r="351" spans="1:17" x14ac:dyDescent="0.15">
      <c r="A351" s="14" t="s">
        <v>25</v>
      </c>
      <c r="B351" s="37"/>
      <c r="C351" s="35"/>
      <c r="D351" s="35"/>
      <c r="E351" s="35">
        <v>1</v>
      </c>
      <c r="F351" s="28"/>
      <c r="G351" s="18">
        <f t="shared" ref="G351:G376" si="93">SUM(B351:F351)</f>
        <v>1</v>
      </c>
      <c r="H351" s="58">
        <v>43307</v>
      </c>
      <c r="I351" s="14" t="s">
        <v>110</v>
      </c>
      <c r="J351" s="17"/>
      <c r="K351" s="22"/>
      <c r="L351" s="22"/>
      <c r="M351" s="22"/>
      <c r="N351" s="29">
        <v>2</v>
      </c>
      <c r="O351" s="18">
        <f t="shared" ref="O351:O376" si="94">SUM(J351:N351)</f>
        <v>2</v>
      </c>
      <c r="P351" s="58">
        <v>43322</v>
      </c>
    </row>
    <row r="352" spans="1:17" x14ac:dyDescent="0.15">
      <c r="A352" s="14" t="s">
        <v>25</v>
      </c>
      <c r="B352" s="8"/>
      <c r="C352" s="10">
        <v>1</v>
      </c>
      <c r="D352" s="10"/>
      <c r="E352" s="10">
        <v>2</v>
      </c>
      <c r="F352" s="30"/>
      <c r="G352" s="7">
        <f t="shared" si="93"/>
        <v>3</v>
      </c>
      <c r="H352" s="58">
        <v>43312</v>
      </c>
      <c r="I352" s="14" t="s">
        <v>110</v>
      </c>
      <c r="J352" s="8"/>
      <c r="K352" s="10"/>
      <c r="L352" s="10"/>
      <c r="M352" s="10">
        <v>5</v>
      </c>
      <c r="N352" s="30"/>
      <c r="O352" s="7">
        <f t="shared" si="94"/>
        <v>5</v>
      </c>
      <c r="P352" s="58">
        <v>43328</v>
      </c>
    </row>
    <row r="353" spans="1:16" x14ac:dyDescent="0.15">
      <c r="A353" s="14" t="s">
        <v>786</v>
      </c>
      <c r="B353" s="8"/>
      <c r="C353" s="10"/>
      <c r="D353" s="10">
        <v>1</v>
      </c>
      <c r="E353" s="10"/>
      <c r="F353" s="30"/>
      <c r="G353" s="7">
        <f t="shared" si="93"/>
        <v>1</v>
      </c>
      <c r="H353" s="58">
        <v>43311</v>
      </c>
      <c r="I353" s="16" t="s">
        <v>806</v>
      </c>
      <c r="J353" s="8"/>
      <c r="K353" s="10"/>
      <c r="L353" s="10"/>
      <c r="M353" s="10"/>
      <c r="N353" s="30">
        <v>10</v>
      </c>
      <c r="O353" s="7">
        <f t="shared" si="94"/>
        <v>10</v>
      </c>
      <c r="P353" s="58">
        <v>43332</v>
      </c>
    </row>
    <row r="354" spans="1:16" x14ac:dyDescent="0.15">
      <c r="A354" s="14" t="s">
        <v>25</v>
      </c>
      <c r="B354" s="8">
        <v>1</v>
      </c>
      <c r="C354" s="10"/>
      <c r="D354" s="10">
        <v>1</v>
      </c>
      <c r="E354" s="10">
        <v>2</v>
      </c>
      <c r="F354" s="30"/>
      <c r="G354" s="7">
        <f t="shared" si="93"/>
        <v>4</v>
      </c>
      <c r="H354" s="58">
        <v>43314</v>
      </c>
      <c r="I354" s="16" t="s">
        <v>24</v>
      </c>
      <c r="J354" s="8"/>
      <c r="K354" s="10">
        <v>5</v>
      </c>
      <c r="L354" s="10"/>
      <c r="M354" s="10">
        <v>5</v>
      </c>
      <c r="N354" s="30"/>
      <c r="O354" s="7">
        <f t="shared" si="94"/>
        <v>10</v>
      </c>
      <c r="P354" s="58">
        <v>43333</v>
      </c>
    </row>
    <row r="355" spans="1:16" x14ac:dyDescent="0.15">
      <c r="A355" s="14" t="s">
        <v>797</v>
      </c>
      <c r="B355" s="37"/>
      <c r="C355" s="35"/>
      <c r="D355" s="35">
        <v>1</v>
      </c>
      <c r="E355" s="35"/>
      <c r="F355" s="28"/>
      <c r="G355" s="7">
        <f t="shared" si="93"/>
        <v>1</v>
      </c>
      <c r="H355" s="58">
        <v>43318</v>
      </c>
      <c r="I355" s="14" t="s">
        <v>110</v>
      </c>
      <c r="J355" s="8"/>
      <c r="K355" s="10">
        <v>2</v>
      </c>
      <c r="L355" s="10">
        <v>2</v>
      </c>
      <c r="M355" s="10"/>
      <c r="N355" s="30"/>
      <c r="O355" s="7">
        <f t="shared" si="94"/>
        <v>4</v>
      </c>
      <c r="P355" s="58">
        <v>43339</v>
      </c>
    </row>
    <row r="356" spans="1:16" x14ac:dyDescent="0.15">
      <c r="A356" s="14" t="s">
        <v>25</v>
      </c>
      <c r="B356" s="8"/>
      <c r="C356" s="10">
        <v>1</v>
      </c>
      <c r="D356" s="10"/>
      <c r="E356" s="10"/>
      <c r="F356" s="30"/>
      <c r="G356" s="7">
        <f t="shared" si="93"/>
        <v>1</v>
      </c>
      <c r="H356" s="58">
        <v>43321</v>
      </c>
      <c r="I356" s="16" t="s">
        <v>24</v>
      </c>
      <c r="J356" s="8">
        <v>10</v>
      </c>
      <c r="K356" s="10"/>
      <c r="L356" s="10"/>
      <c r="M356" s="10">
        <v>10</v>
      </c>
      <c r="N356" s="30">
        <v>10</v>
      </c>
      <c r="O356" s="7">
        <f t="shared" si="94"/>
        <v>30</v>
      </c>
      <c r="P356" s="58">
        <v>43336</v>
      </c>
    </row>
    <row r="357" spans="1:16" x14ac:dyDescent="0.15">
      <c r="A357" s="14" t="s">
        <v>798</v>
      </c>
      <c r="B357" s="8"/>
      <c r="C357" s="10">
        <v>1</v>
      </c>
      <c r="D357" s="10"/>
      <c r="E357" s="10"/>
      <c r="F357" s="30"/>
      <c r="G357" s="7">
        <f t="shared" si="93"/>
        <v>1</v>
      </c>
      <c r="H357" s="58">
        <v>43321</v>
      </c>
      <c r="I357" s="14"/>
      <c r="J357" s="8"/>
      <c r="K357" s="10"/>
      <c r="L357" s="10"/>
      <c r="M357" s="10"/>
      <c r="N357" s="30"/>
      <c r="O357" s="7">
        <f t="shared" si="94"/>
        <v>0</v>
      </c>
      <c r="P357" s="58"/>
    </row>
    <row r="358" spans="1:16" x14ac:dyDescent="0.15">
      <c r="A358" s="14" t="s">
        <v>25</v>
      </c>
      <c r="B358" s="8"/>
      <c r="C358" s="10">
        <v>1</v>
      </c>
      <c r="D358" s="10"/>
      <c r="E358" s="10"/>
      <c r="F358" s="30">
        <v>1</v>
      </c>
      <c r="G358" s="7">
        <f t="shared" si="93"/>
        <v>2</v>
      </c>
      <c r="H358" s="58">
        <v>43323</v>
      </c>
      <c r="I358" s="16"/>
      <c r="J358" s="8"/>
      <c r="K358" s="10"/>
      <c r="L358" s="10"/>
      <c r="M358" s="10"/>
      <c r="N358" s="30"/>
      <c r="O358" s="7">
        <f t="shared" si="94"/>
        <v>0</v>
      </c>
      <c r="P358" s="56"/>
    </row>
    <row r="359" spans="1:16" x14ac:dyDescent="0.15">
      <c r="A359" s="14" t="s">
        <v>25</v>
      </c>
      <c r="B359" s="8"/>
      <c r="C359" s="10">
        <v>3</v>
      </c>
      <c r="D359" s="10"/>
      <c r="E359" s="10"/>
      <c r="F359" s="30"/>
      <c r="G359" s="7">
        <f t="shared" si="93"/>
        <v>3</v>
      </c>
      <c r="H359" s="58">
        <v>43329</v>
      </c>
      <c r="I359" s="39"/>
      <c r="J359" s="8"/>
      <c r="K359" s="10"/>
      <c r="L359" s="10"/>
      <c r="M359" s="10"/>
      <c r="N359" s="30"/>
      <c r="O359" s="7">
        <f t="shared" si="94"/>
        <v>0</v>
      </c>
      <c r="P359" s="56"/>
    </row>
    <row r="360" spans="1:16" x14ac:dyDescent="0.15">
      <c r="A360" s="14" t="s">
        <v>807</v>
      </c>
      <c r="B360" s="11"/>
      <c r="C360" s="12"/>
      <c r="D360" s="12"/>
      <c r="E360" s="12"/>
      <c r="F360" s="31">
        <v>10</v>
      </c>
      <c r="G360" s="7">
        <f t="shared" si="93"/>
        <v>10</v>
      </c>
      <c r="H360" s="58">
        <v>43334</v>
      </c>
      <c r="I360" s="16"/>
      <c r="J360" s="11"/>
      <c r="K360" s="12"/>
      <c r="L360" s="12"/>
      <c r="M360" s="12"/>
      <c r="N360" s="31"/>
      <c r="O360" s="7">
        <f t="shared" si="94"/>
        <v>0</v>
      </c>
    </row>
    <row r="361" spans="1:16" x14ac:dyDescent="0.15">
      <c r="A361" s="14" t="s">
        <v>809</v>
      </c>
      <c r="B361" s="8"/>
      <c r="C361" s="10"/>
      <c r="D361" s="10"/>
      <c r="E361" s="10">
        <v>5</v>
      </c>
      <c r="F361" s="30"/>
      <c r="G361" s="7">
        <f t="shared" si="93"/>
        <v>5</v>
      </c>
      <c r="H361" s="58">
        <v>43339</v>
      </c>
      <c r="I361" s="16"/>
      <c r="J361" s="8"/>
      <c r="K361" s="10"/>
      <c r="L361" s="10"/>
      <c r="M361" s="10"/>
      <c r="N361" s="30"/>
      <c r="O361" s="7">
        <f t="shared" si="94"/>
        <v>0</v>
      </c>
    </row>
    <row r="362" spans="1:16" x14ac:dyDescent="0.15">
      <c r="A362" s="14" t="s">
        <v>25</v>
      </c>
      <c r="B362" s="8"/>
      <c r="C362" s="10"/>
      <c r="D362" s="10"/>
      <c r="E362" s="10"/>
      <c r="F362" s="30">
        <v>1</v>
      </c>
      <c r="G362" s="7">
        <f t="shared" si="93"/>
        <v>1</v>
      </c>
      <c r="H362" s="58">
        <v>43330</v>
      </c>
      <c r="I362" s="14"/>
      <c r="J362" s="8"/>
      <c r="K362" s="10"/>
      <c r="L362" s="10"/>
      <c r="M362" s="10"/>
      <c r="N362" s="30"/>
      <c r="O362" s="7">
        <f t="shared" si="94"/>
        <v>0</v>
      </c>
    </row>
    <row r="363" spans="1:16" x14ac:dyDescent="0.15">
      <c r="A363" s="14" t="s">
        <v>29</v>
      </c>
      <c r="B363" s="8"/>
      <c r="C363" s="10"/>
      <c r="D363" s="10"/>
      <c r="E363" s="10">
        <v>1</v>
      </c>
      <c r="F363" s="30"/>
      <c r="G363" s="7">
        <f t="shared" si="93"/>
        <v>1</v>
      </c>
      <c r="H363" s="58">
        <v>43329</v>
      </c>
      <c r="I363" s="16"/>
      <c r="J363" s="8"/>
      <c r="K363" s="10"/>
      <c r="L363" s="10"/>
      <c r="M363" s="10"/>
      <c r="N363" s="30"/>
      <c r="O363" s="7">
        <f t="shared" si="94"/>
        <v>0</v>
      </c>
    </row>
    <row r="364" spans="1:16" x14ac:dyDescent="0.15">
      <c r="A364" s="14" t="s">
        <v>25</v>
      </c>
      <c r="B364" s="8">
        <v>1</v>
      </c>
      <c r="C364" s="10">
        <v>1</v>
      </c>
      <c r="D364" s="10">
        <v>2</v>
      </c>
      <c r="E364" s="10">
        <v>1</v>
      </c>
      <c r="F364" s="30"/>
      <c r="G364" s="7">
        <f t="shared" si="93"/>
        <v>5</v>
      </c>
      <c r="H364" s="58">
        <v>43333</v>
      </c>
      <c r="I364" s="16"/>
      <c r="J364" s="8"/>
      <c r="K364" s="10"/>
      <c r="L364" s="10"/>
      <c r="M364" s="10"/>
      <c r="N364" s="30"/>
      <c r="O364" s="7">
        <f t="shared" si="94"/>
        <v>0</v>
      </c>
    </row>
    <row r="365" spans="1:16" x14ac:dyDescent="0.15">
      <c r="A365" s="14" t="s">
        <v>746</v>
      </c>
      <c r="B365" s="8">
        <v>5</v>
      </c>
      <c r="C365" s="10"/>
      <c r="D365" s="10">
        <v>2</v>
      </c>
      <c r="E365" s="10">
        <v>2</v>
      </c>
      <c r="F365" s="30">
        <v>4</v>
      </c>
      <c r="G365" s="7">
        <f t="shared" si="93"/>
        <v>13</v>
      </c>
      <c r="H365" s="58">
        <v>43334</v>
      </c>
      <c r="I365" s="16"/>
      <c r="J365" s="8"/>
      <c r="K365" s="10"/>
      <c r="L365" s="10"/>
      <c r="M365" s="10"/>
      <c r="N365" s="30"/>
      <c r="O365" s="7">
        <f t="shared" si="94"/>
        <v>0</v>
      </c>
    </row>
    <row r="366" spans="1:16" x14ac:dyDescent="0.15">
      <c r="A366" s="14" t="s">
        <v>29</v>
      </c>
      <c r="B366" s="8"/>
      <c r="C366" s="10"/>
      <c r="D366" s="10"/>
      <c r="E366" s="10"/>
      <c r="F366" s="30">
        <v>1</v>
      </c>
      <c r="G366" s="7">
        <f t="shared" si="93"/>
        <v>1</v>
      </c>
      <c r="H366" s="58">
        <v>43332</v>
      </c>
      <c r="I366" s="16"/>
      <c r="J366" s="8"/>
      <c r="K366" s="10"/>
      <c r="L366" s="10"/>
      <c r="M366" s="10"/>
      <c r="N366" s="30"/>
      <c r="O366" s="7">
        <f t="shared" si="94"/>
        <v>0</v>
      </c>
      <c r="P366" s="56"/>
    </row>
    <row r="367" spans="1:16" x14ac:dyDescent="0.15">
      <c r="A367" s="14" t="s">
        <v>25</v>
      </c>
      <c r="B367" s="8"/>
      <c r="C367" s="10"/>
      <c r="D367" s="10"/>
      <c r="E367" s="10">
        <v>2</v>
      </c>
      <c r="F367" s="30"/>
      <c r="G367" s="7">
        <f t="shared" si="93"/>
        <v>2</v>
      </c>
      <c r="H367" s="58">
        <v>43335</v>
      </c>
      <c r="I367" s="20"/>
      <c r="J367" s="8"/>
      <c r="K367" s="10"/>
      <c r="L367" s="10"/>
      <c r="M367" s="10"/>
      <c r="N367" s="30"/>
      <c r="O367" s="7">
        <f t="shared" si="94"/>
        <v>0</v>
      </c>
      <c r="P367" s="56"/>
    </row>
    <row r="368" spans="1:16" x14ac:dyDescent="0.15">
      <c r="A368" s="14" t="s">
        <v>746</v>
      </c>
      <c r="B368" s="8"/>
      <c r="C368" s="10"/>
      <c r="D368" s="10">
        <v>2</v>
      </c>
      <c r="E368" s="10">
        <v>1</v>
      </c>
      <c r="F368" s="30"/>
      <c r="G368" s="7">
        <f t="shared" si="93"/>
        <v>3</v>
      </c>
      <c r="H368" s="58">
        <v>43336</v>
      </c>
      <c r="I368" s="14"/>
      <c r="J368" s="8"/>
      <c r="K368" s="10"/>
      <c r="L368" s="10"/>
      <c r="M368" s="10"/>
      <c r="N368" s="30"/>
      <c r="O368" s="7">
        <f t="shared" si="94"/>
        <v>0</v>
      </c>
      <c r="P368" s="56"/>
    </row>
    <row r="369" spans="1:19" x14ac:dyDescent="0.15">
      <c r="A369" s="14" t="s">
        <v>746</v>
      </c>
      <c r="B369" s="8"/>
      <c r="C369" s="10"/>
      <c r="D369" s="10">
        <v>2</v>
      </c>
      <c r="E369" s="10">
        <v>2</v>
      </c>
      <c r="F369" s="30">
        <v>2</v>
      </c>
      <c r="G369" s="7">
        <f t="shared" si="93"/>
        <v>6</v>
      </c>
      <c r="H369" s="58">
        <v>43339</v>
      </c>
      <c r="I369" s="14"/>
      <c r="J369" s="8"/>
      <c r="K369" s="10"/>
      <c r="L369" s="10"/>
      <c r="M369" s="10"/>
      <c r="N369" s="30"/>
      <c r="O369" s="7">
        <f t="shared" si="94"/>
        <v>0</v>
      </c>
      <c r="P369" s="56"/>
    </row>
    <row r="370" spans="1:19" x14ac:dyDescent="0.15">
      <c r="A370" s="14" t="s">
        <v>25</v>
      </c>
      <c r="B370" s="8"/>
      <c r="C370" s="10"/>
      <c r="D370" s="10">
        <v>1</v>
      </c>
      <c r="E370" s="10"/>
      <c r="F370" s="30">
        <v>1</v>
      </c>
      <c r="G370" s="7">
        <f t="shared" si="93"/>
        <v>2</v>
      </c>
      <c r="H370" s="58">
        <v>43337</v>
      </c>
      <c r="I370" s="14"/>
      <c r="J370" s="8"/>
      <c r="K370" s="10"/>
      <c r="L370" s="10"/>
      <c r="M370" s="10"/>
      <c r="N370" s="30"/>
      <c r="O370" s="7">
        <f t="shared" si="94"/>
        <v>0</v>
      </c>
      <c r="P370" s="56"/>
    </row>
    <row r="371" spans="1:19" x14ac:dyDescent="0.15">
      <c r="A371" s="14" t="s">
        <v>746</v>
      </c>
      <c r="B371" s="8"/>
      <c r="C371" s="10">
        <v>1</v>
      </c>
      <c r="D371" s="10">
        <v>2</v>
      </c>
      <c r="E371" s="10">
        <v>3</v>
      </c>
      <c r="F371" s="30">
        <v>2</v>
      </c>
      <c r="G371" s="7">
        <f t="shared" si="93"/>
        <v>8</v>
      </c>
      <c r="H371" s="58">
        <v>43341</v>
      </c>
      <c r="I371" s="14"/>
      <c r="J371" s="8"/>
      <c r="K371" s="10"/>
      <c r="L371" s="10"/>
      <c r="M371" s="10"/>
      <c r="N371" s="30"/>
      <c r="O371" s="7">
        <f t="shared" si="94"/>
        <v>0</v>
      </c>
      <c r="P371" s="58"/>
    </row>
    <row r="372" spans="1:19" x14ac:dyDescent="0.15">
      <c r="A372" s="14" t="s">
        <v>746</v>
      </c>
      <c r="B372" s="11"/>
      <c r="C372" s="12"/>
      <c r="D372" s="12">
        <v>3</v>
      </c>
      <c r="E372" s="12">
        <v>2</v>
      </c>
      <c r="F372" s="31">
        <v>2</v>
      </c>
      <c r="G372" s="7">
        <f t="shared" si="93"/>
        <v>7</v>
      </c>
      <c r="H372" s="58">
        <v>43341</v>
      </c>
      <c r="I372" s="51"/>
      <c r="J372" s="8"/>
      <c r="K372" s="10"/>
      <c r="L372" s="10"/>
      <c r="M372" s="10"/>
      <c r="N372" s="30"/>
      <c r="O372" s="7">
        <f t="shared" ref="O372:O373" si="95">SUM(J372:N372)</f>
        <v>0</v>
      </c>
      <c r="P372" s="56"/>
    </row>
    <row r="373" spans="1:19" x14ac:dyDescent="0.15">
      <c r="A373" s="14" t="s">
        <v>29</v>
      </c>
      <c r="B373" s="8"/>
      <c r="C373" s="10"/>
      <c r="D373" s="10"/>
      <c r="E373" s="10"/>
      <c r="F373" s="30">
        <v>1</v>
      </c>
      <c r="G373" s="7">
        <f t="shared" si="93"/>
        <v>1</v>
      </c>
      <c r="H373" s="58">
        <v>43340</v>
      </c>
      <c r="I373" s="20"/>
      <c r="J373" s="11"/>
      <c r="K373" s="12"/>
      <c r="L373" s="12"/>
      <c r="M373" s="12"/>
      <c r="N373" s="31"/>
      <c r="O373" s="7">
        <f t="shared" si="95"/>
        <v>0</v>
      </c>
      <c r="P373" s="56"/>
      <c r="Q373" s="56"/>
    </row>
    <row r="374" spans="1:19" x14ac:dyDescent="0.15">
      <c r="A374" s="39" t="s">
        <v>10</v>
      </c>
      <c r="B374" s="8">
        <v>1</v>
      </c>
      <c r="C374" s="10">
        <v>1</v>
      </c>
      <c r="D374" s="10"/>
      <c r="E374" s="10"/>
      <c r="F374" s="30">
        <v>1</v>
      </c>
      <c r="G374" s="7">
        <f t="shared" si="93"/>
        <v>3</v>
      </c>
      <c r="H374" s="58">
        <v>43342</v>
      </c>
      <c r="I374" s="20"/>
      <c r="J374" s="11"/>
      <c r="K374" s="12"/>
      <c r="L374" s="12"/>
      <c r="M374" s="12"/>
      <c r="N374" s="31"/>
      <c r="O374" s="7">
        <f t="shared" si="94"/>
        <v>0</v>
      </c>
      <c r="P374" s="56"/>
      <c r="Q374" s="56"/>
      <c r="R374" s="56"/>
      <c r="S374" s="56"/>
    </row>
    <row r="375" spans="1:19" x14ac:dyDescent="0.15">
      <c r="A375" s="14" t="s">
        <v>746</v>
      </c>
      <c r="B375" s="8"/>
      <c r="C375" s="10">
        <v>2</v>
      </c>
      <c r="D375" s="10">
        <v>2</v>
      </c>
      <c r="E375" s="10">
        <v>2</v>
      </c>
      <c r="F375" s="30"/>
      <c r="G375" s="7">
        <f t="shared" si="93"/>
        <v>6</v>
      </c>
      <c r="H375" s="58">
        <v>43343</v>
      </c>
      <c r="I375" s="14"/>
      <c r="J375" s="8"/>
      <c r="K375" s="10"/>
      <c r="L375" s="10"/>
      <c r="M375" s="10"/>
      <c r="N375" s="30"/>
      <c r="O375" s="7">
        <f t="shared" ref="O375" si="96">SUM(J375:N375)</f>
        <v>0</v>
      </c>
      <c r="P375" s="56"/>
      <c r="Q375" s="56"/>
      <c r="R375" s="56"/>
      <c r="S375" s="56"/>
    </row>
    <row r="376" spans="1:19" ht="14.25" thickBot="1" x14ac:dyDescent="0.2">
      <c r="A376" s="14" t="s">
        <v>746</v>
      </c>
      <c r="B376" s="11"/>
      <c r="C376" s="12"/>
      <c r="D376" s="12"/>
      <c r="E376" s="12"/>
      <c r="F376" s="31">
        <v>2</v>
      </c>
      <c r="G376" s="115">
        <f t="shared" si="93"/>
        <v>2</v>
      </c>
      <c r="H376" s="58">
        <v>43343</v>
      </c>
      <c r="I376" s="51"/>
      <c r="J376" s="8"/>
      <c r="K376" s="10"/>
      <c r="L376" s="10"/>
      <c r="M376" s="10"/>
      <c r="N376" s="30"/>
      <c r="O376" s="7">
        <f t="shared" si="94"/>
        <v>0</v>
      </c>
      <c r="P376" s="56"/>
      <c r="Q376" s="56"/>
      <c r="R376" s="56"/>
      <c r="S376" s="56"/>
    </row>
    <row r="377" spans="1:19" ht="14.25" thickBot="1" x14ac:dyDescent="0.2">
      <c r="A377" s="3" t="s">
        <v>11</v>
      </c>
      <c r="B377" s="23">
        <f>SUM(B351:B376)</f>
        <v>8</v>
      </c>
      <c r="C377" s="4">
        <f>SUM(C351:C376)</f>
        <v>12</v>
      </c>
      <c r="D377" s="4">
        <f>SUM(D351:D376)</f>
        <v>19</v>
      </c>
      <c r="E377" s="6">
        <f>SUM(E351:E376)</f>
        <v>26</v>
      </c>
      <c r="F377" s="32">
        <f>SUM(F351:F376)</f>
        <v>28</v>
      </c>
      <c r="G377" s="5">
        <f>SUM(B377:F377)</f>
        <v>93</v>
      </c>
      <c r="I377" s="3" t="s">
        <v>11</v>
      </c>
      <c r="J377" s="23">
        <f>SUM(J351:J376)</f>
        <v>10</v>
      </c>
      <c r="K377" s="4">
        <f>SUM(K351:K376)</f>
        <v>7</v>
      </c>
      <c r="L377" s="4">
        <f>SUM(L351:L376)</f>
        <v>2</v>
      </c>
      <c r="M377" s="6">
        <f>SUM(M351:M376)</f>
        <v>20</v>
      </c>
      <c r="N377" s="32">
        <f>SUM(N351:N376)</f>
        <v>22</v>
      </c>
      <c r="O377" s="5">
        <f>SUM(J377:N377)</f>
        <v>61</v>
      </c>
    </row>
    <row r="378" spans="1:19" ht="14.25" thickBot="1" x14ac:dyDescent="0.2">
      <c r="A378" s="25" t="s">
        <v>12</v>
      </c>
      <c r="B378" s="63">
        <f>B350-B377</f>
        <v>8</v>
      </c>
      <c r="C378" s="26">
        <f t="shared" ref="C378:G378" si="97">C350-C377</f>
        <v>12</v>
      </c>
      <c r="D378" s="71">
        <f t="shared" si="97"/>
        <v>22</v>
      </c>
      <c r="E378" s="26">
        <f t="shared" si="97"/>
        <v>6</v>
      </c>
      <c r="F378" s="70">
        <f t="shared" si="97"/>
        <v>8</v>
      </c>
      <c r="G378" s="27">
        <f t="shared" si="97"/>
        <v>56</v>
      </c>
      <c r="I378" s="25" t="s">
        <v>12</v>
      </c>
      <c r="J378" s="63">
        <f>J350-J377</f>
        <v>279</v>
      </c>
      <c r="K378" s="26">
        <f t="shared" ref="K378:O378" si="98">K350-K377</f>
        <v>310</v>
      </c>
      <c r="L378" s="71">
        <f t="shared" si="98"/>
        <v>289</v>
      </c>
      <c r="M378" s="26">
        <f t="shared" si="98"/>
        <v>270</v>
      </c>
      <c r="N378" s="70">
        <f t="shared" si="98"/>
        <v>260</v>
      </c>
      <c r="O378" s="27">
        <f t="shared" si="98"/>
        <v>1408</v>
      </c>
    </row>
    <row r="379" spans="1:19" ht="17.25" x14ac:dyDescent="0.2">
      <c r="A379" s="79" t="s">
        <v>391</v>
      </c>
      <c r="B379" s="80"/>
      <c r="C379" s="80"/>
      <c r="D379" s="80"/>
      <c r="E379" s="80"/>
      <c r="F379" s="80"/>
      <c r="G379" s="80"/>
      <c r="H379" s="56"/>
      <c r="I379" s="79" t="s">
        <v>391</v>
      </c>
      <c r="J379" s="80"/>
      <c r="K379" s="80"/>
      <c r="L379" s="80"/>
      <c r="M379" s="80"/>
      <c r="N379" s="80"/>
      <c r="O379" s="1"/>
    </row>
    <row r="380" spans="1:19" ht="21.75" thickBot="1" x14ac:dyDescent="0.25">
      <c r="A380" s="82" t="s">
        <v>390</v>
      </c>
      <c r="B380" s="80"/>
      <c r="C380" s="80"/>
      <c r="D380" s="80"/>
      <c r="E380" s="81" t="s">
        <v>53</v>
      </c>
      <c r="F380" s="80"/>
      <c r="G380" s="80"/>
      <c r="H380" s="56"/>
      <c r="I380" s="82" t="s">
        <v>390</v>
      </c>
      <c r="J380" s="80"/>
      <c r="K380" s="80"/>
      <c r="L380" s="80"/>
      <c r="M380" s="81" t="s">
        <v>393</v>
      </c>
      <c r="N380" s="80"/>
      <c r="O380" s="1"/>
    </row>
    <row r="381" spans="1:19" ht="14.25" thickBot="1" x14ac:dyDescent="0.2">
      <c r="A381" s="13" t="s">
        <v>0</v>
      </c>
      <c r="B381" s="228" t="s">
        <v>392</v>
      </c>
      <c r="C381" s="229"/>
      <c r="D381" s="229"/>
      <c r="E381" s="229"/>
      <c r="F381" s="230"/>
      <c r="G381" s="231"/>
      <c r="H381" s="56"/>
      <c r="I381" s="13" t="s">
        <v>0</v>
      </c>
      <c r="J381" s="228" t="s">
        <v>392</v>
      </c>
      <c r="K381" s="229"/>
      <c r="L381" s="229"/>
      <c r="M381" s="229"/>
      <c r="N381" s="230"/>
      <c r="O381" s="231"/>
    </row>
    <row r="382" spans="1:19" ht="14.25" thickBot="1" x14ac:dyDescent="0.2">
      <c r="A382" s="3" t="s">
        <v>1</v>
      </c>
      <c r="B382" s="2" t="s">
        <v>42</v>
      </c>
      <c r="C382" s="21" t="s">
        <v>43</v>
      </c>
      <c r="D382" s="21" t="s">
        <v>44</v>
      </c>
      <c r="E382" s="24" t="s">
        <v>45</v>
      </c>
      <c r="F382" s="33" t="s">
        <v>46</v>
      </c>
      <c r="G382" s="34" t="s">
        <v>2</v>
      </c>
      <c r="H382" s="56"/>
      <c r="I382" s="3" t="s">
        <v>1</v>
      </c>
      <c r="J382" s="41" t="s">
        <v>42</v>
      </c>
      <c r="K382" s="42" t="s">
        <v>43</v>
      </c>
      <c r="L382" s="42" t="s">
        <v>44</v>
      </c>
      <c r="M382" s="43" t="s">
        <v>45</v>
      </c>
      <c r="N382" s="44" t="s">
        <v>46</v>
      </c>
      <c r="O382" s="3" t="s">
        <v>2</v>
      </c>
    </row>
    <row r="383" spans="1:19" ht="14.25" thickBot="1" x14ac:dyDescent="0.2">
      <c r="A383" s="72" t="s">
        <v>456</v>
      </c>
      <c r="B383" s="73">
        <f>B378</f>
        <v>8</v>
      </c>
      <c r="C383" s="74">
        <f t="shared" ref="C383:F383" si="99">C378</f>
        <v>12</v>
      </c>
      <c r="D383" s="74">
        <f t="shared" si="99"/>
        <v>22</v>
      </c>
      <c r="E383" s="74">
        <f t="shared" si="99"/>
        <v>6</v>
      </c>
      <c r="F383" s="105">
        <f t="shared" si="99"/>
        <v>8</v>
      </c>
      <c r="G383" s="131">
        <f t="shared" ref="G383:G391" si="100">SUM(B383:F383)</f>
        <v>56</v>
      </c>
      <c r="H383" s="56"/>
      <c r="I383" s="72" t="s">
        <v>456</v>
      </c>
      <c r="J383" s="73">
        <f>J378</f>
        <v>279</v>
      </c>
      <c r="K383" s="74">
        <f t="shared" ref="K383:N383" si="101">K378</f>
        <v>310</v>
      </c>
      <c r="L383" s="74">
        <f t="shared" si="101"/>
        <v>289</v>
      </c>
      <c r="M383" s="74">
        <f t="shared" si="101"/>
        <v>270</v>
      </c>
      <c r="N383" s="105">
        <f t="shared" si="101"/>
        <v>260</v>
      </c>
      <c r="O383" s="131">
        <f t="shared" ref="O383:O391" si="102">SUM(J383:N383)</f>
        <v>1408</v>
      </c>
    </row>
    <row r="384" spans="1:19" x14ac:dyDescent="0.15">
      <c r="A384" s="15" t="s">
        <v>3</v>
      </c>
      <c r="B384" s="8"/>
      <c r="C384" s="10"/>
      <c r="D384" s="10">
        <v>15</v>
      </c>
      <c r="E384" s="10">
        <v>5</v>
      </c>
      <c r="F384" s="28">
        <v>5</v>
      </c>
      <c r="G384" s="9">
        <f t="shared" si="100"/>
        <v>25</v>
      </c>
      <c r="H384" s="58">
        <v>43344</v>
      </c>
      <c r="I384" s="38" t="s">
        <v>14</v>
      </c>
      <c r="J384" s="37"/>
      <c r="K384" s="35"/>
      <c r="L384" s="35"/>
      <c r="M384" s="35"/>
      <c r="N384" s="28"/>
      <c r="O384" s="7">
        <f t="shared" si="102"/>
        <v>0</v>
      </c>
    </row>
    <row r="385" spans="1:17" x14ac:dyDescent="0.15">
      <c r="A385" s="15" t="s">
        <v>4</v>
      </c>
      <c r="B385" s="8"/>
      <c r="C385" s="10">
        <v>10</v>
      </c>
      <c r="D385" s="10"/>
      <c r="E385" s="10">
        <v>5</v>
      </c>
      <c r="F385" s="28">
        <v>5</v>
      </c>
      <c r="G385" s="9">
        <f t="shared" si="100"/>
        <v>20</v>
      </c>
      <c r="H385" s="58">
        <v>43347</v>
      </c>
      <c r="I385" s="38" t="s">
        <v>3</v>
      </c>
      <c r="J385" s="8"/>
      <c r="K385" s="10"/>
      <c r="L385" s="10"/>
      <c r="M385" s="10"/>
      <c r="N385" s="28"/>
      <c r="O385" s="9">
        <f t="shared" si="102"/>
        <v>0</v>
      </c>
    </row>
    <row r="386" spans="1:17" x14ac:dyDescent="0.15">
      <c r="A386" s="15" t="s">
        <v>5</v>
      </c>
      <c r="B386" s="8">
        <v>10</v>
      </c>
      <c r="C386" s="10"/>
      <c r="D386" s="10"/>
      <c r="E386" s="10">
        <v>5</v>
      </c>
      <c r="F386" s="28">
        <v>5</v>
      </c>
      <c r="G386" s="9">
        <f t="shared" si="100"/>
        <v>20</v>
      </c>
      <c r="H386" s="58">
        <v>43351</v>
      </c>
      <c r="I386" s="38" t="s">
        <v>4</v>
      </c>
      <c r="J386" s="8"/>
      <c r="K386" s="10"/>
      <c r="L386" s="10"/>
      <c r="M386" s="10"/>
      <c r="N386" s="28"/>
      <c r="O386" s="9">
        <f t="shared" si="102"/>
        <v>0</v>
      </c>
    </row>
    <row r="387" spans="1:17" x14ac:dyDescent="0.15">
      <c r="A387" s="15" t="s">
        <v>34</v>
      </c>
      <c r="B387" s="8"/>
      <c r="C387" s="10">
        <v>1</v>
      </c>
      <c r="D387" s="10">
        <v>1</v>
      </c>
      <c r="E387" s="10">
        <v>1</v>
      </c>
      <c r="F387" s="28"/>
      <c r="G387" s="9">
        <f t="shared" si="100"/>
        <v>3</v>
      </c>
      <c r="H387" s="58">
        <v>43353</v>
      </c>
      <c r="I387" s="38" t="s">
        <v>5</v>
      </c>
      <c r="J387" s="8"/>
      <c r="K387" s="10"/>
      <c r="L387" s="10"/>
      <c r="M387" s="10"/>
      <c r="N387" s="28"/>
      <c r="O387" s="9">
        <f t="shared" si="102"/>
        <v>0</v>
      </c>
    </row>
    <row r="388" spans="1:17" x14ac:dyDescent="0.15">
      <c r="A388" s="15" t="s">
        <v>84</v>
      </c>
      <c r="B388" s="8">
        <v>10</v>
      </c>
      <c r="C388" s="10">
        <v>10</v>
      </c>
      <c r="D388" s="10"/>
      <c r="E388" s="10">
        <v>10</v>
      </c>
      <c r="F388" s="30"/>
      <c r="G388" s="7">
        <f t="shared" si="100"/>
        <v>30</v>
      </c>
      <c r="H388" s="58">
        <v>43362</v>
      </c>
      <c r="I388" s="38" t="s">
        <v>6</v>
      </c>
      <c r="J388" s="8"/>
      <c r="K388" s="10"/>
      <c r="L388" s="10"/>
      <c r="M388" s="10"/>
      <c r="N388" s="30"/>
      <c r="O388" s="7">
        <f t="shared" si="102"/>
        <v>0</v>
      </c>
    </row>
    <row r="389" spans="1:17" x14ac:dyDescent="0.15">
      <c r="A389" s="15" t="s">
        <v>85</v>
      </c>
      <c r="B389" s="8"/>
      <c r="C389" s="10"/>
      <c r="D389" s="10"/>
      <c r="E389" s="10">
        <v>10</v>
      </c>
      <c r="F389" s="30">
        <v>10</v>
      </c>
      <c r="G389" s="7">
        <f t="shared" si="100"/>
        <v>20</v>
      </c>
      <c r="H389" s="58">
        <v>43370</v>
      </c>
      <c r="I389" s="38" t="s">
        <v>84</v>
      </c>
      <c r="J389" s="8"/>
      <c r="K389" s="10"/>
      <c r="L389" s="10"/>
      <c r="M389" s="10"/>
      <c r="N389" s="30"/>
      <c r="O389" s="7">
        <f t="shared" si="102"/>
        <v>0</v>
      </c>
    </row>
    <row r="390" spans="1:17" x14ac:dyDescent="0.15">
      <c r="A390" s="15" t="s">
        <v>86</v>
      </c>
      <c r="B390" s="8"/>
      <c r="C390" s="10">
        <v>10</v>
      </c>
      <c r="D390" s="10"/>
      <c r="E390" s="10"/>
      <c r="F390" s="30"/>
      <c r="G390" s="7">
        <f t="shared" si="100"/>
        <v>10</v>
      </c>
      <c r="H390" s="58">
        <v>43371</v>
      </c>
      <c r="I390" s="38" t="s">
        <v>85</v>
      </c>
      <c r="J390" s="8"/>
      <c r="K390" s="10"/>
      <c r="L390" s="10"/>
      <c r="M390" s="10"/>
      <c r="N390" s="30"/>
      <c r="O390" s="7">
        <f t="shared" si="102"/>
        <v>0</v>
      </c>
      <c r="P390" s="58"/>
    </row>
    <row r="391" spans="1:17" ht="14.25" thickBot="1" x14ac:dyDescent="0.2">
      <c r="A391" s="15" t="s">
        <v>87</v>
      </c>
      <c r="B391" s="11"/>
      <c r="C391" s="100"/>
      <c r="D391" s="100"/>
      <c r="E391" s="100"/>
      <c r="F391" s="101"/>
      <c r="G391" s="102">
        <f t="shared" si="100"/>
        <v>0</v>
      </c>
      <c r="H391" s="58"/>
      <c r="I391" s="38" t="s">
        <v>86</v>
      </c>
      <c r="J391" s="11"/>
      <c r="K391" s="100"/>
      <c r="L391" s="100"/>
      <c r="M391" s="100"/>
      <c r="N391" s="101"/>
      <c r="O391" s="102">
        <f t="shared" si="102"/>
        <v>0</v>
      </c>
      <c r="P391" s="130"/>
    </row>
    <row r="392" spans="1:17" ht="14.25" thickBot="1" x14ac:dyDescent="0.2">
      <c r="A392" s="72" t="s">
        <v>7</v>
      </c>
      <c r="B392" s="73">
        <f>SUM(B383:B391)</f>
        <v>28</v>
      </c>
      <c r="C392" s="74">
        <f t="shared" ref="C392:G392" si="103">SUM(C383:C391)</f>
        <v>43</v>
      </c>
      <c r="D392" s="74">
        <f t="shared" si="103"/>
        <v>38</v>
      </c>
      <c r="E392" s="74">
        <f t="shared" si="103"/>
        <v>42</v>
      </c>
      <c r="F392" s="105">
        <f t="shared" si="103"/>
        <v>33</v>
      </c>
      <c r="G392" s="76">
        <f t="shared" si="103"/>
        <v>184</v>
      </c>
      <c r="H392" s="56"/>
      <c r="I392" s="72" t="s">
        <v>7</v>
      </c>
      <c r="J392" s="73">
        <f>SUM(J383:J391)</f>
        <v>279</v>
      </c>
      <c r="K392" s="74">
        <f t="shared" ref="K392:O392" si="104">SUM(K383:K391)</f>
        <v>310</v>
      </c>
      <c r="L392" s="74">
        <f t="shared" si="104"/>
        <v>289</v>
      </c>
      <c r="M392" s="74">
        <f t="shared" si="104"/>
        <v>270</v>
      </c>
      <c r="N392" s="105">
        <f t="shared" si="104"/>
        <v>260</v>
      </c>
      <c r="O392" s="76">
        <f t="shared" si="104"/>
        <v>1408</v>
      </c>
    </row>
    <row r="393" spans="1:17" x14ac:dyDescent="0.15">
      <c r="A393" s="14" t="s">
        <v>820</v>
      </c>
      <c r="B393" s="37"/>
      <c r="C393" s="35"/>
      <c r="D393" s="35">
        <v>10</v>
      </c>
      <c r="E393" s="35"/>
      <c r="F393" s="28"/>
      <c r="G393" s="18">
        <f t="shared" ref="G393:G418" si="105">SUM(B393:F393)</f>
        <v>10</v>
      </c>
      <c r="H393" s="58">
        <v>43347</v>
      </c>
      <c r="I393" s="14" t="s">
        <v>110</v>
      </c>
      <c r="J393" s="8"/>
      <c r="K393" s="10">
        <v>2</v>
      </c>
      <c r="L393" s="10"/>
      <c r="M393" s="10"/>
      <c r="N393" s="30"/>
      <c r="O393" s="7">
        <f t="shared" ref="O393" si="106">SUM(J393:N393)</f>
        <v>2</v>
      </c>
      <c r="P393" s="58">
        <v>43347</v>
      </c>
      <c r="Q393" s="56"/>
    </row>
    <row r="394" spans="1:17" x14ac:dyDescent="0.15">
      <c r="A394" s="14" t="s">
        <v>821</v>
      </c>
      <c r="B394" s="8">
        <v>2</v>
      </c>
      <c r="C394" s="10"/>
      <c r="D394" s="10"/>
      <c r="E394" s="10"/>
      <c r="F394" s="30">
        <v>2</v>
      </c>
      <c r="G394" s="7">
        <f t="shared" si="105"/>
        <v>4</v>
      </c>
      <c r="H394" s="58">
        <v>43347</v>
      </c>
      <c r="I394" s="14" t="s">
        <v>743</v>
      </c>
      <c r="J394" s="8"/>
      <c r="K394" s="10"/>
      <c r="L394" s="10">
        <v>15</v>
      </c>
      <c r="M394" s="10">
        <v>5</v>
      </c>
      <c r="N394" s="30">
        <v>5</v>
      </c>
      <c r="O394" s="7">
        <f t="shared" ref="O394:O418" si="107">SUM(J394:N394)</f>
        <v>25</v>
      </c>
      <c r="P394" s="58">
        <v>43344</v>
      </c>
      <c r="Q394" s="56"/>
    </row>
    <row r="395" spans="1:17" x14ac:dyDescent="0.15">
      <c r="A395" s="39" t="s">
        <v>10</v>
      </c>
      <c r="B395" s="8"/>
      <c r="C395" s="10">
        <v>4</v>
      </c>
      <c r="D395" s="10">
        <v>1</v>
      </c>
      <c r="E395" s="10">
        <v>2</v>
      </c>
      <c r="F395" s="30">
        <v>1</v>
      </c>
      <c r="G395" s="7">
        <f t="shared" si="105"/>
        <v>8</v>
      </c>
      <c r="H395" s="58">
        <v>43347</v>
      </c>
      <c r="I395" s="14" t="s">
        <v>110</v>
      </c>
      <c r="J395" s="8"/>
      <c r="K395" s="10">
        <v>2</v>
      </c>
      <c r="L395" s="10"/>
      <c r="M395" s="10"/>
      <c r="N395" s="30"/>
      <c r="O395" s="7">
        <f t="shared" si="107"/>
        <v>2</v>
      </c>
      <c r="P395" s="58">
        <v>43350</v>
      </c>
      <c r="Q395" s="56"/>
    </row>
    <row r="396" spans="1:17" x14ac:dyDescent="0.15">
      <c r="A396" s="14" t="s">
        <v>182</v>
      </c>
      <c r="B396" s="8"/>
      <c r="C396" s="10">
        <v>2</v>
      </c>
      <c r="D396" s="10">
        <v>2</v>
      </c>
      <c r="E396" s="10"/>
      <c r="F396" s="30">
        <v>2</v>
      </c>
      <c r="G396" s="7">
        <f t="shared" si="105"/>
        <v>6</v>
      </c>
      <c r="H396" s="58">
        <v>43348</v>
      </c>
      <c r="I396" s="16" t="s">
        <v>822</v>
      </c>
      <c r="J396" s="8"/>
      <c r="K396" s="10">
        <v>10</v>
      </c>
      <c r="L396" s="10"/>
      <c r="M396" s="10">
        <v>5</v>
      </c>
      <c r="N396" s="30">
        <v>5</v>
      </c>
      <c r="O396" s="7">
        <f t="shared" si="107"/>
        <v>20</v>
      </c>
      <c r="P396" s="58">
        <v>43347</v>
      </c>
      <c r="Q396" s="56"/>
    </row>
    <row r="397" spans="1:17" x14ac:dyDescent="0.15">
      <c r="A397" s="14" t="s">
        <v>825</v>
      </c>
      <c r="B397" s="37"/>
      <c r="C397" s="35"/>
      <c r="D397" s="35"/>
      <c r="E397" s="35"/>
      <c r="F397" s="28">
        <v>2</v>
      </c>
      <c r="G397" s="7">
        <f t="shared" si="105"/>
        <v>2</v>
      </c>
      <c r="H397" s="58">
        <v>43354</v>
      </c>
      <c r="I397" s="14" t="s">
        <v>743</v>
      </c>
      <c r="J397" s="8">
        <v>10</v>
      </c>
      <c r="K397" s="10"/>
      <c r="L397" s="10"/>
      <c r="M397" s="10">
        <v>5</v>
      </c>
      <c r="N397" s="30">
        <v>5</v>
      </c>
      <c r="O397" s="7">
        <f t="shared" si="107"/>
        <v>20</v>
      </c>
      <c r="P397" s="58">
        <v>43351</v>
      </c>
      <c r="Q397" s="56"/>
    </row>
    <row r="398" spans="1:17" x14ac:dyDescent="0.15">
      <c r="A398" s="39" t="s">
        <v>10</v>
      </c>
      <c r="B398" s="8"/>
      <c r="C398" s="10"/>
      <c r="D398" s="10">
        <v>1</v>
      </c>
      <c r="E398" s="10">
        <v>2</v>
      </c>
      <c r="F398" s="30"/>
      <c r="G398" s="7">
        <f t="shared" si="105"/>
        <v>3</v>
      </c>
      <c r="H398" s="58">
        <v>43349</v>
      </c>
      <c r="I398" s="16" t="s">
        <v>24</v>
      </c>
      <c r="J398" s="8">
        <v>10</v>
      </c>
      <c r="K398" s="10">
        <v>10</v>
      </c>
      <c r="L398" s="10"/>
      <c r="M398" s="10">
        <v>10</v>
      </c>
      <c r="N398" s="30"/>
      <c r="O398" s="7">
        <f t="shared" si="107"/>
        <v>30</v>
      </c>
      <c r="P398" s="58">
        <v>43362</v>
      </c>
      <c r="Q398" s="56"/>
    </row>
    <row r="399" spans="1:17" x14ac:dyDescent="0.15">
      <c r="A399" s="14" t="s">
        <v>827</v>
      </c>
      <c r="B399" s="8"/>
      <c r="C399" s="10"/>
      <c r="D399" s="10"/>
      <c r="E399" s="10">
        <v>1</v>
      </c>
      <c r="F399" s="30"/>
      <c r="G399" s="7">
        <f t="shared" si="105"/>
        <v>1</v>
      </c>
      <c r="H399" s="58">
        <v>43348</v>
      </c>
      <c r="I399" s="16" t="s">
        <v>24</v>
      </c>
      <c r="J399" s="8"/>
      <c r="K399" s="10"/>
      <c r="L399" s="10"/>
      <c r="M399" s="10">
        <v>10</v>
      </c>
      <c r="N399" s="30">
        <v>10</v>
      </c>
      <c r="O399" s="7">
        <f t="shared" si="107"/>
        <v>20</v>
      </c>
      <c r="P399" s="58">
        <v>43370</v>
      </c>
      <c r="Q399" s="56"/>
    </row>
    <row r="400" spans="1:17" x14ac:dyDescent="0.15">
      <c r="A400" s="14" t="s">
        <v>22</v>
      </c>
      <c r="B400" s="8"/>
      <c r="C400" s="10"/>
      <c r="D400" s="10">
        <v>10</v>
      </c>
      <c r="E400" s="10"/>
      <c r="F400" s="30"/>
      <c r="G400" s="7">
        <f t="shared" si="105"/>
        <v>10</v>
      </c>
      <c r="H400" s="58">
        <v>43361</v>
      </c>
      <c r="I400" s="16" t="s">
        <v>24</v>
      </c>
      <c r="J400" s="8"/>
      <c r="K400" s="10">
        <v>10</v>
      </c>
      <c r="L400" s="10"/>
      <c r="M400" s="10"/>
      <c r="N400" s="30"/>
      <c r="O400" s="7">
        <f t="shared" si="107"/>
        <v>10</v>
      </c>
      <c r="P400" s="58">
        <v>43371</v>
      </c>
      <c r="Q400" s="56"/>
    </row>
    <row r="401" spans="1:17" x14ac:dyDescent="0.15">
      <c r="A401" s="14" t="s">
        <v>29</v>
      </c>
      <c r="B401" s="8"/>
      <c r="C401" s="10"/>
      <c r="D401" s="10"/>
      <c r="E401" s="10"/>
      <c r="F401" s="30">
        <v>1</v>
      </c>
      <c r="G401" s="7">
        <f t="shared" si="105"/>
        <v>1</v>
      </c>
      <c r="H401" s="58">
        <v>43354</v>
      </c>
      <c r="I401" s="14" t="s">
        <v>110</v>
      </c>
      <c r="J401" s="8"/>
      <c r="K401" s="10"/>
      <c r="L401" s="10"/>
      <c r="M401" s="10">
        <v>2</v>
      </c>
      <c r="N401" s="30"/>
      <c r="O401" s="7">
        <f t="shared" si="107"/>
        <v>2</v>
      </c>
      <c r="P401" s="58">
        <v>43383</v>
      </c>
    </row>
    <row r="402" spans="1:17" x14ac:dyDescent="0.15">
      <c r="A402" s="14" t="s">
        <v>182</v>
      </c>
      <c r="B402" s="11"/>
      <c r="C402" s="12"/>
      <c r="D402" s="12"/>
      <c r="E402" s="12">
        <v>2</v>
      </c>
      <c r="F402" s="31"/>
      <c r="G402" s="7">
        <f t="shared" si="105"/>
        <v>2</v>
      </c>
      <c r="H402" s="58">
        <v>43357</v>
      </c>
      <c r="I402" s="14"/>
      <c r="J402" s="11"/>
      <c r="K402" s="12"/>
      <c r="L402" s="12"/>
      <c r="M402" s="12"/>
      <c r="N402" s="31"/>
      <c r="O402" s="7">
        <f t="shared" si="107"/>
        <v>0</v>
      </c>
      <c r="P402" s="58"/>
    </row>
    <row r="403" spans="1:17" x14ac:dyDescent="0.15">
      <c r="A403" s="14" t="s">
        <v>182</v>
      </c>
      <c r="B403" s="8">
        <v>3</v>
      </c>
      <c r="C403" s="10"/>
      <c r="D403" s="10"/>
      <c r="E403" s="10"/>
      <c r="F403" s="30"/>
      <c r="G403" s="7">
        <f t="shared" si="105"/>
        <v>3</v>
      </c>
      <c r="H403" s="58">
        <v>43361</v>
      </c>
      <c r="I403" s="16"/>
      <c r="J403" s="8"/>
      <c r="K403" s="10"/>
      <c r="L403" s="10"/>
      <c r="M403" s="10"/>
      <c r="N403" s="30"/>
      <c r="O403" s="7">
        <f t="shared" si="107"/>
        <v>0</v>
      </c>
    </row>
    <row r="404" spans="1:17" x14ac:dyDescent="0.15">
      <c r="A404" s="14" t="s">
        <v>22</v>
      </c>
      <c r="B404" s="8">
        <v>10</v>
      </c>
      <c r="C404" s="10">
        <v>10</v>
      </c>
      <c r="D404" s="10"/>
      <c r="E404" s="10">
        <v>10</v>
      </c>
      <c r="F404" s="30"/>
      <c r="G404" s="7">
        <f t="shared" si="105"/>
        <v>30</v>
      </c>
      <c r="H404" s="58">
        <v>43364</v>
      </c>
      <c r="I404" s="14"/>
      <c r="J404" s="8"/>
      <c r="K404" s="10"/>
      <c r="L404" s="10"/>
      <c r="M404" s="10"/>
      <c r="N404" s="30"/>
      <c r="O404" s="7">
        <f t="shared" si="107"/>
        <v>0</v>
      </c>
    </row>
    <row r="405" spans="1:17" x14ac:dyDescent="0.15">
      <c r="A405" s="14" t="s">
        <v>838</v>
      </c>
      <c r="B405" s="8"/>
      <c r="C405" s="10"/>
      <c r="D405" s="10"/>
      <c r="E405" s="10">
        <v>1</v>
      </c>
      <c r="F405" s="30"/>
      <c r="G405" s="7">
        <f t="shared" si="105"/>
        <v>1</v>
      </c>
      <c r="H405" s="58">
        <v>43362</v>
      </c>
      <c r="I405" s="16"/>
      <c r="J405" s="8"/>
      <c r="K405" s="10"/>
      <c r="L405" s="10"/>
      <c r="M405" s="10"/>
      <c r="N405" s="30"/>
      <c r="O405" s="7">
        <f t="shared" si="107"/>
        <v>0</v>
      </c>
    </row>
    <row r="406" spans="1:17" x14ac:dyDescent="0.15">
      <c r="A406" s="14" t="s">
        <v>22</v>
      </c>
      <c r="B406" s="8"/>
      <c r="C406" s="10"/>
      <c r="D406" s="10"/>
      <c r="E406" s="10">
        <v>10</v>
      </c>
      <c r="F406" s="30">
        <v>10</v>
      </c>
      <c r="G406" s="7">
        <f t="shared" si="105"/>
        <v>20</v>
      </c>
      <c r="H406" s="58">
        <v>43370</v>
      </c>
      <c r="I406" s="16"/>
      <c r="J406" s="8"/>
      <c r="K406" s="10"/>
      <c r="L406" s="10"/>
      <c r="M406" s="10"/>
      <c r="N406" s="30"/>
      <c r="O406" s="7">
        <f t="shared" si="107"/>
        <v>0</v>
      </c>
    </row>
    <row r="407" spans="1:17" x14ac:dyDescent="0.15">
      <c r="A407" s="39" t="s">
        <v>10</v>
      </c>
      <c r="B407" s="8"/>
      <c r="C407" s="10"/>
      <c r="D407" s="10"/>
      <c r="E407" s="10">
        <v>1</v>
      </c>
      <c r="F407" s="30"/>
      <c r="G407" s="7">
        <f t="shared" si="105"/>
        <v>1</v>
      </c>
      <c r="H407" s="58">
        <v>43369</v>
      </c>
      <c r="I407" s="16"/>
      <c r="J407" s="8"/>
      <c r="K407" s="10"/>
      <c r="L407" s="10"/>
      <c r="M407" s="10"/>
      <c r="N407" s="30"/>
      <c r="O407" s="7">
        <f t="shared" si="107"/>
        <v>0</v>
      </c>
    </row>
    <row r="408" spans="1:17" x14ac:dyDescent="0.15">
      <c r="A408" s="39" t="s">
        <v>10</v>
      </c>
      <c r="B408" s="8"/>
      <c r="C408" s="10"/>
      <c r="D408" s="10"/>
      <c r="E408" s="10"/>
      <c r="F408" s="30">
        <v>1</v>
      </c>
      <c r="G408" s="7">
        <f t="shared" si="105"/>
        <v>1</v>
      </c>
      <c r="H408" s="58">
        <v>43371</v>
      </c>
      <c r="I408" s="16"/>
      <c r="J408" s="8"/>
      <c r="K408" s="10"/>
      <c r="L408" s="10"/>
      <c r="M408" s="10"/>
      <c r="N408" s="30"/>
      <c r="O408" s="7">
        <f t="shared" si="107"/>
        <v>0</v>
      </c>
      <c r="P408" s="56"/>
      <c r="Q408" s="56"/>
    </row>
    <row r="409" spans="1:17" x14ac:dyDescent="0.15">
      <c r="A409" s="14" t="s">
        <v>22</v>
      </c>
      <c r="B409" s="8"/>
      <c r="C409" s="10">
        <v>10</v>
      </c>
      <c r="D409" s="10"/>
      <c r="E409" s="10"/>
      <c r="F409" s="30"/>
      <c r="G409" s="7">
        <f t="shared" si="105"/>
        <v>10</v>
      </c>
      <c r="H409" s="58">
        <v>43375</v>
      </c>
      <c r="I409" s="20"/>
      <c r="J409" s="8"/>
      <c r="K409" s="10"/>
      <c r="L409" s="10"/>
      <c r="M409" s="10"/>
      <c r="N409" s="30"/>
      <c r="O409" s="7">
        <f t="shared" si="107"/>
        <v>0</v>
      </c>
      <c r="P409" s="56"/>
      <c r="Q409" s="56"/>
    </row>
    <row r="410" spans="1:17" x14ac:dyDescent="0.15">
      <c r="A410" s="15" t="s">
        <v>19</v>
      </c>
      <c r="B410" s="8"/>
      <c r="C410" s="10">
        <v>-1</v>
      </c>
      <c r="D410" s="10">
        <v>-1</v>
      </c>
      <c r="E410" s="10">
        <v>-3</v>
      </c>
      <c r="F410" s="30"/>
      <c r="G410" s="7">
        <f t="shared" si="105"/>
        <v>-5</v>
      </c>
      <c r="H410" s="58">
        <v>43370</v>
      </c>
      <c r="I410" s="14"/>
      <c r="J410" s="8"/>
      <c r="K410" s="10"/>
      <c r="L410" s="10"/>
      <c r="M410" s="10"/>
      <c r="N410" s="30"/>
      <c r="O410" s="7">
        <f t="shared" si="107"/>
        <v>0</v>
      </c>
      <c r="P410" s="56"/>
      <c r="Q410" s="56"/>
    </row>
    <row r="411" spans="1:17" x14ac:dyDescent="0.15">
      <c r="A411" s="39" t="s">
        <v>10</v>
      </c>
      <c r="B411" s="8"/>
      <c r="C411" s="10">
        <v>1</v>
      </c>
      <c r="D411" s="10">
        <v>1</v>
      </c>
      <c r="E411" s="10"/>
      <c r="F411" s="30"/>
      <c r="G411" s="7">
        <f t="shared" si="105"/>
        <v>2</v>
      </c>
      <c r="H411" s="58">
        <v>43375</v>
      </c>
      <c r="I411" s="14"/>
      <c r="J411" s="8"/>
      <c r="K411" s="10"/>
      <c r="L411" s="10"/>
      <c r="M411" s="10"/>
      <c r="N411" s="30"/>
      <c r="O411" s="7">
        <f t="shared" si="107"/>
        <v>0</v>
      </c>
      <c r="P411" s="56"/>
      <c r="Q411" s="56"/>
    </row>
    <row r="412" spans="1:17" x14ac:dyDescent="0.15">
      <c r="A412" s="39" t="s">
        <v>10</v>
      </c>
      <c r="B412" s="8">
        <v>1</v>
      </c>
      <c r="C412" s="10"/>
      <c r="D412" s="10">
        <v>1</v>
      </c>
      <c r="E412" s="10"/>
      <c r="F412" s="30">
        <v>1</v>
      </c>
      <c r="G412" s="7">
        <f t="shared" si="105"/>
        <v>3</v>
      </c>
      <c r="H412" s="58">
        <v>43377</v>
      </c>
      <c r="I412" s="14"/>
      <c r="J412" s="8"/>
      <c r="K412" s="10"/>
      <c r="L412" s="10"/>
      <c r="M412" s="10"/>
      <c r="N412" s="30"/>
      <c r="O412" s="7">
        <f t="shared" si="107"/>
        <v>0</v>
      </c>
      <c r="P412" s="56"/>
      <c r="Q412" s="56"/>
    </row>
    <row r="413" spans="1:17" x14ac:dyDescent="0.15">
      <c r="A413" s="14" t="s">
        <v>849</v>
      </c>
      <c r="B413" s="8"/>
      <c r="C413" s="10"/>
      <c r="D413" s="10"/>
      <c r="E413" s="10"/>
      <c r="F413" s="30">
        <v>1</v>
      </c>
      <c r="G413" s="7">
        <f t="shared" si="105"/>
        <v>1</v>
      </c>
      <c r="H413" s="58">
        <v>43377</v>
      </c>
      <c r="I413" s="14"/>
      <c r="J413" s="8"/>
      <c r="K413" s="10"/>
      <c r="L413" s="10"/>
      <c r="M413" s="10"/>
      <c r="N413" s="30"/>
      <c r="O413" s="7">
        <f t="shared" si="107"/>
        <v>0</v>
      </c>
      <c r="P413" s="58"/>
      <c r="Q413" s="56"/>
    </row>
    <row r="414" spans="1:17" x14ac:dyDescent="0.15">
      <c r="A414" s="39" t="s">
        <v>10</v>
      </c>
      <c r="B414" s="11">
        <v>2</v>
      </c>
      <c r="C414" s="12"/>
      <c r="D414" s="12"/>
      <c r="E414" s="12">
        <v>2</v>
      </c>
      <c r="F414" s="31"/>
      <c r="G414" s="7">
        <f t="shared" si="105"/>
        <v>4</v>
      </c>
      <c r="H414" s="58">
        <v>43379</v>
      </c>
      <c r="I414" s="51"/>
      <c r="J414" s="8"/>
      <c r="K414" s="10"/>
      <c r="L414" s="10"/>
      <c r="M414" s="10"/>
      <c r="N414" s="30"/>
      <c r="O414" s="7">
        <f t="shared" si="107"/>
        <v>0</v>
      </c>
      <c r="P414" s="56"/>
      <c r="Q414" s="56"/>
    </row>
    <row r="415" spans="1:17" x14ac:dyDescent="0.15">
      <c r="A415" s="14" t="s">
        <v>29</v>
      </c>
      <c r="B415" s="8"/>
      <c r="C415" s="10">
        <v>1</v>
      </c>
      <c r="D415" s="10"/>
      <c r="E415" s="10"/>
      <c r="F415" s="30"/>
      <c r="G415" s="7">
        <f t="shared" si="105"/>
        <v>1</v>
      </c>
      <c r="H415" s="58">
        <v>43378</v>
      </c>
      <c r="I415" s="14"/>
      <c r="J415" s="8"/>
      <c r="K415" s="10"/>
      <c r="L415" s="10"/>
      <c r="M415" s="10"/>
      <c r="N415" s="30"/>
      <c r="O415" s="7">
        <f t="shared" ref="O415" si="108">SUM(J415:N415)</f>
        <v>0</v>
      </c>
      <c r="P415" s="58"/>
    </row>
    <row r="416" spans="1:17" x14ac:dyDescent="0.15">
      <c r="A416" s="39" t="s">
        <v>10</v>
      </c>
      <c r="B416" s="8"/>
      <c r="C416" s="10"/>
      <c r="D416" s="10">
        <v>1</v>
      </c>
      <c r="E416" s="10"/>
      <c r="F416" s="30"/>
      <c r="G416" s="7">
        <f t="shared" si="105"/>
        <v>1</v>
      </c>
      <c r="H416" s="58">
        <v>43383</v>
      </c>
      <c r="I416" s="20"/>
      <c r="J416" s="11"/>
      <c r="K416" s="12"/>
      <c r="L416" s="12"/>
      <c r="M416" s="12"/>
      <c r="N416" s="31"/>
      <c r="O416" s="7">
        <f t="shared" si="107"/>
        <v>0</v>
      </c>
      <c r="P416" s="56"/>
    </row>
    <row r="417" spans="1:16" x14ac:dyDescent="0.15">
      <c r="A417" s="14" t="s">
        <v>29</v>
      </c>
      <c r="B417" s="8"/>
      <c r="C417" s="10"/>
      <c r="D417" s="10">
        <v>1</v>
      </c>
      <c r="E417" s="10"/>
      <c r="F417" s="30"/>
      <c r="G417" s="7">
        <f t="shared" si="105"/>
        <v>1</v>
      </c>
      <c r="H417" s="58">
        <v>43382</v>
      </c>
      <c r="I417" s="20"/>
      <c r="J417" s="11"/>
      <c r="K417" s="12"/>
      <c r="L417" s="12"/>
      <c r="M417" s="12"/>
      <c r="N417" s="31"/>
      <c r="O417" s="7">
        <f t="shared" ref="O417" si="109">SUM(J417:N417)</f>
        <v>0</v>
      </c>
      <c r="P417" s="56"/>
    </row>
    <row r="418" spans="1:16" ht="14.25" thickBot="1" x14ac:dyDescent="0.2">
      <c r="A418" s="14" t="s">
        <v>110</v>
      </c>
      <c r="B418" s="11"/>
      <c r="C418" s="12"/>
      <c r="D418" s="12"/>
      <c r="E418" s="12"/>
      <c r="F418" s="31">
        <v>3</v>
      </c>
      <c r="G418" s="115">
        <f t="shared" si="105"/>
        <v>3</v>
      </c>
      <c r="H418" s="58">
        <v>43389</v>
      </c>
      <c r="I418" s="51"/>
      <c r="J418" s="8"/>
      <c r="K418" s="10"/>
      <c r="L418" s="10"/>
      <c r="M418" s="10"/>
      <c r="N418" s="30"/>
      <c r="O418" s="7">
        <f t="shared" si="107"/>
        <v>0</v>
      </c>
      <c r="P418" s="56"/>
    </row>
    <row r="419" spans="1:16" ht="14.25" thickBot="1" x14ac:dyDescent="0.2">
      <c r="A419" s="3" t="s">
        <v>11</v>
      </c>
      <c r="B419" s="23">
        <f>SUM(B393:B418)</f>
        <v>18</v>
      </c>
      <c r="C419" s="4">
        <f>SUM(C393:C418)</f>
        <v>27</v>
      </c>
      <c r="D419" s="4">
        <f>SUM(D393:D418)</f>
        <v>27</v>
      </c>
      <c r="E419" s="6">
        <f>SUM(E393:E418)</f>
        <v>28</v>
      </c>
      <c r="F419" s="32">
        <f>SUM(F393:F418)</f>
        <v>24</v>
      </c>
      <c r="G419" s="5">
        <f>SUM(B419:F419)</f>
        <v>124</v>
      </c>
      <c r="I419" s="3" t="s">
        <v>11</v>
      </c>
      <c r="J419" s="23">
        <f>SUM(J393:J418)</f>
        <v>20</v>
      </c>
      <c r="K419" s="4">
        <f>SUM(K393:K418)</f>
        <v>34</v>
      </c>
      <c r="L419" s="4">
        <f>SUM(L393:L418)</f>
        <v>15</v>
      </c>
      <c r="M419" s="6">
        <f>SUM(M393:M418)</f>
        <v>37</v>
      </c>
      <c r="N419" s="32">
        <f>SUM(N393:N418)</f>
        <v>25</v>
      </c>
      <c r="O419" s="5">
        <f>SUM(J419:N419)</f>
        <v>131</v>
      </c>
    </row>
    <row r="420" spans="1:16" ht="14.25" thickBot="1" x14ac:dyDescent="0.2">
      <c r="A420" s="25" t="s">
        <v>12</v>
      </c>
      <c r="B420" s="63">
        <f>B392-B419</f>
        <v>10</v>
      </c>
      <c r="C420" s="26">
        <f t="shared" ref="C420:G420" si="110">C392-C419</f>
        <v>16</v>
      </c>
      <c r="D420" s="71">
        <f t="shared" si="110"/>
        <v>11</v>
      </c>
      <c r="E420" s="26">
        <f t="shared" si="110"/>
        <v>14</v>
      </c>
      <c r="F420" s="70">
        <f t="shared" si="110"/>
        <v>9</v>
      </c>
      <c r="G420" s="27">
        <f t="shared" si="110"/>
        <v>60</v>
      </c>
      <c r="I420" s="25" t="s">
        <v>12</v>
      </c>
      <c r="J420" s="63">
        <f>J392-J419</f>
        <v>259</v>
      </c>
      <c r="K420" s="26">
        <f t="shared" ref="K420:O420" si="111">K392-K419</f>
        <v>276</v>
      </c>
      <c r="L420" s="71">
        <f t="shared" si="111"/>
        <v>274</v>
      </c>
      <c r="M420" s="26">
        <f t="shared" si="111"/>
        <v>233</v>
      </c>
      <c r="N420" s="70">
        <f t="shared" si="111"/>
        <v>235</v>
      </c>
      <c r="O420" s="27">
        <f t="shared" si="111"/>
        <v>1277</v>
      </c>
    </row>
    <row r="421" spans="1:16" ht="17.25" x14ac:dyDescent="0.2">
      <c r="A421" s="79" t="s">
        <v>391</v>
      </c>
      <c r="B421" s="80"/>
      <c r="C421" s="80"/>
      <c r="D421" s="80"/>
      <c r="E421" s="80"/>
      <c r="F421" s="80"/>
      <c r="G421" s="80"/>
      <c r="H421" s="56"/>
      <c r="I421" s="79" t="s">
        <v>391</v>
      </c>
      <c r="J421" s="80"/>
      <c r="K421" s="80"/>
      <c r="L421" s="80"/>
      <c r="M421" s="80"/>
      <c r="N421" s="80"/>
      <c r="O421" s="1"/>
    </row>
    <row r="422" spans="1:16" ht="21.75" thickBot="1" x14ac:dyDescent="0.25">
      <c r="A422" s="82" t="s">
        <v>390</v>
      </c>
      <c r="B422" s="80"/>
      <c r="C422" s="80"/>
      <c r="D422" s="80"/>
      <c r="E422" s="81" t="s">
        <v>53</v>
      </c>
      <c r="F422" s="80"/>
      <c r="G422" s="80"/>
      <c r="H422" s="56"/>
      <c r="I422" s="82" t="s">
        <v>390</v>
      </c>
      <c r="J422" s="80"/>
      <c r="K422" s="80"/>
      <c r="L422" s="80"/>
      <c r="M422" s="81" t="s">
        <v>393</v>
      </c>
      <c r="N422" s="80"/>
      <c r="O422" s="1"/>
    </row>
    <row r="423" spans="1:16" ht="14.25" thickBot="1" x14ac:dyDescent="0.2">
      <c r="A423" s="13" t="s">
        <v>0</v>
      </c>
      <c r="B423" s="228" t="s">
        <v>392</v>
      </c>
      <c r="C423" s="229"/>
      <c r="D423" s="229"/>
      <c r="E423" s="229"/>
      <c r="F423" s="230"/>
      <c r="G423" s="231"/>
      <c r="H423" s="56"/>
      <c r="I423" s="13" t="s">
        <v>0</v>
      </c>
      <c r="J423" s="228" t="s">
        <v>392</v>
      </c>
      <c r="K423" s="229"/>
      <c r="L423" s="229"/>
      <c r="M423" s="229"/>
      <c r="N423" s="230"/>
      <c r="O423" s="231"/>
    </row>
    <row r="424" spans="1:16" ht="14.25" thickBot="1" x14ac:dyDescent="0.2">
      <c r="A424" s="3" t="s">
        <v>1</v>
      </c>
      <c r="B424" s="2" t="s">
        <v>42</v>
      </c>
      <c r="C424" s="21" t="s">
        <v>43</v>
      </c>
      <c r="D424" s="21" t="s">
        <v>44</v>
      </c>
      <c r="E424" s="24" t="s">
        <v>45</v>
      </c>
      <c r="F424" s="33" t="s">
        <v>46</v>
      </c>
      <c r="G424" s="34" t="s">
        <v>2</v>
      </c>
      <c r="H424" s="56"/>
      <c r="I424" s="3" t="s">
        <v>1</v>
      </c>
      <c r="J424" s="41" t="s">
        <v>42</v>
      </c>
      <c r="K424" s="42" t="s">
        <v>43</v>
      </c>
      <c r="L424" s="42" t="s">
        <v>44</v>
      </c>
      <c r="M424" s="43" t="s">
        <v>45</v>
      </c>
      <c r="N424" s="44" t="s">
        <v>46</v>
      </c>
      <c r="O424" s="3" t="s">
        <v>2</v>
      </c>
    </row>
    <row r="425" spans="1:16" ht="14.25" thickBot="1" x14ac:dyDescent="0.2">
      <c r="A425" s="72" t="s">
        <v>456</v>
      </c>
      <c r="B425" s="73">
        <f>B420</f>
        <v>10</v>
      </c>
      <c r="C425" s="74">
        <f t="shared" ref="C425:F425" si="112">C420</f>
        <v>16</v>
      </c>
      <c r="D425" s="74">
        <f t="shared" si="112"/>
        <v>11</v>
      </c>
      <c r="E425" s="74">
        <f t="shared" si="112"/>
        <v>14</v>
      </c>
      <c r="F425" s="105">
        <f t="shared" si="112"/>
        <v>9</v>
      </c>
      <c r="G425" s="131">
        <f t="shared" ref="G425:G433" si="113">SUM(B425:F425)</f>
        <v>60</v>
      </c>
      <c r="H425" s="56"/>
      <c r="I425" s="72" t="s">
        <v>456</v>
      </c>
      <c r="J425" s="73">
        <f>J420</f>
        <v>259</v>
      </c>
      <c r="K425" s="74">
        <f t="shared" ref="K425:N425" si="114">K420</f>
        <v>276</v>
      </c>
      <c r="L425" s="74">
        <f t="shared" si="114"/>
        <v>274</v>
      </c>
      <c r="M425" s="74">
        <f t="shared" si="114"/>
        <v>233</v>
      </c>
      <c r="N425" s="105">
        <f t="shared" si="114"/>
        <v>235</v>
      </c>
      <c r="O425" s="131">
        <f t="shared" ref="O425:O433" si="115">SUM(J425:N425)</f>
        <v>1277</v>
      </c>
    </row>
    <row r="426" spans="1:16" x14ac:dyDescent="0.15">
      <c r="A426" s="15" t="s">
        <v>3</v>
      </c>
      <c r="B426" s="8">
        <v>5</v>
      </c>
      <c r="C426" s="10"/>
      <c r="D426" s="10">
        <v>5</v>
      </c>
      <c r="E426" s="10"/>
      <c r="F426" s="28">
        <v>5</v>
      </c>
      <c r="G426" s="9">
        <f t="shared" si="113"/>
        <v>15</v>
      </c>
      <c r="H426" s="58">
        <v>43386</v>
      </c>
      <c r="I426" s="38" t="s">
        <v>14</v>
      </c>
      <c r="J426" s="37"/>
      <c r="K426" s="35"/>
      <c r="L426" s="35"/>
      <c r="M426" s="35"/>
      <c r="N426" s="28"/>
      <c r="O426" s="7">
        <f t="shared" si="115"/>
        <v>0</v>
      </c>
    </row>
    <row r="427" spans="1:16" x14ac:dyDescent="0.15">
      <c r="A427" s="15" t="s">
        <v>4</v>
      </c>
      <c r="B427" s="8"/>
      <c r="C427" s="10"/>
      <c r="D427" s="10"/>
      <c r="E427" s="10"/>
      <c r="F427" s="28">
        <v>10</v>
      </c>
      <c r="G427" s="9">
        <f t="shared" si="113"/>
        <v>10</v>
      </c>
      <c r="H427" s="58">
        <v>43390</v>
      </c>
      <c r="I427" s="38" t="s">
        <v>3</v>
      </c>
      <c r="J427" s="8"/>
      <c r="K427" s="10"/>
      <c r="L427" s="10"/>
      <c r="M427" s="10"/>
      <c r="N427" s="28"/>
      <c r="O427" s="9">
        <f t="shared" si="115"/>
        <v>0</v>
      </c>
    </row>
    <row r="428" spans="1:16" x14ac:dyDescent="0.15">
      <c r="A428" s="15" t="s">
        <v>5</v>
      </c>
      <c r="B428" s="8"/>
      <c r="C428" s="10"/>
      <c r="D428" s="10"/>
      <c r="E428" s="10">
        <v>10</v>
      </c>
      <c r="F428" s="28">
        <v>5</v>
      </c>
      <c r="G428" s="9">
        <f t="shared" si="113"/>
        <v>15</v>
      </c>
      <c r="H428" s="58">
        <v>43393</v>
      </c>
      <c r="I428" s="38" t="s">
        <v>4</v>
      </c>
      <c r="J428" s="8"/>
      <c r="K428" s="10"/>
      <c r="L428" s="10"/>
      <c r="M428" s="10"/>
      <c r="N428" s="28"/>
      <c r="O428" s="9">
        <f t="shared" si="115"/>
        <v>0</v>
      </c>
    </row>
    <row r="429" spans="1:16" x14ac:dyDescent="0.15">
      <c r="A429" s="15" t="s">
        <v>19</v>
      </c>
      <c r="B429" s="8">
        <v>2</v>
      </c>
      <c r="C429" s="10"/>
      <c r="D429" s="10"/>
      <c r="E429" s="10">
        <v>3</v>
      </c>
      <c r="F429" s="28"/>
      <c r="G429" s="9">
        <f t="shared" si="113"/>
        <v>5</v>
      </c>
      <c r="H429" s="58">
        <v>43395</v>
      </c>
      <c r="I429" s="38" t="s">
        <v>5</v>
      </c>
      <c r="J429" s="8"/>
      <c r="K429" s="10"/>
      <c r="L429" s="10"/>
      <c r="M429" s="10"/>
      <c r="N429" s="28"/>
      <c r="O429" s="9">
        <f t="shared" si="115"/>
        <v>0</v>
      </c>
    </row>
    <row r="430" spans="1:16" x14ac:dyDescent="0.15">
      <c r="A430" s="15" t="s">
        <v>84</v>
      </c>
      <c r="B430" s="8"/>
      <c r="C430" s="10">
        <v>5</v>
      </c>
      <c r="D430" s="10">
        <v>10</v>
      </c>
      <c r="E430" s="10"/>
      <c r="F430" s="30"/>
      <c r="G430" s="7">
        <f t="shared" si="113"/>
        <v>15</v>
      </c>
      <c r="H430" s="58">
        <v>43405</v>
      </c>
      <c r="I430" s="38" t="s">
        <v>6</v>
      </c>
      <c r="J430" s="8"/>
      <c r="K430" s="10"/>
      <c r="L430" s="10"/>
      <c r="M430" s="10"/>
      <c r="N430" s="30"/>
      <c r="O430" s="7">
        <f t="shared" si="115"/>
        <v>0</v>
      </c>
    </row>
    <row r="431" spans="1:16" x14ac:dyDescent="0.15">
      <c r="A431" s="15" t="s">
        <v>85</v>
      </c>
      <c r="B431" s="8"/>
      <c r="C431" s="10"/>
      <c r="D431" s="10">
        <v>5</v>
      </c>
      <c r="E431" s="10">
        <v>5</v>
      </c>
      <c r="F431" s="30">
        <v>10</v>
      </c>
      <c r="G431" s="7">
        <f t="shared" si="113"/>
        <v>20</v>
      </c>
      <c r="H431" s="58">
        <v>43409</v>
      </c>
      <c r="I431" s="38" t="s">
        <v>84</v>
      </c>
      <c r="J431" s="8"/>
      <c r="K431" s="10"/>
      <c r="L431" s="10"/>
      <c r="M431" s="10"/>
      <c r="N431" s="30"/>
      <c r="O431" s="7">
        <f t="shared" si="115"/>
        <v>0</v>
      </c>
    </row>
    <row r="432" spans="1:16" x14ac:dyDescent="0.15">
      <c r="A432" s="19" t="s">
        <v>867</v>
      </c>
      <c r="B432" s="8"/>
      <c r="C432" s="10">
        <v>1</v>
      </c>
      <c r="D432" s="10"/>
      <c r="E432" s="10"/>
      <c r="F432" s="30"/>
      <c r="G432" s="7">
        <f t="shared" si="113"/>
        <v>1</v>
      </c>
      <c r="H432" s="58">
        <v>43409</v>
      </c>
      <c r="I432" s="38" t="s">
        <v>85</v>
      </c>
      <c r="J432" s="8"/>
      <c r="K432" s="10"/>
      <c r="L432" s="10"/>
      <c r="M432" s="10"/>
      <c r="N432" s="30"/>
      <c r="O432" s="7">
        <f t="shared" si="115"/>
        <v>0</v>
      </c>
      <c r="P432" s="58"/>
    </row>
    <row r="433" spans="1:17" ht="14.25" thickBot="1" x14ac:dyDescent="0.2">
      <c r="A433" s="15" t="s">
        <v>17</v>
      </c>
      <c r="B433" s="11"/>
      <c r="C433" s="100"/>
      <c r="D433" s="100"/>
      <c r="E433" s="100">
        <v>1</v>
      </c>
      <c r="F433" s="101"/>
      <c r="G433" s="102">
        <f t="shared" si="113"/>
        <v>1</v>
      </c>
      <c r="H433" s="58">
        <v>43420</v>
      </c>
      <c r="I433" s="38" t="s">
        <v>86</v>
      </c>
      <c r="J433" s="11"/>
      <c r="K433" s="100"/>
      <c r="L433" s="100"/>
      <c r="M433" s="100"/>
      <c r="N433" s="101"/>
      <c r="O433" s="102">
        <f t="shared" si="115"/>
        <v>0</v>
      </c>
      <c r="P433" s="130"/>
    </row>
    <row r="434" spans="1:17" ht="14.25" thickBot="1" x14ac:dyDescent="0.2">
      <c r="A434" s="72" t="s">
        <v>7</v>
      </c>
      <c r="B434" s="73">
        <f>SUM(B425:B433)</f>
        <v>17</v>
      </c>
      <c r="C434" s="74">
        <f t="shared" ref="C434:G434" si="116">SUM(C425:C433)</f>
        <v>22</v>
      </c>
      <c r="D434" s="74">
        <f t="shared" si="116"/>
        <v>31</v>
      </c>
      <c r="E434" s="74">
        <f t="shared" si="116"/>
        <v>33</v>
      </c>
      <c r="F434" s="105">
        <f t="shared" si="116"/>
        <v>39</v>
      </c>
      <c r="G434" s="76">
        <f t="shared" si="116"/>
        <v>142</v>
      </c>
      <c r="H434" s="56"/>
      <c r="I434" s="72" t="s">
        <v>7</v>
      </c>
      <c r="J434" s="73">
        <f>SUM(J425:J433)</f>
        <v>259</v>
      </c>
      <c r="K434" s="74">
        <f t="shared" ref="K434:O434" si="117">SUM(K425:K433)</f>
        <v>276</v>
      </c>
      <c r="L434" s="74">
        <f t="shared" si="117"/>
        <v>274</v>
      </c>
      <c r="M434" s="74">
        <f t="shared" si="117"/>
        <v>233</v>
      </c>
      <c r="N434" s="105">
        <f t="shared" si="117"/>
        <v>235</v>
      </c>
      <c r="O434" s="76">
        <f t="shared" si="117"/>
        <v>1277</v>
      </c>
    </row>
    <row r="435" spans="1:17" x14ac:dyDescent="0.15">
      <c r="A435" s="39" t="s">
        <v>10</v>
      </c>
      <c r="B435" s="37"/>
      <c r="C435" s="35"/>
      <c r="D435" s="35"/>
      <c r="E435" s="35"/>
      <c r="F435" s="28">
        <v>1</v>
      </c>
      <c r="G435" s="18">
        <f t="shared" ref="G435:G460" si="118">SUM(B435:F435)</f>
        <v>1</v>
      </c>
      <c r="H435" s="58">
        <v>43385</v>
      </c>
      <c r="I435" s="14" t="s">
        <v>743</v>
      </c>
      <c r="J435" s="8">
        <v>5</v>
      </c>
      <c r="K435" s="10"/>
      <c r="L435" s="10">
        <v>5</v>
      </c>
      <c r="M435" s="10"/>
      <c r="N435" s="30">
        <v>5</v>
      </c>
      <c r="O435" s="7">
        <f t="shared" ref="O435:O458" si="119">SUM(J435:N435)</f>
        <v>15</v>
      </c>
      <c r="P435" s="58">
        <v>43386</v>
      </c>
    </row>
    <row r="436" spans="1:17" x14ac:dyDescent="0.15">
      <c r="A436" s="14" t="s">
        <v>117</v>
      </c>
      <c r="B436" s="8"/>
      <c r="C436" s="10"/>
      <c r="D436" s="10"/>
      <c r="E436" s="10">
        <v>1</v>
      </c>
      <c r="F436" s="30"/>
      <c r="G436" s="7">
        <f t="shared" si="118"/>
        <v>1</v>
      </c>
      <c r="H436" s="58">
        <v>43389</v>
      </c>
      <c r="I436" s="14" t="s">
        <v>853</v>
      </c>
      <c r="J436" s="8"/>
      <c r="K436" s="10"/>
      <c r="L436" s="10">
        <v>2</v>
      </c>
      <c r="M436" s="10"/>
      <c r="N436" s="30">
        <v>2</v>
      </c>
      <c r="O436" s="7">
        <f t="shared" si="119"/>
        <v>4</v>
      </c>
      <c r="P436" s="58">
        <v>43395</v>
      </c>
      <c r="Q436" s="56"/>
    </row>
    <row r="437" spans="1:17" x14ac:dyDescent="0.15">
      <c r="A437" s="39" t="s">
        <v>854</v>
      </c>
      <c r="B437" s="8"/>
      <c r="C437" s="10"/>
      <c r="D437" s="10"/>
      <c r="E437" s="10"/>
      <c r="F437" s="30">
        <v>10</v>
      </c>
      <c r="G437" s="7">
        <f t="shared" si="118"/>
        <v>10</v>
      </c>
      <c r="H437" s="58">
        <v>43395</v>
      </c>
      <c r="I437" s="14" t="s">
        <v>855</v>
      </c>
      <c r="J437" s="8"/>
      <c r="K437" s="10"/>
      <c r="L437" s="10"/>
      <c r="M437" s="10"/>
      <c r="N437" s="30">
        <v>10</v>
      </c>
      <c r="O437" s="7">
        <f t="shared" si="119"/>
        <v>10</v>
      </c>
      <c r="P437" s="58">
        <v>43390</v>
      </c>
    </row>
    <row r="438" spans="1:17" x14ac:dyDescent="0.15">
      <c r="A438" s="39" t="s">
        <v>10</v>
      </c>
      <c r="B438" s="8"/>
      <c r="C438" s="10"/>
      <c r="D438" s="10"/>
      <c r="E438" s="10">
        <v>1</v>
      </c>
      <c r="F438" s="30"/>
      <c r="G438" s="7">
        <f t="shared" si="118"/>
        <v>1</v>
      </c>
      <c r="H438" s="58">
        <v>43391</v>
      </c>
      <c r="I438" s="14" t="s">
        <v>24</v>
      </c>
      <c r="J438" s="8"/>
      <c r="K438" s="10"/>
      <c r="L438" s="10"/>
      <c r="M438" s="10">
        <v>10</v>
      </c>
      <c r="N438" s="30">
        <v>5</v>
      </c>
      <c r="O438" s="7">
        <f t="shared" si="119"/>
        <v>15</v>
      </c>
      <c r="P438" s="58">
        <v>43393</v>
      </c>
    </row>
    <row r="439" spans="1:17" x14ac:dyDescent="0.15">
      <c r="A439" s="14" t="s">
        <v>856</v>
      </c>
      <c r="B439" s="37"/>
      <c r="C439" s="35">
        <v>2</v>
      </c>
      <c r="D439" s="35"/>
      <c r="E439" s="35">
        <v>2</v>
      </c>
      <c r="F439" s="28"/>
      <c r="G439" s="7">
        <f t="shared" si="118"/>
        <v>4</v>
      </c>
      <c r="H439" s="58">
        <v>43391</v>
      </c>
      <c r="I439" s="14" t="s">
        <v>110</v>
      </c>
      <c r="J439" s="8"/>
      <c r="K439" s="10"/>
      <c r="L439" s="10"/>
      <c r="M439" s="10"/>
      <c r="N439" s="30">
        <v>2</v>
      </c>
      <c r="O439" s="7">
        <f t="shared" si="119"/>
        <v>2</v>
      </c>
      <c r="P439" s="58">
        <v>43406</v>
      </c>
    </row>
    <row r="440" spans="1:17" x14ac:dyDescent="0.15">
      <c r="A440" s="39" t="s">
        <v>10</v>
      </c>
      <c r="B440" s="8"/>
      <c r="C440" s="10"/>
      <c r="D440" s="10"/>
      <c r="E440" s="10"/>
      <c r="F440" s="30">
        <v>1</v>
      </c>
      <c r="G440" s="7">
        <f t="shared" si="118"/>
        <v>1</v>
      </c>
      <c r="H440" s="58">
        <v>43392</v>
      </c>
      <c r="I440" s="14" t="s">
        <v>110</v>
      </c>
      <c r="J440" s="8">
        <v>2</v>
      </c>
      <c r="K440" s="10">
        <v>2</v>
      </c>
      <c r="L440" s="10"/>
      <c r="M440" s="10"/>
      <c r="N440" s="30"/>
      <c r="O440" s="7">
        <f t="shared" si="119"/>
        <v>4</v>
      </c>
      <c r="P440" s="58">
        <v>43406</v>
      </c>
    </row>
    <row r="441" spans="1:17" x14ac:dyDescent="0.15">
      <c r="A441" s="14" t="s">
        <v>182</v>
      </c>
      <c r="B441" s="8"/>
      <c r="C441" s="10"/>
      <c r="D441" s="10">
        <v>2</v>
      </c>
      <c r="E441" s="10">
        <v>3</v>
      </c>
      <c r="F441" s="30">
        <v>1</v>
      </c>
      <c r="G441" s="7">
        <f t="shared" si="118"/>
        <v>6</v>
      </c>
      <c r="H441" s="58">
        <v>43392</v>
      </c>
      <c r="I441" s="14" t="s">
        <v>24</v>
      </c>
      <c r="J441" s="8"/>
      <c r="K441" s="10">
        <v>5</v>
      </c>
      <c r="L441" s="10">
        <v>10</v>
      </c>
      <c r="M441" s="10"/>
      <c r="N441" s="30"/>
      <c r="O441" s="7">
        <f t="shared" si="119"/>
        <v>15</v>
      </c>
      <c r="P441" s="58">
        <v>43405</v>
      </c>
    </row>
    <row r="442" spans="1:17" x14ac:dyDescent="0.15">
      <c r="A442" s="14" t="s">
        <v>182</v>
      </c>
      <c r="B442" s="8"/>
      <c r="C442" s="10"/>
      <c r="D442" s="10"/>
      <c r="E442" s="10">
        <v>1</v>
      </c>
      <c r="F442" s="30">
        <v>2</v>
      </c>
      <c r="G442" s="7">
        <f t="shared" si="118"/>
        <v>3</v>
      </c>
      <c r="H442" s="58">
        <v>43395</v>
      </c>
      <c r="I442" s="14" t="s">
        <v>24</v>
      </c>
      <c r="J442" s="8"/>
      <c r="K442" s="10"/>
      <c r="L442" s="10">
        <v>5</v>
      </c>
      <c r="M442" s="10">
        <v>5</v>
      </c>
      <c r="N442" s="30">
        <v>10</v>
      </c>
      <c r="O442" s="7">
        <f t="shared" si="119"/>
        <v>20</v>
      </c>
      <c r="P442" s="58">
        <v>43409</v>
      </c>
    </row>
    <row r="443" spans="1:17" x14ac:dyDescent="0.15">
      <c r="A443" s="14" t="s">
        <v>182</v>
      </c>
      <c r="B443" s="8"/>
      <c r="C443" s="10">
        <v>2</v>
      </c>
      <c r="D443" s="10">
        <v>5</v>
      </c>
      <c r="E443" s="10"/>
      <c r="F443" s="30"/>
      <c r="G443" s="7">
        <f t="shared" si="118"/>
        <v>7</v>
      </c>
      <c r="H443" s="58">
        <v>43397</v>
      </c>
      <c r="I443" s="14" t="s">
        <v>110</v>
      </c>
      <c r="J443" s="8"/>
      <c r="K443" s="10"/>
      <c r="L443" s="10"/>
      <c r="M443" s="10">
        <v>2</v>
      </c>
      <c r="N443" s="30"/>
      <c r="O443" s="7">
        <f t="shared" si="119"/>
        <v>2</v>
      </c>
      <c r="P443" s="58">
        <v>43413</v>
      </c>
      <c r="Q443" s="56"/>
    </row>
    <row r="444" spans="1:17" x14ac:dyDescent="0.15">
      <c r="A444" s="14" t="s">
        <v>860</v>
      </c>
      <c r="B444" s="11">
        <v>1</v>
      </c>
      <c r="C444" s="12">
        <v>1</v>
      </c>
      <c r="D444" s="12">
        <v>1</v>
      </c>
      <c r="E444" s="12">
        <v>1</v>
      </c>
      <c r="F444" s="31">
        <v>1</v>
      </c>
      <c r="G444" s="7">
        <f t="shared" si="118"/>
        <v>5</v>
      </c>
      <c r="H444" s="58">
        <v>43398</v>
      </c>
      <c r="I444" s="16" t="s">
        <v>872</v>
      </c>
      <c r="J444" s="11"/>
      <c r="K444" s="12"/>
      <c r="L444" s="12">
        <v>10</v>
      </c>
      <c r="M444" s="12"/>
      <c r="N444" s="31"/>
      <c r="O444" s="7">
        <f t="shared" si="119"/>
        <v>10</v>
      </c>
      <c r="P444" s="58">
        <v>43423</v>
      </c>
    </row>
    <row r="445" spans="1:17" x14ac:dyDescent="0.15">
      <c r="A445" s="14" t="s">
        <v>29</v>
      </c>
      <c r="B445" s="8"/>
      <c r="C445" s="10"/>
      <c r="D445" s="10"/>
      <c r="E445" s="10">
        <v>1</v>
      </c>
      <c r="F445" s="30"/>
      <c r="G445" s="7">
        <f t="shared" si="118"/>
        <v>1</v>
      </c>
      <c r="H445" s="58">
        <v>43395</v>
      </c>
      <c r="I445" s="16"/>
      <c r="J445" s="8"/>
      <c r="K445" s="10"/>
      <c r="L445" s="10"/>
      <c r="M445" s="10"/>
      <c r="N445" s="30"/>
      <c r="O445" s="7">
        <f t="shared" si="119"/>
        <v>0</v>
      </c>
    </row>
    <row r="446" spans="1:17" x14ac:dyDescent="0.15">
      <c r="A446" s="14" t="s">
        <v>182</v>
      </c>
      <c r="B446" s="8"/>
      <c r="C446" s="10"/>
      <c r="D446" s="10">
        <v>1</v>
      </c>
      <c r="E446" s="10">
        <v>1</v>
      </c>
      <c r="F446" s="30"/>
      <c r="G446" s="7">
        <f t="shared" si="118"/>
        <v>2</v>
      </c>
      <c r="H446" s="58">
        <v>43399</v>
      </c>
      <c r="I446" s="14"/>
      <c r="J446" s="8"/>
      <c r="K446" s="10"/>
      <c r="L446" s="10"/>
      <c r="M446" s="10"/>
      <c r="N446" s="30"/>
      <c r="O446" s="7">
        <f t="shared" si="119"/>
        <v>0</v>
      </c>
    </row>
    <row r="447" spans="1:17" x14ac:dyDescent="0.15">
      <c r="A447" s="39" t="s">
        <v>10</v>
      </c>
      <c r="B447" s="8"/>
      <c r="C447" s="10">
        <v>1</v>
      </c>
      <c r="D447" s="10"/>
      <c r="E447" s="10"/>
      <c r="F447" s="30"/>
      <c r="G447" s="7">
        <f t="shared" si="118"/>
        <v>1</v>
      </c>
      <c r="H447" s="58">
        <v>43403</v>
      </c>
      <c r="I447" s="16"/>
      <c r="J447" s="8"/>
      <c r="K447" s="10"/>
      <c r="L447" s="10"/>
      <c r="M447" s="10"/>
      <c r="N447" s="30"/>
      <c r="O447" s="7">
        <f t="shared" si="119"/>
        <v>0</v>
      </c>
    </row>
    <row r="448" spans="1:17" x14ac:dyDescent="0.15">
      <c r="A448" s="14" t="s">
        <v>29</v>
      </c>
      <c r="B448" s="8"/>
      <c r="C448" s="10">
        <v>1</v>
      </c>
      <c r="D448" s="10"/>
      <c r="E448" s="10">
        <v>1</v>
      </c>
      <c r="F448" s="30"/>
      <c r="G448" s="7">
        <f t="shared" si="118"/>
        <v>2</v>
      </c>
      <c r="H448" s="58">
        <v>43402</v>
      </c>
      <c r="I448" s="16"/>
      <c r="J448" s="8"/>
      <c r="K448" s="10"/>
      <c r="L448" s="10"/>
      <c r="M448" s="10"/>
      <c r="N448" s="30"/>
      <c r="O448" s="7">
        <f t="shared" si="119"/>
        <v>0</v>
      </c>
    </row>
    <row r="449" spans="1:16" x14ac:dyDescent="0.15">
      <c r="A449" s="14" t="s">
        <v>182</v>
      </c>
      <c r="B449" s="8"/>
      <c r="C449" s="10"/>
      <c r="D449" s="10">
        <v>2</v>
      </c>
      <c r="E449" s="10"/>
      <c r="F449" s="30"/>
      <c r="G449" s="7">
        <f t="shared" si="118"/>
        <v>2</v>
      </c>
      <c r="H449" s="58">
        <v>43406</v>
      </c>
      <c r="I449" s="16"/>
      <c r="J449" s="8"/>
      <c r="K449" s="10"/>
      <c r="L449" s="10"/>
      <c r="M449" s="10"/>
      <c r="N449" s="30"/>
      <c r="O449" s="7">
        <f t="shared" si="119"/>
        <v>0</v>
      </c>
    </row>
    <row r="450" spans="1:16" x14ac:dyDescent="0.15">
      <c r="A450" s="39" t="s">
        <v>10</v>
      </c>
      <c r="B450" s="8"/>
      <c r="C450" s="10"/>
      <c r="D450" s="10"/>
      <c r="E450" s="10">
        <v>2</v>
      </c>
      <c r="F450" s="30"/>
      <c r="G450" s="7">
        <f t="shared" si="118"/>
        <v>2</v>
      </c>
      <c r="H450" s="58">
        <v>43406</v>
      </c>
      <c r="I450" s="16"/>
      <c r="J450" s="8"/>
      <c r="K450" s="10"/>
      <c r="L450" s="10"/>
      <c r="M450" s="10"/>
      <c r="N450" s="30"/>
      <c r="O450" s="7">
        <f t="shared" si="119"/>
        <v>0</v>
      </c>
      <c r="P450" s="56"/>
    </row>
    <row r="451" spans="1:16" x14ac:dyDescent="0.15">
      <c r="A451" s="14" t="s">
        <v>182</v>
      </c>
      <c r="B451" s="8"/>
      <c r="C451" s="10">
        <v>1</v>
      </c>
      <c r="D451" s="10"/>
      <c r="E451" s="10"/>
      <c r="F451" s="30">
        <v>2</v>
      </c>
      <c r="G451" s="7">
        <f t="shared" si="118"/>
        <v>3</v>
      </c>
      <c r="H451" s="58">
        <v>43409</v>
      </c>
      <c r="I451" s="20"/>
      <c r="J451" s="8"/>
      <c r="K451" s="10"/>
      <c r="L451" s="10"/>
      <c r="M451" s="10"/>
      <c r="N451" s="30"/>
      <c r="O451" s="7">
        <f t="shared" si="119"/>
        <v>0</v>
      </c>
      <c r="P451" s="56"/>
    </row>
    <row r="452" spans="1:16" x14ac:dyDescent="0.15">
      <c r="A452" s="14" t="s">
        <v>29</v>
      </c>
      <c r="B452" s="8"/>
      <c r="C452" s="10"/>
      <c r="D452" s="10"/>
      <c r="E452" s="10"/>
      <c r="F452" s="30">
        <v>1</v>
      </c>
      <c r="G452" s="7">
        <f t="shared" si="118"/>
        <v>1</v>
      </c>
      <c r="H452" s="58">
        <v>43405</v>
      </c>
      <c r="I452" s="20"/>
      <c r="J452" s="8"/>
      <c r="K452" s="10"/>
      <c r="L452" s="10"/>
      <c r="M452" s="10"/>
      <c r="N452" s="30"/>
      <c r="O452" s="7">
        <f t="shared" si="119"/>
        <v>0</v>
      </c>
      <c r="P452" s="56"/>
    </row>
    <row r="453" spans="1:16" x14ac:dyDescent="0.15">
      <c r="A453" s="14" t="s">
        <v>182</v>
      </c>
      <c r="B453" s="8"/>
      <c r="C453" s="10"/>
      <c r="D453" s="10">
        <v>1</v>
      </c>
      <c r="E453" s="10"/>
      <c r="F453" s="30"/>
      <c r="G453" s="7">
        <f t="shared" si="118"/>
        <v>1</v>
      </c>
      <c r="H453" s="58">
        <v>43410</v>
      </c>
      <c r="I453" s="20"/>
      <c r="J453" s="11"/>
      <c r="K453" s="12"/>
      <c r="L453" s="12"/>
      <c r="M453" s="12"/>
      <c r="N453" s="31"/>
      <c r="O453" s="7">
        <f t="shared" ref="O453:O454" si="120">SUM(J453:N453)</f>
        <v>0</v>
      </c>
      <c r="P453" s="56"/>
    </row>
    <row r="454" spans="1:16" x14ac:dyDescent="0.15">
      <c r="A454" s="14" t="s">
        <v>117</v>
      </c>
      <c r="B454" s="8"/>
      <c r="C454" s="10">
        <v>1</v>
      </c>
      <c r="D454" s="10"/>
      <c r="E454" s="10"/>
      <c r="F454" s="30"/>
      <c r="G454" s="7">
        <f t="shared" si="118"/>
        <v>1</v>
      </c>
      <c r="H454" s="58">
        <v>43409</v>
      </c>
      <c r="I454" s="14"/>
      <c r="J454" s="8"/>
      <c r="K454" s="10"/>
      <c r="L454" s="10"/>
      <c r="M454" s="10"/>
      <c r="N454" s="30"/>
      <c r="O454" s="7">
        <f t="shared" si="120"/>
        <v>0</v>
      </c>
      <c r="P454" s="56"/>
    </row>
    <row r="455" spans="1:16" x14ac:dyDescent="0.15">
      <c r="A455" s="39" t="s">
        <v>10</v>
      </c>
      <c r="B455" s="8"/>
      <c r="C455" s="10">
        <v>1</v>
      </c>
      <c r="D455" s="10"/>
      <c r="E455" s="10"/>
      <c r="F455" s="30"/>
      <c r="G455" s="7">
        <f t="shared" si="118"/>
        <v>1</v>
      </c>
      <c r="H455" s="58">
        <v>43411</v>
      </c>
      <c r="I455" s="14"/>
      <c r="J455" s="8"/>
      <c r="K455" s="10"/>
      <c r="L455" s="10"/>
      <c r="M455" s="10"/>
      <c r="N455" s="30"/>
      <c r="O455" s="7">
        <f t="shared" si="119"/>
        <v>0</v>
      </c>
      <c r="P455" s="58"/>
    </row>
    <row r="456" spans="1:16" x14ac:dyDescent="0.15">
      <c r="A456" s="14" t="s">
        <v>866</v>
      </c>
      <c r="B456" s="11">
        <v>4</v>
      </c>
      <c r="C456" s="12">
        <v>4</v>
      </c>
      <c r="D456" s="12">
        <v>5</v>
      </c>
      <c r="E456" s="12">
        <v>2</v>
      </c>
      <c r="F456" s="31">
        <v>7</v>
      </c>
      <c r="G456" s="7">
        <f t="shared" si="118"/>
        <v>22</v>
      </c>
      <c r="H456" s="58">
        <v>43411</v>
      </c>
      <c r="I456" s="14"/>
      <c r="J456" s="8"/>
      <c r="K456" s="10"/>
      <c r="L456" s="10"/>
      <c r="M456" s="10"/>
      <c r="N456" s="30"/>
      <c r="O456" s="7">
        <f t="shared" si="119"/>
        <v>0</v>
      </c>
      <c r="P456" s="56"/>
    </row>
    <row r="457" spans="1:16" x14ac:dyDescent="0.15">
      <c r="A457" s="14" t="s">
        <v>182</v>
      </c>
      <c r="B457" s="8"/>
      <c r="C457" s="10">
        <v>1</v>
      </c>
      <c r="D457" s="10"/>
      <c r="E457" s="10"/>
      <c r="F457" s="30"/>
      <c r="G457" s="7">
        <f t="shared" si="118"/>
        <v>1</v>
      </c>
      <c r="H457" s="58">
        <v>43411</v>
      </c>
      <c r="I457" s="14"/>
      <c r="J457" s="8"/>
      <c r="K457" s="10"/>
      <c r="L457" s="10"/>
      <c r="M457" s="10"/>
      <c r="N457" s="30"/>
      <c r="O457" s="7">
        <f t="shared" si="119"/>
        <v>0</v>
      </c>
      <c r="P457" s="56"/>
    </row>
    <row r="458" spans="1:16" x14ac:dyDescent="0.15">
      <c r="A458" s="39" t="s">
        <v>10</v>
      </c>
      <c r="B458" s="8">
        <v>1</v>
      </c>
      <c r="C458" s="10"/>
      <c r="D458" s="10">
        <v>1</v>
      </c>
      <c r="E458" s="10"/>
      <c r="F458" s="30"/>
      <c r="G458" s="7">
        <f t="shared" si="118"/>
        <v>2</v>
      </c>
      <c r="H458" s="58">
        <v>43414</v>
      </c>
      <c r="I458" s="16"/>
      <c r="J458" s="11"/>
      <c r="K458" s="12"/>
      <c r="L458" s="12"/>
      <c r="M458" s="12"/>
      <c r="N458" s="31"/>
      <c r="O458" s="7">
        <f t="shared" si="119"/>
        <v>0</v>
      </c>
      <c r="P458" s="56"/>
    </row>
    <row r="459" spans="1:16" x14ac:dyDescent="0.15">
      <c r="A459" s="14" t="s">
        <v>182</v>
      </c>
      <c r="B459" s="8"/>
      <c r="C459" s="10">
        <v>1</v>
      </c>
      <c r="D459" s="10"/>
      <c r="E459" s="10"/>
      <c r="F459" s="30"/>
      <c r="G459" s="7">
        <f t="shared" si="118"/>
        <v>1</v>
      </c>
      <c r="H459" s="58">
        <v>43417</v>
      </c>
      <c r="I459" s="20"/>
      <c r="J459" s="8"/>
      <c r="K459" s="10"/>
      <c r="L459" s="10"/>
      <c r="M459" s="10"/>
      <c r="N459" s="30"/>
      <c r="O459" s="7">
        <f t="shared" ref="O459" si="121">SUM(J459:N459)</f>
        <v>0</v>
      </c>
      <c r="P459" s="56"/>
    </row>
    <row r="460" spans="1:16" ht="14.25" thickBot="1" x14ac:dyDescent="0.2">
      <c r="A460" s="20" t="s">
        <v>871</v>
      </c>
      <c r="B460" s="11">
        <v>1</v>
      </c>
      <c r="C460" s="12"/>
      <c r="D460" s="12"/>
      <c r="E460" s="12"/>
      <c r="F460" s="31"/>
      <c r="G460" s="115">
        <f t="shared" si="118"/>
        <v>1</v>
      </c>
      <c r="H460" s="57">
        <v>43417</v>
      </c>
      <c r="I460" s="14"/>
      <c r="J460" s="8"/>
      <c r="K460" s="10"/>
      <c r="L460" s="10"/>
      <c r="M460" s="10"/>
      <c r="N460" s="30"/>
      <c r="O460" s="7">
        <f t="shared" ref="O460" si="122">SUM(J460:N460)</f>
        <v>0</v>
      </c>
      <c r="P460" s="56"/>
    </row>
    <row r="461" spans="1:16" ht="14.25" thickBot="1" x14ac:dyDescent="0.2">
      <c r="A461" s="3" t="s">
        <v>11</v>
      </c>
      <c r="B461" s="23">
        <f>SUM(B435:B460)</f>
        <v>7</v>
      </c>
      <c r="C461" s="4">
        <f>SUM(C435:C460)</f>
        <v>16</v>
      </c>
      <c r="D461" s="4">
        <f>SUM(D435:D460)</f>
        <v>18</v>
      </c>
      <c r="E461" s="6">
        <f>SUM(E435:E460)</f>
        <v>16</v>
      </c>
      <c r="F461" s="32">
        <f>SUM(F435:F460)</f>
        <v>26</v>
      </c>
      <c r="G461" s="5">
        <f>SUM(B461:F461)</f>
        <v>83</v>
      </c>
      <c r="I461" s="3" t="s">
        <v>11</v>
      </c>
      <c r="J461" s="23">
        <f>SUM(J435:J460)</f>
        <v>7</v>
      </c>
      <c r="K461" s="4">
        <f>SUM(K435:K460)</f>
        <v>7</v>
      </c>
      <c r="L461" s="4">
        <f>SUM(L435:L460)</f>
        <v>32</v>
      </c>
      <c r="M461" s="6">
        <f>SUM(M435:M460)</f>
        <v>17</v>
      </c>
      <c r="N461" s="32">
        <f>SUM(N435:N460)</f>
        <v>34</v>
      </c>
      <c r="O461" s="5">
        <f>SUM(J461:N461)</f>
        <v>97</v>
      </c>
    </row>
    <row r="462" spans="1:16" ht="14.25" thickBot="1" x14ac:dyDescent="0.2">
      <c r="A462" s="25" t="s">
        <v>12</v>
      </c>
      <c r="B462" s="63">
        <f>B434-B461</f>
        <v>10</v>
      </c>
      <c r="C462" s="26">
        <f t="shared" ref="C462:G462" si="123">C434-C461</f>
        <v>6</v>
      </c>
      <c r="D462" s="71">
        <f t="shared" si="123"/>
        <v>13</v>
      </c>
      <c r="E462" s="26">
        <f t="shared" si="123"/>
        <v>17</v>
      </c>
      <c r="F462" s="70">
        <f t="shared" si="123"/>
        <v>13</v>
      </c>
      <c r="G462" s="27">
        <f t="shared" si="123"/>
        <v>59</v>
      </c>
      <c r="I462" s="25" t="s">
        <v>12</v>
      </c>
      <c r="J462" s="63">
        <f>J434-J461</f>
        <v>252</v>
      </c>
      <c r="K462" s="26">
        <f t="shared" ref="K462:O462" si="124">K434-K461</f>
        <v>269</v>
      </c>
      <c r="L462" s="71">
        <f t="shared" si="124"/>
        <v>242</v>
      </c>
      <c r="M462" s="26">
        <f t="shared" si="124"/>
        <v>216</v>
      </c>
      <c r="N462" s="70">
        <f t="shared" si="124"/>
        <v>201</v>
      </c>
      <c r="O462" s="27">
        <f t="shared" si="124"/>
        <v>1180</v>
      </c>
    </row>
    <row r="463" spans="1:16" ht="17.25" x14ac:dyDescent="0.2">
      <c r="A463" s="79" t="s">
        <v>391</v>
      </c>
      <c r="B463" s="80"/>
      <c r="C463" s="80"/>
      <c r="D463" s="80"/>
      <c r="E463" s="80"/>
      <c r="F463" s="80"/>
      <c r="G463" s="80"/>
      <c r="H463" s="56"/>
      <c r="I463" s="79" t="s">
        <v>391</v>
      </c>
      <c r="J463" s="80"/>
      <c r="K463" s="80"/>
      <c r="L463" s="80"/>
      <c r="M463" s="80"/>
      <c r="N463" s="80"/>
      <c r="O463" s="1"/>
    </row>
    <row r="464" spans="1:16" ht="21.75" thickBot="1" x14ac:dyDescent="0.25">
      <c r="A464" s="82" t="s">
        <v>390</v>
      </c>
      <c r="B464" s="80"/>
      <c r="C464" s="80"/>
      <c r="D464" s="80"/>
      <c r="E464" s="81" t="s">
        <v>53</v>
      </c>
      <c r="F464" s="80"/>
      <c r="G464" s="80"/>
      <c r="H464" s="56"/>
      <c r="I464" s="82" t="s">
        <v>390</v>
      </c>
      <c r="J464" s="80"/>
      <c r="K464" s="80"/>
      <c r="L464" s="80"/>
      <c r="M464" s="81" t="s">
        <v>393</v>
      </c>
      <c r="N464" s="80"/>
      <c r="O464" s="1"/>
    </row>
    <row r="465" spans="1:19" ht="14.25" thickBot="1" x14ac:dyDescent="0.2">
      <c r="A465" s="13" t="s">
        <v>0</v>
      </c>
      <c r="B465" s="228" t="s">
        <v>392</v>
      </c>
      <c r="C465" s="229"/>
      <c r="D465" s="229"/>
      <c r="E465" s="229"/>
      <c r="F465" s="230"/>
      <c r="G465" s="231"/>
      <c r="H465" s="56"/>
      <c r="I465" s="13" t="s">
        <v>0</v>
      </c>
      <c r="J465" s="228" t="s">
        <v>392</v>
      </c>
      <c r="K465" s="229"/>
      <c r="L465" s="229"/>
      <c r="M465" s="229"/>
      <c r="N465" s="230"/>
      <c r="O465" s="231"/>
    </row>
    <row r="466" spans="1:19" ht="14.25" thickBot="1" x14ac:dyDescent="0.2">
      <c r="A466" s="3" t="s">
        <v>1</v>
      </c>
      <c r="B466" s="2" t="s">
        <v>42</v>
      </c>
      <c r="C466" s="21" t="s">
        <v>43</v>
      </c>
      <c r="D466" s="21" t="s">
        <v>44</v>
      </c>
      <c r="E466" s="24" t="s">
        <v>45</v>
      </c>
      <c r="F466" s="33" t="s">
        <v>46</v>
      </c>
      <c r="G466" s="34" t="s">
        <v>2</v>
      </c>
      <c r="H466" s="56"/>
      <c r="I466" s="3" t="s">
        <v>1</v>
      </c>
      <c r="J466" s="41" t="s">
        <v>42</v>
      </c>
      <c r="K466" s="42" t="s">
        <v>43</v>
      </c>
      <c r="L466" s="42" t="s">
        <v>44</v>
      </c>
      <c r="M466" s="43" t="s">
        <v>45</v>
      </c>
      <c r="N466" s="44" t="s">
        <v>46</v>
      </c>
      <c r="O466" s="3" t="s">
        <v>2</v>
      </c>
    </row>
    <row r="467" spans="1:19" ht="14.25" thickBot="1" x14ac:dyDescent="0.2">
      <c r="A467" s="72" t="s">
        <v>456</v>
      </c>
      <c r="B467" s="73">
        <f>B462</f>
        <v>10</v>
      </c>
      <c r="C467" s="74">
        <f t="shared" ref="C467:F467" si="125">C462</f>
        <v>6</v>
      </c>
      <c r="D467" s="74">
        <f t="shared" si="125"/>
        <v>13</v>
      </c>
      <c r="E467" s="74">
        <f t="shared" si="125"/>
        <v>17</v>
      </c>
      <c r="F467" s="105">
        <f t="shared" si="125"/>
        <v>13</v>
      </c>
      <c r="G467" s="131">
        <f t="shared" ref="G467:G475" si="126">SUM(B467:F467)</f>
        <v>59</v>
      </c>
      <c r="H467" s="56"/>
      <c r="I467" s="72" t="s">
        <v>456</v>
      </c>
      <c r="J467" s="73">
        <f>J462</f>
        <v>252</v>
      </c>
      <c r="K467" s="74">
        <f t="shared" ref="K467:N467" si="127">K462</f>
        <v>269</v>
      </c>
      <c r="L467" s="74">
        <f t="shared" si="127"/>
        <v>242</v>
      </c>
      <c r="M467" s="74">
        <f t="shared" si="127"/>
        <v>216</v>
      </c>
      <c r="N467" s="105">
        <f t="shared" si="127"/>
        <v>201</v>
      </c>
      <c r="O467" s="131">
        <f t="shared" ref="O467:O475" si="128">SUM(J467:N467)</f>
        <v>1180</v>
      </c>
    </row>
    <row r="468" spans="1:19" x14ac:dyDescent="0.15">
      <c r="A468" s="15" t="s">
        <v>3</v>
      </c>
      <c r="B468" s="8"/>
      <c r="C468" s="10">
        <v>5</v>
      </c>
      <c r="D468" s="10"/>
      <c r="E468" s="10"/>
      <c r="F468" s="28"/>
      <c r="G468" s="9">
        <f t="shared" si="126"/>
        <v>5</v>
      </c>
      <c r="H468" s="58">
        <v>43421</v>
      </c>
      <c r="I468" s="38" t="s">
        <v>14</v>
      </c>
      <c r="J468" s="37"/>
      <c r="K468" s="35"/>
      <c r="L468" s="35"/>
      <c r="M468" s="35"/>
      <c r="N468" s="28"/>
      <c r="O468" s="7">
        <f t="shared" si="128"/>
        <v>0</v>
      </c>
      <c r="P468" s="56"/>
      <c r="Q468" s="56"/>
    </row>
    <row r="469" spans="1:19" x14ac:dyDescent="0.15">
      <c r="A469" s="15" t="s">
        <v>4</v>
      </c>
      <c r="B469" s="8">
        <v>10</v>
      </c>
      <c r="C469" s="10"/>
      <c r="D469" s="10"/>
      <c r="E469" s="10"/>
      <c r="F469" s="28"/>
      <c r="G469" s="9">
        <f t="shared" si="126"/>
        <v>10</v>
      </c>
      <c r="H469" s="58">
        <v>43425</v>
      </c>
      <c r="I469" s="38" t="s">
        <v>3</v>
      </c>
      <c r="J469" s="8"/>
      <c r="K469" s="10"/>
      <c r="L469" s="10"/>
      <c r="M469" s="10"/>
      <c r="N469" s="28"/>
      <c r="O469" s="9">
        <f t="shared" si="128"/>
        <v>0</v>
      </c>
      <c r="P469" s="56"/>
      <c r="Q469" s="56"/>
    </row>
    <row r="470" spans="1:19" x14ac:dyDescent="0.15">
      <c r="A470" s="15" t="s">
        <v>5</v>
      </c>
      <c r="B470" s="8">
        <v>5</v>
      </c>
      <c r="C470" s="10"/>
      <c r="D470" s="10">
        <v>5</v>
      </c>
      <c r="E470" s="10"/>
      <c r="F470" s="28">
        <v>5</v>
      </c>
      <c r="G470" s="9">
        <f t="shared" si="126"/>
        <v>15</v>
      </c>
      <c r="H470" s="58">
        <v>43430</v>
      </c>
      <c r="I470" s="38" t="s">
        <v>4</v>
      </c>
      <c r="J470" s="8"/>
      <c r="K470" s="10"/>
      <c r="L470" s="10"/>
      <c r="M470" s="10"/>
      <c r="N470" s="30"/>
      <c r="O470" s="7">
        <f t="shared" si="128"/>
        <v>0</v>
      </c>
      <c r="P470" s="56"/>
      <c r="Q470" s="56"/>
    </row>
    <row r="471" spans="1:19" x14ac:dyDescent="0.15">
      <c r="A471" s="15" t="s">
        <v>17</v>
      </c>
      <c r="B471" s="8"/>
      <c r="C471" s="10">
        <v>1</v>
      </c>
      <c r="D471" s="10"/>
      <c r="E471" s="10"/>
      <c r="F471" s="28"/>
      <c r="G471" s="9">
        <f t="shared" si="126"/>
        <v>1</v>
      </c>
      <c r="H471" s="58">
        <v>43432</v>
      </c>
      <c r="I471" s="38" t="s">
        <v>5</v>
      </c>
      <c r="J471" s="8"/>
      <c r="K471" s="10"/>
      <c r="L471" s="10"/>
      <c r="M471" s="10"/>
      <c r="N471" s="28"/>
      <c r="O471" s="9">
        <f t="shared" si="128"/>
        <v>0</v>
      </c>
      <c r="P471" s="56"/>
      <c r="Q471" s="56"/>
    </row>
    <row r="472" spans="1:19" x14ac:dyDescent="0.15">
      <c r="A472" s="15" t="s">
        <v>84</v>
      </c>
      <c r="B472" s="8"/>
      <c r="C472" s="10">
        <v>10</v>
      </c>
      <c r="D472" s="10"/>
      <c r="E472" s="10"/>
      <c r="F472" s="30"/>
      <c r="G472" s="7">
        <f t="shared" si="126"/>
        <v>10</v>
      </c>
      <c r="H472" s="58">
        <v>43437</v>
      </c>
      <c r="I472" s="38" t="s">
        <v>6</v>
      </c>
      <c r="J472" s="8"/>
      <c r="K472" s="10"/>
      <c r="L472" s="10"/>
      <c r="M472" s="10"/>
      <c r="N472" s="30"/>
      <c r="O472" s="7">
        <f t="shared" si="128"/>
        <v>0</v>
      </c>
      <c r="P472" s="56"/>
      <c r="Q472" s="56"/>
    </row>
    <row r="473" spans="1:19" x14ac:dyDescent="0.15">
      <c r="A473" s="15" t="s">
        <v>85</v>
      </c>
      <c r="B473" s="8"/>
      <c r="C473" s="10">
        <v>5</v>
      </c>
      <c r="D473" s="10"/>
      <c r="E473" s="10"/>
      <c r="F473" s="30">
        <v>5</v>
      </c>
      <c r="G473" s="7">
        <f t="shared" si="126"/>
        <v>10</v>
      </c>
      <c r="H473" s="58">
        <v>43448</v>
      </c>
      <c r="I473" s="38" t="s">
        <v>84</v>
      </c>
      <c r="J473" s="8"/>
      <c r="K473" s="10"/>
      <c r="L473" s="10"/>
      <c r="M473" s="10"/>
      <c r="N473" s="30"/>
      <c r="O473" s="7">
        <f t="shared" si="128"/>
        <v>0</v>
      </c>
      <c r="P473" s="56"/>
      <c r="Q473" s="56"/>
    </row>
    <row r="474" spans="1:19" x14ac:dyDescent="0.15">
      <c r="A474" s="15" t="s">
        <v>86</v>
      </c>
      <c r="B474" s="8"/>
      <c r="C474" s="10">
        <v>5</v>
      </c>
      <c r="D474" s="10">
        <v>-1</v>
      </c>
      <c r="E474" s="10">
        <v>2</v>
      </c>
      <c r="F474" s="30"/>
      <c r="G474" s="7">
        <f t="shared" si="126"/>
        <v>6</v>
      </c>
      <c r="H474" s="58"/>
      <c r="I474" s="38" t="s">
        <v>85</v>
      </c>
      <c r="J474" s="8"/>
      <c r="K474" s="10"/>
      <c r="L474" s="10"/>
      <c r="M474" s="10"/>
      <c r="N474" s="30"/>
      <c r="O474" s="7">
        <f t="shared" si="128"/>
        <v>0</v>
      </c>
    </row>
    <row r="475" spans="1:19" ht="14.25" thickBot="1" x14ac:dyDescent="0.2">
      <c r="A475" s="15" t="s">
        <v>87</v>
      </c>
      <c r="B475" s="11"/>
      <c r="C475" s="100"/>
      <c r="D475" s="100"/>
      <c r="E475" s="100"/>
      <c r="F475" s="101"/>
      <c r="G475" s="102">
        <f t="shared" si="126"/>
        <v>0</v>
      </c>
      <c r="H475" s="58"/>
      <c r="I475" s="38" t="s">
        <v>86</v>
      </c>
      <c r="J475" s="11"/>
      <c r="K475" s="100"/>
      <c r="L475" s="100"/>
      <c r="M475" s="100"/>
      <c r="N475" s="101"/>
      <c r="O475" s="102">
        <f t="shared" si="128"/>
        <v>0</v>
      </c>
    </row>
    <row r="476" spans="1:19" ht="14.25" thickBot="1" x14ac:dyDescent="0.2">
      <c r="A476" s="72" t="s">
        <v>7</v>
      </c>
      <c r="B476" s="73">
        <f>SUM(B467:B475)</f>
        <v>25</v>
      </c>
      <c r="C476" s="74">
        <f t="shared" ref="C476:G476" si="129">SUM(C467:C475)</f>
        <v>32</v>
      </c>
      <c r="D476" s="74">
        <f t="shared" si="129"/>
        <v>17</v>
      </c>
      <c r="E476" s="74">
        <f t="shared" si="129"/>
        <v>19</v>
      </c>
      <c r="F476" s="105">
        <f t="shared" si="129"/>
        <v>23</v>
      </c>
      <c r="G476" s="76">
        <f t="shared" si="129"/>
        <v>116</v>
      </c>
      <c r="H476" s="56"/>
      <c r="I476" s="72" t="s">
        <v>7</v>
      </c>
      <c r="J476" s="73">
        <f>SUM(J467:J475)</f>
        <v>252</v>
      </c>
      <c r="K476" s="74">
        <f t="shared" ref="K476:O476" si="130">SUM(K467:K475)</f>
        <v>269</v>
      </c>
      <c r="L476" s="74">
        <f t="shared" si="130"/>
        <v>242</v>
      </c>
      <c r="M476" s="74">
        <f t="shared" si="130"/>
        <v>216</v>
      </c>
      <c r="N476" s="105">
        <f t="shared" si="130"/>
        <v>201</v>
      </c>
      <c r="O476" s="76">
        <f t="shared" si="130"/>
        <v>1180</v>
      </c>
    </row>
    <row r="477" spans="1:19" x14ac:dyDescent="0.15">
      <c r="A477" s="14" t="s">
        <v>29</v>
      </c>
      <c r="B477" s="37"/>
      <c r="C477" s="35"/>
      <c r="D477" s="35"/>
      <c r="E477" s="35">
        <v>1</v>
      </c>
      <c r="F477" s="28"/>
      <c r="G477" s="18">
        <f t="shared" ref="G477:G502" si="131">SUM(B477:F477)</f>
        <v>1</v>
      </c>
      <c r="H477" s="58">
        <v>43416</v>
      </c>
      <c r="I477" s="14" t="s">
        <v>24</v>
      </c>
      <c r="J477" s="8"/>
      <c r="K477" s="10">
        <v>5</v>
      </c>
      <c r="L477" s="10"/>
      <c r="M477" s="10"/>
      <c r="N477" s="30"/>
      <c r="O477" s="7">
        <f t="shared" ref="O477:O502" si="132">SUM(J477:N477)</f>
        <v>5</v>
      </c>
      <c r="P477" s="58">
        <v>43421</v>
      </c>
      <c r="Q477" s="68"/>
      <c r="R477" s="68"/>
      <c r="S477" s="68"/>
    </row>
    <row r="478" spans="1:19" x14ac:dyDescent="0.15">
      <c r="A478" s="14" t="s">
        <v>29</v>
      </c>
      <c r="B478" s="8"/>
      <c r="C478" s="10"/>
      <c r="D478" s="10">
        <v>1</v>
      </c>
      <c r="E478" s="10"/>
      <c r="F478" s="30"/>
      <c r="G478" s="7">
        <f t="shared" si="131"/>
        <v>1</v>
      </c>
      <c r="H478" s="58">
        <v>43417</v>
      </c>
      <c r="I478" s="14" t="s">
        <v>24</v>
      </c>
      <c r="J478" s="8">
        <v>10</v>
      </c>
      <c r="K478" s="10"/>
      <c r="L478" s="10"/>
      <c r="M478" s="10"/>
      <c r="N478" s="30"/>
      <c r="O478" s="7">
        <f t="shared" si="132"/>
        <v>10</v>
      </c>
      <c r="P478" s="58">
        <v>43425</v>
      </c>
    </row>
    <row r="479" spans="1:19" x14ac:dyDescent="0.15">
      <c r="A479" s="39" t="s">
        <v>10</v>
      </c>
      <c r="B479" s="8"/>
      <c r="C479" s="10"/>
      <c r="D479" s="10"/>
      <c r="E479" s="10"/>
      <c r="F479" s="30">
        <v>1</v>
      </c>
      <c r="G479" s="7">
        <f t="shared" si="131"/>
        <v>1</v>
      </c>
      <c r="H479" s="58">
        <v>43419</v>
      </c>
      <c r="I479" s="14" t="s">
        <v>24</v>
      </c>
      <c r="J479" s="8">
        <v>5</v>
      </c>
      <c r="K479" s="10"/>
      <c r="L479" s="10">
        <v>5</v>
      </c>
      <c r="M479" s="10"/>
      <c r="N479" s="30">
        <v>5</v>
      </c>
      <c r="O479" s="7">
        <f t="shared" si="132"/>
        <v>15</v>
      </c>
      <c r="P479" s="58">
        <v>43430</v>
      </c>
    </row>
    <row r="480" spans="1:19" x14ac:dyDescent="0.15">
      <c r="A480" s="39" t="s">
        <v>10</v>
      </c>
      <c r="B480" s="8"/>
      <c r="C480" s="10">
        <v>1</v>
      </c>
      <c r="D480" s="10"/>
      <c r="E480" s="10"/>
      <c r="F480" s="30"/>
      <c r="G480" s="7">
        <f t="shared" si="131"/>
        <v>1</v>
      </c>
      <c r="H480" s="58">
        <v>43420</v>
      </c>
      <c r="I480" s="16" t="s">
        <v>22</v>
      </c>
      <c r="J480" s="8">
        <v>10</v>
      </c>
      <c r="K480" s="10"/>
      <c r="L480" s="10"/>
      <c r="M480" s="10"/>
      <c r="N480" s="30"/>
      <c r="O480" s="7">
        <f t="shared" si="132"/>
        <v>10</v>
      </c>
      <c r="P480" s="58">
        <v>43437</v>
      </c>
    </row>
    <row r="481" spans="1:17" x14ac:dyDescent="0.15">
      <c r="A481" s="39" t="s">
        <v>10</v>
      </c>
      <c r="B481" s="37"/>
      <c r="C481" s="35">
        <v>4</v>
      </c>
      <c r="D481" s="35">
        <v>1</v>
      </c>
      <c r="E481" s="35"/>
      <c r="F481" s="28">
        <v>1</v>
      </c>
      <c r="G481" s="7">
        <f t="shared" si="131"/>
        <v>6</v>
      </c>
      <c r="H481" s="58">
        <v>43421</v>
      </c>
      <c r="I481" s="14" t="s">
        <v>110</v>
      </c>
      <c r="J481" s="8"/>
      <c r="K481" s="10"/>
      <c r="L481" s="10">
        <v>2</v>
      </c>
      <c r="M481" s="10"/>
      <c r="N481" s="30"/>
      <c r="O481" s="7">
        <f t="shared" si="132"/>
        <v>2</v>
      </c>
      <c r="P481" s="58">
        <v>43438</v>
      </c>
    </row>
    <row r="482" spans="1:17" x14ac:dyDescent="0.15">
      <c r="A482" s="39" t="s">
        <v>10</v>
      </c>
      <c r="B482" s="8">
        <v>1</v>
      </c>
      <c r="C482" s="10">
        <v>1</v>
      </c>
      <c r="D482" s="10">
        <v>2</v>
      </c>
      <c r="E482" s="10"/>
      <c r="F482" s="30">
        <v>1</v>
      </c>
      <c r="G482" s="7">
        <f t="shared" si="131"/>
        <v>5</v>
      </c>
      <c r="H482" s="58">
        <v>43425</v>
      </c>
      <c r="I482" s="14" t="s">
        <v>110</v>
      </c>
      <c r="J482" s="8">
        <v>2</v>
      </c>
      <c r="K482" s="10">
        <v>3</v>
      </c>
      <c r="L482" s="10"/>
      <c r="M482" s="10"/>
      <c r="N482" s="30"/>
      <c r="O482" s="7">
        <f t="shared" si="132"/>
        <v>5</v>
      </c>
      <c r="P482" s="58">
        <v>43441</v>
      </c>
    </row>
    <row r="483" spans="1:17" x14ac:dyDescent="0.15">
      <c r="A483" s="39" t="s">
        <v>10</v>
      </c>
      <c r="B483" s="8"/>
      <c r="C483" s="10"/>
      <c r="D483" s="10">
        <v>1</v>
      </c>
      <c r="E483" s="10"/>
      <c r="F483" s="30"/>
      <c r="G483" s="7">
        <f t="shared" si="131"/>
        <v>1</v>
      </c>
      <c r="H483" s="58">
        <v>43426</v>
      </c>
      <c r="I483" s="16" t="s">
        <v>22</v>
      </c>
      <c r="J483" s="8"/>
      <c r="K483" s="10"/>
      <c r="L483" s="10"/>
      <c r="M483" s="10"/>
      <c r="N483" s="30">
        <v>10</v>
      </c>
      <c r="O483" s="7">
        <f t="shared" si="132"/>
        <v>10</v>
      </c>
      <c r="P483" s="58">
        <v>43439</v>
      </c>
    </row>
    <row r="484" spans="1:17" x14ac:dyDescent="0.15">
      <c r="A484" s="14" t="s">
        <v>182</v>
      </c>
      <c r="B484" s="8">
        <v>1</v>
      </c>
      <c r="C484" s="10"/>
      <c r="D484" s="10"/>
      <c r="E484" s="10"/>
      <c r="F484" s="30"/>
      <c r="G484" s="7">
        <f t="shared" si="131"/>
        <v>1</v>
      </c>
      <c r="H484" s="58">
        <v>43427</v>
      </c>
      <c r="I484" s="16" t="s">
        <v>887</v>
      </c>
      <c r="J484" s="8"/>
      <c r="K484" s="10">
        <v>10</v>
      </c>
      <c r="L484" s="10"/>
      <c r="M484" s="10"/>
      <c r="N484" s="30"/>
      <c r="O484" s="7">
        <f t="shared" si="132"/>
        <v>10</v>
      </c>
      <c r="P484" s="58">
        <v>43437</v>
      </c>
    </row>
    <row r="485" spans="1:17" x14ac:dyDescent="0.15">
      <c r="A485" s="39" t="s">
        <v>10</v>
      </c>
      <c r="B485" s="8">
        <v>1</v>
      </c>
      <c r="C485" s="10">
        <v>1</v>
      </c>
      <c r="D485" s="10"/>
      <c r="E485" s="10">
        <v>2</v>
      </c>
      <c r="F485" s="30">
        <v>2</v>
      </c>
      <c r="G485" s="7">
        <f t="shared" si="131"/>
        <v>6</v>
      </c>
      <c r="H485" s="58">
        <v>43428</v>
      </c>
      <c r="I485" s="16" t="s">
        <v>22</v>
      </c>
      <c r="J485" s="8"/>
      <c r="K485" s="10"/>
      <c r="L485" s="10"/>
      <c r="M485" s="10">
        <v>10</v>
      </c>
      <c r="N485" s="30"/>
      <c r="O485" s="7">
        <f t="shared" si="132"/>
        <v>10</v>
      </c>
      <c r="P485" s="58">
        <v>43445</v>
      </c>
    </row>
    <row r="486" spans="1:17" x14ac:dyDescent="0.15">
      <c r="A486" s="39" t="s">
        <v>10</v>
      </c>
      <c r="B486" s="11"/>
      <c r="C486" s="12">
        <v>1</v>
      </c>
      <c r="D486" s="12"/>
      <c r="E486" s="12">
        <v>1</v>
      </c>
      <c r="F486" s="31">
        <v>2</v>
      </c>
      <c r="G486" s="7">
        <f t="shared" si="131"/>
        <v>4</v>
      </c>
      <c r="H486" s="58">
        <v>43431</v>
      </c>
      <c r="I486" s="16" t="s">
        <v>22</v>
      </c>
      <c r="J486" s="8"/>
      <c r="K486" s="10">
        <v>10</v>
      </c>
      <c r="L486" s="10"/>
      <c r="M486" s="10"/>
      <c r="N486" s="30"/>
      <c r="O486" s="7">
        <f t="shared" ref="O486" si="133">SUM(J486:N486)</f>
        <v>10</v>
      </c>
      <c r="P486" s="58">
        <v>43447</v>
      </c>
    </row>
    <row r="487" spans="1:17" x14ac:dyDescent="0.15">
      <c r="A487" s="14" t="s">
        <v>182</v>
      </c>
      <c r="B487" s="8">
        <v>1</v>
      </c>
      <c r="C487" s="10"/>
      <c r="D487" s="10"/>
      <c r="E487" s="10"/>
      <c r="F487" s="30">
        <v>1</v>
      </c>
      <c r="G487" s="7">
        <f t="shared" si="131"/>
        <v>2</v>
      </c>
      <c r="H487" s="58">
        <v>43432</v>
      </c>
      <c r="I487" s="16" t="s">
        <v>24</v>
      </c>
      <c r="J487" s="8"/>
      <c r="K487" s="10">
        <v>5</v>
      </c>
      <c r="L487" s="10"/>
      <c r="M487" s="10"/>
      <c r="N487" s="30">
        <v>5</v>
      </c>
      <c r="O487" s="7">
        <f t="shared" si="132"/>
        <v>10</v>
      </c>
      <c r="P487" s="58">
        <v>43448</v>
      </c>
    </row>
    <row r="488" spans="1:17" x14ac:dyDescent="0.15">
      <c r="A488" s="39" t="s">
        <v>10</v>
      </c>
      <c r="B488" s="8"/>
      <c r="C488" s="10"/>
      <c r="D488" s="10">
        <v>1</v>
      </c>
      <c r="E488" s="10"/>
      <c r="F488" s="30">
        <v>1</v>
      </c>
      <c r="G488" s="7">
        <f t="shared" si="131"/>
        <v>2</v>
      </c>
      <c r="H488" s="58">
        <v>43432</v>
      </c>
      <c r="I488" s="14" t="s">
        <v>110</v>
      </c>
      <c r="J488" s="8"/>
      <c r="K488" s="10">
        <v>2</v>
      </c>
      <c r="L488" s="10"/>
      <c r="M488" s="10"/>
      <c r="N488" s="30">
        <v>2</v>
      </c>
      <c r="O488" s="7">
        <f t="shared" si="132"/>
        <v>4</v>
      </c>
      <c r="P488" s="58">
        <v>43454</v>
      </c>
    </row>
    <row r="489" spans="1:17" x14ac:dyDescent="0.15">
      <c r="A489" s="39" t="s">
        <v>10</v>
      </c>
      <c r="B489" s="8">
        <v>1</v>
      </c>
      <c r="C489" s="10"/>
      <c r="D489" s="10"/>
      <c r="E489" s="10"/>
      <c r="F489" s="30"/>
      <c r="G489" s="7">
        <f t="shared" si="131"/>
        <v>1</v>
      </c>
      <c r="H489" s="58">
        <v>43433</v>
      </c>
      <c r="I489" s="16"/>
      <c r="J489" s="8"/>
      <c r="K489" s="10"/>
      <c r="L489" s="10"/>
      <c r="M489" s="10"/>
      <c r="N489" s="30"/>
      <c r="O489" s="7">
        <f t="shared" si="132"/>
        <v>0</v>
      </c>
    </row>
    <row r="490" spans="1:17" x14ac:dyDescent="0.15">
      <c r="A490" s="39" t="s">
        <v>10</v>
      </c>
      <c r="B490" s="8"/>
      <c r="C490" s="10">
        <v>1</v>
      </c>
      <c r="D490" s="10"/>
      <c r="E490" s="10"/>
      <c r="F490" s="30">
        <v>1</v>
      </c>
      <c r="G490" s="7">
        <f t="shared" si="131"/>
        <v>2</v>
      </c>
      <c r="H490" s="58">
        <v>43434</v>
      </c>
      <c r="I490" s="16"/>
      <c r="J490" s="8"/>
      <c r="K490" s="10"/>
      <c r="L490" s="10"/>
      <c r="M490" s="10"/>
      <c r="N490" s="30"/>
      <c r="O490" s="7">
        <f t="shared" si="132"/>
        <v>0</v>
      </c>
    </row>
    <row r="491" spans="1:17" x14ac:dyDescent="0.15">
      <c r="A491" s="14" t="s">
        <v>117</v>
      </c>
      <c r="B491" s="8"/>
      <c r="C491" s="10"/>
      <c r="D491" s="10">
        <v>1</v>
      </c>
      <c r="E491" s="10"/>
      <c r="F491" s="30"/>
      <c r="G491" s="7">
        <f t="shared" si="131"/>
        <v>1</v>
      </c>
      <c r="H491" s="58">
        <v>43434</v>
      </c>
      <c r="I491" s="16"/>
      <c r="J491" s="8"/>
      <c r="K491" s="10"/>
      <c r="L491" s="10"/>
      <c r="M491" s="10"/>
      <c r="N491" s="30"/>
      <c r="O491" s="7">
        <f t="shared" si="132"/>
        <v>0</v>
      </c>
    </row>
    <row r="492" spans="1:17" x14ac:dyDescent="0.15">
      <c r="A492" s="39" t="s">
        <v>10</v>
      </c>
      <c r="B492" s="8"/>
      <c r="C492" s="10">
        <v>2</v>
      </c>
      <c r="D492" s="10">
        <v>1</v>
      </c>
      <c r="E492" s="10"/>
      <c r="F492" s="30"/>
      <c r="G492" s="7">
        <f t="shared" si="131"/>
        <v>3</v>
      </c>
      <c r="H492" s="58">
        <v>43435</v>
      </c>
      <c r="I492" s="16"/>
      <c r="J492" s="8"/>
      <c r="K492" s="10"/>
      <c r="L492" s="10"/>
      <c r="M492" s="10"/>
      <c r="N492" s="30"/>
      <c r="O492" s="7">
        <f t="shared" si="132"/>
        <v>0</v>
      </c>
    </row>
    <row r="493" spans="1:17" x14ac:dyDescent="0.15">
      <c r="A493" s="39" t="s">
        <v>10</v>
      </c>
      <c r="B493" s="8"/>
      <c r="C493" s="10"/>
      <c r="D493" s="10"/>
      <c r="E493" s="10">
        <v>1</v>
      </c>
      <c r="F493" s="30"/>
      <c r="G493" s="7">
        <f t="shared" si="131"/>
        <v>1</v>
      </c>
      <c r="H493" s="58">
        <v>43437</v>
      </c>
      <c r="I493" s="20"/>
      <c r="J493" s="8"/>
      <c r="K493" s="10"/>
      <c r="L493" s="10"/>
      <c r="M493" s="10"/>
      <c r="N493" s="30"/>
      <c r="O493" s="7">
        <f t="shared" si="132"/>
        <v>0</v>
      </c>
      <c r="P493" s="56"/>
      <c r="Q493" s="56"/>
    </row>
    <row r="494" spans="1:17" x14ac:dyDescent="0.15">
      <c r="A494" s="39" t="s">
        <v>10</v>
      </c>
      <c r="B494" s="8">
        <v>1</v>
      </c>
      <c r="C494" s="10"/>
      <c r="D494" s="10"/>
      <c r="E494" s="10"/>
      <c r="F494" s="30"/>
      <c r="G494" s="7">
        <f t="shared" si="131"/>
        <v>1</v>
      </c>
      <c r="H494" s="58">
        <v>43438</v>
      </c>
      <c r="I494" s="20"/>
      <c r="J494" s="8"/>
      <c r="K494" s="10"/>
      <c r="L494" s="10"/>
      <c r="M494" s="10"/>
      <c r="N494" s="30"/>
      <c r="O494" s="7">
        <f t="shared" si="132"/>
        <v>0</v>
      </c>
      <c r="P494" s="56"/>
      <c r="Q494" s="56"/>
    </row>
    <row r="495" spans="1:17" x14ac:dyDescent="0.15">
      <c r="A495" s="39" t="s">
        <v>10</v>
      </c>
      <c r="B495" s="8">
        <v>1</v>
      </c>
      <c r="C495" s="10">
        <v>1</v>
      </c>
      <c r="D495" s="10"/>
      <c r="E495" s="10"/>
      <c r="F495" s="30"/>
      <c r="G495" s="7">
        <f t="shared" si="131"/>
        <v>2</v>
      </c>
      <c r="H495" s="58">
        <v>43439</v>
      </c>
      <c r="I495" s="20"/>
      <c r="J495" s="8"/>
      <c r="K495" s="10"/>
      <c r="L495" s="10"/>
      <c r="M495" s="10"/>
      <c r="N495" s="30"/>
      <c r="O495" s="7">
        <f t="shared" si="132"/>
        <v>0</v>
      </c>
      <c r="P495" s="56"/>
      <c r="Q495" s="56"/>
    </row>
    <row r="496" spans="1:17" x14ac:dyDescent="0.15">
      <c r="A496" s="39" t="s">
        <v>10</v>
      </c>
      <c r="B496" s="8"/>
      <c r="C496" s="10">
        <v>1</v>
      </c>
      <c r="D496" s="10"/>
      <c r="E496" s="10"/>
      <c r="F496" s="30"/>
      <c r="G496" s="7">
        <f t="shared" si="131"/>
        <v>1</v>
      </c>
      <c r="H496" s="58">
        <v>43441</v>
      </c>
      <c r="I496" s="20"/>
      <c r="J496" s="11"/>
      <c r="K496" s="12"/>
      <c r="L496" s="12"/>
      <c r="M496" s="12"/>
      <c r="N496" s="31"/>
      <c r="O496" s="7">
        <f t="shared" si="132"/>
        <v>0</v>
      </c>
      <c r="P496" s="56"/>
    </row>
    <row r="497" spans="1:19" x14ac:dyDescent="0.15">
      <c r="A497" s="14" t="s">
        <v>182</v>
      </c>
      <c r="B497" s="8">
        <v>1</v>
      </c>
      <c r="C497" s="10"/>
      <c r="D497" s="10"/>
      <c r="E497" s="10"/>
      <c r="F497" s="30"/>
      <c r="G497" s="7">
        <f t="shared" si="131"/>
        <v>1</v>
      </c>
      <c r="H497" s="58">
        <v>43444</v>
      </c>
      <c r="I497" s="14"/>
      <c r="J497" s="8"/>
      <c r="K497" s="10"/>
      <c r="L497" s="10"/>
      <c r="M497" s="10"/>
      <c r="N497" s="30"/>
      <c r="O497" s="7">
        <f t="shared" si="132"/>
        <v>0</v>
      </c>
      <c r="P497" s="56"/>
      <c r="Q497" s="56"/>
      <c r="R497" s="56"/>
    </row>
    <row r="498" spans="1:19" x14ac:dyDescent="0.15">
      <c r="A498" s="14" t="s">
        <v>110</v>
      </c>
      <c r="B498" s="11">
        <v>3</v>
      </c>
      <c r="C498" s="12"/>
      <c r="D498" s="12"/>
      <c r="E498" s="12"/>
      <c r="F498" s="31">
        <v>2</v>
      </c>
      <c r="G498" s="7">
        <f t="shared" si="131"/>
        <v>5</v>
      </c>
      <c r="H498" s="58">
        <v>43446</v>
      </c>
      <c r="I498" s="14"/>
      <c r="J498" s="8"/>
      <c r="K498" s="10"/>
      <c r="L498" s="10"/>
      <c r="M498" s="10"/>
      <c r="N498" s="30"/>
      <c r="O498" s="7">
        <f t="shared" si="132"/>
        <v>0</v>
      </c>
      <c r="P498" s="58"/>
      <c r="Q498" s="56"/>
      <c r="R498" s="56"/>
    </row>
    <row r="499" spans="1:19" x14ac:dyDescent="0.15">
      <c r="A499" s="39" t="s">
        <v>10</v>
      </c>
      <c r="B499" s="8"/>
      <c r="C499" s="10">
        <v>1</v>
      </c>
      <c r="D499" s="10"/>
      <c r="E499" s="10"/>
      <c r="F499" s="30">
        <v>1</v>
      </c>
      <c r="G499" s="7">
        <f t="shared" si="131"/>
        <v>2</v>
      </c>
      <c r="H499" s="58">
        <v>43445</v>
      </c>
      <c r="I499" s="20"/>
      <c r="J499" s="8"/>
      <c r="K499" s="10"/>
      <c r="L499" s="10"/>
      <c r="M499" s="10"/>
      <c r="N499" s="30"/>
      <c r="O499" s="7">
        <f t="shared" ref="O499:O501" si="134">SUM(J499:N499)</f>
        <v>0</v>
      </c>
      <c r="P499" s="56"/>
      <c r="Q499" s="56"/>
      <c r="R499" s="56"/>
    </row>
    <row r="500" spans="1:19" x14ac:dyDescent="0.15">
      <c r="A500" s="39" t="s">
        <v>10</v>
      </c>
      <c r="B500" s="8">
        <v>1</v>
      </c>
      <c r="C500" s="10"/>
      <c r="D500" s="10"/>
      <c r="E500" s="10"/>
      <c r="F500" s="30"/>
      <c r="G500" s="7">
        <f t="shared" si="131"/>
        <v>1</v>
      </c>
      <c r="H500" s="58">
        <v>43446</v>
      </c>
      <c r="I500" s="20"/>
      <c r="J500" s="8"/>
      <c r="K500" s="10"/>
      <c r="L500" s="10"/>
      <c r="M500" s="10"/>
      <c r="N500" s="30"/>
      <c r="O500" s="7">
        <f t="shared" si="134"/>
        <v>0</v>
      </c>
      <c r="P500" s="56"/>
      <c r="Q500" s="56"/>
      <c r="R500" s="56"/>
    </row>
    <row r="501" spans="1:19" x14ac:dyDescent="0.15">
      <c r="A501" s="39" t="s">
        <v>10</v>
      </c>
      <c r="B501" s="8">
        <v>1</v>
      </c>
      <c r="C501" s="10"/>
      <c r="D501" s="10"/>
      <c r="E501" s="10"/>
      <c r="F501" s="30"/>
      <c r="G501" s="7">
        <f t="shared" si="131"/>
        <v>1</v>
      </c>
      <c r="H501" s="58">
        <v>43447</v>
      </c>
      <c r="I501" s="20"/>
      <c r="J501" s="8"/>
      <c r="K501" s="10"/>
      <c r="L501" s="10"/>
      <c r="M501" s="10"/>
      <c r="N501" s="30"/>
      <c r="O501" s="7">
        <f t="shared" si="134"/>
        <v>0</v>
      </c>
      <c r="P501" s="56"/>
      <c r="Q501" s="56"/>
      <c r="R501" s="56"/>
    </row>
    <row r="502" spans="1:19" ht="14.25" thickBot="1" x14ac:dyDescent="0.2">
      <c r="A502" s="39" t="s">
        <v>10</v>
      </c>
      <c r="B502" s="11"/>
      <c r="C502" s="12"/>
      <c r="D502" s="12"/>
      <c r="E502" s="12">
        <v>1</v>
      </c>
      <c r="F502" s="31"/>
      <c r="G502" s="115">
        <f t="shared" si="131"/>
        <v>1</v>
      </c>
      <c r="H502" s="58">
        <v>43451</v>
      </c>
      <c r="I502" s="39"/>
      <c r="J502" s="8"/>
      <c r="K502" s="10"/>
      <c r="L502" s="10"/>
      <c r="M502" s="10"/>
      <c r="N502" s="30"/>
      <c r="O502" s="7">
        <f t="shared" si="132"/>
        <v>0</v>
      </c>
      <c r="P502" s="56"/>
      <c r="Q502" s="56"/>
    </row>
    <row r="503" spans="1:19" ht="14.25" thickBot="1" x14ac:dyDescent="0.2">
      <c r="A503" s="3" t="s">
        <v>11</v>
      </c>
      <c r="B503" s="23">
        <f>SUM(B477:B502)</f>
        <v>13</v>
      </c>
      <c r="C503" s="4">
        <f>SUM(C477:C502)</f>
        <v>14</v>
      </c>
      <c r="D503" s="4">
        <f>SUM(D477:D502)</f>
        <v>8</v>
      </c>
      <c r="E503" s="6">
        <f>SUM(E477:E502)</f>
        <v>6</v>
      </c>
      <c r="F503" s="32">
        <f>SUM(F477:F502)</f>
        <v>13</v>
      </c>
      <c r="G503" s="5">
        <f>SUM(B503:F503)</f>
        <v>54</v>
      </c>
      <c r="I503" s="3" t="s">
        <v>11</v>
      </c>
      <c r="J503" s="23">
        <f>SUM(J477:J502)</f>
        <v>27</v>
      </c>
      <c r="K503" s="4">
        <f>SUM(K477:K502)</f>
        <v>35</v>
      </c>
      <c r="L503" s="4">
        <f>SUM(L477:L502)</f>
        <v>7</v>
      </c>
      <c r="M503" s="6">
        <f>SUM(M477:M502)</f>
        <v>10</v>
      </c>
      <c r="N503" s="32">
        <f>SUM(N477:N502)</f>
        <v>22</v>
      </c>
      <c r="O503" s="5">
        <f>SUM(J503:N503)</f>
        <v>101</v>
      </c>
    </row>
    <row r="504" spans="1:19" ht="14.25" thickBot="1" x14ac:dyDescent="0.2">
      <c r="A504" s="25" t="s">
        <v>12</v>
      </c>
      <c r="B504" s="63">
        <f>B476-B503</f>
        <v>12</v>
      </c>
      <c r="C504" s="26">
        <f t="shared" ref="C504:G504" si="135">C476-C503</f>
        <v>18</v>
      </c>
      <c r="D504" s="71">
        <f t="shared" si="135"/>
        <v>9</v>
      </c>
      <c r="E504" s="26">
        <f t="shared" si="135"/>
        <v>13</v>
      </c>
      <c r="F504" s="70">
        <f t="shared" si="135"/>
        <v>10</v>
      </c>
      <c r="G504" s="27">
        <f t="shared" si="135"/>
        <v>62</v>
      </c>
      <c r="I504" s="25" t="s">
        <v>12</v>
      </c>
      <c r="J504" s="63">
        <f>J476-J503</f>
        <v>225</v>
      </c>
      <c r="K504" s="26">
        <f t="shared" ref="K504:O504" si="136">K476-K503</f>
        <v>234</v>
      </c>
      <c r="L504" s="71">
        <f t="shared" si="136"/>
        <v>235</v>
      </c>
      <c r="M504" s="26">
        <f t="shared" si="136"/>
        <v>206</v>
      </c>
      <c r="N504" s="70">
        <f t="shared" si="136"/>
        <v>179</v>
      </c>
      <c r="O504" s="27">
        <f t="shared" si="136"/>
        <v>1079</v>
      </c>
    </row>
    <row r="505" spans="1:19" ht="17.25" x14ac:dyDescent="0.2">
      <c r="A505" s="79" t="s">
        <v>391</v>
      </c>
      <c r="B505" s="80"/>
      <c r="C505" s="80"/>
      <c r="D505" s="80"/>
      <c r="E505" s="80"/>
      <c r="F505" s="80"/>
      <c r="G505" s="80"/>
      <c r="H505" s="56"/>
      <c r="I505" s="79" t="s">
        <v>391</v>
      </c>
      <c r="J505" s="80"/>
      <c r="K505" s="80"/>
      <c r="L505" s="80"/>
      <c r="M505" s="80"/>
      <c r="N505" s="80"/>
      <c r="O505" s="1"/>
    </row>
    <row r="506" spans="1:19" ht="21.75" thickBot="1" x14ac:dyDescent="0.25">
      <c r="A506" s="82" t="s">
        <v>390</v>
      </c>
      <c r="B506" s="80"/>
      <c r="C506" s="80"/>
      <c r="D506" s="80"/>
      <c r="E506" s="81" t="s">
        <v>53</v>
      </c>
      <c r="F506" s="80"/>
      <c r="G506" s="80"/>
      <c r="H506" s="56"/>
      <c r="I506" s="82" t="s">
        <v>390</v>
      </c>
      <c r="J506" s="80"/>
      <c r="K506" s="80"/>
      <c r="L506" s="80"/>
      <c r="M506" s="81" t="s">
        <v>393</v>
      </c>
      <c r="N506" s="80"/>
      <c r="O506" s="1"/>
    </row>
    <row r="507" spans="1:19" ht="14.25" thickBot="1" x14ac:dyDescent="0.2">
      <c r="A507" s="13" t="s">
        <v>0</v>
      </c>
      <c r="B507" s="228" t="s">
        <v>392</v>
      </c>
      <c r="C507" s="229"/>
      <c r="D507" s="229"/>
      <c r="E507" s="229"/>
      <c r="F507" s="230"/>
      <c r="G507" s="231"/>
      <c r="H507" s="56"/>
      <c r="I507" s="13" t="s">
        <v>0</v>
      </c>
      <c r="J507" s="228" t="s">
        <v>392</v>
      </c>
      <c r="K507" s="229"/>
      <c r="L507" s="229"/>
      <c r="M507" s="229"/>
      <c r="N507" s="230"/>
      <c r="O507" s="231"/>
    </row>
    <row r="508" spans="1:19" ht="14.25" thickBot="1" x14ac:dyDescent="0.2">
      <c r="A508" s="3" t="s">
        <v>1</v>
      </c>
      <c r="B508" s="2" t="s">
        <v>42</v>
      </c>
      <c r="C508" s="21" t="s">
        <v>43</v>
      </c>
      <c r="D508" s="21" t="s">
        <v>44</v>
      </c>
      <c r="E508" s="24" t="s">
        <v>45</v>
      </c>
      <c r="F508" s="33" t="s">
        <v>46</v>
      </c>
      <c r="G508" s="34" t="s">
        <v>2</v>
      </c>
      <c r="H508" s="56"/>
      <c r="I508" s="3" t="s">
        <v>1</v>
      </c>
      <c r="J508" s="41" t="s">
        <v>42</v>
      </c>
      <c r="K508" s="42" t="s">
        <v>43</v>
      </c>
      <c r="L508" s="42" t="s">
        <v>44</v>
      </c>
      <c r="M508" s="43" t="s">
        <v>45</v>
      </c>
      <c r="N508" s="44" t="s">
        <v>46</v>
      </c>
      <c r="O508" s="3" t="s">
        <v>2</v>
      </c>
    </row>
    <row r="509" spans="1:19" ht="14.25" thickBot="1" x14ac:dyDescent="0.2">
      <c r="A509" s="72" t="s">
        <v>456</v>
      </c>
      <c r="B509" s="73">
        <f>B504</f>
        <v>12</v>
      </c>
      <c r="C509" s="74">
        <f t="shared" ref="C509:F509" si="137">C504</f>
        <v>18</v>
      </c>
      <c r="D509" s="74">
        <f t="shared" si="137"/>
        <v>9</v>
      </c>
      <c r="E509" s="74">
        <f t="shared" si="137"/>
        <v>13</v>
      </c>
      <c r="F509" s="105">
        <f t="shared" si="137"/>
        <v>10</v>
      </c>
      <c r="G509" s="131">
        <f t="shared" ref="G509:G517" si="138">SUM(B509:F509)</f>
        <v>62</v>
      </c>
      <c r="H509" s="56"/>
      <c r="I509" s="72" t="s">
        <v>456</v>
      </c>
      <c r="J509" s="73">
        <f>J504</f>
        <v>225</v>
      </c>
      <c r="K509" s="74">
        <f t="shared" ref="K509:N509" si="139">K504</f>
        <v>234</v>
      </c>
      <c r="L509" s="74">
        <f t="shared" si="139"/>
        <v>235</v>
      </c>
      <c r="M509" s="74">
        <f t="shared" si="139"/>
        <v>206</v>
      </c>
      <c r="N509" s="105">
        <f t="shared" si="139"/>
        <v>179</v>
      </c>
      <c r="O509" s="131">
        <f t="shared" ref="O509:O517" si="140">SUM(J509:N509)</f>
        <v>1079</v>
      </c>
    </row>
    <row r="510" spans="1:19" x14ac:dyDescent="0.15">
      <c r="A510" s="15" t="s">
        <v>3</v>
      </c>
      <c r="B510" s="8"/>
      <c r="C510" s="10"/>
      <c r="D510" s="10">
        <v>5</v>
      </c>
      <c r="E510" s="10">
        <v>5</v>
      </c>
      <c r="F510" s="28">
        <v>5</v>
      </c>
      <c r="G510" s="9">
        <f t="shared" si="138"/>
        <v>15</v>
      </c>
      <c r="H510" s="58">
        <v>43453</v>
      </c>
      <c r="I510" s="38" t="s">
        <v>14</v>
      </c>
      <c r="J510" s="37"/>
      <c r="K510" s="35"/>
      <c r="L510" s="35"/>
      <c r="M510" s="35"/>
      <c r="N510" s="28"/>
      <c r="O510" s="7">
        <f t="shared" si="140"/>
        <v>0</v>
      </c>
      <c r="P510" s="56"/>
      <c r="Q510" s="56"/>
    </row>
    <row r="511" spans="1:19" x14ac:dyDescent="0.15">
      <c r="A511" s="15" t="s">
        <v>17</v>
      </c>
      <c r="B511" s="8"/>
      <c r="C511" s="10"/>
      <c r="D511" s="10">
        <v>1</v>
      </c>
      <c r="E511" s="10"/>
      <c r="F511" s="28">
        <v>1</v>
      </c>
      <c r="G511" s="9">
        <f t="shared" si="138"/>
        <v>2</v>
      </c>
      <c r="H511" s="58">
        <v>43453</v>
      </c>
      <c r="I511" s="38" t="s">
        <v>3</v>
      </c>
      <c r="J511" s="8"/>
      <c r="K511" s="10"/>
      <c r="L511" s="10"/>
      <c r="M511" s="10"/>
      <c r="N511" s="28"/>
      <c r="O511" s="9">
        <f t="shared" si="140"/>
        <v>0</v>
      </c>
      <c r="P511" s="56"/>
      <c r="Q511" s="56"/>
    </row>
    <row r="512" spans="1:19" x14ac:dyDescent="0.15">
      <c r="A512" s="15" t="s">
        <v>17</v>
      </c>
      <c r="B512" s="8"/>
      <c r="C512" s="10">
        <v>2</v>
      </c>
      <c r="D512" s="10"/>
      <c r="E512" s="10"/>
      <c r="F512" s="28">
        <v>1</v>
      </c>
      <c r="G512" s="9">
        <f t="shared" si="138"/>
        <v>3</v>
      </c>
      <c r="H512" s="58">
        <v>43461</v>
      </c>
      <c r="I512" s="14" t="s">
        <v>847</v>
      </c>
      <c r="J512" s="8">
        <v>40</v>
      </c>
      <c r="K512" s="10">
        <v>31</v>
      </c>
      <c r="L512" s="10">
        <v>21</v>
      </c>
      <c r="M512" s="10">
        <v>91</v>
      </c>
      <c r="N512" s="30">
        <v>111</v>
      </c>
      <c r="O512" s="7">
        <f t="shared" si="140"/>
        <v>294</v>
      </c>
      <c r="P512" s="56" t="s">
        <v>895</v>
      </c>
      <c r="Q512" s="56"/>
      <c r="R512" s="56"/>
      <c r="S512" s="56"/>
    </row>
    <row r="513" spans="1:19" x14ac:dyDescent="0.15">
      <c r="A513" s="15" t="s">
        <v>19</v>
      </c>
      <c r="B513" s="8"/>
      <c r="C513" s="10">
        <v>1</v>
      </c>
      <c r="D513" s="10"/>
      <c r="E513" s="10"/>
      <c r="F513" s="28">
        <v>1</v>
      </c>
      <c r="G513" s="9">
        <f t="shared" si="138"/>
        <v>2</v>
      </c>
      <c r="H513" s="58">
        <v>43480</v>
      </c>
      <c r="I513" s="38" t="s">
        <v>5</v>
      </c>
      <c r="J513" s="8"/>
      <c r="K513" s="10"/>
      <c r="L513" s="10"/>
      <c r="M513" s="10"/>
      <c r="N513" s="28"/>
      <c r="O513" s="9">
        <f t="shared" si="140"/>
        <v>0</v>
      </c>
    </row>
    <row r="514" spans="1:19" x14ac:dyDescent="0.15">
      <c r="A514" s="15" t="s">
        <v>322</v>
      </c>
      <c r="B514" s="8"/>
      <c r="C514" s="10">
        <v>1</v>
      </c>
      <c r="D514" s="10"/>
      <c r="E514" s="10">
        <v>3</v>
      </c>
      <c r="F514" s="30"/>
      <c r="G514" s="7">
        <f t="shared" ref="G514:G516" si="141">SUM(B514:F514)</f>
        <v>4</v>
      </c>
      <c r="H514" s="58">
        <v>43483</v>
      </c>
      <c r="I514" s="38" t="s">
        <v>6</v>
      </c>
      <c r="J514" s="8"/>
      <c r="K514" s="10"/>
      <c r="L514" s="10"/>
      <c r="M514" s="10"/>
      <c r="N514" s="30"/>
      <c r="O514" s="7">
        <f t="shared" si="140"/>
        <v>0</v>
      </c>
    </row>
    <row r="515" spans="1:19" x14ac:dyDescent="0.15">
      <c r="A515" s="15" t="s">
        <v>911</v>
      </c>
      <c r="B515" s="8"/>
      <c r="C515" s="10">
        <v>1</v>
      </c>
      <c r="D515" s="10"/>
      <c r="E515" s="10"/>
      <c r="F515" s="30"/>
      <c r="G515" s="7">
        <f t="shared" si="141"/>
        <v>1</v>
      </c>
      <c r="H515" s="58">
        <v>43495</v>
      </c>
      <c r="I515" s="38" t="s">
        <v>84</v>
      </c>
      <c r="J515" s="8"/>
      <c r="K515" s="10"/>
      <c r="L515" s="10"/>
      <c r="M515" s="10"/>
      <c r="N515" s="30"/>
      <c r="O515" s="7">
        <f t="shared" si="140"/>
        <v>0</v>
      </c>
    </row>
    <row r="516" spans="1:19" x14ac:dyDescent="0.15">
      <c r="A516" s="15" t="s">
        <v>19</v>
      </c>
      <c r="B516" s="11"/>
      <c r="C516" s="100"/>
      <c r="D516" s="100">
        <v>2</v>
      </c>
      <c r="E516" s="100">
        <v>1</v>
      </c>
      <c r="F516" s="101">
        <v>2</v>
      </c>
      <c r="G516" s="102">
        <f t="shared" si="141"/>
        <v>5</v>
      </c>
      <c r="H516" s="58">
        <v>43517</v>
      </c>
      <c r="I516" s="38" t="s">
        <v>85</v>
      </c>
      <c r="J516" s="8"/>
      <c r="K516" s="10"/>
      <c r="L516" s="10"/>
      <c r="M516" s="10"/>
      <c r="N516" s="30"/>
      <c r="O516" s="7">
        <f t="shared" si="140"/>
        <v>0</v>
      </c>
    </row>
    <row r="517" spans="1:19" ht="14.25" thickBot="1" x14ac:dyDescent="0.2">
      <c r="A517" s="15"/>
      <c r="B517" s="11"/>
      <c r="C517" s="100"/>
      <c r="D517" s="100"/>
      <c r="E517" s="100">
        <v>10</v>
      </c>
      <c r="F517" s="101"/>
      <c r="G517" s="102">
        <f t="shared" si="138"/>
        <v>10</v>
      </c>
      <c r="H517" s="58">
        <v>43521</v>
      </c>
      <c r="I517" s="38" t="s">
        <v>86</v>
      </c>
      <c r="J517" s="11"/>
      <c r="K517" s="100"/>
      <c r="L517" s="100"/>
      <c r="M517" s="100"/>
      <c r="N517" s="101"/>
      <c r="O517" s="102">
        <f t="shared" si="140"/>
        <v>0</v>
      </c>
    </row>
    <row r="518" spans="1:19" ht="14.25" thickBot="1" x14ac:dyDescent="0.2">
      <c r="A518" s="72" t="s">
        <v>7</v>
      </c>
      <c r="B518" s="73">
        <f>SUM(B509:B517)</f>
        <v>12</v>
      </c>
      <c r="C518" s="74">
        <f t="shared" ref="C518:G518" si="142">SUM(C509:C517)</f>
        <v>23</v>
      </c>
      <c r="D518" s="74">
        <f t="shared" si="142"/>
        <v>17</v>
      </c>
      <c r="E518" s="74">
        <f t="shared" si="142"/>
        <v>32</v>
      </c>
      <c r="F518" s="105">
        <f t="shared" si="142"/>
        <v>20</v>
      </c>
      <c r="G518" s="76">
        <f t="shared" si="142"/>
        <v>104</v>
      </c>
      <c r="H518" s="56"/>
      <c r="I518" s="72" t="s">
        <v>7</v>
      </c>
      <c r="J518" s="73">
        <f>SUM(J509:J517)</f>
        <v>265</v>
      </c>
      <c r="K518" s="74">
        <f t="shared" ref="K518:O518" si="143">SUM(K509:K517)</f>
        <v>265</v>
      </c>
      <c r="L518" s="74">
        <f t="shared" si="143"/>
        <v>256</v>
      </c>
      <c r="M518" s="74">
        <f t="shared" si="143"/>
        <v>297</v>
      </c>
      <c r="N518" s="105">
        <f t="shared" si="143"/>
        <v>290</v>
      </c>
      <c r="O518" s="76">
        <f t="shared" si="143"/>
        <v>1373</v>
      </c>
    </row>
    <row r="519" spans="1:19" x14ac:dyDescent="0.15">
      <c r="A519" s="39" t="s">
        <v>10</v>
      </c>
      <c r="B519" s="37"/>
      <c r="C519" s="35">
        <v>1</v>
      </c>
      <c r="D519" s="35"/>
      <c r="E519" s="35"/>
      <c r="F519" s="28">
        <v>1</v>
      </c>
      <c r="G519" s="18">
        <f t="shared" ref="G519:G544" si="144">SUM(B519:F519)</f>
        <v>2</v>
      </c>
      <c r="H519" s="58">
        <v>43452</v>
      </c>
      <c r="I519" s="14" t="s">
        <v>888</v>
      </c>
      <c r="J519" s="8">
        <v>40</v>
      </c>
      <c r="K519" s="10">
        <v>30</v>
      </c>
      <c r="L519" s="10">
        <v>20</v>
      </c>
      <c r="M519" s="10">
        <v>90</v>
      </c>
      <c r="N519" s="30">
        <v>110</v>
      </c>
      <c r="O519" s="7">
        <f>SUM(J519:N519)</f>
        <v>290</v>
      </c>
      <c r="P519" s="56" t="s">
        <v>848</v>
      </c>
      <c r="Q519" s="56"/>
      <c r="R519" s="56"/>
      <c r="S519" s="56"/>
    </row>
    <row r="520" spans="1:19" x14ac:dyDescent="0.15">
      <c r="A520" s="39" t="s">
        <v>10</v>
      </c>
      <c r="B520" s="8"/>
      <c r="C520" s="10">
        <v>1</v>
      </c>
      <c r="D520" s="10"/>
      <c r="E520" s="10"/>
      <c r="F520" s="30"/>
      <c r="G520" s="7">
        <f t="shared" si="144"/>
        <v>1</v>
      </c>
      <c r="H520" s="58">
        <v>43453</v>
      </c>
      <c r="I520" s="14" t="s">
        <v>898</v>
      </c>
      <c r="J520" s="8"/>
      <c r="K520" s="10"/>
      <c r="L520" s="10">
        <v>5</v>
      </c>
      <c r="M520" s="10">
        <v>5</v>
      </c>
      <c r="N520" s="30">
        <v>5</v>
      </c>
      <c r="O520" s="7">
        <f t="shared" ref="O520:O544" si="145">SUM(J520:N520)</f>
        <v>15</v>
      </c>
      <c r="P520" s="58">
        <v>43453</v>
      </c>
    </row>
    <row r="521" spans="1:19" x14ac:dyDescent="0.15">
      <c r="A521" s="39" t="s">
        <v>10</v>
      </c>
      <c r="B521" s="8"/>
      <c r="C521" s="10"/>
      <c r="D521" s="10"/>
      <c r="E521" s="10">
        <v>3</v>
      </c>
      <c r="F521" s="30"/>
      <c r="G521" s="7">
        <f t="shared" si="144"/>
        <v>3</v>
      </c>
      <c r="H521" s="58">
        <v>43456</v>
      </c>
      <c r="I521" s="14" t="s">
        <v>904</v>
      </c>
      <c r="J521" s="8"/>
      <c r="K521" s="10">
        <v>1</v>
      </c>
      <c r="L521" s="10"/>
      <c r="M521" s="10">
        <v>1</v>
      </c>
      <c r="N521" s="30"/>
      <c r="O521" s="7">
        <f t="shared" si="145"/>
        <v>2</v>
      </c>
      <c r="P521" s="58">
        <v>43475</v>
      </c>
    </row>
    <row r="522" spans="1:19" x14ac:dyDescent="0.15">
      <c r="A522" s="39" t="s">
        <v>10</v>
      </c>
      <c r="B522" s="8"/>
      <c r="C522" s="10"/>
      <c r="D522" s="10">
        <v>1</v>
      </c>
      <c r="E522" s="10"/>
      <c r="F522" s="30"/>
      <c r="G522" s="7">
        <f t="shared" si="144"/>
        <v>1</v>
      </c>
      <c r="H522" s="58">
        <v>43460</v>
      </c>
      <c r="I522" s="14" t="s">
        <v>25</v>
      </c>
      <c r="J522" s="8"/>
      <c r="K522" s="10"/>
      <c r="L522" s="10"/>
      <c r="M522" s="10">
        <v>1</v>
      </c>
      <c r="N522" s="30"/>
      <c r="O522" s="7">
        <f t="shared" si="145"/>
        <v>1</v>
      </c>
      <c r="P522" s="58">
        <v>43481</v>
      </c>
      <c r="Q522" s="56"/>
    </row>
    <row r="523" spans="1:19" x14ac:dyDescent="0.15">
      <c r="A523" s="14" t="s">
        <v>900</v>
      </c>
      <c r="B523" s="37"/>
      <c r="C523" s="35"/>
      <c r="D523" s="35"/>
      <c r="E523" s="35"/>
      <c r="F523" s="28">
        <v>1</v>
      </c>
      <c r="G523" s="7">
        <f t="shared" si="144"/>
        <v>1</v>
      </c>
      <c r="H523" s="58">
        <v>43461</v>
      </c>
      <c r="I523" s="14" t="s">
        <v>110</v>
      </c>
      <c r="J523" s="8"/>
      <c r="K523" s="10">
        <v>5</v>
      </c>
      <c r="L523" s="10"/>
      <c r="M523" s="10"/>
      <c r="N523" s="30"/>
      <c r="O523" s="7">
        <f t="shared" si="145"/>
        <v>5</v>
      </c>
      <c r="P523" s="58">
        <v>43487</v>
      </c>
    </row>
    <row r="524" spans="1:19" x14ac:dyDescent="0.15">
      <c r="A524" s="39" t="s">
        <v>10</v>
      </c>
      <c r="B524" s="8"/>
      <c r="C524" s="10"/>
      <c r="D524" s="10">
        <v>1</v>
      </c>
      <c r="E524" s="10"/>
      <c r="F524" s="30"/>
      <c r="G524" s="7">
        <f t="shared" si="144"/>
        <v>1</v>
      </c>
      <c r="H524" s="58">
        <v>43105</v>
      </c>
      <c r="I524" s="14" t="s">
        <v>25</v>
      </c>
      <c r="J524" s="8"/>
      <c r="K524" s="10">
        <v>1</v>
      </c>
      <c r="L524" s="10">
        <v>2</v>
      </c>
      <c r="M524" s="10">
        <v>1</v>
      </c>
      <c r="N524" s="30"/>
      <c r="O524" s="7">
        <f t="shared" si="145"/>
        <v>4</v>
      </c>
      <c r="P524" s="58">
        <v>43483</v>
      </c>
    </row>
    <row r="525" spans="1:19" x14ac:dyDescent="0.15">
      <c r="A525" s="14" t="s">
        <v>29</v>
      </c>
      <c r="B525" s="8"/>
      <c r="C525" s="10"/>
      <c r="D525" s="10"/>
      <c r="E525" s="10"/>
      <c r="F525" s="30">
        <v>1</v>
      </c>
      <c r="G525" s="7">
        <f t="shared" si="144"/>
        <v>1</v>
      </c>
      <c r="H525" s="58">
        <v>43462</v>
      </c>
      <c r="I525" s="14" t="s">
        <v>25</v>
      </c>
      <c r="J525" s="8"/>
      <c r="K525" s="10">
        <v>1</v>
      </c>
      <c r="L525" s="10"/>
      <c r="M525" s="10"/>
      <c r="N525" s="30"/>
      <c r="O525" s="7">
        <f t="shared" si="145"/>
        <v>1</v>
      </c>
      <c r="P525" s="58">
        <v>43484</v>
      </c>
    </row>
    <row r="526" spans="1:19" x14ac:dyDescent="0.15">
      <c r="A526" s="14" t="s">
        <v>29</v>
      </c>
      <c r="B526" s="8"/>
      <c r="C526" s="10"/>
      <c r="D526" s="10"/>
      <c r="E526" s="10">
        <v>1</v>
      </c>
      <c r="F526" s="30"/>
      <c r="G526" s="7">
        <f t="shared" si="144"/>
        <v>1</v>
      </c>
      <c r="H526" s="58">
        <v>43470</v>
      </c>
      <c r="I526" s="14" t="s">
        <v>25</v>
      </c>
      <c r="J526" s="8"/>
      <c r="K526" s="10">
        <v>1</v>
      </c>
      <c r="L526" s="10"/>
      <c r="M526" s="10"/>
      <c r="N526" s="30"/>
      <c r="O526" s="7">
        <f t="shared" si="145"/>
        <v>1</v>
      </c>
      <c r="P526" s="58">
        <v>43488</v>
      </c>
      <c r="Q526" s="56"/>
    </row>
    <row r="527" spans="1:19" x14ac:dyDescent="0.15">
      <c r="A527" s="14" t="s">
        <v>117</v>
      </c>
      <c r="B527" s="8"/>
      <c r="C527" s="10">
        <v>1</v>
      </c>
      <c r="D527" s="10"/>
      <c r="E527" s="10"/>
      <c r="F527" s="30"/>
      <c r="G527" s="7">
        <f t="shared" si="144"/>
        <v>1</v>
      </c>
      <c r="H527" s="58">
        <v>43481</v>
      </c>
      <c r="I527" s="14" t="s">
        <v>25</v>
      </c>
      <c r="J527" s="8"/>
      <c r="K527" s="10"/>
      <c r="L527" s="10"/>
      <c r="M527" s="10"/>
      <c r="N527" s="30">
        <v>1</v>
      </c>
      <c r="O527" s="7">
        <f t="shared" si="145"/>
        <v>1</v>
      </c>
      <c r="P527" s="58">
        <v>43489</v>
      </c>
    </row>
    <row r="528" spans="1:19" x14ac:dyDescent="0.15">
      <c r="A528" s="14" t="s">
        <v>907</v>
      </c>
      <c r="B528" s="11"/>
      <c r="C528" s="12"/>
      <c r="D528" s="12"/>
      <c r="E528" s="12"/>
      <c r="F528" s="31">
        <v>1</v>
      </c>
      <c r="G528" s="7">
        <f t="shared" si="144"/>
        <v>1</v>
      </c>
      <c r="H528" s="58">
        <v>43486</v>
      </c>
      <c r="I528" s="16" t="s">
        <v>22</v>
      </c>
      <c r="J528" s="11"/>
      <c r="K528" s="12"/>
      <c r="L528" s="12">
        <v>10</v>
      </c>
      <c r="M528" s="12"/>
      <c r="N528" s="31">
        <v>10</v>
      </c>
      <c r="O528" s="7">
        <f t="shared" si="145"/>
        <v>20</v>
      </c>
      <c r="P528" s="58">
        <v>43497</v>
      </c>
    </row>
    <row r="529" spans="1:17" x14ac:dyDescent="0.15">
      <c r="A529" s="39" t="s">
        <v>10</v>
      </c>
      <c r="B529" s="8">
        <v>1</v>
      </c>
      <c r="C529" s="10">
        <v>1</v>
      </c>
      <c r="D529" s="10"/>
      <c r="E529" s="10"/>
      <c r="F529" s="30"/>
      <c r="G529" s="7">
        <f t="shared" si="144"/>
        <v>2</v>
      </c>
      <c r="H529" s="58">
        <v>43490</v>
      </c>
      <c r="I529" s="14" t="s">
        <v>25</v>
      </c>
      <c r="J529" s="8">
        <v>1</v>
      </c>
      <c r="K529" s="10"/>
      <c r="L529" s="10"/>
      <c r="M529" s="10"/>
      <c r="N529" s="30"/>
      <c r="O529" s="7">
        <f t="shared" si="145"/>
        <v>1</v>
      </c>
      <c r="P529" s="58">
        <v>43491</v>
      </c>
    </row>
    <row r="530" spans="1:17" x14ac:dyDescent="0.15">
      <c r="A530" s="14" t="s">
        <v>909</v>
      </c>
      <c r="B530" s="8"/>
      <c r="C530" s="10"/>
      <c r="D530" s="10"/>
      <c r="E530" s="10"/>
      <c r="F530" s="30">
        <v>1</v>
      </c>
      <c r="G530" s="7">
        <f t="shared" si="144"/>
        <v>1</v>
      </c>
      <c r="H530" s="58">
        <v>43490</v>
      </c>
      <c r="I530" s="14" t="s">
        <v>25</v>
      </c>
      <c r="J530" s="8"/>
      <c r="K530" s="10"/>
      <c r="L530" s="10"/>
      <c r="M530" s="10">
        <v>1</v>
      </c>
      <c r="N530" s="30"/>
      <c r="O530" s="7">
        <f t="shared" si="145"/>
        <v>1</v>
      </c>
      <c r="P530" s="58">
        <v>43494</v>
      </c>
    </row>
    <row r="531" spans="1:17" x14ac:dyDescent="0.15">
      <c r="A531" s="14" t="s">
        <v>117</v>
      </c>
      <c r="B531" s="8"/>
      <c r="C531" s="10"/>
      <c r="D531" s="10">
        <v>1</v>
      </c>
      <c r="E531" s="10"/>
      <c r="F531" s="30"/>
      <c r="G531" s="7">
        <f t="shared" si="144"/>
        <v>1</v>
      </c>
      <c r="H531" s="58">
        <v>43495</v>
      </c>
      <c r="I531" s="16" t="s">
        <v>22</v>
      </c>
      <c r="J531" s="8"/>
      <c r="K531" s="10">
        <v>10</v>
      </c>
      <c r="L531" s="10"/>
      <c r="M531" s="10"/>
      <c r="N531" s="30"/>
      <c r="O531" s="7">
        <f t="shared" si="145"/>
        <v>10</v>
      </c>
      <c r="P531" s="58">
        <v>43503</v>
      </c>
    </row>
    <row r="532" spans="1:17" x14ac:dyDescent="0.15">
      <c r="A532" s="14" t="s">
        <v>912</v>
      </c>
      <c r="B532" s="8"/>
      <c r="C532" s="10">
        <v>1</v>
      </c>
      <c r="D532" s="10"/>
      <c r="E532" s="10"/>
      <c r="F532" s="30"/>
      <c r="G532" s="7">
        <f t="shared" si="144"/>
        <v>1</v>
      </c>
      <c r="H532" s="58">
        <v>43496</v>
      </c>
      <c r="I532" s="14" t="s">
        <v>25</v>
      </c>
      <c r="J532" s="8"/>
      <c r="K532" s="10"/>
      <c r="L532" s="10"/>
      <c r="M532" s="10"/>
      <c r="N532" s="30">
        <v>1</v>
      </c>
      <c r="O532" s="7">
        <f t="shared" si="145"/>
        <v>1</v>
      </c>
      <c r="P532" s="58">
        <v>43498</v>
      </c>
    </row>
    <row r="533" spans="1:17" x14ac:dyDescent="0.15">
      <c r="A533" s="14" t="s">
        <v>915</v>
      </c>
      <c r="B533" s="8">
        <v>1</v>
      </c>
      <c r="C533" s="10"/>
      <c r="D533" s="10"/>
      <c r="E533" s="10"/>
      <c r="F533" s="30"/>
      <c r="G533" s="7">
        <f t="shared" si="144"/>
        <v>1</v>
      </c>
      <c r="H533" s="58">
        <v>43496</v>
      </c>
      <c r="I533" s="16" t="s">
        <v>22</v>
      </c>
      <c r="J533" s="8"/>
      <c r="K533" s="10"/>
      <c r="L533" s="10"/>
      <c r="M533" s="10">
        <v>10</v>
      </c>
      <c r="N533" s="30"/>
      <c r="O533" s="7">
        <f t="shared" si="145"/>
        <v>10</v>
      </c>
      <c r="P533" s="58">
        <v>43517</v>
      </c>
    </row>
    <row r="534" spans="1:17" x14ac:dyDescent="0.15">
      <c r="A534" s="14" t="s">
        <v>923</v>
      </c>
      <c r="B534" s="8"/>
      <c r="C534" s="10">
        <v>2</v>
      </c>
      <c r="D534" s="10"/>
      <c r="E534" s="10"/>
      <c r="F534" s="30"/>
      <c r="G534" s="7">
        <f t="shared" si="144"/>
        <v>2</v>
      </c>
      <c r="H534" s="58">
        <v>43509</v>
      </c>
      <c r="I534" s="16" t="s">
        <v>22</v>
      </c>
      <c r="J534" s="8"/>
      <c r="K534" s="10"/>
      <c r="L534" s="10">
        <v>10</v>
      </c>
      <c r="M534" s="10"/>
      <c r="N534" s="30"/>
      <c r="O534" s="7">
        <f t="shared" ref="O534" si="146">SUM(J534:N534)</f>
        <v>10</v>
      </c>
      <c r="P534" s="58">
        <v>43521</v>
      </c>
    </row>
    <row r="535" spans="1:17" x14ac:dyDescent="0.15">
      <c r="A535" s="14" t="s">
        <v>29</v>
      </c>
      <c r="B535" s="8"/>
      <c r="C535" s="10"/>
      <c r="D535" s="10"/>
      <c r="E535" s="10">
        <v>1</v>
      </c>
      <c r="F535" s="30"/>
      <c r="G535" s="7">
        <f t="shared" si="144"/>
        <v>1</v>
      </c>
      <c r="H535" s="58">
        <v>43514</v>
      </c>
      <c r="I535" s="16"/>
      <c r="J535" s="8"/>
      <c r="K535" s="10"/>
      <c r="L535" s="10"/>
      <c r="M535" s="10"/>
      <c r="N535" s="30"/>
      <c r="O535" s="7">
        <f t="shared" si="145"/>
        <v>0</v>
      </c>
      <c r="P535" s="58"/>
      <c r="Q535" s="56"/>
    </row>
    <row r="536" spans="1:17" x14ac:dyDescent="0.15">
      <c r="A536" s="14" t="s">
        <v>110</v>
      </c>
      <c r="B536" s="8"/>
      <c r="C536" s="10"/>
      <c r="D536" s="10"/>
      <c r="E536" s="10"/>
      <c r="F536" s="30">
        <v>2</v>
      </c>
      <c r="G536" s="7">
        <v>2</v>
      </c>
      <c r="H536" s="58">
        <v>43517</v>
      </c>
      <c r="I536" s="14"/>
      <c r="J536" s="8"/>
      <c r="K536" s="10"/>
      <c r="L536" s="10"/>
      <c r="M536" s="10"/>
      <c r="N536" s="30"/>
      <c r="O536" s="7">
        <f t="shared" si="145"/>
        <v>0</v>
      </c>
      <c r="P536" s="56"/>
      <c r="Q536" s="56"/>
    </row>
    <row r="537" spans="1:17" x14ac:dyDescent="0.15">
      <c r="A537" s="14" t="s">
        <v>29</v>
      </c>
      <c r="B537" s="8"/>
      <c r="C537" s="10"/>
      <c r="D537" s="10"/>
      <c r="E537" s="10"/>
      <c r="F537" s="30">
        <v>1</v>
      </c>
      <c r="G537" s="7">
        <f t="shared" si="144"/>
        <v>1</v>
      </c>
      <c r="H537" s="58">
        <v>43515</v>
      </c>
      <c r="I537" s="14"/>
      <c r="J537" s="8"/>
      <c r="K537" s="10"/>
      <c r="L537" s="10"/>
      <c r="M537" s="10"/>
      <c r="N537" s="30"/>
      <c r="O537" s="7">
        <f t="shared" si="145"/>
        <v>0</v>
      </c>
      <c r="P537" s="56"/>
      <c r="Q537" s="56"/>
    </row>
    <row r="538" spans="1:17" x14ac:dyDescent="0.15">
      <c r="A538" s="39" t="s">
        <v>10</v>
      </c>
      <c r="B538" s="8"/>
      <c r="C538" s="10"/>
      <c r="D538" s="10"/>
      <c r="E538" s="10"/>
      <c r="F538" s="30">
        <v>1</v>
      </c>
      <c r="G538" s="7">
        <f t="shared" si="144"/>
        <v>1</v>
      </c>
      <c r="H538" s="58">
        <v>43522</v>
      </c>
      <c r="I538" s="39"/>
      <c r="J538" s="8"/>
      <c r="K538" s="10"/>
      <c r="L538" s="10"/>
      <c r="M538" s="10"/>
      <c r="N538" s="30"/>
      <c r="O538" s="7">
        <f t="shared" ref="O538:O539" si="147">SUM(J538:N538)</f>
        <v>0</v>
      </c>
      <c r="P538" s="56"/>
      <c r="Q538" s="56"/>
    </row>
    <row r="539" spans="1:17" x14ac:dyDescent="0.15">
      <c r="A539" s="20" t="s">
        <v>30</v>
      </c>
      <c r="B539" s="8">
        <v>3</v>
      </c>
      <c r="C539" s="10">
        <v>3</v>
      </c>
      <c r="D539" s="10">
        <v>3</v>
      </c>
      <c r="E539" s="10">
        <v>3</v>
      </c>
      <c r="F539" s="30">
        <v>3</v>
      </c>
      <c r="G539" s="7">
        <f t="shared" si="144"/>
        <v>15</v>
      </c>
      <c r="H539" s="58">
        <v>43524</v>
      </c>
      <c r="I539" s="39"/>
      <c r="J539" s="8"/>
      <c r="K539" s="10"/>
      <c r="L539" s="10"/>
      <c r="M539" s="10"/>
      <c r="N539" s="30"/>
      <c r="O539" s="7">
        <f t="shared" si="147"/>
        <v>0</v>
      </c>
      <c r="P539" s="56"/>
      <c r="Q539" s="56"/>
    </row>
    <row r="540" spans="1:17" x14ac:dyDescent="0.15">
      <c r="A540" s="39" t="s">
        <v>10</v>
      </c>
      <c r="B540" s="11"/>
      <c r="C540" s="12"/>
      <c r="D540" s="12">
        <v>1</v>
      </c>
      <c r="E540" s="12"/>
      <c r="F540" s="31"/>
      <c r="G540" s="7">
        <f t="shared" si="144"/>
        <v>1</v>
      </c>
      <c r="H540" s="58">
        <v>43524</v>
      </c>
      <c r="I540" s="20"/>
      <c r="J540" s="8"/>
      <c r="K540" s="10"/>
      <c r="L540" s="10"/>
      <c r="M540" s="10"/>
      <c r="N540" s="30"/>
      <c r="O540" s="7">
        <f t="shared" si="145"/>
        <v>0</v>
      </c>
      <c r="P540" s="58"/>
      <c r="Q540" s="56"/>
    </row>
    <row r="541" spans="1:17" x14ac:dyDescent="0.15">
      <c r="A541" s="170" t="s">
        <v>935</v>
      </c>
      <c r="B541" s="8">
        <v>1</v>
      </c>
      <c r="C541" s="10"/>
      <c r="D541" s="10">
        <v>1</v>
      </c>
      <c r="E541" s="10"/>
      <c r="F541" s="30"/>
      <c r="G541" s="7">
        <f t="shared" si="144"/>
        <v>2</v>
      </c>
      <c r="H541" s="58">
        <v>43524</v>
      </c>
      <c r="I541" s="20"/>
      <c r="J541" s="8"/>
      <c r="K541" s="10"/>
      <c r="L541" s="10"/>
      <c r="M541" s="10"/>
      <c r="N541" s="30"/>
      <c r="O541" s="7">
        <f t="shared" si="145"/>
        <v>0</v>
      </c>
      <c r="P541" s="58"/>
      <c r="Q541" s="56"/>
    </row>
    <row r="542" spans="1:17" x14ac:dyDescent="0.15">
      <c r="A542" s="39" t="s">
        <v>10</v>
      </c>
      <c r="B542" s="8"/>
      <c r="C542" s="10">
        <v>1</v>
      </c>
      <c r="D542" s="10"/>
      <c r="E542" s="10"/>
      <c r="F542" s="30"/>
      <c r="G542" s="7">
        <f t="shared" si="144"/>
        <v>1</v>
      </c>
      <c r="H542" s="58">
        <v>43526</v>
      </c>
      <c r="I542" s="20"/>
      <c r="J542" s="8"/>
      <c r="K542" s="10"/>
      <c r="L542" s="10"/>
      <c r="M542" s="10"/>
      <c r="N542" s="30"/>
      <c r="O542" s="7">
        <f t="shared" si="145"/>
        <v>0</v>
      </c>
      <c r="P542" s="56"/>
      <c r="Q542" s="56"/>
    </row>
    <row r="543" spans="1:17" x14ac:dyDescent="0.15">
      <c r="A543" s="39" t="s">
        <v>10</v>
      </c>
      <c r="B543" s="8"/>
      <c r="C543" s="10">
        <v>1</v>
      </c>
      <c r="D543" s="10"/>
      <c r="E543" s="10"/>
      <c r="F543" s="30"/>
      <c r="G543" s="7">
        <f t="shared" si="144"/>
        <v>1</v>
      </c>
      <c r="H543" s="58">
        <v>43529</v>
      </c>
      <c r="I543" s="20"/>
      <c r="J543" s="8"/>
      <c r="K543" s="10"/>
      <c r="L543" s="10"/>
      <c r="M543" s="10"/>
      <c r="N543" s="30"/>
      <c r="O543" s="7">
        <f t="shared" ref="O543" si="148">SUM(J543:N543)</f>
        <v>0</v>
      </c>
      <c r="P543" s="56"/>
      <c r="Q543" s="56"/>
    </row>
    <row r="544" spans="1:17" ht="14.25" thickBot="1" x14ac:dyDescent="0.2">
      <c r="A544" s="14" t="s">
        <v>29</v>
      </c>
      <c r="B544" s="11"/>
      <c r="C544" s="12">
        <v>1</v>
      </c>
      <c r="D544" s="12"/>
      <c r="E544" s="12"/>
      <c r="F544" s="31"/>
      <c r="G544" s="115">
        <f t="shared" si="144"/>
        <v>1</v>
      </c>
      <c r="H544" s="57">
        <v>43530</v>
      </c>
      <c r="I544" s="39"/>
      <c r="J544" s="8"/>
      <c r="K544" s="10"/>
      <c r="L544" s="10"/>
      <c r="M544" s="10"/>
      <c r="N544" s="30"/>
      <c r="O544" s="7">
        <f t="shared" si="145"/>
        <v>0</v>
      </c>
      <c r="P544" s="56"/>
      <c r="Q544" s="56"/>
    </row>
    <row r="545" spans="1:16" ht="14.25" thickBot="1" x14ac:dyDescent="0.2">
      <c r="A545" s="3" t="s">
        <v>11</v>
      </c>
      <c r="B545" s="23">
        <f>SUM(B519:B544)</f>
        <v>6</v>
      </c>
      <c r="C545" s="4">
        <f>SUM(C519:C544)</f>
        <v>13</v>
      </c>
      <c r="D545" s="4">
        <f>SUM(D519:D544)</f>
        <v>8</v>
      </c>
      <c r="E545" s="6">
        <f>SUM(E519:E544)</f>
        <v>8</v>
      </c>
      <c r="F545" s="32">
        <f>SUM(F519:F544)</f>
        <v>12</v>
      </c>
      <c r="G545" s="5">
        <f>SUM(B545:F545)</f>
        <v>47</v>
      </c>
      <c r="I545" s="3" t="s">
        <v>11</v>
      </c>
      <c r="J545" s="23">
        <f>SUM(J519:J544)</f>
        <v>41</v>
      </c>
      <c r="K545" s="4">
        <f>SUM(K519:K544)</f>
        <v>49</v>
      </c>
      <c r="L545" s="4">
        <f>SUM(L519:L544)</f>
        <v>47</v>
      </c>
      <c r="M545" s="6">
        <f>SUM(M519:M544)</f>
        <v>109</v>
      </c>
      <c r="N545" s="32">
        <f>SUM(N519:N544)</f>
        <v>127</v>
      </c>
      <c r="O545" s="5">
        <f>SUM(J545:N545)</f>
        <v>373</v>
      </c>
    </row>
    <row r="546" spans="1:16" ht="14.25" thickBot="1" x14ac:dyDescent="0.2">
      <c r="A546" s="25" t="s">
        <v>12</v>
      </c>
      <c r="B546" s="63">
        <f>B518-B545</f>
        <v>6</v>
      </c>
      <c r="C546" s="26">
        <f t="shared" ref="C546:G546" si="149">C518-C545</f>
        <v>10</v>
      </c>
      <c r="D546" s="71">
        <f t="shared" si="149"/>
        <v>9</v>
      </c>
      <c r="E546" s="26">
        <f t="shared" si="149"/>
        <v>24</v>
      </c>
      <c r="F546" s="70">
        <f t="shared" si="149"/>
        <v>8</v>
      </c>
      <c r="G546" s="27">
        <f t="shared" si="149"/>
        <v>57</v>
      </c>
      <c r="I546" s="25" t="s">
        <v>12</v>
      </c>
      <c r="J546" s="63">
        <f>J518-J545</f>
        <v>224</v>
      </c>
      <c r="K546" s="26">
        <f t="shared" ref="K546:O546" si="150">K518-K545</f>
        <v>216</v>
      </c>
      <c r="L546" s="71">
        <f t="shared" si="150"/>
        <v>209</v>
      </c>
      <c r="M546" s="26">
        <f t="shared" si="150"/>
        <v>188</v>
      </c>
      <c r="N546" s="70">
        <f t="shared" si="150"/>
        <v>163</v>
      </c>
      <c r="O546" s="27">
        <f t="shared" si="150"/>
        <v>1000</v>
      </c>
    </row>
    <row r="547" spans="1:16" ht="17.25" x14ac:dyDescent="0.2">
      <c r="A547" s="79" t="s">
        <v>391</v>
      </c>
      <c r="B547" s="80"/>
      <c r="C547" s="80"/>
      <c r="D547" s="80"/>
      <c r="E547" s="80"/>
      <c r="F547" s="80"/>
      <c r="G547" s="80"/>
      <c r="H547" s="56"/>
      <c r="I547" s="79" t="s">
        <v>391</v>
      </c>
      <c r="J547" s="80"/>
      <c r="K547" s="80"/>
      <c r="L547" s="80"/>
      <c r="M547" s="80"/>
      <c r="N547" s="80"/>
      <c r="O547" s="1"/>
    </row>
    <row r="548" spans="1:16" ht="21.75" thickBot="1" x14ac:dyDescent="0.25">
      <c r="A548" s="82" t="s">
        <v>390</v>
      </c>
      <c r="B548" s="80"/>
      <c r="C548" s="80"/>
      <c r="D548" s="80"/>
      <c r="E548" s="81" t="s">
        <v>53</v>
      </c>
      <c r="F548" s="80"/>
      <c r="G548" s="80"/>
      <c r="H548" s="56"/>
      <c r="I548" s="82" t="s">
        <v>390</v>
      </c>
      <c r="J548" s="80"/>
      <c r="K548" s="80"/>
      <c r="L548" s="80"/>
      <c r="M548" s="81" t="s">
        <v>393</v>
      </c>
      <c r="N548" s="80"/>
      <c r="O548" s="1"/>
    </row>
    <row r="549" spans="1:16" ht="14.25" thickBot="1" x14ac:dyDescent="0.2">
      <c r="A549" s="13" t="s">
        <v>0</v>
      </c>
      <c r="B549" s="228" t="s">
        <v>392</v>
      </c>
      <c r="C549" s="229"/>
      <c r="D549" s="229"/>
      <c r="E549" s="229"/>
      <c r="F549" s="230"/>
      <c r="G549" s="231"/>
      <c r="H549" s="56"/>
      <c r="I549" s="13" t="s">
        <v>0</v>
      </c>
      <c r="J549" s="228" t="s">
        <v>392</v>
      </c>
      <c r="K549" s="229"/>
      <c r="L549" s="229"/>
      <c r="M549" s="229"/>
      <c r="N549" s="230"/>
      <c r="O549" s="231"/>
    </row>
    <row r="550" spans="1:16" ht="14.25" thickBot="1" x14ac:dyDescent="0.2">
      <c r="A550" s="3" t="s">
        <v>1</v>
      </c>
      <c r="B550" s="2" t="s">
        <v>42</v>
      </c>
      <c r="C550" s="21" t="s">
        <v>43</v>
      </c>
      <c r="D550" s="21" t="s">
        <v>44</v>
      </c>
      <c r="E550" s="24" t="s">
        <v>45</v>
      </c>
      <c r="F550" s="33" t="s">
        <v>46</v>
      </c>
      <c r="G550" s="34" t="s">
        <v>2</v>
      </c>
      <c r="H550" s="56"/>
      <c r="I550" s="3" t="s">
        <v>1</v>
      </c>
      <c r="J550" s="41" t="s">
        <v>42</v>
      </c>
      <c r="K550" s="42" t="s">
        <v>43</v>
      </c>
      <c r="L550" s="42" t="s">
        <v>44</v>
      </c>
      <c r="M550" s="43" t="s">
        <v>45</v>
      </c>
      <c r="N550" s="44" t="s">
        <v>46</v>
      </c>
      <c r="O550" s="3" t="s">
        <v>2</v>
      </c>
    </row>
    <row r="551" spans="1:16" ht="14.25" thickBot="1" x14ac:dyDescent="0.2">
      <c r="A551" s="72" t="s">
        <v>456</v>
      </c>
      <c r="B551" s="73">
        <f>B546</f>
        <v>6</v>
      </c>
      <c r="C551" s="74">
        <f t="shared" ref="C551:F551" si="151">C546</f>
        <v>10</v>
      </c>
      <c r="D551" s="74">
        <f t="shared" si="151"/>
        <v>9</v>
      </c>
      <c r="E551" s="74">
        <f t="shared" si="151"/>
        <v>24</v>
      </c>
      <c r="F551" s="105">
        <f t="shared" si="151"/>
        <v>8</v>
      </c>
      <c r="G551" s="131">
        <f t="shared" ref="G551:G559" si="152">SUM(B551:F551)</f>
        <v>57</v>
      </c>
      <c r="H551" s="56"/>
      <c r="I551" s="72" t="s">
        <v>456</v>
      </c>
      <c r="J551" s="73">
        <f>J546</f>
        <v>224</v>
      </c>
      <c r="K551" s="74">
        <f t="shared" ref="K551:N551" si="153">K546</f>
        <v>216</v>
      </c>
      <c r="L551" s="74">
        <f t="shared" si="153"/>
        <v>209</v>
      </c>
      <c r="M551" s="74">
        <f t="shared" si="153"/>
        <v>188</v>
      </c>
      <c r="N551" s="105">
        <f t="shared" si="153"/>
        <v>163</v>
      </c>
      <c r="O551" s="131">
        <f t="shared" ref="O551:O559" si="154">SUM(J551:N551)</f>
        <v>1000</v>
      </c>
    </row>
    <row r="552" spans="1:16" x14ac:dyDescent="0.15">
      <c r="A552" s="15" t="s">
        <v>3</v>
      </c>
      <c r="B552" s="8">
        <v>10</v>
      </c>
      <c r="C552" s="10">
        <v>10</v>
      </c>
      <c r="D552" s="10">
        <v>5</v>
      </c>
      <c r="E552" s="10"/>
      <c r="F552" s="28">
        <v>5</v>
      </c>
      <c r="G552" s="9">
        <f t="shared" si="152"/>
        <v>30</v>
      </c>
      <c r="H552" s="58">
        <v>43530</v>
      </c>
      <c r="I552" s="38" t="s">
        <v>14</v>
      </c>
      <c r="J552" s="37"/>
      <c r="K552" s="35"/>
      <c r="L552" s="35"/>
      <c r="M552" s="35"/>
      <c r="N552" s="28"/>
      <c r="O552" s="7">
        <f t="shared" si="154"/>
        <v>0</v>
      </c>
      <c r="P552" s="56"/>
    </row>
    <row r="553" spans="1:16" x14ac:dyDescent="0.15">
      <c r="A553" s="15" t="s">
        <v>322</v>
      </c>
      <c r="B553" s="8"/>
      <c r="C553" s="10"/>
      <c r="D553" s="10">
        <v>1</v>
      </c>
      <c r="E553" s="10"/>
      <c r="F553" s="28"/>
      <c r="G553" s="9">
        <f t="shared" si="152"/>
        <v>1</v>
      </c>
      <c r="H553" s="58">
        <v>43532</v>
      </c>
      <c r="I553" s="38" t="s">
        <v>3</v>
      </c>
      <c r="J553" s="8"/>
      <c r="K553" s="10"/>
      <c r="L553" s="10"/>
      <c r="M553" s="10"/>
      <c r="N553" s="28"/>
      <c r="O553" s="9">
        <f t="shared" si="154"/>
        <v>0</v>
      </c>
      <c r="P553" s="56"/>
    </row>
    <row r="554" spans="1:16" x14ac:dyDescent="0.15">
      <c r="A554" s="15" t="s">
        <v>685</v>
      </c>
      <c r="B554" s="8">
        <v>1</v>
      </c>
      <c r="C554" s="10"/>
      <c r="D554" s="10"/>
      <c r="E554" s="10"/>
      <c r="F554" s="28"/>
      <c r="G554" s="9">
        <f t="shared" si="152"/>
        <v>1</v>
      </c>
      <c r="H554" s="58">
        <v>43543</v>
      </c>
      <c r="I554" s="14" t="s">
        <v>847</v>
      </c>
      <c r="J554" s="8"/>
      <c r="K554" s="10"/>
      <c r="L554" s="10"/>
      <c r="M554" s="10"/>
      <c r="N554" s="30"/>
      <c r="O554" s="7">
        <f t="shared" si="154"/>
        <v>0</v>
      </c>
      <c r="P554" s="56"/>
    </row>
    <row r="555" spans="1:16" x14ac:dyDescent="0.15">
      <c r="A555" s="15" t="s">
        <v>411</v>
      </c>
      <c r="B555" s="8"/>
      <c r="C555" s="10">
        <v>1</v>
      </c>
      <c r="D555" s="10"/>
      <c r="E555" s="10"/>
      <c r="F555" s="28"/>
      <c r="G555" s="9">
        <f t="shared" si="152"/>
        <v>1</v>
      </c>
      <c r="H555" s="58">
        <v>43552</v>
      </c>
      <c r="I555" s="38" t="s">
        <v>5</v>
      </c>
      <c r="J555" s="8"/>
      <c r="K555" s="10"/>
      <c r="L555" s="10"/>
      <c r="M555" s="10"/>
      <c r="N555" s="28"/>
      <c r="O555" s="9">
        <f t="shared" si="154"/>
        <v>0</v>
      </c>
    </row>
    <row r="556" spans="1:16" x14ac:dyDescent="0.15">
      <c r="A556" s="15" t="s">
        <v>84</v>
      </c>
      <c r="B556" s="8"/>
      <c r="C556" s="10"/>
      <c r="D556" s="10">
        <v>10</v>
      </c>
      <c r="E556" s="10"/>
      <c r="F556" s="30"/>
      <c r="G556" s="7">
        <f t="shared" si="152"/>
        <v>10</v>
      </c>
      <c r="H556" s="58">
        <v>43557</v>
      </c>
      <c r="I556" s="38" t="s">
        <v>6</v>
      </c>
      <c r="J556" s="8"/>
      <c r="K556" s="10"/>
      <c r="L556" s="10"/>
      <c r="M556" s="10"/>
      <c r="N556" s="30"/>
      <c r="O556" s="7">
        <f t="shared" si="154"/>
        <v>0</v>
      </c>
    </row>
    <row r="557" spans="1:16" x14ac:dyDescent="0.15">
      <c r="A557" s="15" t="s">
        <v>963</v>
      </c>
      <c r="B557" s="8"/>
      <c r="C557" s="10">
        <v>1</v>
      </c>
      <c r="D557" s="10"/>
      <c r="E557" s="10"/>
      <c r="F557" s="30"/>
      <c r="G557" s="7">
        <f t="shared" si="152"/>
        <v>1</v>
      </c>
      <c r="H557" s="58">
        <v>43560</v>
      </c>
      <c r="I557" s="38" t="s">
        <v>84</v>
      </c>
      <c r="J557" s="8"/>
      <c r="K557" s="10"/>
      <c r="L557" s="10"/>
      <c r="M557" s="10"/>
      <c r="N557" s="30"/>
      <c r="O557" s="7">
        <f t="shared" si="154"/>
        <v>0</v>
      </c>
    </row>
    <row r="558" spans="1:16" x14ac:dyDescent="0.15">
      <c r="A558" s="15" t="s">
        <v>86</v>
      </c>
      <c r="B558" s="11"/>
      <c r="C558" s="100"/>
      <c r="D558" s="100"/>
      <c r="E558" s="100"/>
      <c r="F558" s="101">
        <v>5</v>
      </c>
      <c r="G558" s="102">
        <f t="shared" si="152"/>
        <v>5</v>
      </c>
      <c r="H558" s="58">
        <v>43561</v>
      </c>
      <c r="I558" s="38" t="s">
        <v>85</v>
      </c>
      <c r="J558" s="8"/>
      <c r="K558" s="10"/>
      <c r="L558" s="10"/>
      <c r="M558" s="10"/>
      <c r="N558" s="30"/>
      <c r="O558" s="7">
        <f t="shared" si="154"/>
        <v>0</v>
      </c>
    </row>
    <row r="559" spans="1:16" ht="14.25" thickBot="1" x14ac:dyDescent="0.2">
      <c r="A559" s="15" t="s">
        <v>87</v>
      </c>
      <c r="B559" s="11"/>
      <c r="C559" s="100">
        <v>10</v>
      </c>
      <c r="D559" s="100"/>
      <c r="E559" s="100"/>
      <c r="F559" s="101">
        <v>5</v>
      </c>
      <c r="G559" s="102">
        <f t="shared" si="152"/>
        <v>15</v>
      </c>
      <c r="H559" s="58">
        <v>43571</v>
      </c>
      <c r="I559" s="38" t="s">
        <v>86</v>
      </c>
      <c r="J559" s="11"/>
      <c r="K559" s="100"/>
      <c r="L559" s="100"/>
      <c r="M559" s="100"/>
      <c r="N559" s="101"/>
      <c r="O559" s="102">
        <f t="shared" si="154"/>
        <v>0</v>
      </c>
    </row>
    <row r="560" spans="1:16" ht="14.25" thickBot="1" x14ac:dyDescent="0.2">
      <c r="A560" s="72" t="s">
        <v>7</v>
      </c>
      <c r="B560" s="73">
        <f>SUM(B551:B559)</f>
        <v>17</v>
      </c>
      <c r="C560" s="74">
        <f t="shared" ref="C560:G560" si="155">SUM(C551:C559)</f>
        <v>32</v>
      </c>
      <c r="D560" s="74">
        <f t="shared" si="155"/>
        <v>25</v>
      </c>
      <c r="E560" s="74">
        <f t="shared" si="155"/>
        <v>24</v>
      </c>
      <c r="F560" s="105">
        <f t="shared" si="155"/>
        <v>23</v>
      </c>
      <c r="G560" s="76">
        <f t="shared" si="155"/>
        <v>121</v>
      </c>
      <c r="H560" s="56"/>
      <c r="I560" s="72" t="s">
        <v>7</v>
      </c>
      <c r="J560" s="73">
        <f>SUM(J551:J559)</f>
        <v>224</v>
      </c>
      <c r="K560" s="74">
        <f t="shared" ref="K560:O560" si="156">SUM(K551:K559)</f>
        <v>216</v>
      </c>
      <c r="L560" s="74">
        <f t="shared" si="156"/>
        <v>209</v>
      </c>
      <c r="M560" s="74">
        <f t="shared" si="156"/>
        <v>188</v>
      </c>
      <c r="N560" s="105">
        <f t="shared" si="156"/>
        <v>163</v>
      </c>
      <c r="O560" s="76">
        <f t="shared" si="156"/>
        <v>1000</v>
      </c>
    </row>
    <row r="561" spans="1:17" x14ac:dyDescent="0.15">
      <c r="A561" s="14" t="s">
        <v>29</v>
      </c>
      <c r="B561" s="37"/>
      <c r="C561" s="35"/>
      <c r="D561" s="35"/>
      <c r="E561" s="35"/>
      <c r="F561" s="28">
        <v>1</v>
      </c>
      <c r="G561" s="18">
        <f t="shared" ref="G561:G577" si="157">SUM(B561:F561)</f>
        <v>1</v>
      </c>
      <c r="H561" s="58">
        <v>43531</v>
      </c>
      <c r="I561" s="14" t="s">
        <v>941</v>
      </c>
      <c r="J561" s="8">
        <v>10</v>
      </c>
      <c r="K561" s="10">
        <v>10</v>
      </c>
      <c r="L561" s="10">
        <v>5</v>
      </c>
      <c r="M561" s="10"/>
      <c r="N561" s="30">
        <v>5</v>
      </c>
      <c r="O561" s="7">
        <f t="shared" ref="O561:O585" si="158">SUM(J561:N561)</f>
        <v>30</v>
      </c>
      <c r="P561" s="58">
        <v>43530</v>
      </c>
      <c r="Q561" s="56"/>
    </row>
    <row r="562" spans="1:17" x14ac:dyDescent="0.15">
      <c r="A562" s="39" t="s">
        <v>10</v>
      </c>
      <c r="B562" s="8"/>
      <c r="C562" s="10">
        <v>2</v>
      </c>
      <c r="D562" s="10"/>
      <c r="E562" s="10"/>
      <c r="F562" s="30"/>
      <c r="G562" s="7">
        <f t="shared" si="157"/>
        <v>2</v>
      </c>
      <c r="H562" s="58">
        <v>43533</v>
      </c>
      <c r="I562" s="16" t="s">
        <v>22</v>
      </c>
      <c r="J562" s="8"/>
      <c r="K562" s="10"/>
      <c r="L562" s="10"/>
      <c r="M562" s="10"/>
      <c r="N562" s="30">
        <v>10</v>
      </c>
      <c r="O562" s="7">
        <f t="shared" si="158"/>
        <v>10</v>
      </c>
      <c r="P562" s="58">
        <v>43542</v>
      </c>
      <c r="Q562" s="56"/>
    </row>
    <row r="563" spans="1:17" x14ac:dyDescent="0.15">
      <c r="A563" s="39" t="s">
        <v>10</v>
      </c>
      <c r="B563" s="8"/>
      <c r="C563" s="10">
        <v>1</v>
      </c>
      <c r="D563" s="10"/>
      <c r="E563" s="10"/>
      <c r="F563" s="30"/>
      <c r="G563" s="7">
        <f t="shared" si="157"/>
        <v>1</v>
      </c>
      <c r="H563" s="58">
        <v>43536</v>
      </c>
      <c r="I563" s="14" t="s">
        <v>110</v>
      </c>
      <c r="J563" s="8"/>
      <c r="K563" s="10"/>
      <c r="L563" s="10"/>
      <c r="M563" s="10">
        <v>1</v>
      </c>
      <c r="N563" s="30"/>
      <c r="O563" s="7">
        <f t="shared" si="158"/>
        <v>1</v>
      </c>
      <c r="P563" s="58">
        <v>43546</v>
      </c>
    </row>
    <row r="564" spans="1:17" x14ac:dyDescent="0.15">
      <c r="A564" s="14" t="s">
        <v>110</v>
      </c>
      <c r="B564" s="8"/>
      <c r="C564" s="10"/>
      <c r="D564" s="10">
        <v>1</v>
      </c>
      <c r="E564" s="10"/>
      <c r="F564" s="30"/>
      <c r="G564" s="7">
        <f t="shared" si="157"/>
        <v>1</v>
      </c>
      <c r="H564" s="58">
        <v>43539</v>
      </c>
      <c r="I564" s="16" t="s">
        <v>22</v>
      </c>
      <c r="J564" s="8">
        <v>10</v>
      </c>
      <c r="K564" s="10"/>
      <c r="L564" s="10"/>
      <c r="M564" s="10"/>
      <c r="N564" s="30"/>
      <c r="O564" s="7">
        <f t="shared" si="158"/>
        <v>10</v>
      </c>
      <c r="P564" s="58">
        <v>43549</v>
      </c>
    </row>
    <row r="565" spans="1:17" x14ac:dyDescent="0.15">
      <c r="A565" s="14" t="s">
        <v>29</v>
      </c>
      <c r="B565" s="37"/>
      <c r="C565" s="35">
        <v>1</v>
      </c>
      <c r="D565" s="35"/>
      <c r="E565" s="35"/>
      <c r="F565" s="28"/>
      <c r="G565" s="7">
        <f t="shared" si="157"/>
        <v>1</v>
      </c>
      <c r="H565" s="58">
        <v>43535</v>
      </c>
      <c r="I565" s="14" t="s">
        <v>950</v>
      </c>
      <c r="J565" s="8">
        <v>1</v>
      </c>
      <c r="K565" s="10"/>
      <c r="L565" s="10">
        <v>1</v>
      </c>
      <c r="M565" s="10"/>
      <c r="N565" s="30"/>
      <c r="O565" s="7">
        <f t="shared" si="158"/>
        <v>2</v>
      </c>
      <c r="P565" s="58">
        <v>43544</v>
      </c>
    </row>
    <row r="566" spans="1:17" x14ac:dyDescent="0.15">
      <c r="A566" s="14" t="s">
        <v>29</v>
      </c>
      <c r="B566" s="8"/>
      <c r="C566" s="10"/>
      <c r="D566" s="10">
        <v>1</v>
      </c>
      <c r="E566" s="10"/>
      <c r="F566" s="30"/>
      <c r="G566" s="7">
        <f t="shared" si="157"/>
        <v>1</v>
      </c>
      <c r="H566" s="58">
        <v>43536</v>
      </c>
      <c r="I566" s="14" t="s">
        <v>25</v>
      </c>
      <c r="J566" s="8"/>
      <c r="K566" s="10"/>
      <c r="L566" s="10">
        <v>2</v>
      </c>
      <c r="M566" s="10">
        <v>2</v>
      </c>
      <c r="N566" s="30"/>
      <c r="O566" s="7">
        <f t="shared" si="158"/>
        <v>4</v>
      </c>
      <c r="P566" s="58">
        <v>43547</v>
      </c>
    </row>
    <row r="567" spans="1:17" x14ac:dyDescent="0.15">
      <c r="A567" s="14" t="s">
        <v>951</v>
      </c>
      <c r="B567" s="8"/>
      <c r="C567" s="10"/>
      <c r="D567" s="10">
        <v>1</v>
      </c>
      <c r="E567" s="10"/>
      <c r="F567" s="30"/>
      <c r="G567" s="7">
        <f t="shared" si="157"/>
        <v>1</v>
      </c>
      <c r="H567" s="58">
        <v>43544</v>
      </c>
      <c r="I567" s="14" t="s">
        <v>25</v>
      </c>
      <c r="J567" s="8"/>
      <c r="K567" s="10"/>
      <c r="L567" s="10"/>
      <c r="M567" s="10">
        <v>1</v>
      </c>
      <c r="N567" s="30"/>
      <c r="O567" s="7">
        <f t="shared" si="158"/>
        <v>1</v>
      </c>
      <c r="P567" s="58">
        <v>43550</v>
      </c>
    </row>
    <row r="568" spans="1:17" x14ac:dyDescent="0.15">
      <c r="A568" s="14" t="s">
        <v>29</v>
      </c>
      <c r="B568" s="8"/>
      <c r="C568" s="10"/>
      <c r="D568" s="10">
        <v>1</v>
      </c>
      <c r="E568" s="10"/>
      <c r="F568" s="30"/>
      <c r="G568" s="7">
        <f t="shared" si="157"/>
        <v>1</v>
      </c>
      <c r="H568" s="58">
        <v>43546</v>
      </c>
      <c r="I568" s="14" t="s">
        <v>986</v>
      </c>
      <c r="J568" s="8">
        <v>10</v>
      </c>
      <c r="K568" s="10">
        <v>10</v>
      </c>
      <c r="L568" s="10">
        <v>10</v>
      </c>
      <c r="M568" s="10">
        <v>10</v>
      </c>
      <c r="N568" s="30">
        <v>10</v>
      </c>
      <c r="O568" s="7">
        <f t="shared" si="158"/>
        <v>50</v>
      </c>
      <c r="P568" s="58">
        <v>43556</v>
      </c>
    </row>
    <row r="569" spans="1:17" x14ac:dyDescent="0.15">
      <c r="A569" s="14" t="s">
        <v>29</v>
      </c>
      <c r="B569" s="8"/>
      <c r="C569" s="10"/>
      <c r="D569" s="10">
        <v>1</v>
      </c>
      <c r="E569" s="10"/>
      <c r="F569" s="30"/>
      <c r="G569" s="7">
        <f t="shared" si="157"/>
        <v>1</v>
      </c>
      <c r="H569" s="58">
        <v>43549</v>
      </c>
      <c r="I569" s="14" t="s">
        <v>956</v>
      </c>
      <c r="J569" s="8"/>
      <c r="K569" s="10"/>
      <c r="L569" s="10">
        <v>10</v>
      </c>
      <c r="M569" s="10"/>
      <c r="N569" s="30"/>
      <c r="O569" s="7">
        <f t="shared" si="158"/>
        <v>10</v>
      </c>
      <c r="P569" s="58">
        <v>43557</v>
      </c>
    </row>
    <row r="570" spans="1:17" x14ac:dyDescent="0.15">
      <c r="A570" s="39" t="s">
        <v>10</v>
      </c>
      <c r="B570" s="11"/>
      <c r="C570" s="12"/>
      <c r="D570" s="12">
        <v>2</v>
      </c>
      <c r="E570" s="12"/>
      <c r="F570" s="31"/>
      <c r="G570" s="7">
        <f t="shared" si="157"/>
        <v>2</v>
      </c>
      <c r="H570" s="58">
        <v>43551</v>
      </c>
      <c r="I570" s="16" t="s">
        <v>22</v>
      </c>
      <c r="J570" s="11"/>
      <c r="K570" s="12">
        <v>10</v>
      </c>
      <c r="L570" s="12">
        <v>10</v>
      </c>
      <c r="M570" s="12"/>
      <c r="N570" s="31"/>
      <c r="O570" s="7">
        <f t="shared" si="158"/>
        <v>20</v>
      </c>
      <c r="P570" s="58">
        <v>43563</v>
      </c>
    </row>
    <row r="571" spans="1:17" x14ac:dyDescent="0.15">
      <c r="A571" s="14" t="s">
        <v>29</v>
      </c>
      <c r="B571" s="8"/>
      <c r="C571" s="10"/>
      <c r="D571" s="10"/>
      <c r="E571" s="10"/>
      <c r="F571" s="30">
        <v>1</v>
      </c>
      <c r="G571" s="7">
        <f t="shared" si="157"/>
        <v>1</v>
      </c>
      <c r="H571" s="58">
        <v>43552</v>
      </c>
      <c r="I571" s="16" t="s">
        <v>22</v>
      </c>
      <c r="J571" s="8"/>
      <c r="K571" s="10"/>
      <c r="L571" s="10"/>
      <c r="M571" s="10">
        <v>10</v>
      </c>
      <c r="N571" s="30"/>
      <c r="O571" s="7">
        <f t="shared" si="158"/>
        <v>10</v>
      </c>
      <c r="P571" s="58">
        <v>43566</v>
      </c>
    </row>
    <row r="572" spans="1:17" x14ac:dyDescent="0.15">
      <c r="A572" s="14" t="s">
        <v>29</v>
      </c>
      <c r="B572" s="8"/>
      <c r="C572" s="10"/>
      <c r="D572" s="10"/>
      <c r="E572" s="10">
        <v>1</v>
      </c>
      <c r="F572" s="30"/>
      <c r="G572" s="7">
        <f t="shared" si="157"/>
        <v>1</v>
      </c>
      <c r="H572" s="58">
        <v>43553</v>
      </c>
      <c r="I572" s="14" t="s">
        <v>24</v>
      </c>
      <c r="J572" s="8"/>
      <c r="K572" s="10"/>
      <c r="L572" s="10"/>
      <c r="M572" s="10"/>
      <c r="N572" s="30">
        <v>5</v>
      </c>
      <c r="O572" s="7">
        <f t="shared" si="158"/>
        <v>5</v>
      </c>
      <c r="P572" s="58">
        <v>43561</v>
      </c>
      <c r="Q572" s="56"/>
    </row>
    <row r="573" spans="1:17" x14ac:dyDescent="0.15">
      <c r="A573" s="14" t="s">
        <v>29</v>
      </c>
      <c r="B573" s="8"/>
      <c r="C573" s="10">
        <v>1</v>
      </c>
      <c r="D573" s="10"/>
      <c r="E573" s="10"/>
      <c r="F573" s="30"/>
      <c r="G573" s="7">
        <f t="shared" si="157"/>
        <v>1</v>
      </c>
      <c r="H573" s="58">
        <v>43556</v>
      </c>
      <c r="I573" s="14" t="s">
        <v>24</v>
      </c>
      <c r="J573" s="8"/>
      <c r="K573" s="10">
        <v>10</v>
      </c>
      <c r="L573" s="10"/>
      <c r="M573" s="10"/>
      <c r="N573" s="30">
        <v>5</v>
      </c>
      <c r="O573" s="7">
        <f t="shared" si="158"/>
        <v>15</v>
      </c>
      <c r="P573" s="58">
        <v>43571</v>
      </c>
    </row>
    <row r="574" spans="1:17" x14ac:dyDescent="0.15">
      <c r="A574" s="39" t="s">
        <v>10</v>
      </c>
      <c r="B574" s="8"/>
      <c r="C574" s="10"/>
      <c r="D574" s="10"/>
      <c r="E574" s="10"/>
      <c r="F574" s="30">
        <v>1</v>
      </c>
      <c r="G574" s="7">
        <f t="shared" si="157"/>
        <v>1</v>
      </c>
      <c r="H574" s="58">
        <v>43558</v>
      </c>
      <c r="I574" s="39" t="s">
        <v>10</v>
      </c>
      <c r="J574" s="8"/>
      <c r="K574" s="10"/>
      <c r="L574" s="10"/>
      <c r="M574" s="10"/>
      <c r="N574" s="30">
        <v>2</v>
      </c>
      <c r="O574" s="7">
        <f t="shared" si="158"/>
        <v>2</v>
      </c>
      <c r="P574" s="58">
        <v>43573</v>
      </c>
    </row>
    <row r="575" spans="1:17" x14ac:dyDescent="0.15">
      <c r="A575" s="39" t="s">
        <v>10</v>
      </c>
      <c r="B575" s="8"/>
      <c r="C575" s="10"/>
      <c r="D575" s="10"/>
      <c r="E575" s="10">
        <v>1</v>
      </c>
      <c r="F575" s="30"/>
      <c r="G575" s="7">
        <f t="shared" si="157"/>
        <v>1</v>
      </c>
      <c r="H575" s="58">
        <v>43559</v>
      </c>
      <c r="I575" s="39" t="s">
        <v>10</v>
      </c>
      <c r="J575" s="8"/>
      <c r="K575" s="10"/>
      <c r="L575" s="10"/>
      <c r="M575" s="10"/>
      <c r="N575" s="30">
        <v>2</v>
      </c>
      <c r="O575" s="7">
        <f t="shared" si="158"/>
        <v>2</v>
      </c>
      <c r="P575" s="58">
        <v>43574</v>
      </c>
    </row>
    <row r="576" spans="1:17" x14ac:dyDescent="0.15">
      <c r="A576" s="39" t="s">
        <v>10</v>
      </c>
      <c r="B576" s="8"/>
      <c r="C576" s="10"/>
      <c r="D576" s="10"/>
      <c r="E576" s="10"/>
      <c r="F576" s="30">
        <v>1</v>
      </c>
      <c r="G576" s="7">
        <f t="shared" si="157"/>
        <v>1</v>
      </c>
      <c r="H576" s="58">
        <v>43558</v>
      </c>
      <c r="I576" s="39" t="s">
        <v>10</v>
      </c>
      <c r="J576" s="8">
        <v>1</v>
      </c>
      <c r="K576" s="10"/>
      <c r="L576" s="10"/>
      <c r="M576" s="10"/>
      <c r="N576" s="30"/>
      <c r="O576" s="7">
        <f t="shared" si="158"/>
        <v>1</v>
      </c>
      <c r="P576" s="58">
        <v>43575</v>
      </c>
    </row>
    <row r="577" spans="1:17" x14ac:dyDescent="0.15">
      <c r="A577" s="14" t="s">
        <v>29</v>
      </c>
      <c r="B577" s="8"/>
      <c r="C577" s="10"/>
      <c r="D577" s="10"/>
      <c r="E577" s="10">
        <v>1</v>
      </c>
      <c r="F577" s="30"/>
      <c r="G577" s="7">
        <f t="shared" si="157"/>
        <v>1</v>
      </c>
      <c r="H577" s="58">
        <v>43560</v>
      </c>
      <c r="I577" s="39" t="s">
        <v>10</v>
      </c>
      <c r="J577" s="8">
        <v>1</v>
      </c>
      <c r="K577" s="10"/>
      <c r="L577" s="10"/>
      <c r="M577" s="10"/>
      <c r="N577" s="30"/>
      <c r="O577" s="7">
        <f t="shared" si="158"/>
        <v>1</v>
      </c>
      <c r="P577" s="58">
        <v>43579</v>
      </c>
    </row>
    <row r="578" spans="1:17" x14ac:dyDescent="0.15">
      <c r="A578" s="14" t="s">
        <v>964</v>
      </c>
      <c r="B578" s="8">
        <v>4</v>
      </c>
      <c r="C578" s="10">
        <v>4</v>
      </c>
      <c r="D578" s="10">
        <v>4</v>
      </c>
      <c r="E578" s="10">
        <v>4</v>
      </c>
      <c r="F578" s="30">
        <v>4</v>
      </c>
      <c r="G578" s="7">
        <v>2</v>
      </c>
      <c r="H578" s="58">
        <v>43564</v>
      </c>
      <c r="I578" s="14"/>
      <c r="J578" s="8"/>
      <c r="K578" s="10"/>
      <c r="L578" s="10"/>
      <c r="M578" s="10"/>
      <c r="N578" s="30"/>
      <c r="O578" s="7">
        <f t="shared" si="158"/>
        <v>0</v>
      </c>
      <c r="P578" s="56"/>
    </row>
    <row r="579" spans="1:17" x14ac:dyDescent="0.15">
      <c r="A579" s="20" t="s">
        <v>30</v>
      </c>
      <c r="B579" s="8">
        <v>1</v>
      </c>
      <c r="C579" s="10">
        <v>3</v>
      </c>
      <c r="D579" s="10"/>
      <c r="E579" s="10"/>
      <c r="F579" s="30"/>
      <c r="G579" s="7">
        <f t="shared" ref="G579:G586" si="159">SUM(B579:F579)</f>
        <v>4</v>
      </c>
      <c r="H579" s="58">
        <v>43567</v>
      </c>
      <c r="I579" s="16"/>
      <c r="J579" s="8"/>
      <c r="K579" s="10"/>
      <c r="L579" s="10"/>
      <c r="M579" s="10"/>
      <c r="N579" s="30"/>
      <c r="O579" s="7">
        <f t="shared" si="158"/>
        <v>0</v>
      </c>
      <c r="P579" s="56"/>
    </row>
    <row r="580" spans="1:17" x14ac:dyDescent="0.15">
      <c r="A580" s="39" t="s">
        <v>10</v>
      </c>
      <c r="B580" s="8"/>
      <c r="C580" s="10">
        <v>1</v>
      </c>
      <c r="D580" s="10"/>
      <c r="E580" s="10"/>
      <c r="F580" s="30">
        <v>1</v>
      </c>
      <c r="G580" s="7">
        <f t="shared" si="159"/>
        <v>2</v>
      </c>
      <c r="H580" s="58">
        <v>43568</v>
      </c>
      <c r="I580" s="39"/>
      <c r="J580" s="8"/>
      <c r="K580" s="10"/>
      <c r="L580" s="10"/>
      <c r="M580" s="10"/>
      <c r="N580" s="30"/>
      <c r="O580" s="7">
        <f t="shared" si="158"/>
        <v>0</v>
      </c>
      <c r="P580" s="56"/>
    </row>
    <row r="581" spans="1:17" x14ac:dyDescent="0.15">
      <c r="A581" s="39" t="s">
        <v>10</v>
      </c>
      <c r="B581" s="8"/>
      <c r="C581" s="10">
        <v>4</v>
      </c>
      <c r="D581" s="10"/>
      <c r="E581" s="10"/>
      <c r="F581" s="30"/>
      <c r="G581" s="7">
        <f t="shared" si="159"/>
        <v>4</v>
      </c>
      <c r="H581" s="58">
        <v>43571</v>
      </c>
      <c r="I581" s="39"/>
      <c r="J581" s="8"/>
      <c r="K581" s="10"/>
      <c r="L581" s="10"/>
      <c r="M581" s="10"/>
      <c r="N581" s="30"/>
      <c r="O581" s="7">
        <f t="shared" si="158"/>
        <v>0</v>
      </c>
      <c r="P581" s="56"/>
    </row>
    <row r="582" spans="1:17" x14ac:dyDescent="0.15">
      <c r="A582" s="14" t="s">
        <v>29</v>
      </c>
      <c r="B582" s="11"/>
      <c r="C582" s="12">
        <v>1</v>
      </c>
      <c r="D582" s="12"/>
      <c r="E582" s="12"/>
      <c r="F582" s="31"/>
      <c r="G582" s="7">
        <f t="shared" si="159"/>
        <v>1</v>
      </c>
      <c r="H582" s="58">
        <v>43571</v>
      </c>
      <c r="I582" s="20"/>
      <c r="J582" s="8"/>
      <c r="K582" s="10"/>
      <c r="L582" s="10"/>
      <c r="M582" s="10"/>
      <c r="N582" s="30"/>
      <c r="O582" s="7">
        <f t="shared" si="158"/>
        <v>0</v>
      </c>
      <c r="P582" s="58"/>
    </row>
    <row r="583" spans="1:17" x14ac:dyDescent="0.15">
      <c r="A583" s="14" t="s">
        <v>29</v>
      </c>
      <c r="B583" s="8"/>
      <c r="C583" s="10"/>
      <c r="D583" s="10">
        <v>1</v>
      </c>
      <c r="E583" s="10"/>
      <c r="F583" s="30"/>
      <c r="G583" s="7">
        <f t="shared" si="159"/>
        <v>1</v>
      </c>
      <c r="H583" s="58">
        <v>43573</v>
      </c>
      <c r="I583" s="20"/>
      <c r="J583" s="8"/>
      <c r="K583" s="10"/>
      <c r="L583" s="10"/>
      <c r="M583" s="10"/>
      <c r="N583" s="30"/>
      <c r="O583" s="7">
        <f t="shared" si="158"/>
        <v>0</v>
      </c>
      <c r="P583" s="58"/>
      <c r="Q583" s="56"/>
    </row>
    <row r="584" spans="1:17" x14ac:dyDescent="0.15">
      <c r="A584" s="20" t="s">
        <v>30</v>
      </c>
      <c r="B584" s="8"/>
      <c r="C584" s="10">
        <v>1</v>
      </c>
      <c r="D584" s="10">
        <v>2</v>
      </c>
      <c r="E584" s="10"/>
      <c r="F584" s="30"/>
      <c r="G584" s="7">
        <f t="shared" si="159"/>
        <v>3</v>
      </c>
      <c r="H584" s="58">
        <v>43578</v>
      </c>
      <c r="I584" s="20" t="s">
        <v>30</v>
      </c>
      <c r="J584" s="8"/>
      <c r="K584" s="10"/>
      <c r="L584" s="10"/>
      <c r="M584" s="10"/>
      <c r="N584" s="30"/>
      <c r="O584" s="7">
        <f t="shared" ref="O584" si="160">SUM(J584:N584)</f>
        <v>0</v>
      </c>
      <c r="P584" s="58">
        <v>43525</v>
      </c>
    </row>
    <row r="585" spans="1:17" x14ac:dyDescent="0.15">
      <c r="A585" s="39" t="s">
        <v>10</v>
      </c>
      <c r="B585" s="8"/>
      <c r="C585" s="10"/>
      <c r="D585" s="10"/>
      <c r="E585" s="10">
        <v>2</v>
      </c>
      <c r="F585" s="30"/>
      <c r="G585" s="7">
        <f t="shared" si="159"/>
        <v>2</v>
      </c>
      <c r="H585" s="58">
        <v>43578</v>
      </c>
      <c r="I585" s="20" t="s">
        <v>925</v>
      </c>
      <c r="J585" s="8"/>
      <c r="K585" s="10"/>
      <c r="L585" s="10"/>
      <c r="M585" s="10"/>
      <c r="N585" s="30"/>
      <c r="O585" s="7">
        <f t="shared" si="158"/>
        <v>0</v>
      </c>
      <c r="P585" s="56" t="s">
        <v>926</v>
      </c>
    </row>
    <row r="586" spans="1:17" ht="14.25" thickBot="1" x14ac:dyDescent="0.2">
      <c r="A586" s="14" t="s">
        <v>29</v>
      </c>
      <c r="B586" s="11">
        <v>1</v>
      </c>
      <c r="C586" s="12">
        <v>1</v>
      </c>
      <c r="D586" s="12"/>
      <c r="E586" s="12"/>
      <c r="F586" s="31"/>
      <c r="G586" s="115">
        <f t="shared" si="159"/>
        <v>2</v>
      </c>
      <c r="H586" s="57">
        <v>43577</v>
      </c>
      <c r="I586" s="39" t="s">
        <v>920</v>
      </c>
      <c r="J586" s="8"/>
      <c r="K586" s="10"/>
      <c r="L586" s="10"/>
      <c r="M586" s="10"/>
      <c r="N586" s="30"/>
      <c r="O586" s="7">
        <f t="shared" ref="O586" si="161">SUM(J586:N586)</f>
        <v>0</v>
      </c>
      <c r="P586" s="56" t="s">
        <v>919</v>
      </c>
    </row>
    <row r="587" spans="1:17" ht="14.25" thickBot="1" x14ac:dyDescent="0.2">
      <c r="A587" s="3" t="s">
        <v>11</v>
      </c>
      <c r="B587" s="23">
        <f>SUM(B561:B586)</f>
        <v>6</v>
      </c>
      <c r="C587" s="4">
        <f>SUM(C561:C586)</f>
        <v>20</v>
      </c>
      <c r="D587" s="4">
        <f>SUM(D561:D586)</f>
        <v>14</v>
      </c>
      <c r="E587" s="6">
        <f>SUM(E561:E586)</f>
        <v>9</v>
      </c>
      <c r="F587" s="32">
        <f>SUM(F561:F586)</f>
        <v>9</v>
      </c>
      <c r="G587" s="5">
        <f>SUM(B587:F587)</f>
        <v>58</v>
      </c>
      <c r="I587" s="3" t="s">
        <v>11</v>
      </c>
      <c r="J587" s="23">
        <f>SUM(J561:J586)</f>
        <v>33</v>
      </c>
      <c r="K587" s="4">
        <f>SUM(K561:K586)</f>
        <v>40</v>
      </c>
      <c r="L587" s="4">
        <f>SUM(L561:L586)</f>
        <v>38</v>
      </c>
      <c r="M587" s="6">
        <f>SUM(M561:M586)</f>
        <v>24</v>
      </c>
      <c r="N587" s="32">
        <f>SUM(N561:N586)</f>
        <v>39</v>
      </c>
      <c r="O587" s="5">
        <f>SUM(J587:N587)</f>
        <v>174</v>
      </c>
    </row>
    <row r="588" spans="1:17" ht="14.25" thickBot="1" x14ac:dyDescent="0.2">
      <c r="A588" s="25" t="s">
        <v>12</v>
      </c>
      <c r="B588" s="63">
        <f>B560-B587</f>
        <v>11</v>
      </c>
      <c r="C588" s="26">
        <f t="shared" ref="C588:G588" si="162">C560-C587</f>
        <v>12</v>
      </c>
      <c r="D588" s="71">
        <f t="shared" si="162"/>
        <v>11</v>
      </c>
      <c r="E588" s="26">
        <f t="shared" si="162"/>
        <v>15</v>
      </c>
      <c r="F588" s="70">
        <f t="shared" si="162"/>
        <v>14</v>
      </c>
      <c r="G588" s="27">
        <f t="shared" si="162"/>
        <v>63</v>
      </c>
      <c r="I588" s="25" t="s">
        <v>12</v>
      </c>
      <c r="J588" s="63">
        <f>J560-J587</f>
        <v>191</v>
      </c>
      <c r="K588" s="26">
        <f t="shared" ref="K588:O588" si="163">K560-K587</f>
        <v>176</v>
      </c>
      <c r="L588" s="71">
        <f t="shared" si="163"/>
        <v>171</v>
      </c>
      <c r="M588" s="26">
        <f t="shared" si="163"/>
        <v>164</v>
      </c>
      <c r="N588" s="70">
        <f t="shared" si="163"/>
        <v>124</v>
      </c>
      <c r="O588" s="27">
        <f t="shared" si="163"/>
        <v>826</v>
      </c>
    </row>
    <row r="589" spans="1:17" ht="17.25" x14ac:dyDescent="0.2">
      <c r="A589" s="79" t="s">
        <v>391</v>
      </c>
      <c r="B589" s="80"/>
      <c r="C589" s="80"/>
      <c r="D589" s="80"/>
      <c r="E589" s="80"/>
      <c r="F589" s="80"/>
      <c r="G589" s="80"/>
      <c r="H589" s="56"/>
      <c r="I589" s="79" t="s">
        <v>391</v>
      </c>
      <c r="J589" s="80"/>
      <c r="K589" s="80"/>
      <c r="L589" s="80"/>
      <c r="M589" s="80"/>
      <c r="N589" s="80"/>
      <c r="O589" s="1"/>
    </row>
    <row r="590" spans="1:17" ht="21.75" thickBot="1" x14ac:dyDescent="0.25">
      <c r="A590" s="82" t="s">
        <v>390</v>
      </c>
      <c r="B590" s="80"/>
      <c r="C590" s="80"/>
      <c r="D590" s="80"/>
      <c r="E590" s="81" t="s">
        <v>53</v>
      </c>
      <c r="F590" s="80"/>
      <c r="G590" s="80"/>
      <c r="H590" s="56"/>
      <c r="I590" s="82" t="s">
        <v>390</v>
      </c>
      <c r="J590" s="80"/>
      <c r="K590" s="80"/>
      <c r="L590" s="80"/>
      <c r="M590" s="81" t="s">
        <v>393</v>
      </c>
      <c r="N590" s="80"/>
      <c r="O590" s="1"/>
    </row>
    <row r="591" spans="1:17" ht="14.25" thickBot="1" x14ac:dyDescent="0.2">
      <c r="A591" s="13" t="s">
        <v>0</v>
      </c>
      <c r="B591" s="228" t="s">
        <v>392</v>
      </c>
      <c r="C591" s="229"/>
      <c r="D591" s="229"/>
      <c r="E591" s="229"/>
      <c r="F591" s="230"/>
      <c r="G591" s="231"/>
      <c r="H591" s="56"/>
      <c r="I591" s="13" t="s">
        <v>0</v>
      </c>
      <c r="J591" s="228" t="s">
        <v>392</v>
      </c>
      <c r="K591" s="229"/>
      <c r="L591" s="229"/>
      <c r="M591" s="229"/>
      <c r="N591" s="230"/>
      <c r="O591" s="231"/>
    </row>
    <row r="592" spans="1:17" ht="14.25" thickBot="1" x14ac:dyDescent="0.2">
      <c r="A592" s="3" t="s">
        <v>1</v>
      </c>
      <c r="B592" s="2" t="s">
        <v>42</v>
      </c>
      <c r="C592" s="21" t="s">
        <v>43</v>
      </c>
      <c r="D592" s="21" t="s">
        <v>44</v>
      </c>
      <c r="E592" s="24" t="s">
        <v>45</v>
      </c>
      <c r="F592" s="33" t="s">
        <v>46</v>
      </c>
      <c r="G592" s="34" t="s">
        <v>2</v>
      </c>
      <c r="H592" s="56"/>
      <c r="I592" s="3" t="s">
        <v>1</v>
      </c>
      <c r="J592" s="41" t="s">
        <v>42</v>
      </c>
      <c r="K592" s="42" t="s">
        <v>43</v>
      </c>
      <c r="L592" s="42" t="s">
        <v>44</v>
      </c>
      <c r="M592" s="43" t="s">
        <v>45</v>
      </c>
      <c r="N592" s="44" t="s">
        <v>46</v>
      </c>
      <c r="O592" s="3" t="s">
        <v>2</v>
      </c>
    </row>
    <row r="593" spans="1:17" ht="14.25" thickBot="1" x14ac:dyDescent="0.2">
      <c r="A593" s="72" t="s">
        <v>456</v>
      </c>
      <c r="B593" s="73">
        <f>B588</f>
        <v>11</v>
      </c>
      <c r="C593" s="74">
        <f t="shared" ref="C593:F593" si="164">C588</f>
        <v>12</v>
      </c>
      <c r="D593" s="74">
        <f t="shared" si="164"/>
        <v>11</v>
      </c>
      <c r="E593" s="74">
        <f t="shared" si="164"/>
        <v>15</v>
      </c>
      <c r="F593" s="105">
        <f t="shared" si="164"/>
        <v>14</v>
      </c>
      <c r="G593" s="131">
        <f t="shared" ref="G593:G601" si="165">SUM(B593:F593)</f>
        <v>63</v>
      </c>
      <c r="H593" s="56"/>
      <c r="I593" s="72" t="s">
        <v>456</v>
      </c>
      <c r="J593" s="73">
        <f>J588</f>
        <v>191</v>
      </c>
      <c r="K593" s="74">
        <f t="shared" ref="K593:N593" si="166">K588</f>
        <v>176</v>
      </c>
      <c r="L593" s="74">
        <f t="shared" si="166"/>
        <v>171</v>
      </c>
      <c r="M593" s="74">
        <f t="shared" si="166"/>
        <v>164</v>
      </c>
      <c r="N593" s="105">
        <f t="shared" si="166"/>
        <v>124</v>
      </c>
      <c r="O593" s="131">
        <f t="shared" ref="O593:O601" si="167">SUM(J593:N593)</f>
        <v>826</v>
      </c>
    </row>
    <row r="594" spans="1:17" x14ac:dyDescent="0.15">
      <c r="A594" s="15" t="s">
        <v>3</v>
      </c>
      <c r="B594" s="8">
        <v>10</v>
      </c>
      <c r="C594" s="10">
        <v>5</v>
      </c>
      <c r="D594" s="10">
        <v>10</v>
      </c>
      <c r="E594" s="10">
        <v>5</v>
      </c>
      <c r="F594" s="28"/>
      <c r="G594" s="9">
        <f t="shared" si="165"/>
        <v>30</v>
      </c>
      <c r="H594" s="58">
        <v>43580</v>
      </c>
      <c r="I594" s="38" t="s">
        <v>14</v>
      </c>
      <c r="J594" s="37"/>
      <c r="K594" s="35"/>
      <c r="L594" s="35"/>
      <c r="M594" s="35"/>
      <c r="N594" s="28"/>
      <c r="O594" s="7">
        <f t="shared" si="167"/>
        <v>0</v>
      </c>
      <c r="P594" s="56"/>
    </row>
    <row r="595" spans="1:17" x14ac:dyDescent="0.15">
      <c r="A595" s="14" t="s">
        <v>985</v>
      </c>
      <c r="B595" s="8">
        <v>1</v>
      </c>
      <c r="C595" s="10"/>
      <c r="D595" s="10"/>
      <c r="E595" s="10"/>
      <c r="F595" s="28"/>
      <c r="G595" s="9">
        <f t="shared" si="165"/>
        <v>1</v>
      </c>
      <c r="H595" s="58">
        <v>43581</v>
      </c>
      <c r="I595" s="38" t="s">
        <v>3</v>
      </c>
      <c r="J595" s="8"/>
      <c r="K595" s="10"/>
      <c r="L595" s="10"/>
      <c r="M595" s="10"/>
      <c r="N595" s="28"/>
      <c r="O595" s="9">
        <f t="shared" si="167"/>
        <v>0</v>
      </c>
      <c r="P595" s="56"/>
    </row>
    <row r="596" spans="1:17" x14ac:dyDescent="0.15">
      <c r="A596" s="15" t="s">
        <v>993</v>
      </c>
      <c r="B596" s="8"/>
      <c r="C596" s="10">
        <v>2</v>
      </c>
      <c r="D596" s="10"/>
      <c r="E596" s="10"/>
      <c r="F596" s="28"/>
      <c r="G596" s="9">
        <f t="shared" si="165"/>
        <v>2</v>
      </c>
      <c r="H596" s="58">
        <v>43594</v>
      </c>
      <c r="I596" s="38" t="s">
        <v>4</v>
      </c>
      <c r="J596" s="8"/>
      <c r="K596" s="10"/>
      <c r="L596" s="10"/>
      <c r="M596" s="10"/>
      <c r="N596" s="30"/>
      <c r="O596" s="7">
        <f t="shared" si="167"/>
        <v>0</v>
      </c>
      <c r="P596" s="56"/>
    </row>
    <row r="597" spans="1:17" x14ac:dyDescent="0.15">
      <c r="A597" s="15" t="s">
        <v>616</v>
      </c>
      <c r="B597" s="8"/>
      <c r="C597" s="10">
        <v>1</v>
      </c>
      <c r="D597" s="10"/>
      <c r="E597" s="10"/>
      <c r="F597" s="28"/>
      <c r="G597" s="9">
        <f t="shared" si="165"/>
        <v>1</v>
      </c>
      <c r="H597" s="58">
        <v>43594</v>
      </c>
      <c r="I597" s="38" t="s">
        <v>5</v>
      </c>
      <c r="J597" s="8"/>
      <c r="K597" s="10"/>
      <c r="L597" s="10"/>
      <c r="M597" s="10"/>
      <c r="N597" s="28"/>
      <c r="O597" s="9">
        <f t="shared" si="167"/>
        <v>0</v>
      </c>
    </row>
    <row r="598" spans="1:17" x14ac:dyDescent="0.15">
      <c r="A598" s="15" t="s">
        <v>19</v>
      </c>
      <c r="B598" s="8"/>
      <c r="C598" s="10">
        <v>1</v>
      </c>
      <c r="D598" s="10"/>
      <c r="E598" s="10">
        <v>1</v>
      </c>
      <c r="F598" s="30"/>
      <c r="G598" s="7">
        <f t="shared" si="165"/>
        <v>2</v>
      </c>
      <c r="H598" s="58">
        <v>43598</v>
      </c>
      <c r="I598" s="38" t="s">
        <v>6</v>
      </c>
      <c r="J598" s="8"/>
      <c r="K598" s="10"/>
      <c r="L598" s="10"/>
      <c r="M598" s="10"/>
      <c r="N598" s="30"/>
      <c r="O598" s="7">
        <f t="shared" si="167"/>
        <v>0</v>
      </c>
    </row>
    <row r="599" spans="1:17" x14ac:dyDescent="0.15">
      <c r="A599" s="15" t="s">
        <v>19</v>
      </c>
      <c r="B599" s="8"/>
      <c r="C599" s="10"/>
      <c r="D599" s="10">
        <v>2</v>
      </c>
      <c r="E599" s="10">
        <v>2</v>
      </c>
      <c r="F599" s="30">
        <v>1</v>
      </c>
      <c r="G599" s="7">
        <f t="shared" si="165"/>
        <v>5</v>
      </c>
      <c r="H599" s="58">
        <v>43601</v>
      </c>
      <c r="I599" s="38" t="s">
        <v>84</v>
      </c>
      <c r="J599" s="8"/>
      <c r="K599" s="10"/>
      <c r="L599" s="10"/>
      <c r="M599" s="10"/>
      <c r="N599" s="30"/>
      <c r="O599" s="7">
        <f t="shared" si="167"/>
        <v>0</v>
      </c>
    </row>
    <row r="600" spans="1:17" x14ac:dyDescent="0.15">
      <c r="A600" s="15" t="s">
        <v>993</v>
      </c>
      <c r="B600" s="11"/>
      <c r="C600" s="100"/>
      <c r="D600" s="100">
        <v>1</v>
      </c>
      <c r="E600" s="100"/>
      <c r="F600" s="101"/>
      <c r="G600" s="102">
        <f t="shared" si="165"/>
        <v>1</v>
      </c>
      <c r="H600" s="58">
        <v>43601</v>
      </c>
      <c r="I600" s="38" t="s">
        <v>85</v>
      </c>
      <c r="J600" s="8"/>
      <c r="K600" s="10"/>
      <c r="L600" s="10"/>
      <c r="M600" s="10"/>
      <c r="N600" s="30"/>
      <c r="O600" s="7">
        <f t="shared" si="167"/>
        <v>0</v>
      </c>
    </row>
    <row r="601" spans="1:17" ht="14.25" thickBot="1" x14ac:dyDescent="0.2">
      <c r="A601" s="15" t="s">
        <v>17</v>
      </c>
      <c r="B601" s="11"/>
      <c r="C601" s="100"/>
      <c r="D601" s="100">
        <v>1</v>
      </c>
      <c r="E601" s="100"/>
      <c r="F601" s="101"/>
      <c r="G601" s="102">
        <f t="shared" si="165"/>
        <v>1</v>
      </c>
      <c r="H601" s="58">
        <v>43614</v>
      </c>
      <c r="I601" s="38" t="s">
        <v>86</v>
      </c>
      <c r="J601" s="11"/>
      <c r="K601" s="100"/>
      <c r="L601" s="100"/>
      <c r="M601" s="100"/>
      <c r="N601" s="101"/>
      <c r="O601" s="102">
        <f t="shared" si="167"/>
        <v>0</v>
      </c>
    </row>
    <row r="602" spans="1:17" ht="14.25" thickBot="1" x14ac:dyDescent="0.2">
      <c r="A602" s="72" t="s">
        <v>7</v>
      </c>
      <c r="B602" s="73">
        <f>SUM(B593:B601)</f>
        <v>22</v>
      </c>
      <c r="C602" s="74">
        <f t="shared" ref="C602:G602" si="168">SUM(C593:C601)</f>
        <v>21</v>
      </c>
      <c r="D602" s="74">
        <f t="shared" si="168"/>
        <v>25</v>
      </c>
      <c r="E602" s="74">
        <f t="shared" si="168"/>
        <v>23</v>
      </c>
      <c r="F602" s="105">
        <f t="shared" si="168"/>
        <v>15</v>
      </c>
      <c r="G602" s="76">
        <f t="shared" si="168"/>
        <v>106</v>
      </c>
      <c r="H602" s="56"/>
      <c r="I602" s="72" t="s">
        <v>7</v>
      </c>
      <c r="J602" s="73">
        <f>SUM(J593:J601)</f>
        <v>191</v>
      </c>
      <c r="K602" s="74">
        <f t="shared" ref="K602:O602" si="169">SUM(K593:K601)</f>
        <v>176</v>
      </c>
      <c r="L602" s="74">
        <f t="shared" si="169"/>
        <v>171</v>
      </c>
      <c r="M602" s="74">
        <f t="shared" si="169"/>
        <v>164</v>
      </c>
      <c r="N602" s="105">
        <f t="shared" si="169"/>
        <v>124</v>
      </c>
      <c r="O602" s="76">
        <f t="shared" si="169"/>
        <v>826</v>
      </c>
    </row>
    <row r="603" spans="1:17" x14ac:dyDescent="0.15">
      <c r="A603" s="20" t="s">
        <v>30</v>
      </c>
      <c r="B603" s="37"/>
      <c r="C603" s="35"/>
      <c r="D603" s="35">
        <v>2</v>
      </c>
      <c r="E603" s="35"/>
      <c r="F603" s="28"/>
      <c r="G603" s="18">
        <f t="shared" ref="G603:G619" si="170">SUM(B603:F603)</f>
        <v>2</v>
      </c>
      <c r="H603" s="58">
        <v>43580</v>
      </c>
      <c r="I603" s="14" t="s">
        <v>978</v>
      </c>
      <c r="J603" s="8">
        <v>10</v>
      </c>
      <c r="K603" s="10">
        <v>5</v>
      </c>
      <c r="L603" s="10">
        <v>10</v>
      </c>
      <c r="M603" s="10">
        <v>5</v>
      </c>
      <c r="N603" s="30"/>
      <c r="O603" s="7">
        <f t="shared" ref="O603:O628" si="171">SUM(J603:N603)</f>
        <v>30</v>
      </c>
      <c r="P603" s="58">
        <v>43580</v>
      </c>
    </row>
    <row r="604" spans="1:17" x14ac:dyDescent="0.15">
      <c r="A604" s="14" t="s">
        <v>964</v>
      </c>
      <c r="B604" s="8">
        <v>6</v>
      </c>
      <c r="C604" s="10">
        <v>5</v>
      </c>
      <c r="D604" s="10">
        <v>3</v>
      </c>
      <c r="E604" s="10">
        <v>5</v>
      </c>
      <c r="F604" s="30"/>
      <c r="G604" s="7">
        <f t="shared" si="170"/>
        <v>19</v>
      </c>
      <c r="H604" s="58">
        <v>43581</v>
      </c>
      <c r="I604" s="16" t="s">
        <v>22</v>
      </c>
      <c r="J604" s="8"/>
      <c r="K604" s="10">
        <v>10</v>
      </c>
      <c r="L604" s="10"/>
      <c r="M604" s="10">
        <v>10</v>
      </c>
      <c r="N604" s="30"/>
      <c r="O604" s="7">
        <f t="shared" si="171"/>
        <v>20</v>
      </c>
      <c r="P604" s="58">
        <v>43594</v>
      </c>
    </row>
    <row r="605" spans="1:17" x14ac:dyDescent="0.15">
      <c r="A605" s="14" t="s">
        <v>29</v>
      </c>
      <c r="B605" s="8"/>
      <c r="C605" s="10"/>
      <c r="D605" s="10"/>
      <c r="E605" s="10">
        <v>1</v>
      </c>
      <c r="F605" s="30"/>
      <c r="G605" s="7">
        <f t="shared" si="170"/>
        <v>1</v>
      </c>
      <c r="H605" s="58">
        <v>43578</v>
      </c>
      <c r="I605" s="14" t="s">
        <v>981</v>
      </c>
      <c r="J605" s="8"/>
      <c r="K605" s="10"/>
      <c r="L605" s="10">
        <v>2</v>
      </c>
      <c r="M605" s="10"/>
      <c r="N605" s="30">
        <v>3</v>
      </c>
      <c r="O605" s="7">
        <f t="shared" si="171"/>
        <v>5</v>
      </c>
      <c r="P605" s="58">
        <v>43581</v>
      </c>
    </row>
    <row r="606" spans="1:17" x14ac:dyDescent="0.15">
      <c r="A606" s="14" t="s">
        <v>29</v>
      </c>
      <c r="B606" s="8"/>
      <c r="C606" s="10">
        <v>1</v>
      </c>
      <c r="D606" s="10"/>
      <c r="E606" s="10"/>
      <c r="F606" s="30">
        <v>1</v>
      </c>
      <c r="G606" s="7">
        <f t="shared" si="170"/>
        <v>2</v>
      </c>
      <c r="H606" s="58">
        <v>43588</v>
      </c>
      <c r="I606" s="14" t="s">
        <v>25</v>
      </c>
      <c r="J606" s="8">
        <v>1</v>
      </c>
      <c r="K606" s="10"/>
      <c r="L606" s="10"/>
      <c r="M606" s="10"/>
      <c r="N606" s="30">
        <v>1</v>
      </c>
      <c r="O606" s="7">
        <f t="shared" si="171"/>
        <v>2</v>
      </c>
      <c r="P606" s="58">
        <v>43594</v>
      </c>
      <c r="Q606" s="56"/>
    </row>
    <row r="607" spans="1:17" x14ac:dyDescent="0.15">
      <c r="A607" s="14" t="s">
        <v>29</v>
      </c>
      <c r="B607" s="37"/>
      <c r="C607" s="35"/>
      <c r="D607" s="35">
        <v>1</v>
      </c>
      <c r="E607" s="35">
        <v>2</v>
      </c>
      <c r="F607" s="28"/>
      <c r="G607" s="7">
        <f t="shared" si="170"/>
        <v>3</v>
      </c>
      <c r="H607" s="58">
        <v>43592</v>
      </c>
      <c r="I607" s="14" t="s">
        <v>987</v>
      </c>
      <c r="J607" s="8"/>
      <c r="K607" s="10"/>
      <c r="L607" s="10">
        <v>6</v>
      </c>
      <c r="M607" s="10">
        <v>3</v>
      </c>
      <c r="N607" s="30">
        <v>12</v>
      </c>
      <c r="O607" s="7">
        <f t="shared" si="171"/>
        <v>21</v>
      </c>
      <c r="P607" s="58">
        <v>43599</v>
      </c>
    </row>
    <row r="608" spans="1:17" x14ac:dyDescent="0.15">
      <c r="A608" s="20" t="s">
        <v>30</v>
      </c>
      <c r="B608" s="8"/>
      <c r="C608" s="10"/>
      <c r="D608" s="10"/>
      <c r="E608" s="10">
        <v>3</v>
      </c>
      <c r="F608" s="30"/>
      <c r="G608" s="7">
        <f t="shared" si="170"/>
        <v>3</v>
      </c>
      <c r="H608" s="58">
        <v>43595</v>
      </c>
      <c r="I608" s="14" t="s">
        <v>25</v>
      </c>
      <c r="J608" s="8"/>
      <c r="K608" s="10"/>
      <c r="L608" s="10">
        <v>1</v>
      </c>
      <c r="M608" s="10"/>
      <c r="N608" s="30">
        <v>2</v>
      </c>
      <c r="O608" s="7">
        <f t="shared" si="171"/>
        <v>3</v>
      </c>
      <c r="P608" s="58">
        <v>43595</v>
      </c>
    </row>
    <row r="609" spans="1:17" x14ac:dyDescent="0.15">
      <c r="A609" s="14" t="s">
        <v>29</v>
      </c>
      <c r="B609" s="8"/>
      <c r="C609" s="10"/>
      <c r="D609" s="10">
        <v>1</v>
      </c>
      <c r="E609" s="10"/>
      <c r="F609" s="30"/>
      <c r="G609" s="7">
        <f t="shared" si="170"/>
        <v>1</v>
      </c>
      <c r="H609" s="58">
        <v>43594</v>
      </c>
      <c r="I609" s="14" t="s">
        <v>988</v>
      </c>
      <c r="J609" s="8"/>
      <c r="K609" s="10">
        <v>4</v>
      </c>
      <c r="L609" s="10">
        <v>10</v>
      </c>
      <c r="M609" s="10">
        <v>16</v>
      </c>
      <c r="N609" s="30"/>
      <c r="O609" s="7">
        <f t="shared" si="171"/>
        <v>30</v>
      </c>
      <c r="P609" s="58">
        <v>43605</v>
      </c>
    </row>
    <row r="610" spans="1:17" x14ac:dyDescent="0.15">
      <c r="A610" s="14" t="s">
        <v>995</v>
      </c>
      <c r="B610" s="8"/>
      <c r="C610" s="10"/>
      <c r="D610" s="10">
        <v>1</v>
      </c>
      <c r="E610" s="10"/>
      <c r="F610" s="30">
        <v>-1</v>
      </c>
      <c r="G610" s="7">
        <f t="shared" si="170"/>
        <v>0</v>
      </c>
      <c r="H610" s="58">
        <v>43598</v>
      </c>
      <c r="I610" s="51" t="s">
        <v>1027</v>
      </c>
      <c r="J610" s="11">
        <v>20</v>
      </c>
      <c r="K610" s="12">
        <v>10</v>
      </c>
      <c r="L610" s="12">
        <v>10</v>
      </c>
      <c r="M610" s="12">
        <v>5</v>
      </c>
      <c r="N610" s="31">
        <v>3</v>
      </c>
      <c r="O610" s="9">
        <f t="shared" si="171"/>
        <v>48</v>
      </c>
      <c r="P610" s="58">
        <v>43609</v>
      </c>
    </row>
    <row r="611" spans="1:17" x14ac:dyDescent="0.15">
      <c r="A611" s="14" t="s">
        <v>29</v>
      </c>
      <c r="B611" s="8"/>
      <c r="C611" s="10">
        <v>2</v>
      </c>
      <c r="D611" s="10">
        <v>1</v>
      </c>
      <c r="E611" s="10">
        <v>1</v>
      </c>
      <c r="F611" s="30"/>
      <c r="G611" s="7">
        <f t="shared" si="170"/>
        <v>4</v>
      </c>
      <c r="H611" s="58">
        <v>43598</v>
      </c>
      <c r="I611" s="16" t="s">
        <v>22</v>
      </c>
      <c r="J611" s="8"/>
      <c r="K611" s="10"/>
      <c r="L611" s="10"/>
      <c r="M611" s="10">
        <v>10</v>
      </c>
      <c r="N611" s="30">
        <v>10</v>
      </c>
      <c r="O611" s="7">
        <f t="shared" si="171"/>
        <v>20</v>
      </c>
      <c r="P611" s="58">
        <v>43608</v>
      </c>
    </row>
    <row r="612" spans="1:17" x14ac:dyDescent="0.15">
      <c r="A612" s="39" t="s">
        <v>997</v>
      </c>
      <c r="B612" s="11"/>
      <c r="C612" s="12"/>
      <c r="D612" s="12"/>
      <c r="E612" s="12"/>
      <c r="F612" s="31">
        <v>1</v>
      </c>
      <c r="G612" s="7">
        <f t="shared" si="170"/>
        <v>1</v>
      </c>
      <c r="H612" s="58">
        <v>43602</v>
      </c>
      <c r="I612" s="14" t="s">
        <v>990</v>
      </c>
      <c r="J612" s="8"/>
      <c r="K612" s="10">
        <v>10</v>
      </c>
      <c r="L612" s="10"/>
      <c r="M612" s="10"/>
      <c r="N612" s="30"/>
      <c r="O612" s="7">
        <f t="shared" ref="O612" si="172">SUM(J612:N612)</f>
        <v>10</v>
      </c>
      <c r="P612" s="58">
        <v>43609</v>
      </c>
    </row>
    <row r="613" spans="1:17" x14ac:dyDescent="0.15">
      <c r="A613" s="20" t="s">
        <v>30</v>
      </c>
      <c r="B613" s="8"/>
      <c r="C613" s="10">
        <v>2</v>
      </c>
      <c r="D613" s="10"/>
      <c r="E613" s="10"/>
      <c r="F613" s="30">
        <v>2</v>
      </c>
      <c r="G613" s="7">
        <f t="shared" si="170"/>
        <v>4</v>
      </c>
      <c r="H613" s="58">
        <v>43605</v>
      </c>
      <c r="I613" s="14" t="s">
        <v>991</v>
      </c>
      <c r="J613" s="8"/>
      <c r="K613" s="10"/>
      <c r="L613" s="10">
        <v>2</v>
      </c>
      <c r="M613" s="10"/>
      <c r="N613" s="30"/>
      <c r="O613" s="7">
        <f t="shared" si="171"/>
        <v>2</v>
      </c>
      <c r="P613" s="58">
        <v>43619</v>
      </c>
    </row>
    <row r="614" spans="1:17" x14ac:dyDescent="0.15">
      <c r="A614" s="14" t="s">
        <v>29</v>
      </c>
      <c r="B614" s="8">
        <v>1</v>
      </c>
      <c r="C614" s="10"/>
      <c r="D614" s="10">
        <v>1</v>
      </c>
      <c r="E614" s="10"/>
      <c r="F614" s="30"/>
      <c r="G614" s="7">
        <f t="shared" si="170"/>
        <v>2</v>
      </c>
      <c r="H614" s="58">
        <v>43601</v>
      </c>
      <c r="I614" s="14" t="s">
        <v>25</v>
      </c>
      <c r="J614" s="8"/>
      <c r="K614" s="10">
        <v>1</v>
      </c>
      <c r="L614" s="10"/>
      <c r="M614" s="10"/>
      <c r="N614" s="30">
        <v>2</v>
      </c>
      <c r="O614" s="7">
        <f t="shared" si="171"/>
        <v>3</v>
      </c>
      <c r="P614" s="58">
        <v>43614</v>
      </c>
    </row>
    <row r="615" spans="1:17" x14ac:dyDescent="0.15">
      <c r="A615" s="14" t="s">
        <v>29</v>
      </c>
      <c r="B615" s="8"/>
      <c r="C615" s="10"/>
      <c r="D615" s="10"/>
      <c r="E615" s="10">
        <v>1</v>
      </c>
      <c r="F615" s="30"/>
      <c r="G615" s="7">
        <f t="shared" si="170"/>
        <v>1</v>
      </c>
      <c r="H615" s="58">
        <v>43602</v>
      </c>
      <c r="I615" s="14" t="s">
        <v>25</v>
      </c>
      <c r="J615" s="8"/>
      <c r="K615" s="10">
        <v>1</v>
      </c>
      <c r="L615" s="10"/>
      <c r="M615" s="10"/>
      <c r="N615" s="30">
        <v>4</v>
      </c>
      <c r="O615" s="7">
        <f t="shared" si="171"/>
        <v>5</v>
      </c>
      <c r="P615" s="58">
        <v>43615</v>
      </c>
      <c r="Q615" s="56"/>
    </row>
    <row r="616" spans="1:17" x14ac:dyDescent="0.15">
      <c r="A616" s="14" t="s">
        <v>29</v>
      </c>
      <c r="B616" s="8">
        <v>1</v>
      </c>
      <c r="C616" s="10"/>
      <c r="D616" s="10"/>
      <c r="E616" s="10"/>
      <c r="F616" s="30"/>
      <c r="G616" s="7">
        <f t="shared" si="170"/>
        <v>1</v>
      </c>
      <c r="H616" s="58">
        <v>43603</v>
      </c>
      <c r="I616" s="16" t="s">
        <v>22</v>
      </c>
      <c r="J616" s="8"/>
      <c r="K616" s="10"/>
      <c r="L616" s="10">
        <v>10</v>
      </c>
      <c r="M616" s="10"/>
      <c r="N616" s="30">
        <v>10</v>
      </c>
      <c r="O616" s="7">
        <f t="shared" si="171"/>
        <v>20</v>
      </c>
      <c r="P616" s="58">
        <v>43622</v>
      </c>
      <c r="Q616" s="56"/>
    </row>
    <row r="617" spans="1:17" x14ac:dyDescent="0.15">
      <c r="A617" s="14" t="s">
        <v>989</v>
      </c>
      <c r="B617" s="11"/>
      <c r="C617" s="12">
        <v>4</v>
      </c>
      <c r="D617" s="12"/>
      <c r="E617" s="12"/>
      <c r="F617" s="31"/>
      <c r="G617" s="7">
        <f t="shared" si="170"/>
        <v>4</v>
      </c>
      <c r="H617" s="58">
        <v>43609</v>
      </c>
      <c r="I617" s="16" t="s">
        <v>1015</v>
      </c>
      <c r="J617" s="8"/>
      <c r="K617" s="10">
        <v>10</v>
      </c>
      <c r="L617" s="10"/>
      <c r="M617" s="10">
        <v>5</v>
      </c>
      <c r="N617" s="30"/>
      <c r="O617" s="7">
        <f t="shared" si="171"/>
        <v>15</v>
      </c>
      <c r="P617" s="58">
        <v>43619</v>
      </c>
      <c r="Q617" s="56"/>
    </row>
    <row r="618" spans="1:17" x14ac:dyDescent="0.15">
      <c r="A618" s="14" t="s">
        <v>29</v>
      </c>
      <c r="B618" s="8"/>
      <c r="C618" s="10">
        <v>2</v>
      </c>
      <c r="D618" s="10"/>
      <c r="E618" s="10">
        <v>1</v>
      </c>
      <c r="F618" s="30"/>
      <c r="G618" s="7">
        <f t="shared" si="170"/>
        <v>3</v>
      </c>
      <c r="H618" s="58">
        <v>43612</v>
      </c>
      <c r="I618" s="16" t="s">
        <v>1017</v>
      </c>
      <c r="J618" s="8">
        <v>4</v>
      </c>
      <c r="K618" s="10">
        <v>3</v>
      </c>
      <c r="L618" s="10">
        <v>9</v>
      </c>
      <c r="M618" s="10">
        <v>7</v>
      </c>
      <c r="N618" s="30">
        <v>8</v>
      </c>
      <c r="O618" s="7">
        <f t="shared" si="171"/>
        <v>31</v>
      </c>
      <c r="P618" s="58">
        <v>43621</v>
      </c>
      <c r="Q618" s="56"/>
    </row>
    <row r="619" spans="1:17" x14ac:dyDescent="0.15">
      <c r="A619" s="14" t="s">
        <v>29</v>
      </c>
      <c r="B619" s="8"/>
      <c r="C619" s="10"/>
      <c r="D619" s="10"/>
      <c r="E619" s="10">
        <v>2</v>
      </c>
      <c r="F619" s="30"/>
      <c r="G619" s="7">
        <f t="shared" si="170"/>
        <v>2</v>
      </c>
      <c r="H619" s="58">
        <v>43613</v>
      </c>
      <c r="I619" s="14" t="s">
        <v>992</v>
      </c>
      <c r="J619" s="8"/>
      <c r="K619" s="10"/>
      <c r="L619" s="10">
        <v>5</v>
      </c>
      <c r="M619" s="10"/>
      <c r="N619" s="30">
        <v>5</v>
      </c>
      <c r="O619" s="7">
        <f t="shared" si="171"/>
        <v>10</v>
      </c>
      <c r="P619" s="58">
        <v>43626</v>
      </c>
      <c r="Q619" s="56"/>
    </row>
    <row r="620" spans="1:17" x14ac:dyDescent="0.15">
      <c r="A620" s="14" t="s">
        <v>29</v>
      </c>
      <c r="B620" s="8"/>
      <c r="C620" s="10"/>
      <c r="D620" s="10">
        <v>1</v>
      </c>
      <c r="E620" s="10"/>
      <c r="F620" s="30"/>
      <c r="G620" s="7">
        <v>2</v>
      </c>
      <c r="H620" s="58">
        <v>43614</v>
      </c>
      <c r="I620" s="14" t="s">
        <v>25</v>
      </c>
      <c r="J620" s="8"/>
      <c r="K620" s="10">
        <v>1</v>
      </c>
      <c r="L620" s="10"/>
      <c r="M620" s="10"/>
      <c r="N620" s="30"/>
      <c r="O620" s="7">
        <f t="shared" ref="O620" si="173">SUM(J620:N620)</f>
        <v>1</v>
      </c>
      <c r="P620" s="58">
        <v>43621</v>
      </c>
      <c r="Q620" s="56"/>
    </row>
    <row r="621" spans="1:17" x14ac:dyDescent="0.15">
      <c r="A621" s="14" t="s">
        <v>1014</v>
      </c>
      <c r="B621" s="8"/>
      <c r="C621" s="10">
        <v>-10</v>
      </c>
      <c r="D621" s="10"/>
      <c r="E621" s="10">
        <v>-5</v>
      </c>
      <c r="F621" s="30"/>
      <c r="G621" s="7">
        <f t="shared" ref="G621:G628" si="174">SUM(B621:F621)</f>
        <v>-15</v>
      </c>
      <c r="H621" s="58">
        <v>43619</v>
      </c>
      <c r="I621" s="16" t="s">
        <v>24</v>
      </c>
      <c r="J621" s="8"/>
      <c r="K621" s="10"/>
      <c r="L621" s="10"/>
      <c r="M621" s="10">
        <v>5</v>
      </c>
      <c r="N621" s="30"/>
      <c r="O621" s="7">
        <f t="shared" ref="O621:O622" si="175">SUM(J621:N621)</f>
        <v>5</v>
      </c>
      <c r="P621" s="58">
        <v>43622</v>
      </c>
      <c r="Q621" s="56"/>
    </row>
    <row r="622" spans="1:17" x14ac:dyDescent="0.15">
      <c r="A622" s="39" t="s">
        <v>1016</v>
      </c>
      <c r="B622" s="8"/>
      <c r="C622" s="10"/>
      <c r="D622" s="10"/>
      <c r="E622" s="10">
        <v>1</v>
      </c>
      <c r="F622" s="30"/>
      <c r="G622" s="7">
        <f t="shared" si="174"/>
        <v>1</v>
      </c>
      <c r="H622" s="58">
        <v>43619</v>
      </c>
      <c r="I622" s="14"/>
      <c r="J622" s="8"/>
      <c r="K622" s="10"/>
      <c r="L622" s="10"/>
      <c r="M622" s="10"/>
      <c r="N622" s="30"/>
      <c r="O622" s="7">
        <f t="shared" si="175"/>
        <v>0</v>
      </c>
      <c r="P622" s="56"/>
    </row>
    <row r="623" spans="1:17" x14ac:dyDescent="0.15">
      <c r="A623" s="14" t="s">
        <v>117</v>
      </c>
      <c r="B623" s="8"/>
      <c r="C623" s="10"/>
      <c r="D623" s="10"/>
      <c r="E623" s="10">
        <v>1</v>
      </c>
      <c r="F623" s="30"/>
      <c r="G623" s="7">
        <f t="shared" si="174"/>
        <v>1</v>
      </c>
      <c r="H623" s="58">
        <v>43621</v>
      </c>
      <c r="I623" s="14" t="s">
        <v>38</v>
      </c>
      <c r="J623" s="8"/>
      <c r="K623" s="10"/>
      <c r="L623" s="10"/>
      <c r="M623" s="10"/>
      <c r="N623" s="30"/>
      <c r="O623" s="7">
        <f t="shared" si="171"/>
        <v>0</v>
      </c>
      <c r="P623" s="56" t="s">
        <v>946</v>
      </c>
    </row>
    <row r="624" spans="1:17" x14ac:dyDescent="0.15">
      <c r="A624" s="39" t="s">
        <v>1019</v>
      </c>
      <c r="B624" s="11"/>
      <c r="C624" s="12"/>
      <c r="D624" s="12"/>
      <c r="E624" s="12">
        <v>1</v>
      </c>
      <c r="F624" s="31">
        <v>-1</v>
      </c>
      <c r="G624" s="7">
        <f t="shared" si="174"/>
        <v>0</v>
      </c>
      <c r="H624" s="58">
        <v>43627</v>
      </c>
      <c r="I624" s="16" t="s">
        <v>944</v>
      </c>
      <c r="J624" s="8"/>
      <c r="K624" s="10"/>
      <c r="L624" s="10"/>
      <c r="M624" s="10"/>
      <c r="N624" s="30"/>
      <c r="O624" s="7">
        <f t="shared" si="171"/>
        <v>0</v>
      </c>
      <c r="P624" s="56" t="s">
        <v>945</v>
      </c>
    </row>
    <row r="625" spans="1:17" x14ac:dyDescent="0.15">
      <c r="A625" s="20" t="s">
        <v>30</v>
      </c>
      <c r="B625" s="8"/>
      <c r="C625" s="10"/>
      <c r="D625" s="10">
        <v>2</v>
      </c>
      <c r="E625" s="10"/>
      <c r="F625" s="30"/>
      <c r="G625" s="7">
        <f t="shared" si="174"/>
        <v>2</v>
      </c>
      <c r="H625" s="58">
        <v>43623</v>
      </c>
      <c r="I625" s="20" t="s">
        <v>937</v>
      </c>
      <c r="J625" s="8"/>
      <c r="K625" s="10"/>
      <c r="L625" s="10"/>
      <c r="M625" s="10"/>
      <c r="N625" s="30"/>
      <c r="O625" s="7">
        <f t="shared" si="171"/>
        <v>0</v>
      </c>
      <c r="P625" s="56" t="s">
        <v>936</v>
      </c>
    </row>
    <row r="626" spans="1:17" x14ac:dyDescent="0.15">
      <c r="A626" s="39" t="s">
        <v>1020</v>
      </c>
      <c r="B626" s="8"/>
      <c r="C626" s="10"/>
      <c r="D626" s="10"/>
      <c r="E626" s="10">
        <v>-5</v>
      </c>
      <c r="F626" s="30"/>
      <c r="G626" s="7">
        <f t="shared" si="174"/>
        <v>-5</v>
      </c>
      <c r="H626" s="58">
        <v>43622</v>
      </c>
      <c r="I626" s="20" t="s">
        <v>917</v>
      </c>
      <c r="J626" s="8"/>
      <c r="K626" s="10"/>
      <c r="L626" s="10"/>
      <c r="M626" s="10"/>
      <c r="N626" s="30"/>
      <c r="O626" s="7">
        <f t="shared" si="171"/>
        <v>0</v>
      </c>
      <c r="P626" s="58">
        <v>43570</v>
      </c>
    </row>
    <row r="627" spans="1:17" x14ac:dyDescent="0.15">
      <c r="A627" s="14" t="s">
        <v>29</v>
      </c>
      <c r="B627" s="8"/>
      <c r="C627" s="10"/>
      <c r="D627" s="10">
        <v>1</v>
      </c>
      <c r="E627" s="10"/>
      <c r="F627" s="30">
        <v>1</v>
      </c>
      <c r="G627" s="7">
        <f t="shared" si="174"/>
        <v>2</v>
      </c>
      <c r="H627" s="58">
        <v>43626</v>
      </c>
      <c r="I627" s="14" t="s">
        <v>953</v>
      </c>
      <c r="J627" s="8"/>
      <c r="K627" s="10"/>
      <c r="L627" s="10"/>
      <c r="M627" s="10"/>
      <c r="N627" s="30"/>
      <c r="O627" s="7">
        <f t="shared" si="171"/>
        <v>0</v>
      </c>
      <c r="P627" s="58" t="s">
        <v>952</v>
      </c>
      <c r="Q627" s="56"/>
    </row>
    <row r="628" spans="1:17" ht="14.25" thickBot="1" x14ac:dyDescent="0.2">
      <c r="A628" s="172" t="s">
        <v>995</v>
      </c>
      <c r="B628" s="166">
        <v>-1</v>
      </c>
      <c r="C628" s="167"/>
      <c r="D628" s="167"/>
      <c r="E628" s="167">
        <v>1</v>
      </c>
      <c r="F628" s="168"/>
      <c r="G628" s="173">
        <f t="shared" si="174"/>
        <v>0</v>
      </c>
      <c r="H628" s="162">
        <v>43630</v>
      </c>
      <c r="I628" s="39" t="s">
        <v>858</v>
      </c>
      <c r="J628" s="8"/>
      <c r="K628" s="10"/>
      <c r="L628" s="10"/>
      <c r="M628" s="10"/>
      <c r="N628" s="30"/>
      <c r="O628" s="7">
        <f t="shared" si="171"/>
        <v>0</v>
      </c>
      <c r="P628" s="56" t="s">
        <v>889</v>
      </c>
    </row>
    <row r="629" spans="1:17" ht="14.25" thickBot="1" x14ac:dyDescent="0.2">
      <c r="A629" s="3" t="s">
        <v>11</v>
      </c>
      <c r="B629" s="23">
        <f>SUM(B603:B628)</f>
        <v>7</v>
      </c>
      <c r="C629" s="4">
        <f>SUM(C603:C628)</f>
        <v>6</v>
      </c>
      <c r="D629" s="4">
        <f>SUM(D603:D628)</f>
        <v>14</v>
      </c>
      <c r="E629" s="6">
        <f>SUM(E603:E628)</f>
        <v>10</v>
      </c>
      <c r="F629" s="32">
        <f>SUM(F603:F628)</f>
        <v>3</v>
      </c>
      <c r="G629" s="5">
        <f>SUM(B629:F629)</f>
        <v>40</v>
      </c>
      <c r="I629" s="3" t="s">
        <v>11</v>
      </c>
      <c r="J629" s="23">
        <f>SUM(J603:J628)</f>
        <v>35</v>
      </c>
      <c r="K629" s="4">
        <f>SUM(K603:K628)</f>
        <v>55</v>
      </c>
      <c r="L629" s="4">
        <f>SUM(L603:L628)</f>
        <v>65</v>
      </c>
      <c r="M629" s="6">
        <f>SUM(M603:M628)</f>
        <v>66</v>
      </c>
      <c r="N629" s="32">
        <f>SUM(N603:N628)</f>
        <v>60</v>
      </c>
      <c r="O629" s="5">
        <f>SUM(J629:N629)</f>
        <v>281</v>
      </c>
    </row>
    <row r="630" spans="1:17" ht="14.25" thickBot="1" x14ac:dyDescent="0.2">
      <c r="A630" s="25" t="s">
        <v>12</v>
      </c>
      <c r="B630" s="63">
        <f>B602-B629</f>
        <v>15</v>
      </c>
      <c r="C630" s="26">
        <f t="shared" ref="C630:G630" si="176">C602-C629</f>
        <v>15</v>
      </c>
      <c r="D630" s="71">
        <f t="shared" si="176"/>
        <v>11</v>
      </c>
      <c r="E630" s="26">
        <f t="shared" si="176"/>
        <v>13</v>
      </c>
      <c r="F630" s="70">
        <f t="shared" si="176"/>
        <v>12</v>
      </c>
      <c r="G630" s="27">
        <f t="shared" si="176"/>
        <v>66</v>
      </c>
      <c r="I630" s="25" t="s">
        <v>12</v>
      </c>
      <c r="J630" s="63">
        <f>J602-J629</f>
        <v>156</v>
      </c>
      <c r="K630" s="26">
        <f t="shared" ref="K630:O630" si="177">K602-K629</f>
        <v>121</v>
      </c>
      <c r="L630" s="71">
        <f t="shared" si="177"/>
        <v>106</v>
      </c>
      <c r="M630" s="26">
        <f t="shared" si="177"/>
        <v>98</v>
      </c>
      <c r="N630" s="70">
        <f t="shared" si="177"/>
        <v>64</v>
      </c>
      <c r="O630" s="27">
        <f t="shared" si="177"/>
        <v>545</v>
      </c>
    </row>
    <row r="631" spans="1:17" ht="17.25" x14ac:dyDescent="0.2">
      <c r="A631" s="79" t="s">
        <v>391</v>
      </c>
      <c r="B631" s="80"/>
      <c r="C631" s="80"/>
      <c r="D631" s="80"/>
      <c r="E631" s="80"/>
      <c r="F631" s="80"/>
      <c r="G631" s="80"/>
      <c r="H631" s="56"/>
      <c r="I631" s="79" t="s">
        <v>391</v>
      </c>
      <c r="J631" s="80"/>
      <c r="K631" s="80"/>
      <c r="L631" s="80"/>
      <c r="M631" s="80"/>
      <c r="N631" s="80"/>
      <c r="O631" s="1"/>
    </row>
    <row r="632" spans="1:17" ht="21.75" thickBot="1" x14ac:dyDescent="0.25">
      <c r="A632" s="82" t="s">
        <v>390</v>
      </c>
      <c r="B632" s="80"/>
      <c r="C632" s="80"/>
      <c r="D632" s="80"/>
      <c r="E632" s="81" t="s">
        <v>53</v>
      </c>
      <c r="F632" s="80"/>
      <c r="G632" s="80"/>
      <c r="H632" s="56"/>
      <c r="I632" s="82" t="s">
        <v>390</v>
      </c>
      <c r="J632" s="80"/>
      <c r="K632" s="80"/>
      <c r="L632" s="80"/>
      <c r="M632" s="81" t="s">
        <v>393</v>
      </c>
      <c r="N632" s="80"/>
      <c r="O632" s="1"/>
    </row>
    <row r="633" spans="1:17" ht="14.25" thickBot="1" x14ac:dyDescent="0.2">
      <c r="A633" s="13" t="s">
        <v>0</v>
      </c>
      <c r="B633" s="228" t="s">
        <v>392</v>
      </c>
      <c r="C633" s="229"/>
      <c r="D633" s="229"/>
      <c r="E633" s="229"/>
      <c r="F633" s="230"/>
      <c r="G633" s="231"/>
      <c r="H633" s="56"/>
      <c r="I633" s="13" t="s">
        <v>0</v>
      </c>
      <c r="J633" s="228" t="s">
        <v>392</v>
      </c>
      <c r="K633" s="229"/>
      <c r="L633" s="229"/>
      <c r="M633" s="229"/>
      <c r="N633" s="230"/>
      <c r="O633" s="231"/>
    </row>
    <row r="634" spans="1:17" ht="14.25" thickBot="1" x14ac:dyDescent="0.2">
      <c r="A634" s="3" t="s">
        <v>1</v>
      </c>
      <c r="B634" s="2" t="s">
        <v>42</v>
      </c>
      <c r="C634" s="21" t="s">
        <v>43</v>
      </c>
      <c r="D634" s="21" t="s">
        <v>44</v>
      </c>
      <c r="E634" s="24" t="s">
        <v>45</v>
      </c>
      <c r="F634" s="33" t="s">
        <v>46</v>
      </c>
      <c r="G634" s="34" t="s">
        <v>2</v>
      </c>
      <c r="H634" s="56"/>
      <c r="I634" s="3" t="s">
        <v>1</v>
      </c>
      <c r="J634" s="41" t="s">
        <v>42</v>
      </c>
      <c r="K634" s="42" t="s">
        <v>43</v>
      </c>
      <c r="L634" s="42" t="s">
        <v>44</v>
      </c>
      <c r="M634" s="43" t="s">
        <v>45</v>
      </c>
      <c r="N634" s="44" t="s">
        <v>46</v>
      </c>
      <c r="O634" s="3" t="s">
        <v>2</v>
      </c>
    </row>
    <row r="635" spans="1:17" ht="14.25" thickBot="1" x14ac:dyDescent="0.2">
      <c r="A635" s="72" t="s">
        <v>456</v>
      </c>
      <c r="B635" s="73">
        <f>B630</f>
        <v>15</v>
      </c>
      <c r="C635" s="74">
        <f t="shared" ref="C635:F635" si="178">C630</f>
        <v>15</v>
      </c>
      <c r="D635" s="74">
        <f t="shared" si="178"/>
        <v>11</v>
      </c>
      <c r="E635" s="74">
        <f t="shared" si="178"/>
        <v>13</v>
      </c>
      <c r="F635" s="105">
        <f t="shared" si="178"/>
        <v>12</v>
      </c>
      <c r="G635" s="131">
        <f t="shared" ref="G635:G643" si="179">SUM(B635:F635)</f>
        <v>66</v>
      </c>
      <c r="H635" s="56"/>
      <c r="I635" s="72" t="s">
        <v>456</v>
      </c>
      <c r="J635" s="73">
        <f>J630</f>
        <v>156</v>
      </c>
      <c r="K635" s="74">
        <f t="shared" ref="K635:N635" si="180">K630</f>
        <v>121</v>
      </c>
      <c r="L635" s="74">
        <f t="shared" si="180"/>
        <v>106</v>
      </c>
      <c r="M635" s="74">
        <f t="shared" si="180"/>
        <v>98</v>
      </c>
      <c r="N635" s="105">
        <f t="shared" si="180"/>
        <v>64</v>
      </c>
      <c r="O635" s="131">
        <f t="shared" ref="O635:O643" si="181">SUM(J635:N635)</f>
        <v>545</v>
      </c>
    </row>
    <row r="636" spans="1:17" x14ac:dyDescent="0.15">
      <c r="A636" s="15" t="s">
        <v>19</v>
      </c>
      <c r="B636" s="8"/>
      <c r="C636" s="10">
        <v>2</v>
      </c>
      <c r="D636" s="10">
        <v>1</v>
      </c>
      <c r="E636" s="10"/>
      <c r="F636" s="28">
        <v>2</v>
      </c>
      <c r="G636" s="9">
        <f t="shared" si="179"/>
        <v>5</v>
      </c>
      <c r="H636" s="58">
        <v>43636</v>
      </c>
      <c r="I636" s="38" t="s">
        <v>1002</v>
      </c>
      <c r="J636" s="37">
        <v>10</v>
      </c>
      <c r="K636" s="35">
        <v>10</v>
      </c>
      <c r="L636" s="35">
        <v>6</v>
      </c>
      <c r="M636" s="35">
        <v>9</v>
      </c>
      <c r="N636" s="28">
        <v>4</v>
      </c>
      <c r="O636" s="7">
        <f t="shared" si="181"/>
        <v>39</v>
      </c>
      <c r="P636" s="58">
        <v>43637</v>
      </c>
    </row>
    <row r="637" spans="1:17" x14ac:dyDescent="0.15">
      <c r="A637" s="15" t="s">
        <v>685</v>
      </c>
      <c r="B637" s="8"/>
      <c r="C637" s="10"/>
      <c r="D637" s="10"/>
      <c r="E637" s="10">
        <v>2</v>
      </c>
      <c r="F637" s="28"/>
      <c r="G637" s="9">
        <f t="shared" si="179"/>
        <v>2</v>
      </c>
      <c r="H637" s="58">
        <v>43637</v>
      </c>
      <c r="I637" s="38" t="s">
        <v>3</v>
      </c>
      <c r="J637" s="8">
        <v>80</v>
      </c>
      <c r="K637" s="10">
        <v>140</v>
      </c>
      <c r="L637" s="10">
        <v>100</v>
      </c>
      <c r="M637" s="10">
        <v>120</v>
      </c>
      <c r="N637" s="28">
        <v>160</v>
      </c>
      <c r="O637" s="9">
        <f t="shared" si="181"/>
        <v>600</v>
      </c>
      <c r="P637" s="58">
        <v>43651</v>
      </c>
      <c r="Q637" s="56" t="s">
        <v>979</v>
      </c>
    </row>
    <row r="638" spans="1:17" x14ac:dyDescent="0.15">
      <c r="A638" s="15" t="s">
        <v>5</v>
      </c>
      <c r="B638" s="8">
        <v>5</v>
      </c>
      <c r="C638" s="10"/>
      <c r="D638" s="10">
        <v>5</v>
      </c>
      <c r="E638" s="10"/>
      <c r="F638" s="28"/>
      <c r="G638" s="9">
        <f t="shared" si="179"/>
        <v>10</v>
      </c>
      <c r="H638" s="58">
        <v>43643</v>
      </c>
      <c r="I638" s="38" t="s">
        <v>4</v>
      </c>
      <c r="J638" s="8">
        <v>1</v>
      </c>
      <c r="K638" s="10">
        <v>2</v>
      </c>
      <c r="L638" s="10">
        <v>1</v>
      </c>
      <c r="M638" s="10"/>
      <c r="N638" s="30">
        <v>1</v>
      </c>
      <c r="O638" s="7">
        <f t="shared" si="181"/>
        <v>5</v>
      </c>
      <c r="P638" s="58">
        <v>43666</v>
      </c>
    </row>
    <row r="639" spans="1:17" x14ac:dyDescent="0.15">
      <c r="A639" s="15" t="s">
        <v>1033</v>
      </c>
      <c r="B639" s="8"/>
      <c r="C639" s="10">
        <v>1</v>
      </c>
      <c r="D639" s="10"/>
      <c r="E639" s="10"/>
      <c r="F639" s="28"/>
      <c r="G639" s="9">
        <f t="shared" si="179"/>
        <v>1</v>
      </c>
      <c r="H639" s="58">
        <v>43642</v>
      </c>
      <c r="I639" s="38" t="s">
        <v>5</v>
      </c>
      <c r="J639" s="8"/>
      <c r="K639" s="10"/>
      <c r="L639" s="10"/>
      <c r="M639" s="10"/>
      <c r="N639" s="28"/>
      <c r="O639" s="9">
        <f t="shared" si="181"/>
        <v>0</v>
      </c>
    </row>
    <row r="640" spans="1:17" x14ac:dyDescent="0.15">
      <c r="A640" s="15" t="s">
        <v>111</v>
      </c>
      <c r="B640" s="8"/>
      <c r="C640" s="10">
        <v>1</v>
      </c>
      <c r="D640" s="10"/>
      <c r="E640" s="10"/>
      <c r="F640" s="30"/>
      <c r="G640" s="7">
        <f t="shared" si="179"/>
        <v>1</v>
      </c>
      <c r="H640" s="58">
        <v>43649</v>
      </c>
      <c r="I640" s="38" t="s">
        <v>6</v>
      </c>
      <c r="J640" s="8"/>
      <c r="K640" s="10"/>
      <c r="L640" s="10"/>
      <c r="M640" s="10"/>
      <c r="N640" s="30"/>
      <c r="O640" s="7">
        <f t="shared" si="181"/>
        <v>0</v>
      </c>
    </row>
    <row r="641" spans="1:17" x14ac:dyDescent="0.15">
      <c r="A641" s="15" t="s">
        <v>19</v>
      </c>
      <c r="B641" s="8">
        <v>1</v>
      </c>
      <c r="C641" s="10"/>
      <c r="D641" s="10"/>
      <c r="E641" s="10">
        <v>1</v>
      </c>
      <c r="F641" s="30"/>
      <c r="G641" s="7">
        <f t="shared" si="179"/>
        <v>2</v>
      </c>
      <c r="H641" s="58">
        <v>43651</v>
      </c>
      <c r="I641" s="38" t="s">
        <v>84</v>
      </c>
      <c r="J641" s="8"/>
      <c r="K641" s="10"/>
      <c r="L641" s="10"/>
      <c r="M641" s="10"/>
      <c r="N641" s="30"/>
      <c r="O641" s="7">
        <f t="shared" si="181"/>
        <v>0</v>
      </c>
    </row>
    <row r="642" spans="1:17" x14ac:dyDescent="0.15">
      <c r="A642" s="15" t="s">
        <v>1033</v>
      </c>
      <c r="B642" s="11">
        <v>1</v>
      </c>
      <c r="C642" s="100"/>
      <c r="D642" s="100"/>
      <c r="E642" s="100"/>
      <c r="F642" s="101"/>
      <c r="G642" s="102">
        <f t="shared" si="179"/>
        <v>1</v>
      </c>
      <c r="H642" s="58">
        <v>43651</v>
      </c>
      <c r="I642" s="38" t="s">
        <v>85</v>
      </c>
      <c r="J642" s="8"/>
      <c r="K642" s="10"/>
      <c r="L642" s="10"/>
      <c r="M642" s="10"/>
      <c r="N642" s="30"/>
      <c r="O642" s="7">
        <f t="shared" si="181"/>
        <v>0</v>
      </c>
    </row>
    <row r="643" spans="1:17" ht="14.25" thickBot="1" x14ac:dyDescent="0.2">
      <c r="A643" s="15" t="s">
        <v>1060</v>
      </c>
      <c r="B643" s="11">
        <v>1</v>
      </c>
      <c r="C643" s="100">
        <v>1</v>
      </c>
      <c r="D643" s="100">
        <v>1</v>
      </c>
      <c r="E643" s="100">
        <v>1</v>
      </c>
      <c r="F643" s="101">
        <v>1</v>
      </c>
      <c r="G643" s="102">
        <f t="shared" si="179"/>
        <v>5</v>
      </c>
      <c r="H643" s="58">
        <v>43657</v>
      </c>
      <c r="I643" s="38" t="s">
        <v>86</v>
      </c>
      <c r="J643" s="11"/>
      <c r="K643" s="100"/>
      <c r="L643" s="100"/>
      <c r="M643" s="100"/>
      <c r="N643" s="101"/>
      <c r="O643" s="102">
        <f t="shared" si="181"/>
        <v>0</v>
      </c>
    </row>
    <row r="644" spans="1:17" ht="14.25" thickBot="1" x14ac:dyDescent="0.2">
      <c r="A644" s="72" t="s">
        <v>7</v>
      </c>
      <c r="B644" s="73">
        <f>SUM(B635:B643)</f>
        <v>23</v>
      </c>
      <c r="C644" s="74">
        <f t="shared" ref="C644:G644" si="182">SUM(C635:C643)</f>
        <v>20</v>
      </c>
      <c r="D644" s="74">
        <f t="shared" si="182"/>
        <v>18</v>
      </c>
      <c r="E644" s="74">
        <f t="shared" si="182"/>
        <v>17</v>
      </c>
      <c r="F644" s="105">
        <f t="shared" si="182"/>
        <v>15</v>
      </c>
      <c r="G644" s="76">
        <f t="shared" si="182"/>
        <v>93</v>
      </c>
      <c r="H644" s="56"/>
      <c r="I644" s="72" t="s">
        <v>7</v>
      </c>
      <c r="J644" s="73">
        <f>SUM(J635:J643)</f>
        <v>247</v>
      </c>
      <c r="K644" s="74">
        <f t="shared" ref="K644:O644" si="183">SUM(K635:K643)</f>
        <v>273</v>
      </c>
      <c r="L644" s="74">
        <f t="shared" si="183"/>
        <v>213</v>
      </c>
      <c r="M644" s="74">
        <f t="shared" si="183"/>
        <v>227</v>
      </c>
      <c r="N644" s="105">
        <f t="shared" si="183"/>
        <v>229</v>
      </c>
      <c r="O644" s="76">
        <f t="shared" si="183"/>
        <v>1189</v>
      </c>
    </row>
    <row r="645" spans="1:17" x14ac:dyDescent="0.15">
      <c r="A645" s="14" t="s">
        <v>29</v>
      </c>
      <c r="B645" s="11"/>
      <c r="C645" s="12"/>
      <c r="D645" s="12">
        <v>1</v>
      </c>
      <c r="E645" s="12"/>
      <c r="F645" s="31"/>
      <c r="G645" s="18">
        <f t="shared" ref="G645" si="184">SUM(B645:F645)</f>
        <v>1</v>
      </c>
      <c r="H645" s="58">
        <v>43627</v>
      </c>
      <c r="I645" s="14" t="s">
        <v>996</v>
      </c>
      <c r="J645" s="8">
        <v>3</v>
      </c>
      <c r="K645" s="10">
        <v>8</v>
      </c>
      <c r="L645" s="10"/>
      <c r="M645" s="10"/>
      <c r="N645" s="30">
        <v>5</v>
      </c>
      <c r="O645" s="7">
        <f t="shared" ref="O645:O666" si="185">SUM(J645:N645)</f>
        <v>16</v>
      </c>
      <c r="P645" s="58">
        <v>43633</v>
      </c>
    </row>
    <row r="646" spans="1:17" x14ac:dyDescent="0.15">
      <c r="A646" s="39" t="s">
        <v>1024</v>
      </c>
      <c r="B646" s="8"/>
      <c r="C646" s="10"/>
      <c r="D646" s="10"/>
      <c r="E646" s="10"/>
      <c r="F646" s="30">
        <v>2</v>
      </c>
      <c r="G646" s="7">
        <f t="shared" ref="G646:G661" si="186">SUM(B646:F646)</f>
        <v>2</v>
      </c>
      <c r="H646" s="58">
        <v>43628</v>
      </c>
      <c r="I646" s="51" t="s">
        <v>1028</v>
      </c>
      <c r="J646" s="8"/>
      <c r="K646" s="10"/>
      <c r="L646" s="10"/>
      <c r="M646" s="10">
        <v>3</v>
      </c>
      <c r="N646" s="30">
        <v>3</v>
      </c>
      <c r="O646" s="7">
        <f t="shared" si="185"/>
        <v>6</v>
      </c>
      <c r="P646" s="58">
        <v>43633</v>
      </c>
    </row>
    <row r="647" spans="1:17" x14ac:dyDescent="0.15">
      <c r="A647" s="20" t="s">
        <v>30</v>
      </c>
      <c r="B647" s="8"/>
      <c r="C647" s="10"/>
      <c r="D647" s="10"/>
      <c r="E647" s="10"/>
      <c r="F647" s="30">
        <v>1</v>
      </c>
      <c r="G647" s="7">
        <f t="shared" si="186"/>
        <v>1</v>
      </c>
      <c r="H647" s="58">
        <v>43630</v>
      </c>
      <c r="I647" s="51" t="s">
        <v>1029</v>
      </c>
      <c r="J647" s="8"/>
      <c r="K647" s="10">
        <v>3</v>
      </c>
      <c r="L647" s="10"/>
      <c r="M647" s="10"/>
      <c r="N647" s="30"/>
      <c r="O647" s="7">
        <f t="shared" si="185"/>
        <v>3</v>
      </c>
      <c r="P647" s="58">
        <v>43640</v>
      </c>
    </row>
    <row r="648" spans="1:17" x14ac:dyDescent="0.15">
      <c r="A648" s="14" t="s">
        <v>1037</v>
      </c>
      <c r="B648" s="8">
        <v>10</v>
      </c>
      <c r="C648" s="10">
        <v>10</v>
      </c>
      <c r="D648" s="10">
        <v>6</v>
      </c>
      <c r="E648" s="10">
        <v>9</v>
      </c>
      <c r="F648" s="30">
        <v>4</v>
      </c>
      <c r="G648" s="7">
        <f t="shared" si="186"/>
        <v>39</v>
      </c>
      <c r="H648" s="58">
        <v>43637</v>
      </c>
      <c r="I648" s="14" t="s">
        <v>999</v>
      </c>
      <c r="J648" s="8"/>
      <c r="K648" s="10"/>
      <c r="L648" s="10"/>
      <c r="M648" s="10"/>
      <c r="N648" s="30">
        <v>4</v>
      </c>
      <c r="O648" s="7">
        <f t="shared" si="185"/>
        <v>4</v>
      </c>
      <c r="P648" s="58">
        <v>43637</v>
      </c>
      <c r="Q648" s="56"/>
    </row>
    <row r="649" spans="1:17" x14ac:dyDescent="0.15">
      <c r="A649" s="20" t="s">
        <v>30</v>
      </c>
      <c r="B649" s="37">
        <v>2</v>
      </c>
      <c r="C649" s="35"/>
      <c r="D649" s="35"/>
      <c r="E649" s="35"/>
      <c r="F649" s="28"/>
      <c r="G649" s="7">
        <f t="shared" si="186"/>
        <v>2</v>
      </c>
      <c r="H649" s="58">
        <v>43641</v>
      </c>
      <c r="I649" s="51" t="s">
        <v>1068</v>
      </c>
      <c r="J649" s="8">
        <v>3</v>
      </c>
      <c r="K649" s="10">
        <v>2</v>
      </c>
      <c r="L649" s="10">
        <v>4</v>
      </c>
      <c r="M649" s="10">
        <v>3</v>
      </c>
      <c r="N649" s="30">
        <v>3</v>
      </c>
      <c r="O649" s="7">
        <f t="shared" si="185"/>
        <v>15</v>
      </c>
      <c r="P649" s="58">
        <v>43649</v>
      </c>
      <c r="Q649" s="56"/>
    </row>
    <row r="650" spans="1:17" x14ac:dyDescent="0.15">
      <c r="A650" s="14" t="s">
        <v>29</v>
      </c>
      <c r="B650" s="8"/>
      <c r="C650" s="10"/>
      <c r="D650" s="10">
        <v>1</v>
      </c>
      <c r="E650" s="10"/>
      <c r="F650" s="30"/>
      <c r="G650" s="7">
        <f t="shared" si="186"/>
        <v>1</v>
      </c>
      <c r="H650" s="58">
        <v>43640</v>
      </c>
      <c r="I650" s="14" t="s">
        <v>1038</v>
      </c>
      <c r="J650" s="8"/>
      <c r="K650" s="10"/>
      <c r="L650" s="10"/>
      <c r="M650" s="10"/>
      <c r="N650" s="30">
        <v>1</v>
      </c>
      <c r="O650" s="7">
        <f t="shared" si="185"/>
        <v>1</v>
      </c>
      <c r="P650" s="58">
        <v>43641</v>
      </c>
    </row>
    <row r="651" spans="1:17" x14ac:dyDescent="0.15">
      <c r="A651" s="20" t="s">
        <v>30</v>
      </c>
      <c r="B651" s="8"/>
      <c r="C651" s="10">
        <v>1</v>
      </c>
      <c r="D651" s="10">
        <v>2</v>
      </c>
      <c r="E651" s="10"/>
      <c r="F651" s="30"/>
      <c r="G651" s="7">
        <f t="shared" si="186"/>
        <v>3</v>
      </c>
      <c r="H651" s="58">
        <v>43647</v>
      </c>
      <c r="I651" s="14" t="s">
        <v>25</v>
      </c>
      <c r="J651" s="8"/>
      <c r="K651" s="10"/>
      <c r="L651" s="10">
        <v>1</v>
      </c>
      <c r="M651" s="10"/>
      <c r="N651" s="30"/>
      <c r="O651" s="7">
        <f t="shared" si="185"/>
        <v>1</v>
      </c>
      <c r="P651" s="58">
        <v>43643</v>
      </c>
    </row>
    <row r="652" spans="1:17" x14ac:dyDescent="0.15">
      <c r="A652" s="14" t="s">
        <v>1049</v>
      </c>
      <c r="B652" s="8"/>
      <c r="C652" s="10">
        <v>1</v>
      </c>
      <c r="D652" s="10"/>
      <c r="E652" s="10"/>
      <c r="F652" s="30"/>
      <c r="G652" s="7">
        <f t="shared" si="186"/>
        <v>1</v>
      </c>
      <c r="H652" s="58">
        <v>43649</v>
      </c>
      <c r="I652" s="14" t="s">
        <v>1040</v>
      </c>
      <c r="J652" s="8">
        <v>5</v>
      </c>
      <c r="K652" s="10"/>
      <c r="L652" s="10">
        <v>5</v>
      </c>
      <c r="M652" s="10"/>
      <c r="N652" s="30"/>
      <c r="O652" s="7">
        <f t="shared" si="185"/>
        <v>10</v>
      </c>
      <c r="P652" s="58">
        <v>43643</v>
      </c>
    </row>
    <row r="653" spans="1:17" x14ac:dyDescent="0.15">
      <c r="A653" s="14" t="s">
        <v>29</v>
      </c>
      <c r="B653" s="8"/>
      <c r="C653" s="10">
        <v>1</v>
      </c>
      <c r="D653" s="10"/>
      <c r="E653" s="10"/>
      <c r="F653" s="30"/>
      <c r="G653" s="7">
        <f t="shared" si="186"/>
        <v>1</v>
      </c>
      <c r="H653" s="58">
        <v>43652</v>
      </c>
      <c r="I653" s="14" t="s">
        <v>1041</v>
      </c>
      <c r="J653" s="8"/>
      <c r="K653" s="10">
        <v>10</v>
      </c>
      <c r="L653" s="10">
        <v>10</v>
      </c>
      <c r="M653" s="10"/>
      <c r="N653" s="30">
        <v>10</v>
      </c>
      <c r="O653" s="7">
        <f t="shared" si="185"/>
        <v>30</v>
      </c>
      <c r="P653" s="58">
        <v>43651</v>
      </c>
    </row>
    <row r="654" spans="1:17" x14ac:dyDescent="0.15">
      <c r="A654" s="20" t="s">
        <v>30</v>
      </c>
      <c r="B654" s="11"/>
      <c r="C654" s="12">
        <v>2</v>
      </c>
      <c r="D654" s="12"/>
      <c r="E654" s="12"/>
      <c r="F654" s="31">
        <v>2</v>
      </c>
      <c r="G654" s="7">
        <f t="shared" si="186"/>
        <v>4</v>
      </c>
      <c r="H654" s="58">
        <v>43656</v>
      </c>
      <c r="I654" s="14" t="s">
        <v>25</v>
      </c>
      <c r="J654" s="11"/>
      <c r="K654" s="12">
        <v>1</v>
      </c>
      <c r="L654" s="12"/>
      <c r="M654" s="12"/>
      <c r="N654" s="31"/>
      <c r="O654" s="7">
        <f t="shared" si="185"/>
        <v>1</v>
      </c>
      <c r="P654" s="58">
        <v>43648</v>
      </c>
    </row>
    <row r="655" spans="1:17" x14ac:dyDescent="0.15">
      <c r="A655" s="14" t="s">
        <v>29</v>
      </c>
      <c r="B655" s="8">
        <v>1</v>
      </c>
      <c r="C655" s="10"/>
      <c r="D655" s="10"/>
      <c r="E655" s="10"/>
      <c r="F655" s="30"/>
      <c r="G655" s="7">
        <f t="shared" si="186"/>
        <v>1</v>
      </c>
      <c r="H655" s="58">
        <v>43657</v>
      </c>
      <c r="I655" s="14" t="s">
        <v>1043</v>
      </c>
      <c r="J655" s="8"/>
      <c r="K655" s="10">
        <v>2</v>
      </c>
      <c r="L655" s="10">
        <v>1</v>
      </c>
      <c r="M655" s="10">
        <v>1</v>
      </c>
      <c r="N655" s="30"/>
      <c r="O655" s="7">
        <f t="shared" si="185"/>
        <v>4</v>
      </c>
      <c r="P655" s="58">
        <v>43650</v>
      </c>
    </row>
    <row r="656" spans="1:17" x14ac:dyDescent="0.15">
      <c r="A656" s="14" t="s">
        <v>1062</v>
      </c>
      <c r="B656" s="8"/>
      <c r="C656" s="10"/>
      <c r="D656" s="10">
        <v>-1</v>
      </c>
      <c r="E656" s="10"/>
      <c r="F656" s="30"/>
      <c r="G656" s="7">
        <f t="shared" si="186"/>
        <v>-1</v>
      </c>
      <c r="H656" s="58">
        <v>43658</v>
      </c>
      <c r="I656" s="51" t="s">
        <v>1047</v>
      </c>
      <c r="J656" s="8"/>
      <c r="K656" s="10">
        <v>5</v>
      </c>
      <c r="L656" s="10">
        <v>5</v>
      </c>
      <c r="M656" s="10"/>
      <c r="N656" s="30"/>
      <c r="O656" s="7">
        <f t="shared" si="185"/>
        <v>10</v>
      </c>
      <c r="P656" s="58">
        <v>43654</v>
      </c>
    </row>
    <row r="657" spans="1:16" x14ac:dyDescent="0.15">
      <c r="A657" s="16" t="s">
        <v>1067</v>
      </c>
      <c r="B657" s="8"/>
      <c r="C657" s="10"/>
      <c r="D657" s="10">
        <v>3</v>
      </c>
      <c r="E657" s="10"/>
      <c r="F657" s="30"/>
      <c r="G657" s="7">
        <f t="shared" si="186"/>
        <v>3</v>
      </c>
      <c r="H657" s="58">
        <v>43665</v>
      </c>
      <c r="I657" s="14" t="s">
        <v>22</v>
      </c>
      <c r="J657" s="8"/>
      <c r="K657" s="10">
        <v>10</v>
      </c>
      <c r="L657" s="10"/>
      <c r="M657" s="10"/>
      <c r="N657" s="30">
        <v>10</v>
      </c>
      <c r="O657" s="7">
        <f t="shared" si="185"/>
        <v>20</v>
      </c>
      <c r="P657" s="58">
        <v>43654</v>
      </c>
    </row>
    <row r="658" spans="1:16" x14ac:dyDescent="0.15">
      <c r="A658" s="39" t="s">
        <v>1001</v>
      </c>
      <c r="B658" s="8">
        <v>1</v>
      </c>
      <c r="C658" s="10">
        <v>2</v>
      </c>
      <c r="D658" s="10">
        <v>1</v>
      </c>
      <c r="E658" s="10"/>
      <c r="F658" s="30">
        <v>1</v>
      </c>
      <c r="G658" s="7">
        <f t="shared" si="186"/>
        <v>5</v>
      </c>
      <c r="H658" s="58">
        <v>43666</v>
      </c>
      <c r="I658" s="14" t="s">
        <v>22</v>
      </c>
      <c r="J658" s="8"/>
      <c r="K658" s="10"/>
      <c r="L658" s="10"/>
      <c r="M658" s="10">
        <v>10</v>
      </c>
      <c r="N658" s="30"/>
      <c r="O658" s="7">
        <f t="shared" si="185"/>
        <v>10</v>
      </c>
      <c r="P658" s="58">
        <v>43664</v>
      </c>
    </row>
    <row r="659" spans="1:16" x14ac:dyDescent="0.15">
      <c r="A659" s="14" t="s">
        <v>29</v>
      </c>
      <c r="B659" s="8"/>
      <c r="C659" s="10">
        <v>1</v>
      </c>
      <c r="D659" s="10"/>
      <c r="E659" s="10"/>
      <c r="F659" s="30"/>
      <c r="G659" s="7">
        <f t="shared" si="186"/>
        <v>1</v>
      </c>
      <c r="H659" s="58">
        <v>43668</v>
      </c>
      <c r="I659" s="16" t="s">
        <v>1061</v>
      </c>
      <c r="J659" s="8">
        <v>1</v>
      </c>
      <c r="K659" s="10">
        <v>2</v>
      </c>
      <c r="L659" s="10">
        <v>2</v>
      </c>
      <c r="M659" s="10">
        <v>3</v>
      </c>
      <c r="N659" s="30">
        <v>4</v>
      </c>
      <c r="O659" s="7">
        <f t="shared" si="185"/>
        <v>12</v>
      </c>
      <c r="P659" s="58">
        <v>43663</v>
      </c>
    </row>
    <row r="660" spans="1:16" x14ac:dyDescent="0.15">
      <c r="A660" s="14" t="s">
        <v>29</v>
      </c>
      <c r="B660" s="8"/>
      <c r="C660" s="10">
        <v>1</v>
      </c>
      <c r="D660" s="10"/>
      <c r="E660" s="10"/>
      <c r="F660" s="30"/>
      <c r="G660" s="7">
        <f t="shared" si="186"/>
        <v>1</v>
      </c>
      <c r="H660" s="58">
        <v>43670</v>
      </c>
      <c r="I660" s="14" t="s">
        <v>22</v>
      </c>
      <c r="J660" s="8"/>
      <c r="K660" s="10"/>
      <c r="L660" s="10">
        <v>10</v>
      </c>
      <c r="M660" s="10"/>
      <c r="N660" s="30">
        <v>10</v>
      </c>
      <c r="O660" s="7">
        <f t="shared" si="185"/>
        <v>20</v>
      </c>
      <c r="P660" s="58">
        <v>43668</v>
      </c>
    </row>
    <row r="661" spans="1:16" x14ac:dyDescent="0.15">
      <c r="A661" s="172" t="s">
        <v>995</v>
      </c>
      <c r="B661" s="8">
        <v>1</v>
      </c>
      <c r="C661" s="10">
        <v>-1</v>
      </c>
      <c r="D661" s="10"/>
      <c r="E661" s="10"/>
      <c r="F661" s="30"/>
      <c r="G661" s="7">
        <f t="shared" si="186"/>
        <v>0</v>
      </c>
      <c r="H661" s="58">
        <v>43675</v>
      </c>
      <c r="I661" s="51" t="s">
        <v>1071</v>
      </c>
      <c r="J661" s="8"/>
      <c r="K661" s="10">
        <v>5</v>
      </c>
      <c r="L661" s="10"/>
      <c r="M661" s="10">
        <v>3</v>
      </c>
      <c r="N661" s="30">
        <v>3</v>
      </c>
      <c r="O661" s="7">
        <f t="shared" si="185"/>
        <v>11</v>
      </c>
      <c r="P661" s="58">
        <v>43672</v>
      </c>
    </row>
    <row r="662" spans="1:16" x14ac:dyDescent="0.15">
      <c r="A662" s="16" t="s">
        <v>1081</v>
      </c>
      <c r="B662" s="8"/>
      <c r="C662" s="10"/>
      <c r="D662" s="10"/>
      <c r="E662" s="10">
        <v>1</v>
      </c>
      <c r="F662" s="30"/>
      <c r="G662" s="7">
        <v>2</v>
      </c>
      <c r="H662" s="58">
        <v>43675</v>
      </c>
      <c r="I662" s="14" t="s">
        <v>1074</v>
      </c>
      <c r="J662" s="8">
        <v>1</v>
      </c>
      <c r="K662" s="10">
        <v>6</v>
      </c>
      <c r="L662" s="10">
        <v>4</v>
      </c>
      <c r="M662" s="10">
        <v>2</v>
      </c>
      <c r="N662" s="30">
        <v>3</v>
      </c>
      <c r="O662" s="7">
        <f t="shared" si="185"/>
        <v>16</v>
      </c>
      <c r="P662" s="58">
        <v>43672</v>
      </c>
    </row>
    <row r="663" spans="1:16" x14ac:dyDescent="0.15">
      <c r="A663" s="14" t="s">
        <v>29</v>
      </c>
      <c r="B663" s="8"/>
      <c r="C663" s="10"/>
      <c r="D663" s="10">
        <v>1</v>
      </c>
      <c r="E663" s="10"/>
      <c r="F663" s="30"/>
      <c r="G663" s="7">
        <f t="shared" ref="G663:G670" si="187">SUM(B663:F663)</f>
        <v>1</v>
      </c>
      <c r="H663" s="58">
        <v>43672</v>
      </c>
      <c r="I663" s="14" t="s">
        <v>25</v>
      </c>
      <c r="J663" s="8">
        <v>1</v>
      </c>
      <c r="K663" s="10"/>
      <c r="L663" s="10"/>
      <c r="M663" s="10"/>
      <c r="N663" s="30"/>
      <c r="O663" s="7">
        <f t="shared" si="185"/>
        <v>1</v>
      </c>
      <c r="P663" s="58">
        <v>43673</v>
      </c>
    </row>
    <row r="664" spans="1:16" x14ac:dyDescent="0.15">
      <c r="A664" s="15" t="s">
        <v>19</v>
      </c>
      <c r="B664" s="8"/>
      <c r="C664" s="10"/>
      <c r="D664" s="10">
        <v>-1</v>
      </c>
      <c r="E664" s="10">
        <v>-2</v>
      </c>
      <c r="F664" s="30"/>
      <c r="G664" s="7">
        <f t="shared" si="187"/>
        <v>-3</v>
      </c>
      <c r="H664" s="58">
        <v>43672</v>
      </c>
      <c r="I664" s="14"/>
      <c r="J664" s="8"/>
      <c r="K664" s="10"/>
      <c r="L664" s="10"/>
      <c r="M664" s="10"/>
      <c r="N664" s="30"/>
      <c r="O664" s="7">
        <f t="shared" si="185"/>
        <v>0</v>
      </c>
      <c r="P664" s="58"/>
    </row>
    <row r="665" spans="1:16" x14ac:dyDescent="0.15">
      <c r="A665" s="14" t="s">
        <v>1082</v>
      </c>
      <c r="B665" s="8"/>
      <c r="C665" s="10">
        <v>-1</v>
      </c>
      <c r="D665" s="10"/>
      <c r="E665" s="10"/>
      <c r="F665" s="30"/>
      <c r="G665" s="7">
        <f t="shared" si="187"/>
        <v>-1</v>
      </c>
      <c r="H665" s="58">
        <v>43675</v>
      </c>
      <c r="I665" s="16"/>
      <c r="J665" s="8"/>
      <c r="K665" s="10"/>
      <c r="L665" s="10"/>
      <c r="M665" s="10"/>
      <c r="N665" s="30"/>
      <c r="O665" s="7">
        <f t="shared" si="185"/>
        <v>0</v>
      </c>
      <c r="P665" s="58"/>
    </row>
    <row r="666" spans="1:16" x14ac:dyDescent="0.15">
      <c r="A666" s="16" t="s">
        <v>1083</v>
      </c>
      <c r="B666" s="11"/>
      <c r="C666" s="12"/>
      <c r="D666" s="12"/>
      <c r="E666" s="12">
        <v>1</v>
      </c>
      <c r="F666" s="31">
        <v>1</v>
      </c>
      <c r="G666" s="7">
        <f t="shared" si="187"/>
        <v>2</v>
      </c>
      <c r="H666" s="58">
        <v>43677</v>
      </c>
      <c r="I666" s="14"/>
      <c r="J666" s="8"/>
      <c r="K666" s="10"/>
      <c r="L666" s="10"/>
      <c r="M666" s="10"/>
      <c r="N666" s="30"/>
      <c r="O666" s="7">
        <f t="shared" si="185"/>
        <v>0</v>
      </c>
      <c r="P666" s="56"/>
    </row>
    <row r="667" spans="1:16" x14ac:dyDescent="0.15">
      <c r="A667" s="14" t="s">
        <v>29</v>
      </c>
      <c r="B667" s="8"/>
      <c r="C667" s="10"/>
      <c r="D667" s="10"/>
      <c r="E667" s="10">
        <v>1</v>
      </c>
      <c r="F667" s="30"/>
      <c r="G667" s="7">
        <f t="shared" si="187"/>
        <v>1</v>
      </c>
      <c r="H667" s="58">
        <v>43675</v>
      </c>
      <c r="I667" s="16"/>
      <c r="J667" s="8"/>
      <c r="K667" s="10"/>
      <c r="L667" s="10"/>
      <c r="M667" s="10"/>
      <c r="N667" s="30"/>
      <c r="O667" s="7">
        <f t="shared" ref="O667:O670" si="188">SUM(J667:N667)</f>
        <v>0</v>
      </c>
      <c r="P667" s="58"/>
    </row>
    <row r="668" spans="1:16" x14ac:dyDescent="0.15">
      <c r="A668" s="16" t="s">
        <v>1087</v>
      </c>
      <c r="B668" s="8"/>
      <c r="C668" s="10"/>
      <c r="D668" s="10"/>
      <c r="E668" s="10">
        <v>1</v>
      </c>
      <c r="F668" s="30"/>
      <c r="G668" s="7">
        <f t="shared" si="187"/>
        <v>1</v>
      </c>
      <c r="H668" s="58">
        <v>43678</v>
      </c>
      <c r="I668" s="14"/>
      <c r="J668" s="8"/>
      <c r="K668" s="10"/>
      <c r="L668" s="10"/>
      <c r="M668" s="10"/>
      <c r="N668" s="30"/>
      <c r="O668" s="7">
        <f t="shared" si="188"/>
        <v>0</v>
      </c>
      <c r="P668" s="56"/>
    </row>
    <row r="669" spans="1:16" x14ac:dyDescent="0.15">
      <c r="A669" s="14" t="s">
        <v>1088</v>
      </c>
      <c r="B669" s="8">
        <v>-1</v>
      </c>
      <c r="C669" s="10">
        <v>-1</v>
      </c>
      <c r="D669" s="10">
        <v>-3</v>
      </c>
      <c r="E669" s="10">
        <v>-1</v>
      </c>
      <c r="F669" s="30">
        <v>-1</v>
      </c>
      <c r="G669" s="7">
        <f t="shared" si="187"/>
        <v>-7</v>
      </c>
      <c r="H669" s="58">
        <v>43676</v>
      </c>
      <c r="I669" s="16" t="s">
        <v>957</v>
      </c>
      <c r="J669" s="8"/>
      <c r="K669" s="10"/>
      <c r="L669" s="10"/>
      <c r="M669" s="10"/>
      <c r="N669" s="30"/>
      <c r="O669" s="7">
        <f t="shared" si="188"/>
        <v>0</v>
      </c>
      <c r="P669" s="58" t="s">
        <v>1022</v>
      </c>
    </row>
    <row r="670" spans="1:16" ht="14.25" thickBot="1" x14ac:dyDescent="0.2">
      <c r="A670" s="51"/>
      <c r="B670" s="11"/>
      <c r="C670" s="12"/>
      <c r="D670" s="12"/>
      <c r="E670" s="12"/>
      <c r="F670" s="31"/>
      <c r="G670" s="115">
        <f t="shared" si="187"/>
        <v>0</v>
      </c>
      <c r="H670" s="58"/>
      <c r="I670" s="14" t="s">
        <v>30</v>
      </c>
      <c r="J670" s="8"/>
      <c r="K670" s="10"/>
      <c r="L670" s="10"/>
      <c r="M670" s="10"/>
      <c r="N670" s="30"/>
      <c r="O670" s="7">
        <f t="shared" si="188"/>
        <v>0</v>
      </c>
      <c r="P670" s="56" t="s">
        <v>998</v>
      </c>
    </row>
    <row r="671" spans="1:16" ht="14.25" thickBot="1" x14ac:dyDescent="0.2">
      <c r="A671" s="3" t="s">
        <v>11</v>
      </c>
      <c r="B671" s="23">
        <f>SUM(B645:B670)</f>
        <v>14</v>
      </c>
      <c r="C671" s="4">
        <f>SUM(C645:C670)</f>
        <v>16</v>
      </c>
      <c r="D671" s="4">
        <f>SUM(D645:D670)</f>
        <v>10</v>
      </c>
      <c r="E671" s="6">
        <f>SUM(E645:E670)</f>
        <v>10</v>
      </c>
      <c r="F671" s="32">
        <f>SUM(F645:F670)</f>
        <v>10</v>
      </c>
      <c r="G671" s="5">
        <f>SUM(B671:F671)</f>
        <v>60</v>
      </c>
      <c r="I671" s="3" t="s">
        <v>11</v>
      </c>
      <c r="J671" s="23">
        <f>SUM(J645:J670)</f>
        <v>14</v>
      </c>
      <c r="K671" s="4">
        <f>SUM(K645:K670)</f>
        <v>54</v>
      </c>
      <c r="L671" s="4">
        <f>SUM(L645:L670)</f>
        <v>42</v>
      </c>
      <c r="M671" s="6">
        <f>SUM(M645:M670)</f>
        <v>25</v>
      </c>
      <c r="N671" s="32">
        <f>SUM(N645:N670)</f>
        <v>56</v>
      </c>
      <c r="O671" s="5">
        <f>SUM(J671:N671)</f>
        <v>191</v>
      </c>
    </row>
    <row r="672" spans="1:16" ht="14.25" thickBot="1" x14ac:dyDescent="0.2">
      <c r="A672" s="25" t="s">
        <v>12</v>
      </c>
      <c r="B672" s="63">
        <f>B644-B671</f>
        <v>9</v>
      </c>
      <c r="C672" s="26">
        <f t="shared" ref="C672:G672" si="189">C644-C671</f>
        <v>4</v>
      </c>
      <c r="D672" s="71">
        <f t="shared" si="189"/>
        <v>8</v>
      </c>
      <c r="E672" s="26">
        <f t="shared" si="189"/>
        <v>7</v>
      </c>
      <c r="F672" s="70">
        <f t="shared" si="189"/>
        <v>5</v>
      </c>
      <c r="G672" s="27">
        <f t="shared" si="189"/>
        <v>33</v>
      </c>
      <c r="I672" s="25" t="s">
        <v>12</v>
      </c>
      <c r="J672" s="63">
        <f>J644-J671</f>
        <v>233</v>
      </c>
      <c r="K672" s="26">
        <f t="shared" ref="K672:O672" si="190">K644-K671</f>
        <v>219</v>
      </c>
      <c r="L672" s="71">
        <f t="shared" si="190"/>
        <v>171</v>
      </c>
      <c r="M672" s="26">
        <f t="shared" si="190"/>
        <v>202</v>
      </c>
      <c r="N672" s="70">
        <f t="shared" si="190"/>
        <v>173</v>
      </c>
      <c r="O672" s="27">
        <f t="shared" si="190"/>
        <v>998</v>
      </c>
    </row>
    <row r="673" spans="1:19" ht="17.25" x14ac:dyDescent="0.2">
      <c r="A673" s="79" t="s">
        <v>391</v>
      </c>
      <c r="B673" s="80"/>
      <c r="C673" s="80"/>
      <c r="D673" s="80"/>
      <c r="E673" s="80"/>
      <c r="F673" s="80"/>
      <c r="G673" s="80"/>
      <c r="H673" s="56"/>
      <c r="I673" s="79" t="s">
        <v>391</v>
      </c>
      <c r="J673" s="80"/>
      <c r="K673" s="80"/>
      <c r="L673" s="80"/>
      <c r="M673" s="80"/>
      <c r="N673" s="80"/>
      <c r="O673" s="1"/>
    </row>
    <row r="674" spans="1:19" ht="21.75" thickBot="1" x14ac:dyDescent="0.25">
      <c r="A674" s="82" t="s">
        <v>390</v>
      </c>
      <c r="B674" s="80"/>
      <c r="C674" s="80"/>
      <c r="D674" s="80"/>
      <c r="E674" s="81" t="s">
        <v>53</v>
      </c>
      <c r="F674" s="80"/>
      <c r="G674" s="80"/>
      <c r="H674" s="56"/>
      <c r="I674" s="82" t="s">
        <v>390</v>
      </c>
      <c r="J674" s="80"/>
      <c r="K674" s="80"/>
      <c r="L674" s="80"/>
      <c r="M674" s="81" t="s">
        <v>393</v>
      </c>
      <c r="N674" s="80"/>
      <c r="O674" s="1"/>
    </row>
    <row r="675" spans="1:19" ht="14.25" thickBot="1" x14ac:dyDescent="0.2">
      <c r="A675" s="13" t="s">
        <v>0</v>
      </c>
      <c r="B675" s="228" t="s">
        <v>392</v>
      </c>
      <c r="C675" s="229"/>
      <c r="D675" s="229"/>
      <c r="E675" s="229"/>
      <c r="F675" s="230"/>
      <c r="G675" s="231"/>
      <c r="H675" s="56"/>
      <c r="I675" s="13" t="s">
        <v>0</v>
      </c>
      <c r="J675" s="228" t="s">
        <v>392</v>
      </c>
      <c r="K675" s="229"/>
      <c r="L675" s="229"/>
      <c r="M675" s="229"/>
      <c r="N675" s="230"/>
      <c r="O675" s="231"/>
    </row>
    <row r="676" spans="1:19" ht="14.25" thickBot="1" x14ac:dyDescent="0.2">
      <c r="A676" s="3" t="s">
        <v>1</v>
      </c>
      <c r="B676" s="2" t="s">
        <v>42</v>
      </c>
      <c r="C676" s="21" t="s">
        <v>43</v>
      </c>
      <c r="D676" s="21" t="s">
        <v>44</v>
      </c>
      <c r="E676" s="24" t="s">
        <v>45</v>
      </c>
      <c r="F676" s="33" t="s">
        <v>46</v>
      </c>
      <c r="G676" s="34" t="s">
        <v>2</v>
      </c>
      <c r="H676" s="56"/>
      <c r="I676" s="3" t="s">
        <v>1</v>
      </c>
      <c r="J676" s="41" t="s">
        <v>42</v>
      </c>
      <c r="K676" s="42" t="s">
        <v>43</v>
      </c>
      <c r="L676" s="42" t="s">
        <v>44</v>
      </c>
      <c r="M676" s="43" t="s">
        <v>45</v>
      </c>
      <c r="N676" s="44" t="s">
        <v>46</v>
      </c>
      <c r="O676" s="3" t="s">
        <v>2</v>
      </c>
    </row>
    <row r="677" spans="1:19" ht="14.25" thickBot="1" x14ac:dyDescent="0.2">
      <c r="A677" s="72" t="s">
        <v>456</v>
      </c>
      <c r="B677" s="73">
        <f>B672</f>
        <v>9</v>
      </c>
      <c r="C677" s="74">
        <f t="shared" ref="C677:F677" si="191">C672</f>
        <v>4</v>
      </c>
      <c r="D677" s="74">
        <f t="shared" si="191"/>
        <v>8</v>
      </c>
      <c r="E677" s="74">
        <f t="shared" si="191"/>
        <v>7</v>
      </c>
      <c r="F677" s="105">
        <f t="shared" si="191"/>
        <v>5</v>
      </c>
      <c r="G677" s="131">
        <f t="shared" ref="G677:G685" si="192">SUM(B677:F677)</f>
        <v>33</v>
      </c>
      <c r="H677" s="56"/>
      <c r="I677" s="72" t="s">
        <v>456</v>
      </c>
      <c r="J677" s="73">
        <f>J672</f>
        <v>233</v>
      </c>
      <c r="K677" s="74">
        <f t="shared" ref="K677:N677" si="193">K672</f>
        <v>219</v>
      </c>
      <c r="L677" s="74">
        <f t="shared" si="193"/>
        <v>171</v>
      </c>
      <c r="M677" s="74">
        <f t="shared" si="193"/>
        <v>202</v>
      </c>
      <c r="N677" s="105">
        <f t="shared" si="193"/>
        <v>173</v>
      </c>
      <c r="O677" s="131">
        <f t="shared" ref="O677:O685" si="194">SUM(J677:N677)</f>
        <v>998</v>
      </c>
    </row>
    <row r="678" spans="1:19" x14ac:dyDescent="0.15">
      <c r="A678" s="15" t="s">
        <v>3</v>
      </c>
      <c r="B678" s="8"/>
      <c r="C678" s="10">
        <v>5</v>
      </c>
      <c r="D678" s="10"/>
      <c r="E678" s="10"/>
      <c r="F678" s="28"/>
      <c r="G678" s="9">
        <f t="shared" si="192"/>
        <v>5</v>
      </c>
      <c r="H678" s="58">
        <v>43698</v>
      </c>
      <c r="I678" s="181" t="s">
        <v>1121</v>
      </c>
      <c r="J678" s="176"/>
      <c r="K678" s="177">
        <v>4</v>
      </c>
      <c r="L678" s="177">
        <v>-1</v>
      </c>
      <c r="M678" s="177">
        <v>-2</v>
      </c>
      <c r="N678" s="178">
        <v>1</v>
      </c>
      <c r="O678" s="179">
        <f t="shared" si="194"/>
        <v>2</v>
      </c>
      <c r="P678" s="180">
        <v>43705</v>
      </c>
    </row>
    <row r="679" spans="1:19" x14ac:dyDescent="0.15">
      <c r="A679" s="15" t="s">
        <v>19</v>
      </c>
      <c r="B679" s="8"/>
      <c r="C679" s="10"/>
      <c r="D679" s="10">
        <v>1</v>
      </c>
      <c r="E679" s="10"/>
      <c r="F679" s="28"/>
      <c r="G679" s="9">
        <f t="shared" si="192"/>
        <v>1</v>
      </c>
      <c r="H679" s="58">
        <v>43698</v>
      </c>
      <c r="I679" s="38" t="s">
        <v>3</v>
      </c>
      <c r="J679" s="8"/>
      <c r="K679" s="10"/>
      <c r="L679" s="10"/>
      <c r="M679" s="10"/>
      <c r="N679" s="28"/>
      <c r="O679" s="9">
        <f t="shared" si="194"/>
        <v>0</v>
      </c>
      <c r="P679" s="58"/>
      <c r="Q679" s="56"/>
      <c r="R679" s="56"/>
    </row>
    <row r="680" spans="1:19" x14ac:dyDescent="0.15">
      <c r="A680" s="15" t="s">
        <v>111</v>
      </c>
      <c r="B680" s="8"/>
      <c r="C680" s="10"/>
      <c r="D680" s="10">
        <v>1</v>
      </c>
      <c r="E680" s="10"/>
      <c r="F680" s="28"/>
      <c r="G680" s="9">
        <f t="shared" si="192"/>
        <v>1</v>
      </c>
      <c r="H680" s="58">
        <v>43700</v>
      </c>
      <c r="I680" s="38" t="s">
        <v>4</v>
      </c>
      <c r="J680" s="8"/>
      <c r="K680" s="10"/>
      <c r="L680" s="10"/>
      <c r="M680" s="10"/>
      <c r="N680" s="30"/>
      <c r="O680" s="7">
        <f t="shared" si="194"/>
        <v>0</v>
      </c>
      <c r="P680" s="56"/>
    </row>
    <row r="681" spans="1:19" x14ac:dyDescent="0.15">
      <c r="A681" s="15" t="s">
        <v>616</v>
      </c>
      <c r="B681" s="8"/>
      <c r="C681" s="10"/>
      <c r="D681" s="10">
        <v>1</v>
      </c>
      <c r="E681" s="10"/>
      <c r="F681" s="28"/>
      <c r="G681" s="9">
        <f t="shared" si="192"/>
        <v>1</v>
      </c>
      <c r="H681" s="58">
        <v>43700</v>
      </c>
      <c r="I681" s="38" t="s">
        <v>5</v>
      </c>
      <c r="J681" s="8"/>
      <c r="K681" s="10"/>
      <c r="L681" s="10"/>
      <c r="M681" s="10"/>
      <c r="N681" s="28"/>
      <c r="O681" s="9">
        <f t="shared" si="194"/>
        <v>0</v>
      </c>
    </row>
    <row r="682" spans="1:19" x14ac:dyDescent="0.15">
      <c r="A682" s="15" t="s">
        <v>322</v>
      </c>
      <c r="B682" s="8"/>
      <c r="C682" s="10"/>
      <c r="D682" s="10">
        <v>2</v>
      </c>
      <c r="E682" s="10"/>
      <c r="F682" s="30">
        <v>1</v>
      </c>
      <c r="G682" s="7">
        <f t="shared" si="192"/>
        <v>3</v>
      </c>
      <c r="H682" s="58">
        <v>43713</v>
      </c>
      <c r="I682" s="38" t="s">
        <v>6</v>
      </c>
      <c r="J682" s="8"/>
      <c r="K682" s="10"/>
      <c r="L682" s="10"/>
      <c r="M682" s="10"/>
      <c r="N682" s="30"/>
      <c r="O682" s="7">
        <f t="shared" si="194"/>
        <v>0</v>
      </c>
    </row>
    <row r="683" spans="1:19" x14ac:dyDescent="0.15">
      <c r="A683" s="15" t="s">
        <v>411</v>
      </c>
      <c r="B683" s="8"/>
      <c r="C683" s="10"/>
      <c r="D683" s="10"/>
      <c r="E683" s="10"/>
      <c r="F683" s="30">
        <v>2</v>
      </c>
      <c r="G683" s="7">
        <f t="shared" si="192"/>
        <v>2</v>
      </c>
      <c r="H683" s="58">
        <v>43720</v>
      </c>
      <c r="I683" s="38" t="s">
        <v>84</v>
      </c>
      <c r="J683" s="8"/>
      <c r="K683" s="10"/>
      <c r="L683" s="10"/>
      <c r="M683" s="10"/>
      <c r="N683" s="30"/>
      <c r="O683" s="7">
        <f t="shared" si="194"/>
        <v>0</v>
      </c>
      <c r="S683" s="174"/>
    </row>
    <row r="684" spans="1:19" x14ac:dyDescent="0.15">
      <c r="A684" s="15" t="s">
        <v>19</v>
      </c>
      <c r="B684" s="11"/>
      <c r="C684" s="100">
        <v>1</v>
      </c>
      <c r="D684" s="100"/>
      <c r="E684" s="100"/>
      <c r="F684" s="101">
        <v>1</v>
      </c>
      <c r="G684" s="102">
        <f t="shared" si="192"/>
        <v>2</v>
      </c>
      <c r="H684" s="58">
        <v>43721</v>
      </c>
      <c r="I684" s="38" t="s">
        <v>85</v>
      </c>
      <c r="J684" s="8"/>
      <c r="K684" s="10"/>
      <c r="L684" s="10"/>
      <c r="M684" s="10"/>
      <c r="N684" s="30"/>
      <c r="O684" s="7">
        <f t="shared" si="194"/>
        <v>0</v>
      </c>
      <c r="P684" s="56"/>
      <c r="Q684" s="56"/>
      <c r="R684" s="56"/>
      <c r="S684" s="174"/>
    </row>
    <row r="685" spans="1:19" ht="14.25" thickBot="1" x14ac:dyDescent="0.2">
      <c r="A685" s="15" t="s">
        <v>87</v>
      </c>
      <c r="B685" s="11"/>
      <c r="C685" s="100">
        <v>5</v>
      </c>
      <c r="D685" s="100"/>
      <c r="E685" s="100">
        <v>3</v>
      </c>
      <c r="F685" s="101"/>
      <c r="G685" s="102">
        <f t="shared" si="192"/>
        <v>8</v>
      </c>
      <c r="H685" s="58">
        <v>43726</v>
      </c>
      <c r="I685" s="38" t="s">
        <v>86</v>
      </c>
      <c r="J685" s="11"/>
      <c r="K685" s="100"/>
      <c r="L685" s="100"/>
      <c r="M685" s="100"/>
      <c r="N685" s="101"/>
      <c r="O685" s="102">
        <f t="shared" si="194"/>
        <v>0</v>
      </c>
      <c r="P685" s="56"/>
      <c r="Q685" s="56"/>
      <c r="R685" s="56"/>
      <c r="S685" s="174"/>
    </row>
    <row r="686" spans="1:19" ht="14.25" thickBot="1" x14ac:dyDescent="0.2">
      <c r="A686" s="72" t="s">
        <v>7</v>
      </c>
      <c r="B686" s="73">
        <f>SUM(B677:B685)</f>
        <v>9</v>
      </c>
      <c r="C686" s="74">
        <f t="shared" ref="C686:G686" si="195">SUM(C677:C685)</f>
        <v>15</v>
      </c>
      <c r="D686" s="74">
        <f t="shared" si="195"/>
        <v>13</v>
      </c>
      <c r="E686" s="74">
        <f t="shared" si="195"/>
        <v>10</v>
      </c>
      <c r="F686" s="105">
        <f t="shared" si="195"/>
        <v>9</v>
      </c>
      <c r="G686" s="76">
        <f t="shared" si="195"/>
        <v>56</v>
      </c>
      <c r="H686" s="56"/>
      <c r="I686" s="72" t="s">
        <v>7</v>
      </c>
      <c r="J686" s="73">
        <f>SUM(J677:J685)</f>
        <v>233</v>
      </c>
      <c r="K686" s="74">
        <f t="shared" ref="K686:O686" si="196">SUM(K677:K685)</f>
        <v>223</v>
      </c>
      <c r="L686" s="74">
        <f t="shared" si="196"/>
        <v>170</v>
      </c>
      <c r="M686" s="74">
        <f t="shared" si="196"/>
        <v>200</v>
      </c>
      <c r="N686" s="105">
        <f t="shared" si="196"/>
        <v>174</v>
      </c>
      <c r="O686" s="76">
        <f t="shared" si="196"/>
        <v>1000</v>
      </c>
      <c r="S686" s="174"/>
    </row>
    <row r="687" spans="1:19" x14ac:dyDescent="0.15">
      <c r="A687" s="16" t="s">
        <v>1094</v>
      </c>
      <c r="B687" s="11"/>
      <c r="C687" s="12">
        <v>1</v>
      </c>
      <c r="D687" s="12"/>
      <c r="E687" s="12"/>
      <c r="F687" s="31"/>
      <c r="G687" s="18">
        <f t="shared" ref="G687:G703" si="197">SUM(B687:F687)</f>
        <v>1</v>
      </c>
      <c r="H687" s="58">
        <v>43684</v>
      </c>
      <c r="I687" s="14" t="s">
        <v>22</v>
      </c>
      <c r="J687" s="8"/>
      <c r="K687" s="10"/>
      <c r="L687" s="10"/>
      <c r="M687" s="10"/>
      <c r="N687" s="30">
        <v>10</v>
      </c>
      <c r="O687" s="7">
        <f t="shared" ref="O687" si="198">SUM(J687:N687)</f>
        <v>10</v>
      </c>
      <c r="P687" s="58">
        <v>43682</v>
      </c>
      <c r="S687" s="174"/>
    </row>
    <row r="688" spans="1:19" x14ac:dyDescent="0.15">
      <c r="A688" s="14" t="s">
        <v>29</v>
      </c>
      <c r="B688" s="8">
        <v>1</v>
      </c>
      <c r="C688" s="10"/>
      <c r="D688" s="10"/>
      <c r="E688" s="10"/>
      <c r="F688" s="30"/>
      <c r="G688" s="7">
        <f t="shared" si="197"/>
        <v>1</v>
      </c>
      <c r="H688" s="58">
        <v>43682</v>
      </c>
      <c r="I688" s="14" t="s">
        <v>22</v>
      </c>
      <c r="J688" s="8"/>
      <c r="K688" s="10"/>
      <c r="L688" s="10"/>
      <c r="M688" s="10"/>
      <c r="N688" s="30">
        <v>10</v>
      </c>
      <c r="O688" s="7">
        <f t="shared" ref="O688:O712" si="199">SUM(J688:N688)</f>
        <v>10</v>
      </c>
      <c r="P688" s="58">
        <v>43685</v>
      </c>
      <c r="S688" s="174"/>
    </row>
    <row r="689" spans="1:18" x14ac:dyDescent="0.15">
      <c r="A689" s="20" t="s">
        <v>1104</v>
      </c>
      <c r="B689" s="8"/>
      <c r="C689" s="10"/>
      <c r="D689" s="10"/>
      <c r="E689" s="10">
        <v>1</v>
      </c>
      <c r="F689" s="30"/>
      <c r="G689" s="7">
        <f t="shared" si="197"/>
        <v>1</v>
      </c>
      <c r="H689" s="58">
        <v>43694</v>
      </c>
      <c r="I689" s="14" t="s">
        <v>22</v>
      </c>
      <c r="J689" s="8"/>
      <c r="K689" s="10"/>
      <c r="L689" s="10"/>
      <c r="M689" s="10">
        <v>10</v>
      </c>
      <c r="N689" s="30"/>
      <c r="O689" s="7">
        <f t="shared" si="199"/>
        <v>10</v>
      </c>
      <c r="P689" s="58">
        <v>43700</v>
      </c>
    </row>
    <row r="690" spans="1:18" x14ac:dyDescent="0.15">
      <c r="A690" s="14" t="s">
        <v>29</v>
      </c>
      <c r="B690" s="8"/>
      <c r="C690" s="10">
        <v>1</v>
      </c>
      <c r="D690" s="10"/>
      <c r="E690" s="10"/>
      <c r="F690" s="30"/>
      <c r="G690" s="7">
        <f t="shared" si="197"/>
        <v>1</v>
      </c>
      <c r="H690" s="58">
        <v>43693</v>
      </c>
      <c r="I690" s="14" t="s">
        <v>25</v>
      </c>
      <c r="J690" s="8"/>
      <c r="K690" s="10"/>
      <c r="L690" s="10">
        <v>1</v>
      </c>
      <c r="M690" s="10"/>
      <c r="N690" s="30">
        <v>2</v>
      </c>
      <c r="O690" s="7">
        <f t="shared" si="199"/>
        <v>3</v>
      </c>
      <c r="P690" s="58">
        <v>43696</v>
      </c>
    </row>
    <row r="691" spans="1:18" x14ac:dyDescent="0.15">
      <c r="A691" s="14" t="s">
        <v>29</v>
      </c>
      <c r="B691" s="37"/>
      <c r="C691" s="35"/>
      <c r="D691" s="35">
        <v>1</v>
      </c>
      <c r="E691" s="35"/>
      <c r="F691" s="28"/>
      <c r="G691" s="7">
        <f t="shared" si="197"/>
        <v>1</v>
      </c>
      <c r="H691" s="58">
        <v>43696</v>
      </c>
      <c r="I691" s="14" t="s">
        <v>25</v>
      </c>
      <c r="J691" s="8">
        <v>1</v>
      </c>
      <c r="K691" s="10"/>
      <c r="L691" s="10"/>
      <c r="M691" s="10">
        <v>5</v>
      </c>
      <c r="N691" s="30">
        <v>4</v>
      </c>
      <c r="O691" s="7">
        <f t="shared" si="199"/>
        <v>10</v>
      </c>
      <c r="P691" s="58">
        <v>43697</v>
      </c>
    </row>
    <row r="692" spans="1:18" x14ac:dyDescent="0.15">
      <c r="A692" s="14" t="s">
        <v>1109</v>
      </c>
      <c r="B692" s="8">
        <v>2</v>
      </c>
      <c r="C692" s="10"/>
      <c r="D692" s="10"/>
      <c r="E692" s="10">
        <v>1</v>
      </c>
      <c r="F692" s="30"/>
      <c r="G692" s="7">
        <f t="shared" si="197"/>
        <v>3</v>
      </c>
      <c r="H692" s="58">
        <v>43700</v>
      </c>
      <c r="I692" s="14" t="s">
        <v>25</v>
      </c>
      <c r="J692" s="8">
        <v>1</v>
      </c>
      <c r="K692" s="10"/>
      <c r="L692" s="10">
        <v>1</v>
      </c>
      <c r="M692" s="10"/>
      <c r="N692" s="30">
        <v>1</v>
      </c>
      <c r="O692" s="7">
        <f t="shared" si="199"/>
        <v>3</v>
      </c>
      <c r="P692" s="58">
        <v>43698</v>
      </c>
    </row>
    <row r="693" spans="1:18" x14ac:dyDescent="0.15">
      <c r="A693" s="14" t="s">
        <v>29</v>
      </c>
      <c r="B693" s="8">
        <v>1</v>
      </c>
      <c r="C693" s="10"/>
      <c r="D693" s="10"/>
      <c r="E693" s="10"/>
      <c r="F693" s="30"/>
      <c r="G693" s="7">
        <f t="shared" si="197"/>
        <v>1</v>
      </c>
      <c r="H693" s="58">
        <v>43703</v>
      </c>
      <c r="I693" s="14" t="s">
        <v>22</v>
      </c>
      <c r="J693" s="8"/>
      <c r="K693" s="10">
        <v>10</v>
      </c>
      <c r="L693" s="10"/>
      <c r="M693" s="10"/>
      <c r="N693" s="30"/>
      <c r="O693" s="7">
        <f t="shared" si="199"/>
        <v>10</v>
      </c>
      <c r="P693" s="58">
        <v>43703</v>
      </c>
      <c r="Q693" s="56"/>
    </row>
    <row r="694" spans="1:18" x14ac:dyDescent="0.15">
      <c r="A694" s="14" t="s">
        <v>29</v>
      </c>
      <c r="B694" s="8"/>
      <c r="C694" s="10"/>
      <c r="D694" s="10">
        <v>1</v>
      </c>
      <c r="E694" s="10"/>
      <c r="F694" s="30"/>
      <c r="G694" s="7">
        <f t="shared" si="197"/>
        <v>1</v>
      </c>
      <c r="H694" s="58">
        <v>43705</v>
      </c>
      <c r="I694" s="14" t="s">
        <v>1111</v>
      </c>
      <c r="J694" s="8"/>
      <c r="K694" s="10">
        <v>5</v>
      </c>
      <c r="L694" s="10"/>
      <c r="M694" s="10"/>
      <c r="N694" s="30"/>
      <c r="O694" s="7">
        <f t="shared" si="199"/>
        <v>5</v>
      </c>
      <c r="P694" s="58">
        <v>43698</v>
      </c>
      <c r="Q694" s="56"/>
    </row>
    <row r="695" spans="1:18" x14ac:dyDescent="0.15">
      <c r="A695" s="16" t="s">
        <v>1126</v>
      </c>
      <c r="B695" s="8"/>
      <c r="C695" s="10">
        <v>1</v>
      </c>
      <c r="D695" s="10"/>
      <c r="E695" s="10"/>
      <c r="F695" s="30"/>
      <c r="G695" s="7">
        <f t="shared" si="197"/>
        <v>1</v>
      </c>
      <c r="H695" s="58">
        <v>43712</v>
      </c>
      <c r="I695" s="14" t="s">
        <v>1000</v>
      </c>
      <c r="J695" s="8"/>
      <c r="K695" s="10"/>
      <c r="L695" s="10">
        <v>2</v>
      </c>
      <c r="M695" s="10"/>
      <c r="N695" s="30"/>
      <c r="O695" s="7">
        <f t="shared" si="199"/>
        <v>2</v>
      </c>
      <c r="P695" s="58">
        <v>43703</v>
      </c>
    </row>
    <row r="696" spans="1:18" x14ac:dyDescent="0.15">
      <c r="A696" s="39" t="s">
        <v>1127</v>
      </c>
      <c r="B696" s="11">
        <v>1</v>
      </c>
      <c r="C696" s="12"/>
      <c r="D696" s="12"/>
      <c r="E696" s="12"/>
      <c r="F696" s="31"/>
      <c r="G696" s="7">
        <f t="shared" si="197"/>
        <v>1</v>
      </c>
      <c r="H696" s="58">
        <v>43710</v>
      </c>
      <c r="I696" s="14" t="s">
        <v>25</v>
      </c>
      <c r="J696" s="11"/>
      <c r="K696" s="12"/>
      <c r="L696" s="12">
        <v>1</v>
      </c>
      <c r="M696" s="12"/>
      <c r="N696" s="31"/>
      <c r="O696" s="7">
        <f t="shared" si="199"/>
        <v>1</v>
      </c>
      <c r="P696" s="58">
        <v>43701</v>
      </c>
    </row>
    <row r="697" spans="1:18" x14ac:dyDescent="0.15">
      <c r="A697" s="14" t="s">
        <v>29</v>
      </c>
      <c r="B697" s="8"/>
      <c r="C697" s="10"/>
      <c r="D697" s="10">
        <v>1</v>
      </c>
      <c r="E697" s="10"/>
      <c r="F697" s="30"/>
      <c r="G697" s="7">
        <f t="shared" si="197"/>
        <v>1</v>
      </c>
      <c r="H697" s="58">
        <v>43715</v>
      </c>
      <c r="I697" s="14" t="s">
        <v>22</v>
      </c>
      <c r="J697" s="8"/>
      <c r="K697" s="10">
        <v>10</v>
      </c>
      <c r="L697" s="10"/>
      <c r="M697" s="10">
        <v>10</v>
      </c>
      <c r="N697" s="30"/>
      <c r="O697" s="7">
        <f t="shared" si="199"/>
        <v>20</v>
      </c>
      <c r="P697" s="58">
        <v>43710</v>
      </c>
    </row>
    <row r="698" spans="1:18" x14ac:dyDescent="0.15">
      <c r="A698" s="14" t="s">
        <v>1129</v>
      </c>
      <c r="B698" s="8"/>
      <c r="C698" s="10"/>
      <c r="D698" s="10"/>
      <c r="E698" s="10">
        <v>1</v>
      </c>
      <c r="F698" s="30">
        <v>1</v>
      </c>
      <c r="G698" s="7">
        <f t="shared" si="197"/>
        <v>2</v>
      </c>
      <c r="H698" s="58">
        <v>43720</v>
      </c>
      <c r="I698" s="14" t="s">
        <v>25</v>
      </c>
      <c r="J698" s="8">
        <v>2</v>
      </c>
      <c r="K698" s="10"/>
      <c r="L698" s="10"/>
      <c r="M698" s="10"/>
      <c r="N698" s="30"/>
      <c r="O698" s="7">
        <f t="shared" si="199"/>
        <v>2</v>
      </c>
      <c r="P698" s="58">
        <v>43711</v>
      </c>
    </row>
    <row r="699" spans="1:18" x14ac:dyDescent="0.15">
      <c r="A699" s="14" t="s">
        <v>29</v>
      </c>
      <c r="B699" s="8"/>
      <c r="C699" s="10"/>
      <c r="D699" s="10"/>
      <c r="E699" s="10">
        <v>1</v>
      </c>
      <c r="F699" s="30"/>
      <c r="G699" s="7">
        <f t="shared" si="197"/>
        <v>1</v>
      </c>
      <c r="H699" s="58">
        <v>43718</v>
      </c>
      <c r="I699" s="14" t="s">
        <v>1117</v>
      </c>
      <c r="J699" s="8">
        <v>3</v>
      </c>
      <c r="K699" s="10">
        <v>3</v>
      </c>
      <c r="L699" s="10"/>
      <c r="M699" s="10">
        <v>1</v>
      </c>
      <c r="N699" s="30"/>
      <c r="O699" s="7">
        <f t="shared" si="199"/>
        <v>7</v>
      </c>
      <c r="P699" s="58">
        <v>43713</v>
      </c>
    </row>
    <row r="700" spans="1:18" x14ac:dyDescent="0.15">
      <c r="A700" s="14" t="s">
        <v>29</v>
      </c>
      <c r="B700" s="8"/>
      <c r="C700" s="10">
        <v>1</v>
      </c>
      <c r="D700" s="10"/>
      <c r="E700" s="10">
        <v>1</v>
      </c>
      <c r="F700" s="30"/>
      <c r="G700" s="7">
        <f t="shared" si="197"/>
        <v>2</v>
      </c>
      <c r="H700" s="58">
        <v>43719</v>
      </c>
      <c r="I700" s="14" t="s">
        <v>1133</v>
      </c>
      <c r="J700" s="8"/>
      <c r="K700" s="10"/>
      <c r="L700" s="10"/>
      <c r="M700" s="10">
        <v>1</v>
      </c>
      <c r="N700" s="30"/>
      <c r="O700" s="7">
        <f t="shared" si="199"/>
        <v>1</v>
      </c>
      <c r="P700" s="58">
        <v>43714</v>
      </c>
    </row>
    <row r="701" spans="1:18" x14ac:dyDescent="0.15">
      <c r="A701" s="14" t="s">
        <v>25</v>
      </c>
      <c r="B701" s="8"/>
      <c r="C701" s="10">
        <v>1</v>
      </c>
      <c r="D701" s="10"/>
      <c r="E701" s="10"/>
      <c r="F701" s="30"/>
      <c r="G701" s="7">
        <f t="shared" si="197"/>
        <v>1</v>
      </c>
      <c r="H701" s="58">
        <v>43726</v>
      </c>
      <c r="I701" s="14" t="s">
        <v>22</v>
      </c>
      <c r="J701" s="8"/>
      <c r="K701" s="10"/>
      <c r="L701" s="10"/>
      <c r="M701" s="10"/>
      <c r="N701" s="30">
        <v>10</v>
      </c>
      <c r="O701" s="7">
        <f t="shared" si="199"/>
        <v>10</v>
      </c>
      <c r="P701" s="58">
        <v>43721</v>
      </c>
    </row>
    <row r="702" spans="1:18" x14ac:dyDescent="0.15">
      <c r="A702" s="14" t="s">
        <v>1139</v>
      </c>
      <c r="B702" s="8"/>
      <c r="C702" s="10">
        <v>2</v>
      </c>
      <c r="D702" s="10">
        <v>2</v>
      </c>
      <c r="E702" s="10"/>
      <c r="F702" s="30"/>
      <c r="G702" s="7">
        <f t="shared" si="197"/>
        <v>4</v>
      </c>
      <c r="H702" s="58">
        <v>43728</v>
      </c>
      <c r="I702" s="14" t="s">
        <v>25</v>
      </c>
      <c r="J702" s="8"/>
      <c r="K702" s="10">
        <v>1</v>
      </c>
      <c r="L702" s="10"/>
      <c r="M702" s="10"/>
      <c r="N702" s="30"/>
      <c r="O702" s="7">
        <f t="shared" si="199"/>
        <v>1</v>
      </c>
      <c r="P702" s="58">
        <v>43721</v>
      </c>
      <c r="Q702" s="56"/>
      <c r="R702" s="56"/>
    </row>
    <row r="703" spans="1:18" x14ac:dyDescent="0.15">
      <c r="A703" s="14" t="s">
        <v>29</v>
      </c>
      <c r="B703" s="8"/>
      <c r="C703" s="10">
        <v>1</v>
      </c>
      <c r="D703" s="10"/>
      <c r="E703" s="10"/>
      <c r="F703" s="30"/>
      <c r="G703" s="7">
        <f t="shared" si="197"/>
        <v>1</v>
      </c>
      <c r="H703" s="58">
        <v>43726</v>
      </c>
      <c r="I703" s="14" t="s">
        <v>25</v>
      </c>
      <c r="J703" s="8"/>
      <c r="K703" s="10">
        <v>1</v>
      </c>
      <c r="L703" s="10"/>
      <c r="M703" s="10">
        <v>1</v>
      </c>
      <c r="N703" s="30"/>
      <c r="O703" s="7">
        <f t="shared" si="199"/>
        <v>2</v>
      </c>
      <c r="P703" s="58">
        <v>43724</v>
      </c>
    </row>
    <row r="704" spans="1:18" x14ac:dyDescent="0.15">
      <c r="A704" s="14" t="s">
        <v>29</v>
      </c>
      <c r="B704" s="8"/>
      <c r="C704" s="10"/>
      <c r="D704" s="10">
        <v>1</v>
      </c>
      <c r="E704" s="10"/>
      <c r="F704" s="30"/>
      <c r="G704" s="7">
        <v>2</v>
      </c>
      <c r="H704" s="58">
        <v>43727</v>
      </c>
      <c r="I704" s="16" t="s">
        <v>1153</v>
      </c>
      <c r="J704" s="8"/>
      <c r="K704" s="10">
        <v>5</v>
      </c>
      <c r="L704" s="10"/>
      <c r="M704" s="10">
        <v>3</v>
      </c>
      <c r="N704" s="30"/>
      <c r="O704" s="7">
        <f t="shared" si="199"/>
        <v>8</v>
      </c>
      <c r="P704" s="58">
        <v>43726</v>
      </c>
      <c r="Q704" s="56"/>
    </row>
    <row r="705" spans="1:17" x14ac:dyDescent="0.15">
      <c r="A705" s="14" t="s">
        <v>1154</v>
      </c>
      <c r="B705" s="8"/>
      <c r="C705" s="10">
        <v>-1</v>
      </c>
      <c r="D705" s="10"/>
      <c r="E705" s="10"/>
      <c r="F705" s="30"/>
      <c r="G705" s="7">
        <f t="shared" ref="G705:G712" si="200">SUM(B705:F705)</f>
        <v>-1</v>
      </c>
      <c r="H705" s="58">
        <v>43728</v>
      </c>
      <c r="I705" s="14" t="s">
        <v>25</v>
      </c>
      <c r="J705" s="8"/>
      <c r="K705" s="10"/>
      <c r="L705" s="10"/>
      <c r="M705" s="10">
        <v>1</v>
      </c>
      <c r="N705" s="30"/>
      <c r="O705" s="7">
        <f t="shared" si="199"/>
        <v>1</v>
      </c>
      <c r="P705" s="58">
        <v>43729</v>
      </c>
      <c r="Q705" s="56"/>
    </row>
    <row r="706" spans="1:17" x14ac:dyDescent="0.15">
      <c r="A706" s="39" t="s">
        <v>1160</v>
      </c>
      <c r="B706" s="8"/>
      <c r="C706" s="10">
        <v>1</v>
      </c>
      <c r="D706" s="10"/>
      <c r="E706" s="10"/>
      <c r="F706" s="30"/>
      <c r="G706" s="7">
        <f t="shared" si="200"/>
        <v>1</v>
      </c>
      <c r="H706" s="58">
        <v>43733</v>
      </c>
      <c r="I706" s="14" t="s">
        <v>1141</v>
      </c>
      <c r="J706" s="8">
        <v>6</v>
      </c>
      <c r="K706" s="10">
        <v>6</v>
      </c>
      <c r="L706" s="10">
        <v>5</v>
      </c>
      <c r="M706" s="10">
        <v>7</v>
      </c>
      <c r="N706" s="30">
        <v>1</v>
      </c>
      <c r="O706" s="7">
        <f t="shared" si="199"/>
        <v>25</v>
      </c>
      <c r="P706" s="58">
        <v>43732</v>
      </c>
      <c r="Q706" s="56"/>
    </row>
    <row r="707" spans="1:17" x14ac:dyDescent="0.15">
      <c r="A707" s="14" t="s">
        <v>1151</v>
      </c>
      <c r="B707" s="8"/>
      <c r="C707" s="10"/>
      <c r="D707" s="10"/>
      <c r="E707" s="10">
        <v>3</v>
      </c>
      <c r="F707" s="30"/>
      <c r="G707" s="7">
        <f t="shared" si="200"/>
        <v>3</v>
      </c>
      <c r="H707" s="58">
        <v>43735</v>
      </c>
      <c r="I707" s="16"/>
      <c r="J707" s="8"/>
      <c r="K707" s="10"/>
      <c r="L707" s="10"/>
      <c r="M707" s="10"/>
      <c r="N707" s="30"/>
      <c r="O707" s="7">
        <f t="shared" ref="O707" si="201">SUM(J707:N707)</f>
        <v>0</v>
      </c>
      <c r="P707" s="58"/>
      <c r="Q707" s="56"/>
    </row>
    <row r="708" spans="1:17" x14ac:dyDescent="0.15">
      <c r="A708" s="14" t="s">
        <v>29</v>
      </c>
      <c r="B708" s="11">
        <v>1</v>
      </c>
      <c r="C708" s="12"/>
      <c r="D708" s="12"/>
      <c r="E708" s="12"/>
      <c r="F708" s="31"/>
      <c r="G708" s="7">
        <f t="shared" si="200"/>
        <v>1</v>
      </c>
      <c r="H708" s="58">
        <v>43734</v>
      </c>
      <c r="I708" s="51" t="s">
        <v>980</v>
      </c>
      <c r="J708" s="8"/>
      <c r="K708" s="10"/>
      <c r="L708" s="10"/>
      <c r="M708" s="10"/>
      <c r="N708" s="30"/>
      <c r="O708" s="7">
        <f t="shared" ref="O708:O711" si="202">SUM(J708:N708)</f>
        <v>0</v>
      </c>
      <c r="P708" s="56" t="s">
        <v>982</v>
      </c>
      <c r="Q708" s="56"/>
    </row>
    <row r="709" spans="1:17" x14ac:dyDescent="0.15">
      <c r="A709" s="170"/>
      <c r="B709" s="8"/>
      <c r="C709" s="10"/>
      <c r="D709" s="10"/>
      <c r="E709" s="10"/>
      <c r="F709" s="30"/>
      <c r="G709" s="7">
        <f t="shared" si="200"/>
        <v>0</v>
      </c>
      <c r="H709" s="58"/>
      <c r="I709" s="16" t="s">
        <v>1058</v>
      </c>
      <c r="J709" s="8"/>
      <c r="K709" s="10"/>
      <c r="L709" s="10"/>
      <c r="M709" s="10"/>
      <c r="N709" s="30"/>
      <c r="O709" s="7">
        <f t="shared" si="202"/>
        <v>0</v>
      </c>
      <c r="P709" s="56" t="s">
        <v>1059</v>
      </c>
    </row>
    <row r="710" spans="1:17" x14ac:dyDescent="0.15">
      <c r="A710" s="39"/>
      <c r="B710" s="8"/>
      <c r="C710" s="10"/>
      <c r="D710" s="10"/>
      <c r="E710" s="10"/>
      <c r="F710" s="30"/>
      <c r="G710" s="7">
        <f t="shared" si="200"/>
        <v>0</v>
      </c>
      <c r="H710" s="58"/>
      <c r="I710" s="16" t="s">
        <v>977</v>
      </c>
      <c r="J710" s="8"/>
      <c r="K710" s="10"/>
      <c r="L710" s="10"/>
      <c r="M710" s="10"/>
      <c r="N710" s="30"/>
      <c r="O710" s="7">
        <f t="shared" si="202"/>
        <v>0</v>
      </c>
      <c r="P710" s="58"/>
    </row>
    <row r="711" spans="1:17" x14ac:dyDescent="0.15">
      <c r="A711" s="14"/>
      <c r="B711" s="8"/>
      <c r="C711" s="10"/>
      <c r="D711" s="10"/>
      <c r="E711" s="10"/>
      <c r="F711" s="30"/>
      <c r="G711" s="7">
        <f t="shared" si="200"/>
        <v>0</v>
      </c>
      <c r="H711" s="58"/>
      <c r="I711" s="14" t="s">
        <v>1023</v>
      </c>
      <c r="J711" s="8">
        <v>3</v>
      </c>
      <c r="K711" s="10">
        <v>15</v>
      </c>
      <c r="L711" s="10">
        <v>10</v>
      </c>
      <c r="M711" s="10">
        <v>5</v>
      </c>
      <c r="N711" s="30">
        <v>7</v>
      </c>
      <c r="O711" s="7">
        <f t="shared" si="202"/>
        <v>40</v>
      </c>
      <c r="P711" s="56" t="s">
        <v>1065</v>
      </c>
    </row>
    <row r="712" spans="1:17" ht="14.25" thickBot="1" x14ac:dyDescent="0.2">
      <c r="A712" s="51"/>
      <c r="B712" s="11"/>
      <c r="C712" s="12"/>
      <c r="D712" s="12"/>
      <c r="E712" s="12"/>
      <c r="F712" s="31"/>
      <c r="G712" s="115">
        <f t="shared" si="200"/>
        <v>0</v>
      </c>
      <c r="H712" s="58"/>
      <c r="I712" s="14" t="s">
        <v>958</v>
      </c>
      <c r="J712" s="8"/>
      <c r="K712" s="10"/>
      <c r="L712" s="10"/>
      <c r="M712" s="10"/>
      <c r="N712" s="30"/>
      <c r="O712" s="7">
        <f t="shared" si="199"/>
        <v>0</v>
      </c>
      <c r="P712" s="56" t="s">
        <v>975</v>
      </c>
    </row>
    <row r="713" spans="1:17" ht="14.25" thickBot="1" x14ac:dyDescent="0.2">
      <c r="A713" s="3" t="s">
        <v>11</v>
      </c>
      <c r="B713" s="23">
        <f>SUM(B687:B712)</f>
        <v>6</v>
      </c>
      <c r="C713" s="4">
        <f>SUM(C687:C712)</f>
        <v>8</v>
      </c>
      <c r="D713" s="4">
        <f>SUM(D687:D712)</f>
        <v>6</v>
      </c>
      <c r="E713" s="6">
        <f>SUM(E687:E712)</f>
        <v>8</v>
      </c>
      <c r="F713" s="32">
        <f>SUM(F687:F712)</f>
        <v>1</v>
      </c>
      <c r="G713" s="5">
        <f>SUM(B713:F713)</f>
        <v>29</v>
      </c>
      <c r="I713" s="3" t="s">
        <v>11</v>
      </c>
      <c r="J713" s="23">
        <f>SUM(J687:J712)</f>
        <v>16</v>
      </c>
      <c r="K713" s="4">
        <f>SUM(K687:K712)</f>
        <v>56</v>
      </c>
      <c r="L713" s="4">
        <f>SUM(L687:L712)</f>
        <v>20</v>
      </c>
      <c r="M713" s="6">
        <f>SUM(M687:M712)</f>
        <v>44</v>
      </c>
      <c r="N713" s="32">
        <f>SUM(N687:N712)</f>
        <v>45</v>
      </c>
      <c r="O713" s="5">
        <f>SUM(J713:N713)</f>
        <v>181</v>
      </c>
    </row>
    <row r="714" spans="1:17" ht="14.25" thickBot="1" x14ac:dyDescent="0.2">
      <c r="A714" s="25" t="s">
        <v>12</v>
      </c>
      <c r="B714" s="63">
        <f>B686-B713</f>
        <v>3</v>
      </c>
      <c r="C714" s="26">
        <f t="shared" ref="C714:G714" si="203">C686-C713</f>
        <v>7</v>
      </c>
      <c r="D714" s="71">
        <f t="shared" si="203"/>
        <v>7</v>
      </c>
      <c r="E714" s="26">
        <f t="shared" si="203"/>
        <v>2</v>
      </c>
      <c r="F714" s="70">
        <f t="shared" si="203"/>
        <v>8</v>
      </c>
      <c r="G714" s="27">
        <f t="shared" si="203"/>
        <v>27</v>
      </c>
      <c r="I714" s="25" t="s">
        <v>12</v>
      </c>
      <c r="J714" s="63">
        <f>J686-J713</f>
        <v>217</v>
      </c>
      <c r="K714" s="26">
        <f t="shared" ref="K714:O714" si="204">K686-K713</f>
        <v>167</v>
      </c>
      <c r="L714" s="71">
        <f t="shared" si="204"/>
        <v>150</v>
      </c>
      <c r="M714" s="26">
        <f t="shared" si="204"/>
        <v>156</v>
      </c>
      <c r="N714" s="70">
        <f t="shared" si="204"/>
        <v>129</v>
      </c>
      <c r="O714" s="27">
        <f t="shared" si="204"/>
        <v>819</v>
      </c>
    </row>
    <row r="715" spans="1:17" ht="17.25" x14ac:dyDescent="0.2">
      <c r="A715" s="79" t="s">
        <v>391</v>
      </c>
      <c r="B715" s="80"/>
      <c r="C715" s="80"/>
      <c r="D715" s="80"/>
      <c r="E715" s="80"/>
      <c r="F715" s="80"/>
      <c r="G715" s="80"/>
      <c r="H715" s="56"/>
      <c r="I715" s="79" t="s">
        <v>391</v>
      </c>
      <c r="J715" s="80"/>
      <c r="K715" s="80"/>
      <c r="L715" s="80"/>
      <c r="M715" s="80"/>
      <c r="N715" s="80"/>
      <c r="O715" s="1"/>
    </row>
    <row r="716" spans="1:17" ht="21.75" thickBot="1" x14ac:dyDescent="0.25">
      <c r="A716" s="82" t="s">
        <v>390</v>
      </c>
      <c r="B716" s="80"/>
      <c r="C716" s="80"/>
      <c r="D716" s="80"/>
      <c r="E716" s="81" t="s">
        <v>53</v>
      </c>
      <c r="F716" s="80"/>
      <c r="G716" s="80"/>
      <c r="H716" s="56"/>
      <c r="I716" s="82" t="s">
        <v>390</v>
      </c>
      <c r="J716" s="80"/>
      <c r="K716" s="80"/>
      <c r="L716" s="80"/>
      <c r="M716" s="81" t="s">
        <v>393</v>
      </c>
      <c r="N716" s="80"/>
      <c r="O716" s="1"/>
    </row>
    <row r="717" spans="1:17" ht="14.25" thickBot="1" x14ac:dyDescent="0.2">
      <c r="A717" s="13" t="s">
        <v>0</v>
      </c>
      <c r="B717" s="228" t="s">
        <v>392</v>
      </c>
      <c r="C717" s="229"/>
      <c r="D717" s="229"/>
      <c r="E717" s="229"/>
      <c r="F717" s="230"/>
      <c r="G717" s="231"/>
      <c r="H717" s="56"/>
      <c r="I717" s="13" t="s">
        <v>0</v>
      </c>
      <c r="J717" s="228" t="s">
        <v>392</v>
      </c>
      <c r="K717" s="229"/>
      <c r="L717" s="229"/>
      <c r="M717" s="229"/>
      <c r="N717" s="230"/>
      <c r="O717" s="231"/>
    </row>
    <row r="718" spans="1:17" ht="14.25" thickBot="1" x14ac:dyDescent="0.2">
      <c r="A718" s="3" t="s">
        <v>1</v>
      </c>
      <c r="B718" s="2" t="s">
        <v>42</v>
      </c>
      <c r="C718" s="21" t="s">
        <v>43</v>
      </c>
      <c r="D718" s="21" t="s">
        <v>44</v>
      </c>
      <c r="E718" s="24" t="s">
        <v>45</v>
      </c>
      <c r="F718" s="33" t="s">
        <v>46</v>
      </c>
      <c r="G718" s="34" t="s">
        <v>2</v>
      </c>
      <c r="H718" s="56"/>
      <c r="I718" s="3" t="s">
        <v>1</v>
      </c>
      <c r="J718" s="41" t="s">
        <v>42</v>
      </c>
      <c r="K718" s="42" t="s">
        <v>43</v>
      </c>
      <c r="L718" s="42" t="s">
        <v>44</v>
      </c>
      <c r="M718" s="43" t="s">
        <v>45</v>
      </c>
      <c r="N718" s="44" t="s">
        <v>46</v>
      </c>
      <c r="O718" s="3" t="s">
        <v>2</v>
      </c>
    </row>
    <row r="719" spans="1:17" ht="14.25" thickBot="1" x14ac:dyDescent="0.2">
      <c r="A719" s="72" t="s">
        <v>456</v>
      </c>
      <c r="B719" s="73">
        <f>B714</f>
        <v>3</v>
      </c>
      <c r="C719" s="74">
        <f t="shared" ref="C719:F719" si="205">C714</f>
        <v>7</v>
      </c>
      <c r="D719" s="74">
        <f t="shared" si="205"/>
        <v>7</v>
      </c>
      <c r="E719" s="74">
        <f t="shared" si="205"/>
        <v>2</v>
      </c>
      <c r="F719" s="105">
        <f t="shared" si="205"/>
        <v>8</v>
      </c>
      <c r="G719" s="131">
        <f t="shared" ref="G719:G727" si="206">SUM(B719:F719)</f>
        <v>27</v>
      </c>
      <c r="H719" s="56"/>
      <c r="I719" s="72" t="s">
        <v>456</v>
      </c>
      <c r="J719" s="73">
        <f>J714</f>
        <v>217</v>
      </c>
      <c r="K719" s="74">
        <f t="shared" ref="K719:N719" si="207">K714</f>
        <v>167</v>
      </c>
      <c r="L719" s="74">
        <f t="shared" si="207"/>
        <v>150</v>
      </c>
      <c r="M719" s="74">
        <f t="shared" si="207"/>
        <v>156</v>
      </c>
      <c r="N719" s="105">
        <f t="shared" si="207"/>
        <v>129</v>
      </c>
      <c r="O719" s="131">
        <f t="shared" ref="O719:O727" si="208">SUM(J719:N719)</f>
        <v>819</v>
      </c>
    </row>
    <row r="720" spans="1:17" x14ac:dyDescent="0.15">
      <c r="A720" s="15" t="s">
        <v>3</v>
      </c>
      <c r="B720" s="8">
        <v>5</v>
      </c>
      <c r="C720" s="10"/>
      <c r="D720" s="10"/>
      <c r="E720" s="10">
        <v>5</v>
      </c>
      <c r="F720" s="28"/>
      <c r="G720" s="9">
        <f t="shared" si="206"/>
        <v>10</v>
      </c>
      <c r="H720" s="58">
        <v>43733</v>
      </c>
      <c r="I720" s="38" t="s">
        <v>9</v>
      </c>
      <c r="J720" s="37">
        <v>16</v>
      </c>
      <c r="K720" s="35">
        <v>7</v>
      </c>
      <c r="L720" s="35">
        <v>1</v>
      </c>
      <c r="M720" s="35">
        <v>7</v>
      </c>
      <c r="N720" s="28">
        <v>6</v>
      </c>
      <c r="O720" s="7">
        <f t="shared" si="208"/>
        <v>37</v>
      </c>
      <c r="P720" s="58">
        <v>43771</v>
      </c>
    </row>
    <row r="721" spans="1:19" x14ac:dyDescent="0.15">
      <c r="A721" s="15" t="s">
        <v>19</v>
      </c>
      <c r="B721" s="8"/>
      <c r="C721" s="10"/>
      <c r="D721" s="10"/>
      <c r="E721" s="10">
        <v>1</v>
      </c>
      <c r="F721" s="28"/>
      <c r="G721" s="9">
        <f t="shared" si="206"/>
        <v>1</v>
      </c>
      <c r="H721" s="58">
        <v>43738</v>
      </c>
      <c r="I721" s="38" t="s">
        <v>3</v>
      </c>
      <c r="J721" s="65"/>
      <c r="K721" s="66"/>
      <c r="L721" s="66"/>
      <c r="M721" s="66"/>
      <c r="N721" s="55"/>
      <c r="O721" s="165">
        <f t="shared" si="208"/>
        <v>0</v>
      </c>
      <c r="P721" s="113"/>
    </row>
    <row r="722" spans="1:19" x14ac:dyDescent="0.15">
      <c r="A722" s="15" t="s">
        <v>5</v>
      </c>
      <c r="B722" s="8"/>
      <c r="C722" s="10"/>
      <c r="D722" s="10">
        <v>5</v>
      </c>
      <c r="E722" s="10"/>
      <c r="F722" s="28">
        <v>5</v>
      </c>
      <c r="G722" s="9">
        <f t="shared" si="206"/>
        <v>10</v>
      </c>
      <c r="H722" s="58">
        <v>43746</v>
      </c>
      <c r="I722" s="38" t="s">
        <v>4</v>
      </c>
      <c r="J722" s="8"/>
      <c r="K722" s="10"/>
      <c r="L722" s="10"/>
      <c r="M722" s="10"/>
      <c r="N722" s="30"/>
      <c r="O722" s="7">
        <f t="shared" si="208"/>
        <v>0</v>
      </c>
      <c r="P722" s="56"/>
    </row>
    <row r="723" spans="1:19" x14ac:dyDescent="0.15">
      <c r="A723" s="15" t="s">
        <v>17</v>
      </c>
      <c r="B723" s="8"/>
      <c r="C723" s="10"/>
      <c r="D723" s="10">
        <v>1</v>
      </c>
      <c r="E723" s="10"/>
      <c r="F723" s="28"/>
      <c r="G723" s="9">
        <f t="shared" si="206"/>
        <v>1</v>
      </c>
      <c r="H723" s="58">
        <v>43755</v>
      </c>
      <c r="I723" s="38" t="s">
        <v>5</v>
      </c>
      <c r="J723" s="8"/>
      <c r="K723" s="10"/>
      <c r="L723" s="10"/>
      <c r="M723" s="10"/>
      <c r="N723" s="28"/>
      <c r="O723" s="9">
        <f t="shared" si="208"/>
        <v>0</v>
      </c>
    </row>
    <row r="724" spans="1:19" x14ac:dyDescent="0.15">
      <c r="A724" s="15" t="s">
        <v>383</v>
      </c>
      <c r="B724" s="8">
        <v>2</v>
      </c>
      <c r="C724" s="10">
        <v>2</v>
      </c>
      <c r="D724" s="10"/>
      <c r="E724" s="10">
        <v>3</v>
      </c>
      <c r="F724" s="30">
        <v>3</v>
      </c>
      <c r="G724" s="7">
        <f t="shared" si="206"/>
        <v>10</v>
      </c>
      <c r="H724" s="58">
        <v>43757</v>
      </c>
      <c r="I724" s="38" t="s">
        <v>6</v>
      </c>
      <c r="J724" s="8"/>
      <c r="K724" s="10"/>
      <c r="L724" s="10"/>
      <c r="M724" s="10"/>
      <c r="N724" s="30"/>
      <c r="O724" s="7">
        <f t="shared" si="208"/>
        <v>0</v>
      </c>
    </row>
    <row r="725" spans="1:19" x14ac:dyDescent="0.15">
      <c r="A725" s="15" t="s">
        <v>19</v>
      </c>
      <c r="B725" s="8"/>
      <c r="C725" s="10"/>
      <c r="D725" s="10">
        <v>1</v>
      </c>
      <c r="E725" s="10"/>
      <c r="F725" s="30">
        <v>1</v>
      </c>
      <c r="G725" s="7">
        <f t="shared" si="206"/>
        <v>2</v>
      </c>
      <c r="H725" s="58">
        <v>43757</v>
      </c>
      <c r="I725" s="38" t="s">
        <v>84</v>
      </c>
      <c r="J725" s="8"/>
      <c r="K725" s="10"/>
      <c r="L725" s="10"/>
      <c r="M725" s="10"/>
      <c r="N725" s="30"/>
      <c r="O725" s="7">
        <f t="shared" si="208"/>
        <v>0</v>
      </c>
    </row>
    <row r="726" spans="1:19" x14ac:dyDescent="0.15">
      <c r="A726" s="15" t="s">
        <v>993</v>
      </c>
      <c r="B726" s="11"/>
      <c r="C726" s="100"/>
      <c r="D726" s="100">
        <v>1</v>
      </c>
      <c r="E726" s="100"/>
      <c r="F726" s="101"/>
      <c r="G726" s="102">
        <f t="shared" si="206"/>
        <v>1</v>
      </c>
      <c r="H726" s="58">
        <v>43766</v>
      </c>
      <c r="I726" s="38" t="s">
        <v>85</v>
      </c>
      <c r="J726" s="8"/>
      <c r="K726" s="10"/>
      <c r="L726" s="10"/>
      <c r="M726" s="10"/>
      <c r="N726" s="30"/>
      <c r="O726" s="7">
        <f t="shared" si="208"/>
        <v>0</v>
      </c>
      <c r="P726" s="56"/>
      <c r="Q726" s="56"/>
      <c r="R726" s="56"/>
      <c r="S726" s="56"/>
    </row>
    <row r="727" spans="1:19" ht="14.25" thickBot="1" x14ac:dyDescent="0.2">
      <c r="A727" s="15" t="s">
        <v>111</v>
      </c>
      <c r="B727" s="11">
        <v>16</v>
      </c>
      <c r="C727" s="100">
        <v>6</v>
      </c>
      <c r="D727" s="100">
        <v>1</v>
      </c>
      <c r="E727" s="100">
        <v>3</v>
      </c>
      <c r="F727" s="101">
        <v>2</v>
      </c>
      <c r="G727" s="102">
        <f t="shared" si="206"/>
        <v>28</v>
      </c>
      <c r="H727" s="58">
        <v>43767</v>
      </c>
      <c r="I727" s="38" t="s">
        <v>86</v>
      </c>
      <c r="J727" s="11"/>
      <c r="K727" s="100"/>
      <c r="L727" s="100"/>
      <c r="M727" s="100"/>
      <c r="N727" s="101"/>
      <c r="O727" s="102">
        <f t="shared" si="208"/>
        <v>0</v>
      </c>
      <c r="P727" s="56"/>
      <c r="Q727" s="56"/>
      <c r="R727" s="56"/>
      <c r="S727" s="56"/>
    </row>
    <row r="728" spans="1:19" ht="14.25" thickBot="1" x14ac:dyDescent="0.2">
      <c r="A728" s="72" t="s">
        <v>7</v>
      </c>
      <c r="B728" s="73">
        <f>SUM(B719:B727)</f>
        <v>26</v>
      </c>
      <c r="C728" s="74">
        <f t="shared" ref="C728:G728" si="209">SUM(C719:C727)</f>
        <v>15</v>
      </c>
      <c r="D728" s="74">
        <f t="shared" si="209"/>
        <v>16</v>
      </c>
      <c r="E728" s="74">
        <f t="shared" si="209"/>
        <v>14</v>
      </c>
      <c r="F728" s="105">
        <f t="shared" si="209"/>
        <v>19</v>
      </c>
      <c r="G728" s="76">
        <f t="shared" si="209"/>
        <v>90</v>
      </c>
      <c r="H728" s="56"/>
      <c r="I728" s="72" t="s">
        <v>7</v>
      </c>
      <c r="J728" s="73">
        <f>SUM(J719:J727)</f>
        <v>233</v>
      </c>
      <c r="K728" s="74">
        <f t="shared" ref="K728:O728" si="210">SUM(K719:K727)</f>
        <v>174</v>
      </c>
      <c r="L728" s="74">
        <f t="shared" si="210"/>
        <v>151</v>
      </c>
      <c r="M728" s="74">
        <f t="shared" si="210"/>
        <v>163</v>
      </c>
      <c r="N728" s="105">
        <f t="shared" si="210"/>
        <v>135</v>
      </c>
      <c r="O728" s="76">
        <f t="shared" si="210"/>
        <v>856</v>
      </c>
    </row>
    <row r="729" spans="1:19" x14ac:dyDescent="0.15">
      <c r="A729" s="14" t="s">
        <v>10</v>
      </c>
      <c r="B729" s="11"/>
      <c r="C729" s="12"/>
      <c r="D729" s="12"/>
      <c r="E729" s="12"/>
      <c r="F729" s="31">
        <v>1</v>
      </c>
      <c r="G729" s="18">
        <v>1</v>
      </c>
      <c r="H729" s="58">
        <v>43738</v>
      </c>
      <c r="I729" s="14" t="s">
        <v>25</v>
      </c>
      <c r="J729" s="8"/>
      <c r="K729" s="10">
        <v>1</v>
      </c>
      <c r="L729" s="10"/>
      <c r="M729" s="10"/>
      <c r="N729" s="30"/>
      <c r="O729" s="7">
        <f t="shared" ref="O729:O747" si="211">SUM(J729:N729)</f>
        <v>1</v>
      </c>
      <c r="P729" s="58">
        <v>43732</v>
      </c>
      <c r="Q729" s="56"/>
      <c r="R729" s="56"/>
      <c r="S729" s="56"/>
    </row>
    <row r="730" spans="1:19" x14ac:dyDescent="0.15">
      <c r="A730" s="39" t="s">
        <v>1169</v>
      </c>
      <c r="B730" s="8"/>
      <c r="C730" s="10"/>
      <c r="D730" s="10">
        <v>1</v>
      </c>
      <c r="E730" s="10"/>
      <c r="F730" s="30"/>
      <c r="G730" s="7">
        <f t="shared" ref="G730:G745" si="212">SUM(B730:F730)</f>
        <v>1</v>
      </c>
      <c r="H730" s="58">
        <v>43735</v>
      </c>
      <c r="I730" s="14" t="s">
        <v>25</v>
      </c>
      <c r="J730" s="8"/>
      <c r="K730" s="10">
        <v>5</v>
      </c>
      <c r="L730" s="10"/>
      <c r="M730" s="10"/>
      <c r="N730" s="30"/>
      <c r="O730" s="7">
        <f t="shared" si="211"/>
        <v>5</v>
      </c>
      <c r="P730" s="58">
        <v>43733</v>
      </c>
    </row>
    <row r="731" spans="1:19" x14ac:dyDescent="0.15">
      <c r="A731" s="16" t="s">
        <v>1172</v>
      </c>
      <c r="B731" s="8">
        <v>2</v>
      </c>
      <c r="C731" s="10"/>
      <c r="D731" s="10"/>
      <c r="E731" s="10"/>
      <c r="F731" s="30"/>
      <c r="G731" s="7">
        <f t="shared" si="212"/>
        <v>2</v>
      </c>
      <c r="H731" s="58">
        <v>43739</v>
      </c>
      <c r="I731" s="51" t="s">
        <v>1165</v>
      </c>
      <c r="J731" s="8">
        <v>5</v>
      </c>
      <c r="K731" s="10"/>
      <c r="L731" s="10"/>
      <c r="M731" s="10">
        <v>5</v>
      </c>
      <c r="N731" s="30"/>
      <c r="O731" s="7">
        <f t="shared" si="211"/>
        <v>10</v>
      </c>
      <c r="P731" s="58">
        <v>43733</v>
      </c>
      <c r="Q731" s="58"/>
    </row>
    <row r="732" spans="1:19" x14ac:dyDescent="0.15">
      <c r="A732" s="39" t="s">
        <v>29</v>
      </c>
      <c r="B732" s="8"/>
      <c r="C732" s="10">
        <v>1</v>
      </c>
      <c r="D732" s="10">
        <v>1</v>
      </c>
      <c r="E732" s="10"/>
      <c r="F732" s="30"/>
      <c r="G732" s="7">
        <f t="shared" si="212"/>
        <v>2</v>
      </c>
      <c r="H732" s="58">
        <v>43740</v>
      </c>
      <c r="I732" s="14" t="s">
        <v>22</v>
      </c>
      <c r="J732" s="8"/>
      <c r="K732" s="10"/>
      <c r="L732" s="10">
        <v>10</v>
      </c>
      <c r="M732" s="10"/>
      <c r="N732" s="30"/>
      <c r="O732" s="7">
        <f t="shared" si="211"/>
        <v>10</v>
      </c>
      <c r="P732" s="58">
        <v>43739</v>
      </c>
      <c r="Q732" s="56"/>
      <c r="R732" s="56"/>
      <c r="S732" s="56"/>
    </row>
    <row r="733" spans="1:19" x14ac:dyDescent="0.15">
      <c r="A733" s="14" t="s">
        <v>10</v>
      </c>
      <c r="B733" s="37"/>
      <c r="C733" s="35"/>
      <c r="D733" s="35">
        <v>1</v>
      </c>
      <c r="E733" s="35"/>
      <c r="F733" s="28">
        <v>1</v>
      </c>
      <c r="G733" s="7">
        <f t="shared" si="212"/>
        <v>2</v>
      </c>
      <c r="H733" s="58">
        <v>43745</v>
      </c>
      <c r="I733" s="14" t="s">
        <v>25</v>
      </c>
      <c r="J733" s="8">
        <v>1</v>
      </c>
      <c r="K733" s="10"/>
      <c r="L733" s="10"/>
      <c r="M733" s="10"/>
      <c r="N733" s="30"/>
      <c r="O733" s="7">
        <f t="shared" si="211"/>
        <v>1</v>
      </c>
      <c r="P733" s="58">
        <v>43735</v>
      </c>
      <c r="Q733" s="56"/>
      <c r="R733" s="56"/>
      <c r="S733" s="56"/>
    </row>
    <row r="734" spans="1:19" x14ac:dyDescent="0.15">
      <c r="A734" s="14" t="s">
        <v>1161</v>
      </c>
      <c r="B734" s="8"/>
      <c r="C734" s="10"/>
      <c r="D734" s="10"/>
      <c r="E734" s="10"/>
      <c r="F734" s="30">
        <v>2</v>
      </c>
      <c r="G734" s="7">
        <f t="shared" si="212"/>
        <v>2</v>
      </c>
      <c r="H734" s="58">
        <v>43748</v>
      </c>
      <c r="I734" s="14" t="s">
        <v>22</v>
      </c>
      <c r="J734" s="8">
        <v>10</v>
      </c>
      <c r="K734" s="10"/>
      <c r="L734" s="10"/>
      <c r="M734" s="10"/>
      <c r="N734" s="30">
        <v>10</v>
      </c>
      <c r="O734" s="7">
        <f t="shared" si="211"/>
        <v>20</v>
      </c>
      <c r="P734" s="58">
        <v>43742</v>
      </c>
      <c r="Q734" s="56"/>
      <c r="R734" s="56"/>
      <c r="S734" s="56"/>
    </row>
    <row r="735" spans="1:19" x14ac:dyDescent="0.15">
      <c r="A735" s="14" t="s">
        <v>10</v>
      </c>
      <c r="B735" s="8">
        <v>1</v>
      </c>
      <c r="C735" s="10"/>
      <c r="D735" s="10"/>
      <c r="E735" s="10">
        <v>1</v>
      </c>
      <c r="F735" s="30"/>
      <c r="G735" s="7">
        <f t="shared" si="212"/>
        <v>2</v>
      </c>
      <c r="H735" s="58">
        <v>43754</v>
      </c>
      <c r="I735" s="14" t="s">
        <v>25</v>
      </c>
      <c r="J735" s="8"/>
      <c r="K735" s="10"/>
      <c r="L735" s="10">
        <v>1</v>
      </c>
      <c r="M735" s="10"/>
      <c r="N735" s="30">
        <v>4</v>
      </c>
      <c r="O735" s="7">
        <f t="shared" si="211"/>
        <v>5</v>
      </c>
      <c r="P735" s="58">
        <v>43739</v>
      </c>
      <c r="Q735" s="56"/>
      <c r="R735" s="56"/>
      <c r="S735" s="56"/>
    </row>
    <row r="736" spans="1:19" x14ac:dyDescent="0.15">
      <c r="A736" s="14" t="s">
        <v>10</v>
      </c>
      <c r="B736" s="8"/>
      <c r="C736" s="10"/>
      <c r="D736" s="10"/>
      <c r="E736" s="10"/>
      <c r="F736" s="30">
        <v>1</v>
      </c>
      <c r="G736" s="7">
        <f t="shared" si="212"/>
        <v>1</v>
      </c>
      <c r="H736" s="58">
        <v>43762</v>
      </c>
      <c r="I736" s="14" t="s">
        <v>25</v>
      </c>
      <c r="J736" s="8"/>
      <c r="K736" s="10"/>
      <c r="L736" s="10">
        <v>2</v>
      </c>
      <c r="M736" s="10"/>
      <c r="N736" s="30"/>
      <c r="O736" s="7">
        <f t="shared" si="211"/>
        <v>2</v>
      </c>
      <c r="P736" s="58">
        <v>43740</v>
      </c>
    </row>
    <row r="737" spans="1:17" x14ac:dyDescent="0.15">
      <c r="A737" s="39" t="s">
        <v>29</v>
      </c>
      <c r="B737" s="8"/>
      <c r="C737" s="10"/>
      <c r="D737" s="10"/>
      <c r="E737" s="10">
        <v>1</v>
      </c>
      <c r="F737" s="30"/>
      <c r="G737" s="7">
        <f t="shared" si="212"/>
        <v>1</v>
      </c>
      <c r="H737" s="58">
        <v>43762</v>
      </c>
      <c r="I737" s="51" t="s">
        <v>24</v>
      </c>
      <c r="J737" s="8"/>
      <c r="K737" s="10"/>
      <c r="L737" s="10">
        <v>5</v>
      </c>
      <c r="M737" s="10"/>
      <c r="N737" s="30">
        <v>5</v>
      </c>
      <c r="O737" s="7">
        <f t="shared" si="211"/>
        <v>10</v>
      </c>
      <c r="P737" s="58">
        <v>43746</v>
      </c>
    </row>
    <row r="738" spans="1:17" x14ac:dyDescent="0.15">
      <c r="A738" s="39" t="s">
        <v>29</v>
      </c>
      <c r="B738" s="11"/>
      <c r="C738" s="12"/>
      <c r="D738" s="12">
        <v>1</v>
      </c>
      <c r="E738" s="12"/>
      <c r="F738" s="31"/>
      <c r="G738" s="7">
        <f t="shared" si="212"/>
        <v>1</v>
      </c>
      <c r="H738" s="58">
        <v>43766</v>
      </c>
      <c r="I738" s="14" t="s">
        <v>25</v>
      </c>
      <c r="J738" s="11">
        <v>1</v>
      </c>
      <c r="K738" s="12"/>
      <c r="L738" s="12"/>
      <c r="M738" s="12">
        <v>2</v>
      </c>
      <c r="N738" s="31"/>
      <c r="O738" s="7">
        <f t="shared" si="211"/>
        <v>3</v>
      </c>
      <c r="P738" s="58">
        <v>43748</v>
      </c>
    </row>
    <row r="739" spans="1:17" x14ac:dyDescent="0.15">
      <c r="A739" s="39" t="s">
        <v>29</v>
      </c>
      <c r="B739" s="8"/>
      <c r="C739" s="10">
        <v>1</v>
      </c>
      <c r="D739" s="10"/>
      <c r="E739" s="10"/>
      <c r="F739" s="30"/>
      <c r="G739" s="7">
        <f t="shared" si="212"/>
        <v>1</v>
      </c>
      <c r="H739" s="58">
        <v>43767</v>
      </c>
      <c r="I739" s="14" t="s">
        <v>1141</v>
      </c>
      <c r="J739" s="8"/>
      <c r="K739" s="10">
        <v>6</v>
      </c>
      <c r="L739" s="10">
        <v>5</v>
      </c>
      <c r="M739" s="10">
        <v>3</v>
      </c>
      <c r="N739" s="30">
        <v>2</v>
      </c>
      <c r="O739" s="7">
        <f t="shared" si="211"/>
        <v>16</v>
      </c>
      <c r="P739" s="58">
        <v>43759</v>
      </c>
    </row>
    <row r="740" spans="1:17" x14ac:dyDescent="0.15">
      <c r="A740" s="15" t="s">
        <v>17</v>
      </c>
      <c r="B740" s="8"/>
      <c r="C740" s="10">
        <v>-1</v>
      </c>
      <c r="D740" s="10"/>
      <c r="E740" s="10"/>
      <c r="F740" s="30"/>
      <c r="G740" s="7">
        <f t="shared" si="212"/>
        <v>-1</v>
      </c>
      <c r="H740" s="58">
        <v>43768</v>
      </c>
      <c r="I740" s="14" t="s">
        <v>25</v>
      </c>
      <c r="J740" s="8"/>
      <c r="K740" s="10"/>
      <c r="L740" s="10">
        <v>1</v>
      </c>
      <c r="M740" s="10"/>
      <c r="N740" s="30"/>
      <c r="O740" s="7">
        <f t="shared" si="211"/>
        <v>1</v>
      </c>
      <c r="P740" s="58">
        <v>43759</v>
      </c>
    </row>
    <row r="741" spans="1:17" x14ac:dyDescent="0.15">
      <c r="A741" s="14" t="s">
        <v>1210</v>
      </c>
      <c r="B741" s="8"/>
      <c r="C741" s="10"/>
      <c r="D741" s="10">
        <v>1</v>
      </c>
      <c r="E741" s="10"/>
      <c r="F741" s="30"/>
      <c r="G741" s="7">
        <f t="shared" si="212"/>
        <v>1</v>
      </c>
      <c r="H741" s="58">
        <v>43771</v>
      </c>
      <c r="I741" s="14" t="s">
        <v>1178</v>
      </c>
      <c r="J741" s="8"/>
      <c r="K741" s="10"/>
      <c r="L741" s="10"/>
      <c r="M741" s="10">
        <v>1</v>
      </c>
      <c r="N741" s="30"/>
      <c r="O741" s="7">
        <f t="shared" si="211"/>
        <v>1</v>
      </c>
      <c r="P741" s="58">
        <v>43763</v>
      </c>
    </row>
    <row r="742" spans="1:17" x14ac:dyDescent="0.15">
      <c r="A742" s="39" t="s">
        <v>1213</v>
      </c>
      <c r="B742" s="8">
        <v>16</v>
      </c>
      <c r="C742" s="10">
        <v>7</v>
      </c>
      <c r="D742" s="10">
        <v>1</v>
      </c>
      <c r="E742" s="10">
        <v>7</v>
      </c>
      <c r="F742" s="30">
        <v>6</v>
      </c>
      <c r="G742" s="7">
        <f t="shared" si="212"/>
        <v>37</v>
      </c>
      <c r="H742" s="58">
        <v>43771</v>
      </c>
      <c r="I742" s="14" t="s">
        <v>25</v>
      </c>
      <c r="J742" s="8"/>
      <c r="K742" s="10"/>
      <c r="L742" s="10"/>
      <c r="M742" s="10"/>
      <c r="N742" s="30">
        <v>1</v>
      </c>
      <c r="O742" s="7">
        <f t="shared" si="211"/>
        <v>1</v>
      </c>
      <c r="P742" s="58">
        <v>43763</v>
      </c>
    </row>
    <row r="743" spans="1:17" x14ac:dyDescent="0.15">
      <c r="A743" s="14"/>
      <c r="B743" s="8"/>
      <c r="C743" s="10"/>
      <c r="D743" s="10"/>
      <c r="E743" s="10"/>
      <c r="F743" s="30"/>
      <c r="G743" s="7">
        <f t="shared" si="212"/>
        <v>0</v>
      </c>
      <c r="H743" s="58"/>
      <c r="I743" s="14" t="s">
        <v>25</v>
      </c>
      <c r="J743" s="8"/>
      <c r="K743" s="10"/>
      <c r="L743" s="10">
        <v>1</v>
      </c>
      <c r="M743" s="10"/>
      <c r="N743" s="30"/>
      <c r="O743" s="7">
        <f t="shared" si="211"/>
        <v>1</v>
      </c>
      <c r="P743" s="58">
        <v>43764</v>
      </c>
    </row>
    <row r="744" spans="1:17" x14ac:dyDescent="0.15">
      <c r="A744" s="14"/>
      <c r="B744" s="8"/>
      <c r="C744" s="10"/>
      <c r="D744" s="10"/>
      <c r="E744" s="10"/>
      <c r="F744" s="30"/>
      <c r="G744" s="7">
        <f t="shared" si="212"/>
        <v>0</v>
      </c>
      <c r="H744" s="58"/>
      <c r="I744" s="14" t="s">
        <v>25</v>
      </c>
      <c r="J744" s="8"/>
      <c r="K744" s="10"/>
      <c r="L744" s="10">
        <v>1</v>
      </c>
      <c r="M744" s="10"/>
      <c r="N744" s="30"/>
      <c r="O744" s="7">
        <f t="shared" si="211"/>
        <v>1</v>
      </c>
      <c r="P744" s="58">
        <v>43767</v>
      </c>
    </row>
    <row r="745" spans="1:17" x14ac:dyDescent="0.15">
      <c r="A745" s="14"/>
      <c r="B745" s="8"/>
      <c r="C745" s="10"/>
      <c r="D745" s="10"/>
      <c r="E745" s="10"/>
      <c r="F745" s="30"/>
      <c r="G745" s="7">
        <f t="shared" si="212"/>
        <v>0</v>
      </c>
      <c r="H745" s="58"/>
      <c r="I745" s="14" t="s">
        <v>25</v>
      </c>
      <c r="J745" s="8"/>
      <c r="K745" s="10"/>
      <c r="L745" s="10">
        <v>1</v>
      </c>
      <c r="M745" s="10"/>
      <c r="N745" s="30"/>
      <c r="O745" s="7">
        <f t="shared" si="211"/>
        <v>1</v>
      </c>
      <c r="P745" s="58">
        <v>43768</v>
      </c>
    </row>
    <row r="746" spans="1:17" x14ac:dyDescent="0.15">
      <c r="A746" s="14"/>
      <c r="B746" s="8"/>
      <c r="C746" s="10"/>
      <c r="D746" s="10"/>
      <c r="E746" s="10"/>
      <c r="F746" s="30"/>
      <c r="G746" s="7">
        <v>2</v>
      </c>
      <c r="H746" s="58"/>
      <c r="I746" s="14" t="s">
        <v>22</v>
      </c>
      <c r="J746" s="11"/>
      <c r="K746" s="12"/>
      <c r="L746" s="12"/>
      <c r="M746" s="12">
        <v>10</v>
      </c>
      <c r="N746" s="31"/>
      <c r="O746" s="7">
        <f t="shared" si="211"/>
        <v>10</v>
      </c>
      <c r="P746" s="58">
        <v>43774</v>
      </c>
    </row>
    <row r="747" spans="1:17" x14ac:dyDescent="0.15">
      <c r="A747" s="14"/>
      <c r="B747" s="8"/>
      <c r="C747" s="10"/>
      <c r="D747" s="10"/>
      <c r="E747" s="10"/>
      <c r="F747" s="30"/>
      <c r="G747" s="7">
        <f t="shared" ref="G747:G754" si="213">SUM(B747:F747)</f>
        <v>0</v>
      </c>
      <c r="H747" s="58"/>
      <c r="I747" s="14" t="s">
        <v>1141</v>
      </c>
      <c r="J747" s="8">
        <v>1</v>
      </c>
      <c r="K747" s="10">
        <v>5</v>
      </c>
      <c r="L747" s="10">
        <v>3</v>
      </c>
      <c r="M747" s="10">
        <v>5</v>
      </c>
      <c r="N747" s="30">
        <v>2</v>
      </c>
      <c r="O747" s="7">
        <f t="shared" si="211"/>
        <v>16</v>
      </c>
      <c r="P747" s="58">
        <v>43774</v>
      </c>
    </row>
    <row r="748" spans="1:17" x14ac:dyDescent="0.15">
      <c r="A748" s="39"/>
      <c r="B748" s="8"/>
      <c r="C748" s="10"/>
      <c r="D748" s="10"/>
      <c r="E748" s="10"/>
      <c r="F748" s="30"/>
      <c r="G748" s="7">
        <f t="shared" si="213"/>
        <v>0</v>
      </c>
      <c r="H748" s="58"/>
      <c r="I748" s="14"/>
      <c r="J748" s="8"/>
      <c r="K748" s="10"/>
      <c r="L748" s="10"/>
      <c r="M748" s="10"/>
      <c r="N748" s="30"/>
      <c r="O748" s="7">
        <f>SUM(J748:N748)</f>
        <v>0</v>
      </c>
      <c r="P748" s="56"/>
    </row>
    <row r="749" spans="1:17" x14ac:dyDescent="0.15">
      <c r="A749" s="20"/>
      <c r="B749" s="8"/>
      <c r="C749" s="10"/>
      <c r="D749" s="10"/>
      <c r="E749" s="10"/>
      <c r="F749" s="30"/>
      <c r="G749" s="7">
        <f t="shared" si="213"/>
        <v>0</v>
      </c>
      <c r="H749" s="58"/>
      <c r="I749" s="16"/>
      <c r="J749" s="11"/>
      <c r="K749" s="12"/>
      <c r="L749" s="12"/>
      <c r="M749" s="12"/>
      <c r="N749" s="31"/>
      <c r="O749" s="7">
        <f t="shared" ref="O749:O753" si="214">SUM(J749:N749)</f>
        <v>0</v>
      </c>
      <c r="P749" s="56"/>
    </row>
    <row r="750" spans="1:17" x14ac:dyDescent="0.15">
      <c r="A750" s="39"/>
      <c r="B750" s="11"/>
      <c r="C750" s="12"/>
      <c r="D750" s="12"/>
      <c r="E750" s="12"/>
      <c r="F750" s="31"/>
      <c r="G750" s="7">
        <f t="shared" si="213"/>
        <v>0</v>
      </c>
      <c r="H750" s="58"/>
      <c r="I750" s="16" t="s">
        <v>1114</v>
      </c>
      <c r="J750" s="11"/>
      <c r="K750" s="12"/>
      <c r="L750" s="12"/>
      <c r="M750" s="12"/>
      <c r="N750" s="31"/>
      <c r="O750" s="7">
        <f t="shared" si="214"/>
        <v>0</v>
      </c>
      <c r="P750" s="56" t="s">
        <v>1116</v>
      </c>
    </row>
    <row r="751" spans="1:17" x14ac:dyDescent="0.15">
      <c r="A751" s="170"/>
      <c r="B751" s="8"/>
      <c r="C751" s="10"/>
      <c r="D751" s="10"/>
      <c r="E751" s="10"/>
      <c r="F751" s="30"/>
      <c r="G751" s="7">
        <f t="shared" si="213"/>
        <v>0</v>
      </c>
      <c r="H751" s="58"/>
      <c r="I751" s="16" t="s">
        <v>1079</v>
      </c>
      <c r="J751" s="11"/>
      <c r="K751" s="12"/>
      <c r="L751" s="12"/>
      <c r="M751" s="12"/>
      <c r="N751" s="31"/>
      <c r="O751" s="7">
        <f t="shared" si="214"/>
        <v>0</v>
      </c>
      <c r="P751" s="58" t="s">
        <v>1080</v>
      </c>
    </row>
    <row r="752" spans="1:17" x14ac:dyDescent="0.15">
      <c r="A752" s="39"/>
      <c r="B752" s="8"/>
      <c r="C752" s="10"/>
      <c r="D752" s="10"/>
      <c r="E752" s="10"/>
      <c r="F752" s="30"/>
      <c r="G752" s="7">
        <f t="shared" si="213"/>
        <v>0</v>
      </c>
      <c r="H752" s="58"/>
      <c r="I752" s="39" t="s">
        <v>1085</v>
      </c>
      <c r="J752" s="8"/>
      <c r="K752" s="10"/>
      <c r="L752" s="10"/>
      <c r="M752" s="10"/>
      <c r="N752" s="30"/>
      <c r="O752" s="7">
        <f t="shared" si="214"/>
        <v>0</v>
      </c>
      <c r="P752" s="56" t="s">
        <v>1032</v>
      </c>
      <c r="Q752" s="56"/>
    </row>
    <row r="753" spans="1:18" x14ac:dyDescent="0.15">
      <c r="A753" s="14"/>
      <c r="B753" s="8"/>
      <c r="C753" s="10"/>
      <c r="D753" s="10"/>
      <c r="E753" s="10"/>
      <c r="F753" s="30"/>
      <c r="G753" s="7">
        <f t="shared" si="213"/>
        <v>0</v>
      </c>
      <c r="H753" s="58"/>
      <c r="I753" s="39" t="s">
        <v>1031</v>
      </c>
      <c r="J753" s="8"/>
      <c r="K753" s="10"/>
      <c r="L753" s="10"/>
      <c r="M753" s="10"/>
      <c r="N753" s="30"/>
      <c r="O753" s="7">
        <f t="shared" si="214"/>
        <v>0</v>
      </c>
      <c r="P753" s="56" t="s">
        <v>1032</v>
      </c>
      <c r="Q753" s="56"/>
    </row>
    <row r="754" spans="1:18" ht="14.25" thickBot="1" x14ac:dyDescent="0.2">
      <c r="A754" s="51"/>
      <c r="B754" s="11"/>
      <c r="C754" s="12"/>
      <c r="D754" s="12"/>
      <c r="E754" s="12"/>
      <c r="F754" s="31"/>
      <c r="G754" s="115">
        <f t="shared" si="213"/>
        <v>0</v>
      </c>
      <c r="H754" s="58"/>
      <c r="I754" s="16" t="s">
        <v>1120</v>
      </c>
      <c r="J754" s="11"/>
      <c r="K754" s="12"/>
      <c r="L754" s="12"/>
      <c r="M754" s="12"/>
      <c r="N754" s="31"/>
      <c r="O754" s="7">
        <f t="shared" ref="O754" si="215">SUM(J754:N754)</f>
        <v>0</v>
      </c>
      <c r="P754" s="56" t="s">
        <v>1119</v>
      </c>
      <c r="Q754" s="56"/>
    </row>
    <row r="755" spans="1:18" ht="14.25" thickBot="1" x14ac:dyDescent="0.2">
      <c r="A755" s="3" t="s">
        <v>11</v>
      </c>
      <c r="B755" s="23">
        <f>SUM(B729:B754)</f>
        <v>19</v>
      </c>
      <c r="C755" s="4">
        <f>SUM(C729:C754)</f>
        <v>8</v>
      </c>
      <c r="D755" s="4">
        <f>SUM(D729:D754)</f>
        <v>6</v>
      </c>
      <c r="E755" s="6">
        <f>SUM(E729:E754)</f>
        <v>9</v>
      </c>
      <c r="F755" s="32">
        <f>SUM(F729:F754)</f>
        <v>11</v>
      </c>
      <c r="G755" s="5">
        <f>SUM(B755:F755)</f>
        <v>53</v>
      </c>
      <c r="I755" s="3" t="s">
        <v>11</v>
      </c>
      <c r="J755" s="23">
        <f>SUM(J729:J754)</f>
        <v>18</v>
      </c>
      <c r="K755" s="4">
        <f>SUM(K729:K754)</f>
        <v>17</v>
      </c>
      <c r="L755" s="4">
        <f>SUM(L729:L754)</f>
        <v>30</v>
      </c>
      <c r="M755" s="6">
        <f>SUM(M729:M754)</f>
        <v>26</v>
      </c>
      <c r="N755" s="32">
        <f>SUM(N729:N754)</f>
        <v>24</v>
      </c>
      <c r="O755" s="5">
        <f>SUM(J755:N755)</f>
        <v>115</v>
      </c>
    </row>
    <row r="756" spans="1:18" ht="14.25" thickBot="1" x14ac:dyDescent="0.2">
      <c r="A756" s="25" t="s">
        <v>12</v>
      </c>
      <c r="B756" s="63">
        <f>B728-B755</f>
        <v>7</v>
      </c>
      <c r="C756" s="26">
        <f t="shared" ref="C756:G756" si="216">C728-C755</f>
        <v>7</v>
      </c>
      <c r="D756" s="71">
        <f t="shared" si="216"/>
        <v>10</v>
      </c>
      <c r="E756" s="26">
        <f t="shared" si="216"/>
        <v>5</v>
      </c>
      <c r="F756" s="70">
        <f t="shared" si="216"/>
        <v>8</v>
      </c>
      <c r="G756" s="27">
        <f t="shared" si="216"/>
        <v>37</v>
      </c>
      <c r="I756" s="25" t="s">
        <v>12</v>
      </c>
      <c r="J756" s="63">
        <f>J728-J755</f>
        <v>215</v>
      </c>
      <c r="K756" s="26">
        <f t="shared" ref="K756:O756" si="217">K728-K755</f>
        <v>157</v>
      </c>
      <c r="L756" s="71">
        <f t="shared" si="217"/>
        <v>121</v>
      </c>
      <c r="M756" s="26">
        <f t="shared" si="217"/>
        <v>137</v>
      </c>
      <c r="N756" s="70">
        <f t="shared" si="217"/>
        <v>111</v>
      </c>
      <c r="O756" s="27">
        <f t="shared" si="217"/>
        <v>741</v>
      </c>
    </row>
    <row r="757" spans="1:18" ht="17.25" x14ac:dyDescent="0.2">
      <c r="A757" s="79" t="s">
        <v>391</v>
      </c>
      <c r="B757" s="80"/>
      <c r="C757" s="80"/>
      <c r="D757" s="80"/>
      <c r="E757" s="80"/>
      <c r="F757" s="80"/>
      <c r="G757" s="80"/>
      <c r="H757" s="56"/>
      <c r="I757" s="79" t="s">
        <v>391</v>
      </c>
      <c r="J757" s="80"/>
      <c r="K757" s="80"/>
      <c r="L757" s="80"/>
      <c r="M757" s="80"/>
      <c r="N757" s="80"/>
      <c r="O757" s="1"/>
    </row>
    <row r="758" spans="1:18" ht="21.75" thickBot="1" x14ac:dyDescent="0.25">
      <c r="A758" s="82" t="s">
        <v>390</v>
      </c>
      <c r="B758" s="80"/>
      <c r="C758" s="80"/>
      <c r="D758" s="80"/>
      <c r="E758" s="81" t="s">
        <v>53</v>
      </c>
      <c r="F758" s="80"/>
      <c r="G758" s="80"/>
      <c r="H758" s="56"/>
      <c r="I758" s="82" t="s">
        <v>390</v>
      </c>
      <c r="J758" s="80"/>
      <c r="K758" s="80"/>
      <c r="L758" s="80"/>
      <c r="M758" s="81" t="s">
        <v>393</v>
      </c>
      <c r="N758" s="80"/>
      <c r="O758" s="1"/>
    </row>
    <row r="759" spans="1:18" ht="14.25" thickBot="1" x14ac:dyDescent="0.2">
      <c r="A759" s="13" t="s">
        <v>0</v>
      </c>
      <c r="B759" s="228" t="s">
        <v>392</v>
      </c>
      <c r="C759" s="229"/>
      <c r="D759" s="229"/>
      <c r="E759" s="229"/>
      <c r="F759" s="230"/>
      <c r="G759" s="231"/>
      <c r="H759" s="56"/>
      <c r="I759" s="13" t="s">
        <v>0</v>
      </c>
      <c r="J759" s="228" t="s">
        <v>392</v>
      </c>
      <c r="K759" s="229"/>
      <c r="L759" s="229"/>
      <c r="M759" s="229"/>
      <c r="N759" s="230"/>
      <c r="O759" s="231"/>
    </row>
    <row r="760" spans="1:18" ht="14.25" thickBot="1" x14ac:dyDescent="0.2">
      <c r="A760" s="3" t="s">
        <v>1</v>
      </c>
      <c r="B760" s="2" t="s">
        <v>42</v>
      </c>
      <c r="C760" s="21" t="s">
        <v>43</v>
      </c>
      <c r="D760" s="21" t="s">
        <v>44</v>
      </c>
      <c r="E760" s="24" t="s">
        <v>45</v>
      </c>
      <c r="F760" s="33" t="s">
        <v>46</v>
      </c>
      <c r="G760" s="34" t="s">
        <v>2</v>
      </c>
      <c r="H760" s="56"/>
      <c r="I760" s="3" t="s">
        <v>1</v>
      </c>
      <c r="J760" s="41" t="s">
        <v>42</v>
      </c>
      <c r="K760" s="42" t="s">
        <v>43</v>
      </c>
      <c r="L760" s="42" t="s">
        <v>44</v>
      </c>
      <c r="M760" s="43" t="s">
        <v>45</v>
      </c>
      <c r="N760" s="44" t="s">
        <v>46</v>
      </c>
      <c r="O760" s="3" t="s">
        <v>2</v>
      </c>
    </row>
    <row r="761" spans="1:18" ht="14.25" thickBot="1" x14ac:dyDescent="0.2">
      <c r="A761" s="72" t="s">
        <v>456</v>
      </c>
      <c r="B761" s="73">
        <f>B756</f>
        <v>7</v>
      </c>
      <c r="C761" s="74">
        <f t="shared" ref="C761:F761" si="218">C756</f>
        <v>7</v>
      </c>
      <c r="D761" s="74">
        <f t="shared" si="218"/>
        <v>10</v>
      </c>
      <c r="E761" s="74">
        <f t="shared" si="218"/>
        <v>5</v>
      </c>
      <c r="F761" s="105">
        <f t="shared" si="218"/>
        <v>8</v>
      </c>
      <c r="G761" s="131">
        <f t="shared" ref="G761:G769" si="219">SUM(B761:F761)</f>
        <v>37</v>
      </c>
      <c r="H761" s="56"/>
      <c r="I761" s="72" t="s">
        <v>456</v>
      </c>
      <c r="J761" s="73">
        <f>J756</f>
        <v>215</v>
      </c>
      <c r="K761" s="74">
        <f t="shared" ref="K761:N761" si="220">K756</f>
        <v>157</v>
      </c>
      <c r="L761" s="74">
        <f t="shared" si="220"/>
        <v>121</v>
      </c>
      <c r="M761" s="74">
        <f t="shared" si="220"/>
        <v>137</v>
      </c>
      <c r="N761" s="105">
        <f t="shared" si="220"/>
        <v>111</v>
      </c>
      <c r="O761" s="131">
        <f t="shared" ref="O761:O769" si="221">SUM(J761:N761)</f>
        <v>741</v>
      </c>
    </row>
    <row r="762" spans="1:18" x14ac:dyDescent="0.15">
      <c r="A762" s="15" t="s">
        <v>993</v>
      </c>
      <c r="B762" s="8"/>
      <c r="C762" s="10"/>
      <c r="D762" s="10">
        <v>1</v>
      </c>
      <c r="E762" s="10">
        <v>1</v>
      </c>
      <c r="F762" s="28"/>
      <c r="G762" s="9">
        <f t="shared" si="219"/>
        <v>2</v>
      </c>
      <c r="H762" s="58">
        <v>43780</v>
      </c>
      <c r="I762" s="38" t="s">
        <v>9</v>
      </c>
      <c r="J762" s="37"/>
      <c r="K762" s="35">
        <v>2</v>
      </c>
      <c r="L762" s="35"/>
      <c r="M762" s="35">
        <v>8</v>
      </c>
      <c r="N762" s="28"/>
      <c r="O762" s="7">
        <f t="shared" si="221"/>
        <v>10</v>
      </c>
      <c r="P762" s="58">
        <v>43862</v>
      </c>
    </row>
    <row r="763" spans="1:18" x14ac:dyDescent="0.15">
      <c r="A763" s="15" t="s">
        <v>17</v>
      </c>
      <c r="B763" s="8"/>
      <c r="C763" s="10">
        <v>1</v>
      </c>
      <c r="D763" s="10"/>
      <c r="E763" s="10"/>
      <c r="F763" s="28"/>
      <c r="G763" s="9">
        <f t="shared" si="219"/>
        <v>1</v>
      </c>
      <c r="H763" s="58">
        <v>43782</v>
      </c>
      <c r="I763" s="38" t="s">
        <v>3</v>
      </c>
      <c r="J763" s="65"/>
      <c r="K763" s="66"/>
      <c r="L763" s="66"/>
      <c r="M763" s="66"/>
      <c r="N763" s="55"/>
      <c r="O763" s="165">
        <f t="shared" si="221"/>
        <v>0</v>
      </c>
      <c r="P763" s="113"/>
    </row>
    <row r="764" spans="1:18" x14ac:dyDescent="0.15">
      <c r="A764" s="15" t="s">
        <v>137</v>
      </c>
      <c r="B764" s="8"/>
      <c r="C764" s="10">
        <v>1</v>
      </c>
      <c r="D764" s="10"/>
      <c r="E764" s="10"/>
      <c r="F764" s="28"/>
      <c r="G764" s="9">
        <f t="shared" si="219"/>
        <v>1</v>
      </c>
      <c r="H764" s="58">
        <v>43790</v>
      </c>
      <c r="I764" s="38" t="s">
        <v>4</v>
      </c>
      <c r="J764" s="8"/>
      <c r="K764" s="10"/>
      <c r="L764" s="10"/>
      <c r="M764" s="10"/>
      <c r="N764" s="30"/>
      <c r="O764" s="7">
        <f t="shared" si="221"/>
        <v>0</v>
      </c>
      <c r="P764" s="56"/>
    </row>
    <row r="765" spans="1:18" x14ac:dyDescent="0.15">
      <c r="A765" s="15" t="s">
        <v>993</v>
      </c>
      <c r="B765" s="8"/>
      <c r="C765" s="10">
        <v>1</v>
      </c>
      <c r="D765" s="10"/>
      <c r="E765" s="10"/>
      <c r="F765" s="28"/>
      <c r="G765" s="9">
        <f t="shared" si="219"/>
        <v>1</v>
      </c>
      <c r="H765" s="58">
        <v>43794</v>
      </c>
      <c r="I765" s="38" t="s">
        <v>5</v>
      </c>
      <c r="J765" s="8"/>
      <c r="K765" s="10"/>
      <c r="L765" s="10"/>
      <c r="M765" s="10"/>
      <c r="N765" s="28"/>
      <c r="O765" s="9">
        <f t="shared" si="221"/>
        <v>0</v>
      </c>
    </row>
    <row r="766" spans="1:18" x14ac:dyDescent="0.15">
      <c r="A766" s="15" t="s">
        <v>84</v>
      </c>
      <c r="B766" s="8"/>
      <c r="C766" s="10"/>
      <c r="D766" s="10"/>
      <c r="E766" s="10">
        <v>5</v>
      </c>
      <c r="F766" s="30"/>
      <c r="G766" s="7">
        <f t="shared" si="219"/>
        <v>5</v>
      </c>
      <c r="H766" s="58">
        <v>43801</v>
      </c>
      <c r="I766" s="38" t="s">
        <v>6</v>
      </c>
      <c r="J766" s="8"/>
      <c r="K766" s="10"/>
      <c r="L766" s="10"/>
      <c r="M766" s="10"/>
      <c r="N766" s="30"/>
      <c r="O766" s="7">
        <f t="shared" si="221"/>
        <v>0</v>
      </c>
    </row>
    <row r="767" spans="1:18" x14ac:dyDescent="0.15">
      <c r="A767" s="15" t="s">
        <v>19</v>
      </c>
      <c r="B767" s="8"/>
      <c r="C767" s="10">
        <v>2</v>
      </c>
      <c r="D767" s="10"/>
      <c r="E767" s="10">
        <v>2</v>
      </c>
      <c r="F767" s="30">
        <v>1</v>
      </c>
      <c r="G767" s="7">
        <f t="shared" si="219"/>
        <v>5</v>
      </c>
      <c r="H767" s="58">
        <v>43812</v>
      </c>
      <c r="I767" s="38" t="s">
        <v>84</v>
      </c>
      <c r="J767" s="8"/>
      <c r="K767" s="10"/>
      <c r="L767" s="10"/>
      <c r="M767" s="10"/>
      <c r="N767" s="30"/>
      <c r="O767" s="7">
        <f t="shared" si="221"/>
        <v>0</v>
      </c>
    </row>
    <row r="768" spans="1:18" x14ac:dyDescent="0.15">
      <c r="A768" s="15" t="s">
        <v>1234</v>
      </c>
      <c r="B768" s="11">
        <v>1</v>
      </c>
      <c r="C768" s="100"/>
      <c r="D768" s="100">
        <v>1</v>
      </c>
      <c r="E768" s="100"/>
      <c r="F768" s="101"/>
      <c r="G768" s="102">
        <f t="shared" si="219"/>
        <v>2</v>
      </c>
      <c r="H768" s="58">
        <v>43837</v>
      </c>
      <c r="I768" s="14" t="s">
        <v>1073</v>
      </c>
      <c r="J768" s="8">
        <v>31</v>
      </c>
      <c r="K768" s="10">
        <v>46</v>
      </c>
      <c r="L768" s="10">
        <v>61</v>
      </c>
      <c r="M768" s="10">
        <v>126</v>
      </c>
      <c r="N768" s="30">
        <v>35</v>
      </c>
      <c r="O768" s="7">
        <f t="shared" si="221"/>
        <v>299</v>
      </c>
      <c r="P768" s="56" t="s">
        <v>1187</v>
      </c>
      <c r="Q768" s="56"/>
      <c r="R768" s="56"/>
    </row>
    <row r="769" spans="1:18" ht="14.25" thickBot="1" x14ac:dyDescent="0.2">
      <c r="A769" s="15" t="s">
        <v>17</v>
      </c>
      <c r="B769" s="11"/>
      <c r="C769" s="100"/>
      <c r="D769" s="100"/>
      <c r="E769" s="100">
        <v>1</v>
      </c>
      <c r="F769" s="101"/>
      <c r="G769" s="102">
        <f t="shared" si="219"/>
        <v>1</v>
      </c>
      <c r="H769" s="58">
        <v>43846</v>
      </c>
      <c r="I769" s="38" t="s">
        <v>86</v>
      </c>
      <c r="J769" s="11"/>
      <c r="K769" s="100">
        <v>30</v>
      </c>
      <c r="L769" s="100">
        <v>70</v>
      </c>
      <c r="M769" s="100"/>
      <c r="N769" s="101"/>
      <c r="O769" s="102">
        <f t="shared" si="221"/>
        <v>100</v>
      </c>
      <c r="P769" s="58">
        <v>43747</v>
      </c>
      <c r="Q769" s="56"/>
      <c r="R769" s="56"/>
    </row>
    <row r="770" spans="1:18" ht="14.25" thickBot="1" x14ac:dyDescent="0.2">
      <c r="A770" s="72" t="s">
        <v>7</v>
      </c>
      <c r="B770" s="73">
        <f>SUM(B761:B769)</f>
        <v>8</v>
      </c>
      <c r="C770" s="74">
        <f t="shared" ref="C770:G770" si="222">SUM(C761:C769)</f>
        <v>12</v>
      </c>
      <c r="D770" s="74">
        <f t="shared" si="222"/>
        <v>12</v>
      </c>
      <c r="E770" s="74">
        <f t="shared" si="222"/>
        <v>14</v>
      </c>
      <c r="F770" s="105">
        <f t="shared" si="222"/>
        <v>9</v>
      </c>
      <c r="G770" s="76">
        <f t="shared" si="222"/>
        <v>55</v>
      </c>
      <c r="H770" s="56"/>
      <c r="I770" s="72" t="s">
        <v>7</v>
      </c>
      <c r="J770" s="73">
        <f>SUM(J761:J769)</f>
        <v>246</v>
      </c>
      <c r="K770" s="74">
        <f t="shared" ref="K770:O770" si="223">SUM(K761:K769)</f>
        <v>235</v>
      </c>
      <c r="L770" s="74">
        <f t="shared" si="223"/>
        <v>252</v>
      </c>
      <c r="M770" s="74">
        <f t="shared" si="223"/>
        <v>271</v>
      </c>
      <c r="N770" s="105">
        <f t="shared" si="223"/>
        <v>146</v>
      </c>
      <c r="O770" s="76">
        <f t="shared" si="223"/>
        <v>1150</v>
      </c>
    </row>
    <row r="771" spans="1:18" x14ac:dyDescent="0.15">
      <c r="A771" s="39" t="s">
        <v>29</v>
      </c>
      <c r="B771" s="11"/>
      <c r="C771" s="12">
        <v>1</v>
      </c>
      <c r="D771" s="12"/>
      <c r="E771" s="12">
        <v>1</v>
      </c>
      <c r="F771" s="31"/>
      <c r="G771" s="18">
        <f t="shared" ref="G771:G787" si="224">SUM(B771:F771)</f>
        <v>2</v>
      </c>
      <c r="H771" s="58">
        <v>43780</v>
      </c>
      <c r="I771" s="14" t="s">
        <v>1170</v>
      </c>
      <c r="J771" s="8">
        <v>30</v>
      </c>
      <c r="K771" s="10">
        <v>45</v>
      </c>
      <c r="L771" s="10">
        <v>60</v>
      </c>
      <c r="M771" s="10">
        <v>125</v>
      </c>
      <c r="N771" s="30">
        <v>35</v>
      </c>
      <c r="O771" s="7">
        <f>SUM(J771:N771)</f>
        <v>295</v>
      </c>
      <c r="P771" s="56" t="s">
        <v>1072</v>
      </c>
      <c r="Q771" s="56"/>
      <c r="R771" s="56"/>
    </row>
    <row r="772" spans="1:18" x14ac:dyDescent="0.15">
      <c r="A772" s="39" t="s">
        <v>29</v>
      </c>
      <c r="B772" s="8">
        <v>1</v>
      </c>
      <c r="C772" s="10"/>
      <c r="D772" s="10"/>
      <c r="E772" s="10"/>
      <c r="F772" s="30"/>
      <c r="G772" s="7">
        <f t="shared" si="224"/>
        <v>1</v>
      </c>
      <c r="H772" s="58">
        <v>43783</v>
      </c>
      <c r="I772" s="14" t="s">
        <v>25</v>
      </c>
      <c r="J772" s="8"/>
      <c r="K772" s="10">
        <v>1</v>
      </c>
      <c r="L772" s="10"/>
      <c r="M772" s="10"/>
      <c r="N772" s="30"/>
      <c r="O772" s="7">
        <f t="shared" ref="O772:O790" si="225">SUM(J772:N772)</f>
        <v>1</v>
      </c>
      <c r="P772" s="58">
        <v>43778</v>
      </c>
    </row>
    <row r="773" spans="1:18" x14ac:dyDescent="0.15">
      <c r="A773" s="39" t="s">
        <v>29</v>
      </c>
      <c r="B773" s="8"/>
      <c r="C773" s="10"/>
      <c r="D773" s="10"/>
      <c r="E773" s="10">
        <v>1</v>
      </c>
      <c r="F773" s="30"/>
      <c r="G773" s="7">
        <f t="shared" si="224"/>
        <v>1</v>
      </c>
      <c r="H773" s="58">
        <v>43784</v>
      </c>
      <c r="I773" s="14" t="s">
        <v>25</v>
      </c>
      <c r="J773" s="8">
        <v>1</v>
      </c>
      <c r="K773" s="10"/>
      <c r="L773" s="10"/>
      <c r="M773" s="10"/>
      <c r="N773" s="30"/>
      <c r="O773" s="7">
        <f t="shared" si="225"/>
        <v>1</v>
      </c>
      <c r="P773" s="58">
        <v>43794</v>
      </c>
    </row>
    <row r="774" spans="1:18" x14ac:dyDescent="0.15">
      <c r="A774" s="39" t="s">
        <v>29</v>
      </c>
      <c r="B774" s="8"/>
      <c r="C774" s="10"/>
      <c r="D774" s="10"/>
      <c r="E774" s="10">
        <v>1</v>
      </c>
      <c r="F774" s="30"/>
      <c r="G774" s="7">
        <f t="shared" si="224"/>
        <v>1</v>
      </c>
      <c r="H774" s="58">
        <v>43788</v>
      </c>
      <c r="I774" s="14" t="s">
        <v>1220</v>
      </c>
      <c r="J774" s="8"/>
      <c r="K774" s="10"/>
      <c r="L774" s="10"/>
      <c r="M774" s="10">
        <v>5</v>
      </c>
      <c r="N774" s="30"/>
      <c r="O774" s="7">
        <f t="shared" si="225"/>
        <v>5</v>
      </c>
      <c r="P774" s="58">
        <v>43801</v>
      </c>
    </row>
    <row r="775" spans="1:18" x14ac:dyDescent="0.15">
      <c r="A775" s="39" t="s">
        <v>29</v>
      </c>
      <c r="B775" s="37"/>
      <c r="C775" s="35"/>
      <c r="D775" s="35"/>
      <c r="E775" s="35">
        <v>1</v>
      </c>
      <c r="F775" s="28"/>
      <c r="G775" s="7">
        <f t="shared" si="224"/>
        <v>1</v>
      </c>
      <c r="H775" s="58">
        <v>43790</v>
      </c>
      <c r="I775" s="14" t="s">
        <v>25</v>
      </c>
      <c r="J775" s="8"/>
      <c r="K775" s="10"/>
      <c r="L775" s="10"/>
      <c r="M775" s="10">
        <v>1</v>
      </c>
      <c r="N775" s="30"/>
      <c r="O775" s="7">
        <f t="shared" si="225"/>
        <v>1</v>
      </c>
      <c r="P775" s="58">
        <v>43802</v>
      </c>
      <c r="Q775" s="56"/>
    </row>
    <row r="776" spans="1:18" x14ac:dyDescent="0.15">
      <c r="A776" s="39" t="s">
        <v>29</v>
      </c>
      <c r="B776" s="8"/>
      <c r="C776" s="10"/>
      <c r="D776" s="10"/>
      <c r="E776" s="10">
        <v>1</v>
      </c>
      <c r="F776" s="30"/>
      <c r="G776" s="7">
        <f t="shared" si="224"/>
        <v>1</v>
      </c>
      <c r="H776" s="58">
        <v>43794</v>
      </c>
      <c r="I776" s="14" t="s">
        <v>25</v>
      </c>
      <c r="J776" s="8"/>
      <c r="K776" s="10"/>
      <c r="L776" s="10">
        <v>1</v>
      </c>
      <c r="M776" s="10">
        <v>2</v>
      </c>
      <c r="N776" s="30">
        <v>1</v>
      </c>
      <c r="O776" s="7">
        <f t="shared" si="225"/>
        <v>4</v>
      </c>
      <c r="P776" s="58">
        <v>43803</v>
      </c>
      <c r="Q776" s="56"/>
    </row>
    <row r="777" spans="1:18" x14ac:dyDescent="0.15">
      <c r="A777" s="20" t="s">
        <v>1219</v>
      </c>
      <c r="B777" s="8"/>
      <c r="C777" s="10"/>
      <c r="D777" s="10"/>
      <c r="E777" s="10">
        <v>1</v>
      </c>
      <c r="F777" s="30">
        <v>2</v>
      </c>
      <c r="G777" s="7">
        <f t="shared" si="224"/>
        <v>3</v>
      </c>
      <c r="H777" s="58">
        <v>43796</v>
      </c>
      <c r="I777" s="14" t="s">
        <v>25</v>
      </c>
      <c r="J777" s="8"/>
      <c r="K777" s="10">
        <v>1</v>
      </c>
      <c r="L777" s="10"/>
      <c r="M777" s="10">
        <v>1</v>
      </c>
      <c r="N777" s="30"/>
      <c r="O777" s="7">
        <f t="shared" si="225"/>
        <v>2</v>
      </c>
      <c r="P777" s="58">
        <v>43805</v>
      </c>
    </row>
    <row r="778" spans="1:18" x14ac:dyDescent="0.15">
      <c r="A778" s="39" t="s">
        <v>29</v>
      </c>
      <c r="B778" s="8"/>
      <c r="C778" s="10">
        <v>1</v>
      </c>
      <c r="D778" s="10"/>
      <c r="E778" s="10"/>
      <c r="F778" s="30"/>
      <c r="G778" s="7">
        <f t="shared" si="224"/>
        <v>1</v>
      </c>
      <c r="H778" s="58">
        <v>43804</v>
      </c>
      <c r="I778" s="14" t="s">
        <v>25</v>
      </c>
      <c r="J778" s="8"/>
      <c r="K778" s="10"/>
      <c r="L778" s="10"/>
      <c r="M778" s="10">
        <v>5</v>
      </c>
      <c r="N778" s="30"/>
      <c r="O778" s="7">
        <f>SUM(J778:N778)</f>
        <v>5</v>
      </c>
      <c r="P778" s="58">
        <v>43806</v>
      </c>
    </row>
    <row r="779" spans="1:18" x14ac:dyDescent="0.15">
      <c r="A779" s="39" t="s">
        <v>29</v>
      </c>
      <c r="B779" s="8"/>
      <c r="C779" s="10">
        <v>1</v>
      </c>
      <c r="D779" s="10"/>
      <c r="E779" s="10"/>
      <c r="F779" s="30"/>
      <c r="G779" s="7">
        <f t="shared" si="224"/>
        <v>1</v>
      </c>
      <c r="H779" s="58">
        <v>43806</v>
      </c>
      <c r="I779" s="14" t="s">
        <v>1227</v>
      </c>
      <c r="J779" s="8"/>
      <c r="K779" s="10">
        <v>10</v>
      </c>
      <c r="L779" s="10"/>
      <c r="M779" s="10"/>
      <c r="N779" s="30"/>
      <c r="O779" s="7">
        <f>SUM(J779:N779)</f>
        <v>10</v>
      </c>
      <c r="P779" s="58">
        <v>43815</v>
      </c>
    </row>
    <row r="780" spans="1:18" x14ac:dyDescent="0.15">
      <c r="A780" s="39" t="s">
        <v>1229</v>
      </c>
      <c r="B780" s="11"/>
      <c r="C780" s="12"/>
      <c r="D780" s="12">
        <v>1</v>
      </c>
      <c r="E780" s="12"/>
      <c r="F780" s="31"/>
      <c r="G780" s="7">
        <f t="shared" si="224"/>
        <v>1</v>
      </c>
      <c r="H780" s="58">
        <v>43817</v>
      </c>
      <c r="I780" s="14" t="s">
        <v>22</v>
      </c>
      <c r="J780" s="11"/>
      <c r="K780" s="12"/>
      <c r="L780" s="12"/>
      <c r="M780" s="12">
        <v>10</v>
      </c>
      <c r="N780" s="31"/>
      <c r="O780" s="7">
        <f>SUM(J780:N780)</f>
        <v>10</v>
      </c>
      <c r="P780" s="58">
        <v>43818</v>
      </c>
    </row>
    <row r="781" spans="1:18" x14ac:dyDescent="0.15">
      <c r="A781" s="14" t="s">
        <v>1230</v>
      </c>
      <c r="B781" s="8">
        <v>1</v>
      </c>
      <c r="C781" s="10"/>
      <c r="D781" s="10"/>
      <c r="E781" s="10"/>
      <c r="F781" s="30"/>
      <c r="G781" s="7">
        <f t="shared" si="224"/>
        <v>1</v>
      </c>
      <c r="H781" s="58">
        <v>43818</v>
      </c>
      <c r="I781" s="14" t="s">
        <v>22</v>
      </c>
      <c r="J781" s="8">
        <v>10</v>
      </c>
      <c r="K781" s="10"/>
      <c r="L781" s="10"/>
      <c r="M781" s="10"/>
      <c r="N781" s="30"/>
      <c r="O781" s="7">
        <f t="shared" si="225"/>
        <v>10</v>
      </c>
      <c r="P781" s="58">
        <v>43823</v>
      </c>
    </row>
    <row r="782" spans="1:18" x14ac:dyDescent="0.15">
      <c r="A782" s="39" t="s">
        <v>25</v>
      </c>
      <c r="B782" s="8"/>
      <c r="C782" s="10"/>
      <c r="D782" s="10"/>
      <c r="E782" s="10"/>
      <c r="F782" s="30">
        <v>1</v>
      </c>
      <c r="G782" s="7">
        <f t="shared" si="224"/>
        <v>1</v>
      </c>
      <c r="H782" s="58">
        <v>43825</v>
      </c>
      <c r="I782" s="14" t="s">
        <v>25</v>
      </c>
      <c r="J782" s="8"/>
      <c r="K782" s="10"/>
      <c r="L782" s="10">
        <v>1</v>
      </c>
      <c r="M782" s="10"/>
      <c r="N782" s="30"/>
      <c r="O782" s="7">
        <f t="shared" si="225"/>
        <v>1</v>
      </c>
      <c r="P782" s="58">
        <v>43818</v>
      </c>
    </row>
    <row r="783" spans="1:18" x14ac:dyDescent="0.15">
      <c r="A783" s="39" t="s">
        <v>29</v>
      </c>
      <c r="B783" s="8"/>
      <c r="C783" s="10">
        <v>1</v>
      </c>
      <c r="D783" s="10"/>
      <c r="E783" s="10"/>
      <c r="F783" s="30"/>
      <c r="G783" s="7">
        <f t="shared" si="224"/>
        <v>1</v>
      </c>
      <c r="H783" s="58">
        <v>43825</v>
      </c>
      <c r="I783" s="14" t="s">
        <v>25</v>
      </c>
      <c r="J783" s="8"/>
      <c r="K783" s="10"/>
      <c r="L783" s="10"/>
      <c r="M783" s="10"/>
      <c r="N783" s="30">
        <v>1</v>
      </c>
      <c r="O783" s="7">
        <f t="shared" si="225"/>
        <v>1</v>
      </c>
      <c r="P783" s="58">
        <v>43827</v>
      </c>
      <c r="Q783" s="56"/>
    </row>
    <row r="784" spans="1:18" x14ac:dyDescent="0.15">
      <c r="A784" s="39" t="s">
        <v>29</v>
      </c>
      <c r="B784" s="8"/>
      <c r="C784" s="10"/>
      <c r="D784" s="10">
        <v>1</v>
      </c>
      <c r="E784" s="10"/>
      <c r="F784" s="30"/>
      <c r="G784" s="7">
        <f t="shared" si="224"/>
        <v>1</v>
      </c>
      <c r="H784" s="58">
        <v>43835</v>
      </c>
      <c r="I784" s="14" t="s">
        <v>22</v>
      </c>
      <c r="J784" s="8"/>
      <c r="K784" s="10"/>
      <c r="L784" s="10"/>
      <c r="M784" s="10"/>
      <c r="N784" s="30">
        <v>10</v>
      </c>
      <c r="O784" s="7">
        <f t="shared" si="225"/>
        <v>10</v>
      </c>
      <c r="P784" s="58">
        <v>43844</v>
      </c>
    </row>
    <row r="785" spans="1:17" x14ac:dyDescent="0.15">
      <c r="A785" s="39" t="s">
        <v>29</v>
      </c>
      <c r="B785" s="8"/>
      <c r="C785" s="10">
        <v>1</v>
      </c>
      <c r="D785" s="10"/>
      <c r="E785" s="10"/>
      <c r="F785" s="30"/>
      <c r="G785" s="7">
        <f t="shared" si="224"/>
        <v>1</v>
      </c>
      <c r="H785" s="58">
        <v>43837</v>
      </c>
      <c r="I785" s="14" t="s">
        <v>25</v>
      </c>
      <c r="J785" s="8"/>
      <c r="K785" s="10"/>
      <c r="L785" s="10"/>
      <c r="M785" s="10">
        <v>2</v>
      </c>
      <c r="N785" s="30">
        <v>1</v>
      </c>
      <c r="O785" s="7">
        <f t="shared" si="225"/>
        <v>3</v>
      </c>
      <c r="P785" s="58">
        <v>43846</v>
      </c>
    </row>
    <row r="786" spans="1:17" x14ac:dyDescent="0.15">
      <c r="A786" s="39" t="s">
        <v>29</v>
      </c>
      <c r="B786" s="8">
        <v>1</v>
      </c>
      <c r="C786" s="10"/>
      <c r="D786" s="10"/>
      <c r="E786" s="10"/>
      <c r="F786" s="30"/>
      <c r="G786" s="7">
        <f t="shared" si="224"/>
        <v>1</v>
      </c>
      <c r="H786" s="58">
        <v>43846</v>
      </c>
      <c r="I786" s="14" t="s">
        <v>25</v>
      </c>
      <c r="J786" s="8"/>
      <c r="K786" s="10"/>
      <c r="L786" s="10"/>
      <c r="M786" s="10"/>
      <c r="N786" s="30">
        <v>1</v>
      </c>
      <c r="O786" s="7">
        <f t="shared" si="225"/>
        <v>1</v>
      </c>
      <c r="P786" s="58">
        <v>43851</v>
      </c>
      <c r="Q786" s="56"/>
    </row>
    <row r="787" spans="1:17" x14ac:dyDescent="0.15">
      <c r="A787" s="15" t="s">
        <v>19</v>
      </c>
      <c r="B787" s="8"/>
      <c r="C787" s="10">
        <v>-1</v>
      </c>
      <c r="D787" s="10"/>
      <c r="E787" s="10"/>
      <c r="F787" s="30">
        <v>-1</v>
      </c>
      <c r="G787" s="7">
        <f t="shared" si="224"/>
        <v>-2</v>
      </c>
      <c r="H787" s="58">
        <v>43848</v>
      </c>
      <c r="I787" s="14" t="s">
        <v>22</v>
      </c>
      <c r="J787" s="8"/>
      <c r="K787" s="10">
        <v>10</v>
      </c>
      <c r="L787" s="10">
        <v>10</v>
      </c>
      <c r="M787" s="10"/>
      <c r="N787" s="30"/>
      <c r="O787" s="7">
        <f t="shared" si="225"/>
        <v>20</v>
      </c>
      <c r="P787" s="58">
        <v>43854</v>
      </c>
    </row>
    <row r="788" spans="1:17" x14ac:dyDescent="0.15">
      <c r="A788" s="39" t="s">
        <v>29</v>
      </c>
      <c r="B788" s="8"/>
      <c r="C788" s="10"/>
      <c r="D788" s="10"/>
      <c r="E788" s="10">
        <v>1</v>
      </c>
      <c r="F788" s="30"/>
      <c r="G788" s="7">
        <v>2</v>
      </c>
      <c r="H788" s="58">
        <v>43848</v>
      </c>
      <c r="I788" s="64"/>
      <c r="J788" s="8"/>
      <c r="K788" s="10"/>
      <c r="L788" s="10"/>
      <c r="M788" s="10"/>
      <c r="N788" s="30"/>
      <c r="O788" s="7">
        <f t="shared" si="225"/>
        <v>0</v>
      </c>
      <c r="P788" s="58"/>
    </row>
    <row r="789" spans="1:17" x14ac:dyDescent="0.15">
      <c r="A789" s="14" t="s">
        <v>1246</v>
      </c>
      <c r="B789" s="8"/>
      <c r="C789" s="10"/>
      <c r="D789" s="10"/>
      <c r="E789" s="10">
        <v>1</v>
      </c>
      <c r="F789" s="30"/>
      <c r="G789" s="7">
        <f t="shared" ref="G789:G796" si="226">SUM(B789:F789)</f>
        <v>1</v>
      </c>
      <c r="H789" s="58">
        <v>43851</v>
      </c>
      <c r="I789" s="16"/>
      <c r="J789" s="8"/>
      <c r="K789" s="10"/>
      <c r="L789" s="10"/>
      <c r="M789" s="10"/>
      <c r="N789" s="30"/>
      <c r="O789" s="7">
        <f t="shared" si="225"/>
        <v>0</v>
      </c>
      <c r="P789" s="58"/>
    </row>
    <row r="790" spans="1:17" x14ac:dyDescent="0.15">
      <c r="A790" s="39" t="s">
        <v>1247</v>
      </c>
      <c r="B790" s="8"/>
      <c r="C790" s="10">
        <v>-2</v>
      </c>
      <c r="D790" s="10"/>
      <c r="E790" s="10">
        <v>-8</v>
      </c>
      <c r="F790" s="30"/>
      <c r="G790" s="7">
        <f t="shared" si="226"/>
        <v>-10</v>
      </c>
      <c r="H790" s="58">
        <v>43853</v>
      </c>
      <c r="I790" s="16"/>
      <c r="J790" s="11"/>
      <c r="K790" s="12"/>
      <c r="L790" s="12"/>
      <c r="M790" s="12"/>
      <c r="N790" s="31"/>
      <c r="O790" s="7">
        <f t="shared" si="225"/>
        <v>0</v>
      </c>
      <c r="P790" s="56"/>
    </row>
    <row r="791" spans="1:17" x14ac:dyDescent="0.15">
      <c r="A791" s="39" t="s">
        <v>29</v>
      </c>
      <c r="B791" s="8"/>
      <c r="C791" s="10"/>
      <c r="D791" s="10"/>
      <c r="E791" s="10">
        <v>1</v>
      </c>
      <c r="F791" s="30"/>
      <c r="G791" s="7">
        <f t="shared" si="226"/>
        <v>1</v>
      </c>
      <c r="H791" s="58">
        <v>43853</v>
      </c>
      <c r="I791" s="16" t="s">
        <v>1208</v>
      </c>
      <c r="J791" s="11"/>
      <c r="K791" s="12"/>
      <c r="L791" s="12"/>
      <c r="M791" s="12"/>
      <c r="N791" s="31"/>
      <c r="O791" s="7">
        <f t="shared" ref="O791:O794" si="227">SUM(J791:N791)</f>
        <v>0</v>
      </c>
      <c r="P791" s="56" t="s">
        <v>1206</v>
      </c>
      <c r="Q791" s="56"/>
    </row>
    <row r="792" spans="1:17" x14ac:dyDescent="0.15">
      <c r="A792" s="14" t="s">
        <v>117</v>
      </c>
      <c r="B792" s="11"/>
      <c r="C792" s="12">
        <v>1</v>
      </c>
      <c r="D792" s="12"/>
      <c r="E792" s="12"/>
      <c r="F792" s="31"/>
      <c r="G792" s="7">
        <f t="shared" si="226"/>
        <v>1</v>
      </c>
      <c r="H792" s="58">
        <v>43858</v>
      </c>
      <c r="I792" s="16" t="s">
        <v>1143</v>
      </c>
      <c r="J792" s="11"/>
      <c r="K792" s="12"/>
      <c r="L792" s="12"/>
      <c r="M792" s="12"/>
      <c r="N792" s="31"/>
      <c r="O792" s="7">
        <f t="shared" si="227"/>
        <v>0</v>
      </c>
      <c r="P792" s="58" t="s">
        <v>1144</v>
      </c>
      <c r="Q792" s="56"/>
    </row>
    <row r="793" spans="1:17" x14ac:dyDescent="0.15">
      <c r="A793" s="39" t="s">
        <v>29</v>
      </c>
      <c r="B793" s="8">
        <v>1</v>
      </c>
      <c r="C793" s="10"/>
      <c r="D793" s="10"/>
      <c r="E793" s="10"/>
      <c r="F793" s="30"/>
      <c r="G793" s="7">
        <f t="shared" si="226"/>
        <v>1</v>
      </c>
      <c r="H793" s="58">
        <v>43857</v>
      </c>
      <c r="I793" s="16" t="s">
        <v>1157</v>
      </c>
      <c r="J793" s="8"/>
      <c r="K793" s="10"/>
      <c r="L793" s="10"/>
      <c r="M793" s="10"/>
      <c r="N793" s="30"/>
      <c r="O793" s="7">
        <f t="shared" si="227"/>
        <v>0</v>
      </c>
      <c r="P793" s="58" t="s">
        <v>1158</v>
      </c>
    </row>
    <row r="794" spans="1:17" x14ac:dyDescent="0.15">
      <c r="A794" s="15" t="s">
        <v>17</v>
      </c>
      <c r="B794" s="8"/>
      <c r="C794" s="10"/>
      <c r="D794" s="10"/>
      <c r="E794" s="10"/>
      <c r="F794" s="30">
        <v>-1</v>
      </c>
      <c r="G794" s="7">
        <f t="shared" si="226"/>
        <v>-1</v>
      </c>
      <c r="H794" s="58">
        <v>43859</v>
      </c>
      <c r="I794" s="64" t="s">
        <v>1148</v>
      </c>
      <c r="J794" s="11"/>
      <c r="K794" s="12"/>
      <c r="L794" s="12"/>
      <c r="M794" s="12"/>
      <c r="N794" s="31"/>
      <c r="O794" s="7">
        <f t="shared" si="227"/>
        <v>0</v>
      </c>
      <c r="P794" s="58" t="s">
        <v>1147</v>
      </c>
      <c r="Q794" s="56"/>
    </row>
    <row r="795" spans="1:17" x14ac:dyDescent="0.15">
      <c r="A795" s="14" t="s">
        <v>1253</v>
      </c>
      <c r="B795" s="8"/>
      <c r="C795" s="10">
        <v>2</v>
      </c>
      <c r="D795" s="10"/>
      <c r="E795" s="10">
        <v>8</v>
      </c>
      <c r="F795" s="30"/>
      <c r="G795" s="7">
        <f t="shared" si="226"/>
        <v>10</v>
      </c>
      <c r="H795" s="58">
        <v>43862</v>
      </c>
      <c r="I795" s="16" t="s">
        <v>1190</v>
      </c>
      <c r="J795" s="8"/>
      <c r="K795" s="10"/>
      <c r="L795" s="10"/>
      <c r="M795" s="10"/>
      <c r="N795" s="30"/>
      <c r="O795" s="7">
        <f t="shared" ref="O795" si="228">SUM(J795:N795)</f>
        <v>0</v>
      </c>
      <c r="P795" s="58" t="s">
        <v>1191</v>
      </c>
      <c r="Q795" s="56"/>
    </row>
    <row r="796" spans="1:17" ht="14.25" thickBot="1" x14ac:dyDescent="0.2">
      <c r="A796" s="39" t="s">
        <v>29</v>
      </c>
      <c r="B796" s="11"/>
      <c r="C796" s="12"/>
      <c r="D796" s="12">
        <v>1</v>
      </c>
      <c r="E796" s="12"/>
      <c r="F796" s="31"/>
      <c r="G796" s="115">
        <f t="shared" si="226"/>
        <v>1</v>
      </c>
      <c r="H796" s="58">
        <v>43864</v>
      </c>
      <c r="I796" s="14" t="s">
        <v>1134</v>
      </c>
      <c r="J796" s="8"/>
      <c r="K796" s="10"/>
      <c r="L796" s="10"/>
      <c r="M796" s="10"/>
      <c r="N796" s="30"/>
      <c r="O796" s="7">
        <f>SUM(J796:N796)</f>
        <v>0</v>
      </c>
      <c r="P796" s="56" t="s">
        <v>1135</v>
      </c>
      <c r="Q796" s="56"/>
    </row>
    <row r="797" spans="1:17" ht="14.25" thickBot="1" x14ac:dyDescent="0.2">
      <c r="A797" s="3" t="s">
        <v>11</v>
      </c>
      <c r="B797" s="23">
        <f>SUM(B771:B796)</f>
        <v>4</v>
      </c>
      <c r="C797" s="4">
        <f>SUM(C771:C796)</f>
        <v>5</v>
      </c>
      <c r="D797" s="4">
        <f>SUM(D771:D796)</f>
        <v>3</v>
      </c>
      <c r="E797" s="6">
        <f>SUM(E771:E796)</f>
        <v>9</v>
      </c>
      <c r="F797" s="32">
        <f>SUM(F771:F796)</f>
        <v>1</v>
      </c>
      <c r="G797" s="5">
        <f>SUM(B797:F797)</f>
        <v>22</v>
      </c>
      <c r="I797" s="3" t="s">
        <v>11</v>
      </c>
      <c r="J797" s="23">
        <f>SUM(J771:J796)</f>
        <v>41</v>
      </c>
      <c r="K797" s="4">
        <f>SUM(K771:K796)</f>
        <v>67</v>
      </c>
      <c r="L797" s="4">
        <f>SUM(L771:L796)</f>
        <v>72</v>
      </c>
      <c r="M797" s="6">
        <f>SUM(M771:M796)</f>
        <v>151</v>
      </c>
      <c r="N797" s="32">
        <f>SUM(N771:N796)</f>
        <v>49</v>
      </c>
      <c r="O797" s="5">
        <f>SUM(J797:N797)</f>
        <v>380</v>
      </c>
    </row>
    <row r="798" spans="1:17" ht="14.25" thickBot="1" x14ac:dyDescent="0.2">
      <c r="A798" s="25" t="s">
        <v>12</v>
      </c>
      <c r="B798" s="63">
        <f>B770-B797</f>
        <v>4</v>
      </c>
      <c r="C798" s="26">
        <f t="shared" ref="C798:G798" si="229">C770-C797</f>
        <v>7</v>
      </c>
      <c r="D798" s="71">
        <f t="shared" si="229"/>
        <v>9</v>
      </c>
      <c r="E798" s="26">
        <f t="shared" si="229"/>
        <v>5</v>
      </c>
      <c r="F798" s="70">
        <f t="shared" si="229"/>
        <v>8</v>
      </c>
      <c r="G798" s="27">
        <f t="shared" si="229"/>
        <v>33</v>
      </c>
      <c r="I798" s="25" t="s">
        <v>12</v>
      </c>
      <c r="J798" s="63">
        <f>J770-J797</f>
        <v>205</v>
      </c>
      <c r="K798" s="26">
        <f t="shared" ref="K798:O798" si="230">K770-K797</f>
        <v>168</v>
      </c>
      <c r="L798" s="71">
        <f t="shared" si="230"/>
        <v>180</v>
      </c>
      <c r="M798" s="26">
        <f t="shared" si="230"/>
        <v>120</v>
      </c>
      <c r="N798" s="70">
        <f t="shared" si="230"/>
        <v>97</v>
      </c>
      <c r="O798" s="27">
        <f t="shared" si="230"/>
        <v>770</v>
      </c>
    </row>
    <row r="799" spans="1:17" ht="17.25" x14ac:dyDescent="0.2">
      <c r="A799" s="79" t="s">
        <v>391</v>
      </c>
      <c r="B799" s="80"/>
      <c r="C799" s="80"/>
      <c r="D799" s="80"/>
      <c r="E799" s="80"/>
      <c r="F799" s="80"/>
      <c r="G799" s="80"/>
      <c r="H799" s="56"/>
      <c r="I799" s="79" t="s">
        <v>391</v>
      </c>
      <c r="J799" s="80"/>
      <c r="K799" s="80"/>
      <c r="L799" s="80"/>
      <c r="M799" s="80"/>
      <c r="N799" s="80"/>
      <c r="O799" s="1"/>
    </row>
    <row r="800" spans="1:17" ht="21.75" thickBot="1" x14ac:dyDescent="0.25">
      <c r="A800" s="82" t="s">
        <v>390</v>
      </c>
      <c r="B800" s="80"/>
      <c r="C800" s="80"/>
      <c r="D800" s="80"/>
      <c r="E800" s="81" t="s">
        <v>53</v>
      </c>
      <c r="F800" s="80"/>
      <c r="G800" s="80"/>
      <c r="H800" s="56"/>
      <c r="I800" s="82" t="s">
        <v>390</v>
      </c>
      <c r="J800" s="80"/>
      <c r="K800" s="80"/>
      <c r="L800" s="80"/>
      <c r="M800" s="81" t="s">
        <v>393</v>
      </c>
      <c r="N800" s="80"/>
      <c r="O800" s="1"/>
    </row>
    <row r="801" spans="1:17" ht="14.25" thickBot="1" x14ac:dyDescent="0.2">
      <c r="A801" s="13" t="s">
        <v>0</v>
      </c>
      <c r="B801" s="228" t="s">
        <v>392</v>
      </c>
      <c r="C801" s="229"/>
      <c r="D801" s="229"/>
      <c r="E801" s="229"/>
      <c r="F801" s="230"/>
      <c r="G801" s="231"/>
      <c r="H801" s="56"/>
      <c r="I801" s="13" t="s">
        <v>0</v>
      </c>
      <c r="J801" s="228" t="s">
        <v>392</v>
      </c>
      <c r="K801" s="229"/>
      <c r="L801" s="229"/>
      <c r="M801" s="229"/>
      <c r="N801" s="230"/>
      <c r="O801" s="231"/>
    </row>
    <row r="802" spans="1:17" ht="14.25" thickBot="1" x14ac:dyDescent="0.2">
      <c r="A802" s="3" t="s">
        <v>1</v>
      </c>
      <c r="B802" s="2" t="s">
        <v>42</v>
      </c>
      <c r="C802" s="21" t="s">
        <v>43</v>
      </c>
      <c r="D802" s="21" t="s">
        <v>44</v>
      </c>
      <c r="E802" s="24" t="s">
        <v>45</v>
      </c>
      <c r="F802" s="33" t="s">
        <v>46</v>
      </c>
      <c r="G802" s="34" t="s">
        <v>2</v>
      </c>
      <c r="H802" s="56"/>
      <c r="I802" s="3" t="s">
        <v>1</v>
      </c>
      <c r="J802" s="41" t="s">
        <v>42</v>
      </c>
      <c r="K802" s="42" t="s">
        <v>43</v>
      </c>
      <c r="L802" s="42" t="s">
        <v>44</v>
      </c>
      <c r="M802" s="43" t="s">
        <v>45</v>
      </c>
      <c r="N802" s="44" t="s">
        <v>46</v>
      </c>
      <c r="O802" s="3" t="s">
        <v>2</v>
      </c>
    </row>
    <row r="803" spans="1:17" ht="14.25" thickBot="1" x14ac:dyDescent="0.2">
      <c r="A803" s="72" t="s">
        <v>456</v>
      </c>
      <c r="B803" s="73">
        <f>B798</f>
        <v>4</v>
      </c>
      <c r="C803" s="74">
        <f t="shared" ref="C803:F803" si="231">C798</f>
        <v>7</v>
      </c>
      <c r="D803" s="74">
        <f t="shared" si="231"/>
        <v>9</v>
      </c>
      <c r="E803" s="74">
        <f t="shared" si="231"/>
        <v>5</v>
      </c>
      <c r="F803" s="105">
        <f t="shared" si="231"/>
        <v>8</v>
      </c>
      <c r="G803" s="131">
        <f t="shared" ref="G803:G811" si="232">SUM(B803:F803)</f>
        <v>33</v>
      </c>
      <c r="H803" s="56"/>
      <c r="I803" s="72" t="s">
        <v>456</v>
      </c>
      <c r="J803" s="73">
        <f>J798</f>
        <v>205</v>
      </c>
      <c r="K803" s="74">
        <f t="shared" ref="K803:N803" si="233">K798</f>
        <v>168</v>
      </c>
      <c r="L803" s="74">
        <f t="shared" si="233"/>
        <v>180</v>
      </c>
      <c r="M803" s="74">
        <f t="shared" si="233"/>
        <v>120</v>
      </c>
      <c r="N803" s="105">
        <f t="shared" si="233"/>
        <v>97</v>
      </c>
      <c r="O803" s="131">
        <f t="shared" ref="O803:O811" si="234">SUM(J803:N803)</f>
        <v>770</v>
      </c>
    </row>
    <row r="804" spans="1:17" x14ac:dyDescent="0.15">
      <c r="A804" s="15" t="s">
        <v>993</v>
      </c>
      <c r="B804" s="8"/>
      <c r="C804" s="10"/>
      <c r="D804" s="10"/>
      <c r="E804" s="10">
        <v>1</v>
      </c>
      <c r="F804" s="28"/>
      <c r="G804" s="9">
        <f t="shared" si="232"/>
        <v>1</v>
      </c>
      <c r="H804" s="58">
        <v>43871</v>
      </c>
      <c r="I804" s="38" t="s">
        <v>9</v>
      </c>
      <c r="J804" s="37"/>
      <c r="K804" s="35"/>
      <c r="L804" s="35"/>
      <c r="M804" s="35">
        <v>4</v>
      </c>
      <c r="N804" s="28"/>
      <c r="O804" s="7">
        <f t="shared" si="234"/>
        <v>4</v>
      </c>
      <c r="P804" s="57">
        <v>43876</v>
      </c>
    </row>
    <row r="805" spans="1:17" x14ac:dyDescent="0.15">
      <c r="A805" s="15" t="s">
        <v>19</v>
      </c>
      <c r="B805" s="8">
        <v>1</v>
      </c>
      <c r="C805" s="10"/>
      <c r="D805" s="10">
        <v>1</v>
      </c>
      <c r="E805" s="10">
        <v>3</v>
      </c>
      <c r="F805" s="28"/>
      <c r="G805" s="9">
        <f t="shared" si="232"/>
        <v>5</v>
      </c>
      <c r="H805" s="58">
        <v>43871</v>
      </c>
      <c r="I805" s="38" t="s">
        <v>3</v>
      </c>
      <c r="J805" s="65"/>
      <c r="K805" s="66"/>
      <c r="L805" s="66"/>
      <c r="M805" s="66"/>
      <c r="N805" s="55"/>
      <c r="O805" s="165">
        <f t="shared" si="234"/>
        <v>0</v>
      </c>
    </row>
    <row r="806" spans="1:17" x14ac:dyDescent="0.15">
      <c r="A806" s="15" t="s">
        <v>616</v>
      </c>
      <c r="B806" s="8"/>
      <c r="C806" s="10">
        <v>1</v>
      </c>
      <c r="D806" s="10"/>
      <c r="E806" s="10"/>
      <c r="F806" s="28"/>
      <c r="G806" s="9">
        <f t="shared" si="232"/>
        <v>1</v>
      </c>
      <c r="H806" s="58">
        <v>43879</v>
      </c>
      <c r="I806" s="38" t="s">
        <v>4</v>
      </c>
      <c r="J806" s="8"/>
      <c r="K806" s="10"/>
      <c r="L806" s="10"/>
      <c r="M806" s="10"/>
      <c r="N806" s="30"/>
      <c r="O806" s="7">
        <f t="shared" si="234"/>
        <v>0</v>
      </c>
    </row>
    <row r="807" spans="1:17" x14ac:dyDescent="0.15">
      <c r="A807" s="15" t="s">
        <v>993</v>
      </c>
      <c r="B807" s="8"/>
      <c r="C807" s="10"/>
      <c r="D807" s="10"/>
      <c r="E807" s="10"/>
      <c r="F807" s="28">
        <v>1</v>
      </c>
      <c r="G807" s="9">
        <f t="shared" si="232"/>
        <v>1</v>
      </c>
      <c r="H807" s="58">
        <v>43888</v>
      </c>
      <c r="I807" s="38" t="s">
        <v>5</v>
      </c>
      <c r="J807" s="8"/>
      <c r="K807" s="10"/>
      <c r="L807" s="10"/>
      <c r="M807" s="10"/>
      <c r="N807" s="28"/>
      <c r="O807" s="9">
        <f t="shared" si="234"/>
        <v>0</v>
      </c>
    </row>
    <row r="808" spans="1:17" x14ac:dyDescent="0.15">
      <c r="A808" s="15" t="s">
        <v>411</v>
      </c>
      <c r="B808" s="8"/>
      <c r="C808" s="10">
        <v>1</v>
      </c>
      <c r="D808" s="10"/>
      <c r="E808" s="10"/>
      <c r="F808" s="30"/>
      <c r="G808" s="7">
        <f t="shared" si="232"/>
        <v>1</v>
      </c>
      <c r="H808" s="58">
        <v>43888</v>
      </c>
      <c r="I808" s="38" t="s">
        <v>6</v>
      </c>
      <c r="J808" s="8"/>
      <c r="K808" s="10"/>
      <c r="L808" s="10"/>
      <c r="M808" s="10"/>
      <c r="N808" s="30"/>
      <c r="O808" s="7">
        <f t="shared" si="234"/>
        <v>0</v>
      </c>
    </row>
    <row r="809" spans="1:17" x14ac:dyDescent="0.15">
      <c r="A809" s="15" t="s">
        <v>85</v>
      </c>
      <c r="B809" s="8">
        <v>3</v>
      </c>
      <c r="C809" s="10">
        <v>3</v>
      </c>
      <c r="D809" s="10"/>
      <c r="E809" s="10">
        <v>3</v>
      </c>
      <c r="F809" s="30"/>
      <c r="G809" s="7">
        <f t="shared" si="232"/>
        <v>9</v>
      </c>
      <c r="H809" s="58">
        <v>43890</v>
      </c>
      <c r="I809" s="38" t="s">
        <v>84</v>
      </c>
      <c r="J809" s="8"/>
      <c r="K809" s="10"/>
      <c r="L809" s="10"/>
      <c r="M809" s="10"/>
      <c r="N809" s="30"/>
      <c r="O809" s="7">
        <f t="shared" si="234"/>
        <v>0</v>
      </c>
    </row>
    <row r="810" spans="1:17" x14ac:dyDescent="0.15">
      <c r="A810" s="15" t="s">
        <v>993</v>
      </c>
      <c r="B810" s="11"/>
      <c r="C810" s="100"/>
      <c r="D810" s="100">
        <v>2</v>
      </c>
      <c r="E810" s="100"/>
      <c r="F810" s="101"/>
      <c r="G810" s="102">
        <f t="shared" si="232"/>
        <v>2</v>
      </c>
      <c r="H810" s="58">
        <v>43906</v>
      </c>
      <c r="I810" s="38" t="s">
        <v>85</v>
      </c>
      <c r="J810" s="8"/>
      <c r="K810" s="10"/>
      <c r="L810" s="10"/>
      <c r="M810" s="10"/>
      <c r="N810" s="30"/>
      <c r="O810" s="7">
        <f t="shared" si="234"/>
        <v>0</v>
      </c>
    </row>
    <row r="811" spans="1:17" ht="14.25" thickBot="1" x14ac:dyDescent="0.2">
      <c r="A811" s="15" t="s">
        <v>19</v>
      </c>
      <c r="B811" s="11"/>
      <c r="C811" s="100"/>
      <c r="D811" s="100"/>
      <c r="E811" s="100"/>
      <c r="F811" s="101">
        <v>1</v>
      </c>
      <c r="G811" s="102">
        <f t="shared" si="232"/>
        <v>1</v>
      </c>
      <c r="H811" s="58">
        <v>43907</v>
      </c>
      <c r="I811" s="38" t="s">
        <v>86</v>
      </c>
      <c r="J811" s="11"/>
      <c r="K811" s="100">
        <v>30</v>
      </c>
      <c r="L811" s="100">
        <v>70</v>
      </c>
      <c r="M811" s="100"/>
      <c r="N811" s="101"/>
      <c r="O811" s="102">
        <f t="shared" si="234"/>
        <v>100</v>
      </c>
    </row>
    <row r="812" spans="1:17" ht="14.25" thickBot="1" x14ac:dyDescent="0.2">
      <c r="A812" s="72" t="s">
        <v>7</v>
      </c>
      <c r="B812" s="73">
        <f>SUM(B803:B811)</f>
        <v>8</v>
      </c>
      <c r="C812" s="74">
        <f t="shared" ref="C812:G812" si="235">SUM(C803:C811)</f>
        <v>12</v>
      </c>
      <c r="D812" s="74">
        <f t="shared" si="235"/>
        <v>12</v>
      </c>
      <c r="E812" s="74">
        <f t="shared" si="235"/>
        <v>12</v>
      </c>
      <c r="F812" s="105">
        <f t="shared" si="235"/>
        <v>10</v>
      </c>
      <c r="G812" s="76">
        <f t="shared" si="235"/>
        <v>54</v>
      </c>
      <c r="H812" s="56"/>
      <c r="I812" s="72" t="s">
        <v>7</v>
      </c>
      <c r="J812" s="73">
        <f>SUM(J803:J811)</f>
        <v>205</v>
      </c>
      <c r="K812" s="74">
        <f t="shared" ref="K812:O812" si="236">SUM(K803:K811)</f>
        <v>198</v>
      </c>
      <c r="L812" s="74">
        <f t="shared" si="236"/>
        <v>250</v>
      </c>
      <c r="M812" s="74">
        <f t="shared" si="236"/>
        <v>124</v>
      </c>
      <c r="N812" s="105">
        <f t="shared" si="236"/>
        <v>97</v>
      </c>
      <c r="O812" s="76">
        <f t="shared" si="236"/>
        <v>874</v>
      </c>
    </row>
    <row r="813" spans="1:17" x14ac:dyDescent="0.15">
      <c r="A813" s="14" t="s">
        <v>117</v>
      </c>
      <c r="B813" s="11"/>
      <c r="C813" s="12"/>
      <c r="D813" s="12">
        <v>1</v>
      </c>
      <c r="E813" s="12"/>
      <c r="F813" s="31"/>
      <c r="G813" s="18">
        <f t="shared" ref="G813:G829" si="237">SUM(B813:F813)</f>
        <v>1</v>
      </c>
      <c r="H813" s="58">
        <v>43867</v>
      </c>
      <c r="I813" s="14" t="s">
        <v>25</v>
      </c>
      <c r="J813" s="8"/>
      <c r="K813" s="10">
        <v>2</v>
      </c>
      <c r="L813" s="10"/>
      <c r="M813" s="10"/>
      <c r="N813" s="30"/>
      <c r="O813" s="7">
        <f t="shared" ref="O813:O830" si="238">SUM(J813:N813)</f>
        <v>2</v>
      </c>
      <c r="P813" s="58">
        <v>43866</v>
      </c>
    </row>
    <row r="814" spans="1:17" x14ac:dyDescent="0.15">
      <c r="A814" s="39" t="s">
        <v>1257</v>
      </c>
      <c r="B814" s="8"/>
      <c r="C814" s="10">
        <v>1</v>
      </c>
      <c r="D814" s="10"/>
      <c r="E814" s="10"/>
      <c r="F814" s="30"/>
      <c r="G814" s="7">
        <f t="shared" si="237"/>
        <v>1</v>
      </c>
      <c r="H814" s="58">
        <v>43868</v>
      </c>
      <c r="I814" s="64" t="s">
        <v>1270</v>
      </c>
      <c r="J814" s="8"/>
      <c r="K814" s="10"/>
      <c r="L814" s="10"/>
      <c r="M814" s="10">
        <v>2</v>
      </c>
      <c r="N814" s="30">
        <v>2</v>
      </c>
      <c r="O814" s="7">
        <f t="shared" si="238"/>
        <v>4</v>
      </c>
      <c r="P814" s="58">
        <v>43868</v>
      </c>
    </row>
    <row r="815" spans="1:17" x14ac:dyDescent="0.15">
      <c r="A815" s="39" t="s">
        <v>29</v>
      </c>
      <c r="B815" s="8"/>
      <c r="C815" s="10">
        <v>1</v>
      </c>
      <c r="D815" s="10">
        <v>1</v>
      </c>
      <c r="E815" s="10"/>
      <c r="F815" s="30"/>
      <c r="G815" s="7">
        <f t="shared" si="237"/>
        <v>2</v>
      </c>
      <c r="H815" s="58">
        <v>43871</v>
      </c>
      <c r="I815" s="14" t="s">
        <v>22</v>
      </c>
      <c r="J815" s="8"/>
      <c r="K815" s="10"/>
      <c r="L815" s="10"/>
      <c r="M815" s="10">
        <v>10</v>
      </c>
      <c r="N815" s="30"/>
      <c r="O815" s="7">
        <f t="shared" si="238"/>
        <v>10</v>
      </c>
      <c r="P815" s="58">
        <v>43874</v>
      </c>
      <c r="Q815" s="56"/>
    </row>
    <row r="816" spans="1:17" x14ac:dyDescent="0.15">
      <c r="A816" s="39" t="s">
        <v>29</v>
      </c>
      <c r="B816" s="8"/>
      <c r="C816" s="10">
        <v>1</v>
      </c>
      <c r="D816" s="10"/>
      <c r="E816" s="10"/>
      <c r="F816" s="30"/>
      <c r="G816" s="7">
        <f t="shared" si="237"/>
        <v>1</v>
      </c>
      <c r="H816" s="58">
        <v>43874</v>
      </c>
      <c r="I816" s="14" t="s">
        <v>25</v>
      </c>
      <c r="J816" s="8"/>
      <c r="K816" s="10"/>
      <c r="L816" s="10"/>
      <c r="M816" s="10">
        <v>1</v>
      </c>
      <c r="N816" s="30"/>
      <c r="O816" s="7">
        <f t="shared" si="238"/>
        <v>1</v>
      </c>
      <c r="P816" s="58">
        <v>43873</v>
      </c>
    </row>
    <row r="817" spans="1:17" x14ac:dyDescent="0.15">
      <c r="A817" s="20" t="s">
        <v>1266</v>
      </c>
      <c r="B817" s="37"/>
      <c r="C817" s="35"/>
      <c r="D817" s="35"/>
      <c r="E817" s="35">
        <v>4</v>
      </c>
      <c r="F817" s="28"/>
      <c r="G817" s="7">
        <f t="shared" si="237"/>
        <v>4</v>
      </c>
      <c r="H817" s="58">
        <v>43876</v>
      </c>
      <c r="I817" s="14" t="s">
        <v>25</v>
      </c>
      <c r="J817" s="8"/>
      <c r="K817" s="10">
        <v>2</v>
      </c>
      <c r="L817" s="10">
        <v>1</v>
      </c>
      <c r="M817" s="10"/>
      <c r="N817" s="30"/>
      <c r="O817" s="7">
        <f t="shared" si="238"/>
        <v>3</v>
      </c>
      <c r="P817" s="58">
        <v>43875</v>
      </c>
    </row>
    <row r="818" spans="1:17" x14ac:dyDescent="0.15">
      <c r="A818" s="14" t="s">
        <v>25</v>
      </c>
      <c r="B818" s="8">
        <v>1</v>
      </c>
      <c r="C818" s="10"/>
      <c r="D818" s="10"/>
      <c r="E818" s="10"/>
      <c r="F818" s="30"/>
      <c r="G818" s="7">
        <f t="shared" si="237"/>
        <v>1</v>
      </c>
      <c r="H818" s="58">
        <v>43889</v>
      </c>
      <c r="I818" s="14" t="s">
        <v>25</v>
      </c>
      <c r="J818" s="8"/>
      <c r="K818" s="10">
        <v>1</v>
      </c>
      <c r="L818" s="10"/>
      <c r="M818" s="10"/>
      <c r="N818" s="30"/>
      <c r="O818" s="7">
        <f t="shared" si="238"/>
        <v>1</v>
      </c>
      <c r="P818" s="58">
        <v>43878</v>
      </c>
    </row>
    <row r="819" spans="1:17" x14ac:dyDescent="0.15">
      <c r="A819" s="14" t="s">
        <v>117</v>
      </c>
      <c r="B819" s="8"/>
      <c r="C819" s="10">
        <v>1</v>
      </c>
      <c r="D819" s="10"/>
      <c r="E819" s="10"/>
      <c r="F819" s="30"/>
      <c r="G819" s="7">
        <f t="shared" si="237"/>
        <v>1</v>
      </c>
      <c r="H819" s="58">
        <v>43890</v>
      </c>
      <c r="I819" s="14" t="s">
        <v>25</v>
      </c>
      <c r="J819" s="8"/>
      <c r="K819" s="10"/>
      <c r="L819" s="10"/>
      <c r="M819" s="10"/>
      <c r="N819" s="30">
        <v>1</v>
      </c>
      <c r="O819" s="7">
        <f t="shared" si="238"/>
        <v>1</v>
      </c>
      <c r="P819" s="58">
        <v>43880</v>
      </c>
      <c r="Q819" s="56"/>
    </row>
    <row r="820" spans="1:17" x14ac:dyDescent="0.15">
      <c r="A820" s="14" t="s">
        <v>117</v>
      </c>
      <c r="B820" s="8"/>
      <c r="C820" s="10"/>
      <c r="D820" s="10"/>
      <c r="E820" s="10">
        <v>1</v>
      </c>
      <c r="F820" s="30"/>
      <c r="G820" s="7">
        <f t="shared" si="237"/>
        <v>1</v>
      </c>
      <c r="H820" s="58">
        <v>43901</v>
      </c>
      <c r="I820" s="64" t="s">
        <v>1271</v>
      </c>
      <c r="J820" s="8">
        <v>3</v>
      </c>
      <c r="K820" s="10">
        <v>3</v>
      </c>
      <c r="L820" s="10">
        <v>5</v>
      </c>
      <c r="M820" s="10">
        <v>1</v>
      </c>
      <c r="N820" s="30">
        <v>2</v>
      </c>
      <c r="O820" s="7">
        <f t="shared" si="238"/>
        <v>14</v>
      </c>
      <c r="P820" s="58">
        <v>43881</v>
      </c>
    </row>
    <row r="821" spans="1:17" x14ac:dyDescent="0.15">
      <c r="A821" s="14" t="s">
        <v>25</v>
      </c>
      <c r="B821" s="8"/>
      <c r="C821" s="10">
        <v>1</v>
      </c>
      <c r="D821" s="10">
        <v>1</v>
      </c>
      <c r="E821" s="10"/>
      <c r="F821" s="30"/>
      <c r="G821" s="7">
        <f t="shared" si="237"/>
        <v>2</v>
      </c>
      <c r="H821" s="58">
        <v>43907</v>
      </c>
      <c r="I821" s="64" t="s">
        <v>1272</v>
      </c>
      <c r="J821" s="8">
        <v>4</v>
      </c>
      <c r="K821" s="10"/>
      <c r="L821" s="10"/>
      <c r="M821" s="10"/>
      <c r="N821" s="30"/>
      <c r="O821" s="7">
        <f t="shared" si="238"/>
        <v>4</v>
      </c>
      <c r="P821" s="58">
        <v>43882</v>
      </c>
    </row>
    <row r="822" spans="1:17" x14ac:dyDescent="0.15">
      <c r="A822" s="14" t="s">
        <v>117</v>
      </c>
      <c r="B822" s="11"/>
      <c r="C822" s="12"/>
      <c r="D822" s="12">
        <v>1</v>
      </c>
      <c r="E822" s="12"/>
      <c r="F822" s="31"/>
      <c r="G822" s="7">
        <f t="shared" si="237"/>
        <v>1</v>
      </c>
      <c r="H822" s="58">
        <v>43907</v>
      </c>
      <c r="I822" s="14" t="s">
        <v>25</v>
      </c>
      <c r="J822" s="11"/>
      <c r="K822" s="12">
        <v>1</v>
      </c>
      <c r="L822" s="12"/>
      <c r="M822" s="12"/>
      <c r="N822" s="31"/>
      <c r="O822" s="7">
        <f t="shared" si="238"/>
        <v>1</v>
      </c>
      <c r="P822" s="58">
        <v>43882</v>
      </c>
    </row>
    <row r="823" spans="1:17" x14ac:dyDescent="0.15">
      <c r="A823" s="14" t="s">
        <v>1289</v>
      </c>
      <c r="B823" s="8"/>
      <c r="C823" s="10"/>
      <c r="D823" s="10">
        <v>1</v>
      </c>
      <c r="E823" s="10"/>
      <c r="F823" s="30"/>
      <c r="G823" s="7">
        <f t="shared" si="237"/>
        <v>1</v>
      </c>
      <c r="H823" s="58">
        <v>43910</v>
      </c>
      <c r="I823" s="14" t="s">
        <v>25</v>
      </c>
      <c r="J823" s="8">
        <v>1</v>
      </c>
      <c r="K823" s="10"/>
      <c r="L823" s="10"/>
      <c r="M823" s="10"/>
      <c r="N823" s="30"/>
      <c r="O823" s="7">
        <f t="shared" si="238"/>
        <v>1</v>
      </c>
      <c r="P823" s="58">
        <v>43883</v>
      </c>
    </row>
    <row r="824" spans="1:17" x14ac:dyDescent="0.15">
      <c r="A824" s="14" t="s">
        <v>1338</v>
      </c>
      <c r="B824" s="8">
        <v>-1</v>
      </c>
      <c r="C824" s="10"/>
      <c r="D824" s="10"/>
      <c r="E824" s="10"/>
      <c r="F824" s="30"/>
      <c r="G824" s="7">
        <f t="shared" si="237"/>
        <v>-1</v>
      </c>
      <c r="H824" s="58">
        <v>44034</v>
      </c>
      <c r="I824" s="14" t="s">
        <v>25</v>
      </c>
      <c r="J824" s="8"/>
      <c r="K824" s="10"/>
      <c r="L824" s="10">
        <v>2</v>
      </c>
      <c r="M824" s="10"/>
      <c r="N824" s="30"/>
      <c r="O824" s="7">
        <f t="shared" si="238"/>
        <v>2</v>
      </c>
      <c r="P824" s="58">
        <v>43888</v>
      </c>
    </row>
    <row r="825" spans="1:17" x14ac:dyDescent="0.15">
      <c r="A825" s="14" t="s">
        <v>1341</v>
      </c>
      <c r="B825" s="8"/>
      <c r="C825" s="10"/>
      <c r="D825" s="10"/>
      <c r="E825" s="10"/>
      <c r="F825" s="30">
        <v>1</v>
      </c>
      <c r="G825" s="7">
        <f t="shared" si="237"/>
        <v>1</v>
      </c>
      <c r="H825" s="58">
        <v>44034</v>
      </c>
      <c r="I825" s="14" t="s">
        <v>25</v>
      </c>
      <c r="J825" s="8"/>
      <c r="K825" s="10"/>
      <c r="L825" s="10"/>
      <c r="M825" s="10">
        <v>1</v>
      </c>
      <c r="N825" s="30"/>
      <c r="O825" s="7">
        <f t="shared" si="238"/>
        <v>1</v>
      </c>
      <c r="P825" s="58">
        <v>43889</v>
      </c>
    </row>
    <row r="826" spans="1:17" x14ac:dyDescent="0.15">
      <c r="A826" s="39"/>
      <c r="B826" s="8"/>
      <c r="C826" s="10"/>
      <c r="D826" s="10"/>
      <c r="E826" s="10"/>
      <c r="F826" s="30"/>
      <c r="G826" s="7">
        <f t="shared" si="237"/>
        <v>0</v>
      </c>
      <c r="H826" s="58"/>
      <c r="I826" s="14" t="s">
        <v>1278</v>
      </c>
      <c r="J826" s="8">
        <v>3</v>
      </c>
      <c r="K826" s="10">
        <v>3</v>
      </c>
      <c r="L826" s="10"/>
      <c r="M826" s="10">
        <v>3</v>
      </c>
      <c r="N826" s="30"/>
      <c r="O826" s="7">
        <f t="shared" si="238"/>
        <v>9</v>
      </c>
      <c r="P826" s="58">
        <v>43890</v>
      </c>
      <c r="Q826" s="56"/>
    </row>
    <row r="827" spans="1:17" x14ac:dyDescent="0.15">
      <c r="A827" s="14"/>
      <c r="B827" s="8"/>
      <c r="C827" s="10"/>
      <c r="D827" s="10"/>
      <c r="E827" s="10"/>
      <c r="F827" s="30"/>
      <c r="G827" s="7">
        <f t="shared" si="237"/>
        <v>0</v>
      </c>
      <c r="H827" s="58"/>
      <c r="I827" s="14" t="s">
        <v>25</v>
      </c>
      <c r="J827" s="8"/>
      <c r="K827" s="10"/>
      <c r="L827" s="10"/>
      <c r="M827" s="10"/>
      <c r="N827" s="30">
        <v>1</v>
      </c>
      <c r="O827" s="7">
        <f t="shared" si="238"/>
        <v>1</v>
      </c>
      <c r="P827" s="58">
        <v>43893</v>
      </c>
    </row>
    <row r="828" spans="1:17" x14ac:dyDescent="0.15">
      <c r="A828" s="14"/>
      <c r="B828" s="8"/>
      <c r="C828" s="10"/>
      <c r="D828" s="10"/>
      <c r="E828" s="10"/>
      <c r="F828" s="30"/>
      <c r="G828" s="7">
        <f t="shared" si="237"/>
        <v>0</v>
      </c>
      <c r="H828" s="58"/>
      <c r="I828" s="64" t="s">
        <v>1280</v>
      </c>
      <c r="J828" s="8"/>
      <c r="K828" s="10">
        <v>1</v>
      </c>
      <c r="L828" s="10">
        <v>1</v>
      </c>
      <c r="M828" s="10">
        <v>2</v>
      </c>
      <c r="N828" s="30">
        <v>2</v>
      </c>
      <c r="O828" s="7">
        <f t="shared" si="238"/>
        <v>6</v>
      </c>
      <c r="P828" s="58">
        <v>43902</v>
      </c>
    </row>
    <row r="829" spans="1:17" x14ac:dyDescent="0.15">
      <c r="A829" s="14"/>
      <c r="B829" s="8"/>
      <c r="C829" s="10"/>
      <c r="D829" s="10"/>
      <c r="E829" s="10"/>
      <c r="F829" s="30"/>
      <c r="G829" s="7">
        <f t="shared" si="237"/>
        <v>0</v>
      </c>
      <c r="H829" s="58"/>
      <c r="I829" s="14" t="s">
        <v>25</v>
      </c>
      <c r="J829" s="8"/>
      <c r="K829" s="10"/>
      <c r="L829" s="10"/>
      <c r="M829" s="10">
        <v>1</v>
      </c>
      <c r="N829" s="30"/>
      <c r="O829" s="7">
        <f t="shared" si="238"/>
        <v>1</v>
      </c>
      <c r="P829" s="58">
        <v>43901</v>
      </c>
      <c r="Q829" s="56"/>
    </row>
    <row r="830" spans="1:17" x14ac:dyDescent="0.15">
      <c r="A830" s="14"/>
      <c r="B830" s="8"/>
      <c r="C830" s="10"/>
      <c r="D830" s="10"/>
      <c r="E830" s="10"/>
      <c r="F830" s="30"/>
      <c r="G830" s="7">
        <v>2</v>
      </c>
      <c r="H830" s="58"/>
      <c r="I830" s="14" t="s">
        <v>22</v>
      </c>
      <c r="J830" s="11"/>
      <c r="K830" s="12"/>
      <c r="L830" s="12"/>
      <c r="M830" s="12"/>
      <c r="N830" s="31">
        <v>10</v>
      </c>
      <c r="O830" s="7">
        <f t="shared" si="238"/>
        <v>10</v>
      </c>
      <c r="P830" s="58">
        <v>43909</v>
      </c>
      <c r="Q830" s="56"/>
    </row>
    <row r="831" spans="1:17" x14ac:dyDescent="0.15">
      <c r="A831" s="14"/>
      <c r="B831" s="8"/>
      <c r="C831" s="10"/>
      <c r="D831" s="10"/>
      <c r="E831" s="10"/>
      <c r="F831" s="30"/>
      <c r="G831" s="7">
        <f t="shared" ref="G831:G838" si="239">SUM(B831:F831)</f>
        <v>0</v>
      </c>
      <c r="H831" s="58"/>
      <c r="I831" s="16" t="s">
        <v>1288</v>
      </c>
      <c r="J831" s="8"/>
      <c r="K831" s="10">
        <v>2</v>
      </c>
      <c r="L831" s="10">
        <v>6</v>
      </c>
      <c r="M831" s="10">
        <v>5</v>
      </c>
      <c r="N831" s="30">
        <v>3</v>
      </c>
      <c r="O831" s="7">
        <f>SUM(J831:N831)</f>
        <v>16</v>
      </c>
      <c r="P831" s="58">
        <v>43908</v>
      </c>
      <c r="Q831" s="56"/>
    </row>
    <row r="832" spans="1:17" x14ac:dyDescent="0.15">
      <c r="A832" s="39"/>
      <c r="B832" s="8"/>
      <c r="C832" s="10"/>
      <c r="D832" s="10"/>
      <c r="E832" s="10"/>
      <c r="F832" s="30"/>
      <c r="G832" s="7">
        <f t="shared" si="239"/>
        <v>0</v>
      </c>
      <c r="H832" s="58"/>
      <c r="I832" s="14" t="s">
        <v>25</v>
      </c>
      <c r="J832" s="11"/>
      <c r="K832" s="12"/>
      <c r="L832" s="12"/>
      <c r="M832" s="12"/>
      <c r="N832" s="31">
        <v>1</v>
      </c>
      <c r="O832" s="7">
        <f t="shared" ref="O832:O838" si="240">SUM(J832:N832)</f>
        <v>1</v>
      </c>
      <c r="P832" s="58">
        <v>43914</v>
      </c>
      <c r="Q832" s="56"/>
    </row>
    <row r="833" spans="1:17" x14ac:dyDescent="0.15">
      <c r="A833" s="20"/>
      <c r="B833" s="8"/>
      <c r="C833" s="10"/>
      <c r="D833" s="10"/>
      <c r="E833" s="10"/>
      <c r="F833" s="30"/>
      <c r="G833" s="7">
        <f t="shared" si="239"/>
        <v>0</v>
      </c>
      <c r="H833" s="58"/>
      <c r="I833" s="64" t="s">
        <v>1290</v>
      </c>
      <c r="J833" s="8"/>
      <c r="K833" s="10"/>
      <c r="L833" s="10">
        <v>4</v>
      </c>
      <c r="M833" s="10"/>
      <c r="N833" s="30"/>
      <c r="O833" s="7">
        <f t="shared" si="240"/>
        <v>4</v>
      </c>
      <c r="P833" s="58">
        <v>43916</v>
      </c>
      <c r="Q833" s="56"/>
    </row>
    <row r="834" spans="1:17" x14ac:dyDescent="0.15">
      <c r="A834" s="39"/>
      <c r="B834" s="11"/>
      <c r="C834" s="12"/>
      <c r="D834" s="12"/>
      <c r="E834" s="12"/>
      <c r="F834" s="31"/>
      <c r="G834" s="7">
        <f t="shared" si="239"/>
        <v>0</v>
      </c>
      <c r="H834" s="58"/>
      <c r="I834" s="14" t="s">
        <v>25</v>
      </c>
      <c r="J834" s="11">
        <v>1</v>
      </c>
      <c r="K834" s="12"/>
      <c r="L834" s="12"/>
      <c r="M834" s="12">
        <v>1</v>
      </c>
      <c r="N834" s="31"/>
      <c r="O834" s="7">
        <f t="shared" si="240"/>
        <v>2</v>
      </c>
      <c r="P834" s="58">
        <v>43916</v>
      </c>
      <c r="Q834" s="56"/>
    </row>
    <row r="835" spans="1:17" x14ac:dyDescent="0.15">
      <c r="A835" s="170"/>
      <c r="B835" s="8"/>
      <c r="C835" s="10"/>
      <c r="D835" s="10"/>
      <c r="E835" s="10"/>
      <c r="F835" s="30"/>
      <c r="G835" s="7">
        <f t="shared" si="239"/>
        <v>0</v>
      </c>
      <c r="H835" s="58"/>
      <c r="I835" s="14" t="s">
        <v>25</v>
      </c>
      <c r="J835" s="11"/>
      <c r="K835" s="12">
        <v>1</v>
      </c>
      <c r="L835" s="12"/>
      <c r="M835" s="12"/>
      <c r="N835" s="31"/>
      <c r="O835" s="7">
        <f t="shared" si="240"/>
        <v>1</v>
      </c>
      <c r="P835" s="58">
        <v>43918</v>
      </c>
      <c r="Q835" s="56"/>
    </row>
    <row r="836" spans="1:17" x14ac:dyDescent="0.15">
      <c r="A836" s="39"/>
      <c r="B836" s="8"/>
      <c r="C836" s="10"/>
      <c r="D836" s="10"/>
      <c r="E836" s="10"/>
      <c r="F836" s="30"/>
      <c r="G836" s="7">
        <f t="shared" si="239"/>
        <v>0</v>
      </c>
      <c r="H836" s="58"/>
      <c r="I836" s="16"/>
      <c r="J836" s="8"/>
      <c r="K836" s="10"/>
      <c r="L836" s="10"/>
      <c r="M836" s="10"/>
      <c r="N836" s="30"/>
      <c r="O836" s="7">
        <f t="shared" si="240"/>
        <v>0</v>
      </c>
      <c r="P836" s="56"/>
      <c r="Q836" s="56"/>
    </row>
    <row r="837" spans="1:17" x14ac:dyDescent="0.15">
      <c r="A837" s="14"/>
      <c r="B837" s="8"/>
      <c r="C837" s="10"/>
      <c r="D837" s="10"/>
      <c r="E837" s="10"/>
      <c r="F837" s="30"/>
      <c r="G837" s="7">
        <f t="shared" si="239"/>
        <v>0</v>
      </c>
      <c r="H837" s="58"/>
      <c r="I837" s="16" t="s">
        <v>1242</v>
      </c>
      <c r="J837" s="8"/>
      <c r="K837" s="10"/>
      <c r="L837" s="10"/>
      <c r="M837" s="10"/>
      <c r="N837" s="30"/>
      <c r="O837" s="7">
        <f t="shared" si="240"/>
        <v>0</v>
      </c>
      <c r="P837" s="56" t="s">
        <v>1241</v>
      </c>
      <c r="Q837" s="56"/>
    </row>
    <row r="838" spans="1:17" ht="14.25" thickBot="1" x14ac:dyDescent="0.2">
      <c r="A838" s="51"/>
      <c r="B838" s="11"/>
      <c r="C838" s="12"/>
      <c r="D838" s="12"/>
      <c r="E838" s="12"/>
      <c r="F838" s="31"/>
      <c r="G838" s="115">
        <f t="shared" si="239"/>
        <v>0</v>
      </c>
      <c r="H838" s="58"/>
      <c r="I838" s="64" t="s">
        <v>1231</v>
      </c>
      <c r="J838" s="11"/>
      <c r="K838" s="12"/>
      <c r="L838" s="12"/>
      <c r="M838" s="12"/>
      <c r="N838" s="31"/>
      <c r="O838" s="7">
        <f t="shared" si="240"/>
        <v>0</v>
      </c>
      <c r="P838" s="56" t="s">
        <v>1232</v>
      </c>
    </row>
    <row r="839" spans="1:17" ht="14.25" thickBot="1" x14ac:dyDescent="0.2">
      <c r="A839" s="3" t="s">
        <v>11</v>
      </c>
      <c r="B839" s="23">
        <f>SUM(B813:B838)</f>
        <v>0</v>
      </c>
      <c r="C839" s="4">
        <f>SUM(C813:C838)</f>
        <v>5</v>
      </c>
      <c r="D839" s="4">
        <f>SUM(D813:D838)</f>
        <v>5</v>
      </c>
      <c r="E839" s="6">
        <f>SUM(E813:E838)</f>
        <v>5</v>
      </c>
      <c r="F839" s="32">
        <f>SUM(F813:F838)</f>
        <v>1</v>
      </c>
      <c r="G839" s="5">
        <f>SUM(B839:F839)</f>
        <v>16</v>
      </c>
      <c r="I839" s="3" t="s">
        <v>11</v>
      </c>
      <c r="J839" s="23">
        <f>SUM(J813:J838)</f>
        <v>12</v>
      </c>
      <c r="K839" s="4">
        <f>SUM(K813:K838)</f>
        <v>16</v>
      </c>
      <c r="L839" s="4">
        <f>SUM(L813:L838)</f>
        <v>19</v>
      </c>
      <c r="M839" s="6">
        <f>SUM(M813:M838)</f>
        <v>27</v>
      </c>
      <c r="N839" s="32">
        <f>SUM(N813:N838)</f>
        <v>22</v>
      </c>
      <c r="O839" s="5">
        <f>SUM(J839:N839)</f>
        <v>96</v>
      </c>
    </row>
    <row r="840" spans="1:17" ht="14.25" thickBot="1" x14ac:dyDescent="0.2">
      <c r="A840" s="25" t="s">
        <v>12</v>
      </c>
      <c r="B840" s="63">
        <f>B812-B839</f>
        <v>8</v>
      </c>
      <c r="C840" s="26">
        <f t="shared" ref="C840:G840" si="241">C812-C839</f>
        <v>7</v>
      </c>
      <c r="D840" s="71">
        <f t="shared" si="241"/>
        <v>7</v>
      </c>
      <c r="E840" s="26">
        <f t="shared" si="241"/>
        <v>7</v>
      </c>
      <c r="F840" s="70">
        <f t="shared" si="241"/>
        <v>9</v>
      </c>
      <c r="G840" s="27">
        <f t="shared" si="241"/>
        <v>38</v>
      </c>
      <c r="I840" s="25" t="s">
        <v>12</v>
      </c>
      <c r="J840" s="63">
        <f>J812-J839</f>
        <v>193</v>
      </c>
      <c r="K840" s="26">
        <f t="shared" ref="K840:O840" si="242">K812-K839</f>
        <v>182</v>
      </c>
      <c r="L840" s="71">
        <f t="shared" si="242"/>
        <v>231</v>
      </c>
      <c r="M840" s="26">
        <f t="shared" si="242"/>
        <v>97</v>
      </c>
      <c r="N840" s="70">
        <f t="shared" si="242"/>
        <v>75</v>
      </c>
      <c r="O840" s="27">
        <f t="shared" si="242"/>
        <v>778</v>
      </c>
    </row>
    <row r="841" spans="1:17" ht="17.25" x14ac:dyDescent="0.2">
      <c r="A841" s="79" t="s">
        <v>391</v>
      </c>
      <c r="B841" s="80"/>
      <c r="C841" s="80"/>
      <c r="D841" s="80"/>
      <c r="E841" s="80"/>
      <c r="F841" s="80"/>
      <c r="G841" s="80"/>
      <c r="H841" s="56"/>
      <c r="I841" s="79" t="s">
        <v>391</v>
      </c>
      <c r="J841" s="80"/>
      <c r="K841" s="80"/>
      <c r="L841" s="80"/>
      <c r="M841" s="80"/>
      <c r="N841" s="80"/>
      <c r="O841" s="1"/>
    </row>
    <row r="842" spans="1:17" ht="21.75" thickBot="1" x14ac:dyDescent="0.25">
      <c r="A842" s="82" t="s">
        <v>390</v>
      </c>
      <c r="B842" s="80"/>
      <c r="C842" s="80"/>
      <c r="D842" s="80"/>
      <c r="E842" s="81" t="s">
        <v>53</v>
      </c>
      <c r="F842" s="80"/>
      <c r="G842" s="80"/>
      <c r="H842" s="56"/>
      <c r="I842" s="82" t="s">
        <v>390</v>
      </c>
      <c r="J842" s="80"/>
      <c r="K842" s="80"/>
      <c r="L842" s="80"/>
      <c r="M842" s="81" t="s">
        <v>393</v>
      </c>
      <c r="N842" s="80"/>
      <c r="O842" s="1"/>
    </row>
    <row r="843" spans="1:17" ht="14.25" thickBot="1" x14ac:dyDescent="0.2">
      <c r="A843" s="13" t="s">
        <v>0</v>
      </c>
      <c r="B843" s="228" t="s">
        <v>392</v>
      </c>
      <c r="C843" s="229"/>
      <c r="D843" s="229"/>
      <c r="E843" s="229"/>
      <c r="F843" s="230"/>
      <c r="G843" s="231"/>
      <c r="H843" s="56"/>
      <c r="I843" s="13" t="s">
        <v>0</v>
      </c>
      <c r="J843" s="228" t="s">
        <v>392</v>
      </c>
      <c r="K843" s="229"/>
      <c r="L843" s="229"/>
      <c r="M843" s="229"/>
      <c r="N843" s="230"/>
      <c r="O843" s="231"/>
    </row>
    <row r="844" spans="1:17" ht="14.25" thickBot="1" x14ac:dyDescent="0.2">
      <c r="A844" s="3" t="s">
        <v>1</v>
      </c>
      <c r="B844" s="2" t="s">
        <v>42</v>
      </c>
      <c r="C844" s="21" t="s">
        <v>43</v>
      </c>
      <c r="D844" s="21" t="s">
        <v>44</v>
      </c>
      <c r="E844" s="24" t="s">
        <v>45</v>
      </c>
      <c r="F844" s="33" t="s">
        <v>46</v>
      </c>
      <c r="G844" s="34" t="s">
        <v>2</v>
      </c>
      <c r="H844" s="56"/>
      <c r="I844" s="3" t="s">
        <v>1</v>
      </c>
      <c r="J844" s="41" t="s">
        <v>42</v>
      </c>
      <c r="K844" s="42" t="s">
        <v>43</v>
      </c>
      <c r="L844" s="42" t="s">
        <v>44</v>
      </c>
      <c r="M844" s="43" t="s">
        <v>45</v>
      </c>
      <c r="N844" s="44" t="s">
        <v>46</v>
      </c>
      <c r="O844" s="3" t="s">
        <v>2</v>
      </c>
    </row>
    <row r="845" spans="1:17" ht="14.25" thickBot="1" x14ac:dyDescent="0.2">
      <c r="A845" s="72" t="s">
        <v>456</v>
      </c>
      <c r="B845" s="73">
        <f>B840</f>
        <v>8</v>
      </c>
      <c r="C845" s="74">
        <f t="shared" ref="C845:F845" si="243">C840</f>
        <v>7</v>
      </c>
      <c r="D845" s="74">
        <f t="shared" si="243"/>
        <v>7</v>
      </c>
      <c r="E845" s="74">
        <f t="shared" si="243"/>
        <v>7</v>
      </c>
      <c r="F845" s="105">
        <f t="shared" si="243"/>
        <v>9</v>
      </c>
      <c r="G845" s="131">
        <f t="shared" ref="G845:G853" si="244">SUM(B845:F845)</f>
        <v>38</v>
      </c>
      <c r="H845" s="56"/>
      <c r="I845" s="72" t="s">
        <v>456</v>
      </c>
      <c r="J845" s="73">
        <f>J840</f>
        <v>193</v>
      </c>
      <c r="K845" s="74">
        <f t="shared" ref="K845:N845" si="245">K840</f>
        <v>182</v>
      </c>
      <c r="L845" s="74">
        <f t="shared" si="245"/>
        <v>231</v>
      </c>
      <c r="M845" s="74">
        <f t="shared" si="245"/>
        <v>97</v>
      </c>
      <c r="N845" s="105">
        <f t="shared" si="245"/>
        <v>75</v>
      </c>
      <c r="O845" s="131">
        <f t="shared" ref="O845:O853" si="246">SUM(J845:N845)</f>
        <v>778</v>
      </c>
    </row>
    <row r="846" spans="1:17" x14ac:dyDescent="0.15">
      <c r="A846" s="15" t="s">
        <v>19</v>
      </c>
      <c r="B846" s="8"/>
      <c r="C846" s="10">
        <v>1</v>
      </c>
      <c r="D846" s="10"/>
      <c r="E846" s="10"/>
      <c r="F846" s="28"/>
      <c r="G846" s="9">
        <f t="shared" si="244"/>
        <v>1</v>
      </c>
      <c r="H846" s="58">
        <v>43922</v>
      </c>
      <c r="I846" s="38" t="s">
        <v>14</v>
      </c>
      <c r="J846" s="37"/>
      <c r="K846" s="35"/>
      <c r="L846" s="35"/>
      <c r="M846" s="35"/>
      <c r="N846" s="28"/>
      <c r="O846" s="7">
        <f t="shared" si="246"/>
        <v>0</v>
      </c>
      <c r="P846" s="57"/>
    </row>
    <row r="847" spans="1:17" x14ac:dyDescent="0.15">
      <c r="A847" s="15" t="s">
        <v>17</v>
      </c>
      <c r="B847" s="8"/>
      <c r="C847" s="10">
        <v>1</v>
      </c>
      <c r="D847" s="10"/>
      <c r="E847" s="10"/>
      <c r="F847" s="28"/>
      <c r="G847" s="9">
        <f t="shared" si="244"/>
        <v>1</v>
      </c>
      <c r="H847" s="58">
        <v>43930</v>
      </c>
      <c r="I847" s="38" t="s">
        <v>3</v>
      </c>
      <c r="J847" s="8"/>
      <c r="K847" s="10"/>
      <c r="L847" s="10"/>
      <c r="M847" s="10"/>
      <c r="N847" s="28"/>
      <c r="O847" s="9">
        <f t="shared" si="246"/>
        <v>0</v>
      </c>
      <c r="P847" s="56"/>
      <c r="Q847" s="56"/>
    </row>
    <row r="848" spans="1:17" x14ac:dyDescent="0.15">
      <c r="A848" s="15" t="s">
        <v>993</v>
      </c>
      <c r="B848" s="8"/>
      <c r="C848" s="10">
        <v>1</v>
      </c>
      <c r="D848" s="10"/>
      <c r="E848" s="10"/>
      <c r="F848" s="28"/>
      <c r="G848" s="9">
        <f t="shared" si="244"/>
        <v>1</v>
      </c>
      <c r="H848" s="58">
        <v>43930</v>
      </c>
      <c r="I848" s="38" t="s">
        <v>4</v>
      </c>
      <c r="J848" s="8"/>
      <c r="K848" s="10"/>
      <c r="L848" s="10"/>
      <c r="M848" s="10"/>
      <c r="N848" s="30"/>
      <c r="O848" s="7">
        <f t="shared" si="246"/>
        <v>0</v>
      </c>
    </row>
    <row r="849" spans="1:17" x14ac:dyDescent="0.15">
      <c r="A849" s="15" t="s">
        <v>261</v>
      </c>
      <c r="B849" s="8"/>
      <c r="C849" s="10">
        <v>1</v>
      </c>
      <c r="D849" s="10">
        <v>1</v>
      </c>
      <c r="E849" s="10">
        <v>2</v>
      </c>
      <c r="F849" s="28">
        <v>2</v>
      </c>
      <c r="G849" s="9">
        <f t="shared" si="244"/>
        <v>6</v>
      </c>
      <c r="H849" s="58">
        <v>43941</v>
      </c>
      <c r="I849" s="38" t="s">
        <v>5</v>
      </c>
      <c r="J849" s="8"/>
      <c r="K849" s="10"/>
      <c r="L849" s="10"/>
      <c r="M849" s="10"/>
      <c r="N849" s="28"/>
      <c r="O849" s="9">
        <f t="shared" si="246"/>
        <v>0</v>
      </c>
    </row>
    <row r="850" spans="1:17" x14ac:dyDescent="0.15">
      <c r="A850" s="15" t="s">
        <v>17</v>
      </c>
      <c r="B850" s="8"/>
      <c r="C850" s="10">
        <v>1</v>
      </c>
      <c r="D850" s="10"/>
      <c r="E850" s="10"/>
      <c r="F850" s="30"/>
      <c r="G850" s="7">
        <f t="shared" si="244"/>
        <v>1</v>
      </c>
      <c r="H850" s="58">
        <v>43949</v>
      </c>
      <c r="I850" s="38" t="s">
        <v>6</v>
      </c>
      <c r="J850" s="8"/>
      <c r="K850" s="10"/>
      <c r="L850" s="10"/>
      <c r="M850" s="10"/>
      <c r="N850" s="30"/>
      <c r="O850" s="7">
        <f t="shared" si="246"/>
        <v>0</v>
      </c>
    </row>
    <row r="851" spans="1:17" x14ac:dyDescent="0.15">
      <c r="A851" s="15" t="s">
        <v>993</v>
      </c>
      <c r="B851" s="8"/>
      <c r="C851" s="10"/>
      <c r="D851" s="10">
        <v>1</v>
      </c>
      <c r="E851" s="10"/>
      <c r="F851" s="30"/>
      <c r="G851" s="7">
        <f t="shared" si="244"/>
        <v>1</v>
      </c>
      <c r="H851" s="58">
        <v>43962</v>
      </c>
      <c r="I851" s="38" t="s">
        <v>84</v>
      </c>
      <c r="J851" s="8"/>
      <c r="K851" s="10"/>
      <c r="L851" s="10"/>
      <c r="M851" s="10"/>
      <c r="N851" s="30"/>
      <c r="O851" s="7">
        <f t="shared" si="246"/>
        <v>0</v>
      </c>
    </row>
    <row r="852" spans="1:17" x14ac:dyDescent="0.15">
      <c r="A852" s="15" t="s">
        <v>993</v>
      </c>
      <c r="B852" s="11"/>
      <c r="C852" s="100">
        <v>1</v>
      </c>
      <c r="D852" s="100"/>
      <c r="E852" s="100"/>
      <c r="F852" s="101"/>
      <c r="G852" s="102">
        <f t="shared" si="244"/>
        <v>1</v>
      </c>
      <c r="H852" s="58">
        <v>44002</v>
      </c>
      <c r="I852" s="38" t="s">
        <v>85</v>
      </c>
      <c r="J852" s="8"/>
      <c r="K852" s="10"/>
      <c r="L852" s="10"/>
      <c r="M852" s="10"/>
      <c r="N852" s="30"/>
      <c r="O852" s="7">
        <f t="shared" si="246"/>
        <v>0</v>
      </c>
    </row>
    <row r="853" spans="1:17" ht="14.25" thickBot="1" x14ac:dyDescent="0.2">
      <c r="A853" s="15" t="s">
        <v>87</v>
      </c>
      <c r="B853" s="11"/>
      <c r="C853" s="100"/>
      <c r="D853" s="100"/>
      <c r="E853" s="100"/>
      <c r="F853" s="101"/>
      <c r="G853" s="102">
        <f t="shared" si="244"/>
        <v>0</v>
      </c>
      <c r="H853" s="58"/>
      <c r="I853" s="38" t="s">
        <v>86</v>
      </c>
      <c r="J853" s="11"/>
      <c r="K853" s="100"/>
      <c r="L853" s="100"/>
      <c r="M853" s="100"/>
      <c r="N853" s="101"/>
      <c r="O853" s="102">
        <f t="shared" si="246"/>
        <v>0</v>
      </c>
    </row>
    <row r="854" spans="1:17" ht="14.25" thickBot="1" x14ac:dyDescent="0.2">
      <c r="A854" s="72" t="s">
        <v>7</v>
      </c>
      <c r="B854" s="73">
        <f>SUM(B845:B853)</f>
        <v>8</v>
      </c>
      <c r="C854" s="74">
        <f t="shared" ref="C854:G854" si="247">SUM(C845:C853)</f>
        <v>13</v>
      </c>
      <c r="D854" s="74">
        <f t="shared" si="247"/>
        <v>9</v>
      </c>
      <c r="E854" s="74">
        <f t="shared" si="247"/>
        <v>9</v>
      </c>
      <c r="F854" s="105">
        <f t="shared" si="247"/>
        <v>11</v>
      </c>
      <c r="G854" s="76">
        <f t="shared" si="247"/>
        <v>50</v>
      </c>
      <c r="H854" s="56"/>
      <c r="I854" s="72" t="s">
        <v>7</v>
      </c>
      <c r="J854" s="73">
        <f>SUM(J845:J853)</f>
        <v>193</v>
      </c>
      <c r="K854" s="74">
        <f t="shared" ref="K854:O854" si="248">SUM(K845:K853)</f>
        <v>182</v>
      </c>
      <c r="L854" s="74">
        <f t="shared" si="248"/>
        <v>231</v>
      </c>
      <c r="M854" s="74">
        <f t="shared" si="248"/>
        <v>97</v>
      </c>
      <c r="N854" s="105">
        <f t="shared" si="248"/>
        <v>75</v>
      </c>
      <c r="O854" s="76">
        <f t="shared" si="248"/>
        <v>778</v>
      </c>
    </row>
    <row r="855" spans="1:17" x14ac:dyDescent="0.15">
      <c r="A855" s="39" t="s">
        <v>29</v>
      </c>
      <c r="B855" s="11"/>
      <c r="C855" s="12">
        <v>1</v>
      </c>
      <c r="D855" s="12"/>
      <c r="E855" s="12"/>
      <c r="F855" s="31"/>
      <c r="G855" s="18">
        <f t="shared" ref="G855:G871" si="249">SUM(B855:F855)</f>
        <v>1</v>
      </c>
      <c r="H855" s="58">
        <v>43932</v>
      </c>
      <c r="I855" s="14" t="s">
        <v>25</v>
      </c>
      <c r="J855" s="8"/>
      <c r="K855" s="10"/>
      <c r="L855" s="10"/>
      <c r="M855" s="10"/>
      <c r="N855" s="30">
        <v>1</v>
      </c>
      <c r="O855" s="7">
        <f t="shared" ref="O855:O872" si="250">SUM(J855:N855)</f>
        <v>1</v>
      </c>
      <c r="P855" s="58">
        <v>43921</v>
      </c>
    </row>
    <row r="856" spans="1:17" x14ac:dyDescent="0.15">
      <c r="A856" s="39" t="s">
        <v>1299</v>
      </c>
      <c r="B856" s="8"/>
      <c r="C856" s="10">
        <v>1</v>
      </c>
      <c r="D856" s="10"/>
      <c r="E856" s="10"/>
      <c r="F856" s="30"/>
      <c r="G856" s="7">
        <f t="shared" si="249"/>
        <v>1</v>
      </c>
      <c r="H856" s="58">
        <v>43942</v>
      </c>
      <c r="I856" s="14" t="s">
        <v>25</v>
      </c>
      <c r="J856" s="8"/>
      <c r="K856" s="10">
        <v>1</v>
      </c>
      <c r="L856" s="10"/>
      <c r="M856" s="10"/>
      <c r="N856" s="30"/>
      <c r="O856" s="7">
        <f t="shared" si="250"/>
        <v>1</v>
      </c>
      <c r="P856" s="58">
        <v>43922</v>
      </c>
    </row>
    <row r="857" spans="1:17" x14ac:dyDescent="0.15">
      <c r="A857" s="39" t="s">
        <v>1300</v>
      </c>
      <c r="B857" s="8">
        <v>-1</v>
      </c>
      <c r="C857" s="10">
        <v>1</v>
      </c>
      <c r="D857" s="10"/>
      <c r="E857" s="10">
        <v>-1</v>
      </c>
      <c r="F857" s="30">
        <v>1</v>
      </c>
      <c r="G857" s="7">
        <v>0</v>
      </c>
      <c r="H857" s="58">
        <v>43948</v>
      </c>
      <c r="I857" s="14" t="s">
        <v>25</v>
      </c>
      <c r="J857" s="8"/>
      <c r="K857" s="10">
        <v>2</v>
      </c>
      <c r="L857" s="10"/>
      <c r="M857" s="10"/>
      <c r="N857" s="30"/>
      <c r="O857" s="7">
        <f t="shared" si="250"/>
        <v>2</v>
      </c>
      <c r="P857" s="58">
        <v>43924</v>
      </c>
      <c r="Q857" s="56"/>
    </row>
    <row r="858" spans="1:17" x14ac:dyDescent="0.15">
      <c r="A858" s="39" t="s">
        <v>29</v>
      </c>
      <c r="B858" s="8"/>
      <c r="C858" s="10">
        <v>1</v>
      </c>
      <c r="D858" s="10"/>
      <c r="E858" s="10"/>
      <c r="F858" s="30"/>
      <c r="G858" s="7">
        <f t="shared" si="249"/>
        <v>1</v>
      </c>
      <c r="H858" s="58">
        <v>43962</v>
      </c>
      <c r="I858" s="14" t="s">
        <v>25</v>
      </c>
      <c r="J858" s="8"/>
      <c r="K858" s="10"/>
      <c r="L858" s="10">
        <v>1</v>
      </c>
      <c r="M858" s="10"/>
      <c r="N858" s="30"/>
      <c r="O858" s="7">
        <f t="shared" si="250"/>
        <v>1</v>
      </c>
      <c r="P858" s="58">
        <v>43927</v>
      </c>
      <c r="Q858" s="56"/>
    </row>
    <row r="859" spans="1:17" x14ac:dyDescent="0.15">
      <c r="A859" s="39" t="s">
        <v>995</v>
      </c>
      <c r="B859" s="37">
        <v>1</v>
      </c>
      <c r="C859" s="35">
        <v>-1</v>
      </c>
      <c r="D859" s="35"/>
      <c r="E859" s="35"/>
      <c r="F859" s="28"/>
      <c r="G859" s="7">
        <f t="shared" si="249"/>
        <v>0</v>
      </c>
      <c r="H859" s="58">
        <v>43964</v>
      </c>
      <c r="I859" s="64" t="s">
        <v>1297</v>
      </c>
      <c r="J859" s="8"/>
      <c r="K859" s="10">
        <v>4</v>
      </c>
      <c r="L859" s="10"/>
      <c r="M859" s="10">
        <v>3</v>
      </c>
      <c r="N859" s="30">
        <v>1</v>
      </c>
      <c r="O859" s="7">
        <f t="shared" si="250"/>
        <v>8</v>
      </c>
      <c r="P859" s="58">
        <v>43936</v>
      </c>
    </row>
    <row r="860" spans="1:17" x14ac:dyDescent="0.15">
      <c r="A860" s="39" t="s">
        <v>29</v>
      </c>
      <c r="B860" s="8"/>
      <c r="C860" s="10"/>
      <c r="D860" s="10"/>
      <c r="E860" s="10">
        <v>1</v>
      </c>
      <c r="F860" s="30"/>
      <c r="G860" s="7">
        <f t="shared" si="249"/>
        <v>1</v>
      </c>
      <c r="H860" s="58">
        <v>43967</v>
      </c>
      <c r="I860" s="64" t="s">
        <v>1301</v>
      </c>
      <c r="J860" s="8"/>
      <c r="K860" s="10">
        <v>4</v>
      </c>
      <c r="L860" s="10"/>
      <c r="M860" s="10"/>
      <c r="N860" s="30"/>
      <c r="O860" s="7">
        <f t="shared" si="250"/>
        <v>4</v>
      </c>
      <c r="P860" s="58">
        <v>43951</v>
      </c>
    </row>
    <row r="861" spans="1:17" x14ac:dyDescent="0.15">
      <c r="A861" s="14" t="s">
        <v>182</v>
      </c>
      <c r="B861" s="8"/>
      <c r="C861" s="10">
        <v>2</v>
      </c>
      <c r="D861" s="10"/>
      <c r="E861" s="10"/>
      <c r="F861" s="30"/>
      <c r="G861" s="7">
        <f t="shared" si="249"/>
        <v>2</v>
      </c>
      <c r="H861" s="58">
        <v>43984</v>
      </c>
      <c r="I861" s="14" t="s">
        <v>22</v>
      </c>
      <c r="J861" s="8"/>
      <c r="K861" s="10">
        <v>10</v>
      </c>
      <c r="L861" s="10"/>
      <c r="M861" s="10"/>
      <c r="N861" s="30"/>
      <c r="O861" s="7">
        <f t="shared" si="250"/>
        <v>10</v>
      </c>
      <c r="P861" s="58">
        <v>43959</v>
      </c>
      <c r="Q861" s="56"/>
    </row>
    <row r="862" spans="1:17" x14ac:dyDescent="0.15">
      <c r="A862" s="14" t="s">
        <v>1318</v>
      </c>
      <c r="B862" s="8"/>
      <c r="C862" s="10"/>
      <c r="D862" s="10">
        <v>1</v>
      </c>
      <c r="E862" s="10"/>
      <c r="F862" s="30"/>
      <c r="G862" s="7">
        <f t="shared" si="249"/>
        <v>1</v>
      </c>
      <c r="H862" s="58">
        <v>43994</v>
      </c>
      <c r="I862" s="14" t="s">
        <v>25</v>
      </c>
      <c r="J862" s="8"/>
      <c r="K862" s="10"/>
      <c r="L862" s="10">
        <v>1</v>
      </c>
      <c r="M862" s="10"/>
      <c r="N862" s="30"/>
      <c r="O862" s="7">
        <f t="shared" si="250"/>
        <v>1</v>
      </c>
      <c r="P862" s="58">
        <v>43959</v>
      </c>
      <c r="Q862" s="56"/>
    </row>
    <row r="863" spans="1:17" x14ac:dyDescent="0.15">
      <c r="A863" s="39" t="s">
        <v>995</v>
      </c>
      <c r="B863" s="8"/>
      <c r="C863" s="10"/>
      <c r="D863" s="10">
        <v>1</v>
      </c>
      <c r="E863" s="10">
        <v>-1</v>
      </c>
      <c r="F863" s="30"/>
      <c r="G863" s="7">
        <f t="shared" si="249"/>
        <v>0</v>
      </c>
      <c r="H863" s="58">
        <v>43998</v>
      </c>
      <c r="I863" s="14" t="s">
        <v>22</v>
      </c>
      <c r="J863" s="8"/>
      <c r="K863" s="10"/>
      <c r="L863" s="10">
        <v>10</v>
      </c>
      <c r="M863" s="10"/>
      <c r="N863" s="30"/>
      <c r="O863" s="7">
        <f t="shared" si="250"/>
        <v>10</v>
      </c>
      <c r="P863" s="58">
        <v>43965</v>
      </c>
    </row>
    <row r="864" spans="1:17" x14ac:dyDescent="0.15">
      <c r="A864" s="14" t="s">
        <v>182</v>
      </c>
      <c r="B864" s="11"/>
      <c r="C864" s="12">
        <v>2</v>
      </c>
      <c r="D864" s="12"/>
      <c r="E864" s="12"/>
      <c r="F864" s="31"/>
      <c r="G864" s="7">
        <f t="shared" si="249"/>
        <v>2</v>
      </c>
      <c r="H864" s="58">
        <v>44007</v>
      </c>
      <c r="I864" s="14" t="s">
        <v>25</v>
      </c>
      <c r="J864" s="11">
        <v>2</v>
      </c>
      <c r="K864" s="12"/>
      <c r="L864" s="12"/>
      <c r="M864" s="12">
        <v>1</v>
      </c>
      <c r="N864" s="31">
        <v>1</v>
      </c>
      <c r="O864" s="7">
        <f t="shared" si="250"/>
        <v>4</v>
      </c>
      <c r="P864" s="58">
        <v>43964</v>
      </c>
      <c r="Q864" s="56"/>
    </row>
    <row r="865" spans="1:18" x14ac:dyDescent="0.15">
      <c r="A865" s="14" t="s">
        <v>182</v>
      </c>
      <c r="B865" s="8"/>
      <c r="C865" s="10">
        <v>1</v>
      </c>
      <c r="D865" s="10"/>
      <c r="E865" s="10"/>
      <c r="F865" s="30"/>
      <c r="G865" s="7">
        <f t="shared" si="249"/>
        <v>1</v>
      </c>
      <c r="H865" s="58">
        <v>44011</v>
      </c>
      <c r="I865" s="14" t="s">
        <v>22</v>
      </c>
      <c r="J865" s="8"/>
      <c r="K865" s="10"/>
      <c r="L865" s="10"/>
      <c r="M865" s="10">
        <v>10</v>
      </c>
      <c r="N865" s="30"/>
      <c r="O865" s="7">
        <f t="shared" si="250"/>
        <v>10</v>
      </c>
      <c r="P865" s="58">
        <v>43973</v>
      </c>
      <c r="Q865" s="56"/>
    </row>
    <row r="866" spans="1:18" x14ac:dyDescent="0.15">
      <c r="A866" s="14" t="s">
        <v>25</v>
      </c>
      <c r="B866" s="8"/>
      <c r="C866" s="10"/>
      <c r="D866" s="10"/>
      <c r="E866" s="10"/>
      <c r="F866" s="30">
        <v>1</v>
      </c>
      <c r="G866" s="7">
        <f t="shared" si="249"/>
        <v>1</v>
      </c>
      <c r="H866" s="58">
        <v>44012</v>
      </c>
      <c r="I866" s="14" t="s">
        <v>1310</v>
      </c>
      <c r="J866" s="8">
        <v>6</v>
      </c>
      <c r="K866" s="10">
        <v>6</v>
      </c>
      <c r="L866" s="10">
        <v>7</v>
      </c>
      <c r="M866" s="10">
        <v>6</v>
      </c>
      <c r="N866" s="30">
        <v>5</v>
      </c>
      <c r="O866" s="7">
        <f t="shared" si="250"/>
        <v>30</v>
      </c>
      <c r="P866" s="58">
        <v>43983</v>
      </c>
      <c r="Q866" s="56"/>
    </row>
    <row r="867" spans="1:18" x14ac:dyDescent="0.15">
      <c r="A867" s="14" t="s">
        <v>25</v>
      </c>
      <c r="B867" s="8"/>
      <c r="C867" s="10">
        <v>1</v>
      </c>
      <c r="D867" s="10"/>
      <c r="E867" s="10"/>
      <c r="F867" s="30"/>
      <c r="G867" s="7">
        <f t="shared" si="249"/>
        <v>1</v>
      </c>
      <c r="H867" s="58">
        <v>44013</v>
      </c>
      <c r="I867" s="14" t="s">
        <v>25</v>
      </c>
      <c r="J867" s="8"/>
      <c r="K867" s="10"/>
      <c r="L867" s="10"/>
      <c r="M867" s="10">
        <v>1</v>
      </c>
      <c r="N867" s="30"/>
      <c r="O867" s="7">
        <f t="shared" si="250"/>
        <v>1</v>
      </c>
      <c r="P867" s="58">
        <v>43973</v>
      </c>
      <c r="Q867" s="56"/>
    </row>
    <row r="868" spans="1:18" x14ac:dyDescent="0.15">
      <c r="A868" s="39" t="s">
        <v>995</v>
      </c>
      <c r="B868" s="8"/>
      <c r="C868" s="10"/>
      <c r="D868" s="10">
        <v>-1</v>
      </c>
      <c r="E868" s="10"/>
      <c r="F868" s="30">
        <v>1</v>
      </c>
      <c r="G868" s="7">
        <f t="shared" si="249"/>
        <v>0</v>
      </c>
      <c r="H868" s="58">
        <v>44013</v>
      </c>
      <c r="I868" s="14" t="s">
        <v>182</v>
      </c>
      <c r="J868" s="8">
        <v>2</v>
      </c>
      <c r="K868" s="10">
        <v>2</v>
      </c>
      <c r="L868" s="10">
        <v>2</v>
      </c>
      <c r="M868" s="10">
        <v>2</v>
      </c>
      <c r="N868" s="30">
        <v>2</v>
      </c>
      <c r="O868" s="7">
        <f t="shared" si="250"/>
        <v>10</v>
      </c>
      <c r="P868" s="58">
        <v>43993</v>
      </c>
      <c r="Q868" s="56"/>
    </row>
    <row r="869" spans="1:18" x14ac:dyDescent="0.15">
      <c r="A869" s="14"/>
      <c r="B869" s="8"/>
      <c r="C869" s="10"/>
      <c r="D869" s="10"/>
      <c r="E869" s="10"/>
      <c r="F869" s="30"/>
      <c r="G869" s="7">
        <f t="shared" si="249"/>
        <v>0</v>
      </c>
      <c r="H869" s="58"/>
      <c r="I869" s="64" t="s">
        <v>1316</v>
      </c>
      <c r="J869" s="8"/>
      <c r="K869" s="10">
        <v>1</v>
      </c>
      <c r="L869" s="10">
        <v>1</v>
      </c>
      <c r="M869" s="10">
        <v>1</v>
      </c>
      <c r="N869" s="30">
        <v>1</v>
      </c>
      <c r="O869" s="7">
        <f t="shared" si="250"/>
        <v>4</v>
      </c>
      <c r="P869" s="58">
        <v>43990</v>
      </c>
    </row>
    <row r="870" spans="1:18" x14ac:dyDescent="0.15">
      <c r="A870" s="14"/>
      <c r="B870" s="8"/>
      <c r="C870" s="10"/>
      <c r="D870" s="10"/>
      <c r="E870" s="10"/>
      <c r="F870" s="30"/>
      <c r="G870" s="7">
        <f t="shared" si="249"/>
        <v>0</v>
      </c>
      <c r="H870" s="58"/>
      <c r="I870" s="14" t="s">
        <v>25</v>
      </c>
      <c r="J870" s="8"/>
      <c r="K870" s="10">
        <v>1</v>
      </c>
      <c r="L870" s="10"/>
      <c r="M870" s="10">
        <v>1</v>
      </c>
      <c r="N870" s="30"/>
      <c r="O870" s="7">
        <f t="shared" si="250"/>
        <v>2</v>
      </c>
      <c r="P870" s="58">
        <v>43988</v>
      </c>
      <c r="Q870" s="56"/>
    </row>
    <row r="871" spans="1:18" x14ac:dyDescent="0.15">
      <c r="A871" s="14"/>
      <c r="B871" s="8"/>
      <c r="C871" s="10"/>
      <c r="D871" s="10"/>
      <c r="E871" s="10"/>
      <c r="F871" s="30"/>
      <c r="G871" s="7">
        <f t="shared" si="249"/>
        <v>0</v>
      </c>
      <c r="H871" s="58"/>
      <c r="I871" s="64" t="s">
        <v>1320</v>
      </c>
      <c r="J871" s="8"/>
      <c r="K871" s="10"/>
      <c r="L871" s="10">
        <v>4</v>
      </c>
      <c r="M871" s="10"/>
      <c r="N871" s="30"/>
      <c r="O871" s="7">
        <f t="shared" si="250"/>
        <v>4</v>
      </c>
      <c r="P871" s="58">
        <v>44004</v>
      </c>
      <c r="Q871" s="56"/>
    </row>
    <row r="872" spans="1:18" x14ac:dyDescent="0.15">
      <c r="A872" s="14"/>
      <c r="B872" s="8"/>
      <c r="C872" s="10"/>
      <c r="D872" s="10"/>
      <c r="E872" s="10"/>
      <c r="F872" s="30"/>
      <c r="G872" s="7">
        <v>2</v>
      </c>
      <c r="H872" s="58"/>
      <c r="I872" s="14" t="s">
        <v>25</v>
      </c>
      <c r="J872" s="11"/>
      <c r="K872" s="12"/>
      <c r="L872" s="12">
        <v>1</v>
      </c>
      <c r="M872" s="12"/>
      <c r="N872" s="31"/>
      <c r="O872" s="7">
        <f t="shared" si="250"/>
        <v>1</v>
      </c>
      <c r="P872" s="58">
        <v>44006</v>
      </c>
      <c r="Q872" s="56"/>
      <c r="R872" s="56"/>
    </row>
    <row r="873" spans="1:18" x14ac:dyDescent="0.15">
      <c r="A873" s="14"/>
      <c r="B873" s="8"/>
      <c r="C873" s="10"/>
      <c r="D873" s="10"/>
      <c r="E873" s="10"/>
      <c r="F873" s="30"/>
      <c r="G873" s="7">
        <f t="shared" ref="G873:G880" si="251">SUM(B873:F873)</f>
        <v>0</v>
      </c>
      <c r="H873" s="58"/>
      <c r="I873" s="64" t="s">
        <v>1323</v>
      </c>
      <c r="J873" s="8"/>
      <c r="K873" s="10">
        <v>4</v>
      </c>
      <c r="L873" s="10"/>
      <c r="M873" s="10"/>
      <c r="N873" s="30"/>
      <c r="O873" s="7">
        <f>SUM(J873:N873)</f>
        <v>4</v>
      </c>
      <c r="P873" s="58">
        <v>44015</v>
      </c>
      <c r="Q873" s="68"/>
    </row>
    <row r="874" spans="1:18" x14ac:dyDescent="0.15">
      <c r="A874" s="39"/>
      <c r="B874" s="8"/>
      <c r="C874" s="10"/>
      <c r="D874" s="10"/>
      <c r="E874" s="10"/>
      <c r="F874" s="30"/>
      <c r="G874" s="7">
        <f t="shared" si="251"/>
        <v>0</v>
      </c>
      <c r="H874" s="58"/>
      <c r="I874" s="16"/>
      <c r="J874" s="11"/>
      <c r="K874" s="12"/>
      <c r="L874" s="12"/>
      <c r="M874" s="12"/>
      <c r="N874" s="31"/>
      <c r="O874" s="7">
        <f t="shared" ref="O874" si="252">SUM(J874:N874)</f>
        <v>0</v>
      </c>
      <c r="P874" s="56"/>
    </row>
    <row r="875" spans="1:18" x14ac:dyDescent="0.15">
      <c r="A875" s="20"/>
      <c r="B875" s="8"/>
      <c r="C875" s="10"/>
      <c r="D875" s="10"/>
      <c r="E875" s="10"/>
      <c r="F875" s="30"/>
      <c r="G875" s="7">
        <f t="shared" si="251"/>
        <v>0</v>
      </c>
      <c r="H875" s="58"/>
      <c r="I875" s="16" t="s">
        <v>1248</v>
      </c>
      <c r="J875" s="11"/>
      <c r="K875" s="12"/>
      <c r="L875" s="12"/>
      <c r="M875" s="12"/>
      <c r="N875" s="31"/>
      <c r="O875" s="7">
        <f>SUM(J875:N875)</f>
        <v>0</v>
      </c>
      <c r="P875" s="56" t="s">
        <v>1249</v>
      </c>
    </row>
    <row r="876" spans="1:18" x14ac:dyDescent="0.15">
      <c r="A876" s="39"/>
      <c r="B876" s="11"/>
      <c r="C876" s="12"/>
      <c r="D876" s="12"/>
      <c r="E876" s="12"/>
      <c r="F876" s="31"/>
      <c r="G876" s="7">
        <f t="shared" si="251"/>
        <v>0</v>
      </c>
      <c r="H876" s="58"/>
      <c r="I876" s="16" t="s">
        <v>1276</v>
      </c>
      <c r="J876" s="11"/>
      <c r="K876" s="12"/>
      <c r="L876" s="12"/>
      <c r="M876" s="12"/>
      <c r="N876" s="31"/>
      <c r="O876" s="7">
        <f t="shared" ref="O876:O877" si="253">SUM(J876:N876)</f>
        <v>0</v>
      </c>
      <c r="P876" s="56" t="s">
        <v>1275</v>
      </c>
    </row>
    <row r="877" spans="1:18" x14ac:dyDescent="0.15">
      <c r="A877" s="170"/>
      <c r="B877" s="8"/>
      <c r="C877" s="10"/>
      <c r="D877" s="10"/>
      <c r="E877" s="10"/>
      <c r="F877" s="30"/>
      <c r="G877" s="7">
        <f t="shared" si="251"/>
        <v>0</v>
      </c>
      <c r="H877" s="58"/>
      <c r="I877" s="16" t="s">
        <v>1262</v>
      </c>
      <c r="J877" s="11"/>
      <c r="K877" s="12"/>
      <c r="L877" s="12"/>
      <c r="M877" s="12"/>
      <c r="N877" s="31"/>
      <c r="O877" s="7">
        <f t="shared" si="253"/>
        <v>0</v>
      </c>
      <c r="P877" s="56" t="s">
        <v>1261</v>
      </c>
    </row>
    <row r="878" spans="1:18" x14ac:dyDescent="0.15">
      <c r="A878" s="39"/>
      <c r="B878" s="8"/>
      <c r="C878" s="10"/>
      <c r="D878" s="10"/>
      <c r="E878" s="10"/>
      <c r="F878" s="30"/>
      <c r="G878" s="7">
        <f t="shared" si="251"/>
        <v>0</v>
      </c>
      <c r="H878" s="58"/>
      <c r="I878" s="16" t="s">
        <v>1238</v>
      </c>
      <c r="J878" s="8"/>
      <c r="K878" s="10"/>
      <c r="L878" s="10"/>
      <c r="M878" s="10"/>
      <c r="N878" s="30"/>
      <c r="O878" s="7">
        <f t="shared" ref="O878:O880" si="254">SUM(J878:N878)</f>
        <v>0</v>
      </c>
      <c r="P878" s="56" t="s">
        <v>1239</v>
      </c>
    </row>
    <row r="879" spans="1:18" x14ac:dyDescent="0.15">
      <c r="A879" s="14"/>
      <c r="B879" s="8"/>
      <c r="C879" s="10"/>
      <c r="D879" s="10"/>
      <c r="E879" s="10"/>
      <c r="F879" s="30"/>
      <c r="G879" s="7">
        <f t="shared" si="251"/>
        <v>0</v>
      </c>
      <c r="H879" s="58"/>
      <c r="I879" s="14" t="s">
        <v>1194</v>
      </c>
      <c r="J879" s="8"/>
      <c r="K879" s="10"/>
      <c r="L879" s="10"/>
      <c r="M879" s="10"/>
      <c r="N879" s="30"/>
      <c r="O879" s="7">
        <f t="shared" si="254"/>
        <v>0</v>
      </c>
      <c r="P879" s="56" t="s">
        <v>1195</v>
      </c>
    </row>
    <row r="880" spans="1:18" ht="14.25" thickBot="1" x14ac:dyDescent="0.2">
      <c r="A880" s="51"/>
      <c r="B880" s="11"/>
      <c r="C880" s="12"/>
      <c r="D880" s="12"/>
      <c r="E880" s="12"/>
      <c r="F880" s="31"/>
      <c r="G880" s="115">
        <f t="shared" si="251"/>
        <v>0</v>
      </c>
      <c r="H880" s="58"/>
      <c r="I880" s="14"/>
      <c r="J880" s="11"/>
      <c r="K880" s="12"/>
      <c r="L880" s="12"/>
      <c r="M880" s="12"/>
      <c r="N880" s="31"/>
      <c r="O880" s="7">
        <f t="shared" si="254"/>
        <v>0</v>
      </c>
      <c r="P880" s="56"/>
    </row>
    <row r="881" spans="1:16" ht="14.25" thickBot="1" x14ac:dyDescent="0.2">
      <c r="A881" s="3" t="s">
        <v>11</v>
      </c>
      <c r="B881" s="23">
        <f>SUM(B855:B880)</f>
        <v>0</v>
      </c>
      <c r="C881" s="4">
        <f>SUM(C855:C880)</f>
        <v>9</v>
      </c>
      <c r="D881" s="4">
        <f>SUM(D855:D880)</f>
        <v>1</v>
      </c>
      <c r="E881" s="6">
        <f>SUM(E855:E880)</f>
        <v>-1</v>
      </c>
      <c r="F881" s="32">
        <f>SUM(F855:F880)</f>
        <v>3</v>
      </c>
      <c r="G881" s="5">
        <f>SUM(B881:F881)</f>
        <v>12</v>
      </c>
      <c r="I881" s="3" t="s">
        <v>11</v>
      </c>
      <c r="J881" s="23">
        <f>SUM(J855:J880)</f>
        <v>10</v>
      </c>
      <c r="K881" s="4">
        <f>SUM(K855:K880)</f>
        <v>35</v>
      </c>
      <c r="L881" s="4">
        <f>SUM(L855:L880)</f>
        <v>27</v>
      </c>
      <c r="M881" s="6">
        <f>SUM(M855:M880)</f>
        <v>25</v>
      </c>
      <c r="N881" s="32">
        <f>SUM(N855:N880)</f>
        <v>11</v>
      </c>
      <c r="O881" s="5">
        <f>SUM(J881:N881)</f>
        <v>108</v>
      </c>
    </row>
    <row r="882" spans="1:16" ht="14.25" thickBot="1" x14ac:dyDescent="0.2">
      <c r="A882" s="25" t="s">
        <v>12</v>
      </c>
      <c r="B882" s="63">
        <f>B854-B881</f>
        <v>8</v>
      </c>
      <c r="C882" s="26">
        <f t="shared" ref="C882:G882" si="255">C854-C881</f>
        <v>4</v>
      </c>
      <c r="D882" s="71">
        <f t="shared" si="255"/>
        <v>8</v>
      </c>
      <c r="E882" s="26">
        <f t="shared" si="255"/>
        <v>10</v>
      </c>
      <c r="F882" s="70">
        <f t="shared" si="255"/>
        <v>8</v>
      </c>
      <c r="G882" s="27">
        <f t="shared" si="255"/>
        <v>38</v>
      </c>
      <c r="I882" s="25" t="s">
        <v>12</v>
      </c>
      <c r="J882" s="63">
        <f>J854-J881</f>
        <v>183</v>
      </c>
      <c r="K882" s="26">
        <f t="shared" ref="K882:O882" si="256">K854-K881</f>
        <v>147</v>
      </c>
      <c r="L882" s="71">
        <f t="shared" si="256"/>
        <v>204</v>
      </c>
      <c r="M882" s="26">
        <f t="shared" si="256"/>
        <v>72</v>
      </c>
      <c r="N882" s="70">
        <f t="shared" si="256"/>
        <v>64</v>
      </c>
      <c r="O882" s="27">
        <f t="shared" si="256"/>
        <v>670</v>
      </c>
    </row>
    <row r="883" spans="1:16" ht="17.25" x14ac:dyDescent="0.2">
      <c r="A883" s="79" t="s">
        <v>391</v>
      </c>
      <c r="B883" s="80"/>
      <c r="C883" s="80"/>
      <c r="D883" s="80"/>
      <c r="E883" s="80"/>
      <c r="F883" s="80"/>
      <c r="G883" s="80"/>
      <c r="H883" s="56"/>
      <c r="I883" s="79" t="s">
        <v>391</v>
      </c>
      <c r="J883" s="80"/>
      <c r="K883" s="80"/>
      <c r="L883" s="80"/>
      <c r="M883" s="80"/>
      <c r="N883" s="80"/>
      <c r="O883" s="1"/>
    </row>
    <row r="884" spans="1:16" ht="21.75" thickBot="1" x14ac:dyDescent="0.25">
      <c r="A884" s="82" t="s">
        <v>390</v>
      </c>
      <c r="B884" s="80"/>
      <c r="C884" s="80"/>
      <c r="D884" s="80"/>
      <c r="E884" s="81" t="s">
        <v>53</v>
      </c>
      <c r="F884" s="80"/>
      <c r="G884" s="80"/>
      <c r="H884" s="56"/>
      <c r="I884" s="82" t="s">
        <v>390</v>
      </c>
      <c r="J884" s="80"/>
      <c r="K884" s="80"/>
      <c r="L884" s="80"/>
      <c r="M884" s="81" t="s">
        <v>393</v>
      </c>
      <c r="N884" s="80"/>
      <c r="O884" s="1"/>
    </row>
    <row r="885" spans="1:16" ht="14.25" thickBot="1" x14ac:dyDescent="0.2">
      <c r="A885" s="13" t="s">
        <v>0</v>
      </c>
      <c r="B885" s="228" t="s">
        <v>392</v>
      </c>
      <c r="C885" s="229"/>
      <c r="D885" s="229"/>
      <c r="E885" s="229"/>
      <c r="F885" s="230"/>
      <c r="G885" s="231"/>
      <c r="H885" s="56"/>
      <c r="I885" s="13" t="s">
        <v>0</v>
      </c>
      <c r="J885" s="228" t="s">
        <v>392</v>
      </c>
      <c r="K885" s="229"/>
      <c r="L885" s="229"/>
      <c r="M885" s="229"/>
      <c r="N885" s="230"/>
      <c r="O885" s="231"/>
    </row>
    <row r="886" spans="1:16" ht="14.25" thickBot="1" x14ac:dyDescent="0.2">
      <c r="A886" s="3" t="s">
        <v>1</v>
      </c>
      <c r="B886" s="2" t="s">
        <v>42</v>
      </c>
      <c r="C886" s="21" t="s">
        <v>43</v>
      </c>
      <c r="D886" s="21" t="s">
        <v>44</v>
      </c>
      <c r="E886" s="24" t="s">
        <v>45</v>
      </c>
      <c r="F886" s="33" t="s">
        <v>46</v>
      </c>
      <c r="G886" s="34" t="s">
        <v>2</v>
      </c>
      <c r="H886" s="56"/>
      <c r="I886" s="3" t="s">
        <v>1</v>
      </c>
      <c r="J886" s="41" t="s">
        <v>42</v>
      </c>
      <c r="K886" s="42" t="s">
        <v>43</v>
      </c>
      <c r="L886" s="42" t="s">
        <v>44</v>
      </c>
      <c r="M886" s="43" t="s">
        <v>45</v>
      </c>
      <c r="N886" s="44" t="s">
        <v>46</v>
      </c>
      <c r="O886" s="3" t="s">
        <v>2</v>
      </c>
    </row>
    <row r="887" spans="1:16" ht="14.25" thickBot="1" x14ac:dyDescent="0.2">
      <c r="A887" s="72" t="s">
        <v>456</v>
      </c>
      <c r="B887" s="73">
        <f>B882</f>
        <v>8</v>
      </c>
      <c r="C887" s="74">
        <f t="shared" ref="C887:F887" si="257">C882</f>
        <v>4</v>
      </c>
      <c r="D887" s="74">
        <f t="shared" si="257"/>
        <v>8</v>
      </c>
      <c r="E887" s="74">
        <f t="shared" si="257"/>
        <v>10</v>
      </c>
      <c r="F887" s="105">
        <f t="shared" si="257"/>
        <v>8</v>
      </c>
      <c r="G887" s="131">
        <f t="shared" ref="G887:G895" si="258">SUM(B887:F887)</f>
        <v>38</v>
      </c>
      <c r="H887" s="56"/>
      <c r="I887" s="72" t="s">
        <v>456</v>
      </c>
      <c r="J887" s="73">
        <f>J882</f>
        <v>183</v>
      </c>
      <c r="K887" s="74">
        <f t="shared" ref="K887:N887" si="259">K882</f>
        <v>147</v>
      </c>
      <c r="L887" s="74">
        <f t="shared" si="259"/>
        <v>204</v>
      </c>
      <c r="M887" s="74">
        <f t="shared" si="259"/>
        <v>72</v>
      </c>
      <c r="N887" s="105">
        <f t="shared" si="259"/>
        <v>64</v>
      </c>
      <c r="O887" s="131">
        <f t="shared" ref="O887:O895" si="260">SUM(J887:N887)</f>
        <v>670</v>
      </c>
    </row>
    <row r="888" spans="1:16" x14ac:dyDescent="0.15">
      <c r="A888" s="15" t="s">
        <v>17</v>
      </c>
      <c r="B888" s="8"/>
      <c r="C888" s="10"/>
      <c r="D888" s="10">
        <v>1</v>
      </c>
      <c r="E888" s="10"/>
      <c r="F888" s="28"/>
      <c r="G888" s="9">
        <f t="shared" si="258"/>
        <v>1</v>
      </c>
      <c r="H888" s="58">
        <v>44019</v>
      </c>
      <c r="I888" s="38" t="s">
        <v>9</v>
      </c>
      <c r="J888" s="37"/>
      <c r="K888" s="35">
        <v>2</v>
      </c>
      <c r="L888" s="35"/>
      <c r="M888" s="35">
        <v>5</v>
      </c>
      <c r="N888" s="28">
        <v>4</v>
      </c>
      <c r="O888" s="7">
        <f t="shared" si="260"/>
        <v>11</v>
      </c>
      <c r="P888" s="57">
        <v>44100</v>
      </c>
    </row>
    <row r="889" spans="1:16" x14ac:dyDescent="0.15">
      <c r="A889" s="15" t="s">
        <v>4</v>
      </c>
      <c r="B889" s="8"/>
      <c r="C889" s="10">
        <v>5</v>
      </c>
      <c r="D889" s="10"/>
      <c r="E889" s="10"/>
      <c r="F889" s="28"/>
      <c r="G889" s="9">
        <f t="shared" si="258"/>
        <v>5</v>
      </c>
      <c r="H889" s="58">
        <v>44027</v>
      </c>
      <c r="I889" s="38" t="s">
        <v>3</v>
      </c>
      <c r="J889" s="8"/>
      <c r="K889" s="10"/>
      <c r="L889" s="10"/>
      <c r="M889" s="10"/>
      <c r="N889" s="28"/>
      <c r="O889" s="9">
        <f t="shared" si="260"/>
        <v>0</v>
      </c>
    </row>
    <row r="890" spans="1:16" x14ac:dyDescent="0.15">
      <c r="A890" s="15" t="s">
        <v>17</v>
      </c>
      <c r="B890" s="8"/>
      <c r="C890" s="10">
        <v>1</v>
      </c>
      <c r="D890" s="10">
        <v>2</v>
      </c>
      <c r="E890" s="10">
        <v>2</v>
      </c>
      <c r="F890" s="28"/>
      <c r="G890" s="9">
        <f t="shared" si="258"/>
        <v>5</v>
      </c>
      <c r="H890" s="58">
        <v>44041</v>
      </c>
      <c r="I890" s="38" t="s">
        <v>4</v>
      </c>
      <c r="J890" s="8"/>
      <c r="K890" s="10"/>
      <c r="L890" s="10"/>
      <c r="M890" s="10"/>
      <c r="N890" s="30"/>
      <c r="O890" s="7">
        <f t="shared" si="260"/>
        <v>0</v>
      </c>
    </row>
    <row r="891" spans="1:16" x14ac:dyDescent="0.15">
      <c r="A891" s="15" t="s">
        <v>6</v>
      </c>
      <c r="B891" s="8"/>
      <c r="C891" s="10"/>
      <c r="D891" s="10">
        <v>5</v>
      </c>
      <c r="E891" s="10"/>
      <c r="F891" s="28"/>
      <c r="G891" s="9">
        <f t="shared" si="258"/>
        <v>5</v>
      </c>
      <c r="H891" s="58">
        <v>44044</v>
      </c>
      <c r="I891" s="38" t="s">
        <v>5</v>
      </c>
      <c r="J891" s="8"/>
      <c r="K891" s="10"/>
      <c r="L891" s="10"/>
      <c r="M891" s="10"/>
      <c r="N891" s="28"/>
      <c r="O891" s="9">
        <f t="shared" si="260"/>
        <v>0</v>
      </c>
    </row>
    <row r="892" spans="1:16" x14ac:dyDescent="0.15">
      <c r="A892" s="15" t="s">
        <v>993</v>
      </c>
      <c r="B892" s="8"/>
      <c r="C892" s="10">
        <v>3</v>
      </c>
      <c r="D892" s="10">
        <v>1</v>
      </c>
      <c r="E892" s="10"/>
      <c r="F892" s="30"/>
      <c r="G892" s="7">
        <f t="shared" si="258"/>
        <v>4</v>
      </c>
      <c r="H892" s="58">
        <v>44075</v>
      </c>
      <c r="I892" s="38" t="s">
        <v>6</v>
      </c>
      <c r="J892" s="8"/>
      <c r="K892" s="10"/>
      <c r="L892" s="10"/>
      <c r="M892" s="10"/>
      <c r="N892" s="30"/>
      <c r="O892" s="7">
        <f t="shared" si="260"/>
        <v>0</v>
      </c>
    </row>
    <row r="893" spans="1:16" x14ac:dyDescent="0.15">
      <c r="A893" s="15" t="s">
        <v>85</v>
      </c>
      <c r="B893" s="8">
        <v>5</v>
      </c>
      <c r="C893" s="10"/>
      <c r="D893" s="10"/>
      <c r="E893" s="10"/>
      <c r="F893" s="30"/>
      <c r="G893" s="7">
        <f t="shared" si="258"/>
        <v>5</v>
      </c>
      <c r="H893" s="58">
        <v>44079</v>
      </c>
      <c r="I893" s="38" t="s">
        <v>84</v>
      </c>
      <c r="J893" s="8"/>
      <c r="K893" s="10"/>
      <c r="L893" s="10"/>
      <c r="M893" s="10"/>
      <c r="N893" s="30"/>
      <c r="O893" s="7">
        <f t="shared" si="260"/>
        <v>0</v>
      </c>
    </row>
    <row r="894" spans="1:16" x14ac:dyDescent="0.15">
      <c r="A894" s="15" t="s">
        <v>1350</v>
      </c>
      <c r="B894" s="11"/>
      <c r="C894" s="100"/>
      <c r="D894" s="100">
        <v>1</v>
      </c>
      <c r="E894" s="100">
        <v>3</v>
      </c>
      <c r="F894" s="101">
        <v>2</v>
      </c>
      <c r="G894" s="102">
        <f t="shared" si="258"/>
        <v>6</v>
      </c>
      <c r="H894" s="58">
        <v>44083</v>
      </c>
      <c r="I894" s="38" t="s">
        <v>85</v>
      </c>
      <c r="J894" s="8"/>
      <c r="K894" s="10"/>
      <c r="L894" s="10"/>
      <c r="M894" s="10"/>
      <c r="N894" s="30"/>
      <c r="O894" s="7">
        <f t="shared" si="260"/>
        <v>0</v>
      </c>
    </row>
    <row r="895" spans="1:16" ht="14.25" thickBot="1" x14ac:dyDescent="0.2">
      <c r="A895" s="15" t="s">
        <v>19</v>
      </c>
      <c r="B895" s="11"/>
      <c r="C895" s="100">
        <v>2</v>
      </c>
      <c r="D895" s="100"/>
      <c r="E895" s="100">
        <v>3</v>
      </c>
      <c r="F895" s="101">
        <v>2</v>
      </c>
      <c r="G895" s="102">
        <f t="shared" si="258"/>
        <v>7</v>
      </c>
      <c r="H895" s="58">
        <v>44084</v>
      </c>
      <c r="I895" s="38" t="s">
        <v>86</v>
      </c>
      <c r="J895" s="11"/>
      <c r="K895" s="100"/>
      <c r="L895" s="100"/>
      <c r="M895" s="100"/>
      <c r="N895" s="101"/>
      <c r="O895" s="102">
        <f t="shared" si="260"/>
        <v>0</v>
      </c>
    </row>
    <row r="896" spans="1:16" ht="14.25" thickBot="1" x14ac:dyDescent="0.2">
      <c r="A896" s="72" t="s">
        <v>7</v>
      </c>
      <c r="B896" s="73">
        <f>SUM(B887:B895)</f>
        <v>13</v>
      </c>
      <c r="C896" s="74">
        <f t="shared" ref="C896:G896" si="261">SUM(C887:C895)</f>
        <v>15</v>
      </c>
      <c r="D896" s="74">
        <f t="shared" si="261"/>
        <v>18</v>
      </c>
      <c r="E896" s="74">
        <f t="shared" si="261"/>
        <v>18</v>
      </c>
      <c r="F896" s="105">
        <f t="shared" si="261"/>
        <v>12</v>
      </c>
      <c r="G896" s="76">
        <f t="shared" si="261"/>
        <v>76</v>
      </c>
      <c r="H896" s="56"/>
      <c r="I896" s="72" t="s">
        <v>7</v>
      </c>
      <c r="J896" s="73">
        <f>SUM(J887:J895)</f>
        <v>183</v>
      </c>
      <c r="K896" s="74">
        <f t="shared" ref="K896:O896" si="262">SUM(K887:K895)</f>
        <v>149</v>
      </c>
      <c r="L896" s="74">
        <f t="shared" si="262"/>
        <v>204</v>
      </c>
      <c r="M896" s="74">
        <f t="shared" si="262"/>
        <v>77</v>
      </c>
      <c r="N896" s="105">
        <f t="shared" si="262"/>
        <v>68</v>
      </c>
      <c r="O896" s="76">
        <f t="shared" si="262"/>
        <v>681</v>
      </c>
    </row>
    <row r="897" spans="1:19" x14ac:dyDescent="0.15">
      <c r="A897" s="14" t="s">
        <v>182</v>
      </c>
      <c r="B897" s="11">
        <v>1</v>
      </c>
      <c r="C897" s="12"/>
      <c r="D897" s="12"/>
      <c r="E897" s="12"/>
      <c r="F897" s="31"/>
      <c r="G897" s="18">
        <f t="shared" ref="G897:G913" si="263">SUM(B897:F897)</f>
        <v>1</v>
      </c>
      <c r="H897" s="58">
        <v>44015</v>
      </c>
      <c r="I897" s="14" t="s">
        <v>25</v>
      </c>
      <c r="J897" s="8"/>
      <c r="K897" s="10"/>
      <c r="L897" s="10"/>
      <c r="M897" s="10">
        <v>1</v>
      </c>
      <c r="N897" s="30">
        <v>1</v>
      </c>
      <c r="O897" s="7">
        <f t="shared" ref="O897:O914" si="264">SUM(J897:N897)</f>
        <v>2</v>
      </c>
      <c r="P897" s="58">
        <v>44014</v>
      </c>
      <c r="Q897" s="56"/>
    </row>
    <row r="898" spans="1:19" x14ac:dyDescent="0.15">
      <c r="A898" s="14" t="s">
        <v>25</v>
      </c>
      <c r="B898" s="8"/>
      <c r="C898" s="10">
        <v>2</v>
      </c>
      <c r="D898" s="10"/>
      <c r="E898" s="10"/>
      <c r="F898" s="30"/>
      <c r="G898" s="7">
        <f t="shared" si="263"/>
        <v>2</v>
      </c>
      <c r="H898" s="58">
        <v>44016</v>
      </c>
      <c r="I898" s="14" t="s">
        <v>25</v>
      </c>
      <c r="J898" s="8"/>
      <c r="K898" s="10">
        <v>1</v>
      </c>
      <c r="L898" s="10"/>
      <c r="M898" s="10"/>
      <c r="N898" s="30"/>
      <c r="O898" s="7">
        <f t="shared" si="264"/>
        <v>1</v>
      </c>
      <c r="P898" s="58">
        <v>44015</v>
      </c>
      <c r="Q898" s="56"/>
    </row>
    <row r="899" spans="1:19" x14ac:dyDescent="0.15">
      <c r="A899" s="14" t="s">
        <v>182</v>
      </c>
      <c r="B899" s="8"/>
      <c r="C899" s="10"/>
      <c r="D899" s="10">
        <v>1</v>
      </c>
      <c r="E899" s="10"/>
      <c r="F899" s="30"/>
      <c r="G899" s="7">
        <f t="shared" si="263"/>
        <v>1</v>
      </c>
      <c r="H899" s="58">
        <v>44022</v>
      </c>
      <c r="I899" s="14" t="s">
        <v>25</v>
      </c>
      <c r="J899" s="8"/>
      <c r="K899" s="10"/>
      <c r="L899" s="10">
        <v>1</v>
      </c>
      <c r="M899" s="10"/>
      <c r="N899" s="30">
        <v>1</v>
      </c>
      <c r="O899" s="7">
        <f t="shared" si="264"/>
        <v>2</v>
      </c>
      <c r="P899" s="58">
        <v>44022</v>
      </c>
    </row>
    <row r="900" spans="1:19" x14ac:dyDescent="0.15">
      <c r="A900" s="14" t="s">
        <v>182</v>
      </c>
      <c r="B900" s="8">
        <v>1</v>
      </c>
      <c r="C900" s="10"/>
      <c r="D900" s="10">
        <v>2</v>
      </c>
      <c r="E900" s="10"/>
      <c r="F900" s="30"/>
      <c r="G900" s="7">
        <f t="shared" si="263"/>
        <v>3</v>
      </c>
      <c r="H900" s="58">
        <v>44027</v>
      </c>
      <c r="I900" s="14" t="s">
        <v>1328</v>
      </c>
      <c r="J900" s="8"/>
      <c r="K900" s="10">
        <v>5</v>
      </c>
      <c r="L900" s="10"/>
      <c r="M900" s="10"/>
      <c r="N900" s="30"/>
      <c r="O900" s="7">
        <f t="shared" si="264"/>
        <v>5</v>
      </c>
      <c r="P900" s="58">
        <v>44027</v>
      </c>
    </row>
    <row r="901" spans="1:19" x14ac:dyDescent="0.15">
      <c r="A901" s="20" t="s">
        <v>1329</v>
      </c>
      <c r="B901" s="37"/>
      <c r="C901" s="35">
        <v>1</v>
      </c>
      <c r="D901" s="35"/>
      <c r="E901" s="35"/>
      <c r="F901" s="28"/>
      <c r="G901" s="7">
        <f t="shared" si="263"/>
        <v>1</v>
      </c>
      <c r="H901" s="58">
        <v>44026</v>
      </c>
      <c r="I901" s="14" t="s">
        <v>22</v>
      </c>
      <c r="J901" s="8"/>
      <c r="K901" s="10"/>
      <c r="L901" s="10"/>
      <c r="M901" s="10"/>
      <c r="N901" s="30">
        <v>10</v>
      </c>
      <c r="O901" s="7">
        <f t="shared" si="264"/>
        <v>10</v>
      </c>
      <c r="P901" s="58">
        <v>44032</v>
      </c>
      <c r="Q901" s="56"/>
      <c r="R901" s="56"/>
      <c r="S901" s="56"/>
    </row>
    <row r="902" spans="1:19" x14ac:dyDescent="0.15">
      <c r="A902" s="14" t="s">
        <v>1331</v>
      </c>
      <c r="B902" s="8">
        <v>1</v>
      </c>
      <c r="C902" s="10"/>
      <c r="D902" s="10"/>
      <c r="E902" s="10"/>
      <c r="F902" s="30"/>
      <c r="G902" s="7">
        <f t="shared" si="263"/>
        <v>1</v>
      </c>
      <c r="H902" s="58">
        <v>44028</v>
      </c>
      <c r="I902" s="14" t="s">
        <v>25</v>
      </c>
      <c r="J902" s="8"/>
      <c r="K902" s="10"/>
      <c r="L902" s="10"/>
      <c r="M902" s="10">
        <v>1</v>
      </c>
      <c r="N902" s="30"/>
      <c r="O902" s="7">
        <f t="shared" si="264"/>
        <v>1</v>
      </c>
      <c r="P902" s="58">
        <v>44033</v>
      </c>
      <c r="Q902" s="56"/>
      <c r="R902" s="56"/>
      <c r="S902" s="56"/>
    </row>
    <row r="903" spans="1:19" x14ac:dyDescent="0.15">
      <c r="A903" s="14" t="s">
        <v>10</v>
      </c>
      <c r="B903" s="8"/>
      <c r="C903" s="10"/>
      <c r="D903" s="10">
        <v>1</v>
      </c>
      <c r="E903" s="10"/>
      <c r="F903" s="30"/>
      <c r="G903" s="7">
        <f t="shared" si="263"/>
        <v>1</v>
      </c>
      <c r="H903" s="58">
        <v>44032</v>
      </c>
      <c r="I903" s="14" t="s">
        <v>8</v>
      </c>
      <c r="J903" s="8"/>
      <c r="K903" s="10"/>
      <c r="L903" s="10"/>
      <c r="M903" s="10">
        <v>10</v>
      </c>
      <c r="N903" s="30"/>
      <c r="O903" s="7">
        <f t="shared" si="264"/>
        <v>10</v>
      </c>
      <c r="P903" s="58">
        <v>44041</v>
      </c>
      <c r="Q903" s="56"/>
      <c r="R903" s="56"/>
    </row>
    <row r="904" spans="1:19" x14ac:dyDescent="0.15">
      <c r="A904" s="14" t="s">
        <v>10</v>
      </c>
      <c r="B904" s="8"/>
      <c r="C904" s="10"/>
      <c r="D904" s="10">
        <v>1</v>
      </c>
      <c r="E904" s="10"/>
      <c r="F904" s="30"/>
      <c r="G904" s="7">
        <f t="shared" si="263"/>
        <v>1</v>
      </c>
      <c r="H904" s="58">
        <v>44035</v>
      </c>
      <c r="I904" s="14" t="s">
        <v>24</v>
      </c>
      <c r="J904" s="8"/>
      <c r="K904" s="10"/>
      <c r="L904" s="10">
        <v>5</v>
      </c>
      <c r="M904" s="10"/>
      <c r="N904" s="30"/>
      <c r="O904" s="7">
        <f t="shared" ref="O904" si="265">SUM(J904:N904)</f>
        <v>5</v>
      </c>
      <c r="P904" s="58">
        <v>44044</v>
      </c>
      <c r="Q904" s="56"/>
    </row>
    <row r="905" spans="1:19" x14ac:dyDescent="0.15">
      <c r="A905" s="14" t="s">
        <v>10</v>
      </c>
      <c r="B905" s="8"/>
      <c r="C905" s="10"/>
      <c r="D905" s="10"/>
      <c r="E905" s="10"/>
      <c r="F905" s="30">
        <v>1</v>
      </c>
      <c r="G905" s="7">
        <f t="shared" si="263"/>
        <v>1</v>
      </c>
      <c r="H905" s="58">
        <v>44041</v>
      </c>
      <c r="I905" s="64" t="s">
        <v>10</v>
      </c>
      <c r="J905" s="8"/>
      <c r="K905" s="10"/>
      <c r="L905" s="10">
        <v>1</v>
      </c>
      <c r="M905" s="10"/>
      <c r="N905" s="30"/>
      <c r="O905" s="7">
        <f t="shared" si="264"/>
        <v>1</v>
      </c>
      <c r="P905" s="58">
        <v>44063</v>
      </c>
    </row>
    <row r="906" spans="1:19" x14ac:dyDescent="0.15">
      <c r="A906" s="39" t="s">
        <v>1342</v>
      </c>
      <c r="B906" s="11"/>
      <c r="C906" s="12"/>
      <c r="D906" s="12">
        <v>1</v>
      </c>
      <c r="E906" s="12"/>
      <c r="F906" s="31"/>
      <c r="G906" s="7">
        <f t="shared" si="263"/>
        <v>1</v>
      </c>
      <c r="H906" s="58">
        <v>44042</v>
      </c>
      <c r="I906" s="64" t="s">
        <v>10</v>
      </c>
      <c r="J906" s="11"/>
      <c r="K906" s="12"/>
      <c r="L906" s="12">
        <v>1</v>
      </c>
      <c r="M906" s="12"/>
      <c r="N906" s="31"/>
      <c r="O906" s="7">
        <f t="shared" si="264"/>
        <v>1</v>
      </c>
      <c r="P906" s="58">
        <v>44070</v>
      </c>
    </row>
    <row r="907" spans="1:19" x14ac:dyDescent="0.15">
      <c r="A907" s="14" t="s">
        <v>182</v>
      </c>
      <c r="B907" s="8">
        <v>1</v>
      </c>
      <c r="C907" s="10"/>
      <c r="D907" s="10"/>
      <c r="E907" s="10"/>
      <c r="F907" s="30"/>
      <c r="G907" s="7">
        <f t="shared" si="263"/>
        <v>1</v>
      </c>
      <c r="H907" s="58">
        <v>44043</v>
      </c>
      <c r="I907" s="14" t="s">
        <v>24</v>
      </c>
      <c r="J907" s="8">
        <v>5</v>
      </c>
      <c r="K907" s="10"/>
      <c r="L907" s="10"/>
      <c r="M907" s="10"/>
      <c r="N907" s="30"/>
      <c r="O907" s="7">
        <f t="shared" si="264"/>
        <v>5</v>
      </c>
      <c r="P907" s="58">
        <v>44079</v>
      </c>
    </row>
    <row r="908" spans="1:19" x14ac:dyDescent="0.15">
      <c r="A908" s="14" t="s">
        <v>10</v>
      </c>
      <c r="B908" s="8"/>
      <c r="C908" s="10">
        <v>1</v>
      </c>
      <c r="D908" s="10"/>
      <c r="E908" s="10"/>
      <c r="F908" s="30"/>
      <c r="G908" s="7">
        <f t="shared" si="263"/>
        <v>1</v>
      </c>
      <c r="H908" s="58">
        <v>44050</v>
      </c>
      <c r="I908" s="14" t="s">
        <v>8</v>
      </c>
      <c r="J908" s="8"/>
      <c r="K908" s="10"/>
      <c r="L908" s="10"/>
      <c r="M908" s="10">
        <v>10</v>
      </c>
      <c r="N908" s="30">
        <v>10</v>
      </c>
      <c r="O908" s="7">
        <f t="shared" si="264"/>
        <v>20</v>
      </c>
      <c r="P908" s="58">
        <v>44091</v>
      </c>
    </row>
    <row r="909" spans="1:19" x14ac:dyDescent="0.15">
      <c r="A909" s="14" t="s">
        <v>713</v>
      </c>
      <c r="B909" s="8">
        <v>1</v>
      </c>
      <c r="C909" s="10"/>
      <c r="D909" s="10"/>
      <c r="E909" s="10"/>
      <c r="F909" s="30"/>
      <c r="G909" s="7">
        <f t="shared" si="263"/>
        <v>1</v>
      </c>
      <c r="H909" s="58">
        <v>44075</v>
      </c>
      <c r="I909" s="14" t="s">
        <v>8</v>
      </c>
      <c r="J909" s="8">
        <v>10</v>
      </c>
      <c r="K909" s="10">
        <v>10</v>
      </c>
      <c r="L909" s="10"/>
      <c r="M909" s="10"/>
      <c r="N909" s="30"/>
      <c r="O909" s="7">
        <f t="shared" si="264"/>
        <v>20</v>
      </c>
      <c r="P909" s="58">
        <v>44099</v>
      </c>
    </row>
    <row r="910" spans="1:19" x14ac:dyDescent="0.15">
      <c r="A910" s="14" t="s">
        <v>182</v>
      </c>
      <c r="B910" s="8"/>
      <c r="C910" s="10">
        <v>1</v>
      </c>
      <c r="D910" s="10"/>
      <c r="E910" s="10"/>
      <c r="F910" s="30"/>
      <c r="G910" s="7">
        <f t="shared" si="263"/>
        <v>1</v>
      </c>
      <c r="H910" s="58">
        <v>44088</v>
      </c>
      <c r="I910" s="14"/>
      <c r="J910" s="8"/>
      <c r="K910" s="10"/>
      <c r="L910" s="10"/>
      <c r="M910" s="10"/>
      <c r="N910" s="30"/>
      <c r="O910" s="7">
        <f t="shared" si="264"/>
        <v>0</v>
      </c>
    </row>
    <row r="911" spans="1:19" x14ac:dyDescent="0.15">
      <c r="A911" s="14" t="s">
        <v>713</v>
      </c>
      <c r="B911" s="8"/>
      <c r="C911" s="10">
        <v>1</v>
      </c>
      <c r="D911" s="10"/>
      <c r="E911" s="10"/>
      <c r="F911" s="30"/>
      <c r="G911" s="7">
        <f t="shared" si="263"/>
        <v>1</v>
      </c>
      <c r="H911" s="58">
        <v>44088</v>
      </c>
      <c r="I911" s="16"/>
      <c r="J911" s="8"/>
      <c r="K911" s="10"/>
      <c r="L911" s="10"/>
      <c r="M911" s="10"/>
      <c r="N911" s="30"/>
      <c r="O911" s="7">
        <f t="shared" si="264"/>
        <v>0</v>
      </c>
    </row>
    <row r="912" spans="1:19" x14ac:dyDescent="0.15">
      <c r="A912" s="14" t="s">
        <v>10</v>
      </c>
      <c r="B912" s="8"/>
      <c r="C912" s="10"/>
      <c r="D912" s="10">
        <v>1</v>
      </c>
      <c r="E912" s="10"/>
      <c r="F912" s="30"/>
      <c r="G912" s="7">
        <f t="shared" si="263"/>
        <v>1</v>
      </c>
      <c r="H912" s="58">
        <v>44091</v>
      </c>
      <c r="I912" s="16"/>
      <c r="J912" s="8"/>
      <c r="K912" s="10"/>
      <c r="L912" s="10"/>
      <c r="M912" s="10"/>
      <c r="N912" s="30"/>
      <c r="O912" s="7">
        <f t="shared" si="264"/>
        <v>0</v>
      </c>
    </row>
    <row r="913" spans="1:16" x14ac:dyDescent="0.15">
      <c r="A913" s="14" t="s">
        <v>713</v>
      </c>
      <c r="B913" s="8"/>
      <c r="C913" s="10"/>
      <c r="D913" s="10"/>
      <c r="E913" s="10">
        <v>1</v>
      </c>
      <c r="F913" s="30"/>
      <c r="G913" s="7">
        <f t="shared" si="263"/>
        <v>1</v>
      </c>
      <c r="H913" s="58">
        <v>44097</v>
      </c>
      <c r="I913" s="16"/>
      <c r="J913" s="8"/>
      <c r="K913" s="10"/>
      <c r="L913" s="10"/>
      <c r="M913" s="10"/>
      <c r="N913" s="30"/>
      <c r="O913" s="7">
        <f t="shared" si="264"/>
        <v>0</v>
      </c>
    </row>
    <row r="914" spans="1:16" x14ac:dyDescent="0.15">
      <c r="A914" s="14" t="s">
        <v>713</v>
      </c>
      <c r="B914" s="8"/>
      <c r="C914" s="10"/>
      <c r="D914" s="10"/>
      <c r="E914" s="10">
        <v>1</v>
      </c>
      <c r="F914" s="30"/>
      <c r="G914" s="7">
        <v>2</v>
      </c>
      <c r="H914" s="58">
        <v>44098</v>
      </c>
      <c r="I914" s="16"/>
      <c r="J914" s="11"/>
      <c r="K914" s="12"/>
      <c r="L914" s="12"/>
      <c r="M914" s="12"/>
      <c r="N914" s="31"/>
      <c r="O914" s="7">
        <f t="shared" si="264"/>
        <v>0</v>
      </c>
    </row>
    <row r="915" spans="1:16" x14ac:dyDescent="0.15">
      <c r="A915" s="14" t="s">
        <v>1357</v>
      </c>
      <c r="B915" s="8"/>
      <c r="C915" s="10">
        <v>2</v>
      </c>
      <c r="D915" s="10"/>
      <c r="E915" s="10">
        <v>5</v>
      </c>
      <c r="F915" s="30">
        <v>4</v>
      </c>
      <c r="G915" s="7">
        <f t="shared" ref="G915:G922" si="266">SUM(B915:F915)</f>
        <v>11</v>
      </c>
      <c r="H915" s="58">
        <v>44100</v>
      </c>
      <c r="I915" s="16"/>
      <c r="J915" s="8"/>
      <c r="K915" s="10"/>
      <c r="L915" s="10"/>
      <c r="M915" s="10"/>
      <c r="N915" s="30"/>
      <c r="O915" s="7">
        <f>SUM(J915:N915)</f>
        <v>0</v>
      </c>
    </row>
    <row r="916" spans="1:16" x14ac:dyDescent="0.15">
      <c r="A916" s="14" t="s">
        <v>10</v>
      </c>
      <c r="B916" s="8">
        <v>1</v>
      </c>
      <c r="C916" s="10"/>
      <c r="D916" s="10"/>
      <c r="E916" s="10">
        <v>1</v>
      </c>
      <c r="F916" s="30"/>
      <c r="G916" s="7">
        <f t="shared" si="266"/>
        <v>2</v>
      </c>
      <c r="H916" s="58">
        <v>44103</v>
      </c>
      <c r="I916" s="64" t="s">
        <v>1268</v>
      </c>
      <c r="J916" s="11"/>
      <c r="K916" s="12"/>
      <c r="L916" s="12"/>
      <c r="M916" s="12"/>
      <c r="N916" s="31"/>
      <c r="O916" s="7">
        <f t="shared" ref="O916" si="267">SUM(J916:N916)</f>
        <v>0</v>
      </c>
      <c r="P916" s="56" t="s">
        <v>1269</v>
      </c>
    </row>
    <row r="917" spans="1:16" x14ac:dyDescent="0.15">
      <c r="A917" s="20" t="s">
        <v>1360</v>
      </c>
      <c r="B917" s="8"/>
      <c r="C917" s="10"/>
      <c r="D917" s="10">
        <v>1</v>
      </c>
      <c r="E917" s="10"/>
      <c r="F917" s="30"/>
      <c r="G917" s="7">
        <f t="shared" si="266"/>
        <v>1</v>
      </c>
      <c r="H917" s="58">
        <v>44102</v>
      </c>
      <c r="I917" s="16" t="s">
        <v>1286</v>
      </c>
      <c r="J917" s="8"/>
      <c r="K917" s="10"/>
      <c r="L917" s="10"/>
      <c r="M917" s="10"/>
      <c r="N917" s="30"/>
      <c r="O917" s="7">
        <f>SUM(J917:N917)</f>
        <v>0</v>
      </c>
      <c r="P917" s="56" t="s">
        <v>1287</v>
      </c>
    </row>
    <row r="918" spans="1:16" x14ac:dyDescent="0.15">
      <c r="A918" s="39" t="s">
        <v>1361</v>
      </c>
      <c r="B918" s="11"/>
      <c r="C918" s="12"/>
      <c r="D918" s="12"/>
      <c r="E918" s="12">
        <v>-1</v>
      </c>
      <c r="F918" s="31"/>
      <c r="G918" s="7">
        <f t="shared" si="266"/>
        <v>-1</v>
      </c>
      <c r="H918" s="58">
        <v>44102</v>
      </c>
      <c r="I918" s="16" t="s">
        <v>1313</v>
      </c>
      <c r="J918" s="8"/>
      <c r="K918" s="10"/>
      <c r="L918" s="10"/>
      <c r="M918" s="10"/>
      <c r="N918" s="30"/>
      <c r="O918" s="7">
        <f t="shared" ref="O918:O922" si="268">SUM(J918:N918)</f>
        <v>0</v>
      </c>
      <c r="P918" s="56" t="s">
        <v>1314</v>
      </c>
    </row>
    <row r="919" spans="1:16" x14ac:dyDescent="0.15">
      <c r="A919" s="170" t="s">
        <v>1367</v>
      </c>
      <c r="B919" s="8"/>
      <c r="C919" s="10"/>
      <c r="D919" s="10">
        <v>-1</v>
      </c>
      <c r="E919" s="10"/>
      <c r="F919" s="30"/>
      <c r="G919" s="7">
        <f t="shared" si="266"/>
        <v>-1</v>
      </c>
      <c r="H919" s="58">
        <v>44103</v>
      </c>
      <c r="I919" s="16" t="s">
        <v>1306</v>
      </c>
      <c r="J919" s="11"/>
      <c r="K919" s="12"/>
      <c r="L919" s="12"/>
      <c r="M919" s="12"/>
      <c r="N919" s="31"/>
      <c r="O919" s="7">
        <f t="shared" si="268"/>
        <v>0</v>
      </c>
      <c r="P919" s="56" t="s">
        <v>1307</v>
      </c>
    </row>
    <row r="920" spans="1:16" x14ac:dyDescent="0.15">
      <c r="A920" s="14" t="s">
        <v>10</v>
      </c>
      <c r="B920" s="8"/>
      <c r="C920" s="10">
        <v>1</v>
      </c>
      <c r="D920" s="10"/>
      <c r="E920" s="10"/>
      <c r="F920" s="30"/>
      <c r="G920" s="7">
        <f t="shared" si="266"/>
        <v>1</v>
      </c>
      <c r="H920" s="58">
        <v>44105</v>
      </c>
      <c r="I920" s="16" t="s">
        <v>1283</v>
      </c>
      <c r="J920" s="8"/>
      <c r="K920" s="10"/>
      <c r="L920" s="10"/>
      <c r="M920" s="10"/>
      <c r="N920" s="30"/>
      <c r="O920" s="7">
        <f t="shared" si="268"/>
        <v>0</v>
      </c>
      <c r="P920" s="56" t="s">
        <v>1282</v>
      </c>
    </row>
    <row r="921" spans="1:16" x14ac:dyDescent="0.15">
      <c r="A921" s="14" t="s">
        <v>182</v>
      </c>
      <c r="B921" s="8">
        <v>1</v>
      </c>
      <c r="C921" s="10"/>
      <c r="D921" s="10"/>
      <c r="E921" s="10"/>
      <c r="F921" s="30"/>
      <c r="G921" s="7">
        <f t="shared" si="266"/>
        <v>1</v>
      </c>
      <c r="H921" s="58">
        <v>44110</v>
      </c>
      <c r="I921" s="14" t="s">
        <v>1294</v>
      </c>
      <c r="J921" s="8"/>
      <c r="K921" s="10"/>
      <c r="L921" s="10"/>
      <c r="M921" s="10"/>
      <c r="N921" s="30"/>
      <c r="O921" s="7">
        <f t="shared" si="268"/>
        <v>0</v>
      </c>
      <c r="P921" s="56" t="s">
        <v>1293</v>
      </c>
    </row>
    <row r="922" spans="1:16" ht="14.25" thickBot="1" x14ac:dyDescent="0.2">
      <c r="A922" s="51" t="s">
        <v>713</v>
      </c>
      <c r="B922" s="11"/>
      <c r="C922" s="12">
        <v>1</v>
      </c>
      <c r="D922" s="12"/>
      <c r="E922" s="12"/>
      <c r="F922" s="31"/>
      <c r="G922" s="115">
        <f t="shared" si="266"/>
        <v>1</v>
      </c>
      <c r="H922" s="58">
        <v>44110</v>
      </c>
      <c r="I922" s="14" t="s">
        <v>1336</v>
      </c>
      <c r="J922" s="8"/>
      <c r="K922" s="10"/>
      <c r="L922" s="10"/>
      <c r="M922" s="10"/>
      <c r="N922" s="30"/>
      <c r="O922" s="7">
        <f t="shared" si="268"/>
        <v>0</v>
      </c>
      <c r="P922" s="56" t="s">
        <v>1335</v>
      </c>
    </row>
    <row r="923" spans="1:16" ht="14.25" thickBot="1" x14ac:dyDescent="0.2">
      <c r="A923" s="3" t="s">
        <v>11</v>
      </c>
      <c r="B923" s="23">
        <f>SUM(B897:B922)</f>
        <v>7</v>
      </c>
      <c r="C923" s="4">
        <f>SUM(C897:C922)</f>
        <v>10</v>
      </c>
      <c r="D923" s="4">
        <f>SUM(D897:D922)</f>
        <v>7</v>
      </c>
      <c r="E923" s="6">
        <f>SUM(E897:E922)</f>
        <v>7</v>
      </c>
      <c r="F923" s="32">
        <f>SUM(F897:F922)</f>
        <v>5</v>
      </c>
      <c r="G923" s="5">
        <f>SUM(B923:F923)</f>
        <v>36</v>
      </c>
      <c r="I923" s="3" t="s">
        <v>11</v>
      </c>
      <c r="J923" s="23">
        <f>SUM(J897:J922)</f>
        <v>15</v>
      </c>
      <c r="K923" s="4">
        <f>SUM(K897:K922)</f>
        <v>16</v>
      </c>
      <c r="L923" s="4">
        <f>SUM(L897:L922)</f>
        <v>8</v>
      </c>
      <c r="M923" s="6">
        <f>SUM(M897:M922)</f>
        <v>22</v>
      </c>
      <c r="N923" s="32">
        <f>SUM(N897:N922)</f>
        <v>22</v>
      </c>
      <c r="O923" s="5">
        <f>SUM(J923:N923)</f>
        <v>83</v>
      </c>
    </row>
    <row r="924" spans="1:16" ht="14.25" thickBot="1" x14ac:dyDescent="0.2">
      <c r="A924" s="25" t="s">
        <v>12</v>
      </c>
      <c r="B924" s="63">
        <f>B896-B923</f>
        <v>6</v>
      </c>
      <c r="C924" s="26">
        <f t="shared" ref="C924:G924" si="269">C896-C923</f>
        <v>5</v>
      </c>
      <c r="D924" s="71">
        <f t="shared" si="269"/>
        <v>11</v>
      </c>
      <c r="E924" s="26">
        <f t="shared" si="269"/>
        <v>11</v>
      </c>
      <c r="F924" s="70">
        <f t="shared" si="269"/>
        <v>7</v>
      </c>
      <c r="G924" s="27">
        <f t="shared" si="269"/>
        <v>40</v>
      </c>
      <c r="I924" s="25" t="s">
        <v>12</v>
      </c>
      <c r="J924" s="63">
        <f>J896-J923</f>
        <v>168</v>
      </c>
      <c r="K924" s="26">
        <f t="shared" ref="K924:O924" si="270">K896-K923</f>
        <v>133</v>
      </c>
      <c r="L924" s="71">
        <f t="shared" si="270"/>
        <v>196</v>
      </c>
      <c r="M924" s="26">
        <f t="shared" si="270"/>
        <v>55</v>
      </c>
      <c r="N924" s="70">
        <f t="shared" si="270"/>
        <v>46</v>
      </c>
      <c r="O924" s="27">
        <f t="shared" si="270"/>
        <v>598</v>
      </c>
    </row>
    <row r="925" spans="1:16" ht="17.25" x14ac:dyDescent="0.2">
      <c r="A925" s="79" t="s">
        <v>391</v>
      </c>
      <c r="B925" s="80"/>
      <c r="C925" s="80"/>
      <c r="D925" s="80"/>
      <c r="E925" s="80"/>
      <c r="F925" s="80"/>
      <c r="G925" s="80"/>
      <c r="H925" s="56"/>
      <c r="I925" s="79" t="s">
        <v>391</v>
      </c>
      <c r="J925" s="80"/>
      <c r="K925" s="80"/>
      <c r="L925" s="80"/>
      <c r="M925" s="80"/>
      <c r="N925" s="80"/>
      <c r="O925" s="1"/>
    </row>
    <row r="926" spans="1:16" ht="21.75" thickBot="1" x14ac:dyDescent="0.25">
      <c r="A926" s="82" t="s">
        <v>390</v>
      </c>
      <c r="B926" s="80"/>
      <c r="C926" s="80"/>
      <c r="D926" s="80"/>
      <c r="E926" s="81" t="s">
        <v>53</v>
      </c>
      <c r="F926" s="80"/>
      <c r="G926" s="80"/>
      <c r="H926" s="56"/>
      <c r="I926" s="82" t="s">
        <v>390</v>
      </c>
      <c r="J926" s="80"/>
      <c r="K926" s="80"/>
      <c r="L926" s="80"/>
      <c r="M926" s="81" t="s">
        <v>393</v>
      </c>
      <c r="N926" s="80"/>
      <c r="O926" s="1"/>
    </row>
    <row r="927" spans="1:16" ht="14.25" thickBot="1" x14ac:dyDescent="0.2">
      <c r="A927" s="13" t="s">
        <v>0</v>
      </c>
      <c r="B927" s="228" t="s">
        <v>392</v>
      </c>
      <c r="C927" s="229"/>
      <c r="D927" s="229"/>
      <c r="E927" s="229"/>
      <c r="F927" s="230"/>
      <c r="G927" s="231"/>
      <c r="H927" s="56"/>
      <c r="I927" s="13" t="s">
        <v>0</v>
      </c>
      <c r="J927" s="228" t="s">
        <v>392</v>
      </c>
      <c r="K927" s="229"/>
      <c r="L927" s="229"/>
      <c r="M927" s="229"/>
      <c r="N927" s="230"/>
      <c r="O927" s="231"/>
    </row>
    <row r="928" spans="1:16" ht="14.25" thickBot="1" x14ac:dyDescent="0.2">
      <c r="A928" s="3" t="s">
        <v>1</v>
      </c>
      <c r="B928" s="2" t="s">
        <v>42</v>
      </c>
      <c r="C928" s="21" t="s">
        <v>43</v>
      </c>
      <c r="D928" s="21" t="s">
        <v>44</v>
      </c>
      <c r="E928" s="24" t="s">
        <v>45</v>
      </c>
      <c r="F928" s="33" t="s">
        <v>46</v>
      </c>
      <c r="G928" s="34" t="s">
        <v>2</v>
      </c>
      <c r="H928" s="56"/>
      <c r="I928" s="3" t="s">
        <v>1</v>
      </c>
      <c r="J928" s="41" t="s">
        <v>42</v>
      </c>
      <c r="K928" s="42" t="s">
        <v>43</v>
      </c>
      <c r="L928" s="42" t="s">
        <v>44</v>
      </c>
      <c r="M928" s="43" t="s">
        <v>45</v>
      </c>
      <c r="N928" s="44" t="s">
        <v>46</v>
      </c>
      <c r="O928" s="3" t="s">
        <v>2</v>
      </c>
    </row>
    <row r="929" spans="1:16" ht="14.25" thickBot="1" x14ac:dyDescent="0.2">
      <c r="A929" s="72" t="s">
        <v>456</v>
      </c>
      <c r="B929" s="73">
        <f>B924</f>
        <v>6</v>
      </c>
      <c r="C929" s="74">
        <f t="shared" ref="C929:F929" si="271">C924</f>
        <v>5</v>
      </c>
      <c r="D929" s="74">
        <f t="shared" si="271"/>
        <v>11</v>
      </c>
      <c r="E929" s="74">
        <f t="shared" si="271"/>
        <v>11</v>
      </c>
      <c r="F929" s="105">
        <f t="shared" si="271"/>
        <v>7</v>
      </c>
      <c r="G929" s="131">
        <f t="shared" ref="G929:G937" si="272">SUM(B929:F929)</f>
        <v>40</v>
      </c>
      <c r="H929" s="56"/>
      <c r="I929" s="72" t="s">
        <v>456</v>
      </c>
      <c r="J929" s="73">
        <f>J924</f>
        <v>168</v>
      </c>
      <c r="K929" s="74">
        <f t="shared" ref="K929:N929" si="273">K924</f>
        <v>133</v>
      </c>
      <c r="L929" s="74">
        <f t="shared" si="273"/>
        <v>196</v>
      </c>
      <c r="M929" s="74">
        <f t="shared" si="273"/>
        <v>55</v>
      </c>
      <c r="N929" s="105">
        <f t="shared" si="273"/>
        <v>46</v>
      </c>
      <c r="O929" s="131">
        <f t="shared" ref="O929:O937" si="274">SUM(J929:N929)</f>
        <v>598</v>
      </c>
    </row>
    <row r="930" spans="1:16" x14ac:dyDescent="0.15">
      <c r="A930" s="15" t="s">
        <v>17</v>
      </c>
      <c r="B930" s="8"/>
      <c r="C930" s="10">
        <v>1</v>
      </c>
      <c r="D930" s="10"/>
      <c r="E930" s="10">
        <v>1</v>
      </c>
      <c r="F930" s="28"/>
      <c r="G930" s="9">
        <f t="shared" si="272"/>
        <v>2</v>
      </c>
      <c r="H930" s="58">
        <v>44118</v>
      </c>
      <c r="I930" s="181" t="s">
        <v>1349</v>
      </c>
      <c r="J930" s="176">
        <v>2</v>
      </c>
      <c r="K930" s="177">
        <v>-16</v>
      </c>
      <c r="L930" s="177">
        <v>-61</v>
      </c>
      <c r="M930" s="177">
        <v>6</v>
      </c>
      <c r="N930" s="178">
        <v>47</v>
      </c>
      <c r="O930" s="179">
        <f t="shared" si="274"/>
        <v>-22</v>
      </c>
      <c r="P930" s="193">
        <v>44135</v>
      </c>
    </row>
    <row r="931" spans="1:16" x14ac:dyDescent="0.15">
      <c r="A931" s="14" t="s">
        <v>1380</v>
      </c>
      <c r="B931" s="8">
        <v>1</v>
      </c>
      <c r="C931" s="10"/>
      <c r="D931" s="10"/>
      <c r="E931" s="10"/>
      <c r="F931" s="28"/>
      <c r="G931" s="9">
        <f t="shared" si="272"/>
        <v>1</v>
      </c>
      <c r="H931" s="58">
        <v>44125</v>
      </c>
      <c r="I931" s="38" t="s">
        <v>3</v>
      </c>
      <c r="J931" s="8"/>
      <c r="K931" s="10"/>
      <c r="L931" s="10"/>
      <c r="M931" s="10"/>
      <c r="N931" s="28"/>
      <c r="O931" s="9">
        <f t="shared" si="274"/>
        <v>0</v>
      </c>
    </row>
    <row r="932" spans="1:16" x14ac:dyDescent="0.15">
      <c r="A932" s="15" t="s">
        <v>322</v>
      </c>
      <c r="B932" s="8">
        <v>1</v>
      </c>
      <c r="C932" s="10"/>
      <c r="D932" s="10"/>
      <c r="E932" s="10"/>
      <c r="F932" s="28"/>
      <c r="G932" s="9">
        <f t="shared" si="272"/>
        <v>1</v>
      </c>
      <c r="H932" s="58">
        <v>44148</v>
      </c>
      <c r="I932" s="38" t="s">
        <v>4</v>
      </c>
      <c r="J932" s="8"/>
      <c r="K932" s="10"/>
      <c r="L932" s="10"/>
      <c r="M932" s="10"/>
      <c r="N932" s="30"/>
      <c r="O932" s="7">
        <f t="shared" si="274"/>
        <v>0</v>
      </c>
    </row>
    <row r="933" spans="1:16" x14ac:dyDescent="0.15">
      <c r="A933" s="15" t="s">
        <v>6</v>
      </c>
      <c r="B933" s="8"/>
      <c r="C933" s="10">
        <v>5</v>
      </c>
      <c r="D933" s="10"/>
      <c r="E933" s="10"/>
      <c r="F933" s="28"/>
      <c r="G933" s="9">
        <f t="shared" si="272"/>
        <v>5</v>
      </c>
      <c r="H933" s="58">
        <v>44162</v>
      </c>
      <c r="I933" s="38" t="s">
        <v>5</v>
      </c>
      <c r="J933" s="8"/>
      <c r="K933" s="10"/>
      <c r="L933" s="10"/>
      <c r="M933" s="10"/>
      <c r="N933" s="28"/>
      <c r="O933" s="9">
        <f t="shared" si="274"/>
        <v>0</v>
      </c>
    </row>
    <row r="934" spans="1:16" x14ac:dyDescent="0.15">
      <c r="A934" s="15" t="s">
        <v>17</v>
      </c>
      <c r="B934" s="8"/>
      <c r="C934" s="10"/>
      <c r="D934" s="10"/>
      <c r="E934" s="10"/>
      <c r="F934" s="30">
        <v>1</v>
      </c>
      <c r="G934" s="7">
        <f t="shared" si="272"/>
        <v>1</v>
      </c>
      <c r="H934" s="58">
        <v>44189</v>
      </c>
      <c r="I934" s="38" t="s">
        <v>6</v>
      </c>
      <c r="J934" s="8"/>
      <c r="K934" s="10"/>
      <c r="L934" s="10"/>
      <c r="M934" s="10"/>
      <c r="N934" s="30"/>
      <c r="O934" s="7">
        <f t="shared" si="274"/>
        <v>0</v>
      </c>
    </row>
    <row r="935" spans="1:16" x14ac:dyDescent="0.15">
      <c r="A935" s="15" t="s">
        <v>85</v>
      </c>
      <c r="B935" s="8"/>
      <c r="C935" s="10"/>
      <c r="D935" s="10">
        <v>5</v>
      </c>
      <c r="E935" s="10"/>
      <c r="F935" s="30"/>
      <c r="G935" s="7">
        <f t="shared" si="272"/>
        <v>5</v>
      </c>
      <c r="H935" s="58">
        <v>44193</v>
      </c>
      <c r="I935" s="38" t="s">
        <v>84</v>
      </c>
      <c r="J935" s="8"/>
      <c r="K935" s="10"/>
      <c r="L935" s="10"/>
      <c r="M935" s="10"/>
      <c r="N935" s="30"/>
      <c r="O935" s="7">
        <f t="shared" si="274"/>
        <v>0</v>
      </c>
    </row>
    <row r="936" spans="1:16" x14ac:dyDescent="0.15">
      <c r="A936" s="15" t="s">
        <v>86</v>
      </c>
      <c r="B936" s="11">
        <v>5</v>
      </c>
      <c r="C936" s="100"/>
      <c r="D936" s="100"/>
      <c r="E936" s="100"/>
      <c r="F936" s="101"/>
      <c r="G936" s="102">
        <f t="shared" si="272"/>
        <v>5</v>
      </c>
      <c r="H936" s="58">
        <v>44205</v>
      </c>
      <c r="I936" s="38" t="s">
        <v>85</v>
      </c>
      <c r="J936" s="8"/>
      <c r="K936" s="10"/>
      <c r="L936" s="10"/>
      <c r="M936" s="10"/>
      <c r="N936" s="30"/>
      <c r="O936" s="7">
        <f t="shared" si="274"/>
        <v>0</v>
      </c>
    </row>
    <row r="937" spans="1:16" ht="14.25" thickBot="1" x14ac:dyDescent="0.2">
      <c r="A937" s="15" t="s">
        <v>17</v>
      </c>
      <c r="B937" s="11"/>
      <c r="C937" s="100"/>
      <c r="D937" s="100">
        <v>2</v>
      </c>
      <c r="E937" s="100"/>
      <c r="F937" s="101"/>
      <c r="G937" s="102">
        <f t="shared" si="272"/>
        <v>2</v>
      </c>
      <c r="H937" s="58">
        <v>44210</v>
      </c>
      <c r="I937" s="38" t="s">
        <v>86</v>
      </c>
      <c r="J937" s="11"/>
      <c r="K937" s="100"/>
      <c r="L937" s="100"/>
      <c r="M937" s="100"/>
      <c r="N937" s="101"/>
      <c r="O937" s="102">
        <f t="shared" si="274"/>
        <v>0</v>
      </c>
    </row>
    <row r="938" spans="1:16" ht="14.25" thickBot="1" x14ac:dyDescent="0.2">
      <c r="A938" s="72" t="s">
        <v>7</v>
      </c>
      <c r="B938" s="73">
        <f>SUM(B929:B937)</f>
        <v>13</v>
      </c>
      <c r="C938" s="74">
        <f t="shared" ref="C938:G938" si="275">SUM(C929:C937)</f>
        <v>11</v>
      </c>
      <c r="D938" s="74">
        <f t="shared" si="275"/>
        <v>18</v>
      </c>
      <c r="E938" s="74">
        <f t="shared" si="275"/>
        <v>12</v>
      </c>
      <c r="F938" s="105">
        <f t="shared" si="275"/>
        <v>8</v>
      </c>
      <c r="G938" s="76">
        <f t="shared" si="275"/>
        <v>62</v>
      </c>
      <c r="H938" s="56"/>
      <c r="I938" s="72" t="s">
        <v>7</v>
      </c>
      <c r="J938" s="73">
        <f>SUM(J929:J937)</f>
        <v>170</v>
      </c>
      <c r="K938" s="74">
        <f t="shared" ref="K938:O938" si="276">SUM(K929:K937)</f>
        <v>117</v>
      </c>
      <c r="L938" s="74">
        <f t="shared" si="276"/>
        <v>135</v>
      </c>
      <c r="M938" s="74">
        <f t="shared" si="276"/>
        <v>61</v>
      </c>
      <c r="N938" s="105">
        <f t="shared" si="276"/>
        <v>93</v>
      </c>
      <c r="O938" s="76">
        <f t="shared" si="276"/>
        <v>576</v>
      </c>
    </row>
    <row r="939" spans="1:16" x14ac:dyDescent="0.15">
      <c r="A939" s="14" t="s">
        <v>713</v>
      </c>
      <c r="B939" s="11">
        <v>1</v>
      </c>
      <c r="C939" s="12"/>
      <c r="D939" s="12"/>
      <c r="E939" s="12"/>
      <c r="F939" s="31"/>
      <c r="G939" s="18">
        <f t="shared" ref="G939:G955" si="277">SUM(B939:F939)</f>
        <v>1</v>
      </c>
      <c r="H939" s="58">
        <v>44116</v>
      </c>
      <c r="I939" s="14" t="s">
        <v>8</v>
      </c>
      <c r="J939" s="8"/>
      <c r="K939" s="10"/>
      <c r="L939" s="10">
        <v>10</v>
      </c>
      <c r="M939" s="10"/>
      <c r="N939" s="30"/>
      <c r="O939" s="7">
        <f t="shared" ref="O939:O956" si="278">SUM(J939:N939)</f>
        <v>10</v>
      </c>
      <c r="P939" s="58">
        <v>44119</v>
      </c>
    </row>
    <row r="940" spans="1:16" x14ac:dyDescent="0.15">
      <c r="A940" s="14" t="s">
        <v>713</v>
      </c>
      <c r="B940" s="8"/>
      <c r="C940" s="10"/>
      <c r="D940" s="10"/>
      <c r="E940" s="10">
        <v>1</v>
      </c>
      <c r="F940" s="30"/>
      <c r="G940" s="7">
        <f t="shared" si="277"/>
        <v>1</v>
      </c>
      <c r="H940" s="58">
        <v>44118</v>
      </c>
      <c r="I940" s="14" t="s">
        <v>1373</v>
      </c>
      <c r="J940" s="8"/>
      <c r="K940" s="10"/>
      <c r="L940" s="10"/>
      <c r="M940" s="10">
        <v>1</v>
      </c>
      <c r="N940" s="30"/>
      <c r="O940" s="7">
        <f t="shared" si="278"/>
        <v>1</v>
      </c>
      <c r="P940" s="58">
        <v>44119</v>
      </c>
    </row>
    <row r="941" spans="1:16" x14ac:dyDescent="0.15">
      <c r="A941" s="14" t="s">
        <v>182</v>
      </c>
      <c r="B941" s="8"/>
      <c r="C941" s="10">
        <v>1</v>
      </c>
      <c r="D941" s="10"/>
      <c r="E941" s="10"/>
      <c r="F941" s="30"/>
      <c r="G941" s="7">
        <f t="shared" si="277"/>
        <v>1</v>
      </c>
      <c r="H941" s="58">
        <v>44123</v>
      </c>
      <c r="I941" s="14" t="s">
        <v>1386</v>
      </c>
      <c r="J941" s="8"/>
      <c r="K941" s="10">
        <v>3</v>
      </c>
      <c r="L941" s="10">
        <v>3</v>
      </c>
      <c r="M941" s="10"/>
      <c r="N941" s="30"/>
      <c r="O941" s="7">
        <f t="shared" si="278"/>
        <v>6</v>
      </c>
      <c r="P941" s="58">
        <v>44145</v>
      </c>
    </row>
    <row r="942" spans="1:16" x14ac:dyDescent="0.15">
      <c r="A942" s="14" t="s">
        <v>1383</v>
      </c>
      <c r="B942" s="8"/>
      <c r="C942" s="10"/>
      <c r="D942" s="10">
        <v>1</v>
      </c>
      <c r="E942" s="10"/>
      <c r="F942" s="30"/>
      <c r="G942" s="7">
        <f t="shared" si="277"/>
        <v>1</v>
      </c>
      <c r="H942" s="58">
        <v>44140</v>
      </c>
      <c r="I942" s="14" t="s">
        <v>25</v>
      </c>
      <c r="J942" s="8"/>
      <c r="K942" s="10"/>
      <c r="L942" s="10"/>
      <c r="M942" s="10">
        <v>1</v>
      </c>
      <c r="N942" s="30"/>
      <c r="O942" s="7">
        <f t="shared" si="278"/>
        <v>1</v>
      </c>
      <c r="P942" s="58">
        <v>44147</v>
      </c>
    </row>
    <row r="943" spans="1:16" x14ac:dyDescent="0.15">
      <c r="A943" s="14" t="s">
        <v>25</v>
      </c>
      <c r="B943" s="37"/>
      <c r="C943" s="35">
        <v>1</v>
      </c>
      <c r="D943" s="35">
        <v>1</v>
      </c>
      <c r="E943" s="35"/>
      <c r="F943" s="28"/>
      <c r="G943" s="7">
        <f t="shared" si="277"/>
        <v>2</v>
      </c>
      <c r="H943" s="58">
        <v>44141</v>
      </c>
      <c r="I943" s="14" t="s">
        <v>25</v>
      </c>
      <c r="J943" s="8">
        <v>1</v>
      </c>
      <c r="K943" s="10">
        <v>2</v>
      </c>
      <c r="L943" s="10"/>
      <c r="M943" s="10"/>
      <c r="N943" s="30"/>
      <c r="O943" s="7">
        <f t="shared" si="278"/>
        <v>3</v>
      </c>
      <c r="P943" s="58">
        <v>44149</v>
      </c>
    </row>
    <row r="944" spans="1:16" x14ac:dyDescent="0.15">
      <c r="A944" s="14" t="s">
        <v>713</v>
      </c>
      <c r="B944" s="8"/>
      <c r="C944" s="10"/>
      <c r="D944" s="10"/>
      <c r="E944" s="10"/>
      <c r="F944" s="30">
        <v>1</v>
      </c>
      <c r="G944" s="7">
        <f t="shared" si="277"/>
        <v>1</v>
      </c>
      <c r="H944" s="58">
        <v>44140</v>
      </c>
      <c r="I944" s="14" t="s">
        <v>25</v>
      </c>
      <c r="J944" s="8"/>
      <c r="K944" s="10">
        <v>2</v>
      </c>
      <c r="L944" s="10"/>
      <c r="M944" s="10"/>
      <c r="N944" s="30"/>
      <c r="O944" s="7">
        <f t="shared" si="278"/>
        <v>2</v>
      </c>
      <c r="P944" s="58">
        <v>44152</v>
      </c>
    </row>
    <row r="945" spans="1:17" x14ac:dyDescent="0.15">
      <c r="A945" s="14" t="s">
        <v>713</v>
      </c>
      <c r="B945" s="8">
        <v>1</v>
      </c>
      <c r="C945" s="10"/>
      <c r="D945" s="10">
        <v>1</v>
      </c>
      <c r="E945" s="10"/>
      <c r="F945" s="30"/>
      <c r="G945" s="7">
        <f t="shared" si="277"/>
        <v>2</v>
      </c>
      <c r="H945" s="58">
        <v>44159</v>
      </c>
      <c r="I945" s="14" t="s">
        <v>25</v>
      </c>
      <c r="J945" s="8"/>
      <c r="K945" s="10"/>
      <c r="L945" s="10"/>
      <c r="M945" s="10"/>
      <c r="N945" s="30">
        <v>1</v>
      </c>
      <c r="O945" s="7">
        <f t="shared" si="278"/>
        <v>1</v>
      </c>
      <c r="P945" s="58">
        <v>44160</v>
      </c>
      <c r="Q945" s="56"/>
    </row>
    <row r="946" spans="1:17" x14ac:dyDescent="0.15">
      <c r="A946" s="14" t="s">
        <v>25</v>
      </c>
      <c r="B946" s="8"/>
      <c r="C946" s="10"/>
      <c r="D946" s="10">
        <v>1</v>
      </c>
      <c r="E946" s="10"/>
      <c r="F946" s="30"/>
      <c r="G946" s="7">
        <f t="shared" si="277"/>
        <v>1</v>
      </c>
      <c r="H946" s="58">
        <v>44161</v>
      </c>
      <c r="I946" s="14" t="s">
        <v>1394</v>
      </c>
      <c r="J946" s="8"/>
      <c r="K946" s="10">
        <v>5</v>
      </c>
      <c r="L946" s="10"/>
      <c r="M946" s="10"/>
      <c r="N946" s="30"/>
      <c r="O946" s="7">
        <f t="shared" si="278"/>
        <v>5</v>
      </c>
      <c r="P946" s="58">
        <v>44162</v>
      </c>
      <c r="Q946" s="56"/>
    </row>
    <row r="947" spans="1:17" x14ac:dyDescent="0.15">
      <c r="A947" s="14" t="s">
        <v>25</v>
      </c>
      <c r="B947" s="8">
        <v>1</v>
      </c>
      <c r="C947" s="10"/>
      <c r="D947" s="10"/>
      <c r="E947" s="10"/>
      <c r="F947" s="30"/>
      <c r="G947" s="7">
        <f t="shared" si="277"/>
        <v>1</v>
      </c>
      <c r="H947" s="58">
        <v>44163</v>
      </c>
      <c r="I947" s="14" t="s">
        <v>25</v>
      </c>
      <c r="J947" s="8"/>
      <c r="K947" s="10">
        <v>1</v>
      </c>
      <c r="L947" s="10"/>
      <c r="M947" s="10"/>
      <c r="N947" s="30"/>
      <c r="O947" s="7">
        <f t="shared" si="278"/>
        <v>1</v>
      </c>
      <c r="P947" s="58">
        <v>44166</v>
      </c>
    </row>
    <row r="948" spans="1:17" x14ac:dyDescent="0.15">
      <c r="A948" s="14" t="s">
        <v>25</v>
      </c>
      <c r="B948" s="11"/>
      <c r="C948" s="12">
        <v>1</v>
      </c>
      <c r="D948" s="12">
        <v>1</v>
      </c>
      <c r="E948" s="12"/>
      <c r="F948" s="31"/>
      <c r="G948" s="7">
        <f t="shared" si="277"/>
        <v>2</v>
      </c>
      <c r="H948" s="58">
        <v>44170</v>
      </c>
      <c r="I948" s="14" t="s">
        <v>25</v>
      </c>
      <c r="J948" s="11"/>
      <c r="K948" s="12">
        <v>1</v>
      </c>
      <c r="L948" s="12"/>
      <c r="M948" s="12"/>
      <c r="N948" s="31">
        <v>1</v>
      </c>
      <c r="O948" s="7">
        <f t="shared" si="278"/>
        <v>2</v>
      </c>
      <c r="P948" s="58">
        <v>44168</v>
      </c>
      <c r="Q948" s="56"/>
    </row>
    <row r="949" spans="1:17" x14ac:dyDescent="0.15">
      <c r="A949" s="14" t="s">
        <v>25</v>
      </c>
      <c r="B949" s="8"/>
      <c r="C949" s="10">
        <v>1</v>
      </c>
      <c r="D949" s="10">
        <v>1</v>
      </c>
      <c r="E949" s="10">
        <v>2</v>
      </c>
      <c r="F949" s="30"/>
      <c r="G949" s="7">
        <f t="shared" si="277"/>
        <v>4</v>
      </c>
      <c r="H949" s="58">
        <v>44173</v>
      </c>
      <c r="I949" s="14" t="s">
        <v>25</v>
      </c>
      <c r="J949" s="8">
        <v>1</v>
      </c>
      <c r="K949" s="10"/>
      <c r="L949" s="10"/>
      <c r="M949" s="10"/>
      <c r="N949" s="30"/>
      <c r="O949" s="7">
        <f t="shared" si="278"/>
        <v>1</v>
      </c>
      <c r="P949" s="58">
        <v>44175</v>
      </c>
      <c r="Q949" s="56"/>
    </row>
    <row r="950" spans="1:17" x14ac:dyDescent="0.15">
      <c r="A950" s="14" t="s">
        <v>25</v>
      </c>
      <c r="B950" s="8"/>
      <c r="C950" s="10"/>
      <c r="D950" s="10"/>
      <c r="E950" s="10">
        <v>1</v>
      </c>
      <c r="F950" s="30"/>
      <c r="G950" s="7">
        <f t="shared" si="277"/>
        <v>1</v>
      </c>
      <c r="H950" s="58">
        <v>44174</v>
      </c>
      <c r="I950" s="14" t="s">
        <v>25</v>
      </c>
      <c r="J950" s="8"/>
      <c r="K950" s="10">
        <v>1</v>
      </c>
      <c r="L950" s="10"/>
      <c r="M950" s="10"/>
      <c r="N950" s="30"/>
      <c r="O950" s="7">
        <f t="shared" si="278"/>
        <v>1</v>
      </c>
      <c r="P950" s="58">
        <v>44177</v>
      </c>
      <c r="Q950" s="56"/>
    </row>
    <row r="951" spans="1:17" x14ac:dyDescent="0.15">
      <c r="A951" s="14" t="s">
        <v>713</v>
      </c>
      <c r="B951" s="8"/>
      <c r="C951" s="10"/>
      <c r="D951" s="10">
        <v>1</v>
      </c>
      <c r="E951" s="10"/>
      <c r="F951" s="30"/>
      <c r="G951" s="7">
        <f t="shared" si="277"/>
        <v>1</v>
      </c>
      <c r="H951" s="58">
        <v>44176</v>
      </c>
      <c r="I951" s="14" t="s">
        <v>24</v>
      </c>
      <c r="J951" s="8"/>
      <c r="K951" s="10"/>
      <c r="L951" s="10">
        <v>5</v>
      </c>
      <c r="M951" s="10"/>
      <c r="N951" s="30"/>
      <c r="O951" s="7">
        <f t="shared" si="278"/>
        <v>5</v>
      </c>
      <c r="P951" s="58">
        <v>44193</v>
      </c>
    </row>
    <row r="952" spans="1:17" x14ac:dyDescent="0.15">
      <c r="A952" s="14" t="s">
        <v>25</v>
      </c>
      <c r="B952" s="8"/>
      <c r="C952" s="10"/>
      <c r="D952" s="10">
        <v>2</v>
      </c>
      <c r="E952" s="10"/>
      <c r="F952" s="30"/>
      <c r="G952" s="7">
        <f t="shared" si="277"/>
        <v>2</v>
      </c>
      <c r="H952" s="58">
        <v>44180</v>
      </c>
      <c r="I952" s="14" t="s">
        <v>24</v>
      </c>
      <c r="J952" s="8">
        <v>5</v>
      </c>
      <c r="K952" s="10"/>
      <c r="L952" s="10"/>
      <c r="M952" s="10"/>
      <c r="N952" s="30"/>
      <c r="O952" s="7">
        <f t="shared" si="278"/>
        <v>5</v>
      </c>
      <c r="P952" s="58">
        <v>44205</v>
      </c>
    </row>
    <row r="953" spans="1:17" x14ac:dyDescent="0.15">
      <c r="A953" s="14" t="s">
        <v>182</v>
      </c>
      <c r="B953" s="8"/>
      <c r="C953" s="10">
        <v>1</v>
      </c>
      <c r="D953" s="10"/>
      <c r="E953" s="10"/>
      <c r="F953" s="30"/>
      <c r="G953" s="7">
        <f t="shared" si="277"/>
        <v>1</v>
      </c>
      <c r="H953" s="58">
        <v>44182</v>
      </c>
      <c r="I953" s="14" t="s">
        <v>8</v>
      </c>
      <c r="J953" s="8"/>
      <c r="K953" s="10"/>
      <c r="L953" s="10"/>
      <c r="M953" s="10"/>
      <c r="N953" s="30">
        <v>10</v>
      </c>
      <c r="O953" s="7">
        <f t="shared" si="278"/>
        <v>10</v>
      </c>
      <c r="P953" s="58">
        <v>44232</v>
      </c>
    </row>
    <row r="954" spans="1:17" x14ac:dyDescent="0.15">
      <c r="A954" s="14" t="s">
        <v>25</v>
      </c>
      <c r="B954" s="8"/>
      <c r="C954" s="10">
        <v>1</v>
      </c>
      <c r="D954" s="10"/>
      <c r="E954" s="10"/>
      <c r="F954" s="30"/>
      <c r="G954" s="7">
        <f t="shared" si="277"/>
        <v>1</v>
      </c>
      <c r="H954" s="58">
        <v>44183</v>
      </c>
      <c r="I954" s="14" t="s">
        <v>8</v>
      </c>
      <c r="J954" s="8"/>
      <c r="K954" s="10"/>
      <c r="L954" s="10">
        <v>10</v>
      </c>
      <c r="M954" s="10"/>
      <c r="N954" s="30"/>
      <c r="O954" s="7">
        <f t="shared" si="278"/>
        <v>10</v>
      </c>
      <c r="P954" s="58">
        <v>44265</v>
      </c>
    </row>
    <row r="955" spans="1:17" x14ac:dyDescent="0.15">
      <c r="A955" s="14" t="s">
        <v>25</v>
      </c>
      <c r="B955" s="8"/>
      <c r="C955" s="10"/>
      <c r="D955" s="10"/>
      <c r="E955" s="10"/>
      <c r="F955" s="30">
        <v>1</v>
      </c>
      <c r="G955" s="7">
        <f t="shared" si="277"/>
        <v>1</v>
      </c>
      <c r="H955" s="58">
        <v>43835</v>
      </c>
      <c r="I955" s="14" t="s">
        <v>8</v>
      </c>
      <c r="J955" s="8"/>
      <c r="K955" s="10"/>
      <c r="L955" s="10"/>
      <c r="M955" s="10"/>
      <c r="N955" s="30">
        <v>10</v>
      </c>
      <c r="O955" s="7">
        <f t="shared" si="278"/>
        <v>10</v>
      </c>
      <c r="P955" s="58">
        <v>44270</v>
      </c>
    </row>
    <row r="956" spans="1:17" x14ac:dyDescent="0.15">
      <c r="A956" s="14" t="s">
        <v>713</v>
      </c>
      <c r="B956" s="8">
        <v>1</v>
      </c>
      <c r="C956" s="10"/>
      <c r="D956" s="10"/>
      <c r="E956" s="10"/>
      <c r="F956" s="30"/>
      <c r="G956" s="7">
        <v>2</v>
      </c>
      <c r="H956" s="58">
        <v>44203</v>
      </c>
      <c r="I956" s="16"/>
      <c r="J956" s="11"/>
      <c r="K956" s="12"/>
      <c r="L956" s="12"/>
      <c r="M956" s="12"/>
      <c r="N956" s="31"/>
      <c r="O956" s="7">
        <f t="shared" si="278"/>
        <v>0</v>
      </c>
      <c r="P956" s="56"/>
    </row>
    <row r="957" spans="1:17" x14ac:dyDescent="0.15">
      <c r="A957" s="15" t="s">
        <v>19</v>
      </c>
      <c r="B957" s="8"/>
      <c r="C957" s="10"/>
      <c r="D957" s="10"/>
      <c r="E957" s="10">
        <v>-1</v>
      </c>
      <c r="F957" s="30"/>
      <c r="G957" s="7">
        <f t="shared" ref="G957:G964" si="279">SUM(B957:F957)</f>
        <v>-1</v>
      </c>
      <c r="H957" s="58">
        <v>44214</v>
      </c>
      <c r="I957" s="16"/>
      <c r="J957" s="8"/>
      <c r="K957" s="10"/>
      <c r="L957" s="10"/>
      <c r="M957" s="10"/>
      <c r="N957" s="30"/>
      <c r="O957" s="7">
        <f>SUM(J957:N957)</f>
        <v>0</v>
      </c>
      <c r="P957" s="56"/>
    </row>
    <row r="958" spans="1:17" x14ac:dyDescent="0.15">
      <c r="A958" s="14" t="s">
        <v>25</v>
      </c>
      <c r="B958" s="8"/>
      <c r="C958" s="10"/>
      <c r="D958" s="10">
        <v>1</v>
      </c>
      <c r="E958" s="10"/>
      <c r="F958" s="30"/>
      <c r="G958" s="7">
        <f t="shared" si="279"/>
        <v>1</v>
      </c>
      <c r="H958" s="58">
        <v>44226</v>
      </c>
      <c r="I958" s="64"/>
      <c r="J958" s="11"/>
      <c r="K958" s="12"/>
      <c r="L958" s="12"/>
      <c r="M958" s="12"/>
      <c r="N958" s="31"/>
      <c r="O958" s="7">
        <f t="shared" ref="O958:O961" si="280">SUM(J958:N958)</f>
        <v>0</v>
      </c>
      <c r="P958" s="56"/>
    </row>
    <row r="959" spans="1:17" x14ac:dyDescent="0.15">
      <c r="A959" s="14" t="s">
        <v>182</v>
      </c>
      <c r="B959" s="8">
        <v>1</v>
      </c>
      <c r="C959" s="10"/>
      <c r="D959" s="10"/>
      <c r="E959" s="10"/>
      <c r="F959" s="30"/>
      <c r="G959" s="7">
        <f t="shared" si="279"/>
        <v>1</v>
      </c>
      <c r="H959" s="58">
        <v>44245</v>
      </c>
      <c r="I959" s="14"/>
      <c r="J959" s="8"/>
      <c r="K959" s="10"/>
      <c r="L959" s="10"/>
      <c r="M959" s="10"/>
      <c r="N959" s="30"/>
      <c r="O959" s="7">
        <f t="shared" si="280"/>
        <v>0</v>
      </c>
      <c r="P959" s="56"/>
    </row>
    <row r="960" spans="1:17" x14ac:dyDescent="0.15">
      <c r="A960" s="15" t="s">
        <v>19</v>
      </c>
      <c r="B960" s="11">
        <v>-2</v>
      </c>
      <c r="C960" s="12"/>
      <c r="D960" s="12"/>
      <c r="E960" s="12"/>
      <c r="F960" s="31"/>
      <c r="G960" s="7">
        <f t="shared" si="279"/>
        <v>-2</v>
      </c>
      <c r="H960" s="58">
        <v>44251</v>
      </c>
      <c r="I960" s="14"/>
      <c r="J960" s="8"/>
      <c r="K960" s="10"/>
      <c r="L960" s="10"/>
      <c r="M960" s="10"/>
      <c r="N960" s="30"/>
      <c r="O960" s="7">
        <f t="shared" si="280"/>
        <v>0</v>
      </c>
      <c r="P960" s="56"/>
    </row>
    <row r="961" spans="1:17" x14ac:dyDescent="0.15">
      <c r="A961" s="14" t="s">
        <v>713</v>
      </c>
      <c r="B961" s="8"/>
      <c r="C961" s="10">
        <v>1</v>
      </c>
      <c r="D961" s="10"/>
      <c r="E961" s="10"/>
      <c r="F961" s="30"/>
      <c r="G961" s="7">
        <f t="shared" si="279"/>
        <v>1</v>
      </c>
      <c r="H961" s="58">
        <v>44253</v>
      </c>
      <c r="I961" s="14"/>
      <c r="J961" s="8"/>
      <c r="K961" s="10"/>
      <c r="L961" s="10"/>
      <c r="M961" s="10"/>
      <c r="N961" s="30"/>
      <c r="O961" s="7">
        <f t="shared" si="280"/>
        <v>0</v>
      </c>
      <c r="P961" s="56"/>
    </row>
    <row r="962" spans="1:17" x14ac:dyDescent="0.15">
      <c r="A962" s="14" t="s">
        <v>713</v>
      </c>
      <c r="B962" s="8">
        <v>1</v>
      </c>
      <c r="C962" s="10"/>
      <c r="D962" s="10"/>
      <c r="E962" s="10"/>
      <c r="F962" s="30"/>
      <c r="G962" s="7">
        <f t="shared" si="279"/>
        <v>1</v>
      </c>
      <c r="H962" s="58">
        <v>44260</v>
      </c>
      <c r="I962" s="14" t="s">
        <v>1376</v>
      </c>
      <c r="J962" s="8"/>
      <c r="K962" s="10"/>
      <c r="L962" s="10"/>
      <c r="M962" s="10"/>
      <c r="N962" s="30"/>
      <c r="O962" s="7">
        <f t="shared" ref="O962:O964" si="281">SUM(J962:N962)</f>
        <v>0</v>
      </c>
      <c r="P962" s="56" t="s">
        <v>1375</v>
      </c>
    </row>
    <row r="963" spans="1:17" x14ac:dyDescent="0.15">
      <c r="A963" s="14" t="s">
        <v>713</v>
      </c>
      <c r="B963" s="8"/>
      <c r="C963" s="10">
        <v>1</v>
      </c>
      <c r="D963" s="10"/>
      <c r="E963" s="10"/>
      <c r="F963" s="30"/>
      <c r="G963" s="7">
        <f t="shared" si="279"/>
        <v>1</v>
      </c>
      <c r="H963" s="58">
        <v>44261</v>
      </c>
      <c r="I963" s="14" t="s">
        <v>1362</v>
      </c>
      <c r="J963" s="8"/>
      <c r="K963" s="10"/>
      <c r="L963" s="10"/>
      <c r="M963" s="10"/>
      <c r="N963" s="30"/>
      <c r="O963" s="7">
        <f t="shared" si="281"/>
        <v>0</v>
      </c>
      <c r="P963" s="56" t="s">
        <v>1363</v>
      </c>
    </row>
    <row r="964" spans="1:17" ht="14.25" thickBot="1" x14ac:dyDescent="0.2">
      <c r="A964" s="14" t="s">
        <v>25</v>
      </c>
      <c r="B964" s="11"/>
      <c r="C964" s="12"/>
      <c r="D964" s="12"/>
      <c r="E964" s="12"/>
      <c r="F964" s="31">
        <v>1</v>
      </c>
      <c r="G964" s="115">
        <f t="shared" si="279"/>
        <v>1</v>
      </c>
      <c r="H964" s="58">
        <v>44266</v>
      </c>
      <c r="I964" s="14" t="s">
        <v>1336</v>
      </c>
      <c r="J964" s="8"/>
      <c r="K964" s="10"/>
      <c r="L964" s="10"/>
      <c r="M964" s="10"/>
      <c r="N964" s="30"/>
      <c r="O964" s="7">
        <f t="shared" si="281"/>
        <v>0</v>
      </c>
      <c r="P964" s="56" t="s">
        <v>1335</v>
      </c>
      <c r="Q964" s="56"/>
    </row>
    <row r="965" spans="1:17" ht="14.25" thickBot="1" x14ac:dyDescent="0.2">
      <c r="A965" s="3" t="s">
        <v>11</v>
      </c>
      <c r="B965" s="23">
        <f>SUM(B939:B964)</f>
        <v>4</v>
      </c>
      <c r="C965" s="4">
        <f>SUM(C939:C964)</f>
        <v>8</v>
      </c>
      <c r="D965" s="4">
        <f>SUM(D939:D964)</f>
        <v>10</v>
      </c>
      <c r="E965" s="6">
        <f>SUM(E939:E964)</f>
        <v>3</v>
      </c>
      <c r="F965" s="32">
        <f>SUM(F939:F964)</f>
        <v>3</v>
      </c>
      <c r="G965" s="5">
        <f>SUM(B965:F965)</f>
        <v>28</v>
      </c>
      <c r="I965" s="3" t="s">
        <v>11</v>
      </c>
      <c r="J965" s="23">
        <f>SUM(J939:J964)</f>
        <v>7</v>
      </c>
      <c r="K965" s="4">
        <f>SUM(K939:K964)</f>
        <v>15</v>
      </c>
      <c r="L965" s="4">
        <f>SUM(L939:L964)</f>
        <v>28</v>
      </c>
      <c r="M965" s="6">
        <f>SUM(M939:M964)</f>
        <v>2</v>
      </c>
      <c r="N965" s="32">
        <f>SUM(N939:N964)</f>
        <v>22</v>
      </c>
      <c r="O965" s="5">
        <f>SUM(J965:N965)</f>
        <v>74</v>
      </c>
    </row>
    <row r="966" spans="1:17" ht="14.25" thickBot="1" x14ac:dyDescent="0.2">
      <c r="A966" s="25" t="s">
        <v>12</v>
      </c>
      <c r="B966" s="63">
        <f>B938-B965</f>
        <v>9</v>
      </c>
      <c r="C966" s="26">
        <f t="shared" ref="C966:G966" si="282">C938-C965</f>
        <v>3</v>
      </c>
      <c r="D966" s="71">
        <f t="shared" si="282"/>
        <v>8</v>
      </c>
      <c r="E966" s="26">
        <f t="shared" si="282"/>
        <v>9</v>
      </c>
      <c r="F966" s="70">
        <f t="shared" si="282"/>
        <v>5</v>
      </c>
      <c r="G966" s="27">
        <f t="shared" si="282"/>
        <v>34</v>
      </c>
      <c r="I966" s="25" t="s">
        <v>12</v>
      </c>
      <c r="J966" s="63">
        <f>J938-J965</f>
        <v>163</v>
      </c>
      <c r="K966" s="26">
        <f t="shared" ref="K966:O966" si="283">K938-K965</f>
        <v>102</v>
      </c>
      <c r="L966" s="71">
        <f t="shared" si="283"/>
        <v>107</v>
      </c>
      <c r="M966" s="26">
        <f t="shared" si="283"/>
        <v>59</v>
      </c>
      <c r="N966" s="70">
        <f t="shared" si="283"/>
        <v>71</v>
      </c>
      <c r="O966" s="27">
        <f t="shared" si="283"/>
        <v>502</v>
      </c>
    </row>
    <row r="967" spans="1:17" ht="17.25" x14ac:dyDescent="0.2">
      <c r="A967" s="79" t="s">
        <v>391</v>
      </c>
      <c r="B967" s="80"/>
      <c r="C967" s="80"/>
      <c r="D967" s="80"/>
      <c r="E967" s="80"/>
      <c r="F967" s="80"/>
      <c r="G967" s="80"/>
      <c r="H967" s="56"/>
      <c r="I967" s="79" t="s">
        <v>391</v>
      </c>
      <c r="J967" s="80"/>
      <c r="K967" s="80"/>
      <c r="L967" s="80"/>
      <c r="M967" s="80"/>
      <c r="N967" s="80"/>
      <c r="O967" s="1"/>
    </row>
    <row r="968" spans="1:17" ht="21.75" thickBot="1" x14ac:dyDescent="0.25">
      <c r="A968" s="82" t="s">
        <v>390</v>
      </c>
      <c r="B968" s="80"/>
      <c r="C968" s="80"/>
      <c r="D968" s="80"/>
      <c r="E968" s="81" t="s">
        <v>53</v>
      </c>
      <c r="F968" s="80"/>
      <c r="G968" s="80"/>
      <c r="H968" s="56"/>
      <c r="I968" s="82" t="s">
        <v>390</v>
      </c>
      <c r="J968" s="80"/>
      <c r="K968" s="80"/>
      <c r="L968" s="80"/>
      <c r="M968" s="81" t="s">
        <v>393</v>
      </c>
      <c r="N968" s="80"/>
      <c r="O968" s="1"/>
    </row>
    <row r="969" spans="1:17" ht="14.25" thickBot="1" x14ac:dyDescent="0.2">
      <c r="A969" s="13" t="s">
        <v>0</v>
      </c>
      <c r="B969" s="228" t="s">
        <v>392</v>
      </c>
      <c r="C969" s="229"/>
      <c r="D969" s="229"/>
      <c r="E969" s="229"/>
      <c r="F969" s="230"/>
      <c r="G969" s="231"/>
      <c r="H969" s="56"/>
      <c r="I969" s="13" t="s">
        <v>0</v>
      </c>
      <c r="J969" s="228" t="s">
        <v>392</v>
      </c>
      <c r="K969" s="229"/>
      <c r="L969" s="229"/>
      <c r="M969" s="229"/>
      <c r="N969" s="230"/>
      <c r="O969" s="231"/>
    </row>
    <row r="970" spans="1:17" ht="14.25" thickBot="1" x14ac:dyDescent="0.2">
      <c r="A970" s="3" t="s">
        <v>1</v>
      </c>
      <c r="B970" s="2" t="s">
        <v>42</v>
      </c>
      <c r="C970" s="21" t="s">
        <v>43</v>
      </c>
      <c r="D970" s="21" t="s">
        <v>44</v>
      </c>
      <c r="E970" s="24" t="s">
        <v>45</v>
      </c>
      <c r="F970" s="33" t="s">
        <v>46</v>
      </c>
      <c r="G970" s="34" t="s">
        <v>2</v>
      </c>
      <c r="H970" s="56"/>
      <c r="I970" s="3" t="s">
        <v>1</v>
      </c>
      <c r="J970" s="41" t="s">
        <v>42</v>
      </c>
      <c r="K970" s="42" t="s">
        <v>43</v>
      </c>
      <c r="L970" s="42" t="s">
        <v>44</v>
      </c>
      <c r="M970" s="43" t="s">
        <v>45</v>
      </c>
      <c r="N970" s="44" t="s">
        <v>46</v>
      </c>
      <c r="O970" s="3" t="s">
        <v>2</v>
      </c>
    </row>
    <row r="971" spans="1:17" ht="14.25" thickBot="1" x14ac:dyDescent="0.2">
      <c r="A971" s="72" t="s">
        <v>456</v>
      </c>
      <c r="B971" s="73">
        <f>B966</f>
        <v>9</v>
      </c>
      <c r="C971" s="74">
        <f t="shared" ref="C971:F971" si="284">C966</f>
        <v>3</v>
      </c>
      <c r="D971" s="74">
        <f t="shared" si="284"/>
        <v>8</v>
      </c>
      <c r="E971" s="74">
        <f t="shared" si="284"/>
        <v>9</v>
      </c>
      <c r="F971" s="105">
        <f t="shared" si="284"/>
        <v>5</v>
      </c>
      <c r="G971" s="131">
        <f t="shared" ref="G971:G979" si="285">SUM(B971:F971)</f>
        <v>34</v>
      </c>
      <c r="H971" s="56"/>
      <c r="I971" s="72" t="s">
        <v>456</v>
      </c>
      <c r="J971" s="73">
        <f>J966</f>
        <v>163</v>
      </c>
      <c r="K971" s="74">
        <f t="shared" ref="K971:N971" si="286">K966</f>
        <v>102</v>
      </c>
      <c r="L971" s="74">
        <f t="shared" si="286"/>
        <v>107</v>
      </c>
      <c r="M971" s="74">
        <f t="shared" si="286"/>
        <v>59</v>
      </c>
      <c r="N971" s="105">
        <f t="shared" si="286"/>
        <v>71</v>
      </c>
      <c r="O971" s="131">
        <f t="shared" ref="O971:O979" si="287">SUM(J971:N971)</f>
        <v>502</v>
      </c>
    </row>
    <row r="972" spans="1:17" x14ac:dyDescent="0.15">
      <c r="A972" s="15" t="s">
        <v>157</v>
      </c>
      <c r="B972" s="8">
        <v>1</v>
      </c>
      <c r="C972" s="10"/>
      <c r="D972" s="10"/>
      <c r="E972" s="10"/>
      <c r="F972" s="28"/>
      <c r="G972" s="9">
        <f t="shared" si="285"/>
        <v>1</v>
      </c>
      <c r="H972" s="58">
        <v>44267</v>
      </c>
      <c r="I972" s="38" t="s">
        <v>9</v>
      </c>
      <c r="J972" s="37">
        <v>2</v>
      </c>
      <c r="K972" s="35"/>
      <c r="L972" s="35">
        <v>1</v>
      </c>
      <c r="M972" s="35">
        <v>1</v>
      </c>
      <c r="N972" s="28">
        <v>1</v>
      </c>
      <c r="O972" s="7">
        <f t="shared" si="287"/>
        <v>5</v>
      </c>
      <c r="P972" s="171">
        <v>44345</v>
      </c>
    </row>
    <row r="973" spans="1:17" x14ac:dyDescent="0.15">
      <c r="A973" s="15" t="s">
        <v>4</v>
      </c>
      <c r="B973" s="8"/>
      <c r="C973" s="10">
        <v>5</v>
      </c>
      <c r="D973" s="10"/>
      <c r="E973" s="10"/>
      <c r="F973" s="28"/>
      <c r="G973" s="9">
        <f t="shared" si="285"/>
        <v>5</v>
      </c>
      <c r="H973" s="58">
        <v>44298</v>
      </c>
      <c r="I973" s="38" t="s">
        <v>9</v>
      </c>
      <c r="J973" s="8">
        <v>6</v>
      </c>
      <c r="K973" s="10"/>
      <c r="L973" s="10"/>
      <c r="M973" s="10"/>
      <c r="N973" s="28"/>
      <c r="O973" s="9">
        <f t="shared" si="287"/>
        <v>6</v>
      </c>
      <c r="P973" s="58">
        <v>44352</v>
      </c>
    </row>
    <row r="974" spans="1:17" x14ac:dyDescent="0.15">
      <c r="A974" s="15" t="s">
        <v>1416</v>
      </c>
      <c r="B974" s="8">
        <v>1</v>
      </c>
      <c r="C974" s="10"/>
      <c r="D974" s="10"/>
      <c r="E974" s="10"/>
      <c r="F974" s="28"/>
      <c r="G974" s="9">
        <f t="shared" si="285"/>
        <v>1</v>
      </c>
      <c r="H974" s="58">
        <v>44302</v>
      </c>
      <c r="I974" s="38" t="s">
        <v>4</v>
      </c>
      <c r="J974" s="8"/>
      <c r="K974" s="10"/>
      <c r="L974" s="10"/>
      <c r="M974" s="10"/>
      <c r="N974" s="30"/>
      <c r="O974" s="7">
        <f t="shared" si="287"/>
        <v>0</v>
      </c>
    </row>
    <row r="975" spans="1:17" x14ac:dyDescent="0.15">
      <c r="A975" s="15" t="s">
        <v>17</v>
      </c>
      <c r="B975" s="8"/>
      <c r="C975" s="10"/>
      <c r="D975" s="10"/>
      <c r="E975" s="10">
        <v>1</v>
      </c>
      <c r="F975" s="28"/>
      <c r="G975" s="9">
        <f t="shared" si="285"/>
        <v>1</v>
      </c>
      <c r="H975" s="58">
        <v>44328</v>
      </c>
      <c r="I975" s="38" t="s">
        <v>5</v>
      </c>
      <c r="J975" s="8"/>
      <c r="K975" s="10"/>
      <c r="L975" s="10"/>
      <c r="M975" s="10"/>
      <c r="N975" s="28"/>
      <c r="O975" s="9">
        <f t="shared" si="287"/>
        <v>0</v>
      </c>
    </row>
    <row r="976" spans="1:17" x14ac:dyDescent="0.15">
      <c r="A976" s="15" t="s">
        <v>19</v>
      </c>
      <c r="B976" s="8">
        <v>2</v>
      </c>
      <c r="C976" s="10"/>
      <c r="D976" s="10">
        <v>1</v>
      </c>
      <c r="E976" s="10">
        <v>1</v>
      </c>
      <c r="F976" s="30">
        <v>1</v>
      </c>
      <c r="G976" s="7">
        <f t="shared" si="285"/>
        <v>5</v>
      </c>
      <c r="H976" s="58">
        <v>44340</v>
      </c>
      <c r="I976" s="38" t="s">
        <v>6</v>
      </c>
      <c r="J976" s="8"/>
      <c r="K976" s="10"/>
      <c r="L976" s="10"/>
      <c r="M976" s="10"/>
      <c r="N976" s="30"/>
      <c r="O976" s="7">
        <f t="shared" si="287"/>
        <v>0</v>
      </c>
    </row>
    <row r="977" spans="1:17" x14ac:dyDescent="0.15">
      <c r="A977" s="15" t="s">
        <v>85</v>
      </c>
      <c r="B977" s="8"/>
      <c r="C977" s="10">
        <v>3</v>
      </c>
      <c r="D977" s="10"/>
      <c r="E977" s="10">
        <v>3</v>
      </c>
      <c r="F977" s="30">
        <v>3</v>
      </c>
      <c r="G977" s="7">
        <f t="shared" si="285"/>
        <v>9</v>
      </c>
      <c r="H977" s="58">
        <v>44370</v>
      </c>
      <c r="I977" s="38" t="s">
        <v>84</v>
      </c>
      <c r="J977" s="8"/>
      <c r="K977" s="10"/>
      <c r="L977" s="10"/>
      <c r="M977" s="10"/>
      <c r="N977" s="30"/>
      <c r="O977" s="7">
        <f t="shared" si="287"/>
        <v>0</v>
      </c>
    </row>
    <row r="978" spans="1:17" x14ac:dyDescent="0.15">
      <c r="A978" s="15" t="s">
        <v>86</v>
      </c>
      <c r="B978" s="11"/>
      <c r="C978" s="100"/>
      <c r="D978" s="100">
        <v>3</v>
      </c>
      <c r="E978" s="100"/>
      <c r="F978" s="101"/>
      <c r="G978" s="102">
        <f t="shared" si="285"/>
        <v>3</v>
      </c>
      <c r="H978" s="58">
        <v>44378</v>
      </c>
      <c r="I978" s="38" t="s">
        <v>85</v>
      </c>
      <c r="J978" s="8"/>
      <c r="K978" s="10"/>
      <c r="L978" s="10"/>
      <c r="M978" s="10"/>
      <c r="N978" s="30"/>
      <c r="O978" s="7">
        <f t="shared" si="287"/>
        <v>0</v>
      </c>
    </row>
    <row r="979" spans="1:17" ht="14.25" thickBot="1" x14ac:dyDescent="0.2">
      <c r="A979" s="15" t="s">
        <v>87</v>
      </c>
      <c r="B979" s="11">
        <v>3</v>
      </c>
      <c r="C979" s="100"/>
      <c r="D979" s="100">
        <v>3</v>
      </c>
      <c r="E979" s="100"/>
      <c r="F979" s="101"/>
      <c r="G979" s="102">
        <f t="shared" si="285"/>
        <v>6</v>
      </c>
      <c r="H979" s="58">
        <v>44405</v>
      </c>
      <c r="I979" s="38" t="s">
        <v>86</v>
      </c>
      <c r="J979" s="11"/>
      <c r="K979" s="100"/>
      <c r="L979" s="100"/>
      <c r="M979" s="100"/>
      <c r="N979" s="101"/>
      <c r="O979" s="102">
        <f t="shared" si="287"/>
        <v>0</v>
      </c>
    </row>
    <row r="980" spans="1:17" ht="14.25" thickBot="1" x14ac:dyDescent="0.2">
      <c r="A980" s="72" t="s">
        <v>7</v>
      </c>
      <c r="B980" s="73">
        <f>SUM(B971:B979)</f>
        <v>16</v>
      </c>
      <c r="C980" s="74">
        <f t="shared" ref="C980:G980" si="288">SUM(C971:C979)</f>
        <v>11</v>
      </c>
      <c r="D980" s="74">
        <f t="shared" si="288"/>
        <v>15</v>
      </c>
      <c r="E980" s="74">
        <f t="shared" si="288"/>
        <v>14</v>
      </c>
      <c r="F980" s="105">
        <f t="shared" si="288"/>
        <v>9</v>
      </c>
      <c r="G980" s="76">
        <f t="shared" si="288"/>
        <v>65</v>
      </c>
      <c r="H980" s="56"/>
      <c r="I980" s="72" t="s">
        <v>7</v>
      </c>
      <c r="J980" s="73">
        <f>SUM(J971:J979)</f>
        <v>171</v>
      </c>
      <c r="K980" s="74">
        <f t="shared" ref="K980:O980" si="289">SUM(K971:K979)</f>
        <v>102</v>
      </c>
      <c r="L980" s="74">
        <f t="shared" si="289"/>
        <v>108</v>
      </c>
      <c r="M980" s="74">
        <f t="shared" si="289"/>
        <v>60</v>
      </c>
      <c r="N980" s="105">
        <f t="shared" si="289"/>
        <v>72</v>
      </c>
      <c r="O980" s="76">
        <f t="shared" si="289"/>
        <v>513</v>
      </c>
    </row>
    <row r="981" spans="1:17" x14ac:dyDescent="0.15">
      <c r="A981" s="14" t="s">
        <v>713</v>
      </c>
      <c r="B981" s="11"/>
      <c r="C981" s="12"/>
      <c r="D981" s="12"/>
      <c r="E981" s="12">
        <v>1</v>
      </c>
      <c r="F981" s="31"/>
      <c r="G981" s="18">
        <f t="shared" ref="G981:G997" si="290">SUM(B981:F981)</f>
        <v>1</v>
      </c>
      <c r="H981" s="58">
        <v>44281</v>
      </c>
      <c r="I981" s="14" t="s">
        <v>1415</v>
      </c>
      <c r="J981" s="8"/>
      <c r="K981" s="10">
        <v>5</v>
      </c>
      <c r="L981" s="10"/>
      <c r="M981" s="10"/>
      <c r="N981" s="30"/>
      <c r="O981" s="7">
        <f t="shared" ref="O981:O998" si="291">SUM(J981:N981)</f>
        <v>5</v>
      </c>
      <c r="P981" s="58">
        <v>44298</v>
      </c>
    </row>
    <row r="982" spans="1:17" x14ac:dyDescent="0.15">
      <c r="A982" s="14" t="s">
        <v>1413</v>
      </c>
      <c r="B982" s="8"/>
      <c r="C982" s="10">
        <v>1</v>
      </c>
      <c r="D982" s="10"/>
      <c r="E982" s="10">
        <v>1</v>
      </c>
      <c r="F982" s="30">
        <v>1</v>
      </c>
      <c r="G982" s="7">
        <f t="shared" si="290"/>
        <v>3</v>
      </c>
      <c r="H982" s="58">
        <v>44294</v>
      </c>
      <c r="I982" s="14" t="s">
        <v>8</v>
      </c>
      <c r="J982" s="8"/>
      <c r="K982" s="10"/>
      <c r="L982" s="10"/>
      <c r="M982" s="10">
        <v>10</v>
      </c>
      <c r="N982" s="30"/>
      <c r="O982" s="7">
        <f t="shared" si="291"/>
        <v>10</v>
      </c>
      <c r="P982" s="58">
        <v>44358</v>
      </c>
    </row>
    <row r="983" spans="1:17" x14ac:dyDescent="0.15">
      <c r="A983" s="14" t="s">
        <v>25</v>
      </c>
      <c r="B983" s="8"/>
      <c r="C983" s="10"/>
      <c r="D983" s="10"/>
      <c r="E983" s="10">
        <v>1</v>
      </c>
      <c r="F983" s="30"/>
      <c r="G983" s="7">
        <f t="shared" si="290"/>
        <v>1</v>
      </c>
      <c r="H983" s="58">
        <v>44307</v>
      </c>
      <c r="I983" s="15" t="s">
        <v>9</v>
      </c>
      <c r="J983" s="8"/>
      <c r="K983" s="10">
        <v>3</v>
      </c>
      <c r="L983" s="10"/>
      <c r="M983" s="10">
        <v>3</v>
      </c>
      <c r="N983" s="30">
        <v>3</v>
      </c>
      <c r="O983" s="7">
        <f t="shared" si="291"/>
        <v>9</v>
      </c>
      <c r="P983" s="58">
        <v>44370</v>
      </c>
    </row>
    <row r="984" spans="1:17" x14ac:dyDescent="0.15">
      <c r="A984" s="14" t="s">
        <v>713</v>
      </c>
      <c r="B984" s="8"/>
      <c r="C984" s="10"/>
      <c r="D984" s="10">
        <v>1</v>
      </c>
      <c r="E984" s="10">
        <v>1</v>
      </c>
      <c r="F984" s="30"/>
      <c r="G984" s="7">
        <f t="shared" si="290"/>
        <v>2</v>
      </c>
      <c r="H984" s="58">
        <v>44314</v>
      </c>
      <c r="I984" s="15" t="s">
        <v>9</v>
      </c>
      <c r="J984" s="8"/>
      <c r="K984" s="10"/>
      <c r="L984" s="10">
        <v>3</v>
      </c>
      <c r="M984" s="10"/>
      <c r="N984" s="30"/>
      <c r="O984" s="7">
        <f t="shared" si="291"/>
        <v>3</v>
      </c>
      <c r="P984" s="58">
        <v>44378</v>
      </c>
    </row>
    <row r="985" spans="1:17" x14ac:dyDescent="0.15">
      <c r="A985" s="14" t="s">
        <v>25</v>
      </c>
      <c r="B985" s="37"/>
      <c r="C985" s="35"/>
      <c r="D985" s="35">
        <v>1</v>
      </c>
      <c r="E985" s="35"/>
      <c r="F985" s="28"/>
      <c r="G985" s="7">
        <f t="shared" si="290"/>
        <v>1</v>
      </c>
      <c r="H985" s="58">
        <v>44317</v>
      </c>
      <c r="I985" s="14" t="s">
        <v>8</v>
      </c>
      <c r="J985" s="8"/>
      <c r="K985" s="10">
        <v>10</v>
      </c>
      <c r="L985" s="10">
        <v>5</v>
      </c>
      <c r="M985" s="10"/>
      <c r="N985" s="30"/>
      <c r="O985" s="7">
        <f t="shared" si="291"/>
        <v>15</v>
      </c>
      <c r="P985" s="58">
        <v>44393</v>
      </c>
    </row>
    <row r="986" spans="1:17" x14ac:dyDescent="0.15">
      <c r="A986" s="39" t="s">
        <v>1342</v>
      </c>
      <c r="B986" s="8"/>
      <c r="C986" s="10">
        <v>1</v>
      </c>
      <c r="D986" s="10"/>
      <c r="E986" s="10"/>
      <c r="F986" s="30"/>
      <c r="G986" s="7">
        <f t="shared" si="290"/>
        <v>1</v>
      </c>
      <c r="H986" s="58">
        <v>44328</v>
      </c>
      <c r="I986" s="14" t="s">
        <v>1427</v>
      </c>
      <c r="J986" s="8"/>
      <c r="K986" s="10">
        <v>1</v>
      </c>
      <c r="L986" s="10"/>
      <c r="M986" s="10"/>
      <c r="N986" s="30"/>
      <c r="O986" s="7">
        <f t="shared" si="291"/>
        <v>1</v>
      </c>
      <c r="P986" s="58">
        <v>44387</v>
      </c>
    </row>
    <row r="987" spans="1:17" x14ac:dyDescent="0.15">
      <c r="A987" s="14" t="s">
        <v>713</v>
      </c>
      <c r="B987" s="8"/>
      <c r="C987" s="10"/>
      <c r="D987" s="10"/>
      <c r="E987" s="10"/>
      <c r="F987" s="30">
        <v>1</v>
      </c>
      <c r="G987" s="7">
        <f t="shared" si="290"/>
        <v>1</v>
      </c>
      <c r="H987" s="58">
        <v>44328</v>
      </c>
      <c r="I987" s="14" t="s">
        <v>117</v>
      </c>
      <c r="J987" s="8"/>
      <c r="K987" s="10">
        <v>1</v>
      </c>
      <c r="L987" s="10"/>
      <c r="M987" s="10"/>
      <c r="N987" s="30">
        <v>1</v>
      </c>
      <c r="O987" s="7">
        <f t="shared" si="291"/>
        <v>2</v>
      </c>
      <c r="P987" s="58">
        <v>44404</v>
      </c>
    </row>
    <row r="988" spans="1:17" x14ac:dyDescent="0.15">
      <c r="A988" s="14" t="s">
        <v>713</v>
      </c>
      <c r="B988" s="8"/>
      <c r="C988" s="10"/>
      <c r="D988" s="10"/>
      <c r="E988" s="10">
        <v>1</v>
      </c>
      <c r="F988" s="30"/>
      <c r="G988" s="7">
        <f t="shared" si="290"/>
        <v>1</v>
      </c>
      <c r="H988" s="58">
        <v>44340</v>
      </c>
      <c r="I988" s="15" t="s">
        <v>9</v>
      </c>
      <c r="J988" s="11">
        <v>3</v>
      </c>
      <c r="K988" s="100"/>
      <c r="L988" s="100">
        <v>3</v>
      </c>
      <c r="M988" s="100"/>
      <c r="N988" s="101"/>
      <c r="O988" s="9">
        <f t="shared" si="291"/>
        <v>6</v>
      </c>
      <c r="P988" s="58">
        <v>44405</v>
      </c>
      <c r="Q988" s="56"/>
    </row>
    <row r="989" spans="1:17" x14ac:dyDescent="0.15">
      <c r="A989" s="14" t="s">
        <v>713</v>
      </c>
      <c r="B989" s="8"/>
      <c r="C989" s="10"/>
      <c r="D989" s="10"/>
      <c r="E989" s="10">
        <v>1</v>
      </c>
      <c r="F989" s="30"/>
      <c r="G989" s="7">
        <f t="shared" si="290"/>
        <v>1</v>
      </c>
      <c r="H989" s="58">
        <v>44341</v>
      </c>
      <c r="I989" s="14" t="s">
        <v>8</v>
      </c>
      <c r="J989" s="8">
        <v>10</v>
      </c>
      <c r="K989" s="10"/>
      <c r="L989" s="10"/>
      <c r="M989" s="10"/>
      <c r="N989" s="30">
        <v>10</v>
      </c>
      <c r="O989" s="7">
        <f t="shared" si="291"/>
        <v>20</v>
      </c>
      <c r="P989" s="58">
        <v>44411</v>
      </c>
    </row>
    <row r="990" spans="1:17" x14ac:dyDescent="0.15">
      <c r="A990" s="14" t="s">
        <v>1419</v>
      </c>
      <c r="B990" s="11">
        <v>2</v>
      </c>
      <c r="C990" s="12"/>
      <c r="D990" s="12">
        <v>1</v>
      </c>
      <c r="E990" s="12">
        <v>1</v>
      </c>
      <c r="F990" s="31">
        <v>1</v>
      </c>
      <c r="G990" s="7">
        <f t="shared" si="290"/>
        <v>5</v>
      </c>
      <c r="H990" s="58">
        <v>44345</v>
      </c>
      <c r="I990" s="14" t="s">
        <v>8</v>
      </c>
      <c r="J990" s="11"/>
      <c r="K990" s="12"/>
      <c r="L990" s="12">
        <v>5</v>
      </c>
      <c r="M990" s="12"/>
      <c r="N990" s="31"/>
      <c r="O990" s="7">
        <f t="shared" si="291"/>
        <v>5</v>
      </c>
      <c r="P990" s="58">
        <v>44431</v>
      </c>
    </row>
    <row r="991" spans="1:17" x14ac:dyDescent="0.15">
      <c r="A991" s="14" t="s">
        <v>713</v>
      </c>
      <c r="B991" s="8"/>
      <c r="C991" s="10"/>
      <c r="D991" s="10"/>
      <c r="E991" s="10">
        <v>1</v>
      </c>
      <c r="F991" s="30"/>
      <c r="G991" s="7">
        <f t="shared" si="290"/>
        <v>1</v>
      </c>
      <c r="H991" s="58">
        <v>44348</v>
      </c>
      <c r="I991" s="14" t="s">
        <v>8</v>
      </c>
      <c r="J991" s="8"/>
      <c r="K991" s="10">
        <v>10</v>
      </c>
      <c r="L991" s="10"/>
      <c r="M991" s="10"/>
      <c r="N991" s="30"/>
      <c r="O991" s="7">
        <f t="shared" si="291"/>
        <v>10</v>
      </c>
      <c r="P991" s="58">
        <v>44433</v>
      </c>
    </row>
    <row r="992" spans="1:17" x14ac:dyDescent="0.15">
      <c r="A992" s="14" t="s">
        <v>1342</v>
      </c>
      <c r="B992" s="8"/>
      <c r="C992" s="10"/>
      <c r="D992" s="10">
        <v>1</v>
      </c>
      <c r="E992" s="10"/>
      <c r="F992" s="30"/>
      <c r="G992" s="7">
        <f t="shared" si="290"/>
        <v>1</v>
      </c>
      <c r="H992" s="58">
        <v>44350</v>
      </c>
      <c r="I992" s="14"/>
      <c r="J992" s="8"/>
      <c r="K992" s="10"/>
      <c r="L992" s="10"/>
      <c r="M992" s="10"/>
      <c r="N992" s="30"/>
      <c r="O992" s="7">
        <f t="shared" si="291"/>
        <v>0</v>
      </c>
      <c r="P992" s="58"/>
    </row>
    <row r="993" spans="1:18" x14ac:dyDescent="0.15">
      <c r="A993" s="14" t="s">
        <v>1155</v>
      </c>
      <c r="B993" s="8">
        <v>6</v>
      </c>
      <c r="C993" s="10"/>
      <c r="D993" s="10"/>
      <c r="E993" s="10"/>
      <c r="F993" s="30"/>
      <c r="G993" s="7">
        <f t="shared" si="290"/>
        <v>6</v>
      </c>
      <c r="H993" s="58">
        <v>44352</v>
      </c>
      <c r="I993" s="14"/>
      <c r="J993" s="8"/>
      <c r="K993" s="10"/>
      <c r="L993" s="10"/>
      <c r="M993" s="10"/>
      <c r="N993" s="30"/>
      <c r="O993" s="7">
        <f t="shared" si="291"/>
        <v>0</v>
      </c>
      <c r="P993" s="58"/>
    </row>
    <row r="994" spans="1:18" x14ac:dyDescent="0.15">
      <c r="A994" s="14" t="s">
        <v>713</v>
      </c>
      <c r="B994" s="8"/>
      <c r="C994" s="10">
        <v>1</v>
      </c>
      <c r="D994" s="10"/>
      <c r="E994" s="10"/>
      <c r="F994" s="30"/>
      <c r="G994" s="7">
        <f t="shared" si="290"/>
        <v>1</v>
      </c>
      <c r="H994" s="58">
        <v>44354</v>
      </c>
      <c r="I994" s="14"/>
      <c r="J994" s="8"/>
      <c r="K994" s="10"/>
      <c r="L994" s="10"/>
      <c r="M994" s="10"/>
      <c r="N994" s="30"/>
      <c r="O994" s="7">
        <f t="shared" si="291"/>
        <v>0</v>
      </c>
      <c r="P994" s="58"/>
    </row>
    <row r="995" spans="1:18" x14ac:dyDescent="0.15">
      <c r="A995" s="14" t="s">
        <v>1342</v>
      </c>
      <c r="B995" s="8"/>
      <c r="C995" s="10">
        <v>1</v>
      </c>
      <c r="D995" s="10"/>
      <c r="E995" s="10"/>
      <c r="F995" s="30"/>
      <c r="G995" s="7">
        <f t="shared" si="290"/>
        <v>1</v>
      </c>
      <c r="H995" s="58">
        <v>44357</v>
      </c>
      <c r="I995" s="14"/>
      <c r="J995" s="8"/>
      <c r="K995" s="10"/>
      <c r="L995" s="10"/>
      <c r="M995" s="10"/>
      <c r="N995" s="30"/>
      <c r="O995" s="7">
        <f t="shared" si="291"/>
        <v>0</v>
      </c>
      <c r="P995" s="58"/>
    </row>
    <row r="996" spans="1:18" x14ac:dyDescent="0.15">
      <c r="A996" s="14" t="s">
        <v>713</v>
      </c>
      <c r="B996" s="8"/>
      <c r="C996" s="10">
        <v>1</v>
      </c>
      <c r="D996" s="10">
        <v>1</v>
      </c>
      <c r="E996" s="10"/>
      <c r="F996" s="30"/>
      <c r="G996" s="7">
        <f t="shared" si="290"/>
        <v>2</v>
      </c>
      <c r="H996" s="58">
        <v>44366</v>
      </c>
      <c r="I996" s="16"/>
      <c r="J996" s="8"/>
      <c r="K996" s="10"/>
      <c r="L996" s="10"/>
      <c r="M996" s="10"/>
      <c r="N996" s="30"/>
      <c r="O996" s="7">
        <f t="shared" si="291"/>
        <v>0</v>
      </c>
      <c r="P996" s="56"/>
    </row>
    <row r="997" spans="1:18" x14ac:dyDescent="0.15">
      <c r="A997" s="14" t="s">
        <v>60</v>
      </c>
      <c r="B997" s="8"/>
      <c r="C997" s="10"/>
      <c r="D997" s="10"/>
      <c r="E997" s="10">
        <v>2</v>
      </c>
      <c r="F997" s="30">
        <v>1</v>
      </c>
      <c r="G997" s="7">
        <f t="shared" si="290"/>
        <v>3</v>
      </c>
      <c r="H997" s="58">
        <v>44373</v>
      </c>
      <c r="I997" s="16"/>
      <c r="J997" s="8"/>
      <c r="K997" s="10"/>
      <c r="L997" s="10"/>
      <c r="M997" s="10"/>
      <c r="N997" s="30"/>
      <c r="O997" s="7">
        <f t="shared" si="291"/>
        <v>0</v>
      </c>
      <c r="P997" s="56"/>
    </row>
    <row r="998" spans="1:18" x14ac:dyDescent="0.15">
      <c r="A998" s="14" t="s">
        <v>1342</v>
      </c>
      <c r="B998" s="8"/>
      <c r="C998" s="10">
        <v>1</v>
      </c>
      <c r="D998" s="10"/>
      <c r="E998" s="10"/>
      <c r="F998" s="30"/>
      <c r="G998" s="7">
        <v>2</v>
      </c>
      <c r="H998" s="58">
        <v>44371</v>
      </c>
      <c r="I998" s="16"/>
      <c r="J998" s="11"/>
      <c r="K998" s="12"/>
      <c r="L998" s="12"/>
      <c r="M998" s="12"/>
      <c r="N998" s="31"/>
      <c r="O998" s="7">
        <f t="shared" si="291"/>
        <v>0</v>
      </c>
      <c r="P998" s="56"/>
    </row>
    <row r="999" spans="1:18" x14ac:dyDescent="0.15">
      <c r="A999" s="14" t="s">
        <v>1342</v>
      </c>
      <c r="B999" s="8"/>
      <c r="C999" s="10"/>
      <c r="D999" s="10">
        <v>1</v>
      </c>
      <c r="E999" s="10"/>
      <c r="F999" s="30"/>
      <c r="G999" s="7">
        <f t="shared" ref="G999:G1006" si="292">SUM(B999:F999)</f>
        <v>1</v>
      </c>
      <c r="H999" s="58">
        <v>44376</v>
      </c>
      <c r="I999" s="16"/>
      <c r="J999" s="8"/>
      <c r="K999" s="10"/>
      <c r="L999" s="10"/>
      <c r="M999" s="10"/>
      <c r="N999" s="30"/>
      <c r="O999" s="7">
        <f>SUM(J999:N999)</f>
        <v>0</v>
      </c>
      <c r="P999" s="56"/>
    </row>
    <row r="1000" spans="1:18" x14ac:dyDescent="0.15">
      <c r="A1000" s="14" t="s">
        <v>713</v>
      </c>
      <c r="B1000" s="8"/>
      <c r="C1000" s="10"/>
      <c r="D1000" s="10">
        <v>1</v>
      </c>
      <c r="E1000" s="10"/>
      <c r="F1000" s="30">
        <v>1</v>
      </c>
      <c r="G1000" s="7">
        <f t="shared" si="292"/>
        <v>2</v>
      </c>
      <c r="H1000" s="58">
        <v>44375</v>
      </c>
      <c r="I1000" s="64"/>
      <c r="J1000" s="11"/>
      <c r="K1000" s="12"/>
      <c r="L1000" s="12"/>
      <c r="M1000" s="12"/>
      <c r="N1000" s="31"/>
      <c r="O1000" s="7">
        <f t="shared" ref="O1000:O1006" si="293">SUM(J1000:N1000)</f>
        <v>0</v>
      </c>
      <c r="P1000" s="56"/>
    </row>
    <row r="1001" spans="1:18" x14ac:dyDescent="0.15">
      <c r="A1001" s="14" t="s">
        <v>1342</v>
      </c>
      <c r="B1001" s="8">
        <v>1</v>
      </c>
      <c r="C1001" s="10"/>
      <c r="D1001" s="10"/>
      <c r="E1001" s="10"/>
      <c r="F1001" s="30"/>
      <c r="G1001" s="7">
        <f t="shared" si="292"/>
        <v>1</v>
      </c>
      <c r="H1001" s="58">
        <v>44382</v>
      </c>
      <c r="I1001" s="14"/>
      <c r="J1001" s="8"/>
      <c r="K1001" s="10"/>
      <c r="L1001" s="10"/>
      <c r="M1001" s="10"/>
      <c r="N1001" s="30"/>
      <c r="O1001" s="7">
        <f t="shared" si="293"/>
        <v>0</v>
      </c>
      <c r="P1001" s="56"/>
    </row>
    <row r="1002" spans="1:18" x14ac:dyDescent="0.15">
      <c r="A1002" s="14" t="s">
        <v>713</v>
      </c>
      <c r="B1002" s="11"/>
      <c r="C1002" s="12"/>
      <c r="D1002" s="12">
        <v>1</v>
      </c>
      <c r="E1002" s="12"/>
      <c r="F1002" s="31"/>
      <c r="G1002" s="7">
        <f t="shared" si="292"/>
        <v>1</v>
      </c>
      <c r="H1002" s="58">
        <v>44389</v>
      </c>
      <c r="I1002" s="14"/>
      <c r="J1002" s="8"/>
      <c r="K1002" s="10"/>
      <c r="L1002" s="10"/>
      <c r="M1002" s="10"/>
      <c r="N1002" s="30"/>
      <c r="O1002" s="7">
        <f t="shared" si="293"/>
        <v>0</v>
      </c>
      <c r="P1002" s="56"/>
    </row>
    <row r="1003" spans="1:18" x14ac:dyDescent="0.15">
      <c r="A1003" s="14" t="s">
        <v>713</v>
      </c>
      <c r="B1003" s="8">
        <v>1</v>
      </c>
      <c r="C1003" s="10"/>
      <c r="D1003" s="10"/>
      <c r="E1003" s="10"/>
      <c r="F1003" s="30"/>
      <c r="G1003" s="7">
        <f t="shared" si="292"/>
        <v>1</v>
      </c>
      <c r="H1003" s="58">
        <v>44392</v>
      </c>
      <c r="I1003" s="14"/>
      <c r="J1003" s="8"/>
      <c r="K1003" s="10"/>
      <c r="L1003" s="10"/>
      <c r="M1003" s="10"/>
      <c r="N1003" s="30"/>
      <c r="O1003" s="7">
        <f t="shared" si="293"/>
        <v>0</v>
      </c>
      <c r="P1003" s="56"/>
    </row>
    <row r="1004" spans="1:18" x14ac:dyDescent="0.15">
      <c r="A1004" s="14" t="s">
        <v>713</v>
      </c>
      <c r="B1004" s="8"/>
      <c r="C1004" s="10"/>
      <c r="D1004" s="10">
        <v>1</v>
      </c>
      <c r="E1004" s="10"/>
      <c r="F1004" s="30"/>
      <c r="G1004" s="7">
        <f t="shared" si="292"/>
        <v>1</v>
      </c>
      <c r="H1004" s="58">
        <v>44403</v>
      </c>
      <c r="I1004" s="14"/>
      <c r="J1004" s="8"/>
      <c r="K1004" s="10"/>
      <c r="L1004" s="10"/>
      <c r="M1004" s="10"/>
      <c r="N1004" s="30"/>
      <c r="O1004" s="7">
        <f t="shared" si="293"/>
        <v>0</v>
      </c>
      <c r="P1004" s="56"/>
    </row>
    <row r="1005" spans="1:18" x14ac:dyDescent="0.15">
      <c r="A1005" s="14" t="s">
        <v>713</v>
      </c>
      <c r="B1005" s="8"/>
      <c r="C1005" s="10"/>
      <c r="D1005" s="10">
        <f>1+1</f>
        <v>2</v>
      </c>
      <c r="E1005" s="10"/>
      <c r="F1005" s="30"/>
      <c r="G1005" s="7">
        <f t="shared" si="292"/>
        <v>2</v>
      </c>
      <c r="H1005" s="58">
        <v>44404</v>
      </c>
      <c r="I1005" s="14"/>
      <c r="J1005" s="8"/>
      <c r="K1005" s="10"/>
      <c r="L1005" s="10"/>
      <c r="M1005" s="10"/>
      <c r="N1005" s="30"/>
      <c r="O1005" s="7">
        <f t="shared" si="293"/>
        <v>0</v>
      </c>
      <c r="P1005" s="56"/>
    </row>
    <row r="1006" spans="1:18" ht="14.25" thickBot="1" x14ac:dyDescent="0.2">
      <c r="A1006" s="14" t="s">
        <v>1439</v>
      </c>
      <c r="B1006" s="11"/>
      <c r="C1006" s="12"/>
      <c r="D1006" s="12">
        <v>-1</v>
      </c>
      <c r="E1006" s="12"/>
      <c r="F1006" s="31"/>
      <c r="G1006" s="115">
        <f t="shared" si="292"/>
        <v>-1</v>
      </c>
      <c r="H1006" s="58">
        <v>44406</v>
      </c>
      <c r="I1006" s="14" t="s">
        <v>1405</v>
      </c>
      <c r="J1006" s="8"/>
      <c r="K1006" s="10"/>
      <c r="L1006" s="10"/>
      <c r="M1006" s="10"/>
      <c r="N1006" s="30"/>
      <c r="O1006" s="7">
        <f t="shared" si="293"/>
        <v>0</v>
      </c>
      <c r="P1006" s="56" t="s">
        <v>1414</v>
      </c>
      <c r="Q1006" s="56"/>
      <c r="R1006" s="56"/>
    </row>
    <row r="1007" spans="1:18" ht="14.25" thickBot="1" x14ac:dyDescent="0.2">
      <c r="A1007" s="3" t="s">
        <v>11</v>
      </c>
      <c r="B1007" s="23">
        <f>SUM(B981:B1006)</f>
        <v>10</v>
      </c>
      <c r="C1007" s="4">
        <f>SUM(C981:C1006)</f>
        <v>6</v>
      </c>
      <c r="D1007" s="4">
        <f>SUM(D981:D1006)</f>
        <v>10</v>
      </c>
      <c r="E1007" s="6">
        <f>SUM(E981:E1006)</f>
        <v>10</v>
      </c>
      <c r="F1007" s="32">
        <f>SUM(F981:F1006)</f>
        <v>5</v>
      </c>
      <c r="G1007" s="5">
        <f>SUM(B1007:F1007)</f>
        <v>41</v>
      </c>
      <c r="I1007" s="3" t="s">
        <v>11</v>
      </c>
      <c r="J1007" s="23">
        <f>SUM(J981:J1006)</f>
        <v>13</v>
      </c>
      <c r="K1007" s="4">
        <f>SUM(K981:K1006)</f>
        <v>30</v>
      </c>
      <c r="L1007" s="4">
        <f>SUM(L981:L1006)</f>
        <v>16</v>
      </c>
      <c r="M1007" s="6">
        <f>SUM(M981:M1006)</f>
        <v>13</v>
      </c>
      <c r="N1007" s="32">
        <f>SUM(N981:N1006)</f>
        <v>14</v>
      </c>
      <c r="O1007" s="5">
        <f>SUM(J1007:N1007)</f>
        <v>86</v>
      </c>
    </row>
    <row r="1008" spans="1:18" ht="14.25" thickBot="1" x14ac:dyDescent="0.2">
      <c r="A1008" s="25" t="s">
        <v>12</v>
      </c>
      <c r="B1008" s="63">
        <f>B980-B1007</f>
        <v>6</v>
      </c>
      <c r="C1008" s="26">
        <f t="shared" ref="C1008:G1008" si="294">C980-C1007</f>
        <v>5</v>
      </c>
      <c r="D1008" s="71">
        <f t="shared" si="294"/>
        <v>5</v>
      </c>
      <c r="E1008" s="26">
        <f t="shared" si="294"/>
        <v>4</v>
      </c>
      <c r="F1008" s="70">
        <f t="shared" si="294"/>
        <v>4</v>
      </c>
      <c r="G1008" s="27">
        <f t="shared" si="294"/>
        <v>24</v>
      </c>
      <c r="I1008" s="25" t="s">
        <v>12</v>
      </c>
      <c r="J1008" s="63">
        <f>J980-J1007</f>
        <v>158</v>
      </c>
      <c r="K1008" s="26">
        <f t="shared" ref="K1008:O1008" si="295">K980-K1007</f>
        <v>72</v>
      </c>
      <c r="L1008" s="71">
        <f t="shared" si="295"/>
        <v>92</v>
      </c>
      <c r="M1008" s="26">
        <f t="shared" si="295"/>
        <v>47</v>
      </c>
      <c r="N1008" s="70">
        <f t="shared" si="295"/>
        <v>58</v>
      </c>
      <c r="O1008" s="27">
        <f t="shared" si="295"/>
        <v>427</v>
      </c>
    </row>
    <row r="1009" spans="1:22" ht="17.25" x14ac:dyDescent="0.2">
      <c r="A1009" s="79" t="s">
        <v>391</v>
      </c>
      <c r="B1009" s="80"/>
      <c r="C1009" s="80"/>
      <c r="D1009" s="80"/>
      <c r="E1009" s="80"/>
      <c r="F1009" s="80"/>
      <c r="G1009" s="80"/>
      <c r="H1009" s="56"/>
      <c r="I1009" s="79" t="s">
        <v>391</v>
      </c>
      <c r="J1009" s="80"/>
      <c r="K1009" s="80"/>
      <c r="L1009" s="80"/>
      <c r="M1009" s="80"/>
      <c r="N1009" s="80"/>
      <c r="O1009" s="1"/>
    </row>
    <row r="1010" spans="1:22" ht="21.75" thickBot="1" x14ac:dyDescent="0.25">
      <c r="A1010" s="82" t="s">
        <v>390</v>
      </c>
      <c r="B1010" s="80"/>
      <c r="C1010" s="80"/>
      <c r="D1010" s="80"/>
      <c r="E1010" s="81" t="s">
        <v>53</v>
      </c>
      <c r="F1010" s="80"/>
      <c r="G1010" s="80"/>
      <c r="H1010" s="56"/>
      <c r="I1010" s="82" t="s">
        <v>390</v>
      </c>
      <c r="J1010" s="80"/>
      <c r="K1010" s="80"/>
      <c r="L1010" s="80"/>
      <c r="M1010" s="81" t="s">
        <v>393</v>
      </c>
      <c r="N1010" s="80"/>
      <c r="O1010" s="1"/>
      <c r="Q1010" s="201"/>
      <c r="R1010" s="201"/>
      <c r="S1010" s="201"/>
      <c r="T1010" s="201"/>
      <c r="U1010" s="201"/>
      <c r="V1010" s="201"/>
    </row>
    <row r="1011" spans="1:22" ht="14.25" thickBot="1" x14ac:dyDescent="0.2">
      <c r="A1011" s="13" t="s">
        <v>0</v>
      </c>
      <c r="B1011" s="228" t="s">
        <v>392</v>
      </c>
      <c r="C1011" s="229"/>
      <c r="D1011" s="229"/>
      <c r="E1011" s="229"/>
      <c r="F1011" s="230"/>
      <c r="G1011" s="231"/>
      <c r="H1011" s="56"/>
      <c r="I1011" s="13" t="s">
        <v>0</v>
      </c>
      <c r="J1011" s="228" t="s">
        <v>392</v>
      </c>
      <c r="K1011" s="229"/>
      <c r="L1011" s="229"/>
      <c r="M1011" s="229"/>
      <c r="N1011" s="230"/>
      <c r="O1011" s="231"/>
    </row>
    <row r="1012" spans="1:22" ht="14.25" thickBot="1" x14ac:dyDescent="0.2">
      <c r="A1012" s="3" t="s">
        <v>1</v>
      </c>
      <c r="B1012" s="2" t="s">
        <v>42</v>
      </c>
      <c r="C1012" s="21" t="s">
        <v>43</v>
      </c>
      <c r="D1012" s="21" t="s">
        <v>44</v>
      </c>
      <c r="E1012" s="24" t="s">
        <v>45</v>
      </c>
      <c r="F1012" s="33" t="s">
        <v>46</v>
      </c>
      <c r="G1012" s="34" t="s">
        <v>2</v>
      </c>
      <c r="H1012" s="56"/>
      <c r="I1012" s="3" t="s">
        <v>1</v>
      </c>
      <c r="J1012" s="41" t="s">
        <v>42</v>
      </c>
      <c r="K1012" s="42" t="s">
        <v>43</v>
      </c>
      <c r="L1012" s="42" t="s">
        <v>44</v>
      </c>
      <c r="M1012" s="43" t="s">
        <v>45</v>
      </c>
      <c r="N1012" s="44" t="s">
        <v>46</v>
      </c>
      <c r="O1012" s="3" t="s">
        <v>2</v>
      </c>
    </row>
    <row r="1013" spans="1:22" ht="14.25" thickBot="1" x14ac:dyDescent="0.2">
      <c r="A1013" s="72" t="s">
        <v>456</v>
      </c>
      <c r="B1013" s="73">
        <f>B1008</f>
        <v>6</v>
      </c>
      <c r="C1013" s="74">
        <f t="shared" ref="C1013:F1013" si="296">C1008</f>
        <v>5</v>
      </c>
      <c r="D1013" s="74">
        <f t="shared" si="296"/>
        <v>5</v>
      </c>
      <c r="E1013" s="74">
        <f t="shared" si="296"/>
        <v>4</v>
      </c>
      <c r="F1013" s="105">
        <f t="shared" si="296"/>
        <v>4</v>
      </c>
      <c r="G1013" s="131">
        <f t="shared" ref="G1013:G1021" si="297">SUM(B1013:F1013)</f>
        <v>24</v>
      </c>
      <c r="H1013" s="56"/>
      <c r="I1013" s="72" t="s">
        <v>456</v>
      </c>
      <c r="J1013" s="73">
        <f>J1008</f>
        <v>158</v>
      </c>
      <c r="K1013" s="74">
        <f t="shared" ref="K1013:N1013" si="298">K1008</f>
        <v>72</v>
      </c>
      <c r="L1013" s="74">
        <f t="shared" si="298"/>
        <v>92</v>
      </c>
      <c r="M1013" s="74">
        <f t="shared" si="298"/>
        <v>47</v>
      </c>
      <c r="N1013" s="105">
        <f t="shared" si="298"/>
        <v>58</v>
      </c>
      <c r="O1013" s="131">
        <f t="shared" ref="O1013:O1021" si="299">SUM(J1013:N1013)</f>
        <v>427</v>
      </c>
    </row>
    <row r="1014" spans="1:22" x14ac:dyDescent="0.15">
      <c r="A1014" s="15" t="s">
        <v>3</v>
      </c>
      <c r="B1014" s="8"/>
      <c r="C1014" s="10">
        <v>3</v>
      </c>
      <c r="D1014" s="10"/>
      <c r="E1014" s="10"/>
      <c r="F1014" s="28"/>
      <c r="G1014" s="9">
        <f t="shared" si="297"/>
        <v>3</v>
      </c>
      <c r="H1014" s="58">
        <v>44438</v>
      </c>
      <c r="I1014" s="38" t="s">
        <v>14</v>
      </c>
      <c r="J1014" s="37"/>
      <c r="K1014" s="35"/>
      <c r="L1014" s="35"/>
      <c r="M1014" s="35"/>
      <c r="N1014" s="28"/>
      <c r="O1014" s="7">
        <f t="shared" si="299"/>
        <v>0</v>
      </c>
    </row>
    <row r="1015" spans="1:22" x14ac:dyDescent="0.15">
      <c r="A1015" s="15" t="s">
        <v>4</v>
      </c>
      <c r="B1015" s="8"/>
      <c r="C1015" s="10">
        <v>5</v>
      </c>
      <c r="D1015" s="10"/>
      <c r="E1015" s="10"/>
      <c r="F1015" s="28"/>
      <c r="G1015" s="9">
        <f t="shared" si="297"/>
        <v>5</v>
      </c>
      <c r="H1015" s="58">
        <v>44448</v>
      </c>
      <c r="I1015" s="38" t="s">
        <v>3</v>
      </c>
      <c r="J1015" s="8"/>
      <c r="K1015" s="10"/>
      <c r="L1015" s="10"/>
      <c r="M1015" s="10"/>
      <c r="N1015" s="28"/>
      <c r="O1015" s="9">
        <f t="shared" si="299"/>
        <v>0</v>
      </c>
      <c r="P1015" s="56"/>
      <c r="Q1015" s="56"/>
      <c r="R1015" s="56"/>
      <c r="S1015" s="56"/>
    </row>
    <row r="1016" spans="1:22" x14ac:dyDescent="0.15">
      <c r="A1016" s="15" t="s">
        <v>1005</v>
      </c>
      <c r="B1016" s="8"/>
      <c r="C1016" s="10"/>
      <c r="D1016" s="10">
        <v>1</v>
      </c>
      <c r="E1016" s="10"/>
      <c r="F1016" s="28"/>
      <c r="G1016" s="9">
        <f t="shared" si="297"/>
        <v>1</v>
      </c>
      <c r="H1016" s="58">
        <v>44460</v>
      </c>
      <c r="I1016" s="38" t="s">
        <v>4</v>
      </c>
      <c r="J1016" s="8"/>
      <c r="K1016" s="10"/>
      <c r="L1016" s="10"/>
      <c r="M1016" s="10"/>
      <c r="N1016" s="30"/>
      <c r="O1016" s="7">
        <f t="shared" si="299"/>
        <v>0</v>
      </c>
    </row>
    <row r="1017" spans="1:22" x14ac:dyDescent="0.15">
      <c r="A1017" s="15" t="s">
        <v>6</v>
      </c>
      <c r="B1017" s="8"/>
      <c r="C1017" s="10"/>
      <c r="D1017" s="10">
        <v>3</v>
      </c>
      <c r="E1017" s="10">
        <v>3</v>
      </c>
      <c r="F1017" s="28">
        <v>3</v>
      </c>
      <c r="G1017" s="9">
        <f t="shared" si="297"/>
        <v>9</v>
      </c>
      <c r="H1017" s="58">
        <v>44466</v>
      </c>
      <c r="I1017" s="38" t="s">
        <v>5</v>
      </c>
      <c r="J1017" s="8"/>
      <c r="K1017" s="10"/>
      <c r="L1017" s="10"/>
      <c r="M1017" s="10"/>
      <c r="N1017" s="28"/>
      <c r="O1017" s="9">
        <f t="shared" si="299"/>
        <v>0</v>
      </c>
    </row>
    <row r="1018" spans="1:22" x14ac:dyDescent="0.15">
      <c r="A1018" s="15" t="s">
        <v>84</v>
      </c>
      <c r="B1018" s="8"/>
      <c r="C1018" s="10"/>
      <c r="D1018" s="10">
        <v>3</v>
      </c>
      <c r="E1018" s="10">
        <v>3</v>
      </c>
      <c r="F1018" s="30">
        <v>3</v>
      </c>
      <c r="G1018" s="7">
        <f t="shared" si="297"/>
        <v>9</v>
      </c>
      <c r="H1018" s="58">
        <v>44490</v>
      </c>
      <c r="I1018" s="38" t="s">
        <v>6</v>
      </c>
      <c r="J1018" s="8"/>
      <c r="K1018" s="10"/>
      <c r="L1018" s="10"/>
      <c r="M1018" s="10"/>
      <c r="N1018" s="30"/>
      <c r="O1018" s="7">
        <f t="shared" si="299"/>
        <v>0</v>
      </c>
    </row>
    <row r="1019" spans="1:22" x14ac:dyDescent="0.15">
      <c r="A1019" s="15" t="s">
        <v>85</v>
      </c>
      <c r="B1019" s="8"/>
      <c r="C1019" s="10"/>
      <c r="D1019" s="10"/>
      <c r="E1019" s="10"/>
      <c r="F1019" s="30"/>
      <c r="G1019" s="7">
        <f t="shared" si="297"/>
        <v>0</v>
      </c>
      <c r="H1019" s="58"/>
      <c r="I1019" s="38" t="s">
        <v>84</v>
      </c>
      <c r="J1019" s="8"/>
      <c r="K1019" s="10"/>
      <c r="L1019" s="10"/>
      <c r="M1019" s="10"/>
      <c r="N1019" s="30"/>
      <c r="O1019" s="7">
        <f t="shared" si="299"/>
        <v>0</v>
      </c>
    </row>
    <row r="1020" spans="1:22" x14ac:dyDescent="0.15">
      <c r="A1020" s="15" t="s">
        <v>86</v>
      </c>
      <c r="B1020" s="11"/>
      <c r="C1020" s="100"/>
      <c r="D1020" s="100"/>
      <c r="E1020" s="100"/>
      <c r="F1020" s="101"/>
      <c r="G1020" s="102">
        <f t="shared" si="297"/>
        <v>0</v>
      </c>
      <c r="H1020" s="58"/>
      <c r="I1020" s="38" t="s">
        <v>85</v>
      </c>
      <c r="J1020" s="8"/>
      <c r="K1020" s="10"/>
      <c r="L1020" s="10"/>
      <c r="M1020" s="10"/>
      <c r="N1020" s="30"/>
      <c r="O1020" s="7">
        <f t="shared" si="299"/>
        <v>0</v>
      </c>
    </row>
    <row r="1021" spans="1:22" ht="14.25" thickBot="1" x14ac:dyDescent="0.2">
      <c r="A1021" s="15" t="s">
        <v>87</v>
      </c>
      <c r="B1021" s="11"/>
      <c r="C1021" s="100"/>
      <c r="D1021" s="100"/>
      <c r="E1021" s="100"/>
      <c r="F1021" s="101"/>
      <c r="G1021" s="102">
        <f t="shared" si="297"/>
        <v>0</v>
      </c>
      <c r="H1021" s="58"/>
      <c r="I1021" s="38" t="s">
        <v>86</v>
      </c>
      <c r="J1021" s="11"/>
      <c r="K1021" s="100"/>
      <c r="L1021" s="100"/>
      <c r="M1021" s="100"/>
      <c r="N1021" s="101"/>
      <c r="O1021" s="102">
        <f t="shared" si="299"/>
        <v>0</v>
      </c>
    </row>
    <row r="1022" spans="1:22" ht="14.25" thickBot="1" x14ac:dyDescent="0.2">
      <c r="A1022" s="72" t="s">
        <v>7</v>
      </c>
      <c r="B1022" s="73">
        <f>SUM(B1013:B1021)</f>
        <v>6</v>
      </c>
      <c r="C1022" s="74">
        <f t="shared" ref="C1022:G1022" si="300">SUM(C1013:C1021)</f>
        <v>13</v>
      </c>
      <c r="D1022" s="74">
        <f t="shared" si="300"/>
        <v>12</v>
      </c>
      <c r="E1022" s="74">
        <f t="shared" si="300"/>
        <v>10</v>
      </c>
      <c r="F1022" s="105">
        <f t="shared" si="300"/>
        <v>10</v>
      </c>
      <c r="G1022" s="76">
        <f t="shared" si="300"/>
        <v>51</v>
      </c>
      <c r="H1022" s="56"/>
      <c r="I1022" s="72" t="s">
        <v>7</v>
      </c>
      <c r="J1022" s="73">
        <f>SUM(J1013:J1021)</f>
        <v>158</v>
      </c>
      <c r="K1022" s="74">
        <f t="shared" ref="K1022:O1022" si="301">SUM(K1013:K1021)</f>
        <v>72</v>
      </c>
      <c r="L1022" s="74">
        <f t="shared" si="301"/>
        <v>92</v>
      </c>
      <c r="M1022" s="74">
        <f t="shared" si="301"/>
        <v>47</v>
      </c>
      <c r="N1022" s="105">
        <f t="shared" si="301"/>
        <v>58</v>
      </c>
      <c r="O1022" s="76">
        <f t="shared" si="301"/>
        <v>427</v>
      </c>
    </row>
    <row r="1023" spans="1:22" x14ac:dyDescent="0.15">
      <c r="A1023" s="14" t="s">
        <v>713</v>
      </c>
      <c r="B1023" s="11">
        <v>1</v>
      </c>
      <c r="C1023" s="12"/>
      <c r="D1023" s="12"/>
      <c r="E1023" s="12"/>
      <c r="F1023" s="31"/>
      <c r="G1023" s="18">
        <f t="shared" ref="G1023:G1046" si="302">SUM(B1023:F1023)</f>
        <v>1</v>
      </c>
      <c r="H1023" s="58">
        <v>44407</v>
      </c>
      <c r="I1023" s="15" t="s">
        <v>9</v>
      </c>
      <c r="J1023" s="8"/>
      <c r="K1023" s="10">
        <v>3</v>
      </c>
      <c r="L1023" s="10"/>
      <c r="M1023" s="10"/>
      <c r="N1023" s="28"/>
      <c r="O1023" s="9">
        <f t="shared" ref="O1023" si="303">SUM(J1023:N1023)</f>
        <v>3</v>
      </c>
      <c r="P1023" s="58">
        <v>44438</v>
      </c>
      <c r="Q1023" s="56"/>
    </row>
    <row r="1024" spans="1:22" x14ac:dyDescent="0.15">
      <c r="A1024" s="14" t="s">
        <v>713</v>
      </c>
      <c r="B1024" s="8"/>
      <c r="C1024" s="10">
        <v>1</v>
      </c>
      <c r="D1024" s="10"/>
      <c r="E1024" s="10"/>
      <c r="F1024" s="30"/>
      <c r="G1024" s="7">
        <f t="shared" si="302"/>
        <v>1</v>
      </c>
      <c r="H1024" s="58">
        <v>44410</v>
      </c>
      <c r="I1024" s="15" t="s">
        <v>9</v>
      </c>
      <c r="J1024" s="8"/>
      <c r="K1024" s="10">
        <v>5</v>
      </c>
      <c r="L1024" s="10"/>
      <c r="M1024" s="10"/>
      <c r="N1024" s="30"/>
      <c r="O1024" s="7">
        <f t="shared" ref="O1024:O1040" si="304">SUM(J1024:N1024)</f>
        <v>5</v>
      </c>
      <c r="P1024" s="58">
        <v>44448</v>
      </c>
      <c r="Q1024" s="56"/>
    </row>
    <row r="1025" spans="1:17" x14ac:dyDescent="0.15">
      <c r="A1025" s="14" t="s">
        <v>713</v>
      </c>
      <c r="B1025" s="8"/>
      <c r="C1025" s="10">
        <v>1</v>
      </c>
      <c r="D1025" s="10"/>
      <c r="E1025" s="10"/>
      <c r="F1025" s="30"/>
      <c r="G1025" s="7">
        <f t="shared" si="302"/>
        <v>1</v>
      </c>
      <c r="H1025" s="58">
        <v>44412</v>
      </c>
      <c r="I1025" s="15" t="s">
        <v>9</v>
      </c>
      <c r="J1025" s="8"/>
      <c r="K1025" s="10"/>
      <c r="L1025" s="10">
        <v>3</v>
      </c>
      <c r="M1025" s="10">
        <v>3</v>
      </c>
      <c r="N1025" s="28">
        <v>3</v>
      </c>
      <c r="O1025" s="9">
        <f t="shared" si="304"/>
        <v>9</v>
      </c>
      <c r="P1025" s="58">
        <v>44466</v>
      </c>
      <c r="Q1025" s="56"/>
    </row>
    <row r="1026" spans="1:17" x14ac:dyDescent="0.15">
      <c r="A1026" s="14" t="s">
        <v>713</v>
      </c>
      <c r="B1026" s="8"/>
      <c r="C1026" s="10">
        <v>1</v>
      </c>
      <c r="D1026" s="10"/>
      <c r="E1026" s="10"/>
      <c r="F1026" s="30"/>
      <c r="G1026" s="7">
        <f t="shared" si="302"/>
        <v>1</v>
      </c>
      <c r="H1026" s="58">
        <v>44434</v>
      </c>
      <c r="I1026" s="14" t="s">
        <v>8</v>
      </c>
      <c r="J1026" s="8"/>
      <c r="K1026" s="10"/>
      <c r="L1026" s="10">
        <v>10</v>
      </c>
      <c r="M1026" s="10"/>
      <c r="N1026" s="30"/>
      <c r="O1026" s="7">
        <f t="shared" si="304"/>
        <v>10</v>
      </c>
      <c r="P1026" s="58">
        <v>44489</v>
      </c>
      <c r="Q1026" s="56"/>
    </row>
    <row r="1027" spans="1:17" x14ac:dyDescent="0.15">
      <c r="A1027" s="14" t="s">
        <v>1443</v>
      </c>
      <c r="B1027" s="37"/>
      <c r="C1027" s="35">
        <v>1</v>
      </c>
      <c r="D1027" s="35"/>
      <c r="E1027" s="35"/>
      <c r="F1027" s="28"/>
      <c r="G1027" s="7">
        <f t="shared" si="302"/>
        <v>1</v>
      </c>
      <c r="H1027" s="58">
        <v>44436</v>
      </c>
      <c r="I1027" s="15" t="s">
        <v>9</v>
      </c>
      <c r="J1027" s="8"/>
      <c r="K1027" s="10"/>
      <c r="L1027" s="10">
        <v>3</v>
      </c>
      <c r="M1027" s="10">
        <v>3</v>
      </c>
      <c r="N1027" s="30">
        <v>3</v>
      </c>
      <c r="O1027" s="7">
        <f t="shared" si="304"/>
        <v>9</v>
      </c>
      <c r="P1027" s="58">
        <v>44490</v>
      </c>
      <c r="Q1027" s="56"/>
    </row>
    <row r="1028" spans="1:17" x14ac:dyDescent="0.15">
      <c r="A1028" s="14" t="s">
        <v>713</v>
      </c>
      <c r="B1028" s="8"/>
      <c r="C1028" s="10">
        <v>1</v>
      </c>
      <c r="D1028" s="10"/>
      <c r="E1028" s="10"/>
      <c r="F1028" s="30"/>
      <c r="G1028" s="7">
        <f t="shared" si="302"/>
        <v>1</v>
      </c>
      <c r="H1028" s="58">
        <v>44438</v>
      </c>
      <c r="I1028" s="14" t="s">
        <v>8</v>
      </c>
      <c r="J1028" s="8"/>
      <c r="K1028" s="10">
        <v>10</v>
      </c>
      <c r="L1028" s="10"/>
      <c r="M1028" s="10"/>
      <c r="N1028" s="30"/>
      <c r="O1028" s="7">
        <f t="shared" si="304"/>
        <v>10</v>
      </c>
      <c r="P1028" s="58">
        <v>44508</v>
      </c>
      <c r="Q1028" s="56"/>
    </row>
    <row r="1029" spans="1:17" x14ac:dyDescent="0.15">
      <c r="A1029" s="14" t="s">
        <v>713</v>
      </c>
      <c r="B1029" s="8"/>
      <c r="C1029" s="10"/>
      <c r="D1029" s="10">
        <v>1</v>
      </c>
      <c r="E1029" s="10"/>
      <c r="F1029" s="30"/>
      <c r="G1029" s="7">
        <f t="shared" si="302"/>
        <v>1</v>
      </c>
      <c r="H1029" s="58">
        <v>44441</v>
      </c>
      <c r="I1029" s="14"/>
      <c r="J1029" s="8"/>
      <c r="K1029" s="10"/>
      <c r="L1029" s="10"/>
      <c r="M1029" s="10"/>
      <c r="N1029" s="30"/>
      <c r="O1029" s="7">
        <f t="shared" si="304"/>
        <v>0</v>
      </c>
      <c r="P1029" s="56"/>
      <c r="Q1029" s="56"/>
    </row>
    <row r="1030" spans="1:17" x14ac:dyDescent="0.15">
      <c r="A1030" s="14" t="s">
        <v>117</v>
      </c>
      <c r="B1030" s="8"/>
      <c r="C1030" s="10"/>
      <c r="D1030" s="10">
        <v>1</v>
      </c>
      <c r="E1030" s="10"/>
      <c r="F1030" s="30"/>
      <c r="G1030" s="7">
        <f t="shared" si="302"/>
        <v>1</v>
      </c>
      <c r="H1030" s="58">
        <v>44446</v>
      </c>
      <c r="I1030" s="132"/>
      <c r="J1030" s="8"/>
      <c r="K1030" s="10"/>
      <c r="L1030" s="10"/>
      <c r="M1030" s="10"/>
      <c r="N1030" s="30"/>
      <c r="O1030" s="7">
        <f t="shared" si="304"/>
        <v>0</v>
      </c>
      <c r="P1030" s="56"/>
      <c r="Q1030" s="56"/>
    </row>
    <row r="1031" spans="1:17" x14ac:dyDescent="0.15">
      <c r="A1031" s="14" t="s">
        <v>713</v>
      </c>
      <c r="B1031" s="8"/>
      <c r="C1031" s="10">
        <v>1</v>
      </c>
      <c r="D1031" s="10"/>
      <c r="E1031" s="10"/>
      <c r="F1031" s="30"/>
      <c r="G1031" s="7">
        <f t="shared" si="302"/>
        <v>1</v>
      </c>
      <c r="H1031" s="58">
        <v>44445</v>
      </c>
      <c r="I1031" s="14"/>
      <c r="J1031" s="8"/>
      <c r="K1031" s="10"/>
      <c r="L1031" s="10"/>
      <c r="M1031" s="10"/>
      <c r="N1031" s="30"/>
      <c r="O1031" s="7">
        <f t="shared" si="304"/>
        <v>0</v>
      </c>
      <c r="P1031" s="56"/>
      <c r="Q1031" s="56"/>
    </row>
    <row r="1032" spans="1:17" x14ac:dyDescent="0.15">
      <c r="A1032" s="14" t="s">
        <v>117</v>
      </c>
      <c r="B1032" s="11"/>
      <c r="C1032" s="12"/>
      <c r="D1032" s="12"/>
      <c r="E1032" s="12"/>
      <c r="F1032" s="31">
        <v>1</v>
      </c>
      <c r="G1032" s="7">
        <f t="shared" si="302"/>
        <v>1</v>
      </c>
      <c r="H1032" s="58">
        <v>44450</v>
      </c>
      <c r="I1032" s="14"/>
      <c r="J1032" s="11"/>
      <c r="K1032" s="12"/>
      <c r="L1032" s="12"/>
      <c r="M1032" s="12"/>
      <c r="N1032" s="31"/>
      <c r="O1032" s="7">
        <f t="shared" si="304"/>
        <v>0</v>
      </c>
      <c r="P1032" s="56"/>
      <c r="Q1032" s="56"/>
    </row>
    <row r="1033" spans="1:17" x14ac:dyDescent="0.15">
      <c r="A1033" s="14" t="s">
        <v>117</v>
      </c>
      <c r="B1033" s="8"/>
      <c r="C1033" s="10"/>
      <c r="D1033" s="10"/>
      <c r="E1033" s="10"/>
      <c r="F1033" s="30">
        <v>1</v>
      </c>
      <c r="G1033" s="7">
        <f t="shared" si="302"/>
        <v>1</v>
      </c>
      <c r="H1033" s="58">
        <v>44453</v>
      </c>
      <c r="I1033" s="14"/>
      <c r="J1033" s="8"/>
      <c r="K1033" s="10"/>
      <c r="L1033" s="10"/>
      <c r="M1033" s="10"/>
      <c r="N1033" s="30"/>
      <c r="O1033" s="7">
        <f t="shared" si="304"/>
        <v>0</v>
      </c>
      <c r="P1033" s="56"/>
      <c r="Q1033" s="56"/>
    </row>
    <row r="1034" spans="1:17" x14ac:dyDescent="0.15">
      <c r="A1034" s="14" t="s">
        <v>713</v>
      </c>
      <c r="B1034" s="8"/>
      <c r="C1034" s="10"/>
      <c r="D1034" s="10">
        <v>1</v>
      </c>
      <c r="E1034" s="10"/>
      <c r="F1034" s="30"/>
      <c r="G1034" s="7">
        <f t="shared" si="302"/>
        <v>1</v>
      </c>
      <c r="H1034" s="58">
        <v>44452</v>
      </c>
      <c r="I1034" s="14"/>
      <c r="J1034" s="8"/>
      <c r="K1034" s="10"/>
      <c r="L1034" s="10"/>
      <c r="M1034" s="10"/>
      <c r="N1034" s="30"/>
      <c r="O1034" s="7">
        <f t="shared" si="304"/>
        <v>0</v>
      </c>
      <c r="P1034" s="56"/>
      <c r="Q1034" s="56"/>
    </row>
    <row r="1035" spans="1:17" x14ac:dyDescent="0.15">
      <c r="A1035" s="14" t="s">
        <v>1445</v>
      </c>
      <c r="B1035" s="8"/>
      <c r="C1035" s="10"/>
      <c r="D1035" s="10">
        <v>-1</v>
      </c>
      <c r="E1035" s="10"/>
      <c r="F1035" s="30"/>
      <c r="G1035" s="7">
        <f t="shared" si="302"/>
        <v>-1</v>
      </c>
      <c r="H1035" s="58">
        <v>44453</v>
      </c>
      <c r="I1035" s="14"/>
      <c r="J1035" s="8"/>
      <c r="K1035" s="10"/>
      <c r="L1035" s="10"/>
      <c r="M1035" s="10"/>
      <c r="N1035" s="30"/>
      <c r="O1035" s="7">
        <f t="shared" si="304"/>
        <v>0</v>
      </c>
      <c r="P1035" s="56"/>
      <c r="Q1035" s="56"/>
    </row>
    <row r="1036" spans="1:17" x14ac:dyDescent="0.15">
      <c r="A1036" s="14" t="s">
        <v>713</v>
      </c>
      <c r="B1036" s="8"/>
      <c r="C1036" s="10"/>
      <c r="D1036" s="10">
        <v>1</v>
      </c>
      <c r="E1036" s="10"/>
      <c r="F1036" s="30"/>
      <c r="G1036" s="7">
        <f t="shared" si="302"/>
        <v>1</v>
      </c>
      <c r="H1036" s="58">
        <v>44456</v>
      </c>
      <c r="I1036" s="14"/>
      <c r="J1036" s="8"/>
      <c r="K1036" s="10"/>
      <c r="L1036" s="10"/>
      <c r="M1036" s="10"/>
      <c r="N1036" s="30"/>
      <c r="O1036" s="7">
        <f t="shared" si="304"/>
        <v>0</v>
      </c>
      <c r="P1036" s="56"/>
      <c r="Q1036" s="56"/>
    </row>
    <row r="1037" spans="1:17" x14ac:dyDescent="0.15">
      <c r="A1037" s="14" t="s">
        <v>713</v>
      </c>
      <c r="B1037" s="8"/>
      <c r="C1037" s="10"/>
      <c r="D1037" s="10"/>
      <c r="E1037" s="10">
        <v>1</v>
      </c>
      <c r="F1037" s="30"/>
      <c r="G1037" s="7">
        <f t="shared" si="302"/>
        <v>1</v>
      </c>
      <c r="H1037" s="58">
        <v>44460</v>
      </c>
      <c r="I1037" s="14"/>
      <c r="J1037" s="8"/>
      <c r="K1037" s="10"/>
      <c r="L1037" s="10"/>
      <c r="M1037" s="10"/>
      <c r="N1037" s="30"/>
      <c r="O1037" s="7">
        <f t="shared" si="304"/>
        <v>0</v>
      </c>
      <c r="P1037" s="56"/>
      <c r="Q1037" s="56"/>
    </row>
    <row r="1038" spans="1:17" x14ac:dyDescent="0.15">
      <c r="A1038" s="14" t="s">
        <v>713</v>
      </c>
      <c r="B1038" s="8"/>
      <c r="C1038" s="10"/>
      <c r="D1038" s="10">
        <v>1</v>
      </c>
      <c r="E1038" s="10">
        <v>1</v>
      </c>
      <c r="F1038" s="30"/>
      <c r="G1038" s="7">
        <f t="shared" si="302"/>
        <v>2</v>
      </c>
      <c r="H1038" s="58">
        <v>44463</v>
      </c>
      <c r="I1038" s="16"/>
      <c r="J1038" s="8"/>
      <c r="K1038" s="10"/>
      <c r="L1038" s="10"/>
      <c r="M1038" s="10"/>
      <c r="N1038" s="30"/>
      <c r="O1038" s="7">
        <f t="shared" si="304"/>
        <v>0</v>
      </c>
      <c r="P1038" s="56"/>
      <c r="Q1038" s="56"/>
    </row>
    <row r="1039" spans="1:17" x14ac:dyDescent="0.15">
      <c r="A1039" s="14" t="s">
        <v>713</v>
      </c>
      <c r="B1039" s="8"/>
      <c r="C1039" s="10"/>
      <c r="D1039" s="10">
        <v>1</v>
      </c>
      <c r="E1039" s="10"/>
      <c r="F1039" s="30"/>
      <c r="G1039" s="7">
        <f t="shared" si="302"/>
        <v>1</v>
      </c>
      <c r="H1039" s="58">
        <v>44469</v>
      </c>
      <c r="I1039" s="16"/>
      <c r="J1039" s="8"/>
      <c r="K1039" s="10"/>
      <c r="L1039" s="10"/>
      <c r="M1039" s="10"/>
      <c r="N1039" s="30"/>
      <c r="O1039" s="7">
        <f t="shared" si="304"/>
        <v>0</v>
      </c>
      <c r="P1039" s="56"/>
      <c r="Q1039" s="56"/>
    </row>
    <row r="1040" spans="1:17" x14ac:dyDescent="0.15">
      <c r="A1040" s="14" t="s">
        <v>713</v>
      </c>
      <c r="B1040" s="8"/>
      <c r="C1040" s="10"/>
      <c r="D1040" s="10"/>
      <c r="E1040" s="10">
        <v>1</v>
      </c>
      <c r="F1040" s="30"/>
      <c r="G1040" s="7">
        <f t="shared" si="302"/>
        <v>1</v>
      </c>
      <c r="H1040" s="58">
        <v>44473</v>
      </c>
      <c r="I1040" s="16"/>
      <c r="J1040" s="11"/>
      <c r="K1040" s="12"/>
      <c r="L1040" s="12"/>
      <c r="M1040" s="12"/>
      <c r="N1040" s="31"/>
      <c r="O1040" s="7">
        <f t="shared" si="304"/>
        <v>0</v>
      </c>
      <c r="P1040" s="56"/>
      <c r="Q1040" s="56"/>
    </row>
    <row r="1041" spans="1:22" x14ac:dyDescent="0.15">
      <c r="A1041" s="14" t="s">
        <v>713</v>
      </c>
      <c r="B1041" s="8"/>
      <c r="C1041" s="10"/>
      <c r="D1041" s="10"/>
      <c r="E1041" s="10">
        <v>1</v>
      </c>
      <c r="F1041" s="30"/>
      <c r="G1041" s="7">
        <f t="shared" si="302"/>
        <v>1</v>
      </c>
      <c r="H1041" s="58">
        <v>44476</v>
      </c>
      <c r="I1041" s="16"/>
      <c r="J1041" s="8"/>
      <c r="K1041" s="10"/>
      <c r="L1041" s="10"/>
      <c r="M1041" s="10"/>
      <c r="N1041" s="30"/>
      <c r="O1041" s="7">
        <f>SUM(J1041:N1041)</f>
        <v>0</v>
      </c>
      <c r="P1041" s="56"/>
      <c r="Q1041" s="56"/>
    </row>
    <row r="1042" spans="1:22" x14ac:dyDescent="0.15">
      <c r="A1042" s="14" t="s">
        <v>713</v>
      </c>
      <c r="B1042" s="8"/>
      <c r="C1042" s="10"/>
      <c r="D1042" s="10"/>
      <c r="E1042" s="10"/>
      <c r="F1042" s="30">
        <v>1</v>
      </c>
      <c r="G1042" s="7">
        <f t="shared" si="302"/>
        <v>1</v>
      </c>
      <c r="H1042" s="58">
        <v>44477</v>
      </c>
      <c r="I1042" s="64"/>
      <c r="J1042" s="11"/>
      <c r="K1042" s="12"/>
      <c r="L1042" s="12"/>
      <c r="M1042" s="12"/>
      <c r="N1042" s="31"/>
      <c r="O1042" s="7">
        <f t="shared" ref="O1042:O1048" si="305">SUM(J1042:N1042)</f>
        <v>0</v>
      </c>
      <c r="P1042" s="56"/>
      <c r="Q1042" s="56"/>
    </row>
    <row r="1043" spans="1:22" x14ac:dyDescent="0.15">
      <c r="A1043" s="14" t="s">
        <v>713</v>
      </c>
      <c r="B1043" s="8"/>
      <c r="C1043" s="10"/>
      <c r="D1043" s="10"/>
      <c r="E1043" s="10"/>
      <c r="F1043" s="30">
        <v>1</v>
      </c>
      <c r="G1043" s="7">
        <f t="shared" si="302"/>
        <v>1</v>
      </c>
      <c r="H1043" s="58">
        <v>44481</v>
      </c>
      <c r="I1043" s="14"/>
      <c r="J1043" s="8"/>
      <c r="K1043" s="10"/>
      <c r="L1043" s="10"/>
      <c r="M1043" s="10"/>
      <c r="N1043" s="30"/>
      <c r="O1043" s="7">
        <f t="shared" si="305"/>
        <v>0</v>
      </c>
      <c r="P1043" s="56"/>
      <c r="Q1043" s="56"/>
    </row>
    <row r="1044" spans="1:22" x14ac:dyDescent="0.15">
      <c r="A1044" s="14" t="s">
        <v>1451</v>
      </c>
      <c r="B1044" s="11"/>
      <c r="C1044" s="12">
        <v>1</v>
      </c>
      <c r="D1044" s="12"/>
      <c r="E1044" s="12"/>
      <c r="F1044" s="31"/>
      <c r="G1044" s="7">
        <f t="shared" si="302"/>
        <v>1</v>
      </c>
      <c r="H1044" s="58">
        <v>44487</v>
      </c>
      <c r="I1044" s="14"/>
      <c r="J1044" s="8"/>
      <c r="K1044" s="10"/>
      <c r="L1044" s="10"/>
      <c r="M1044" s="10"/>
      <c r="N1044" s="30"/>
      <c r="O1044" s="7">
        <f t="shared" si="305"/>
        <v>0</v>
      </c>
      <c r="P1044" s="56"/>
      <c r="Q1044" s="56"/>
    </row>
    <row r="1045" spans="1:22" x14ac:dyDescent="0.15">
      <c r="A1045" s="14" t="s">
        <v>713</v>
      </c>
      <c r="B1045" s="8"/>
      <c r="C1045" s="10"/>
      <c r="D1045" s="10">
        <v>1</v>
      </c>
      <c r="E1045" s="10"/>
      <c r="F1045" s="30"/>
      <c r="G1045" s="7">
        <f t="shared" si="302"/>
        <v>1</v>
      </c>
      <c r="H1045" s="58">
        <v>44484</v>
      </c>
      <c r="I1045" s="14"/>
      <c r="J1045" s="8"/>
      <c r="K1045" s="10"/>
      <c r="L1045" s="10"/>
      <c r="M1045" s="10"/>
      <c r="N1045" s="30"/>
      <c r="O1045" s="7">
        <f t="shared" si="305"/>
        <v>0</v>
      </c>
      <c r="P1045" s="56"/>
      <c r="Q1045" s="56"/>
    </row>
    <row r="1046" spans="1:22" x14ac:dyDescent="0.15">
      <c r="A1046" s="14" t="s">
        <v>117</v>
      </c>
      <c r="B1046" s="8"/>
      <c r="C1046" s="10"/>
      <c r="D1046" s="10"/>
      <c r="E1046" s="10"/>
      <c r="F1046" s="30">
        <v>1</v>
      </c>
      <c r="G1046" s="7">
        <f t="shared" si="302"/>
        <v>1</v>
      </c>
      <c r="H1046" s="58">
        <v>44491</v>
      </c>
      <c r="I1046" s="14"/>
      <c r="J1046" s="8"/>
      <c r="K1046" s="10"/>
      <c r="L1046" s="10"/>
      <c r="M1046" s="10"/>
      <c r="N1046" s="30"/>
      <c r="O1046" s="7">
        <f t="shared" si="305"/>
        <v>0</v>
      </c>
      <c r="P1046" s="56"/>
    </row>
    <row r="1047" spans="1:22" x14ac:dyDescent="0.15">
      <c r="A1047" s="14" t="s">
        <v>713</v>
      </c>
      <c r="B1047" s="8"/>
      <c r="C1047" s="10"/>
      <c r="D1047" s="10"/>
      <c r="E1047" s="10"/>
      <c r="F1047" s="30">
        <v>1</v>
      </c>
      <c r="G1047" s="7">
        <f t="shared" ref="G1047:G1048" si="306">SUM(B1047:F1047)</f>
        <v>1</v>
      </c>
      <c r="H1047" s="58">
        <v>44495</v>
      </c>
      <c r="I1047" s="14"/>
      <c r="J1047" s="8"/>
      <c r="K1047" s="10"/>
      <c r="L1047" s="10"/>
      <c r="M1047" s="10"/>
      <c r="N1047" s="30"/>
      <c r="O1047" s="7">
        <f t="shared" si="305"/>
        <v>0</v>
      </c>
      <c r="P1047" s="56"/>
    </row>
    <row r="1048" spans="1:22" ht="14.25" thickBot="1" x14ac:dyDescent="0.2">
      <c r="A1048" s="14" t="s">
        <v>117</v>
      </c>
      <c r="B1048" s="11"/>
      <c r="C1048" s="12"/>
      <c r="D1048" s="12">
        <v>1</v>
      </c>
      <c r="E1048" s="12"/>
      <c r="F1048" s="31"/>
      <c r="G1048" s="115">
        <f t="shared" si="306"/>
        <v>1</v>
      </c>
      <c r="H1048" s="58">
        <v>44510</v>
      </c>
      <c r="I1048" s="14" t="s">
        <v>1450</v>
      </c>
      <c r="J1048" s="8"/>
      <c r="K1048" s="10"/>
      <c r="L1048" s="10"/>
      <c r="M1048" s="10"/>
      <c r="N1048" s="30"/>
      <c r="O1048" s="7">
        <f t="shared" si="305"/>
        <v>0</v>
      </c>
      <c r="P1048" s="56" t="s">
        <v>1335</v>
      </c>
      <c r="Q1048" t="s">
        <v>1429</v>
      </c>
      <c r="R1048" s="201"/>
      <c r="S1048" s="201"/>
      <c r="T1048" s="201"/>
      <c r="U1048" s="201"/>
      <c r="V1048" s="201"/>
    </row>
    <row r="1049" spans="1:22" ht="14.25" thickBot="1" x14ac:dyDescent="0.2">
      <c r="A1049" s="3" t="s">
        <v>11</v>
      </c>
      <c r="B1049" s="23">
        <f>SUM(B1023:B1048)</f>
        <v>1</v>
      </c>
      <c r="C1049" s="4">
        <f>SUM(C1023:C1048)</f>
        <v>7</v>
      </c>
      <c r="D1049" s="4">
        <f>SUM(D1023:D1048)</f>
        <v>7</v>
      </c>
      <c r="E1049" s="6">
        <f>SUM(E1023:E1048)</f>
        <v>4</v>
      </c>
      <c r="F1049" s="32">
        <f>SUM(F1023:F1048)</f>
        <v>6</v>
      </c>
      <c r="G1049" s="5">
        <f>SUM(B1049:F1049)</f>
        <v>25</v>
      </c>
      <c r="I1049" s="3" t="s">
        <v>11</v>
      </c>
      <c r="J1049" s="23">
        <f>SUM(J1023:J1048)</f>
        <v>0</v>
      </c>
      <c r="K1049" s="4">
        <f>SUM(K1023:K1048)</f>
        <v>18</v>
      </c>
      <c r="L1049" s="4">
        <f>SUM(L1023:L1048)</f>
        <v>16</v>
      </c>
      <c r="M1049" s="6">
        <f>SUM(M1023:M1048)</f>
        <v>6</v>
      </c>
      <c r="N1049" s="32">
        <f>SUM(N1023:N1048)</f>
        <v>6</v>
      </c>
      <c r="O1049" s="5">
        <f>SUM(J1049:N1049)</f>
        <v>46</v>
      </c>
      <c r="Q1049" s="199" t="s">
        <v>1435</v>
      </c>
      <c r="R1049" s="199" t="s">
        <v>1436</v>
      </c>
      <c r="S1049" s="199" t="s">
        <v>1432</v>
      </c>
      <c r="T1049" s="199" t="s">
        <v>1433</v>
      </c>
      <c r="U1049" s="199" t="s">
        <v>1434</v>
      </c>
      <c r="V1049" s="199"/>
    </row>
    <row r="1050" spans="1:22" ht="14.25" thickBot="1" x14ac:dyDescent="0.2">
      <c r="A1050" s="25" t="s">
        <v>12</v>
      </c>
      <c r="B1050" s="63">
        <f>B1022-B1049</f>
        <v>5</v>
      </c>
      <c r="C1050" s="26">
        <f t="shared" ref="C1050:G1050" si="307">C1022-C1049</f>
        <v>6</v>
      </c>
      <c r="D1050" s="71">
        <f t="shared" si="307"/>
        <v>5</v>
      </c>
      <c r="E1050" s="26">
        <f t="shared" si="307"/>
        <v>6</v>
      </c>
      <c r="F1050" s="70">
        <f t="shared" si="307"/>
        <v>4</v>
      </c>
      <c r="G1050" s="27">
        <f t="shared" si="307"/>
        <v>26</v>
      </c>
      <c r="I1050" s="25" t="s">
        <v>12</v>
      </c>
      <c r="J1050" s="63">
        <f>J1022-J1049</f>
        <v>158</v>
      </c>
      <c r="K1050" s="26">
        <f t="shared" ref="K1050:O1050" si="308">K1022-K1049</f>
        <v>54</v>
      </c>
      <c r="L1050" s="71">
        <f t="shared" si="308"/>
        <v>76</v>
      </c>
      <c r="M1050" s="26">
        <f t="shared" si="308"/>
        <v>41</v>
      </c>
      <c r="N1050" s="70">
        <f t="shared" si="308"/>
        <v>52</v>
      </c>
      <c r="O1050" s="27">
        <f t="shared" si="308"/>
        <v>381</v>
      </c>
      <c r="Q1050" s="199">
        <v>171</v>
      </c>
      <c r="R1050" s="199">
        <v>340</v>
      </c>
      <c r="S1050" s="199">
        <v>297</v>
      </c>
      <c r="T1050" s="199">
        <v>300</v>
      </c>
      <c r="U1050" s="199">
        <v>318</v>
      </c>
      <c r="V1050" s="199">
        <v>1426</v>
      </c>
    </row>
    <row r="1051" spans="1:22" ht="17.25" x14ac:dyDescent="0.2">
      <c r="A1051" s="79" t="s">
        <v>391</v>
      </c>
      <c r="B1051" s="80"/>
      <c r="C1051" s="80"/>
      <c r="D1051" s="80"/>
      <c r="E1051" s="80"/>
      <c r="F1051" s="80"/>
      <c r="G1051" s="80"/>
      <c r="H1051" s="56"/>
      <c r="I1051" s="79" t="s">
        <v>391</v>
      </c>
      <c r="J1051" s="80"/>
      <c r="K1051" s="80"/>
      <c r="L1051" s="80"/>
      <c r="M1051" s="80"/>
      <c r="N1051" s="80"/>
      <c r="O1051" s="1"/>
      <c r="Q1051" s="200">
        <v>11.991584852734899</v>
      </c>
      <c r="R1051" s="200">
        <v>23.842917251051894</v>
      </c>
      <c r="S1051" s="200">
        <v>20.827489481065918</v>
      </c>
      <c r="T1051" s="200">
        <v>21.037868162692845</v>
      </c>
      <c r="U1051" s="200">
        <v>22.300140252454419</v>
      </c>
      <c r="V1051" s="199">
        <v>100</v>
      </c>
    </row>
    <row r="1052" spans="1:22" ht="21.75" thickBot="1" x14ac:dyDescent="0.25">
      <c r="A1052" s="82" t="s">
        <v>390</v>
      </c>
      <c r="B1052" s="80"/>
      <c r="C1052" s="80"/>
      <c r="D1052" s="80"/>
      <c r="E1052" s="81" t="s">
        <v>53</v>
      </c>
      <c r="F1052" s="80"/>
      <c r="G1052" s="80"/>
      <c r="H1052" s="56"/>
      <c r="I1052" s="82" t="s">
        <v>390</v>
      </c>
      <c r="J1052" s="80"/>
      <c r="K1052" s="80"/>
      <c r="L1052" s="80"/>
      <c r="M1052" s="81" t="s">
        <v>393</v>
      </c>
      <c r="N1052" s="80"/>
      <c r="O1052" s="1"/>
    </row>
    <row r="1053" spans="1:22" ht="14.25" thickBot="1" x14ac:dyDescent="0.2">
      <c r="A1053" s="13" t="s">
        <v>0</v>
      </c>
      <c r="B1053" s="228" t="s">
        <v>392</v>
      </c>
      <c r="C1053" s="229"/>
      <c r="D1053" s="229"/>
      <c r="E1053" s="229"/>
      <c r="F1053" s="230"/>
      <c r="G1053" s="231"/>
      <c r="H1053" s="56"/>
      <c r="I1053" s="13" t="s">
        <v>0</v>
      </c>
      <c r="J1053" s="228" t="s">
        <v>392</v>
      </c>
      <c r="K1053" s="229"/>
      <c r="L1053" s="229"/>
      <c r="M1053" s="229"/>
      <c r="N1053" s="230"/>
      <c r="O1053" s="231"/>
      <c r="Q1053" s="201"/>
      <c r="R1053" s="201"/>
      <c r="S1053" s="201"/>
      <c r="T1053" s="201"/>
      <c r="U1053" s="201"/>
      <c r="V1053" s="201"/>
    </row>
    <row r="1054" spans="1:22" ht="14.25" thickBot="1" x14ac:dyDescent="0.2">
      <c r="A1054" s="3" t="s">
        <v>1</v>
      </c>
      <c r="B1054" s="2" t="s">
        <v>42</v>
      </c>
      <c r="C1054" s="21" t="s">
        <v>43</v>
      </c>
      <c r="D1054" s="21" t="s">
        <v>44</v>
      </c>
      <c r="E1054" s="24" t="s">
        <v>45</v>
      </c>
      <c r="F1054" s="33" t="s">
        <v>46</v>
      </c>
      <c r="G1054" s="34" t="s">
        <v>2</v>
      </c>
      <c r="H1054" s="56"/>
      <c r="I1054" s="3" t="s">
        <v>1</v>
      </c>
      <c r="J1054" s="41" t="s">
        <v>42</v>
      </c>
      <c r="K1054" s="42" t="s">
        <v>43</v>
      </c>
      <c r="L1054" s="42" t="s">
        <v>44</v>
      </c>
      <c r="M1054" s="43" t="s">
        <v>45</v>
      </c>
      <c r="N1054" s="44" t="s">
        <v>46</v>
      </c>
      <c r="O1054" s="3" t="s">
        <v>2</v>
      </c>
    </row>
    <row r="1055" spans="1:22" ht="14.25" thickBot="1" x14ac:dyDescent="0.2">
      <c r="A1055" s="72" t="s">
        <v>456</v>
      </c>
      <c r="B1055" s="73">
        <f>B1050</f>
        <v>5</v>
      </c>
      <c r="C1055" s="74">
        <f t="shared" ref="C1055:F1055" si="309">C1050</f>
        <v>6</v>
      </c>
      <c r="D1055" s="74">
        <f t="shared" si="309"/>
        <v>5</v>
      </c>
      <c r="E1055" s="74">
        <f t="shared" si="309"/>
        <v>6</v>
      </c>
      <c r="F1055" s="105">
        <f t="shared" si="309"/>
        <v>4</v>
      </c>
      <c r="G1055" s="131">
        <f t="shared" ref="G1055:G1063" si="310">SUM(B1055:F1055)</f>
        <v>26</v>
      </c>
      <c r="H1055" s="56"/>
      <c r="I1055" s="72" t="s">
        <v>456</v>
      </c>
      <c r="J1055" s="73">
        <f>J1050</f>
        <v>158</v>
      </c>
      <c r="K1055" s="74">
        <f t="shared" ref="K1055:N1055" si="311">K1050</f>
        <v>54</v>
      </c>
      <c r="L1055" s="74">
        <f t="shared" si="311"/>
        <v>76</v>
      </c>
      <c r="M1055" s="74">
        <f t="shared" si="311"/>
        <v>41</v>
      </c>
      <c r="N1055" s="105">
        <f t="shared" si="311"/>
        <v>52</v>
      </c>
      <c r="O1055" s="131">
        <f t="shared" ref="O1055:O1063" si="312">SUM(J1055:N1055)</f>
        <v>381</v>
      </c>
    </row>
    <row r="1056" spans="1:22" x14ac:dyDescent="0.15">
      <c r="A1056" s="15" t="s">
        <v>3</v>
      </c>
      <c r="B1056" s="8"/>
      <c r="C1056" s="10"/>
      <c r="D1056" s="10">
        <v>5</v>
      </c>
      <c r="E1056" s="10"/>
      <c r="F1056" s="28"/>
      <c r="G1056" s="9">
        <f t="shared" si="310"/>
        <v>5</v>
      </c>
      <c r="H1056" s="58">
        <v>44558</v>
      </c>
      <c r="I1056" s="38" t="s">
        <v>9</v>
      </c>
      <c r="J1056" s="37"/>
      <c r="K1056" s="35">
        <v>5</v>
      </c>
      <c r="L1056" s="35"/>
      <c r="M1056" s="35"/>
      <c r="N1056" s="28"/>
      <c r="O1056" s="7">
        <f t="shared" si="312"/>
        <v>5</v>
      </c>
      <c r="P1056" s="57">
        <v>44590</v>
      </c>
    </row>
    <row r="1057" spans="1:16" x14ac:dyDescent="0.15">
      <c r="A1057" s="15" t="s">
        <v>4</v>
      </c>
      <c r="B1057" s="8">
        <v>3</v>
      </c>
      <c r="C1057" s="10"/>
      <c r="D1057" s="10"/>
      <c r="E1057" s="10"/>
      <c r="F1057" s="28"/>
      <c r="G1057" s="9">
        <f t="shared" si="310"/>
        <v>3</v>
      </c>
      <c r="H1057" s="58">
        <v>44588</v>
      </c>
      <c r="I1057" s="38" t="s">
        <v>1348</v>
      </c>
      <c r="J1057" s="8"/>
      <c r="K1057" s="10"/>
      <c r="L1057" s="10"/>
      <c r="M1057" s="10"/>
      <c r="N1057" s="28">
        <v>2</v>
      </c>
      <c r="O1057" s="9">
        <f t="shared" si="312"/>
        <v>2</v>
      </c>
      <c r="P1057" s="56"/>
    </row>
    <row r="1058" spans="1:16" x14ac:dyDescent="0.15">
      <c r="A1058" s="15" t="s">
        <v>19</v>
      </c>
      <c r="B1058" s="8"/>
      <c r="C1058" s="10">
        <v>5</v>
      </c>
      <c r="D1058" s="10"/>
      <c r="E1058" s="10"/>
      <c r="F1058" s="28"/>
      <c r="G1058" s="9">
        <f t="shared" si="310"/>
        <v>5</v>
      </c>
      <c r="H1058" s="58">
        <v>44587</v>
      </c>
      <c r="I1058" s="38" t="s">
        <v>4</v>
      </c>
      <c r="J1058" s="8"/>
      <c r="K1058" s="10"/>
      <c r="L1058" s="10"/>
      <c r="M1058" s="10"/>
      <c r="N1058" s="30"/>
      <c r="O1058" s="7">
        <f t="shared" si="312"/>
        <v>0</v>
      </c>
    </row>
    <row r="1059" spans="1:16" x14ac:dyDescent="0.15">
      <c r="A1059" s="15" t="s">
        <v>6</v>
      </c>
      <c r="B1059" s="8"/>
      <c r="C1059" s="10">
        <v>5</v>
      </c>
      <c r="D1059" s="10"/>
      <c r="E1059" s="10"/>
      <c r="F1059" s="28"/>
      <c r="G1059" s="9">
        <f t="shared" si="310"/>
        <v>5</v>
      </c>
      <c r="H1059" s="58">
        <v>44617</v>
      </c>
      <c r="I1059" s="38" t="s">
        <v>5</v>
      </c>
      <c r="J1059" s="8"/>
      <c r="K1059" s="10"/>
      <c r="L1059" s="10"/>
      <c r="M1059" s="10"/>
      <c r="N1059" s="28"/>
      <c r="O1059" s="9">
        <f t="shared" si="312"/>
        <v>0</v>
      </c>
    </row>
    <row r="1060" spans="1:16" x14ac:dyDescent="0.15">
      <c r="A1060" s="15" t="s">
        <v>84</v>
      </c>
      <c r="B1060" s="8"/>
      <c r="C1060" s="10"/>
      <c r="D1060" s="10">
        <v>3</v>
      </c>
      <c r="E1060" s="10"/>
      <c r="F1060" s="30">
        <v>3</v>
      </c>
      <c r="G1060" s="7">
        <f t="shared" si="310"/>
        <v>6</v>
      </c>
      <c r="H1060" s="58">
        <v>44664</v>
      </c>
      <c r="I1060" s="38" t="s">
        <v>6</v>
      </c>
      <c r="J1060" s="8"/>
      <c r="K1060" s="10"/>
      <c r="L1060" s="10"/>
      <c r="M1060" s="10"/>
      <c r="N1060" s="30"/>
      <c r="O1060" s="7">
        <f t="shared" si="312"/>
        <v>0</v>
      </c>
    </row>
    <row r="1061" spans="1:16" x14ac:dyDescent="0.15">
      <c r="A1061" s="15" t="s">
        <v>85</v>
      </c>
      <c r="B1061" s="8"/>
      <c r="C1061" s="10"/>
      <c r="D1061" s="10"/>
      <c r="E1061" s="10"/>
      <c r="F1061" s="30"/>
      <c r="G1061" s="7">
        <f t="shared" si="310"/>
        <v>0</v>
      </c>
      <c r="H1061" s="58"/>
      <c r="I1061" s="38" t="s">
        <v>84</v>
      </c>
      <c r="J1061" s="8"/>
      <c r="K1061" s="10"/>
      <c r="L1061" s="10"/>
      <c r="M1061" s="10"/>
      <c r="N1061" s="30"/>
      <c r="O1061" s="7">
        <f t="shared" si="312"/>
        <v>0</v>
      </c>
    </row>
    <row r="1062" spans="1:16" x14ac:dyDescent="0.15">
      <c r="A1062" s="15" t="s">
        <v>86</v>
      </c>
      <c r="B1062" s="11"/>
      <c r="C1062" s="100"/>
      <c r="D1062" s="100"/>
      <c r="E1062" s="100"/>
      <c r="F1062" s="101"/>
      <c r="G1062" s="102">
        <f t="shared" si="310"/>
        <v>0</v>
      </c>
      <c r="H1062" s="58"/>
      <c r="I1062" s="38" t="s">
        <v>85</v>
      </c>
      <c r="J1062" s="8"/>
      <c r="K1062" s="10"/>
      <c r="L1062" s="10"/>
      <c r="M1062" s="10"/>
      <c r="N1062" s="30"/>
      <c r="O1062" s="7">
        <f t="shared" si="312"/>
        <v>0</v>
      </c>
    </row>
    <row r="1063" spans="1:16" ht="14.25" thickBot="1" x14ac:dyDescent="0.2">
      <c r="A1063" s="15" t="s">
        <v>87</v>
      </c>
      <c r="B1063" s="11"/>
      <c r="C1063" s="100"/>
      <c r="D1063" s="100"/>
      <c r="E1063" s="100"/>
      <c r="F1063" s="101"/>
      <c r="G1063" s="102">
        <f t="shared" si="310"/>
        <v>0</v>
      </c>
      <c r="H1063" s="58"/>
      <c r="I1063" s="38" t="s">
        <v>86</v>
      </c>
      <c r="J1063" s="11"/>
      <c r="K1063" s="100"/>
      <c r="L1063" s="100"/>
      <c r="M1063" s="100"/>
      <c r="N1063" s="101"/>
      <c r="O1063" s="102">
        <f t="shared" si="312"/>
        <v>0</v>
      </c>
    </row>
    <row r="1064" spans="1:16" ht="14.25" thickBot="1" x14ac:dyDescent="0.2">
      <c r="A1064" s="72" t="s">
        <v>7</v>
      </c>
      <c r="B1064" s="73">
        <f>SUM(B1055:B1063)</f>
        <v>8</v>
      </c>
      <c r="C1064" s="74">
        <f t="shared" ref="C1064:G1064" si="313">SUM(C1055:C1063)</f>
        <v>16</v>
      </c>
      <c r="D1064" s="74">
        <f t="shared" si="313"/>
        <v>13</v>
      </c>
      <c r="E1064" s="74">
        <f t="shared" si="313"/>
        <v>6</v>
      </c>
      <c r="F1064" s="105">
        <f t="shared" si="313"/>
        <v>7</v>
      </c>
      <c r="G1064" s="76">
        <f t="shared" si="313"/>
        <v>50</v>
      </c>
      <c r="H1064" s="56"/>
      <c r="I1064" s="72" t="s">
        <v>7</v>
      </c>
      <c r="J1064" s="73">
        <f>SUM(J1055:J1063)</f>
        <v>158</v>
      </c>
      <c r="K1064" s="74">
        <f t="shared" ref="K1064:O1064" si="314">SUM(K1055:K1063)</f>
        <v>59</v>
      </c>
      <c r="L1064" s="74">
        <f t="shared" si="314"/>
        <v>76</v>
      </c>
      <c r="M1064" s="74">
        <f t="shared" si="314"/>
        <v>41</v>
      </c>
      <c r="N1064" s="105">
        <f t="shared" si="314"/>
        <v>54</v>
      </c>
      <c r="O1064" s="76">
        <f t="shared" si="314"/>
        <v>388</v>
      </c>
    </row>
    <row r="1065" spans="1:16" x14ac:dyDescent="0.15">
      <c r="A1065" s="14" t="s">
        <v>117</v>
      </c>
      <c r="B1065" s="11">
        <v>1</v>
      </c>
      <c r="C1065" s="12"/>
      <c r="D1065" s="12">
        <v>1</v>
      </c>
      <c r="E1065" s="12"/>
      <c r="F1065" s="31"/>
      <c r="G1065" s="18">
        <f t="shared" ref="G1065:G1090" si="315">SUM(B1065:F1065)</f>
        <v>2</v>
      </c>
      <c r="H1065" s="58">
        <v>44530</v>
      </c>
      <c r="I1065" s="14" t="s">
        <v>8</v>
      </c>
      <c r="J1065" s="8"/>
      <c r="K1065" s="10"/>
      <c r="L1065" s="10"/>
      <c r="M1065" s="10">
        <v>10</v>
      </c>
      <c r="N1065" s="28"/>
      <c r="O1065" s="9">
        <f t="shared" ref="O1065:O1082" si="316">SUM(J1065:N1065)</f>
        <v>10</v>
      </c>
      <c r="P1065" s="58">
        <v>44533</v>
      </c>
    </row>
    <row r="1066" spans="1:16" x14ac:dyDescent="0.15">
      <c r="A1066" s="14" t="s">
        <v>713</v>
      </c>
      <c r="B1066" s="8"/>
      <c r="C1066" s="10">
        <v>1</v>
      </c>
      <c r="D1066" s="10"/>
      <c r="E1066" s="10"/>
      <c r="F1066" s="30"/>
      <c r="G1066" s="7">
        <f t="shared" si="315"/>
        <v>1</v>
      </c>
      <c r="H1066" s="58">
        <v>44550</v>
      </c>
      <c r="I1066" s="14" t="s">
        <v>8</v>
      </c>
      <c r="J1066" s="8"/>
      <c r="K1066" s="10"/>
      <c r="L1066" s="10">
        <v>10</v>
      </c>
      <c r="M1066" s="10"/>
      <c r="N1066" s="30"/>
      <c r="O1066" s="7">
        <f t="shared" si="316"/>
        <v>10</v>
      </c>
      <c r="P1066" s="58">
        <v>44543</v>
      </c>
    </row>
    <row r="1067" spans="1:16" x14ac:dyDescent="0.15">
      <c r="A1067" s="14" t="s">
        <v>713</v>
      </c>
      <c r="B1067" s="8"/>
      <c r="C1067" s="10"/>
      <c r="D1067" s="10">
        <v>1</v>
      </c>
      <c r="E1067" s="10"/>
      <c r="F1067" s="30"/>
      <c r="G1067" s="7">
        <f t="shared" si="315"/>
        <v>1</v>
      </c>
      <c r="H1067" s="58">
        <v>44553</v>
      </c>
      <c r="I1067" s="15" t="s">
        <v>1453</v>
      </c>
      <c r="J1067" s="8"/>
      <c r="K1067" s="10"/>
      <c r="L1067" s="10">
        <v>5</v>
      </c>
      <c r="M1067" s="10"/>
      <c r="N1067" s="30"/>
      <c r="O1067" s="7">
        <f t="shared" si="316"/>
        <v>5</v>
      </c>
      <c r="P1067" s="58">
        <v>44558</v>
      </c>
    </row>
    <row r="1068" spans="1:16" x14ac:dyDescent="0.15">
      <c r="A1068" s="14" t="s">
        <v>117</v>
      </c>
      <c r="B1068" s="8">
        <v>1</v>
      </c>
      <c r="C1068" s="10"/>
      <c r="D1068" s="10">
        <v>1</v>
      </c>
      <c r="E1068" s="10"/>
      <c r="F1068" s="30"/>
      <c r="G1068" s="7">
        <f t="shared" si="315"/>
        <v>2</v>
      </c>
      <c r="H1068" s="58">
        <v>44558</v>
      </c>
      <c r="I1068" s="14" t="s">
        <v>8</v>
      </c>
      <c r="J1068" s="8"/>
      <c r="K1068" s="10"/>
      <c r="L1068" s="10"/>
      <c r="M1068" s="10"/>
      <c r="N1068" s="30">
        <v>10</v>
      </c>
      <c r="O1068" s="7">
        <f t="shared" si="316"/>
        <v>10</v>
      </c>
      <c r="P1068" s="58">
        <v>44573</v>
      </c>
    </row>
    <row r="1069" spans="1:16" x14ac:dyDescent="0.15">
      <c r="A1069" s="14" t="s">
        <v>713</v>
      </c>
      <c r="B1069" s="37"/>
      <c r="C1069" s="35"/>
      <c r="D1069" s="35">
        <v>1</v>
      </c>
      <c r="E1069" s="35"/>
      <c r="F1069" s="28"/>
      <c r="G1069" s="7">
        <f t="shared" si="315"/>
        <v>1</v>
      </c>
      <c r="H1069" s="58">
        <v>44557</v>
      </c>
      <c r="I1069" s="15" t="s">
        <v>24</v>
      </c>
      <c r="J1069" s="8">
        <v>3</v>
      </c>
      <c r="K1069" s="10"/>
      <c r="L1069" s="10"/>
      <c r="M1069" s="10"/>
      <c r="N1069" s="30"/>
      <c r="O1069" s="7">
        <f t="shared" si="316"/>
        <v>3</v>
      </c>
      <c r="P1069" s="58">
        <v>44588</v>
      </c>
    </row>
    <row r="1070" spans="1:16" x14ac:dyDescent="0.15">
      <c r="A1070" s="14" t="s">
        <v>1454</v>
      </c>
      <c r="B1070" s="8"/>
      <c r="C1070" s="10">
        <v>1</v>
      </c>
      <c r="D1070" s="10">
        <v>-1</v>
      </c>
      <c r="E1070" s="10"/>
      <c r="F1070" s="30"/>
      <c r="G1070" s="7">
        <f t="shared" si="315"/>
        <v>0</v>
      </c>
      <c r="H1070" s="58">
        <v>44567</v>
      </c>
      <c r="I1070" s="15" t="s">
        <v>24</v>
      </c>
      <c r="J1070" s="8"/>
      <c r="K1070" s="10">
        <v>5</v>
      </c>
      <c r="L1070" s="10"/>
      <c r="M1070" s="10"/>
      <c r="N1070" s="30"/>
      <c r="O1070" s="7">
        <f t="shared" si="316"/>
        <v>5</v>
      </c>
      <c r="P1070" s="58">
        <v>44617</v>
      </c>
    </row>
    <row r="1071" spans="1:16" x14ac:dyDescent="0.15">
      <c r="A1071" s="14" t="s">
        <v>713</v>
      </c>
      <c r="B1071" s="8"/>
      <c r="C1071" s="10">
        <v>1</v>
      </c>
      <c r="D1071" s="10"/>
      <c r="E1071" s="10"/>
      <c r="F1071" s="30"/>
      <c r="G1071" s="7">
        <f t="shared" si="315"/>
        <v>1</v>
      </c>
      <c r="H1071" s="58">
        <v>44568</v>
      </c>
      <c r="I1071" s="14" t="s">
        <v>8</v>
      </c>
      <c r="J1071" s="8"/>
      <c r="K1071" s="10"/>
      <c r="L1071" s="10"/>
      <c r="M1071" s="10">
        <v>10</v>
      </c>
      <c r="N1071" s="30"/>
      <c r="O1071" s="7">
        <f t="shared" si="316"/>
        <v>10</v>
      </c>
      <c r="P1071" s="58">
        <v>44627</v>
      </c>
    </row>
    <row r="1072" spans="1:16" x14ac:dyDescent="0.15">
      <c r="A1072" s="14" t="s">
        <v>713</v>
      </c>
      <c r="B1072" s="8">
        <v>1</v>
      </c>
      <c r="C1072" s="10"/>
      <c r="D1072" s="10">
        <v>2</v>
      </c>
      <c r="E1072" s="10"/>
      <c r="F1072" s="30"/>
      <c r="G1072" s="7">
        <f t="shared" si="315"/>
        <v>3</v>
      </c>
      <c r="H1072" s="58">
        <v>44572</v>
      </c>
      <c r="I1072" s="14" t="s">
        <v>117</v>
      </c>
      <c r="J1072" s="8"/>
      <c r="K1072" s="10">
        <v>1</v>
      </c>
      <c r="L1072" s="10"/>
      <c r="M1072" s="10"/>
      <c r="N1072" s="30"/>
      <c r="O1072" s="7">
        <f t="shared" si="316"/>
        <v>1</v>
      </c>
      <c r="P1072" s="58">
        <v>44643</v>
      </c>
    </row>
    <row r="1073" spans="1:16" x14ac:dyDescent="0.15">
      <c r="A1073" s="14" t="s">
        <v>713</v>
      </c>
      <c r="B1073" s="8">
        <v>1</v>
      </c>
      <c r="C1073" s="10">
        <v>1</v>
      </c>
      <c r="D1073" s="10"/>
      <c r="E1073" s="10"/>
      <c r="F1073" s="30"/>
      <c r="G1073" s="7">
        <f t="shared" si="315"/>
        <v>2</v>
      </c>
      <c r="H1073" s="58">
        <v>44578</v>
      </c>
      <c r="I1073" s="14" t="s">
        <v>8</v>
      </c>
      <c r="J1073" s="8"/>
      <c r="K1073" s="10">
        <v>10</v>
      </c>
      <c r="L1073" s="10"/>
      <c r="M1073" s="10"/>
      <c r="N1073" s="30"/>
      <c r="O1073" s="7">
        <f t="shared" si="316"/>
        <v>10</v>
      </c>
      <c r="P1073" s="58">
        <v>44659</v>
      </c>
    </row>
    <row r="1074" spans="1:16" x14ac:dyDescent="0.15">
      <c r="A1074" s="14" t="s">
        <v>713</v>
      </c>
      <c r="B1074" s="11">
        <v>1</v>
      </c>
      <c r="C1074" s="12"/>
      <c r="D1074" s="12"/>
      <c r="E1074" s="12"/>
      <c r="F1074" s="31"/>
      <c r="G1074" s="7">
        <f t="shared" si="315"/>
        <v>1</v>
      </c>
      <c r="H1074" s="58">
        <v>44585</v>
      </c>
      <c r="I1074" s="15" t="s">
        <v>24</v>
      </c>
      <c r="J1074" s="8"/>
      <c r="K1074" s="10"/>
      <c r="L1074" s="10">
        <v>3</v>
      </c>
      <c r="M1074" s="10"/>
      <c r="N1074" s="30">
        <v>3</v>
      </c>
      <c r="O1074" s="7">
        <f t="shared" si="316"/>
        <v>6</v>
      </c>
      <c r="P1074" s="58">
        <v>44664</v>
      </c>
    </row>
    <row r="1075" spans="1:16" x14ac:dyDescent="0.15">
      <c r="A1075" s="14" t="s">
        <v>1155</v>
      </c>
      <c r="B1075" s="8"/>
      <c r="C1075" s="10">
        <v>5</v>
      </c>
      <c r="D1075" s="10"/>
      <c r="E1075" s="10"/>
      <c r="F1075" s="30"/>
      <c r="G1075" s="7">
        <f t="shared" si="315"/>
        <v>5</v>
      </c>
      <c r="H1075" s="58">
        <v>44590</v>
      </c>
      <c r="I1075" s="14"/>
      <c r="J1075" s="8"/>
      <c r="K1075" s="10"/>
      <c r="L1075" s="10"/>
      <c r="M1075" s="10"/>
      <c r="N1075" s="30"/>
      <c r="O1075" s="7">
        <f t="shared" si="316"/>
        <v>0</v>
      </c>
      <c r="P1075" s="56"/>
    </row>
    <row r="1076" spans="1:16" x14ac:dyDescent="0.15">
      <c r="A1076" s="14" t="s">
        <v>1457</v>
      </c>
      <c r="B1076" s="8"/>
      <c r="C1076" s="10">
        <v>1</v>
      </c>
      <c r="D1076" s="10"/>
      <c r="E1076" s="10"/>
      <c r="F1076" s="30"/>
      <c r="G1076" s="7">
        <f t="shared" si="315"/>
        <v>1</v>
      </c>
      <c r="H1076" s="58">
        <v>44594</v>
      </c>
      <c r="I1076" s="14"/>
      <c r="J1076" s="8"/>
      <c r="K1076" s="10"/>
      <c r="L1076" s="10"/>
      <c r="M1076" s="10"/>
      <c r="N1076" s="30"/>
      <c r="O1076" s="7">
        <f t="shared" si="316"/>
        <v>0</v>
      </c>
      <c r="P1076" s="56"/>
    </row>
    <row r="1077" spans="1:16" x14ac:dyDescent="0.15">
      <c r="A1077" s="14" t="s">
        <v>713</v>
      </c>
      <c r="B1077" s="8"/>
      <c r="C1077" s="10">
        <v>1</v>
      </c>
      <c r="D1077" s="10"/>
      <c r="E1077" s="10"/>
      <c r="F1077" s="30"/>
      <c r="G1077" s="7">
        <f t="shared" si="315"/>
        <v>1</v>
      </c>
      <c r="H1077" s="58">
        <v>44592</v>
      </c>
      <c r="I1077" s="14"/>
      <c r="J1077" s="8"/>
      <c r="K1077" s="10"/>
      <c r="L1077" s="10"/>
      <c r="M1077" s="10"/>
      <c r="N1077" s="30"/>
      <c r="O1077" s="7">
        <f t="shared" si="316"/>
        <v>0</v>
      </c>
      <c r="P1077" s="56"/>
    </row>
    <row r="1078" spans="1:16" x14ac:dyDescent="0.15">
      <c r="A1078" s="14" t="s">
        <v>713</v>
      </c>
      <c r="B1078" s="8"/>
      <c r="C1078" s="10"/>
      <c r="D1078" s="10"/>
      <c r="E1078" s="10"/>
      <c r="F1078" s="30">
        <v>1</v>
      </c>
      <c r="G1078" s="7">
        <f t="shared" si="315"/>
        <v>1</v>
      </c>
      <c r="H1078" s="58">
        <v>44596</v>
      </c>
      <c r="I1078" s="14"/>
      <c r="J1078" s="8"/>
      <c r="K1078" s="10"/>
      <c r="L1078" s="10"/>
      <c r="M1078" s="10"/>
      <c r="N1078" s="30"/>
      <c r="O1078" s="7">
        <f t="shared" si="316"/>
        <v>0</v>
      </c>
      <c r="P1078" s="56"/>
    </row>
    <row r="1079" spans="1:16" x14ac:dyDescent="0.15">
      <c r="A1079" s="14" t="s">
        <v>713</v>
      </c>
      <c r="B1079" s="8">
        <v>1</v>
      </c>
      <c r="C1079" s="10"/>
      <c r="D1079" s="10">
        <v>1</v>
      </c>
      <c r="E1079" s="10"/>
      <c r="F1079" s="30"/>
      <c r="G1079" s="7">
        <f t="shared" si="315"/>
        <v>2</v>
      </c>
      <c r="H1079" s="58">
        <v>44606</v>
      </c>
      <c r="I1079" s="14"/>
      <c r="J1079" s="8"/>
      <c r="K1079" s="10"/>
      <c r="L1079" s="10"/>
      <c r="M1079" s="10"/>
      <c r="N1079" s="30"/>
      <c r="O1079" s="7">
        <f t="shared" si="316"/>
        <v>0</v>
      </c>
      <c r="P1079" s="56"/>
    </row>
    <row r="1080" spans="1:16" x14ac:dyDescent="0.15">
      <c r="A1080" s="14" t="s">
        <v>713</v>
      </c>
      <c r="B1080" s="8"/>
      <c r="C1080" s="10">
        <v>1</v>
      </c>
      <c r="D1080" s="10"/>
      <c r="E1080" s="10"/>
      <c r="F1080" s="30"/>
      <c r="G1080" s="7">
        <f t="shared" si="315"/>
        <v>1</v>
      </c>
      <c r="H1080" s="58">
        <v>44611</v>
      </c>
      <c r="I1080" s="16"/>
      <c r="J1080" s="8"/>
      <c r="K1080" s="10"/>
      <c r="L1080" s="10"/>
      <c r="M1080" s="10"/>
      <c r="N1080" s="30"/>
      <c r="O1080" s="7">
        <f t="shared" si="316"/>
        <v>0</v>
      </c>
      <c r="P1080" s="56"/>
    </row>
    <row r="1081" spans="1:16" x14ac:dyDescent="0.15">
      <c r="A1081" s="14" t="s">
        <v>713</v>
      </c>
      <c r="B1081" s="8"/>
      <c r="C1081" s="10">
        <v>1</v>
      </c>
      <c r="D1081" s="10"/>
      <c r="E1081" s="10"/>
      <c r="F1081" s="30"/>
      <c r="G1081" s="7">
        <f t="shared" si="315"/>
        <v>1</v>
      </c>
      <c r="H1081" s="58">
        <v>44616</v>
      </c>
      <c r="I1081" s="16"/>
      <c r="J1081" s="8"/>
      <c r="K1081" s="10"/>
      <c r="L1081" s="10"/>
      <c r="M1081" s="10"/>
      <c r="N1081" s="30"/>
      <c r="O1081" s="7">
        <f t="shared" si="316"/>
        <v>0</v>
      </c>
      <c r="P1081" s="56"/>
    </row>
    <row r="1082" spans="1:16" x14ac:dyDescent="0.15">
      <c r="A1082" s="14" t="s">
        <v>713</v>
      </c>
      <c r="B1082" s="8"/>
      <c r="C1082" s="10">
        <v>1</v>
      </c>
      <c r="D1082" s="10"/>
      <c r="E1082" s="10"/>
      <c r="F1082" s="30"/>
      <c r="G1082" s="7">
        <f t="shared" si="315"/>
        <v>1</v>
      </c>
      <c r="H1082" s="58">
        <v>44620</v>
      </c>
      <c r="I1082" s="16"/>
      <c r="J1082" s="11"/>
      <c r="K1082" s="12"/>
      <c r="L1082" s="12"/>
      <c r="M1082" s="12"/>
      <c r="N1082" s="31"/>
      <c r="O1082" s="7">
        <f t="shared" si="316"/>
        <v>0</v>
      </c>
      <c r="P1082" s="56"/>
    </row>
    <row r="1083" spans="1:16" x14ac:dyDescent="0.15">
      <c r="A1083" s="14" t="s">
        <v>713</v>
      </c>
      <c r="B1083" s="8">
        <v>1</v>
      </c>
      <c r="C1083" s="10"/>
      <c r="D1083" s="10"/>
      <c r="E1083" s="10"/>
      <c r="F1083" s="30"/>
      <c r="G1083" s="7">
        <f t="shared" si="315"/>
        <v>1</v>
      </c>
      <c r="H1083" s="58">
        <v>44625</v>
      </c>
      <c r="I1083" s="16"/>
      <c r="J1083" s="8"/>
      <c r="K1083" s="10"/>
      <c r="L1083" s="10"/>
      <c r="M1083" s="10"/>
      <c r="N1083" s="30"/>
      <c r="O1083" s="7">
        <f>SUM(J1083:N1083)</f>
        <v>0</v>
      </c>
      <c r="P1083" s="56"/>
    </row>
    <row r="1084" spans="1:16" x14ac:dyDescent="0.15">
      <c r="A1084" s="14" t="s">
        <v>713</v>
      </c>
      <c r="B1084" s="8"/>
      <c r="C1084" s="10"/>
      <c r="D1084" s="10"/>
      <c r="E1084" s="10">
        <v>1</v>
      </c>
      <c r="F1084" s="30"/>
      <c r="G1084" s="7">
        <f t="shared" si="315"/>
        <v>1</v>
      </c>
      <c r="H1084" s="58">
        <v>44636</v>
      </c>
      <c r="I1084" s="64"/>
      <c r="J1084" s="11"/>
      <c r="K1084" s="12"/>
      <c r="L1084" s="12"/>
      <c r="M1084" s="12"/>
      <c r="N1084" s="31"/>
      <c r="O1084" s="7">
        <f t="shared" ref="O1084:O1090" si="317">SUM(J1084:N1084)</f>
        <v>0</v>
      </c>
      <c r="P1084" s="56"/>
    </row>
    <row r="1085" spans="1:16" x14ac:dyDescent="0.15">
      <c r="A1085" s="14" t="s">
        <v>713</v>
      </c>
      <c r="B1085" s="8">
        <v>1</v>
      </c>
      <c r="C1085" s="10"/>
      <c r="D1085" s="10"/>
      <c r="E1085" s="10"/>
      <c r="F1085" s="30"/>
      <c r="G1085" s="7">
        <f t="shared" si="315"/>
        <v>1</v>
      </c>
      <c r="H1085" s="58">
        <v>44637</v>
      </c>
      <c r="I1085" s="14"/>
      <c r="J1085" s="8"/>
      <c r="K1085" s="10"/>
      <c r="L1085" s="10"/>
      <c r="M1085" s="10"/>
      <c r="N1085" s="30"/>
      <c r="O1085" s="7">
        <f t="shared" si="317"/>
        <v>0</v>
      </c>
      <c r="P1085" s="56"/>
    </row>
    <row r="1086" spans="1:16" x14ac:dyDescent="0.15">
      <c r="A1086" s="14" t="s">
        <v>713</v>
      </c>
      <c r="B1086" s="11"/>
      <c r="C1086" s="12"/>
      <c r="D1086" s="12"/>
      <c r="E1086" s="12"/>
      <c r="F1086" s="31">
        <v>1</v>
      </c>
      <c r="G1086" s="7">
        <f t="shared" si="315"/>
        <v>1</v>
      </c>
      <c r="H1086" s="58">
        <v>44657</v>
      </c>
      <c r="I1086" s="14"/>
      <c r="J1086" s="8"/>
      <c r="K1086" s="10"/>
      <c r="L1086" s="10"/>
      <c r="M1086" s="10"/>
      <c r="N1086" s="30"/>
      <c r="O1086" s="7">
        <f t="shared" si="317"/>
        <v>0</v>
      </c>
      <c r="P1086" s="56"/>
    </row>
    <row r="1087" spans="1:16" x14ac:dyDescent="0.15">
      <c r="A1087" s="14" t="s">
        <v>713</v>
      </c>
      <c r="B1087" s="8"/>
      <c r="C1087" s="10"/>
      <c r="D1087" s="10">
        <v>1</v>
      </c>
      <c r="E1087" s="10"/>
      <c r="F1087" s="30"/>
      <c r="G1087" s="7">
        <f t="shared" si="315"/>
        <v>1</v>
      </c>
      <c r="H1087" s="58">
        <v>44662</v>
      </c>
      <c r="I1087" s="14"/>
      <c r="J1087" s="8"/>
      <c r="K1087" s="10"/>
      <c r="L1087" s="10"/>
      <c r="M1087" s="10"/>
      <c r="N1087" s="30"/>
      <c r="O1087" s="7">
        <f t="shared" si="317"/>
        <v>0</v>
      </c>
      <c r="P1087" s="56"/>
    </row>
    <row r="1088" spans="1:16" x14ac:dyDescent="0.15">
      <c r="A1088" s="14" t="s">
        <v>713</v>
      </c>
      <c r="B1088" s="8"/>
      <c r="C1088" s="10"/>
      <c r="D1088" s="10"/>
      <c r="E1088" s="10">
        <v>1</v>
      </c>
      <c r="F1088" s="30"/>
      <c r="G1088" s="7">
        <f t="shared" si="315"/>
        <v>1</v>
      </c>
      <c r="H1088" s="58">
        <v>44663</v>
      </c>
      <c r="I1088" s="14"/>
      <c r="J1088" s="8"/>
      <c r="K1088" s="10"/>
      <c r="L1088" s="10"/>
      <c r="M1088" s="10"/>
      <c r="N1088" s="30"/>
      <c r="O1088" s="7">
        <f t="shared" si="317"/>
        <v>0</v>
      </c>
      <c r="P1088" s="56"/>
    </row>
    <row r="1089" spans="1:17" x14ac:dyDescent="0.15">
      <c r="A1089" s="14" t="s">
        <v>713</v>
      </c>
      <c r="B1089" s="8">
        <v>1</v>
      </c>
      <c r="C1089" s="10"/>
      <c r="D1089" s="10"/>
      <c r="E1089" s="10"/>
      <c r="F1089" s="30"/>
      <c r="G1089" s="7">
        <f t="shared" si="315"/>
        <v>1</v>
      </c>
      <c r="H1089" s="58">
        <v>44664</v>
      </c>
      <c r="I1089" s="14"/>
      <c r="J1089" s="8"/>
      <c r="K1089" s="10"/>
      <c r="L1089" s="10"/>
      <c r="M1089" s="10"/>
      <c r="N1089" s="30"/>
      <c r="O1089" s="7">
        <f t="shared" si="317"/>
        <v>0</v>
      </c>
      <c r="P1089" s="56"/>
    </row>
    <row r="1090" spans="1:17" ht="14.25" thickBot="1" x14ac:dyDescent="0.2">
      <c r="A1090" s="51"/>
      <c r="B1090" s="11"/>
      <c r="C1090" s="12"/>
      <c r="D1090" s="12"/>
      <c r="E1090" s="12"/>
      <c r="F1090" s="31"/>
      <c r="G1090" s="115">
        <f t="shared" si="315"/>
        <v>0</v>
      </c>
      <c r="H1090" s="58"/>
      <c r="I1090" s="14"/>
      <c r="J1090" s="8"/>
      <c r="K1090" s="10"/>
      <c r="L1090" s="10"/>
      <c r="M1090" s="10"/>
      <c r="N1090" s="30"/>
      <c r="O1090" s="7">
        <f t="shared" si="317"/>
        <v>0</v>
      </c>
      <c r="P1090" s="56"/>
    </row>
    <row r="1091" spans="1:17" ht="14.25" thickBot="1" x14ac:dyDescent="0.2">
      <c r="A1091" s="3" t="s">
        <v>11</v>
      </c>
      <c r="B1091" s="23">
        <f>SUM(B1065:B1090)</f>
        <v>9</v>
      </c>
      <c r="C1091" s="4">
        <f>SUM(C1065:C1090)</f>
        <v>14</v>
      </c>
      <c r="D1091" s="4">
        <f>SUM(D1065:D1090)</f>
        <v>7</v>
      </c>
      <c r="E1091" s="6">
        <f>SUM(E1065:E1090)</f>
        <v>2</v>
      </c>
      <c r="F1091" s="32">
        <f>SUM(F1065:F1090)</f>
        <v>2</v>
      </c>
      <c r="G1091" s="5">
        <f>SUM(B1091:F1091)</f>
        <v>34</v>
      </c>
      <c r="I1091" s="3" t="s">
        <v>11</v>
      </c>
      <c r="J1091" s="23">
        <f>SUM(J1065:J1090)</f>
        <v>3</v>
      </c>
      <c r="K1091" s="4">
        <f>SUM(K1065:K1090)</f>
        <v>16</v>
      </c>
      <c r="L1091" s="4">
        <f>SUM(L1065:L1090)</f>
        <v>18</v>
      </c>
      <c r="M1091" s="6">
        <f>SUM(M1065:M1090)</f>
        <v>20</v>
      </c>
      <c r="N1091" s="32">
        <f>SUM(N1065:N1090)</f>
        <v>13</v>
      </c>
      <c r="O1091" s="5">
        <f>SUM(J1091:N1091)</f>
        <v>70</v>
      </c>
    </row>
    <row r="1092" spans="1:17" ht="14.25" thickBot="1" x14ac:dyDescent="0.2">
      <c r="A1092" s="25" t="s">
        <v>12</v>
      </c>
      <c r="B1092" s="63">
        <f>B1064-B1091</f>
        <v>-1</v>
      </c>
      <c r="C1092" s="26">
        <f t="shared" ref="C1092:G1092" si="318">C1064-C1091</f>
        <v>2</v>
      </c>
      <c r="D1092" s="71">
        <f t="shared" si="318"/>
        <v>6</v>
      </c>
      <c r="E1092" s="26">
        <f t="shared" si="318"/>
        <v>4</v>
      </c>
      <c r="F1092" s="70">
        <f t="shared" si="318"/>
        <v>5</v>
      </c>
      <c r="G1092" s="27">
        <f t="shared" si="318"/>
        <v>16</v>
      </c>
      <c r="I1092" s="25" t="s">
        <v>12</v>
      </c>
      <c r="J1092" s="63">
        <f>J1064-J1091</f>
        <v>155</v>
      </c>
      <c r="K1092" s="26">
        <f t="shared" ref="K1092:O1092" si="319">K1064-K1091</f>
        <v>43</v>
      </c>
      <c r="L1092" s="71">
        <f t="shared" si="319"/>
        <v>58</v>
      </c>
      <c r="M1092" s="26">
        <f t="shared" si="319"/>
        <v>21</v>
      </c>
      <c r="N1092" s="70">
        <f t="shared" si="319"/>
        <v>41</v>
      </c>
      <c r="O1092" s="27">
        <f t="shared" si="319"/>
        <v>318</v>
      </c>
    </row>
    <row r="1093" spans="1:17" ht="17.25" x14ac:dyDescent="0.2">
      <c r="A1093" s="79" t="s">
        <v>391</v>
      </c>
      <c r="B1093" s="80"/>
      <c r="C1093" s="80"/>
      <c r="D1093" s="80"/>
      <c r="E1093" s="80"/>
      <c r="F1093" s="80"/>
      <c r="G1093" s="80"/>
      <c r="H1093" s="56"/>
      <c r="I1093" s="79" t="s">
        <v>391</v>
      </c>
      <c r="J1093" s="80"/>
      <c r="K1093" s="80"/>
      <c r="L1093" s="80"/>
      <c r="M1093" s="80"/>
      <c r="N1093" s="80"/>
      <c r="O1093" s="1"/>
    </row>
    <row r="1094" spans="1:17" ht="21.75" thickBot="1" x14ac:dyDescent="0.25">
      <c r="A1094" s="82" t="s">
        <v>390</v>
      </c>
      <c r="B1094" s="80"/>
      <c r="C1094" s="80"/>
      <c r="D1094" s="80"/>
      <c r="E1094" s="81" t="s">
        <v>53</v>
      </c>
      <c r="F1094" s="80"/>
      <c r="G1094" s="80"/>
      <c r="H1094" s="56"/>
      <c r="I1094" s="82" t="s">
        <v>390</v>
      </c>
      <c r="J1094" s="80"/>
      <c r="K1094" s="80"/>
      <c r="L1094" s="80"/>
      <c r="M1094" s="81" t="s">
        <v>393</v>
      </c>
      <c r="N1094" s="80"/>
      <c r="O1094" s="1"/>
    </row>
    <row r="1095" spans="1:17" ht="14.25" thickBot="1" x14ac:dyDescent="0.2">
      <c r="A1095" s="13" t="s">
        <v>0</v>
      </c>
      <c r="B1095" s="228" t="s">
        <v>392</v>
      </c>
      <c r="C1095" s="229"/>
      <c r="D1095" s="229"/>
      <c r="E1095" s="229"/>
      <c r="F1095" s="230"/>
      <c r="G1095" s="231"/>
      <c r="H1095" s="56"/>
      <c r="I1095" s="13" t="s">
        <v>0</v>
      </c>
      <c r="J1095" s="228" t="s">
        <v>392</v>
      </c>
      <c r="K1095" s="229"/>
      <c r="L1095" s="229"/>
      <c r="M1095" s="229"/>
      <c r="N1095" s="230"/>
      <c r="O1095" s="231"/>
    </row>
    <row r="1096" spans="1:17" ht="14.25" thickBot="1" x14ac:dyDescent="0.2">
      <c r="A1096" s="3" t="s">
        <v>1</v>
      </c>
      <c r="B1096" s="2" t="s">
        <v>42</v>
      </c>
      <c r="C1096" s="21" t="s">
        <v>43</v>
      </c>
      <c r="D1096" s="21" t="s">
        <v>44</v>
      </c>
      <c r="E1096" s="24" t="s">
        <v>45</v>
      </c>
      <c r="F1096" s="33" t="s">
        <v>46</v>
      </c>
      <c r="G1096" s="34" t="s">
        <v>2</v>
      </c>
      <c r="H1096" s="56"/>
      <c r="I1096" s="3" t="s">
        <v>1</v>
      </c>
      <c r="J1096" s="41" t="s">
        <v>42</v>
      </c>
      <c r="K1096" s="42" t="s">
        <v>43</v>
      </c>
      <c r="L1096" s="42" t="s">
        <v>44</v>
      </c>
      <c r="M1096" s="43" t="s">
        <v>45</v>
      </c>
      <c r="N1096" s="44" t="s">
        <v>46</v>
      </c>
      <c r="O1096" s="3" t="s">
        <v>2</v>
      </c>
    </row>
    <row r="1097" spans="1:17" ht="14.25" thickBot="1" x14ac:dyDescent="0.2">
      <c r="A1097" s="72" t="s">
        <v>456</v>
      </c>
      <c r="B1097" s="73">
        <f>B1092</f>
        <v>-1</v>
      </c>
      <c r="C1097" s="74">
        <f t="shared" ref="C1097:F1097" si="320">C1092</f>
        <v>2</v>
      </c>
      <c r="D1097" s="74">
        <f t="shared" si="320"/>
        <v>6</v>
      </c>
      <c r="E1097" s="74">
        <f t="shared" si="320"/>
        <v>4</v>
      </c>
      <c r="F1097" s="105">
        <f t="shared" si="320"/>
        <v>5</v>
      </c>
      <c r="G1097" s="131">
        <f t="shared" ref="G1097:G1105" si="321">SUM(B1097:F1097)</f>
        <v>16</v>
      </c>
      <c r="H1097" s="56"/>
      <c r="I1097" s="72" t="s">
        <v>456</v>
      </c>
      <c r="J1097" s="73">
        <f>J1092</f>
        <v>155</v>
      </c>
      <c r="K1097" s="74">
        <f t="shared" ref="K1097:N1097" si="322">K1092</f>
        <v>43</v>
      </c>
      <c r="L1097" s="74">
        <f t="shared" si="322"/>
        <v>58</v>
      </c>
      <c r="M1097" s="74">
        <f t="shared" si="322"/>
        <v>21</v>
      </c>
      <c r="N1097" s="105">
        <f t="shared" si="322"/>
        <v>41</v>
      </c>
      <c r="O1097" s="131">
        <f t="shared" ref="O1097:O1105" si="323">SUM(J1097:N1097)</f>
        <v>318</v>
      </c>
    </row>
    <row r="1098" spans="1:17" x14ac:dyDescent="0.15">
      <c r="A1098" s="15" t="s">
        <v>3</v>
      </c>
      <c r="B1098" s="8">
        <v>3</v>
      </c>
      <c r="C1098" s="10">
        <v>5</v>
      </c>
      <c r="D1098" s="10">
        <v>3</v>
      </c>
      <c r="E1098" s="10">
        <v>3</v>
      </c>
      <c r="F1098" s="28"/>
      <c r="G1098" s="9">
        <f t="shared" si="321"/>
        <v>14</v>
      </c>
      <c r="H1098" s="58">
        <v>44699</v>
      </c>
      <c r="I1098" s="38" t="s">
        <v>14</v>
      </c>
      <c r="J1098" s="37"/>
      <c r="K1098" s="35"/>
      <c r="L1098" s="35"/>
      <c r="M1098" s="35"/>
      <c r="N1098" s="28"/>
      <c r="O1098" s="7">
        <f t="shared" si="323"/>
        <v>0</v>
      </c>
    </row>
    <row r="1099" spans="1:17" x14ac:dyDescent="0.15">
      <c r="A1099" s="15" t="s">
        <v>4</v>
      </c>
      <c r="B1099" s="8"/>
      <c r="C1099" s="10"/>
      <c r="D1099" s="10"/>
      <c r="E1099" s="10">
        <v>3</v>
      </c>
      <c r="F1099" s="28"/>
      <c r="G1099" s="9">
        <f t="shared" si="321"/>
        <v>3</v>
      </c>
      <c r="H1099" s="58">
        <v>44702</v>
      </c>
      <c r="I1099" s="38" t="s">
        <v>3</v>
      </c>
      <c r="J1099" s="8"/>
      <c r="K1099" s="10"/>
      <c r="L1099" s="10"/>
      <c r="M1099" s="10"/>
      <c r="N1099" s="28"/>
      <c r="O1099" s="9">
        <f t="shared" si="323"/>
        <v>0</v>
      </c>
    </row>
    <row r="1100" spans="1:17" x14ac:dyDescent="0.15">
      <c r="A1100" s="15" t="s">
        <v>5</v>
      </c>
      <c r="B1100" s="8"/>
      <c r="C1100" s="10"/>
      <c r="D1100" s="10">
        <v>3</v>
      </c>
      <c r="E1100" s="10"/>
      <c r="F1100" s="28">
        <v>3</v>
      </c>
      <c r="G1100" s="9">
        <f t="shared" si="321"/>
        <v>6</v>
      </c>
      <c r="H1100" s="58">
        <v>44718</v>
      </c>
      <c r="I1100" s="38" t="s">
        <v>4</v>
      </c>
      <c r="J1100" s="8"/>
      <c r="K1100" s="10"/>
      <c r="L1100" s="10"/>
      <c r="M1100" s="10"/>
      <c r="N1100" s="30"/>
      <c r="O1100" s="7">
        <f t="shared" si="323"/>
        <v>0</v>
      </c>
      <c r="P1100" s="56"/>
      <c r="Q1100" s="56"/>
    </row>
    <row r="1101" spans="1:17" x14ac:dyDescent="0.15">
      <c r="A1101" s="15" t="s">
        <v>6</v>
      </c>
      <c r="B1101" s="8">
        <v>5</v>
      </c>
      <c r="C1101" s="10">
        <v>3</v>
      </c>
      <c r="D1101" s="10"/>
      <c r="E1101" s="10"/>
      <c r="F1101" s="28"/>
      <c r="G1101" s="9">
        <f t="shared" si="321"/>
        <v>8</v>
      </c>
      <c r="H1101" s="58">
        <v>44744</v>
      </c>
      <c r="I1101" s="38" t="s">
        <v>5</v>
      </c>
      <c r="J1101" s="8"/>
      <c r="K1101" s="10"/>
      <c r="L1101" s="10"/>
      <c r="M1101" s="10"/>
      <c r="N1101" s="28"/>
      <c r="O1101" s="9">
        <f t="shared" si="323"/>
        <v>0</v>
      </c>
    </row>
    <row r="1102" spans="1:17" x14ac:dyDescent="0.15">
      <c r="A1102" s="15" t="s">
        <v>84</v>
      </c>
      <c r="B1102" s="8"/>
      <c r="C1102" s="10"/>
      <c r="D1102" s="10"/>
      <c r="E1102" s="10"/>
      <c r="F1102" s="30"/>
      <c r="G1102" s="7">
        <f t="shared" si="321"/>
        <v>0</v>
      </c>
      <c r="H1102" s="58"/>
      <c r="I1102" s="38" t="s">
        <v>6</v>
      </c>
      <c r="J1102" s="8"/>
      <c r="K1102" s="10"/>
      <c r="L1102" s="10"/>
      <c r="M1102" s="10"/>
      <c r="N1102" s="30"/>
      <c r="O1102" s="7">
        <f t="shared" si="323"/>
        <v>0</v>
      </c>
    </row>
    <row r="1103" spans="1:17" x14ac:dyDescent="0.15">
      <c r="A1103" s="15" t="s">
        <v>85</v>
      </c>
      <c r="B1103" s="8"/>
      <c r="C1103" s="10"/>
      <c r="D1103" s="10"/>
      <c r="E1103" s="10"/>
      <c r="F1103" s="30"/>
      <c r="G1103" s="7">
        <f t="shared" si="321"/>
        <v>0</v>
      </c>
      <c r="H1103" s="58"/>
      <c r="I1103" s="38" t="s">
        <v>84</v>
      </c>
      <c r="J1103" s="8"/>
      <c r="K1103" s="10"/>
      <c r="L1103" s="10"/>
      <c r="M1103" s="10"/>
      <c r="N1103" s="30"/>
      <c r="O1103" s="7">
        <f t="shared" si="323"/>
        <v>0</v>
      </c>
    </row>
    <row r="1104" spans="1:17" x14ac:dyDescent="0.15">
      <c r="A1104" s="15" t="s">
        <v>86</v>
      </c>
      <c r="B1104" s="11"/>
      <c r="C1104" s="100"/>
      <c r="D1104" s="100"/>
      <c r="E1104" s="100"/>
      <c r="F1104" s="101"/>
      <c r="G1104" s="102">
        <f t="shared" si="321"/>
        <v>0</v>
      </c>
      <c r="H1104" s="58"/>
      <c r="I1104" s="38" t="s">
        <v>85</v>
      </c>
      <c r="J1104" s="8"/>
      <c r="K1104" s="10"/>
      <c r="L1104" s="10"/>
      <c r="M1104" s="10"/>
      <c r="N1104" s="30"/>
      <c r="O1104" s="7">
        <f t="shared" si="323"/>
        <v>0</v>
      </c>
    </row>
    <row r="1105" spans="1:17" ht="14.25" thickBot="1" x14ac:dyDescent="0.2">
      <c r="A1105" s="15" t="s">
        <v>87</v>
      </c>
      <c r="B1105" s="11"/>
      <c r="C1105" s="100"/>
      <c r="D1105" s="100"/>
      <c r="E1105" s="100"/>
      <c r="F1105" s="101"/>
      <c r="G1105" s="102">
        <f t="shared" si="321"/>
        <v>0</v>
      </c>
      <c r="H1105" s="58"/>
      <c r="I1105" s="38" t="s">
        <v>86</v>
      </c>
      <c r="J1105" s="11"/>
      <c r="K1105" s="100"/>
      <c r="L1105" s="100"/>
      <c r="M1105" s="100"/>
      <c r="N1105" s="101"/>
      <c r="O1105" s="102">
        <f t="shared" si="323"/>
        <v>0</v>
      </c>
    </row>
    <row r="1106" spans="1:17" ht="14.25" thickBot="1" x14ac:dyDescent="0.2">
      <c r="A1106" s="72" t="s">
        <v>7</v>
      </c>
      <c r="B1106" s="73">
        <f>SUM(B1097:B1105)</f>
        <v>7</v>
      </c>
      <c r="C1106" s="74">
        <f t="shared" ref="C1106:G1106" si="324">SUM(C1097:C1105)</f>
        <v>10</v>
      </c>
      <c r="D1106" s="74">
        <f t="shared" si="324"/>
        <v>12</v>
      </c>
      <c r="E1106" s="74">
        <f t="shared" si="324"/>
        <v>10</v>
      </c>
      <c r="F1106" s="105">
        <f t="shared" si="324"/>
        <v>8</v>
      </c>
      <c r="G1106" s="76">
        <f t="shared" si="324"/>
        <v>47</v>
      </c>
      <c r="H1106" s="56"/>
      <c r="I1106" s="72" t="s">
        <v>7</v>
      </c>
      <c r="J1106" s="73">
        <f>SUM(J1097:J1105)</f>
        <v>155</v>
      </c>
      <c r="K1106" s="74">
        <f t="shared" ref="K1106:O1106" si="325">SUM(K1097:K1105)</f>
        <v>43</v>
      </c>
      <c r="L1106" s="74">
        <f t="shared" si="325"/>
        <v>58</v>
      </c>
      <c r="M1106" s="74">
        <f t="shared" si="325"/>
        <v>21</v>
      </c>
      <c r="N1106" s="105">
        <f t="shared" si="325"/>
        <v>41</v>
      </c>
      <c r="O1106" s="76">
        <f t="shared" si="325"/>
        <v>318</v>
      </c>
    </row>
    <row r="1107" spans="1:17" x14ac:dyDescent="0.15">
      <c r="A1107" s="14" t="s">
        <v>1461</v>
      </c>
      <c r="B1107" s="11"/>
      <c r="C1107" s="12">
        <v>1</v>
      </c>
      <c r="D1107" s="12"/>
      <c r="E1107" s="12"/>
      <c r="F1107" s="31"/>
      <c r="G1107" s="18">
        <f t="shared" ref="G1107:G1132" si="326">SUM(B1107:F1107)</f>
        <v>1</v>
      </c>
      <c r="H1107" s="58">
        <v>44670</v>
      </c>
      <c r="I1107" s="14" t="s">
        <v>8</v>
      </c>
      <c r="J1107" s="8"/>
      <c r="K1107" s="10"/>
      <c r="L1107" s="10">
        <v>10</v>
      </c>
      <c r="M1107" s="10"/>
      <c r="N1107" s="28"/>
      <c r="O1107" s="9">
        <f t="shared" ref="O1107:O1124" si="327">SUM(J1107:N1107)</f>
        <v>10</v>
      </c>
      <c r="P1107" s="58">
        <v>44700</v>
      </c>
    </row>
    <row r="1108" spans="1:17" x14ac:dyDescent="0.15">
      <c r="A1108" s="14" t="s">
        <v>117</v>
      </c>
      <c r="B1108" s="8">
        <v>1</v>
      </c>
      <c r="C1108" s="10"/>
      <c r="D1108" s="10"/>
      <c r="E1108" s="10"/>
      <c r="F1108" s="30"/>
      <c r="G1108" s="7">
        <f t="shared" si="326"/>
        <v>1</v>
      </c>
      <c r="H1108" s="58">
        <v>44673</v>
      </c>
      <c r="I1108" s="14" t="s">
        <v>1463</v>
      </c>
      <c r="J1108" s="8">
        <v>3</v>
      </c>
      <c r="K1108" s="10">
        <v>5</v>
      </c>
      <c r="L1108" s="10">
        <v>3</v>
      </c>
      <c r="M1108" s="10">
        <v>3</v>
      </c>
      <c r="N1108" s="30"/>
      <c r="O1108" s="7">
        <f t="shared" si="327"/>
        <v>14</v>
      </c>
      <c r="P1108" s="58">
        <v>44699</v>
      </c>
      <c r="Q1108" s="56"/>
    </row>
    <row r="1109" spans="1:17" x14ac:dyDescent="0.15">
      <c r="A1109" s="14" t="s">
        <v>1462</v>
      </c>
      <c r="B1109" s="8"/>
      <c r="C1109" s="10"/>
      <c r="D1109" s="10">
        <v>2</v>
      </c>
      <c r="E1109" s="10"/>
      <c r="F1109" s="30"/>
      <c r="G1109" s="7">
        <f t="shared" si="326"/>
        <v>2</v>
      </c>
      <c r="H1109" s="58">
        <v>44676</v>
      </c>
      <c r="I1109" s="14" t="s">
        <v>24</v>
      </c>
      <c r="J1109" s="8"/>
      <c r="K1109" s="10"/>
      <c r="L1109" s="10"/>
      <c r="M1109" s="10">
        <v>3</v>
      </c>
      <c r="N1109" s="30"/>
      <c r="O1109" s="7">
        <f t="shared" si="327"/>
        <v>3</v>
      </c>
      <c r="P1109" s="58">
        <v>44702</v>
      </c>
      <c r="Q1109" s="56"/>
    </row>
    <row r="1110" spans="1:17" x14ac:dyDescent="0.15">
      <c r="A1110" s="14" t="s">
        <v>29</v>
      </c>
      <c r="B1110" s="8"/>
      <c r="C1110" s="10"/>
      <c r="D1110" s="10">
        <v>1</v>
      </c>
      <c r="E1110" s="10"/>
      <c r="F1110" s="30"/>
      <c r="G1110" s="7">
        <f t="shared" si="326"/>
        <v>1</v>
      </c>
      <c r="H1110" s="58">
        <v>44683</v>
      </c>
      <c r="I1110" s="14" t="s">
        <v>8</v>
      </c>
      <c r="J1110" s="8"/>
      <c r="K1110" s="10"/>
      <c r="L1110" s="10"/>
      <c r="M1110" s="10"/>
      <c r="N1110" s="30">
        <v>10</v>
      </c>
      <c r="O1110" s="7">
        <f t="shared" si="327"/>
        <v>10</v>
      </c>
      <c r="P1110" s="58">
        <v>44720</v>
      </c>
    </row>
    <row r="1111" spans="1:17" x14ac:dyDescent="0.15">
      <c r="A1111" s="14" t="s">
        <v>117</v>
      </c>
      <c r="B1111" s="37"/>
      <c r="C1111" s="35"/>
      <c r="D1111" s="35"/>
      <c r="E1111" s="35">
        <v>1</v>
      </c>
      <c r="F1111" s="28"/>
      <c r="G1111" s="7">
        <f t="shared" si="326"/>
        <v>1</v>
      </c>
      <c r="H1111" s="58">
        <v>44688</v>
      </c>
      <c r="I1111" s="14" t="s">
        <v>24</v>
      </c>
      <c r="J1111" s="8"/>
      <c r="K1111" s="10"/>
      <c r="L1111" s="10">
        <v>3</v>
      </c>
      <c r="M1111" s="10"/>
      <c r="N1111" s="30">
        <v>3</v>
      </c>
      <c r="O1111" s="7">
        <f t="shared" si="327"/>
        <v>6</v>
      </c>
      <c r="P1111" s="58">
        <v>44718</v>
      </c>
    </row>
    <row r="1112" spans="1:17" x14ac:dyDescent="0.15">
      <c r="A1112" s="14" t="s">
        <v>29</v>
      </c>
      <c r="B1112" s="8"/>
      <c r="C1112" s="10">
        <f>2+1</f>
        <v>3</v>
      </c>
      <c r="D1112" s="10">
        <v>1</v>
      </c>
      <c r="E1112" s="10">
        <v>1</v>
      </c>
      <c r="F1112" s="30">
        <v>1</v>
      </c>
      <c r="G1112" s="7">
        <f t="shared" si="326"/>
        <v>6</v>
      </c>
      <c r="H1112" s="58">
        <v>44697</v>
      </c>
      <c r="I1112" s="14" t="s">
        <v>8</v>
      </c>
      <c r="J1112" s="8"/>
      <c r="K1112" s="10"/>
      <c r="L1112" s="10"/>
      <c r="M1112" s="10">
        <v>10</v>
      </c>
      <c r="N1112" s="30"/>
      <c r="O1112" s="7">
        <f t="shared" si="327"/>
        <v>10</v>
      </c>
      <c r="P1112" s="58">
        <v>44722</v>
      </c>
    </row>
    <row r="1113" spans="1:17" x14ac:dyDescent="0.15">
      <c r="A1113" s="14" t="s">
        <v>117</v>
      </c>
      <c r="B1113" s="8"/>
      <c r="C1113" s="10"/>
      <c r="D1113" s="10"/>
      <c r="E1113" s="10">
        <v>1</v>
      </c>
      <c r="F1113" s="30"/>
      <c r="G1113" s="7">
        <f t="shared" si="326"/>
        <v>1</v>
      </c>
      <c r="H1113" s="58">
        <v>44698</v>
      </c>
      <c r="I1113" s="14" t="s">
        <v>8</v>
      </c>
      <c r="J1113" s="8"/>
      <c r="K1113" s="10">
        <v>10</v>
      </c>
      <c r="L1113" s="10"/>
      <c r="M1113" s="10"/>
      <c r="N1113" s="30"/>
      <c r="O1113" s="7">
        <f t="shared" si="327"/>
        <v>10</v>
      </c>
      <c r="P1113" s="58">
        <v>44742</v>
      </c>
      <c r="Q1113" s="56"/>
    </row>
    <row r="1114" spans="1:17" x14ac:dyDescent="0.15">
      <c r="A1114" s="14" t="s">
        <v>29</v>
      </c>
      <c r="B1114" s="8"/>
      <c r="C1114" s="10"/>
      <c r="D1114" s="10"/>
      <c r="E1114" s="10">
        <v>2</v>
      </c>
      <c r="F1114" s="30"/>
      <c r="G1114" s="7">
        <f t="shared" si="326"/>
        <v>2</v>
      </c>
      <c r="H1114" s="58">
        <v>44699</v>
      </c>
      <c r="I1114" s="14" t="s">
        <v>24</v>
      </c>
      <c r="J1114" s="8">
        <v>5</v>
      </c>
      <c r="K1114" s="10">
        <v>3</v>
      </c>
      <c r="L1114" s="10"/>
      <c r="M1114" s="10"/>
      <c r="N1114" s="30"/>
      <c r="O1114" s="7">
        <f t="shared" si="327"/>
        <v>8</v>
      </c>
      <c r="P1114" s="58">
        <v>44744</v>
      </c>
    </row>
    <row r="1115" spans="1:17" x14ac:dyDescent="0.15">
      <c r="A1115" s="14" t="s">
        <v>117</v>
      </c>
      <c r="B1115" s="8"/>
      <c r="C1115" s="10"/>
      <c r="D1115" s="10">
        <v>1</v>
      </c>
      <c r="E1115" s="10"/>
      <c r="F1115" s="30"/>
      <c r="G1115" s="7">
        <f t="shared" si="326"/>
        <v>1</v>
      </c>
      <c r="H1115" s="58">
        <v>44701</v>
      </c>
      <c r="I1115" s="14"/>
      <c r="J1115" s="8"/>
      <c r="K1115" s="10"/>
      <c r="L1115" s="10"/>
      <c r="M1115" s="10"/>
      <c r="N1115" s="30"/>
      <c r="O1115" s="7">
        <f t="shared" si="327"/>
        <v>0</v>
      </c>
    </row>
    <row r="1116" spans="1:17" x14ac:dyDescent="0.15">
      <c r="A1116" s="14" t="s">
        <v>60</v>
      </c>
      <c r="B1116" s="11"/>
      <c r="C1116" s="12"/>
      <c r="D1116" s="12"/>
      <c r="E1116" s="12"/>
      <c r="F1116" s="31">
        <v>2</v>
      </c>
      <c r="G1116" s="7">
        <f t="shared" si="326"/>
        <v>2</v>
      </c>
      <c r="H1116" s="58">
        <v>44705</v>
      </c>
      <c r="I1116" s="14"/>
      <c r="J1116" s="11"/>
      <c r="K1116" s="12"/>
      <c r="L1116" s="12"/>
      <c r="M1116" s="12"/>
      <c r="N1116" s="31"/>
      <c r="O1116" s="7">
        <f t="shared" si="327"/>
        <v>0</v>
      </c>
    </row>
    <row r="1117" spans="1:17" x14ac:dyDescent="0.15">
      <c r="A1117" s="14" t="s">
        <v>29</v>
      </c>
      <c r="B1117" s="8"/>
      <c r="C1117" s="10"/>
      <c r="D1117" s="10"/>
      <c r="E1117" s="10"/>
      <c r="F1117" s="30">
        <v>1</v>
      </c>
      <c r="G1117" s="7">
        <f t="shared" si="326"/>
        <v>1</v>
      </c>
      <c r="H1117" s="58">
        <v>44708</v>
      </c>
      <c r="I1117" s="14"/>
      <c r="J1117" s="8"/>
      <c r="K1117" s="10"/>
      <c r="L1117" s="10"/>
      <c r="M1117" s="10"/>
      <c r="N1117" s="30"/>
      <c r="O1117" s="7">
        <f t="shared" si="327"/>
        <v>0</v>
      </c>
    </row>
    <row r="1118" spans="1:17" x14ac:dyDescent="0.15">
      <c r="A1118" s="14" t="s">
        <v>29</v>
      </c>
      <c r="B1118" s="8"/>
      <c r="C1118" s="10">
        <v>1</v>
      </c>
      <c r="D1118" s="10"/>
      <c r="E1118" s="10"/>
      <c r="F1118" s="30"/>
      <c r="G1118" s="7">
        <f t="shared" si="326"/>
        <v>1</v>
      </c>
      <c r="H1118" s="58">
        <v>44712</v>
      </c>
      <c r="I1118" s="14"/>
      <c r="J1118" s="8"/>
      <c r="K1118" s="10"/>
      <c r="L1118" s="10"/>
      <c r="M1118" s="10"/>
      <c r="N1118" s="30"/>
      <c r="O1118" s="7">
        <f t="shared" si="327"/>
        <v>0</v>
      </c>
    </row>
    <row r="1119" spans="1:17" x14ac:dyDescent="0.15">
      <c r="A1119" s="14" t="s">
        <v>29</v>
      </c>
      <c r="B1119" s="8"/>
      <c r="C1119" s="10"/>
      <c r="D1119" s="10">
        <v>2</v>
      </c>
      <c r="E1119" s="10">
        <v>1</v>
      </c>
      <c r="F1119" s="30"/>
      <c r="G1119" s="7">
        <f t="shared" si="326"/>
        <v>3</v>
      </c>
      <c r="H1119" s="58">
        <v>44714</v>
      </c>
      <c r="I1119" s="14"/>
      <c r="J1119" s="8"/>
      <c r="K1119" s="10"/>
      <c r="L1119" s="10"/>
      <c r="M1119" s="10"/>
      <c r="N1119" s="30"/>
      <c r="O1119" s="7">
        <f t="shared" si="327"/>
        <v>0</v>
      </c>
    </row>
    <row r="1120" spans="1:17" x14ac:dyDescent="0.15">
      <c r="A1120" s="14" t="s">
        <v>29</v>
      </c>
      <c r="B1120" s="8"/>
      <c r="C1120" s="10">
        <v>1</v>
      </c>
      <c r="D1120" s="10"/>
      <c r="E1120" s="10"/>
      <c r="F1120" s="30"/>
      <c r="G1120" s="7">
        <f t="shared" si="326"/>
        <v>1</v>
      </c>
      <c r="H1120" s="58">
        <v>44715</v>
      </c>
      <c r="I1120" s="14"/>
      <c r="J1120" s="8"/>
      <c r="K1120" s="10"/>
      <c r="L1120" s="10"/>
      <c r="M1120" s="10"/>
      <c r="N1120" s="30"/>
      <c r="O1120" s="7">
        <f t="shared" si="327"/>
        <v>0</v>
      </c>
    </row>
    <row r="1121" spans="1:15" x14ac:dyDescent="0.15">
      <c r="A1121" s="14" t="s">
        <v>29</v>
      </c>
      <c r="B1121" s="8"/>
      <c r="C1121" s="10"/>
      <c r="D1121" s="10"/>
      <c r="E1121" s="10"/>
      <c r="F1121" s="30">
        <v>1</v>
      </c>
      <c r="G1121" s="7">
        <f t="shared" si="326"/>
        <v>1</v>
      </c>
      <c r="H1121" s="58">
        <v>44716</v>
      </c>
      <c r="I1121" s="14"/>
      <c r="J1121" s="8"/>
      <c r="K1121" s="10"/>
      <c r="L1121" s="10"/>
      <c r="M1121" s="10"/>
      <c r="N1121" s="30"/>
      <c r="O1121" s="7">
        <f t="shared" si="327"/>
        <v>0</v>
      </c>
    </row>
    <row r="1122" spans="1:15" x14ac:dyDescent="0.15">
      <c r="A1122" s="14" t="s">
        <v>29</v>
      </c>
      <c r="B1122" s="8"/>
      <c r="C1122" s="10">
        <v>1</v>
      </c>
      <c r="D1122" s="10"/>
      <c r="E1122" s="10"/>
      <c r="F1122" s="30"/>
      <c r="G1122" s="7">
        <f t="shared" si="326"/>
        <v>1</v>
      </c>
      <c r="H1122" s="58">
        <v>44722</v>
      </c>
      <c r="I1122" s="16"/>
      <c r="J1122" s="8"/>
      <c r="K1122" s="10"/>
      <c r="L1122" s="10"/>
      <c r="M1122" s="10"/>
      <c r="N1122" s="30"/>
      <c r="O1122" s="7">
        <f t="shared" si="327"/>
        <v>0</v>
      </c>
    </row>
    <row r="1123" spans="1:15" x14ac:dyDescent="0.15">
      <c r="A1123" s="14" t="s">
        <v>29</v>
      </c>
      <c r="B1123" s="8"/>
      <c r="C1123" s="10"/>
      <c r="D1123" s="10">
        <v>1</v>
      </c>
      <c r="E1123" s="10"/>
      <c r="F1123" s="30"/>
      <c r="G1123" s="7">
        <f t="shared" si="326"/>
        <v>1</v>
      </c>
      <c r="H1123" s="58">
        <v>44725</v>
      </c>
      <c r="I1123" s="16"/>
      <c r="J1123" s="8"/>
      <c r="K1123" s="10"/>
      <c r="L1123" s="10"/>
      <c r="M1123" s="10"/>
      <c r="N1123" s="30"/>
      <c r="O1123" s="7">
        <f t="shared" si="327"/>
        <v>0</v>
      </c>
    </row>
    <row r="1124" spans="1:15" x14ac:dyDescent="0.15">
      <c r="A1124" s="14" t="s">
        <v>29</v>
      </c>
      <c r="B1124" s="8"/>
      <c r="C1124" s="10"/>
      <c r="D1124" s="10"/>
      <c r="E1124" s="10">
        <v>1</v>
      </c>
      <c r="F1124" s="30"/>
      <c r="G1124" s="7">
        <f t="shared" si="326"/>
        <v>1</v>
      </c>
      <c r="H1124" s="58">
        <v>44726</v>
      </c>
      <c r="I1124" s="16"/>
      <c r="J1124" s="11"/>
      <c r="K1124" s="12"/>
      <c r="L1124" s="12"/>
      <c r="M1124" s="12"/>
      <c r="N1124" s="31"/>
      <c r="O1124" s="7">
        <f t="shared" si="327"/>
        <v>0</v>
      </c>
    </row>
    <row r="1125" spans="1:15" x14ac:dyDescent="0.15">
      <c r="A1125" s="14" t="s">
        <v>29</v>
      </c>
      <c r="B1125" s="8"/>
      <c r="C1125" s="10">
        <v>1</v>
      </c>
      <c r="D1125" s="10"/>
      <c r="E1125" s="10"/>
      <c r="F1125" s="30"/>
      <c r="G1125" s="7">
        <f t="shared" si="326"/>
        <v>1</v>
      </c>
      <c r="H1125" s="58">
        <v>44732</v>
      </c>
      <c r="I1125" s="16"/>
      <c r="J1125" s="8"/>
      <c r="K1125" s="10"/>
      <c r="L1125" s="10"/>
      <c r="M1125" s="10"/>
      <c r="N1125" s="30"/>
      <c r="O1125" s="7">
        <f>SUM(J1125:N1125)</f>
        <v>0</v>
      </c>
    </row>
    <row r="1126" spans="1:15" x14ac:dyDescent="0.15">
      <c r="A1126" s="14" t="s">
        <v>29</v>
      </c>
      <c r="B1126" s="8">
        <v>1</v>
      </c>
      <c r="C1126" s="10"/>
      <c r="D1126" s="10"/>
      <c r="E1126" s="10"/>
      <c r="F1126" s="30"/>
      <c r="G1126" s="7">
        <f t="shared" si="326"/>
        <v>1</v>
      </c>
      <c r="H1126" s="58">
        <v>44733</v>
      </c>
      <c r="I1126" s="64"/>
      <c r="J1126" s="11"/>
      <c r="K1126" s="12"/>
      <c r="L1126" s="12"/>
      <c r="M1126" s="12"/>
      <c r="N1126" s="31"/>
      <c r="O1126" s="7">
        <f t="shared" ref="O1126:O1132" si="328">SUM(J1126:N1126)</f>
        <v>0</v>
      </c>
    </row>
    <row r="1127" spans="1:15" x14ac:dyDescent="0.15">
      <c r="A1127" s="14" t="s">
        <v>29</v>
      </c>
      <c r="B1127" s="8">
        <v>1</v>
      </c>
      <c r="C1127" s="10"/>
      <c r="D1127" s="10"/>
      <c r="E1127" s="10"/>
      <c r="F1127" s="30"/>
      <c r="G1127" s="7">
        <f t="shared" si="326"/>
        <v>1</v>
      </c>
      <c r="H1127" s="58">
        <v>44734</v>
      </c>
      <c r="I1127" s="14"/>
      <c r="J1127" s="8"/>
      <c r="K1127" s="10"/>
      <c r="L1127" s="10"/>
      <c r="M1127" s="10"/>
      <c r="N1127" s="30"/>
      <c r="O1127" s="7">
        <f t="shared" si="328"/>
        <v>0</v>
      </c>
    </row>
    <row r="1128" spans="1:15" x14ac:dyDescent="0.15">
      <c r="A1128" s="14" t="s">
        <v>29</v>
      </c>
      <c r="B1128" s="11">
        <v>1</v>
      </c>
      <c r="C1128" s="12"/>
      <c r="D1128" s="12"/>
      <c r="E1128" s="12"/>
      <c r="F1128" s="31"/>
      <c r="G1128" s="7">
        <f t="shared" si="326"/>
        <v>1</v>
      </c>
      <c r="H1128" s="58">
        <v>44739</v>
      </c>
      <c r="I1128" s="14"/>
      <c r="J1128" s="8"/>
      <c r="K1128" s="10"/>
      <c r="L1128" s="10"/>
      <c r="M1128" s="10"/>
      <c r="N1128" s="30"/>
      <c r="O1128" s="7">
        <f t="shared" si="328"/>
        <v>0</v>
      </c>
    </row>
    <row r="1129" spans="1:15" x14ac:dyDescent="0.15">
      <c r="A1129" s="14" t="s">
        <v>29</v>
      </c>
      <c r="B1129" s="8"/>
      <c r="C1129" s="10"/>
      <c r="D1129" s="10">
        <v>1</v>
      </c>
      <c r="E1129" s="10"/>
      <c r="F1129" s="30"/>
      <c r="G1129" s="7">
        <f t="shared" si="326"/>
        <v>1</v>
      </c>
      <c r="H1129" s="58">
        <v>44741</v>
      </c>
      <c r="I1129" s="14"/>
      <c r="J1129" s="8"/>
      <c r="K1129" s="10"/>
      <c r="L1129" s="10"/>
      <c r="M1129" s="10"/>
      <c r="N1129" s="30"/>
      <c r="O1129" s="7">
        <f t="shared" si="328"/>
        <v>0</v>
      </c>
    </row>
    <row r="1130" spans="1:15" x14ac:dyDescent="0.15">
      <c r="A1130" s="14" t="s">
        <v>29</v>
      </c>
      <c r="B1130" s="8"/>
      <c r="C1130" s="10"/>
      <c r="D1130" s="10"/>
      <c r="E1130" s="10">
        <v>1</v>
      </c>
      <c r="F1130" s="30"/>
      <c r="G1130" s="7">
        <f t="shared" si="326"/>
        <v>1</v>
      </c>
      <c r="H1130" s="58">
        <v>44741</v>
      </c>
      <c r="I1130" s="14"/>
      <c r="J1130" s="8"/>
      <c r="K1130" s="10"/>
      <c r="L1130" s="10"/>
      <c r="M1130" s="10"/>
      <c r="N1130" s="30"/>
      <c r="O1130" s="7">
        <f t="shared" si="328"/>
        <v>0</v>
      </c>
    </row>
    <row r="1131" spans="1:15" x14ac:dyDescent="0.15">
      <c r="A1131" s="14" t="s">
        <v>29</v>
      </c>
      <c r="B1131" s="8">
        <v>1</v>
      </c>
      <c r="C1131" s="10"/>
      <c r="D1131" s="10"/>
      <c r="E1131" s="10"/>
      <c r="F1131" s="30"/>
      <c r="G1131" s="7">
        <f t="shared" si="326"/>
        <v>1</v>
      </c>
      <c r="H1131" s="58">
        <v>44743</v>
      </c>
      <c r="I1131" s="14"/>
      <c r="J1131" s="8"/>
      <c r="K1131" s="10"/>
      <c r="L1131" s="10"/>
      <c r="M1131" s="10"/>
      <c r="N1131" s="30"/>
      <c r="O1131" s="7">
        <f t="shared" si="328"/>
        <v>0</v>
      </c>
    </row>
    <row r="1132" spans="1:15" ht="14.25" thickBot="1" x14ac:dyDescent="0.2">
      <c r="A1132" s="14" t="s">
        <v>29</v>
      </c>
      <c r="B1132" s="11"/>
      <c r="C1132" s="12"/>
      <c r="D1132" s="12">
        <v>1</v>
      </c>
      <c r="E1132" s="12"/>
      <c r="F1132" s="31"/>
      <c r="G1132" s="115">
        <f t="shared" si="326"/>
        <v>1</v>
      </c>
      <c r="H1132" s="58">
        <v>44744</v>
      </c>
      <c r="I1132" s="14"/>
      <c r="J1132" s="8"/>
      <c r="K1132" s="10"/>
      <c r="L1132" s="10"/>
      <c r="M1132" s="10"/>
      <c r="N1132" s="30"/>
      <c r="O1132" s="7">
        <f t="shared" si="328"/>
        <v>0</v>
      </c>
    </row>
    <row r="1133" spans="1:15" ht="14.25" thickBot="1" x14ac:dyDescent="0.2">
      <c r="A1133" s="3" t="s">
        <v>11</v>
      </c>
      <c r="B1133" s="23">
        <f>SUM(B1107:B1132)</f>
        <v>5</v>
      </c>
      <c r="C1133" s="4">
        <f>SUM(C1107:C1132)</f>
        <v>8</v>
      </c>
      <c r="D1133" s="4">
        <f>SUM(D1107:D1132)</f>
        <v>10</v>
      </c>
      <c r="E1133" s="6">
        <f>SUM(E1107:E1132)</f>
        <v>8</v>
      </c>
      <c r="F1133" s="32">
        <f>SUM(F1107:F1132)</f>
        <v>5</v>
      </c>
      <c r="G1133" s="5">
        <f>SUM(B1133:F1133)</f>
        <v>36</v>
      </c>
      <c r="I1133" s="3" t="s">
        <v>11</v>
      </c>
      <c r="J1133" s="23">
        <f>SUM(J1107:J1132)</f>
        <v>8</v>
      </c>
      <c r="K1133" s="4">
        <f>SUM(K1107:K1132)</f>
        <v>18</v>
      </c>
      <c r="L1133" s="4">
        <f>SUM(L1107:L1132)</f>
        <v>16</v>
      </c>
      <c r="M1133" s="6">
        <f>SUM(M1107:M1132)</f>
        <v>16</v>
      </c>
      <c r="N1133" s="32">
        <f>SUM(N1107:N1132)</f>
        <v>13</v>
      </c>
      <c r="O1133" s="5">
        <f>SUM(J1133:N1133)</f>
        <v>71</v>
      </c>
    </row>
    <row r="1134" spans="1:15" ht="14.25" thickBot="1" x14ac:dyDescent="0.2">
      <c r="A1134" s="25" t="s">
        <v>12</v>
      </c>
      <c r="B1134" s="63">
        <f>B1106-B1133</f>
        <v>2</v>
      </c>
      <c r="C1134" s="26">
        <f t="shared" ref="C1134:G1134" si="329">C1106-C1133</f>
        <v>2</v>
      </c>
      <c r="D1134" s="71">
        <f t="shared" si="329"/>
        <v>2</v>
      </c>
      <c r="E1134" s="26">
        <f t="shared" si="329"/>
        <v>2</v>
      </c>
      <c r="F1134" s="70">
        <f t="shared" si="329"/>
        <v>3</v>
      </c>
      <c r="G1134" s="27">
        <f t="shared" si="329"/>
        <v>11</v>
      </c>
      <c r="I1134" s="25" t="s">
        <v>12</v>
      </c>
      <c r="J1134" s="63">
        <f>J1106-J1133</f>
        <v>147</v>
      </c>
      <c r="K1134" s="26">
        <f t="shared" ref="K1134:O1134" si="330">K1106-K1133</f>
        <v>25</v>
      </c>
      <c r="L1134" s="71">
        <f t="shared" si="330"/>
        <v>42</v>
      </c>
      <c r="M1134" s="26">
        <f t="shared" si="330"/>
        <v>5</v>
      </c>
      <c r="N1134" s="70">
        <f t="shared" si="330"/>
        <v>28</v>
      </c>
      <c r="O1134" s="27">
        <f t="shared" si="330"/>
        <v>247</v>
      </c>
    </row>
    <row r="1135" spans="1:15" ht="17.25" x14ac:dyDescent="0.2">
      <c r="A1135" s="79" t="s">
        <v>391</v>
      </c>
      <c r="B1135" s="80"/>
      <c r="C1135" s="80"/>
      <c r="D1135" s="80"/>
      <c r="E1135" s="80"/>
      <c r="F1135" s="80"/>
      <c r="G1135" s="80"/>
      <c r="H1135" s="56"/>
      <c r="I1135" s="79" t="s">
        <v>391</v>
      </c>
      <c r="J1135" s="80"/>
      <c r="K1135" s="80"/>
      <c r="L1135" s="80"/>
      <c r="M1135" s="80"/>
      <c r="N1135" s="80"/>
      <c r="O1135" s="1"/>
    </row>
    <row r="1136" spans="1:15" ht="21.75" thickBot="1" x14ac:dyDescent="0.25">
      <c r="A1136" s="82" t="s">
        <v>390</v>
      </c>
      <c r="B1136" s="80"/>
      <c r="C1136" s="80"/>
      <c r="D1136" s="80"/>
      <c r="E1136" s="81" t="s">
        <v>53</v>
      </c>
      <c r="F1136" s="80"/>
      <c r="G1136" s="80"/>
      <c r="H1136" s="56"/>
      <c r="I1136" s="82" t="s">
        <v>390</v>
      </c>
      <c r="J1136" s="80"/>
      <c r="K1136" s="80"/>
      <c r="L1136" s="80"/>
      <c r="M1136" s="81" t="s">
        <v>393</v>
      </c>
      <c r="N1136" s="80"/>
      <c r="O1136" s="1"/>
    </row>
    <row r="1137" spans="1:17" ht="14.25" thickBot="1" x14ac:dyDescent="0.2">
      <c r="A1137" s="13" t="s">
        <v>0</v>
      </c>
      <c r="B1137" s="228" t="s">
        <v>392</v>
      </c>
      <c r="C1137" s="229"/>
      <c r="D1137" s="229"/>
      <c r="E1137" s="229"/>
      <c r="F1137" s="230"/>
      <c r="G1137" s="231"/>
      <c r="H1137" s="56"/>
      <c r="I1137" s="13" t="s">
        <v>0</v>
      </c>
      <c r="J1137" s="228" t="s">
        <v>392</v>
      </c>
      <c r="K1137" s="229"/>
      <c r="L1137" s="229"/>
      <c r="M1137" s="229"/>
      <c r="N1137" s="230"/>
      <c r="O1137" s="231"/>
    </row>
    <row r="1138" spans="1:17" ht="14.25" thickBot="1" x14ac:dyDescent="0.2">
      <c r="A1138" s="3" t="s">
        <v>1</v>
      </c>
      <c r="B1138" s="2" t="s">
        <v>42</v>
      </c>
      <c r="C1138" s="21" t="s">
        <v>43</v>
      </c>
      <c r="D1138" s="21" t="s">
        <v>44</v>
      </c>
      <c r="E1138" s="24" t="s">
        <v>45</v>
      </c>
      <c r="F1138" s="33" t="s">
        <v>46</v>
      </c>
      <c r="G1138" s="34" t="s">
        <v>2</v>
      </c>
      <c r="H1138" s="56"/>
      <c r="I1138" s="3" t="s">
        <v>1</v>
      </c>
      <c r="J1138" s="41" t="s">
        <v>42</v>
      </c>
      <c r="K1138" s="42" t="s">
        <v>43</v>
      </c>
      <c r="L1138" s="42" t="s">
        <v>44</v>
      </c>
      <c r="M1138" s="43" t="s">
        <v>45</v>
      </c>
      <c r="N1138" s="44" t="s">
        <v>46</v>
      </c>
      <c r="O1138" s="3" t="s">
        <v>2</v>
      </c>
    </row>
    <row r="1139" spans="1:17" ht="14.25" thickBot="1" x14ac:dyDescent="0.2">
      <c r="A1139" s="72" t="s">
        <v>456</v>
      </c>
      <c r="B1139" s="73">
        <f>B1134</f>
        <v>2</v>
      </c>
      <c r="C1139" s="74">
        <f t="shared" ref="C1139:F1139" si="331">C1134</f>
        <v>2</v>
      </c>
      <c r="D1139" s="74">
        <f t="shared" si="331"/>
        <v>2</v>
      </c>
      <c r="E1139" s="74">
        <f t="shared" si="331"/>
        <v>2</v>
      </c>
      <c r="F1139" s="105">
        <f t="shared" si="331"/>
        <v>3</v>
      </c>
      <c r="G1139" s="131">
        <f t="shared" ref="G1139:G1147" si="332">SUM(B1139:F1139)</f>
        <v>11</v>
      </c>
      <c r="H1139" s="56"/>
      <c r="I1139" s="72" t="s">
        <v>456</v>
      </c>
      <c r="J1139" s="73">
        <f>J1134</f>
        <v>147</v>
      </c>
      <c r="K1139" s="74">
        <f t="shared" ref="K1139:N1139" si="333">K1134</f>
        <v>25</v>
      </c>
      <c r="L1139" s="74">
        <f t="shared" si="333"/>
        <v>42</v>
      </c>
      <c r="M1139" s="74">
        <f t="shared" si="333"/>
        <v>5</v>
      </c>
      <c r="N1139" s="105">
        <f t="shared" si="333"/>
        <v>28</v>
      </c>
      <c r="O1139" s="131">
        <f t="shared" ref="O1139:O1147" si="334">SUM(J1139:N1139)</f>
        <v>247</v>
      </c>
    </row>
    <row r="1140" spans="1:17" x14ac:dyDescent="0.15">
      <c r="A1140" s="15" t="s">
        <v>3</v>
      </c>
      <c r="B1140" s="8"/>
      <c r="C1140" s="10">
        <v>3</v>
      </c>
      <c r="D1140" s="10">
        <v>3</v>
      </c>
      <c r="E1140" s="10">
        <v>5</v>
      </c>
      <c r="F1140" s="28"/>
      <c r="G1140" s="9">
        <f t="shared" si="332"/>
        <v>11</v>
      </c>
      <c r="H1140" s="58">
        <v>44749</v>
      </c>
      <c r="I1140" s="38" t="s">
        <v>14</v>
      </c>
      <c r="J1140" s="37"/>
      <c r="K1140" s="35"/>
      <c r="L1140" s="35"/>
      <c r="M1140" s="35"/>
      <c r="N1140" s="28"/>
      <c r="O1140" s="7">
        <f t="shared" si="334"/>
        <v>0</v>
      </c>
    </row>
    <row r="1141" spans="1:17" x14ac:dyDescent="0.15">
      <c r="A1141" s="15" t="s">
        <v>4</v>
      </c>
      <c r="B1141" s="8">
        <v>5</v>
      </c>
      <c r="C1141" s="10"/>
      <c r="D1141" s="10"/>
      <c r="E1141" s="10"/>
      <c r="F1141" s="28"/>
      <c r="G1141" s="9">
        <f t="shared" si="332"/>
        <v>5</v>
      </c>
      <c r="H1141" s="58">
        <v>44757</v>
      </c>
      <c r="I1141" s="38" t="s">
        <v>3</v>
      </c>
      <c r="J1141" s="8"/>
      <c r="K1141" s="10"/>
      <c r="L1141" s="10"/>
      <c r="M1141" s="10"/>
      <c r="N1141" s="28"/>
      <c r="O1141" s="9">
        <f t="shared" si="334"/>
        <v>0</v>
      </c>
    </row>
    <row r="1142" spans="1:17" x14ac:dyDescent="0.15">
      <c r="A1142" s="15" t="s">
        <v>5</v>
      </c>
      <c r="B1142" s="8"/>
      <c r="C1142" s="10"/>
      <c r="D1142" s="10">
        <v>5</v>
      </c>
      <c r="E1142" s="10"/>
      <c r="F1142" s="28"/>
      <c r="G1142" s="9">
        <f t="shared" si="332"/>
        <v>5</v>
      </c>
      <c r="H1142" s="58">
        <v>44767</v>
      </c>
      <c r="I1142" s="38" t="s">
        <v>4</v>
      </c>
      <c r="J1142" s="65"/>
      <c r="K1142" s="66"/>
      <c r="L1142" s="66"/>
      <c r="M1142" s="66"/>
      <c r="N1142" s="67"/>
      <c r="O1142" s="61">
        <f t="shared" si="334"/>
        <v>0</v>
      </c>
    </row>
    <row r="1143" spans="1:17" x14ac:dyDescent="0.15">
      <c r="A1143" s="15" t="s">
        <v>6</v>
      </c>
      <c r="B1143" s="8"/>
      <c r="C1143" s="10">
        <v>3</v>
      </c>
      <c r="D1143" s="10"/>
      <c r="E1143" s="10"/>
      <c r="F1143" s="28"/>
      <c r="G1143" s="9">
        <f t="shared" si="332"/>
        <v>3</v>
      </c>
      <c r="H1143" s="58">
        <v>44770</v>
      </c>
      <c r="I1143" s="38" t="s">
        <v>5</v>
      </c>
      <c r="J1143" s="8"/>
      <c r="K1143" s="10"/>
      <c r="L1143" s="10"/>
      <c r="M1143" s="10"/>
      <c r="N1143" s="28"/>
      <c r="O1143" s="9">
        <f t="shared" si="334"/>
        <v>0</v>
      </c>
    </row>
    <row r="1144" spans="1:17" x14ac:dyDescent="0.15">
      <c r="A1144" s="175" t="s">
        <v>1470</v>
      </c>
      <c r="B1144" s="182">
        <v>-1</v>
      </c>
      <c r="C1144" s="183"/>
      <c r="D1144" s="183"/>
      <c r="E1144" s="183"/>
      <c r="F1144" s="185"/>
      <c r="G1144" s="179">
        <f t="shared" si="332"/>
        <v>-1</v>
      </c>
      <c r="H1144" s="180">
        <v>44797</v>
      </c>
      <c r="I1144" s="38" t="s">
        <v>6</v>
      </c>
      <c r="J1144" s="8"/>
      <c r="K1144" s="10"/>
      <c r="L1144" s="10"/>
      <c r="M1144" s="10"/>
      <c r="N1144" s="30"/>
      <c r="O1144" s="7">
        <f t="shared" si="334"/>
        <v>0</v>
      </c>
    </row>
    <row r="1145" spans="1:17" x14ac:dyDescent="0.15">
      <c r="A1145" s="15" t="s">
        <v>85</v>
      </c>
      <c r="B1145" s="8">
        <v>5</v>
      </c>
      <c r="C1145" s="10">
        <v>5</v>
      </c>
      <c r="D1145" s="10">
        <v>5</v>
      </c>
      <c r="E1145" s="10"/>
      <c r="F1145" s="30"/>
      <c r="G1145" s="7">
        <f t="shared" si="332"/>
        <v>15</v>
      </c>
      <c r="H1145" s="58">
        <v>44799</v>
      </c>
      <c r="I1145" s="38" t="s">
        <v>84</v>
      </c>
      <c r="J1145" s="8"/>
      <c r="K1145" s="10"/>
      <c r="L1145" s="10"/>
      <c r="M1145" s="10"/>
      <c r="N1145" s="30"/>
      <c r="O1145" s="7">
        <f t="shared" si="334"/>
        <v>0</v>
      </c>
    </row>
    <row r="1146" spans="1:17" x14ac:dyDescent="0.15">
      <c r="A1146" s="15" t="s">
        <v>86</v>
      </c>
      <c r="B1146" s="11"/>
      <c r="C1146" s="100"/>
      <c r="D1146" s="100"/>
      <c r="E1146" s="100"/>
      <c r="F1146" s="101"/>
      <c r="G1146" s="102">
        <f t="shared" si="332"/>
        <v>0</v>
      </c>
      <c r="H1146" s="58"/>
      <c r="I1146" s="38" t="s">
        <v>85</v>
      </c>
      <c r="J1146" s="8"/>
      <c r="K1146" s="10"/>
      <c r="L1146" s="10"/>
      <c r="M1146" s="10"/>
      <c r="N1146" s="30"/>
      <c r="O1146" s="7">
        <f t="shared" si="334"/>
        <v>0</v>
      </c>
    </row>
    <row r="1147" spans="1:17" ht="14.25" thickBot="1" x14ac:dyDescent="0.2">
      <c r="A1147" s="15" t="s">
        <v>87</v>
      </c>
      <c r="B1147" s="11"/>
      <c r="C1147" s="100"/>
      <c r="D1147" s="100"/>
      <c r="E1147" s="100"/>
      <c r="F1147" s="101"/>
      <c r="G1147" s="102">
        <f t="shared" si="332"/>
        <v>0</v>
      </c>
      <c r="H1147" s="58"/>
      <c r="I1147" s="38" t="s">
        <v>86</v>
      </c>
      <c r="J1147" s="11"/>
      <c r="K1147" s="100"/>
      <c r="L1147" s="100"/>
      <c r="M1147" s="100"/>
      <c r="N1147" s="101"/>
      <c r="O1147" s="102">
        <f t="shared" si="334"/>
        <v>0</v>
      </c>
    </row>
    <row r="1148" spans="1:17" ht="14.25" thickBot="1" x14ac:dyDescent="0.2">
      <c r="A1148" s="72" t="s">
        <v>7</v>
      </c>
      <c r="B1148" s="73">
        <f>SUM(B1139:B1147)</f>
        <v>11</v>
      </c>
      <c r="C1148" s="74">
        <f t="shared" ref="C1148:G1148" si="335">SUM(C1139:C1147)</f>
        <v>13</v>
      </c>
      <c r="D1148" s="74">
        <f t="shared" si="335"/>
        <v>15</v>
      </c>
      <c r="E1148" s="74">
        <f t="shared" si="335"/>
        <v>7</v>
      </c>
      <c r="F1148" s="105">
        <f t="shared" si="335"/>
        <v>3</v>
      </c>
      <c r="G1148" s="76">
        <f t="shared" si="335"/>
        <v>49</v>
      </c>
      <c r="H1148" s="56"/>
      <c r="I1148" s="72" t="s">
        <v>7</v>
      </c>
      <c r="J1148" s="73">
        <f>SUM(J1139:J1147)</f>
        <v>147</v>
      </c>
      <c r="K1148" s="74">
        <f t="shared" ref="K1148:O1148" si="336">SUM(K1139:K1147)</f>
        <v>25</v>
      </c>
      <c r="L1148" s="74">
        <f t="shared" si="336"/>
        <v>42</v>
      </c>
      <c r="M1148" s="74">
        <f t="shared" si="336"/>
        <v>5</v>
      </c>
      <c r="N1148" s="105">
        <f t="shared" si="336"/>
        <v>28</v>
      </c>
      <c r="O1148" s="76">
        <f t="shared" si="336"/>
        <v>247</v>
      </c>
    </row>
    <row r="1149" spans="1:17" x14ac:dyDescent="0.15">
      <c r="A1149" s="14" t="s">
        <v>29</v>
      </c>
      <c r="B1149" s="11"/>
      <c r="C1149" s="12">
        <v>1</v>
      </c>
      <c r="D1149" s="12"/>
      <c r="E1149" s="12"/>
      <c r="F1149" s="31"/>
      <c r="G1149" s="18">
        <f t="shared" ref="G1149:G1174" si="337">SUM(B1149:F1149)</f>
        <v>1</v>
      </c>
      <c r="H1149" s="58">
        <v>44746</v>
      </c>
      <c r="I1149" s="14" t="s">
        <v>1466</v>
      </c>
      <c r="J1149" s="8"/>
      <c r="K1149" s="10">
        <v>3</v>
      </c>
      <c r="L1149" s="10">
        <v>3</v>
      </c>
      <c r="M1149" s="10">
        <v>5</v>
      </c>
      <c r="N1149" s="28"/>
      <c r="O1149" s="9">
        <f t="shared" ref="O1149" si="338">SUM(J1149:N1149)</f>
        <v>11</v>
      </c>
      <c r="P1149" s="58">
        <v>44749</v>
      </c>
      <c r="Q1149" s="56"/>
    </row>
    <row r="1150" spans="1:17" x14ac:dyDescent="0.15">
      <c r="A1150" s="14" t="s">
        <v>29</v>
      </c>
      <c r="B1150" s="8">
        <v>1</v>
      </c>
      <c r="C1150" s="10"/>
      <c r="D1150" s="10"/>
      <c r="E1150" s="10"/>
      <c r="F1150" s="30"/>
      <c r="G1150" s="7">
        <f t="shared" si="337"/>
        <v>1</v>
      </c>
      <c r="H1150" s="58">
        <v>44747</v>
      </c>
      <c r="I1150" s="14" t="s">
        <v>24</v>
      </c>
      <c r="J1150" s="8">
        <v>5</v>
      </c>
      <c r="K1150" s="10"/>
      <c r="L1150" s="10"/>
      <c r="M1150" s="10"/>
      <c r="N1150" s="30"/>
      <c r="O1150" s="7">
        <f t="shared" ref="O1150:O1166" si="339">SUM(J1150:N1150)</f>
        <v>5</v>
      </c>
      <c r="P1150" s="58">
        <v>44757</v>
      </c>
    </row>
    <row r="1151" spans="1:17" x14ac:dyDescent="0.15">
      <c r="A1151" s="14" t="s">
        <v>29</v>
      </c>
      <c r="B1151" s="8"/>
      <c r="C1151" s="10">
        <v>1</v>
      </c>
      <c r="D1151" s="10"/>
      <c r="E1151" s="10">
        <v>2</v>
      </c>
      <c r="F1151" s="30"/>
      <c r="G1151" s="7">
        <f t="shared" si="337"/>
        <v>3</v>
      </c>
      <c r="H1151" s="58">
        <v>44748</v>
      </c>
      <c r="I1151" s="14" t="s">
        <v>24</v>
      </c>
      <c r="J1151" s="8"/>
      <c r="K1151" s="10"/>
      <c r="L1151" s="10">
        <v>5</v>
      </c>
      <c r="M1151" s="10"/>
      <c r="N1151" s="30"/>
      <c r="O1151" s="7">
        <f t="shared" si="339"/>
        <v>5</v>
      </c>
      <c r="P1151" s="58">
        <v>44767</v>
      </c>
    </row>
    <row r="1152" spans="1:17" x14ac:dyDescent="0.15">
      <c r="A1152" s="14" t="s">
        <v>1467</v>
      </c>
      <c r="B1152" s="8"/>
      <c r="C1152" s="10">
        <v>1</v>
      </c>
      <c r="D1152" s="10"/>
      <c r="E1152" s="10"/>
      <c r="F1152" s="30"/>
      <c r="G1152" s="7">
        <f t="shared" si="337"/>
        <v>1</v>
      </c>
      <c r="H1152" s="58">
        <v>44750</v>
      </c>
      <c r="I1152" s="14" t="s">
        <v>24</v>
      </c>
      <c r="J1152" s="8"/>
      <c r="K1152" s="10">
        <v>3</v>
      </c>
      <c r="L1152" s="10"/>
      <c r="M1152" s="10"/>
      <c r="N1152" s="30"/>
      <c r="O1152" s="7">
        <f t="shared" si="339"/>
        <v>3</v>
      </c>
      <c r="P1152" s="58">
        <v>44770</v>
      </c>
    </row>
    <row r="1153" spans="1:17" x14ac:dyDescent="0.15">
      <c r="A1153" s="14" t="s">
        <v>29</v>
      </c>
      <c r="B1153" s="37"/>
      <c r="C1153" s="35"/>
      <c r="D1153" s="35">
        <v>1</v>
      </c>
      <c r="E1153" s="35"/>
      <c r="F1153" s="28"/>
      <c r="G1153" s="7">
        <f t="shared" si="337"/>
        <v>1</v>
      </c>
      <c r="H1153" s="58">
        <v>44753</v>
      </c>
      <c r="I1153" s="14" t="s">
        <v>8</v>
      </c>
      <c r="J1153" s="8"/>
      <c r="K1153" s="10"/>
      <c r="L1153" s="10"/>
      <c r="M1153" s="10"/>
      <c r="N1153" s="30">
        <v>10</v>
      </c>
      <c r="O1153" s="7">
        <f t="shared" si="339"/>
        <v>10</v>
      </c>
      <c r="P1153" s="58">
        <v>44782</v>
      </c>
    </row>
    <row r="1154" spans="1:17" x14ac:dyDescent="0.15">
      <c r="A1154" s="14" t="s">
        <v>29</v>
      </c>
      <c r="B1154" s="8">
        <v>1</v>
      </c>
      <c r="C1154" s="10"/>
      <c r="D1154" s="10"/>
      <c r="E1154" s="10"/>
      <c r="F1154" s="30"/>
      <c r="G1154" s="7">
        <f t="shared" si="337"/>
        <v>1</v>
      </c>
      <c r="H1154" s="58">
        <v>44757</v>
      </c>
      <c r="I1154" s="14" t="s">
        <v>8</v>
      </c>
      <c r="J1154" s="8"/>
      <c r="K1154" s="10"/>
      <c r="L1154" s="10">
        <v>10</v>
      </c>
      <c r="M1154" s="10"/>
      <c r="N1154" s="30"/>
      <c r="O1154" s="7">
        <f t="shared" si="339"/>
        <v>10</v>
      </c>
      <c r="P1154" s="58">
        <v>44796</v>
      </c>
      <c r="Q1154" s="56"/>
    </row>
    <row r="1155" spans="1:17" x14ac:dyDescent="0.15">
      <c r="A1155" s="14" t="s">
        <v>117</v>
      </c>
      <c r="B1155" s="8"/>
      <c r="C1155" s="10"/>
      <c r="D1155" s="10">
        <v>1</v>
      </c>
      <c r="E1155" s="10"/>
      <c r="F1155" s="30"/>
      <c r="G1155" s="7">
        <f t="shared" si="337"/>
        <v>1</v>
      </c>
      <c r="H1155" s="58">
        <v>44763</v>
      </c>
      <c r="I1155" s="14" t="s">
        <v>8</v>
      </c>
      <c r="J1155" s="8"/>
      <c r="K1155" s="10">
        <v>10</v>
      </c>
      <c r="L1155" s="10"/>
      <c r="M1155" s="10"/>
      <c r="N1155" s="30"/>
      <c r="O1155" s="7">
        <f t="shared" si="339"/>
        <v>10</v>
      </c>
      <c r="P1155" s="58">
        <v>44798</v>
      </c>
    </row>
    <row r="1156" spans="1:17" x14ac:dyDescent="0.15">
      <c r="A1156" s="14" t="s">
        <v>29</v>
      </c>
      <c r="B1156" s="8"/>
      <c r="C1156" s="10"/>
      <c r="D1156" s="10">
        <v>1</v>
      </c>
      <c r="E1156" s="10"/>
      <c r="F1156" s="30"/>
      <c r="G1156" s="7">
        <f t="shared" si="337"/>
        <v>1</v>
      </c>
      <c r="H1156" s="58">
        <v>44764</v>
      </c>
      <c r="I1156" s="14" t="s">
        <v>24</v>
      </c>
      <c r="J1156" s="8">
        <v>5</v>
      </c>
      <c r="K1156" s="10">
        <v>5</v>
      </c>
      <c r="L1156" s="10">
        <v>5</v>
      </c>
      <c r="M1156" s="10"/>
      <c r="N1156" s="30"/>
      <c r="O1156" s="7">
        <f t="shared" si="339"/>
        <v>15</v>
      </c>
      <c r="P1156" s="58">
        <v>44799</v>
      </c>
    </row>
    <row r="1157" spans="1:17" x14ac:dyDescent="0.15">
      <c r="A1157" s="14" t="s">
        <v>29</v>
      </c>
      <c r="B1157" s="8"/>
      <c r="C1157" s="10">
        <v>1</v>
      </c>
      <c r="D1157" s="10"/>
      <c r="E1157" s="10"/>
      <c r="F1157" s="30"/>
      <c r="G1157" s="7">
        <f t="shared" si="337"/>
        <v>1</v>
      </c>
      <c r="H1157" s="58">
        <v>44768</v>
      </c>
      <c r="I1157" s="14"/>
      <c r="J1157" s="8"/>
      <c r="K1157" s="10"/>
      <c r="L1157" s="10"/>
      <c r="M1157" s="10"/>
      <c r="N1157" s="30"/>
      <c r="O1157" s="7">
        <f t="shared" ref="O1157:O1158" si="340">SUM(J1157:N1157)</f>
        <v>0</v>
      </c>
    </row>
    <row r="1158" spans="1:17" x14ac:dyDescent="0.15">
      <c r="A1158" s="14" t="s">
        <v>29</v>
      </c>
      <c r="B1158" s="11"/>
      <c r="C1158" s="12">
        <v>1</v>
      </c>
      <c r="D1158" s="12"/>
      <c r="E1158" s="12"/>
      <c r="F1158" s="31"/>
      <c r="G1158" s="7">
        <f t="shared" si="337"/>
        <v>1</v>
      </c>
      <c r="H1158" s="58">
        <v>44769</v>
      </c>
      <c r="I1158" s="14"/>
      <c r="J1158" s="8"/>
      <c r="K1158" s="10"/>
      <c r="L1158" s="10"/>
      <c r="M1158" s="10"/>
      <c r="N1158" s="30"/>
      <c r="O1158" s="7">
        <f t="shared" si="340"/>
        <v>0</v>
      </c>
    </row>
    <row r="1159" spans="1:17" x14ac:dyDescent="0.15">
      <c r="A1159" s="14" t="s">
        <v>29</v>
      </c>
      <c r="B1159" s="8"/>
      <c r="C1159" s="10"/>
      <c r="D1159" s="10">
        <v>1</v>
      </c>
      <c r="E1159" s="10"/>
      <c r="F1159" s="30"/>
      <c r="G1159" s="7">
        <f t="shared" si="337"/>
        <v>1</v>
      </c>
      <c r="H1159" s="58">
        <v>44772</v>
      </c>
      <c r="I1159" s="14"/>
      <c r="J1159" s="8"/>
      <c r="K1159" s="10"/>
      <c r="L1159" s="10"/>
      <c r="M1159" s="10"/>
      <c r="N1159" s="30"/>
      <c r="O1159" s="7">
        <f t="shared" si="339"/>
        <v>0</v>
      </c>
    </row>
    <row r="1160" spans="1:17" x14ac:dyDescent="0.15">
      <c r="A1160" s="14" t="s">
        <v>29</v>
      </c>
      <c r="B1160" s="8">
        <v>1</v>
      </c>
      <c r="C1160" s="10"/>
      <c r="D1160" s="10"/>
      <c r="E1160" s="10"/>
      <c r="F1160" s="30"/>
      <c r="G1160" s="7">
        <f t="shared" si="337"/>
        <v>1</v>
      </c>
      <c r="H1160" s="58">
        <v>44778</v>
      </c>
      <c r="I1160" s="14"/>
      <c r="J1160" s="8"/>
      <c r="K1160" s="10"/>
      <c r="L1160" s="10"/>
      <c r="M1160" s="10"/>
      <c r="N1160" s="30"/>
      <c r="O1160" s="7">
        <f t="shared" si="339"/>
        <v>0</v>
      </c>
    </row>
    <row r="1161" spans="1:17" x14ac:dyDescent="0.15">
      <c r="A1161" s="14" t="s">
        <v>29</v>
      </c>
      <c r="B1161" s="8"/>
      <c r="C1161" s="10">
        <v>1</v>
      </c>
      <c r="D1161" s="10">
        <v>1</v>
      </c>
      <c r="E1161" s="10"/>
      <c r="F1161" s="30"/>
      <c r="G1161" s="7">
        <f t="shared" si="337"/>
        <v>2</v>
      </c>
      <c r="H1161" s="58">
        <v>44781</v>
      </c>
      <c r="I1161" s="14"/>
      <c r="J1161" s="8"/>
      <c r="K1161" s="10"/>
      <c r="L1161" s="10"/>
      <c r="M1161" s="10"/>
      <c r="N1161" s="30"/>
      <c r="O1161" s="7">
        <f t="shared" si="339"/>
        <v>0</v>
      </c>
    </row>
    <row r="1162" spans="1:17" x14ac:dyDescent="0.15">
      <c r="A1162" s="14" t="s">
        <v>29</v>
      </c>
      <c r="B1162" s="8"/>
      <c r="C1162" s="10"/>
      <c r="D1162" s="10">
        <v>2</v>
      </c>
      <c r="E1162" s="10"/>
      <c r="F1162" s="30"/>
      <c r="G1162" s="7">
        <f t="shared" si="337"/>
        <v>2</v>
      </c>
      <c r="H1162" s="58">
        <v>44784</v>
      </c>
      <c r="I1162" s="14"/>
      <c r="J1162" s="8"/>
      <c r="K1162" s="10"/>
      <c r="L1162" s="10"/>
      <c r="M1162" s="10"/>
      <c r="N1162" s="30"/>
      <c r="O1162" s="7">
        <f t="shared" si="339"/>
        <v>0</v>
      </c>
    </row>
    <row r="1163" spans="1:17" x14ac:dyDescent="0.15">
      <c r="A1163" s="14" t="s">
        <v>29</v>
      </c>
      <c r="B1163" s="8">
        <v>1</v>
      </c>
      <c r="C1163" s="10"/>
      <c r="D1163" s="10"/>
      <c r="E1163" s="10"/>
      <c r="F1163" s="30"/>
      <c r="G1163" s="7">
        <f t="shared" si="337"/>
        <v>1</v>
      </c>
      <c r="H1163" s="58">
        <v>44791</v>
      </c>
      <c r="I1163" s="14"/>
      <c r="J1163" s="8"/>
      <c r="K1163" s="10"/>
      <c r="L1163" s="10"/>
      <c r="M1163" s="10"/>
      <c r="N1163" s="30"/>
      <c r="O1163" s="7">
        <f t="shared" si="339"/>
        <v>0</v>
      </c>
    </row>
    <row r="1164" spans="1:17" x14ac:dyDescent="0.15">
      <c r="A1164" s="14" t="s">
        <v>29</v>
      </c>
      <c r="B1164" s="8"/>
      <c r="C1164" s="10"/>
      <c r="D1164" s="10">
        <v>1</v>
      </c>
      <c r="E1164" s="10"/>
      <c r="F1164" s="30"/>
      <c r="G1164" s="7">
        <f t="shared" si="337"/>
        <v>1</v>
      </c>
      <c r="H1164" s="58">
        <v>44795</v>
      </c>
      <c r="I1164" s="16"/>
      <c r="J1164" s="8"/>
      <c r="K1164" s="10"/>
      <c r="L1164" s="10"/>
      <c r="M1164" s="10"/>
      <c r="N1164" s="30"/>
      <c r="O1164" s="7">
        <f t="shared" si="339"/>
        <v>0</v>
      </c>
    </row>
    <row r="1165" spans="1:17" x14ac:dyDescent="0.15">
      <c r="A1165" s="14" t="s">
        <v>29</v>
      </c>
      <c r="B1165" s="8"/>
      <c r="C1165" s="10">
        <v>1</v>
      </c>
      <c r="D1165" s="10"/>
      <c r="E1165" s="10"/>
      <c r="F1165" s="30"/>
      <c r="G1165" s="7">
        <f t="shared" si="337"/>
        <v>1</v>
      </c>
      <c r="H1165" s="58">
        <v>44798</v>
      </c>
      <c r="I1165" s="16"/>
      <c r="J1165" s="8"/>
      <c r="K1165" s="10"/>
      <c r="L1165" s="10"/>
      <c r="M1165" s="10"/>
      <c r="N1165" s="30"/>
      <c r="O1165" s="7">
        <f t="shared" si="339"/>
        <v>0</v>
      </c>
    </row>
    <row r="1166" spans="1:17" x14ac:dyDescent="0.15">
      <c r="A1166" s="14" t="s">
        <v>29</v>
      </c>
      <c r="B1166" s="8"/>
      <c r="C1166" s="10">
        <v>1</v>
      </c>
      <c r="D1166" s="10"/>
      <c r="E1166" s="10"/>
      <c r="F1166" s="30"/>
      <c r="G1166" s="7">
        <f t="shared" si="337"/>
        <v>1</v>
      </c>
      <c r="H1166" s="58">
        <v>44799</v>
      </c>
      <c r="I1166" s="16"/>
      <c r="J1166" s="11"/>
      <c r="K1166" s="12"/>
      <c r="L1166" s="12"/>
      <c r="M1166" s="12"/>
      <c r="N1166" s="31"/>
      <c r="O1166" s="7">
        <f t="shared" si="339"/>
        <v>0</v>
      </c>
    </row>
    <row r="1167" spans="1:17" x14ac:dyDescent="0.15">
      <c r="A1167" s="14" t="s">
        <v>29</v>
      </c>
      <c r="B1167" s="8"/>
      <c r="C1167" s="10"/>
      <c r="D1167" s="10">
        <v>1</v>
      </c>
      <c r="E1167" s="10"/>
      <c r="F1167" s="30"/>
      <c r="G1167" s="7">
        <f t="shared" si="337"/>
        <v>1</v>
      </c>
      <c r="H1167" s="58">
        <v>44802</v>
      </c>
      <c r="I1167" s="16"/>
      <c r="J1167" s="8"/>
      <c r="K1167" s="10"/>
      <c r="L1167" s="10"/>
      <c r="M1167" s="10"/>
      <c r="N1167" s="30"/>
      <c r="O1167" s="7">
        <f>SUM(J1167:N1167)</f>
        <v>0</v>
      </c>
    </row>
    <row r="1168" spans="1:17" x14ac:dyDescent="0.15">
      <c r="A1168" s="14" t="s">
        <v>29</v>
      </c>
      <c r="B1168" s="8">
        <v>2</v>
      </c>
      <c r="C1168" s="10"/>
      <c r="D1168" s="10"/>
      <c r="E1168" s="10"/>
      <c r="F1168" s="30"/>
      <c r="G1168" s="7">
        <f t="shared" si="337"/>
        <v>2</v>
      </c>
      <c r="H1168" s="58">
        <v>44803</v>
      </c>
      <c r="I1168" s="64"/>
      <c r="J1168" s="11"/>
      <c r="K1168" s="12"/>
      <c r="L1168" s="12"/>
      <c r="M1168" s="12"/>
      <c r="N1168" s="31"/>
      <c r="O1168" s="7">
        <f t="shared" ref="O1168:O1174" si="341">SUM(J1168:N1168)</f>
        <v>0</v>
      </c>
    </row>
    <row r="1169" spans="1:17" x14ac:dyDescent="0.15">
      <c r="A1169" s="14" t="s">
        <v>29</v>
      </c>
      <c r="B1169" s="8">
        <v>1</v>
      </c>
      <c r="C1169" s="10"/>
      <c r="D1169" s="10"/>
      <c r="E1169" s="10"/>
      <c r="F1169" s="30"/>
      <c r="G1169" s="7">
        <f t="shared" si="337"/>
        <v>1</v>
      </c>
      <c r="H1169" s="58">
        <v>44805</v>
      </c>
      <c r="I1169" s="14"/>
      <c r="J1169" s="8"/>
      <c r="K1169" s="10"/>
      <c r="L1169" s="10"/>
      <c r="M1169" s="10"/>
      <c r="N1169" s="30"/>
      <c r="O1169" s="7">
        <f t="shared" si="341"/>
        <v>0</v>
      </c>
    </row>
    <row r="1170" spans="1:17" x14ac:dyDescent="0.15">
      <c r="A1170" s="14" t="s">
        <v>29</v>
      </c>
      <c r="B1170" s="11"/>
      <c r="C1170" s="12"/>
      <c r="D1170" s="12">
        <v>1</v>
      </c>
      <c r="E1170" s="12"/>
      <c r="F1170" s="31"/>
      <c r="G1170" s="7">
        <f t="shared" si="337"/>
        <v>1</v>
      </c>
      <c r="H1170" s="58">
        <v>44816</v>
      </c>
      <c r="I1170" s="14"/>
      <c r="J1170" s="8"/>
      <c r="K1170" s="10"/>
      <c r="L1170" s="10"/>
      <c r="M1170" s="10"/>
      <c r="N1170" s="30"/>
      <c r="O1170" s="7">
        <f t="shared" si="341"/>
        <v>0</v>
      </c>
    </row>
    <row r="1171" spans="1:17" x14ac:dyDescent="0.15">
      <c r="A1171" s="14" t="s">
        <v>29</v>
      </c>
      <c r="B1171" s="8">
        <v>1</v>
      </c>
      <c r="C1171" s="10"/>
      <c r="D1171" s="10"/>
      <c r="E1171" s="10"/>
      <c r="F1171" s="30"/>
      <c r="G1171" s="7">
        <f t="shared" si="337"/>
        <v>1</v>
      </c>
      <c r="H1171" s="58">
        <v>44830</v>
      </c>
      <c r="I1171" s="14"/>
      <c r="J1171" s="8"/>
      <c r="K1171" s="10"/>
      <c r="L1171" s="10"/>
      <c r="M1171" s="10"/>
      <c r="N1171" s="30"/>
      <c r="O1171" s="7">
        <f t="shared" si="341"/>
        <v>0</v>
      </c>
    </row>
    <row r="1172" spans="1:17" x14ac:dyDescent="0.15">
      <c r="A1172" s="14" t="s">
        <v>29</v>
      </c>
      <c r="B1172" s="8"/>
      <c r="C1172" s="10"/>
      <c r="D1172" s="10">
        <v>1</v>
      </c>
      <c r="E1172" s="10"/>
      <c r="F1172" s="30"/>
      <c r="G1172" s="7">
        <f t="shared" si="337"/>
        <v>1</v>
      </c>
      <c r="H1172" s="58">
        <v>44831</v>
      </c>
      <c r="I1172" s="14"/>
      <c r="J1172" s="8"/>
      <c r="K1172" s="10"/>
      <c r="L1172" s="10"/>
      <c r="M1172" s="10"/>
      <c r="N1172" s="30"/>
      <c r="O1172" s="7">
        <f t="shared" si="341"/>
        <v>0</v>
      </c>
    </row>
    <row r="1173" spans="1:17" x14ac:dyDescent="0.15">
      <c r="A1173" s="14" t="s">
        <v>117</v>
      </c>
      <c r="B1173" s="8"/>
      <c r="C1173" s="10">
        <v>1</v>
      </c>
      <c r="D1173" s="10"/>
      <c r="E1173" s="10"/>
      <c r="F1173" s="30"/>
      <c r="G1173" s="7">
        <f t="shared" si="337"/>
        <v>1</v>
      </c>
      <c r="H1173" s="58">
        <v>44833</v>
      </c>
      <c r="I1173" s="14"/>
      <c r="J1173" s="8"/>
      <c r="K1173" s="10"/>
      <c r="L1173" s="10"/>
      <c r="M1173" s="10"/>
      <c r="N1173" s="30"/>
      <c r="O1173" s="7">
        <f t="shared" si="341"/>
        <v>0</v>
      </c>
    </row>
    <row r="1174" spans="1:17" ht="14.25" thickBot="1" x14ac:dyDescent="0.2">
      <c r="A1174" s="14" t="s">
        <v>29</v>
      </c>
      <c r="B1174" s="11"/>
      <c r="C1174" s="12"/>
      <c r="D1174" s="12"/>
      <c r="E1174" s="12">
        <v>1</v>
      </c>
      <c r="F1174" s="31">
        <v>1</v>
      </c>
      <c r="G1174" s="115">
        <f t="shared" si="337"/>
        <v>2</v>
      </c>
      <c r="H1174" s="58">
        <v>44845</v>
      </c>
      <c r="I1174" s="14"/>
      <c r="J1174" s="8"/>
      <c r="K1174" s="10"/>
      <c r="L1174" s="10"/>
      <c r="M1174" s="10"/>
      <c r="N1174" s="30"/>
      <c r="O1174" s="7">
        <f t="shared" si="341"/>
        <v>0</v>
      </c>
    </row>
    <row r="1175" spans="1:17" ht="14.25" thickBot="1" x14ac:dyDescent="0.2">
      <c r="A1175" s="3" t="s">
        <v>11</v>
      </c>
      <c r="B1175" s="23">
        <f>SUM(B1149:B1174)</f>
        <v>8</v>
      </c>
      <c r="C1175" s="4">
        <f>SUM(C1149:C1174)</f>
        <v>9</v>
      </c>
      <c r="D1175" s="4">
        <f>SUM(D1149:D1174)</f>
        <v>11</v>
      </c>
      <c r="E1175" s="6">
        <f>SUM(E1149:E1174)</f>
        <v>3</v>
      </c>
      <c r="F1175" s="32">
        <f>SUM(F1149:F1174)</f>
        <v>1</v>
      </c>
      <c r="G1175" s="5">
        <f>SUM(B1175:F1175)</f>
        <v>32</v>
      </c>
      <c r="I1175" s="3" t="s">
        <v>11</v>
      </c>
      <c r="J1175" s="23">
        <f>SUM(J1149:J1174)</f>
        <v>10</v>
      </c>
      <c r="K1175" s="4">
        <f>SUM(K1149:K1174)</f>
        <v>21</v>
      </c>
      <c r="L1175" s="4">
        <f>SUM(L1149:L1174)</f>
        <v>23</v>
      </c>
      <c r="M1175" s="6">
        <f>SUM(M1149:M1174)</f>
        <v>5</v>
      </c>
      <c r="N1175" s="32">
        <f>SUM(N1149:N1174)</f>
        <v>10</v>
      </c>
      <c r="O1175" s="5">
        <f>SUM(J1175:N1175)</f>
        <v>69</v>
      </c>
    </row>
    <row r="1176" spans="1:17" ht="14.25" thickBot="1" x14ac:dyDescent="0.2">
      <c r="A1176" s="25" t="s">
        <v>12</v>
      </c>
      <c r="B1176" s="63">
        <f>B1148-B1175</f>
        <v>3</v>
      </c>
      <c r="C1176" s="26">
        <f t="shared" ref="C1176:G1176" si="342">C1148-C1175</f>
        <v>4</v>
      </c>
      <c r="D1176" s="71">
        <f t="shared" si="342"/>
        <v>4</v>
      </c>
      <c r="E1176" s="26">
        <f t="shared" si="342"/>
        <v>4</v>
      </c>
      <c r="F1176" s="70">
        <f t="shared" si="342"/>
        <v>2</v>
      </c>
      <c r="G1176" s="27">
        <f t="shared" si="342"/>
        <v>17</v>
      </c>
      <c r="I1176" s="25" t="s">
        <v>12</v>
      </c>
      <c r="J1176" s="63">
        <f>J1148-J1175</f>
        <v>137</v>
      </c>
      <c r="K1176" s="26">
        <f t="shared" ref="K1176:O1176" si="343">K1148-K1175</f>
        <v>4</v>
      </c>
      <c r="L1176" s="71">
        <f t="shared" si="343"/>
        <v>19</v>
      </c>
      <c r="M1176" s="26">
        <f t="shared" si="343"/>
        <v>0</v>
      </c>
      <c r="N1176" s="70">
        <f t="shared" si="343"/>
        <v>18</v>
      </c>
      <c r="O1176" s="27">
        <f t="shared" si="343"/>
        <v>178</v>
      </c>
    </row>
    <row r="1177" spans="1:17" ht="17.25" x14ac:dyDescent="0.2">
      <c r="A1177" s="79" t="s">
        <v>391</v>
      </c>
      <c r="B1177" s="80"/>
      <c r="C1177" s="80"/>
      <c r="D1177" s="80"/>
      <c r="E1177" s="80"/>
      <c r="F1177" s="80"/>
      <c r="G1177" s="80"/>
      <c r="H1177" s="56"/>
      <c r="I1177" s="79" t="s">
        <v>391</v>
      </c>
      <c r="J1177" s="80"/>
      <c r="K1177" s="80"/>
      <c r="L1177" s="80"/>
      <c r="M1177" s="80"/>
      <c r="N1177" s="80"/>
      <c r="O1177" s="1"/>
    </row>
    <row r="1178" spans="1:17" ht="21.75" thickBot="1" x14ac:dyDescent="0.25">
      <c r="A1178" s="82" t="s">
        <v>390</v>
      </c>
      <c r="B1178" s="80"/>
      <c r="C1178" s="80"/>
      <c r="D1178" s="80"/>
      <c r="E1178" s="81" t="s">
        <v>53</v>
      </c>
      <c r="F1178" s="80"/>
      <c r="G1178" s="80"/>
      <c r="H1178" s="56"/>
      <c r="I1178" s="82" t="s">
        <v>390</v>
      </c>
      <c r="J1178" s="80"/>
      <c r="K1178" s="80"/>
      <c r="L1178" s="80"/>
      <c r="M1178" s="81" t="s">
        <v>393</v>
      </c>
      <c r="N1178" s="80"/>
      <c r="O1178" s="1"/>
    </row>
    <row r="1179" spans="1:17" ht="14.25" thickBot="1" x14ac:dyDescent="0.2">
      <c r="A1179" s="13" t="s">
        <v>0</v>
      </c>
      <c r="B1179" s="228" t="s">
        <v>392</v>
      </c>
      <c r="C1179" s="229"/>
      <c r="D1179" s="229"/>
      <c r="E1179" s="229"/>
      <c r="F1179" s="230"/>
      <c r="G1179" s="231"/>
      <c r="H1179" s="56"/>
      <c r="I1179" s="13" t="s">
        <v>0</v>
      </c>
      <c r="J1179" s="228" t="s">
        <v>392</v>
      </c>
      <c r="K1179" s="229"/>
      <c r="L1179" s="229"/>
      <c r="M1179" s="229"/>
      <c r="N1179" s="230"/>
      <c r="O1179" s="231"/>
    </row>
    <row r="1180" spans="1:17" ht="14.25" thickBot="1" x14ac:dyDescent="0.2">
      <c r="A1180" s="3" t="s">
        <v>1</v>
      </c>
      <c r="B1180" s="2" t="s">
        <v>42</v>
      </c>
      <c r="C1180" s="21" t="s">
        <v>43</v>
      </c>
      <c r="D1180" s="21" t="s">
        <v>44</v>
      </c>
      <c r="E1180" s="24" t="s">
        <v>45</v>
      </c>
      <c r="F1180" s="33" t="s">
        <v>46</v>
      </c>
      <c r="G1180" s="34" t="s">
        <v>2</v>
      </c>
      <c r="H1180" s="56"/>
      <c r="I1180" s="3" t="s">
        <v>1</v>
      </c>
      <c r="J1180" s="41" t="s">
        <v>42</v>
      </c>
      <c r="K1180" s="42" t="s">
        <v>43</v>
      </c>
      <c r="L1180" s="42" t="s">
        <v>44</v>
      </c>
      <c r="M1180" s="43" t="s">
        <v>45</v>
      </c>
      <c r="N1180" s="44" t="s">
        <v>46</v>
      </c>
      <c r="O1180" s="3" t="s">
        <v>2</v>
      </c>
    </row>
    <row r="1181" spans="1:17" ht="14.25" thickBot="1" x14ac:dyDescent="0.2">
      <c r="A1181" s="72" t="s">
        <v>456</v>
      </c>
      <c r="B1181" s="73">
        <f>B1176</f>
        <v>3</v>
      </c>
      <c r="C1181" s="74">
        <f t="shared" ref="C1181:F1181" si="344">C1176</f>
        <v>4</v>
      </c>
      <c r="D1181" s="74">
        <f t="shared" si="344"/>
        <v>4</v>
      </c>
      <c r="E1181" s="74">
        <f t="shared" si="344"/>
        <v>4</v>
      </c>
      <c r="F1181" s="105">
        <f t="shared" si="344"/>
        <v>2</v>
      </c>
      <c r="G1181" s="131">
        <f t="shared" ref="G1181:G1189" si="345">SUM(B1181:F1181)</f>
        <v>17</v>
      </c>
      <c r="H1181" s="56"/>
      <c r="I1181" s="72" t="s">
        <v>456</v>
      </c>
      <c r="J1181" s="73">
        <f>J1176</f>
        <v>137</v>
      </c>
      <c r="K1181" s="74">
        <f t="shared" ref="K1181:N1181" si="346">K1176</f>
        <v>4</v>
      </c>
      <c r="L1181" s="74">
        <f t="shared" si="346"/>
        <v>19</v>
      </c>
      <c r="M1181" s="74">
        <f t="shared" si="346"/>
        <v>0</v>
      </c>
      <c r="N1181" s="105">
        <f t="shared" si="346"/>
        <v>18</v>
      </c>
      <c r="O1181" s="131">
        <f t="shared" ref="O1181:O1189" si="347">SUM(J1181:N1181)</f>
        <v>178</v>
      </c>
    </row>
    <row r="1182" spans="1:17" x14ac:dyDescent="0.15">
      <c r="A1182" s="15" t="s">
        <v>1475</v>
      </c>
      <c r="B1182" s="8">
        <v>1</v>
      </c>
      <c r="C1182" s="10">
        <v>1</v>
      </c>
      <c r="D1182" s="10">
        <v>1</v>
      </c>
      <c r="E1182" s="10">
        <v>1</v>
      </c>
      <c r="F1182" s="28">
        <v>1</v>
      </c>
      <c r="G1182" s="9">
        <f t="shared" si="345"/>
        <v>5</v>
      </c>
      <c r="H1182" s="58">
        <v>44825</v>
      </c>
      <c r="I1182" s="38" t="s">
        <v>14</v>
      </c>
      <c r="J1182" s="37"/>
      <c r="K1182" s="35"/>
      <c r="L1182" s="35"/>
      <c r="M1182" s="35"/>
      <c r="N1182" s="28"/>
      <c r="O1182" s="7">
        <f t="shared" si="347"/>
        <v>0</v>
      </c>
    </row>
    <row r="1183" spans="1:17" x14ac:dyDescent="0.15">
      <c r="A1183" s="15" t="s">
        <v>4</v>
      </c>
      <c r="B1183" s="8"/>
      <c r="C1183" s="10"/>
      <c r="D1183" s="10"/>
      <c r="E1183" s="10"/>
      <c r="F1183" s="28">
        <v>3</v>
      </c>
      <c r="G1183" s="9">
        <f t="shared" si="345"/>
        <v>3</v>
      </c>
      <c r="H1183" s="58">
        <v>44848</v>
      </c>
      <c r="I1183" s="38" t="s">
        <v>1475</v>
      </c>
      <c r="J1183" s="8">
        <v>-1</v>
      </c>
      <c r="K1183" s="10">
        <v>-1</v>
      </c>
      <c r="L1183" s="10">
        <v>-1</v>
      </c>
      <c r="M1183" s="10">
        <v>-1</v>
      </c>
      <c r="N1183" s="28">
        <v>-1</v>
      </c>
      <c r="O1183" s="9">
        <f t="shared" si="347"/>
        <v>-5</v>
      </c>
      <c r="P1183" s="57">
        <v>44825</v>
      </c>
    </row>
    <row r="1184" spans="1:17" x14ac:dyDescent="0.15">
      <c r="A1184" s="15" t="s">
        <v>5</v>
      </c>
      <c r="B1184" s="8">
        <v>3</v>
      </c>
      <c r="C1184" s="10"/>
      <c r="D1184" s="10">
        <v>3</v>
      </c>
      <c r="E1184" s="10"/>
      <c r="F1184" s="28"/>
      <c r="G1184" s="9">
        <f t="shared" si="345"/>
        <v>6</v>
      </c>
      <c r="H1184" s="58">
        <v>44861</v>
      </c>
      <c r="I1184" s="38" t="s">
        <v>4</v>
      </c>
      <c r="J1184" s="8">
        <v>19</v>
      </c>
      <c r="K1184" s="10">
        <v>199</v>
      </c>
      <c r="L1184" s="10">
        <v>149</v>
      </c>
      <c r="M1184" s="10">
        <v>149</v>
      </c>
      <c r="N1184" s="30">
        <v>79</v>
      </c>
      <c r="O1184" s="7">
        <f t="shared" si="347"/>
        <v>595</v>
      </c>
      <c r="P1184" s="58" t="s">
        <v>1481</v>
      </c>
      <c r="Q1184" s="56"/>
    </row>
    <row r="1185" spans="1:17" x14ac:dyDescent="0.15">
      <c r="A1185" s="15" t="s">
        <v>6</v>
      </c>
      <c r="B1185" s="8">
        <v>3</v>
      </c>
      <c r="C1185" s="10">
        <v>3</v>
      </c>
      <c r="D1185" s="10">
        <v>3</v>
      </c>
      <c r="E1185" s="10"/>
      <c r="F1185" s="28">
        <v>3</v>
      </c>
      <c r="G1185" s="9">
        <f t="shared" si="345"/>
        <v>12</v>
      </c>
      <c r="H1185" s="58">
        <v>44874</v>
      </c>
      <c r="I1185" s="38" t="s">
        <v>1478</v>
      </c>
      <c r="J1185" s="8"/>
      <c r="K1185" s="10">
        <v>-2</v>
      </c>
      <c r="L1185" s="10">
        <v>-2</v>
      </c>
      <c r="M1185" s="10"/>
      <c r="N1185" s="28"/>
      <c r="O1185" s="9">
        <f t="shared" si="347"/>
        <v>-4</v>
      </c>
      <c r="P1185" s="56"/>
    </row>
    <row r="1186" spans="1:17" x14ac:dyDescent="0.15">
      <c r="A1186" s="15" t="s">
        <v>84</v>
      </c>
      <c r="B1186" s="8"/>
      <c r="C1186" s="10"/>
      <c r="D1186" s="10"/>
      <c r="E1186" s="10">
        <v>10</v>
      </c>
      <c r="F1186" s="30"/>
      <c r="G1186" s="7">
        <f t="shared" si="345"/>
        <v>10</v>
      </c>
      <c r="H1186" s="58">
        <v>44875</v>
      </c>
      <c r="I1186" s="38" t="s">
        <v>6</v>
      </c>
      <c r="J1186" s="8"/>
      <c r="K1186" s="10"/>
      <c r="L1186" s="10"/>
      <c r="M1186" s="10"/>
      <c r="N1186" s="30"/>
      <c r="O1186" s="7">
        <f t="shared" si="347"/>
        <v>0</v>
      </c>
    </row>
    <row r="1187" spans="1:17" x14ac:dyDescent="0.15">
      <c r="A1187" s="15" t="s">
        <v>85</v>
      </c>
      <c r="B1187" s="8"/>
      <c r="C1187" s="10"/>
      <c r="D1187" s="10">
        <v>5</v>
      </c>
      <c r="E1187" s="10"/>
      <c r="F1187" s="30"/>
      <c r="G1187" s="7">
        <f t="shared" si="345"/>
        <v>5</v>
      </c>
      <c r="H1187" s="58">
        <v>44879</v>
      </c>
      <c r="I1187" s="38" t="s">
        <v>84</v>
      </c>
      <c r="J1187" s="8"/>
      <c r="K1187" s="10"/>
      <c r="L1187" s="10"/>
      <c r="M1187" s="10"/>
      <c r="N1187" s="30"/>
      <c r="O1187" s="7">
        <f t="shared" ref="O1187" si="348">SUM(J1187:N1187)</f>
        <v>0</v>
      </c>
    </row>
    <row r="1188" spans="1:17" x14ac:dyDescent="0.15">
      <c r="A1188" s="15" t="s">
        <v>86</v>
      </c>
      <c r="B1188" s="11">
        <v>5</v>
      </c>
      <c r="C1188" s="100"/>
      <c r="D1188" s="100"/>
      <c r="E1188" s="100"/>
      <c r="F1188" s="101"/>
      <c r="G1188" s="102">
        <f t="shared" si="345"/>
        <v>5</v>
      </c>
      <c r="H1188" s="58">
        <v>44884</v>
      </c>
      <c r="I1188" s="38" t="s">
        <v>85</v>
      </c>
      <c r="J1188" s="8"/>
      <c r="K1188" s="10"/>
      <c r="L1188" s="10"/>
      <c r="M1188" s="10"/>
      <c r="N1188" s="30"/>
      <c r="O1188" s="7">
        <f t="shared" si="347"/>
        <v>0</v>
      </c>
    </row>
    <row r="1189" spans="1:17" ht="14.25" thickBot="1" x14ac:dyDescent="0.2">
      <c r="A1189" s="15" t="s">
        <v>17</v>
      </c>
      <c r="B1189" s="11"/>
      <c r="C1189" s="100"/>
      <c r="D1189" s="100">
        <v>1</v>
      </c>
      <c r="E1189" s="100"/>
      <c r="F1189" s="101"/>
      <c r="G1189" s="102">
        <f t="shared" si="345"/>
        <v>1</v>
      </c>
      <c r="H1189" s="58">
        <v>44894</v>
      </c>
      <c r="I1189" s="38" t="s">
        <v>86</v>
      </c>
      <c r="J1189" s="11"/>
      <c r="K1189" s="100"/>
      <c r="L1189" s="100"/>
      <c r="M1189" s="100"/>
      <c r="N1189" s="101"/>
      <c r="O1189" s="102">
        <f t="shared" si="347"/>
        <v>0</v>
      </c>
    </row>
    <row r="1190" spans="1:17" ht="14.25" thickBot="1" x14ac:dyDescent="0.2">
      <c r="A1190" s="72" t="s">
        <v>7</v>
      </c>
      <c r="B1190" s="73">
        <f>SUM(B1181:B1189)</f>
        <v>15</v>
      </c>
      <c r="C1190" s="74">
        <f t="shared" ref="C1190:G1190" si="349">SUM(C1181:C1189)</f>
        <v>8</v>
      </c>
      <c r="D1190" s="74">
        <f t="shared" si="349"/>
        <v>17</v>
      </c>
      <c r="E1190" s="74">
        <f t="shared" si="349"/>
        <v>15</v>
      </c>
      <c r="F1190" s="105">
        <f t="shared" si="349"/>
        <v>9</v>
      </c>
      <c r="G1190" s="76">
        <f t="shared" si="349"/>
        <v>64</v>
      </c>
      <c r="H1190" s="56"/>
      <c r="I1190" s="72" t="s">
        <v>7</v>
      </c>
      <c r="J1190" s="73">
        <f>SUM(J1181:J1189)</f>
        <v>155</v>
      </c>
      <c r="K1190" s="74">
        <f t="shared" ref="K1190:O1190" si="350">SUM(K1181:K1189)</f>
        <v>200</v>
      </c>
      <c r="L1190" s="74">
        <f t="shared" si="350"/>
        <v>165</v>
      </c>
      <c r="M1190" s="74">
        <f t="shared" si="350"/>
        <v>148</v>
      </c>
      <c r="N1190" s="105">
        <f t="shared" si="350"/>
        <v>96</v>
      </c>
      <c r="O1190" s="76">
        <f t="shared" si="350"/>
        <v>764</v>
      </c>
    </row>
    <row r="1191" spans="1:17" x14ac:dyDescent="0.15">
      <c r="A1191" s="14" t="s">
        <v>117</v>
      </c>
      <c r="B1191" s="11"/>
      <c r="C1191" s="12"/>
      <c r="D1191" s="12"/>
      <c r="E1191" s="12"/>
      <c r="F1191" s="31">
        <v>1</v>
      </c>
      <c r="G1191" s="18">
        <f t="shared" ref="G1191:G1216" si="351">SUM(B1191:F1191)</f>
        <v>1</v>
      </c>
      <c r="H1191" s="58">
        <v>44849</v>
      </c>
      <c r="I1191" s="14" t="s">
        <v>24</v>
      </c>
      <c r="J1191" s="8"/>
      <c r="K1191" s="10"/>
      <c r="L1191" s="10"/>
      <c r="M1191" s="10"/>
      <c r="N1191" s="30">
        <v>3</v>
      </c>
      <c r="O1191" s="7">
        <f t="shared" ref="O1191:O1194" si="352">SUM(J1191:N1191)</f>
        <v>3</v>
      </c>
      <c r="P1191" s="58">
        <v>44848</v>
      </c>
    </row>
    <row r="1192" spans="1:17" x14ac:dyDescent="0.15">
      <c r="A1192" s="14" t="s">
        <v>117</v>
      </c>
      <c r="B1192" s="8"/>
      <c r="C1192" s="10"/>
      <c r="D1192" s="10">
        <v>1</v>
      </c>
      <c r="E1192" s="10"/>
      <c r="F1192" s="30"/>
      <c r="G1192" s="7">
        <f t="shared" si="351"/>
        <v>1</v>
      </c>
      <c r="H1192" s="58">
        <v>44852</v>
      </c>
      <c r="I1192" s="14" t="s">
        <v>24</v>
      </c>
      <c r="J1192" s="8">
        <v>3</v>
      </c>
      <c r="K1192" s="10"/>
      <c r="L1192" s="10">
        <v>3</v>
      </c>
      <c r="M1192" s="10"/>
      <c r="N1192" s="30"/>
      <c r="O1192" s="7">
        <f t="shared" si="352"/>
        <v>6</v>
      </c>
      <c r="P1192" s="58">
        <v>44861</v>
      </c>
      <c r="Q1192" s="56"/>
    </row>
    <row r="1193" spans="1:17" x14ac:dyDescent="0.15">
      <c r="A1193" s="14" t="s">
        <v>29</v>
      </c>
      <c r="B1193" s="8"/>
      <c r="C1193" s="10"/>
      <c r="D1193" s="10"/>
      <c r="E1193" s="10"/>
      <c r="F1193" s="30">
        <v>1</v>
      </c>
      <c r="G1193" s="7">
        <f t="shared" si="351"/>
        <v>1</v>
      </c>
      <c r="H1193" s="58">
        <v>44851</v>
      </c>
      <c r="I1193" s="14" t="s">
        <v>24</v>
      </c>
      <c r="J1193" s="8">
        <v>3</v>
      </c>
      <c r="K1193" s="10">
        <v>3</v>
      </c>
      <c r="L1193" s="10">
        <v>3</v>
      </c>
      <c r="M1193" s="10"/>
      <c r="N1193" s="30">
        <v>3</v>
      </c>
      <c r="O1193" s="7">
        <f t="shared" si="352"/>
        <v>12</v>
      </c>
      <c r="P1193" s="58">
        <v>44874</v>
      </c>
    </row>
    <row r="1194" spans="1:17" x14ac:dyDescent="0.15">
      <c r="A1194" s="14" t="s">
        <v>117</v>
      </c>
      <c r="B1194" s="8">
        <v>1</v>
      </c>
      <c r="C1194" s="10"/>
      <c r="D1194" s="10"/>
      <c r="E1194" s="10"/>
      <c r="F1194" s="30"/>
      <c r="G1194" s="7">
        <f t="shared" si="351"/>
        <v>1</v>
      </c>
      <c r="H1194" s="58">
        <v>44854</v>
      </c>
      <c r="I1194" s="14" t="s">
        <v>24</v>
      </c>
      <c r="J1194" s="8"/>
      <c r="K1194" s="10"/>
      <c r="L1194" s="10"/>
      <c r="M1194" s="10">
        <v>10</v>
      </c>
      <c r="N1194" s="30"/>
      <c r="O1194" s="7">
        <f t="shared" si="352"/>
        <v>10</v>
      </c>
      <c r="P1194" s="58">
        <v>44875</v>
      </c>
    </row>
    <row r="1195" spans="1:17" x14ac:dyDescent="0.15">
      <c r="A1195" s="14" t="s">
        <v>29</v>
      </c>
      <c r="B1195" s="37"/>
      <c r="C1195" s="35"/>
      <c r="D1195" s="35">
        <v>1</v>
      </c>
      <c r="E1195" s="35">
        <v>1</v>
      </c>
      <c r="F1195" s="28"/>
      <c r="G1195" s="7">
        <f t="shared" si="351"/>
        <v>2</v>
      </c>
      <c r="H1195" s="58">
        <v>44858</v>
      </c>
      <c r="I1195" s="14" t="s">
        <v>24</v>
      </c>
      <c r="J1195" s="8"/>
      <c r="K1195" s="10"/>
      <c r="L1195" s="10">
        <v>5</v>
      </c>
      <c r="M1195" s="10"/>
      <c r="N1195" s="30"/>
      <c r="O1195" s="7">
        <f t="shared" ref="O1195:O1208" si="353">SUM(J1195:N1195)</f>
        <v>5</v>
      </c>
      <c r="P1195" s="58">
        <v>44879</v>
      </c>
    </row>
    <row r="1196" spans="1:17" x14ac:dyDescent="0.15">
      <c r="A1196" s="14" t="s">
        <v>29</v>
      </c>
      <c r="B1196" s="8"/>
      <c r="C1196" s="10"/>
      <c r="D1196" s="10">
        <v>1</v>
      </c>
      <c r="E1196" s="10"/>
      <c r="F1196" s="30"/>
      <c r="G1196" s="7">
        <f t="shared" si="351"/>
        <v>1</v>
      </c>
      <c r="H1196" s="58">
        <v>44860</v>
      </c>
      <c r="I1196" s="14" t="s">
        <v>24</v>
      </c>
      <c r="J1196" s="8">
        <v>5</v>
      </c>
      <c r="K1196" s="10"/>
      <c r="L1196" s="10"/>
      <c r="M1196" s="10"/>
      <c r="N1196" s="30"/>
      <c r="O1196" s="7">
        <f t="shared" si="353"/>
        <v>5</v>
      </c>
      <c r="P1196" s="58">
        <v>44884</v>
      </c>
    </row>
    <row r="1197" spans="1:17" x14ac:dyDescent="0.15">
      <c r="A1197" s="14" t="s">
        <v>29</v>
      </c>
      <c r="B1197" s="8">
        <v>1</v>
      </c>
      <c r="C1197" s="10"/>
      <c r="D1197" s="10"/>
      <c r="E1197" s="10"/>
      <c r="F1197" s="30"/>
      <c r="G1197" s="7">
        <f t="shared" si="351"/>
        <v>1</v>
      </c>
      <c r="H1197" s="58">
        <v>44865</v>
      </c>
      <c r="I1197" s="14"/>
      <c r="J1197" s="8"/>
      <c r="K1197" s="10"/>
      <c r="L1197" s="10"/>
      <c r="M1197" s="10"/>
      <c r="N1197" s="30"/>
      <c r="O1197" s="7">
        <f t="shared" si="353"/>
        <v>0</v>
      </c>
    </row>
    <row r="1198" spans="1:17" x14ac:dyDescent="0.15">
      <c r="A1198" s="14" t="s">
        <v>1484</v>
      </c>
      <c r="B1198" s="8"/>
      <c r="C1198" s="10"/>
      <c r="D1198" s="10"/>
      <c r="E1198" s="10">
        <v>1</v>
      </c>
      <c r="F1198" s="30"/>
      <c r="G1198" s="7">
        <f t="shared" si="351"/>
        <v>1</v>
      </c>
      <c r="H1198" s="58">
        <v>44872</v>
      </c>
      <c r="I1198" s="14"/>
      <c r="J1198" s="8"/>
      <c r="K1198" s="10"/>
      <c r="L1198" s="10"/>
      <c r="M1198" s="10"/>
      <c r="N1198" s="30"/>
      <c r="O1198" s="7">
        <f t="shared" si="353"/>
        <v>0</v>
      </c>
    </row>
    <row r="1199" spans="1:17" x14ac:dyDescent="0.15">
      <c r="A1199" s="14" t="s">
        <v>29</v>
      </c>
      <c r="B1199" s="8"/>
      <c r="C1199" s="10"/>
      <c r="D1199" s="10">
        <v>1</v>
      </c>
      <c r="E1199" s="10"/>
      <c r="F1199" s="30"/>
      <c r="G1199" s="7">
        <f t="shared" si="351"/>
        <v>1</v>
      </c>
      <c r="H1199" s="58">
        <v>44869</v>
      </c>
      <c r="I1199" s="14"/>
      <c r="J1199" s="8"/>
      <c r="K1199" s="10"/>
      <c r="L1199" s="10"/>
      <c r="M1199" s="10"/>
      <c r="N1199" s="30"/>
      <c r="O1199" s="7">
        <f t="shared" si="353"/>
        <v>0</v>
      </c>
    </row>
    <row r="1200" spans="1:17" x14ac:dyDescent="0.15">
      <c r="A1200" s="14" t="s">
        <v>1488</v>
      </c>
      <c r="B1200" s="11"/>
      <c r="C1200" s="12"/>
      <c r="D1200" s="12">
        <v>1</v>
      </c>
      <c r="E1200" s="12"/>
      <c r="F1200" s="31"/>
      <c r="G1200" s="7">
        <f t="shared" si="351"/>
        <v>1</v>
      </c>
      <c r="H1200" s="58">
        <v>44873</v>
      </c>
      <c r="I1200" s="14"/>
      <c r="J1200" s="11"/>
      <c r="K1200" s="12"/>
      <c r="L1200" s="12"/>
      <c r="M1200" s="12"/>
      <c r="N1200" s="31"/>
      <c r="O1200" s="7">
        <f t="shared" si="353"/>
        <v>0</v>
      </c>
    </row>
    <row r="1201" spans="1:16" x14ac:dyDescent="0.15">
      <c r="A1201" s="14" t="s">
        <v>1493</v>
      </c>
      <c r="B1201" s="8">
        <v>1</v>
      </c>
      <c r="C1201" s="10">
        <v>1</v>
      </c>
      <c r="D1201" s="10">
        <v>1</v>
      </c>
      <c r="E1201" s="10">
        <v>3</v>
      </c>
      <c r="F1201" s="30"/>
      <c r="G1201" s="7">
        <f t="shared" si="351"/>
        <v>6</v>
      </c>
      <c r="H1201" s="58">
        <v>44875</v>
      </c>
      <c r="I1201" s="14"/>
      <c r="J1201" s="8"/>
      <c r="K1201" s="10"/>
      <c r="L1201" s="10"/>
      <c r="M1201" s="10"/>
      <c r="N1201" s="30"/>
      <c r="O1201" s="7">
        <f t="shared" si="353"/>
        <v>0</v>
      </c>
    </row>
    <row r="1202" spans="1:16" x14ac:dyDescent="0.15">
      <c r="A1202" s="14" t="s">
        <v>29</v>
      </c>
      <c r="B1202" s="8">
        <v>1</v>
      </c>
      <c r="C1202" s="10"/>
      <c r="D1202" s="10"/>
      <c r="E1202" s="10"/>
      <c r="F1202" s="30"/>
      <c r="G1202" s="7">
        <f t="shared" si="351"/>
        <v>1</v>
      </c>
      <c r="H1202" s="58">
        <v>44874</v>
      </c>
      <c r="I1202" s="14"/>
      <c r="J1202" s="8"/>
      <c r="K1202" s="10"/>
      <c r="L1202" s="10"/>
      <c r="M1202" s="10"/>
      <c r="N1202" s="30"/>
      <c r="O1202" s="7">
        <f t="shared" si="353"/>
        <v>0</v>
      </c>
    </row>
    <row r="1203" spans="1:16" x14ac:dyDescent="0.15">
      <c r="A1203" s="14" t="s">
        <v>1496</v>
      </c>
      <c r="B1203" s="8">
        <v>2</v>
      </c>
      <c r="C1203" s="10">
        <v>1</v>
      </c>
      <c r="D1203" s="10"/>
      <c r="E1203" s="10"/>
      <c r="F1203" s="30"/>
      <c r="G1203" s="7">
        <f t="shared" si="351"/>
        <v>3</v>
      </c>
      <c r="H1203" s="58">
        <v>44876</v>
      </c>
      <c r="I1203" s="14"/>
      <c r="J1203" s="8"/>
      <c r="K1203" s="10"/>
      <c r="L1203" s="10"/>
      <c r="M1203" s="10"/>
      <c r="N1203" s="30"/>
      <c r="O1203" s="7">
        <f t="shared" si="353"/>
        <v>0</v>
      </c>
    </row>
    <row r="1204" spans="1:16" x14ac:dyDescent="0.15">
      <c r="A1204" s="14" t="s">
        <v>1498</v>
      </c>
      <c r="B1204" s="8">
        <v>2</v>
      </c>
      <c r="C1204" s="10"/>
      <c r="D1204" s="10">
        <v>4</v>
      </c>
      <c r="E1204" s="10"/>
      <c r="F1204" s="30"/>
      <c r="G1204" s="7">
        <f t="shared" si="351"/>
        <v>6</v>
      </c>
      <c r="H1204" s="58">
        <v>44879</v>
      </c>
      <c r="I1204" s="14"/>
      <c r="J1204" s="8"/>
      <c r="K1204" s="10"/>
      <c r="L1204" s="10"/>
      <c r="M1204" s="10"/>
      <c r="N1204" s="30"/>
      <c r="O1204" s="7">
        <f t="shared" si="353"/>
        <v>0</v>
      </c>
    </row>
    <row r="1205" spans="1:16" x14ac:dyDescent="0.15">
      <c r="A1205" s="14" t="s">
        <v>1501</v>
      </c>
      <c r="B1205" s="8">
        <v>2</v>
      </c>
      <c r="C1205" s="10"/>
      <c r="D1205" s="10"/>
      <c r="E1205" s="10">
        <v>1</v>
      </c>
      <c r="F1205" s="30"/>
      <c r="G1205" s="7">
        <f t="shared" si="351"/>
        <v>3</v>
      </c>
      <c r="H1205" s="58">
        <v>44880</v>
      </c>
      <c r="I1205" s="14"/>
      <c r="J1205" s="8"/>
      <c r="K1205" s="10"/>
      <c r="L1205" s="10"/>
      <c r="M1205" s="10"/>
      <c r="N1205" s="30"/>
      <c r="O1205" s="7">
        <f t="shared" si="353"/>
        <v>0</v>
      </c>
    </row>
    <row r="1206" spans="1:16" x14ac:dyDescent="0.15">
      <c r="A1206" s="14" t="s">
        <v>29</v>
      </c>
      <c r="B1206" s="8"/>
      <c r="C1206" s="10"/>
      <c r="D1206" s="10">
        <v>1</v>
      </c>
      <c r="E1206" s="10"/>
      <c r="F1206" s="30"/>
      <c r="G1206" s="7">
        <f t="shared" si="351"/>
        <v>1</v>
      </c>
      <c r="H1206" s="58">
        <v>44879</v>
      </c>
      <c r="I1206" s="16"/>
      <c r="J1206" s="8"/>
      <c r="K1206" s="10"/>
      <c r="L1206" s="10"/>
      <c r="M1206" s="10"/>
      <c r="N1206" s="30"/>
      <c r="O1206" s="7">
        <f t="shared" si="353"/>
        <v>0</v>
      </c>
    </row>
    <row r="1207" spans="1:16" x14ac:dyDescent="0.15">
      <c r="A1207" s="14" t="s">
        <v>1506</v>
      </c>
      <c r="B1207" s="8">
        <v>3</v>
      </c>
      <c r="C1207" s="10"/>
      <c r="D1207" s="10"/>
      <c r="E1207" s="10">
        <v>1</v>
      </c>
      <c r="F1207" s="30"/>
      <c r="G1207" s="7">
        <f t="shared" si="351"/>
        <v>4</v>
      </c>
      <c r="H1207" s="58">
        <v>44882</v>
      </c>
      <c r="I1207" s="16"/>
      <c r="J1207" s="8"/>
      <c r="K1207" s="10"/>
      <c r="L1207" s="10"/>
      <c r="M1207" s="10"/>
      <c r="N1207" s="30"/>
      <c r="O1207" s="7">
        <f t="shared" si="353"/>
        <v>0</v>
      </c>
    </row>
    <row r="1208" spans="1:16" x14ac:dyDescent="0.15">
      <c r="A1208" s="14" t="s">
        <v>29</v>
      </c>
      <c r="B1208" s="8"/>
      <c r="C1208" s="10">
        <v>1</v>
      </c>
      <c r="D1208" s="10"/>
      <c r="E1208" s="10"/>
      <c r="F1208" s="30"/>
      <c r="G1208" s="7">
        <f t="shared" si="351"/>
        <v>1</v>
      </c>
      <c r="H1208" s="58">
        <v>44881</v>
      </c>
      <c r="I1208" s="16"/>
      <c r="J1208" s="11"/>
      <c r="K1208" s="12"/>
      <c r="L1208" s="12"/>
      <c r="M1208" s="12"/>
      <c r="N1208" s="31"/>
      <c r="O1208" s="7">
        <f t="shared" si="353"/>
        <v>0</v>
      </c>
    </row>
    <row r="1209" spans="1:16" x14ac:dyDescent="0.15">
      <c r="A1209" s="14" t="s">
        <v>696</v>
      </c>
      <c r="B1209" s="8"/>
      <c r="C1209" s="10"/>
      <c r="D1209" s="10">
        <v>-1</v>
      </c>
      <c r="E1209" s="10"/>
      <c r="F1209" s="30"/>
      <c r="G1209" s="7">
        <f t="shared" si="351"/>
        <v>-1</v>
      </c>
      <c r="H1209" s="58">
        <v>44881</v>
      </c>
      <c r="I1209" s="16"/>
      <c r="J1209" s="8"/>
      <c r="K1209" s="10"/>
      <c r="L1209" s="10"/>
      <c r="M1209" s="10"/>
      <c r="N1209" s="30"/>
      <c r="O1209" s="7">
        <f>SUM(J1209:N1209)</f>
        <v>0</v>
      </c>
    </row>
    <row r="1210" spans="1:16" x14ac:dyDescent="0.15">
      <c r="A1210" s="14" t="s">
        <v>1503</v>
      </c>
      <c r="B1210" s="8"/>
      <c r="C1210" s="10"/>
      <c r="D1210" s="10"/>
      <c r="E1210" s="10"/>
      <c r="F1210" s="30">
        <v>1</v>
      </c>
      <c r="G1210" s="7">
        <f t="shared" si="351"/>
        <v>1</v>
      </c>
      <c r="H1210" s="58">
        <v>44883</v>
      </c>
      <c r="I1210" s="64"/>
      <c r="J1210" s="11"/>
      <c r="K1210" s="12"/>
      <c r="L1210" s="12"/>
      <c r="M1210" s="12"/>
      <c r="N1210" s="31"/>
      <c r="O1210" s="7">
        <f t="shared" ref="O1210:O1214" si="354">SUM(J1210:N1210)</f>
        <v>0</v>
      </c>
    </row>
    <row r="1211" spans="1:16" x14ac:dyDescent="0.15">
      <c r="A1211" s="14" t="s">
        <v>1508</v>
      </c>
      <c r="B1211" s="8"/>
      <c r="C1211" s="10"/>
      <c r="D1211" s="10">
        <v>1</v>
      </c>
      <c r="E1211" s="10">
        <v>1</v>
      </c>
      <c r="F1211" s="30"/>
      <c r="G1211" s="7">
        <f t="shared" si="351"/>
        <v>2</v>
      </c>
      <c r="H1211" s="58">
        <v>44886</v>
      </c>
      <c r="I1211" s="14"/>
      <c r="J1211" s="8"/>
      <c r="K1211" s="10"/>
      <c r="L1211" s="10"/>
      <c r="M1211" s="10"/>
      <c r="N1211" s="30"/>
      <c r="O1211" s="7">
        <f t="shared" si="354"/>
        <v>0</v>
      </c>
    </row>
    <row r="1212" spans="1:16" x14ac:dyDescent="0.15">
      <c r="A1212" s="14" t="s">
        <v>1512</v>
      </c>
      <c r="B1212" s="11"/>
      <c r="C1212" s="12"/>
      <c r="D1212" s="12"/>
      <c r="E1212" s="12">
        <v>1</v>
      </c>
      <c r="F1212" s="31"/>
      <c r="G1212" s="7">
        <f t="shared" si="351"/>
        <v>1</v>
      </c>
      <c r="H1212" s="58">
        <v>44894</v>
      </c>
      <c r="I1212" s="14"/>
      <c r="J1212" s="8"/>
      <c r="K1212" s="10"/>
      <c r="L1212" s="10"/>
      <c r="M1212" s="10"/>
      <c r="N1212" s="30"/>
      <c r="O1212" s="7">
        <f t="shared" si="354"/>
        <v>0</v>
      </c>
    </row>
    <row r="1213" spans="1:16" x14ac:dyDescent="0.15">
      <c r="A1213" s="14" t="s">
        <v>29</v>
      </c>
      <c r="B1213" s="8"/>
      <c r="C1213" s="10">
        <v>1</v>
      </c>
      <c r="D1213" s="10"/>
      <c r="E1213" s="10"/>
      <c r="F1213" s="30"/>
      <c r="G1213" s="7">
        <f t="shared" si="351"/>
        <v>1</v>
      </c>
      <c r="H1213" s="58">
        <v>44893</v>
      </c>
      <c r="I1213" s="14"/>
      <c r="J1213" s="8"/>
      <c r="K1213" s="10"/>
      <c r="L1213" s="10"/>
      <c r="M1213" s="10"/>
      <c r="N1213" s="30"/>
      <c r="O1213" s="7">
        <f t="shared" si="354"/>
        <v>0</v>
      </c>
    </row>
    <row r="1214" spans="1:16" x14ac:dyDescent="0.15">
      <c r="A1214" s="14" t="s">
        <v>1518</v>
      </c>
      <c r="B1214" s="8"/>
      <c r="C1214" s="10">
        <v>1</v>
      </c>
      <c r="D1214" s="10"/>
      <c r="E1214" s="10"/>
      <c r="F1214" s="30"/>
      <c r="G1214" s="7">
        <f t="shared" si="351"/>
        <v>1</v>
      </c>
      <c r="H1214" s="58">
        <v>44895</v>
      </c>
      <c r="I1214" s="14"/>
      <c r="J1214" s="8"/>
      <c r="K1214" s="10"/>
      <c r="L1214" s="10"/>
      <c r="M1214" s="10"/>
      <c r="N1214" s="30"/>
      <c r="O1214" s="7">
        <f t="shared" si="354"/>
        <v>0</v>
      </c>
    </row>
    <row r="1215" spans="1:16" x14ac:dyDescent="0.15">
      <c r="A1215" s="14" t="s">
        <v>1521</v>
      </c>
      <c r="B1215" s="8"/>
      <c r="C1215" s="10"/>
      <c r="D1215" s="10">
        <v>2</v>
      </c>
      <c r="E1215" s="10"/>
      <c r="F1215" s="30"/>
      <c r="G1215" s="7">
        <f t="shared" si="351"/>
        <v>2</v>
      </c>
      <c r="H1215" s="58">
        <v>44896</v>
      </c>
      <c r="I1215" s="14" t="s">
        <v>1480</v>
      </c>
      <c r="J1215" s="11"/>
      <c r="K1215" s="12"/>
      <c r="L1215" s="12"/>
      <c r="M1215" s="12"/>
      <c r="N1215" s="31"/>
      <c r="O1215" s="7">
        <f t="shared" ref="O1215:O1216" si="355">SUM(J1215:N1215)</f>
        <v>0</v>
      </c>
      <c r="P1215" s="56" t="s">
        <v>1375</v>
      </c>
    </row>
    <row r="1216" spans="1:16" ht="14.25" thickBot="1" x14ac:dyDescent="0.2">
      <c r="A1216" s="14" t="s">
        <v>1525</v>
      </c>
      <c r="B1216" s="11"/>
      <c r="C1216" s="12">
        <v>1</v>
      </c>
      <c r="D1216" s="12">
        <v>2</v>
      </c>
      <c r="E1216" s="12">
        <v>1</v>
      </c>
      <c r="F1216" s="31">
        <v>1</v>
      </c>
      <c r="G1216" s="115">
        <f t="shared" si="351"/>
        <v>5</v>
      </c>
      <c r="H1216" s="58">
        <v>44897</v>
      </c>
      <c r="I1216" s="14" t="s">
        <v>1476</v>
      </c>
      <c r="J1216" s="11"/>
      <c r="K1216" s="12"/>
      <c r="L1216" s="12"/>
      <c r="M1216" s="12"/>
      <c r="N1216" s="31"/>
      <c r="O1216" s="7">
        <f t="shared" si="355"/>
        <v>0</v>
      </c>
      <c r="P1216" s="56" t="s">
        <v>1363</v>
      </c>
    </row>
    <row r="1217" spans="1:16" ht="14.25" thickBot="1" x14ac:dyDescent="0.2">
      <c r="A1217" s="3" t="s">
        <v>11</v>
      </c>
      <c r="B1217" s="23">
        <f>SUM(B1191:B1216)</f>
        <v>13</v>
      </c>
      <c r="C1217" s="4">
        <f>SUM(C1191:C1216)</f>
        <v>6</v>
      </c>
      <c r="D1217" s="4">
        <f>SUM(D1191:D1216)</f>
        <v>15</v>
      </c>
      <c r="E1217" s="6">
        <f>SUM(E1191:E1216)</f>
        <v>10</v>
      </c>
      <c r="F1217" s="32">
        <f>SUM(F1191:F1216)</f>
        <v>4</v>
      </c>
      <c r="G1217" s="5">
        <f>SUM(B1217:F1217)</f>
        <v>48</v>
      </c>
      <c r="I1217" s="3" t="s">
        <v>11</v>
      </c>
      <c r="J1217" s="23">
        <f>SUM(J1191:J1216)</f>
        <v>11</v>
      </c>
      <c r="K1217" s="4">
        <f>SUM(K1191:K1216)</f>
        <v>3</v>
      </c>
      <c r="L1217" s="4">
        <f>SUM(L1191:L1216)</f>
        <v>11</v>
      </c>
      <c r="M1217" s="6">
        <f>SUM(M1191:M1216)</f>
        <v>10</v>
      </c>
      <c r="N1217" s="32">
        <f>SUM(N1191:N1216)</f>
        <v>6</v>
      </c>
      <c r="O1217" s="5">
        <f>SUM(J1217:N1217)</f>
        <v>41</v>
      </c>
    </row>
    <row r="1218" spans="1:16" ht="14.25" thickBot="1" x14ac:dyDescent="0.2">
      <c r="A1218" s="25" t="s">
        <v>12</v>
      </c>
      <c r="B1218" s="63">
        <f>B1190-B1217</f>
        <v>2</v>
      </c>
      <c r="C1218" s="26">
        <f t="shared" ref="C1218:G1218" si="356">C1190-C1217</f>
        <v>2</v>
      </c>
      <c r="D1218" s="71">
        <f t="shared" si="356"/>
        <v>2</v>
      </c>
      <c r="E1218" s="26">
        <f t="shared" si="356"/>
        <v>5</v>
      </c>
      <c r="F1218" s="70">
        <f t="shared" si="356"/>
        <v>5</v>
      </c>
      <c r="G1218" s="27">
        <f t="shared" si="356"/>
        <v>16</v>
      </c>
      <c r="I1218" s="25" t="s">
        <v>12</v>
      </c>
      <c r="J1218" s="63">
        <f>J1190-J1217</f>
        <v>144</v>
      </c>
      <c r="K1218" s="26">
        <f t="shared" ref="K1218:O1218" si="357">K1190-K1217</f>
        <v>197</v>
      </c>
      <c r="L1218" s="71">
        <f t="shared" si="357"/>
        <v>154</v>
      </c>
      <c r="M1218" s="26">
        <f t="shared" si="357"/>
        <v>138</v>
      </c>
      <c r="N1218" s="70">
        <f t="shared" si="357"/>
        <v>90</v>
      </c>
      <c r="O1218" s="27">
        <f t="shared" si="357"/>
        <v>723</v>
      </c>
    </row>
    <row r="1219" spans="1:16" ht="17.25" x14ac:dyDescent="0.2">
      <c r="A1219" s="79" t="s">
        <v>391</v>
      </c>
      <c r="B1219" s="80"/>
      <c r="C1219" s="80"/>
      <c r="D1219" s="80"/>
      <c r="E1219" s="80"/>
      <c r="F1219" s="80"/>
      <c r="G1219" s="80"/>
      <c r="H1219" s="56"/>
      <c r="I1219" s="79" t="s">
        <v>391</v>
      </c>
      <c r="J1219" s="80"/>
      <c r="K1219" s="80"/>
      <c r="L1219" s="80"/>
      <c r="M1219" s="80"/>
      <c r="N1219" s="80"/>
      <c r="O1219" s="1"/>
    </row>
    <row r="1220" spans="1:16" ht="21.75" thickBot="1" x14ac:dyDescent="0.25">
      <c r="A1220" s="82" t="s">
        <v>390</v>
      </c>
      <c r="B1220" s="80"/>
      <c r="C1220" s="80"/>
      <c r="D1220" s="80"/>
      <c r="E1220" s="81" t="s">
        <v>53</v>
      </c>
      <c r="F1220" s="80"/>
      <c r="G1220" s="80"/>
      <c r="H1220" s="56"/>
      <c r="I1220" s="82" t="s">
        <v>390</v>
      </c>
      <c r="J1220" s="80"/>
      <c r="K1220" s="80"/>
      <c r="L1220" s="80"/>
      <c r="M1220" s="81" t="s">
        <v>393</v>
      </c>
      <c r="N1220" s="80"/>
      <c r="O1220" s="1"/>
    </row>
    <row r="1221" spans="1:16" ht="14.25" thickBot="1" x14ac:dyDescent="0.2">
      <c r="A1221" s="13" t="s">
        <v>0</v>
      </c>
      <c r="B1221" s="228" t="s">
        <v>392</v>
      </c>
      <c r="C1221" s="229"/>
      <c r="D1221" s="229"/>
      <c r="E1221" s="229"/>
      <c r="F1221" s="230"/>
      <c r="G1221" s="231"/>
      <c r="H1221" s="56"/>
      <c r="I1221" s="13" t="s">
        <v>0</v>
      </c>
      <c r="J1221" s="228" t="s">
        <v>392</v>
      </c>
      <c r="K1221" s="229"/>
      <c r="L1221" s="229"/>
      <c r="M1221" s="229"/>
      <c r="N1221" s="230"/>
      <c r="O1221" s="231"/>
    </row>
    <row r="1222" spans="1:16" ht="14.25" thickBot="1" x14ac:dyDescent="0.2">
      <c r="A1222" s="3" t="s">
        <v>1</v>
      </c>
      <c r="B1222" s="2" t="s">
        <v>42</v>
      </c>
      <c r="C1222" s="21" t="s">
        <v>43</v>
      </c>
      <c r="D1222" s="21" t="s">
        <v>44</v>
      </c>
      <c r="E1222" s="24" t="s">
        <v>45</v>
      </c>
      <c r="F1222" s="33" t="s">
        <v>46</v>
      </c>
      <c r="G1222" s="34" t="s">
        <v>2</v>
      </c>
      <c r="H1222" s="56"/>
      <c r="I1222" s="3" t="s">
        <v>1</v>
      </c>
      <c r="J1222" s="41" t="s">
        <v>42</v>
      </c>
      <c r="K1222" s="42" t="s">
        <v>43</v>
      </c>
      <c r="L1222" s="42" t="s">
        <v>44</v>
      </c>
      <c r="M1222" s="43" t="s">
        <v>45</v>
      </c>
      <c r="N1222" s="44" t="s">
        <v>46</v>
      </c>
      <c r="O1222" s="3" t="s">
        <v>2</v>
      </c>
    </row>
    <row r="1223" spans="1:16" ht="14.25" thickBot="1" x14ac:dyDescent="0.2">
      <c r="A1223" s="72" t="s">
        <v>456</v>
      </c>
      <c r="B1223" s="73">
        <f>B1218</f>
        <v>2</v>
      </c>
      <c r="C1223" s="74">
        <f t="shared" ref="C1223:F1223" si="358">C1218</f>
        <v>2</v>
      </c>
      <c r="D1223" s="74">
        <f t="shared" si="358"/>
        <v>2</v>
      </c>
      <c r="E1223" s="74">
        <f t="shared" si="358"/>
        <v>5</v>
      </c>
      <c r="F1223" s="105">
        <f t="shared" si="358"/>
        <v>5</v>
      </c>
      <c r="G1223" s="131">
        <f t="shared" ref="G1223:G1231" si="359">SUM(B1223:F1223)</f>
        <v>16</v>
      </c>
      <c r="H1223" s="56"/>
      <c r="I1223" s="72" t="s">
        <v>456</v>
      </c>
      <c r="J1223" s="73">
        <f>J1218</f>
        <v>144</v>
      </c>
      <c r="K1223" s="74">
        <f t="shared" ref="K1223:N1223" si="360">K1218</f>
        <v>197</v>
      </c>
      <c r="L1223" s="74">
        <f t="shared" si="360"/>
        <v>154</v>
      </c>
      <c r="M1223" s="74">
        <f t="shared" si="360"/>
        <v>138</v>
      </c>
      <c r="N1223" s="105">
        <f t="shared" si="360"/>
        <v>90</v>
      </c>
      <c r="O1223" s="131">
        <f t="shared" ref="O1223:O1231" si="361">SUM(J1223:N1223)</f>
        <v>723</v>
      </c>
    </row>
    <row r="1224" spans="1:16" x14ac:dyDescent="0.15">
      <c r="A1224" s="15" t="s">
        <v>3</v>
      </c>
      <c r="B1224" s="11"/>
      <c r="C1224" s="100">
        <v>5</v>
      </c>
      <c r="D1224" s="100">
        <v>5</v>
      </c>
      <c r="E1224" s="100"/>
      <c r="F1224" s="101"/>
      <c r="G1224" s="102">
        <f t="shared" ref="G1224:G1229" si="362">SUM(B1224:F1224)</f>
        <v>10</v>
      </c>
      <c r="H1224" s="58">
        <v>44898</v>
      </c>
      <c r="I1224" s="38" t="s">
        <v>14</v>
      </c>
      <c r="J1224" s="37"/>
      <c r="K1224" s="35"/>
      <c r="L1224" s="35"/>
      <c r="M1224" s="35"/>
      <c r="N1224" s="28"/>
      <c r="O1224" s="7">
        <f t="shared" si="361"/>
        <v>0</v>
      </c>
    </row>
    <row r="1225" spans="1:16" x14ac:dyDescent="0.15">
      <c r="A1225" s="15" t="s">
        <v>4</v>
      </c>
      <c r="B1225" s="11"/>
      <c r="C1225" s="100"/>
      <c r="D1225" s="100">
        <v>3</v>
      </c>
      <c r="E1225" s="100"/>
      <c r="F1225" s="101"/>
      <c r="G1225" s="102">
        <f t="shared" si="362"/>
        <v>3</v>
      </c>
      <c r="H1225" s="58">
        <v>44901</v>
      </c>
      <c r="I1225" s="38" t="s">
        <v>19</v>
      </c>
      <c r="J1225" s="8">
        <v>4</v>
      </c>
      <c r="K1225" s="10">
        <v>13</v>
      </c>
      <c r="L1225" s="10">
        <v>4</v>
      </c>
      <c r="M1225" s="10">
        <v>4</v>
      </c>
      <c r="N1225" s="30">
        <v>7</v>
      </c>
      <c r="O1225" s="7">
        <f t="shared" ref="O1225:O1229" si="363">SUM(J1225:N1225)</f>
        <v>32</v>
      </c>
      <c r="P1225" s="57">
        <v>44912</v>
      </c>
    </row>
    <row r="1226" spans="1:16" x14ac:dyDescent="0.15">
      <c r="A1226" s="15" t="s">
        <v>5</v>
      </c>
      <c r="B1226" s="11">
        <v>5</v>
      </c>
      <c r="C1226" s="100">
        <v>10</v>
      </c>
      <c r="D1226" s="100">
        <v>5</v>
      </c>
      <c r="E1226" s="100">
        <v>5</v>
      </c>
      <c r="F1226" s="101">
        <v>5</v>
      </c>
      <c r="G1226" s="102">
        <f t="shared" si="362"/>
        <v>30</v>
      </c>
      <c r="H1226" s="58">
        <v>44910</v>
      </c>
      <c r="I1226" s="38" t="s">
        <v>4</v>
      </c>
      <c r="J1226" s="8"/>
      <c r="K1226" s="10"/>
      <c r="L1226" s="10"/>
      <c r="M1226" s="10"/>
      <c r="N1226" s="30"/>
      <c r="O1226" s="7">
        <f t="shared" si="363"/>
        <v>0</v>
      </c>
    </row>
    <row r="1227" spans="1:16" x14ac:dyDescent="0.15">
      <c r="A1227" s="15" t="s">
        <v>17</v>
      </c>
      <c r="B1227" s="11">
        <v>2</v>
      </c>
      <c r="C1227" s="100"/>
      <c r="D1227" s="100">
        <v>1</v>
      </c>
      <c r="E1227" s="100"/>
      <c r="F1227" s="101"/>
      <c r="G1227" s="102">
        <f t="shared" si="362"/>
        <v>3</v>
      </c>
      <c r="H1227" s="58">
        <v>44922</v>
      </c>
      <c r="I1227" s="38" t="s">
        <v>5</v>
      </c>
      <c r="J1227" s="8"/>
      <c r="K1227" s="10"/>
      <c r="L1227" s="10"/>
      <c r="M1227" s="10"/>
      <c r="N1227" s="30"/>
      <c r="O1227" s="7">
        <f t="shared" si="363"/>
        <v>0</v>
      </c>
    </row>
    <row r="1228" spans="1:16" x14ac:dyDescent="0.15">
      <c r="A1228" s="15" t="s">
        <v>17</v>
      </c>
      <c r="B1228" s="11">
        <v>3</v>
      </c>
      <c r="C1228" s="100"/>
      <c r="D1228" s="100">
        <v>1</v>
      </c>
      <c r="E1228" s="100"/>
      <c r="F1228" s="101"/>
      <c r="G1228" s="102">
        <f t="shared" si="362"/>
        <v>4</v>
      </c>
      <c r="H1228" s="58">
        <v>44938</v>
      </c>
      <c r="I1228" s="38" t="s">
        <v>6</v>
      </c>
      <c r="J1228" s="8"/>
      <c r="K1228" s="10"/>
      <c r="L1228" s="10"/>
      <c r="M1228" s="10"/>
      <c r="N1228" s="30"/>
      <c r="O1228" s="7">
        <f t="shared" si="363"/>
        <v>0</v>
      </c>
    </row>
    <row r="1229" spans="1:16" x14ac:dyDescent="0.15">
      <c r="A1229" s="15" t="s">
        <v>85</v>
      </c>
      <c r="B1229" s="11"/>
      <c r="C1229" s="100">
        <v>5</v>
      </c>
      <c r="D1229" s="100"/>
      <c r="E1229" s="100"/>
      <c r="F1229" s="101"/>
      <c r="G1229" s="102">
        <f t="shared" si="362"/>
        <v>5</v>
      </c>
      <c r="H1229" s="58">
        <v>44971</v>
      </c>
      <c r="I1229" s="38" t="s">
        <v>84</v>
      </c>
      <c r="J1229" s="8"/>
      <c r="K1229" s="10"/>
      <c r="L1229" s="10"/>
      <c r="M1229" s="10"/>
      <c r="N1229" s="30"/>
      <c r="O1229" s="7">
        <f t="shared" si="363"/>
        <v>0</v>
      </c>
    </row>
    <row r="1230" spans="1:16" x14ac:dyDescent="0.15">
      <c r="A1230" s="15" t="s">
        <v>86</v>
      </c>
      <c r="B1230" s="11"/>
      <c r="C1230" s="100"/>
      <c r="D1230" s="100"/>
      <c r="E1230" s="100"/>
      <c r="F1230" s="101"/>
      <c r="G1230" s="102">
        <f t="shared" si="359"/>
        <v>0</v>
      </c>
      <c r="H1230" s="58"/>
      <c r="I1230" s="38" t="s">
        <v>85</v>
      </c>
      <c r="J1230" s="8"/>
      <c r="K1230" s="10"/>
      <c r="L1230" s="10"/>
      <c r="M1230" s="10"/>
      <c r="N1230" s="30"/>
      <c r="O1230" s="7">
        <f t="shared" si="361"/>
        <v>0</v>
      </c>
    </row>
    <row r="1231" spans="1:16" ht="14.25" thickBot="1" x14ac:dyDescent="0.2">
      <c r="A1231" s="15" t="s">
        <v>87</v>
      </c>
      <c r="B1231" s="11"/>
      <c r="C1231" s="100"/>
      <c r="D1231" s="100"/>
      <c r="E1231" s="100"/>
      <c r="F1231" s="101"/>
      <c r="G1231" s="102">
        <f t="shared" si="359"/>
        <v>0</v>
      </c>
      <c r="H1231" s="58"/>
      <c r="I1231" s="38" t="s">
        <v>86</v>
      </c>
      <c r="J1231" s="11"/>
      <c r="K1231" s="100"/>
      <c r="L1231" s="100"/>
      <c r="M1231" s="100"/>
      <c r="N1231" s="101"/>
      <c r="O1231" s="102">
        <f t="shared" si="361"/>
        <v>0</v>
      </c>
    </row>
    <row r="1232" spans="1:16" ht="14.25" thickBot="1" x14ac:dyDescent="0.2">
      <c r="A1232" s="72" t="s">
        <v>7</v>
      </c>
      <c r="B1232" s="73">
        <f>SUM(B1223:B1231)</f>
        <v>12</v>
      </c>
      <c r="C1232" s="74">
        <f t="shared" ref="C1232:G1232" si="364">SUM(C1223:C1231)</f>
        <v>22</v>
      </c>
      <c r="D1232" s="74">
        <f t="shared" si="364"/>
        <v>17</v>
      </c>
      <c r="E1232" s="74">
        <f t="shared" si="364"/>
        <v>10</v>
      </c>
      <c r="F1232" s="105">
        <f t="shared" si="364"/>
        <v>10</v>
      </c>
      <c r="G1232" s="76">
        <f t="shared" si="364"/>
        <v>71</v>
      </c>
      <c r="H1232" s="56"/>
      <c r="I1232" s="72" t="s">
        <v>7</v>
      </c>
      <c r="J1232" s="73">
        <f>SUM(J1223:J1231)</f>
        <v>148</v>
      </c>
      <c r="K1232" s="74">
        <f t="shared" ref="K1232:O1232" si="365">SUM(K1223:K1231)</f>
        <v>210</v>
      </c>
      <c r="L1232" s="74">
        <f t="shared" si="365"/>
        <v>158</v>
      </c>
      <c r="M1232" s="74">
        <f t="shared" si="365"/>
        <v>142</v>
      </c>
      <c r="N1232" s="105">
        <f t="shared" si="365"/>
        <v>97</v>
      </c>
      <c r="O1232" s="76">
        <f t="shared" si="365"/>
        <v>755</v>
      </c>
    </row>
    <row r="1233" spans="1:16" x14ac:dyDescent="0.15">
      <c r="A1233" s="14" t="s">
        <v>29</v>
      </c>
      <c r="B1233" s="8"/>
      <c r="C1233" s="10"/>
      <c r="D1233" s="10">
        <v>1</v>
      </c>
      <c r="E1233" s="10"/>
      <c r="F1233" s="30"/>
      <c r="G1233" s="7">
        <f t="shared" ref="G1233:G1256" si="366">SUM(B1233:F1233)</f>
        <v>1</v>
      </c>
      <c r="H1233" s="58">
        <v>44897</v>
      </c>
      <c r="I1233" s="14" t="s">
        <v>1527</v>
      </c>
      <c r="J1233" s="8"/>
      <c r="K1233" s="10">
        <v>5</v>
      </c>
      <c r="L1233" s="10">
        <v>5</v>
      </c>
      <c r="M1233" s="10"/>
      <c r="N1233" s="30"/>
      <c r="O1233" s="7">
        <f t="shared" ref="O1233:O1238" si="367">SUM(J1233:N1233)</f>
        <v>10</v>
      </c>
      <c r="P1233" s="58">
        <v>44898</v>
      </c>
    </row>
    <row r="1234" spans="1:16" x14ac:dyDescent="0.15">
      <c r="A1234" s="14" t="s">
        <v>1530</v>
      </c>
      <c r="B1234" s="8"/>
      <c r="C1234" s="10">
        <v>2</v>
      </c>
      <c r="D1234" s="10">
        <v>3</v>
      </c>
      <c r="E1234" s="10"/>
      <c r="F1234" s="30">
        <v>1</v>
      </c>
      <c r="G1234" s="7">
        <f t="shared" si="366"/>
        <v>6</v>
      </c>
      <c r="H1234" s="58">
        <v>44901</v>
      </c>
      <c r="I1234" s="14" t="s">
        <v>24</v>
      </c>
      <c r="J1234" s="8"/>
      <c r="K1234" s="10"/>
      <c r="L1234" s="10">
        <v>3</v>
      </c>
      <c r="M1234" s="10"/>
      <c r="N1234" s="30"/>
      <c r="O1234" s="7">
        <f t="shared" si="367"/>
        <v>3</v>
      </c>
      <c r="P1234" s="58">
        <v>44901</v>
      </c>
    </row>
    <row r="1235" spans="1:16" x14ac:dyDescent="0.15">
      <c r="A1235" s="14" t="s">
        <v>29</v>
      </c>
      <c r="B1235" s="8"/>
      <c r="C1235" s="10">
        <v>1</v>
      </c>
      <c r="D1235" s="10"/>
      <c r="E1235" s="10"/>
      <c r="F1235" s="30"/>
      <c r="G1235" s="7">
        <f t="shared" si="366"/>
        <v>1</v>
      </c>
      <c r="H1235" s="58">
        <v>44900</v>
      </c>
      <c r="I1235" s="14" t="s">
        <v>24</v>
      </c>
      <c r="J1235" s="8">
        <v>5</v>
      </c>
      <c r="K1235" s="10">
        <v>10</v>
      </c>
      <c r="L1235" s="10">
        <v>5</v>
      </c>
      <c r="M1235" s="10">
        <v>5</v>
      </c>
      <c r="N1235" s="30">
        <v>5</v>
      </c>
      <c r="O1235" s="7">
        <f t="shared" si="367"/>
        <v>30</v>
      </c>
      <c r="P1235" s="58">
        <v>44910</v>
      </c>
    </row>
    <row r="1236" spans="1:16" x14ac:dyDescent="0.15">
      <c r="A1236" s="14" t="s">
        <v>1533</v>
      </c>
      <c r="B1236" s="8"/>
      <c r="C1236" s="10"/>
      <c r="D1236" s="10"/>
      <c r="E1236" s="10"/>
      <c r="F1236" s="30">
        <v>2</v>
      </c>
      <c r="G1236" s="7">
        <f t="shared" si="366"/>
        <v>2</v>
      </c>
      <c r="H1236" s="58">
        <v>44904</v>
      </c>
      <c r="I1236" s="14" t="s">
        <v>24</v>
      </c>
      <c r="J1236" s="8"/>
      <c r="K1236" s="10">
        <v>5</v>
      </c>
      <c r="L1236" s="10"/>
      <c r="M1236" s="10"/>
      <c r="N1236" s="30"/>
      <c r="O1236" s="7">
        <f t="shared" si="367"/>
        <v>5</v>
      </c>
      <c r="P1236" s="58">
        <v>44971</v>
      </c>
    </row>
    <row r="1237" spans="1:16" x14ac:dyDescent="0.15">
      <c r="A1237" s="14" t="s">
        <v>1534</v>
      </c>
      <c r="B1237" s="8"/>
      <c r="C1237" s="10">
        <v>1</v>
      </c>
      <c r="D1237" s="10"/>
      <c r="E1237" s="10"/>
      <c r="F1237" s="30"/>
      <c r="G1237" s="7">
        <f t="shared" si="366"/>
        <v>1</v>
      </c>
      <c r="H1237" s="58">
        <v>44908</v>
      </c>
      <c r="I1237" s="14"/>
      <c r="J1237" s="8"/>
      <c r="K1237" s="10"/>
      <c r="L1237" s="10"/>
      <c r="M1237" s="10"/>
      <c r="N1237" s="30"/>
      <c r="O1237" s="7">
        <f t="shared" si="367"/>
        <v>0</v>
      </c>
    </row>
    <row r="1238" spans="1:16" x14ac:dyDescent="0.15">
      <c r="A1238" s="14" t="s">
        <v>29</v>
      </c>
      <c r="B1238" s="8"/>
      <c r="C1238" s="10">
        <v>1</v>
      </c>
      <c r="D1238" s="10"/>
      <c r="E1238" s="10"/>
      <c r="F1238" s="30"/>
      <c r="G1238" s="7">
        <f t="shared" si="366"/>
        <v>1</v>
      </c>
      <c r="H1238" s="58">
        <v>44907</v>
      </c>
      <c r="I1238" s="14"/>
      <c r="J1238" s="8"/>
      <c r="K1238" s="10"/>
      <c r="L1238" s="10"/>
      <c r="M1238" s="10"/>
      <c r="N1238" s="30"/>
      <c r="O1238" s="7">
        <f t="shared" si="367"/>
        <v>0</v>
      </c>
    </row>
    <row r="1239" spans="1:16" x14ac:dyDescent="0.15">
      <c r="A1239" s="14" t="s">
        <v>1537</v>
      </c>
      <c r="B1239" s="8">
        <v>1</v>
      </c>
      <c r="C1239" s="10"/>
      <c r="D1239" s="10"/>
      <c r="E1239" s="10"/>
      <c r="F1239" s="30"/>
      <c r="G1239" s="7">
        <f t="shared" si="366"/>
        <v>1</v>
      </c>
      <c r="H1239" s="58">
        <v>44909</v>
      </c>
      <c r="I1239" s="14"/>
      <c r="J1239" s="8"/>
      <c r="K1239" s="10"/>
      <c r="L1239" s="10"/>
      <c r="M1239" s="10"/>
      <c r="N1239" s="30"/>
      <c r="O1239" s="7">
        <f t="shared" ref="O1239:O1250" si="368">SUM(J1239:N1239)</f>
        <v>0</v>
      </c>
    </row>
    <row r="1240" spans="1:16" x14ac:dyDescent="0.15">
      <c r="A1240" s="14" t="s">
        <v>1538</v>
      </c>
      <c r="B1240" s="8"/>
      <c r="C1240" s="10">
        <v>2</v>
      </c>
      <c r="D1240" s="10"/>
      <c r="E1240" s="10"/>
      <c r="F1240" s="30"/>
      <c r="G1240" s="7">
        <f t="shared" si="366"/>
        <v>2</v>
      </c>
      <c r="H1240" s="58">
        <v>44910</v>
      </c>
      <c r="I1240" s="14"/>
      <c r="J1240" s="8"/>
      <c r="K1240" s="10"/>
      <c r="L1240" s="10"/>
      <c r="M1240" s="10"/>
      <c r="N1240" s="30"/>
      <c r="O1240" s="7">
        <f t="shared" si="368"/>
        <v>0</v>
      </c>
    </row>
    <row r="1241" spans="1:16" x14ac:dyDescent="0.15">
      <c r="A1241" s="14" t="s">
        <v>1539</v>
      </c>
      <c r="B1241" s="8">
        <v>1</v>
      </c>
      <c r="C1241" s="10"/>
      <c r="D1241" s="10"/>
      <c r="E1241" s="10"/>
      <c r="F1241" s="30"/>
      <c r="G1241" s="7">
        <f t="shared" si="366"/>
        <v>1</v>
      </c>
      <c r="H1241" s="58">
        <v>44911</v>
      </c>
      <c r="I1241" s="14"/>
      <c r="J1241" s="8"/>
      <c r="K1241" s="10"/>
      <c r="L1241" s="10"/>
      <c r="M1241" s="10"/>
      <c r="N1241" s="30"/>
      <c r="O1241" s="7">
        <f t="shared" si="368"/>
        <v>0</v>
      </c>
    </row>
    <row r="1242" spans="1:16" x14ac:dyDescent="0.15">
      <c r="A1242" s="14" t="s">
        <v>1542</v>
      </c>
      <c r="B1242" s="8"/>
      <c r="C1242" s="10"/>
      <c r="D1242" s="10"/>
      <c r="E1242" s="10">
        <v>1</v>
      </c>
      <c r="F1242" s="30"/>
      <c r="G1242" s="7">
        <f t="shared" si="366"/>
        <v>1</v>
      </c>
      <c r="H1242" s="58">
        <v>44915</v>
      </c>
      <c r="I1242" s="14"/>
      <c r="J1242" s="11"/>
      <c r="K1242" s="12"/>
      <c r="L1242" s="12"/>
      <c r="M1242" s="12"/>
      <c r="N1242" s="31"/>
      <c r="O1242" s="7">
        <f t="shared" si="368"/>
        <v>0</v>
      </c>
    </row>
    <row r="1243" spans="1:16" x14ac:dyDescent="0.15">
      <c r="A1243" s="14" t="s">
        <v>29</v>
      </c>
      <c r="B1243" s="8"/>
      <c r="C1243" s="10"/>
      <c r="D1243" s="10">
        <v>1</v>
      </c>
      <c r="E1243" s="10"/>
      <c r="F1243" s="30"/>
      <c r="G1243" s="7">
        <f t="shared" si="366"/>
        <v>1</v>
      </c>
      <c r="H1243" s="58">
        <v>44918</v>
      </c>
      <c r="I1243" s="14"/>
      <c r="J1243" s="8"/>
      <c r="K1243" s="10"/>
      <c r="L1243" s="10"/>
      <c r="M1243" s="10"/>
      <c r="N1243" s="30"/>
      <c r="O1243" s="7">
        <f t="shared" si="368"/>
        <v>0</v>
      </c>
    </row>
    <row r="1244" spans="1:16" x14ac:dyDescent="0.15">
      <c r="A1244" s="14" t="s">
        <v>29</v>
      </c>
      <c r="B1244" s="8"/>
      <c r="C1244" s="10"/>
      <c r="D1244" s="10"/>
      <c r="E1244" s="10">
        <v>1</v>
      </c>
      <c r="F1244" s="30"/>
      <c r="G1244" s="7">
        <f t="shared" si="366"/>
        <v>1</v>
      </c>
      <c r="H1244" s="58">
        <v>44921</v>
      </c>
      <c r="I1244" s="14"/>
      <c r="J1244" s="8"/>
      <c r="K1244" s="10"/>
      <c r="L1244" s="10"/>
      <c r="M1244" s="10"/>
      <c r="N1244" s="30"/>
      <c r="O1244" s="7">
        <f t="shared" si="368"/>
        <v>0</v>
      </c>
    </row>
    <row r="1245" spans="1:16" x14ac:dyDescent="0.15">
      <c r="A1245" s="14" t="s">
        <v>1550</v>
      </c>
      <c r="B1245" s="8">
        <v>1</v>
      </c>
      <c r="C1245" s="10"/>
      <c r="D1245" s="10"/>
      <c r="E1245" s="10"/>
      <c r="F1245" s="30"/>
      <c r="G1245" s="7">
        <f t="shared" si="366"/>
        <v>1</v>
      </c>
      <c r="H1245" s="58">
        <v>44932</v>
      </c>
      <c r="I1245" s="14"/>
      <c r="J1245" s="8"/>
      <c r="K1245" s="10"/>
      <c r="L1245" s="10"/>
      <c r="M1245" s="10"/>
      <c r="N1245" s="30"/>
      <c r="O1245" s="7">
        <f t="shared" si="368"/>
        <v>0</v>
      </c>
    </row>
    <row r="1246" spans="1:16" x14ac:dyDescent="0.15">
      <c r="A1246" s="14" t="s">
        <v>1551</v>
      </c>
      <c r="B1246" s="8"/>
      <c r="C1246" s="10">
        <v>1</v>
      </c>
      <c r="D1246" s="10"/>
      <c r="E1246" s="10"/>
      <c r="F1246" s="30"/>
      <c r="G1246" s="7">
        <f t="shared" si="366"/>
        <v>1</v>
      </c>
      <c r="H1246" s="58">
        <v>44936</v>
      </c>
      <c r="I1246" s="14"/>
      <c r="J1246" s="8"/>
      <c r="K1246" s="10"/>
      <c r="L1246" s="10"/>
      <c r="M1246" s="10"/>
      <c r="N1246" s="30"/>
      <c r="O1246" s="7">
        <f t="shared" si="368"/>
        <v>0</v>
      </c>
    </row>
    <row r="1247" spans="1:16" x14ac:dyDescent="0.15">
      <c r="A1247" s="14" t="s">
        <v>29</v>
      </c>
      <c r="B1247" s="8"/>
      <c r="C1247" s="10"/>
      <c r="D1247" s="10">
        <v>1</v>
      </c>
      <c r="E1247" s="10"/>
      <c r="F1247" s="30"/>
      <c r="G1247" s="7">
        <f t="shared" si="366"/>
        <v>1</v>
      </c>
      <c r="H1247" s="58">
        <v>44932</v>
      </c>
      <c r="I1247" s="14"/>
      <c r="J1247" s="8"/>
      <c r="K1247" s="10"/>
      <c r="L1247" s="10"/>
      <c r="M1247" s="10"/>
      <c r="N1247" s="30"/>
      <c r="O1247" s="7">
        <f t="shared" si="368"/>
        <v>0</v>
      </c>
    </row>
    <row r="1248" spans="1:16" x14ac:dyDescent="0.15">
      <c r="A1248" s="14" t="s">
        <v>29</v>
      </c>
      <c r="B1248" s="8"/>
      <c r="C1248" s="10">
        <v>1</v>
      </c>
      <c r="D1248" s="10"/>
      <c r="E1248" s="10"/>
      <c r="F1248" s="30"/>
      <c r="G1248" s="7">
        <f t="shared" si="366"/>
        <v>1</v>
      </c>
      <c r="H1248" s="58">
        <v>44936</v>
      </c>
      <c r="I1248" s="16"/>
      <c r="J1248" s="8"/>
      <c r="K1248" s="10"/>
      <c r="L1248" s="10"/>
      <c r="M1248" s="10"/>
      <c r="N1248" s="30"/>
      <c r="O1248" s="7">
        <f t="shared" si="368"/>
        <v>0</v>
      </c>
    </row>
    <row r="1249" spans="1:15" x14ac:dyDescent="0.15">
      <c r="A1249" s="14" t="s">
        <v>29</v>
      </c>
      <c r="B1249" s="8"/>
      <c r="C1249" s="10">
        <v>2</v>
      </c>
      <c r="D1249" s="10"/>
      <c r="E1249" s="10"/>
      <c r="F1249" s="30"/>
      <c r="G1249" s="7">
        <f t="shared" si="366"/>
        <v>2</v>
      </c>
      <c r="H1249" s="58">
        <v>44942</v>
      </c>
      <c r="I1249" s="16"/>
      <c r="J1249" s="8"/>
      <c r="K1249" s="10"/>
      <c r="L1249" s="10"/>
      <c r="M1249" s="10"/>
      <c r="N1249" s="30"/>
      <c r="O1249" s="7">
        <f t="shared" si="368"/>
        <v>0</v>
      </c>
    </row>
    <row r="1250" spans="1:15" x14ac:dyDescent="0.15">
      <c r="A1250" s="14" t="s">
        <v>1554</v>
      </c>
      <c r="B1250" s="8"/>
      <c r="C1250" s="10">
        <v>1</v>
      </c>
      <c r="D1250" s="10"/>
      <c r="E1250" s="10"/>
      <c r="F1250" s="30"/>
      <c r="G1250" s="7">
        <f t="shared" si="366"/>
        <v>1</v>
      </c>
      <c r="H1250" s="58">
        <v>44949</v>
      </c>
      <c r="I1250" s="16"/>
      <c r="J1250" s="11"/>
      <c r="K1250" s="12"/>
      <c r="L1250" s="12"/>
      <c r="M1250" s="12"/>
      <c r="N1250" s="31"/>
      <c r="O1250" s="7">
        <f t="shared" si="368"/>
        <v>0</v>
      </c>
    </row>
    <row r="1251" spans="1:15" x14ac:dyDescent="0.15">
      <c r="A1251" s="14" t="s">
        <v>1555</v>
      </c>
      <c r="B1251" s="8"/>
      <c r="C1251" s="10">
        <v>1</v>
      </c>
      <c r="D1251" s="10"/>
      <c r="E1251" s="10"/>
      <c r="F1251" s="30"/>
      <c r="G1251" s="7">
        <f t="shared" si="366"/>
        <v>1</v>
      </c>
      <c r="H1251" s="58">
        <v>44950</v>
      </c>
      <c r="I1251" s="16"/>
      <c r="J1251" s="8"/>
      <c r="K1251" s="10"/>
      <c r="L1251" s="10"/>
      <c r="M1251" s="10"/>
      <c r="N1251" s="30"/>
      <c r="O1251" s="7">
        <f>SUM(J1251:N1251)</f>
        <v>0</v>
      </c>
    </row>
    <row r="1252" spans="1:15" x14ac:dyDescent="0.15">
      <c r="A1252" s="14" t="s">
        <v>29</v>
      </c>
      <c r="B1252" s="8"/>
      <c r="C1252" s="10"/>
      <c r="D1252" s="10">
        <v>1</v>
      </c>
      <c r="E1252" s="10"/>
      <c r="F1252" s="30"/>
      <c r="G1252" s="7">
        <f t="shared" si="366"/>
        <v>1</v>
      </c>
      <c r="H1252" s="58">
        <v>44963</v>
      </c>
      <c r="I1252" s="64"/>
      <c r="J1252" s="11"/>
      <c r="K1252" s="12"/>
      <c r="L1252" s="12"/>
      <c r="M1252" s="12"/>
      <c r="N1252" s="31"/>
      <c r="O1252" s="7">
        <f t="shared" ref="O1252:O1256" si="369">SUM(J1252:N1252)</f>
        <v>0</v>
      </c>
    </row>
    <row r="1253" spans="1:15" x14ac:dyDescent="0.15">
      <c r="A1253" s="14" t="s">
        <v>29</v>
      </c>
      <c r="B1253" s="8"/>
      <c r="C1253" s="10">
        <v>1</v>
      </c>
      <c r="D1253" s="10"/>
      <c r="E1253" s="10"/>
      <c r="F1253" s="30"/>
      <c r="G1253" s="7">
        <f t="shared" si="366"/>
        <v>1</v>
      </c>
      <c r="H1253" s="58">
        <v>44964</v>
      </c>
      <c r="I1253" s="14"/>
      <c r="J1253" s="8"/>
      <c r="K1253" s="10"/>
      <c r="L1253" s="10"/>
      <c r="M1253" s="10"/>
      <c r="N1253" s="30"/>
      <c r="O1253" s="7">
        <f t="shared" si="369"/>
        <v>0</v>
      </c>
    </row>
    <row r="1254" spans="1:15" x14ac:dyDescent="0.15">
      <c r="A1254" s="14" t="s">
        <v>29</v>
      </c>
      <c r="B1254" s="8"/>
      <c r="C1254" s="10"/>
      <c r="D1254" s="10">
        <v>1</v>
      </c>
      <c r="E1254" s="10"/>
      <c r="F1254" s="30"/>
      <c r="G1254" s="7">
        <f t="shared" si="366"/>
        <v>1</v>
      </c>
      <c r="H1254" s="58">
        <v>44965</v>
      </c>
      <c r="I1254" s="14"/>
      <c r="J1254" s="8"/>
      <c r="K1254" s="10"/>
      <c r="L1254" s="10"/>
      <c r="M1254" s="10"/>
      <c r="N1254" s="30"/>
      <c r="O1254" s="7">
        <f t="shared" si="369"/>
        <v>0</v>
      </c>
    </row>
    <row r="1255" spans="1:15" x14ac:dyDescent="0.15">
      <c r="A1255" s="14" t="s">
        <v>1558</v>
      </c>
      <c r="B1255" s="8"/>
      <c r="C1255" s="10"/>
      <c r="D1255" s="10">
        <v>-1</v>
      </c>
      <c r="E1255" s="10"/>
      <c r="F1255" s="30"/>
      <c r="G1255" s="7">
        <f t="shared" si="366"/>
        <v>-1</v>
      </c>
      <c r="H1255" s="58">
        <v>44970</v>
      </c>
      <c r="I1255" s="14"/>
      <c r="J1255" s="8"/>
      <c r="K1255" s="10"/>
      <c r="L1255" s="10"/>
      <c r="M1255" s="10"/>
      <c r="N1255" s="30"/>
      <c r="O1255" s="7">
        <f t="shared" si="369"/>
        <v>0</v>
      </c>
    </row>
    <row r="1256" spans="1:15" x14ac:dyDescent="0.15">
      <c r="A1256" s="14" t="s">
        <v>29</v>
      </c>
      <c r="B1256" s="8"/>
      <c r="C1256" s="10">
        <v>1</v>
      </c>
      <c r="D1256" s="10"/>
      <c r="E1256" s="10"/>
      <c r="F1256" s="30"/>
      <c r="G1256" s="7">
        <f t="shared" si="366"/>
        <v>1</v>
      </c>
      <c r="H1256" s="58">
        <v>44971</v>
      </c>
      <c r="I1256" s="14"/>
      <c r="J1256" s="8"/>
      <c r="K1256" s="10"/>
      <c r="L1256" s="10"/>
      <c r="M1256" s="10"/>
      <c r="N1256" s="30"/>
      <c r="O1256" s="7">
        <f t="shared" si="369"/>
        <v>0</v>
      </c>
    </row>
    <row r="1257" spans="1:15" x14ac:dyDescent="0.15">
      <c r="A1257" s="14" t="s">
        <v>117</v>
      </c>
      <c r="B1257" s="8">
        <v>1</v>
      </c>
      <c r="C1257" s="10"/>
      <c r="D1257" s="10"/>
      <c r="E1257" s="10"/>
      <c r="F1257" s="30"/>
      <c r="G1257" s="7">
        <f t="shared" ref="G1257:G1258" si="370">SUM(B1257:F1257)</f>
        <v>1</v>
      </c>
      <c r="H1257" s="58">
        <v>44974</v>
      </c>
      <c r="I1257" s="14"/>
      <c r="J1257" s="8"/>
      <c r="K1257" s="10"/>
      <c r="L1257" s="10"/>
      <c r="M1257" s="10"/>
      <c r="N1257" s="30"/>
      <c r="O1257" s="7">
        <f t="shared" ref="O1257" si="371">SUM(J1257:N1257)</f>
        <v>0</v>
      </c>
    </row>
    <row r="1258" spans="1:15" ht="14.25" thickBot="1" x14ac:dyDescent="0.2">
      <c r="A1258" s="14" t="s">
        <v>29</v>
      </c>
      <c r="B1258" s="11"/>
      <c r="C1258" s="12">
        <v>1</v>
      </c>
      <c r="D1258" s="12"/>
      <c r="E1258" s="12"/>
      <c r="F1258" s="31"/>
      <c r="G1258" s="115">
        <f t="shared" si="370"/>
        <v>1</v>
      </c>
      <c r="H1258" s="58">
        <v>44974</v>
      </c>
      <c r="I1258" s="14"/>
      <c r="J1258" s="8"/>
      <c r="K1258" s="10"/>
      <c r="L1258" s="10"/>
      <c r="M1258" s="10"/>
      <c r="N1258" s="30"/>
      <c r="O1258" s="7">
        <f t="shared" ref="O1258" si="372">SUM(J1258:N1258)</f>
        <v>0</v>
      </c>
    </row>
    <row r="1259" spans="1:15" ht="14.25" thickBot="1" x14ac:dyDescent="0.2">
      <c r="A1259" s="3" t="s">
        <v>11</v>
      </c>
      <c r="B1259" s="23">
        <f>SUM(B1233:B1258)</f>
        <v>4</v>
      </c>
      <c r="C1259" s="4">
        <f>SUM(C1233:C1258)</f>
        <v>16</v>
      </c>
      <c r="D1259" s="4">
        <f>SUM(D1233:D1258)</f>
        <v>7</v>
      </c>
      <c r="E1259" s="6">
        <f>SUM(E1233:E1258)</f>
        <v>2</v>
      </c>
      <c r="F1259" s="32">
        <f>SUM(F1233:F1258)</f>
        <v>3</v>
      </c>
      <c r="G1259" s="5">
        <f>SUM(B1259:F1259)</f>
        <v>32</v>
      </c>
      <c r="I1259" s="3" t="s">
        <v>11</v>
      </c>
      <c r="J1259" s="23">
        <f>SUM(J1233:J1258)</f>
        <v>5</v>
      </c>
      <c r="K1259" s="4">
        <f>SUM(K1233:K1258)</f>
        <v>20</v>
      </c>
      <c r="L1259" s="4">
        <f>SUM(L1233:L1258)</f>
        <v>13</v>
      </c>
      <c r="M1259" s="6">
        <f>SUM(M1233:M1258)</f>
        <v>5</v>
      </c>
      <c r="N1259" s="32">
        <f>SUM(N1233:N1258)</f>
        <v>5</v>
      </c>
      <c r="O1259" s="5">
        <f>SUM(J1259:N1259)</f>
        <v>48</v>
      </c>
    </row>
    <row r="1260" spans="1:15" ht="14.25" thickBot="1" x14ac:dyDescent="0.2">
      <c r="A1260" s="25" t="s">
        <v>12</v>
      </c>
      <c r="B1260" s="63">
        <f>B1232-B1259</f>
        <v>8</v>
      </c>
      <c r="C1260" s="26">
        <f t="shared" ref="C1260:G1260" si="373">C1232-C1259</f>
        <v>6</v>
      </c>
      <c r="D1260" s="71">
        <f t="shared" si="373"/>
        <v>10</v>
      </c>
      <c r="E1260" s="26">
        <f t="shared" si="373"/>
        <v>8</v>
      </c>
      <c r="F1260" s="70">
        <f t="shared" si="373"/>
        <v>7</v>
      </c>
      <c r="G1260" s="27">
        <f t="shared" si="373"/>
        <v>39</v>
      </c>
      <c r="I1260" s="25" t="s">
        <v>12</v>
      </c>
      <c r="J1260" s="63">
        <f>J1232-J1259</f>
        <v>143</v>
      </c>
      <c r="K1260" s="26">
        <f t="shared" ref="K1260:O1260" si="374">K1232-K1259</f>
        <v>190</v>
      </c>
      <c r="L1260" s="71">
        <f t="shared" si="374"/>
        <v>145</v>
      </c>
      <c r="M1260" s="26">
        <f t="shared" si="374"/>
        <v>137</v>
      </c>
      <c r="N1260" s="70">
        <f t="shared" si="374"/>
        <v>92</v>
      </c>
      <c r="O1260" s="27">
        <f t="shared" si="374"/>
        <v>707</v>
      </c>
    </row>
    <row r="1261" spans="1:15" ht="17.25" x14ac:dyDescent="0.2">
      <c r="A1261" s="79" t="s">
        <v>391</v>
      </c>
      <c r="B1261" s="80"/>
      <c r="C1261" s="80"/>
      <c r="D1261" s="80"/>
      <c r="E1261" s="80"/>
      <c r="F1261" s="80"/>
      <c r="G1261" s="80"/>
      <c r="H1261" s="56"/>
      <c r="I1261" s="79" t="s">
        <v>391</v>
      </c>
      <c r="J1261" s="80"/>
      <c r="K1261" s="80"/>
      <c r="L1261" s="80"/>
      <c r="M1261" s="80"/>
      <c r="N1261" s="80"/>
      <c r="O1261" s="1"/>
    </row>
    <row r="1262" spans="1:15" ht="21.75" thickBot="1" x14ac:dyDescent="0.25">
      <c r="A1262" s="82" t="s">
        <v>390</v>
      </c>
      <c r="B1262" s="80"/>
      <c r="C1262" s="80"/>
      <c r="D1262" s="80"/>
      <c r="E1262" s="81" t="s">
        <v>53</v>
      </c>
      <c r="F1262" s="80"/>
      <c r="G1262" s="80"/>
      <c r="H1262" s="56"/>
      <c r="I1262" s="82" t="s">
        <v>390</v>
      </c>
      <c r="J1262" s="80"/>
      <c r="K1262" s="80"/>
      <c r="L1262" s="80"/>
      <c r="M1262" s="81" t="s">
        <v>393</v>
      </c>
      <c r="N1262" s="80"/>
      <c r="O1262" s="1"/>
    </row>
    <row r="1263" spans="1:15" ht="14.25" thickBot="1" x14ac:dyDescent="0.2">
      <c r="A1263" s="13" t="s">
        <v>0</v>
      </c>
      <c r="B1263" s="228" t="s">
        <v>392</v>
      </c>
      <c r="C1263" s="229"/>
      <c r="D1263" s="229"/>
      <c r="E1263" s="229"/>
      <c r="F1263" s="230"/>
      <c r="G1263" s="231"/>
      <c r="H1263" s="56"/>
      <c r="I1263" s="13" t="s">
        <v>0</v>
      </c>
      <c r="J1263" s="228" t="s">
        <v>392</v>
      </c>
      <c r="K1263" s="229"/>
      <c r="L1263" s="229"/>
      <c r="M1263" s="229"/>
      <c r="N1263" s="230"/>
      <c r="O1263" s="231"/>
    </row>
    <row r="1264" spans="1:15" ht="14.25" thickBot="1" x14ac:dyDescent="0.2">
      <c r="A1264" s="3" t="s">
        <v>1</v>
      </c>
      <c r="B1264" s="2" t="s">
        <v>42</v>
      </c>
      <c r="C1264" s="21" t="s">
        <v>43</v>
      </c>
      <c r="D1264" s="21" t="s">
        <v>44</v>
      </c>
      <c r="E1264" s="24" t="s">
        <v>45</v>
      </c>
      <c r="F1264" s="33" t="s">
        <v>46</v>
      </c>
      <c r="G1264" s="34" t="s">
        <v>2</v>
      </c>
      <c r="H1264" s="56"/>
      <c r="I1264" s="3" t="s">
        <v>1</v>
      </c>
      <c r="J1264" s="41" t="s">
        <v>42</v>
      </c>
      <c r="K1264" s="42" t="s">
        <v>43</v>
      </c>
      <c r="L1264" s="42" t="s">
        <v>44</v>
      </c>
      <c r="M1264" s="43" t="s">
        <v>45</v>
      </c>
      <c r="N1264" s="44" t="s">
        <v>46</v>
      </c>
      <c r="O1264" s="3" t="s">
        <v>2</v>
      </c>
    </row>
    <row r="1265" spans="1:18" ht="14.25" thickBot="1" x14ac:dyDescent="0.2">
      <c r="A1265" s="72" t="s">
        <v>456</v>
      </c>
      <c r="B1265" s="73">
        <f>B1260</f>
        <v>8</v>
      </c>
      <c r="C1265" s="74">
        <f t="shared" ref="C1265:F1265" si="375">C1260</f>
        <v>6</v>
      </c>
      <c r="D1265" s="74">
        <f t="shared" si="375"/>
        <v>10</v>
      </c>
      <c r="E1265" s="74">
        <f t="shared" si="375"/>
        <v>8</v>
      </c>
      <c r="F1265" s="105">
        <f t="shared" si="375"/>
        <v>7</v>
      </c>
      <c r="G1265" s="131">
        <f t="shared" ref="G1265:G1273" si="376">SUM(B1265:F1265)</f>
        <v>39</v>
      </c>
      <c r="H1265" s="56"/>
      <c r="I1265" s="72" t="s">
        <v>456</v>
      </c>
      <c r="J1265" s="73">
        <f>J1260</f>
        <v>143</v>
      </c>
      <c r="K1265" s="74">
        <f t="shared" ref="K1265:N1265" si="377">K1260</f>
        <v>190</v>
      </c>
      <c r="L1265" s="74">
        <f t="shared" si="377"/>
        <v>145</v>
      </c>
      <c r="M1265" s="74">
        <f t="shared" si="377"/>
        <v>137</v>
      </c>
      <c r="N1265" s="105">
        <f t="shared" si="377"/>
        <v>92</v>
      </c>
      <c r="O1265" s="131">
        <f t="shared" ref="O1265:O1273" si="378">SUM(J1265:N1265)</f>
        <v>707</v>
      </c>
    </row>
    <row r="1266" spans="1:18" x14ac:dyDescent="0.15">
      <c r="A1266" s="15" t="s">
        <v>3</v>
      </c>
      <c r="B1266" s="11"/>
      <c r="C1266" s="100">
        <v>5</v>
      </c>
      <c r="D1266" s="100"/>
      <c r="E1266" s="100"/>
      <c r="F1266" s="101"/>
      <c r="G1266" s="102">
        <f t="shared" ref="G1266:G1270" si="379">SUM(B1266:F1266)</f>
        <v>5</v>
      </c>
      <c r="H1266" s="58">
        <v>44993</v>
      </c>
      <c r="I1266" s="38" t="s">
        <v>14</v>
      </c>
      <c r="J1266" s="37"/>
      <c r="K1266" s="35"/>
      <c r="L1266" s="35"/>
      <c r="M1266" s="35"/>
      <c r="N1266" s="28"/>
      <c r="O1266" s="7">
        <f t="shared" si="378"/>
        <v>0</v>
      </c>
    </row>
    <row r="1267" spans="1:18" x14ac:dyDescent="0.15">
      <c r="A1267" s="15" t="s">
        <v>4</v>
      </c>
      <c r="B1267" s="11">
        <v>3</v>
      </c>
      <c r="C1267" s="100">
        <v>5</v>
      </c>
      <c r="D1267" s="100"/>
      <c r="E1267" s="100">
        <v>3</v>
      </c>
      <c r="F1267" s="101"/>
      <c r="G1267" s="102">
        <f t="shared" si="379"/>
        <v>11</v>
      </c>
      <c r="H1267" s="58">
        <v>45016</v>
      </c>
      <c r="I1267" s="38" t="s">
        <v>3</v>
      </c>
      <c r="J1267" s="8"/>
      <c r="K1267" s="10"/>
      <c r="L1267" s="10"/>
      <c r="M1267" s="10"/>
      <c r="N1267" s="30"/>
      <c r="O1267" s="7">
        <f t="shared" ref="O1267" si="380">SUM(J1267:N1267)</f>
        <v>0</v>
      </c>
    </row>
    <row r="1268" spans="1:18" x14ac:dyDescent="0.15">
      <c r="A1268" s="15" t="s">
        <v>5</v>
      </c>
      <c r="B1268" s="11">
        <v>5</v>
      </c>
      <c r="C1268" s="100">
        <v>5</v>
      </c>
      <c r="D1268" s="100">
        <v>10</v>
      </c>
      <c r="E1268" s="100">
        <v>10</v>
      </c>
      <c r="F1268" s="101"/>
      <c r="G1268" s="102">
        <f t="shared" si="379"/>
        <v>30</v>
      </c>
      <c r="H1268" s="58">
        <v>45020</v>
      </c>
      <c r="I1268" s="38" t="s">
        <v>4</v>
      </c>
      <c r="J1268" s="8"/>
      <c r="K1268" s="10"/>
      <c r="L1268" s="10"/>
      <c r="M1268" s="10"/>
      <c r="N1268" s="30"/>
      <c r="O1268" s="7">
        <f t="shared" si="378"/>
        <v>0</v>
      </c>
    </row>
    <row r="1269" spans="1:18" x14ac:dyDescent="0.15">
      <c r="A1269" s="15" t="s">
        <v>1574</v>
      </c>
      <c r="B1269" s="11"/>
      <c r="C1269" s="100">
        <v>2</v>
      </c>
      <c r="D1269" s="100">
        <v>1</v>
      </c>
      <c r="E1269" s="100"/>
      <c r="F1269" s="101"/>
      <c r="G1269" s="102">
        <f t="shared" si="379"/>
        <v>3</v>
      </c>
      <c r="H1269" s="58">
        <v>45064</v>
      </c>
      <c r="I1269" s="38" t="s">
        <v>5</v>
      </c>
      <c r="J1269" s="8"/>
      <c r="K1269" s="10"/>
      <c r="L1269" s="10"/>
      <c r="M1269" s="10"/>
      <c r="N1269" s="30"/>
      <c r="O1269" s="7">
        <f t="shared" si="378"/>
        <v>0</v>
      </c>
    </row>
    <row r="1270" spans="1:18" x14ac:dyDescent="0.15">
      <c r="A1270" s="15" t="s">
        <v>1574</v>
      </c>
      <c r="B1270" s="11">
        <v>1</v>
      </c>
      <c r="C1270" s="100">
        <v>1</v>
      </c>
      <c r="D1270" s="100"/>
      <c r="E1270" s="100"/>
      <c r="F1270" s="101"/>
      <c r="G1270" s="102">
        <f t="shared" si="379"/>
        <v>2</v>
      </c>
      <c r="H1270" s="58">
        <v>45065</v>
      </c>
      <c r="I1270" s="38" t="s">
        <v>6</v>
      </c>
      <c r="J1270" s="8"/>
      <c r="K1270" s="10"/>
      <c r="L1270" s="10"/>
      <c r="M1270" s="10"/>
      <c r="N1270" s="30"/>
      <c r="O1270" s="7">
        <f t="shared" si="378"/>
        <v>0</v>
      </c>
    </row>
    <row r="1271" spans="1:18" x14ac:dyDescent="0.15">
      <c r="A1271" s="15" t="s">
        <v>85</v>
      </c>
      <c r="B1271" s="11"/>
      <c r="C1271" s="100"/>
      <c r="D1271" s="100"/>
      <c r="E1271" s="100"/>
      <c r="F1271" s="101">
        <v>5</v>
      </c>
      <c r="G1271" s="102">
        <f t="shared" si="376"/>
        <v>5</v>
      </c>
      <c r="H1271" s="58">
        <v>45078</v>
      </c>
      <c r="I1271" s="38" t="s">
        <v>84</v>
      </c>
      <c r="J1271" s="8"/>
      <c r="K1271" s="10"/>
      <c r="L1271" s="10"/>
      <c r="M1271" s="10"/>
      <c r="N1271" s="30"/>
      <c r="O1271" s="7">
        <f t="shared" si="378"/>
        <v>0</v>
      </c>
    </row>
    <row r="1272" spans="1:18" x14ac:dyDescent="0.15">
      <c r="A1272" s="15" t="s">
        <v>86</v>
      </c>
      <c r="B1272" s="11"/>
      <c r="C1272" s="100"/>
      <c r="D1272" s="100"/>
      <c r="E1272" s="100"/>
      <c r="F1272" s="101"/>
      <c r="G1272" s="102">
        <f t="shared" si="376"/>
        <v>0</v>
      </c>
      <c r="H1272" s="58"/>
      <c r="I1272" s="38" t="s">
        <v>85</v>
      </c>
      <c r="J1272" s="8"/>
      <c r="K1272" s="10"/>
      <c r="L1272" s="10"/>
      <c r="M1272" s="10"/>
      <c r="N1272" s="30"/>
      <c r="O1272" s="7">
        <f t="shared" si="378"/>
        <v>0</v>
      </c>
    </row>
    <row r="1273" spans="1:18" ht="14.25" thickBot="1" x14ac:dyDescent="0.2">
      <c r="A1273" s="15" t="s">
        <v>87</v>
      </c>
      <c r="B1273" s="11"/>
      <c r="C1273" s="100"/>
      <c r="D1273" s="100"/>
      <c r="E1273" s="100"/>
      <c r="F1273" s="101"/>
      <c r="G1273" s="102">
        <f t="shared" si="376"/>
        <v>0</v>
      </c>
      <c r="H1273" s="58"/>
      <c r="I1273" s="38" t="s">
        <v>86</v>
      </c>
      <c r="J1273" s="11"/>
      <c r="K1273" s="100"/>
      <c r="L1273" s="100"/>
      <c r="M1273" s="100"/>
      <c r="N1273" s="101"/>
      <c r="O1273" s="102">
        <f t="shared" si="378"/>
        <v>0</v>
      </c>
    </row>
    <row r="1274" spans="1:18" ht="14.25" thickBot="1" x14ac:dyDescent="0.2">
      <c r="A1274" s="72" t="s">
        <v>7</v>
      </c>
      <c r="B1274" s="73">
        <f>SUM(B1265:B1273)</f>
        <v>17</v>
      </c>
      <c r="C1274" s="74">
        <f t="shared" ref="C1274:G1274" si="381">SUM(C1265:C1273)</f>
        <v>24</v>
      </c>
      <c r="D1274" s="74">
        <f t="shared" si="381"/>
        <v>21</v>
      </c>
      <c r="E1274" s="74">
        <f t="shared" si="381"/>
        <v>21</v>
      </c>
      <c r="F1274" s="105">
        <f t="shared" si="381"/>
        <v>12</v>
      </c>
      <c r="G1274" s="76">
        <f t="shared" si="381"/>
        <v>95</v>
      </c>
      <c r="H1274" s="56"/>
      <c r="I1274" s="72" t="s">
        <v>7</v>
      </c>
      <c r="J1274" s="73">
        <f>SUM(J1265:J1273)</f>
        <v>143</v>
      </c>
      <c r="K1274" s="74">
        <f t="shared" ref="K1274:O1274" si="382">SUM(K1265:K1273)</f>
        <v>190</v>
      </c>
      <c r="L1274" s="74">
        <f t="shared" si="382"/>
        <v>145</v>
      </c>
      <c r="M1274" s="74">
        <f t="shared" si="382"/>
        <v>137</v>
      </c>
      <c r="N1274" s="105">
        <f t="shared" si="382"/>
        <v>92</v>
      </c>
      <c r="O1274" s="76">
        <f t="shared" si="382"/>
        <v>707</v>
      </c>
    </row>
    <row r="1275" spans="1:18" x14ac:dyDescent="0.15">
      <c r="A1275" s="14" t="s">
        <v>29</v>
      </c>
      <c r="B1275" s="8"/>
      <c r="C1275" s="10">
        <v>1</v>
      </c>
      <c r="D1275" s="10"/>
      <c r="E1275" s="10"/>
      <c r="F1275" s="30"/>
      <c r="G1275" s="7">
        <f t="shared" ref="G1275:G1297" si="383">SUM(B1275:F1275)</f>
        <v>1</v>
      </c>
      <c r="H1275" s="58">
        <v>44977</v>
      </c>
      <c r="I1275" s="14" t="s">
        <v>24</v>
      </c>
      <c r="J1275" s="8"/>
      <c r="K1275" s="10">
        <v>5</v>
      </c>
      <c r="L1275" s="10"/>
      <c r="M1275" s="10"/>
      <c r="N1275" s="30"/>
      <c r="O1275" s="7">
        <f t="shared" ref="O1275" si="384">SUM(J1275:N1275)</f>
        <v>5</v>
      </c>
      <c r="P1275" s="58">
        <v>44993</v>
      </c>
    </row>
    <row r="1276" spans="1:18" x14ac:dyDescent="0.15">
      <c r="A1276" s="14" t="s">
        <v>29</v>
      </c>
      <c r="B1276" s="8"/>
      <c r="C1276" s="10">
        <v>1</v>
      </c>
      <c r="D1276" s="10"/>
      <c r="E1276" s="10"/>
      <c r="F1276" s="30"/>
      <c r="G1276" s="7">
        <f t="shared" si="383"/>
        <v>1</v>
      </c>
      <c r="H1276" s="58">
        <v>44985</v>
      </c>
      <c r="I1276" s="14" t="s">
        <v>24</v>
      </c>
      <c r="J1276" s="8">
        <v>3</v>
      </c>
      <c r="K1276" s="10">
        <v>5</v>
      </c>
      <c r="L1276" s="10"/>
      <c r="M1276" s="10">
        <v>3</v>
      </c>
      <c r="N1276" s="30"/>
      <c r="O1276" s="7">
        <f t="shared" ref="O1276:O1278" si="385">SUM(J1276:N1276)</f>
        <v>11</v>
      </c>
      <c r="P1276" s="58">
        <v>45016</v>
      </c>
      <c r="Q1276" s="56"/>
      <c r="R1276" s="56"/>
    </row>
    <row r="1277" spans="1:18" x14ac:dyDescent="0.15">
      <c r="A1277" s="14" t="s">
        <v>29</v>
      </c>
      <c r="B1277" s="8"/>
      <c r="C1277" s="10"/>
      <c r="D1277" s="10">
        <v>1</v>
      </c>
      <c r="E1277" s="10"/>
      <c r="F1277" s="30">
        <v>3</v>
      </c>
      <c r="G1277" s="7">
        <f t="shared" si="383"/>
        <v>4</v>
      </c>
      <c r="H1277" s="58">
        <v>44986</v>
      </c>
      <c r="I1277" s="14" t="s">
        <v>24</v>
      </c>
      <c r="J1277" s="8"/>
      <c r="K1277" s="10"/>
      <c r="L1277" s="10">
        <v>10</v>
      </c>
      <c r="M1277" s="10">
        <v>10</v>
      </c>
      <c r="N1277" s="30"/>
      <c r="O1277" s="7">
        <f t="shared" si="385"/>
        <v>20</v>
      </c>
      <c r="P1277" s="58">
        <v>45020</v>
      </c>
    </row>
    <row r="1278" spans="1:18" x14ac:dyDescent="0.15">
      <c r="A1278" s="14" t="s">
        <v>29</v>
      </c>
      <c r="B1278" s="8"/>
      <c r="C1278" s="10">
        <v>1</v>
      </c>
      <c r="D1278" s="10"/>
      <c r="E1278" s="10"/>
      <c r="F1278" s="30"/>
      <c r="G1278" s="7">
        <f t="shared" si="383"/>
        <v>1</v>
      </c>
      <c r="H1278" s="58">
        <v>44987</v>
      </c>
      <c r="I1278" s="14" t="s">
        <v>24</v>
      </c>
      <c r="J1278" s="8"/>
      <c r="K1278" s="10"/>
      <c r="L1278" s="10"/>
      <c r="M1278" s="10"/>
      <c r="N1278" s="30">
        <v>5</v>
      </c>
      <c r="O1278" s="7">
        <f t="shared" si="385"/>
        <v>5</v>
      </c>
      <c r="P1278" s="58">
        <v>45078</v>
      </c>
      <c r="Q1278" s="56"/>
    </row>
    <row r="1279" spans="1:18" x14ac:dyDescent="0.15">
      <c r="A1279" s="14" t="s">
        <v>29</v>
      </c>
      <c r="B1279" s="8"/>
      <c r="C1279" s="10">
        <v>1</v>
      </c>
      <c r="D1279" s="10"/>
      <c r="E1279" s="10"/>
      <c r="F1279" s="30"/>
      <c r="G1279" s="7">
        <f t="shared" si="383"/>
        <v>1</v>
      </c>
      <c r="H1279" s="58">
        <v>44988</v>
      </c>
      <c r="I1279" s="14"/>
      <c r="J1279" s="8"/>
      <c r="K1279" s="10"/>
      <c r="L1279" s="10"/>
      <c r="M1279" s="10"/>
      <c r="N1279" s="30"/>
      <c r="O1279" s="7">
        <f t="shared" ref="O1279:O1292" si="386">SUM(J1279:N1279)</f>
        <v>0</v>
      </c>
    </row>
    <row r="1280" spans="1:18" x14ac:dyDescent="0.15">
      <c r="A1280" s="14" t="s">
        <v>29</v>
      </c>
      <c r="B1280" s="8"/>
      <c r="C1280" s="10">
        <v>1</v>
      </c>
      <c r="D1280" s="10"/>
      <c r="E1280" s="10"/>
      <c r="F1280" s="30"/>
      <c r="G1280" s="7">
        <f t="shared" si="383"/>
        <v>1</v>
      </c>
      <c r="H1280" s="58">
        <v>44992</v>
      </c>
      <c r="I1280" s="14"/>
      <c r="J1280" s="8"/>
      <c r="K1280" s="10"/>
      <c r="L1280" s="10"/>
      <c r="M1280" s="10"/>
      <c r="N1280" s="30"/>
      <c r="O1280" s="7">
        <f t="shared" si="386"/>
        <v>0</v>
      </c>
    </row>
    <row r="1281" spans="1:15" x14ac:dyDescent="0.15">
      <c r="A1281" s="14" t="s">
        <v>29</v>
      </c>
      <c r="B1281" s="8"/>
      <c r="C1281" s="10">
        <v>1</v>
      </c>
      <c r="D1281" s="10"/>
      <c r="E1281" s="10">
        <v>1</v>
      </c>
      <c r="F1281" s="30"/>
      <c r="G1281" s="7">
        <f t="shared" si="383"/>
        <v>2</v>
      </c>
      <c r="H1281" s="58">
        <v>44995</v>
      </c>
      <c r="I1281" s="14"/>
      <c r="J1281" s="8"/>
      <c r="K1281" s="10"/>
      <c r="L1281" s="10"/>
      <c r="M1281" s="10"/>
      <c r="N1281" s="30"/>
      <c r="O1281" s="7">
        <f t="shared" si="386"/>
        <v>0</v>
      </c>
    </row>
    <row r="1282" spans="1:15" x14ac:dyDescent="0.15">
      <c r="A1282" s="14" t="s">
        <v>29</v>
      </c>
      <c r="B1282" s="8"/>
      <c r="C1282" s="10"/>
      <c r="D1282" s="10">
        <v>1</v>
      </c>
      <c r="E1282" s="10">
        <v>1</v>
      </c>
      <c r="F1282" s="30"/>
      <c r="G1282" s="7">
        <f t="shared" si="383"/>
        <v>2</v>
      </c>
      <c r="H1282" s="58">
        <v>45003</v>
      </c>
      <c r="I1282" s="14"/>
      <c r="J1282" s="8"/>
      <c r="K1282" s="10"/>
      <c r="L1282" s="10"/>
      <c r="M1282" s="10"/>
      <c r="N1282" s="30"/>
      <c r="O1282" s="7">
        <f t="shared" si="386"/>
        <v>0</v>
      </c>
    </row>
    <row r="1283" spans="1:15" x14ac:dyDescent="0.15">
      <c r="A1283" s="14" t="s">
        <v>29</v>
      </c>
      <c r="B1283" s="8"/>
      <c r="C1283" s="10"/>
      <c r="D1283" s="10">
        <v>1</v>
      </c>
      <c r="E1283" s="10"/>
      <c r="F1283" s="30"/>
      <c r="G1283" s="7">
        <f t="shared" si="383"/>
        <v>1</v>
      </c>
      <c r="H1283" s="58">
        <v>45009</v>
      </c>
      <c r="I1283" s="14"/>
      <c r="J1283" s="8"/>
      <c r="K1283" s="10"/>
      <c r="L1283" s="10"/>
      <c r="M1283" s="10"/>
      <c r="N1283" s="30"/>
      <c r="O1283" s="7">
        <f t="shared" si="386"/>
        <v>0</v>
      </c>
    </row>
    <row r="1284" spans="1:15" x14ac:dyDescent="0.15">
      <c r="A1284" s="14" t="s">
        <v>696</v>
      </c>
      <c r="B1284" s="8"/>
      <c r="C1284" s="10"/>
      <c r="D1284" s="10">
        <v>-1</v>
      </c>
      <c r="E1284" s="10"/>
      <c r="F1284" s="30"/>
      <c r="G1284" s="7">
        <f t="shared" si="383"/>
        <v>-1</v>
      </c>
      <c r="H1284" s="58">
        <v>45009</v>
      </c>
      <c r="I1284" s="14"/>
      <c r="J1284" s="11"/>
      <c r="K1284" s="12"/>
      <c r="L1284" s="12"/>
      <c r="M1284" s="12"/>
      <c r="N1284" s="31"/>
      <c r="O1284" s="7">
        <f t="shared" si="386"/>
        <v>0</v>
      </c>
    </row>
    <row r="1285" spans="1:15" x14ac:dyDescent="0.15">
      <c r="A1285" s="14" t="s">
        <v>29</v>
      </c>
      <c r="B1285" s="8"/>
      <c r="C1285" s="10"/>
      <c r="D1285" s="10"/>
      <c r="E1285" s="10">
        <v>1</v>
      </c>
      <c r="F1285" s="30"/>
      <c r="G1285" s="7">
        <f t="shared" si="383"/>
        <v>1</v>
      </c>
      <c r="H1285" s="58">
        <v>45012</v>
      </c>
      <c r="I1285" s="14"/>
      <c r="J1285" s="8"/>
      <c r="K1285" s="10"/>
      <c r="L1285" s="10"/>
      <c r="M1285" s="10"/>
      <c r="N1285" s="30"/>
      <c r="O1285" s="7">
        <f t="shared" si="386"/>
        <v>0</v>
      </c>
    </row>
    <row r="1286" spans="1:15" x14ac:dyDescent="0.15">
      <c r="A1286" s="14" t="s">
        <v>1565</v>
      </c>
      <c r="B1286" s="8"/>
      <c r="C1286" s="10">
        <v>4</v>
      </c>
      <c r="D1286" s="10"/>
      <c r="E1286" s="10">
        <v>3</v>
      </c>
      <c r="F1286" s="30"/>
      <c r="G1286" s="7">
        <f t="shared" si="383"/>
        <v>7</v>
      </c>
      <c r="H1286" s="58">
        <v>45019</v>
      </c>
      <c r="I1286" s="14"/>
      <c r="J1286" s="8"/>
      <c r="K1286" s="10"/>
      <c r="L1286" s="10"/>
      <c r="M1286" s="10"/>
      <c r="N1286" s="30"/>
      <c r="O1286" s="7">
        <f t="shared" si="386"/>
        <v>0</v>
      </c>
    </row>
    <row r="1287" spans="1:15" x14ac:dyDescent="0.15">
      <c r="A1287" s="14" t="s">
        <v>1566</v>
      </c>
      <c r="B1287" s="8"/>
      <c r="C1287" s="10"/>
      <c r="D1287" s="10">
        <v>2</v>
      </c>
      <c r="E1287" s="10"/>
      <c r="F1287" s="30"/>
      <c r="G1287" s="7">
        <f t="shared" si="383"/>
        <v>2</v>
      </c>
      <c r="H1287" s="58">
        <v>45020</v>
      </c>
      <c r="I1287" s="14"/>
      <c r="J1287" s="8"/>
      <c r="K1287" s="10"/>
      <c r="L1287" s="10"/>
      <c r="M1287" s="10"/>
      <c r="N1287" s="30"/>
      <c r="O1287" s="7">
        <f t="shared" si="386"/>
        <v>0</v>
      </c>
    </row>
    <row r="1288" spans="1:15" x14ac:dyDescent="0.15">
      <c r="A1288" s="14" t="s">
        <v>1569</v>
      </c>
      <c r="B1288" s="8">
        <v>2</v>
      </c>
      <c r="C1288" s="10">
        <v>2</v>
      </c>
      <c r="D1288" s="10">
        <v>4</v>
      </c>
      <c r="E1288" s="10">
        <v>4</v>
      </c>
      <c r="F1288" s="30"/>
      <c r="G1288" s="7">
        <f t="shared" si="383"/>
        <v>12</v>
      </c>
      <c r="H1288" s="58">
        <v>45021</v>
      </c>
      <c r="I1288" s="14"/>
      <c r="J1288" s="8"/>
      <c r="K1288" s="10"/>
      <c r="L1288" s="10"/>
      <c r="M1288" s="10"/>
      <c r="N1288" s="30"/>
      <c r="O1288" s="7">
        <f t="shared" si="386"/>
        <v>0</v>
      </c>
    </row>
    <row r="1289" spans="1:15" x14ac:dyDescent="0.15">
      <c r="A1289" s="14" t="s">
        <v>29</v>
      </c>
      <c r="B1289" s="8"/>
      <c r="C1289" s="10">
        <v>1</v>
      </c>
      <c r="D1289" s="10"/>
      <c r="E1289" s="10"/>
      <c r="F1289" s="30"/>
      <c r="G1289" s="7">
        <f t="shared" si="383"/>
        <v>1</v>
      </c>
      <c r="H1289" s="58">
        <v>45020</v>
      </c>
      <c r="I1289" s="14"/>
      <c r="J1289" s="8"/>
      <c r="K1289" s="10"/>
      <c r="L1289" s="10"/>
      <c r="M1289" s="10"/>
      <c r="N1289" s="30"/>
      <c r="O1289" s="7">
        <f t="shared" si="386"/>
        <v>0</v>
      </c>
    </row>
    <row r="1290" spans="1:15" x14ac:dyDescent="0.15">
      <c r="A1290" s="14" t="s">
        <v>29</v>
      </c>
      <c r="B1290" s="8"/>
      <c r="C1290" s="10">
        <v>1</v>
      </c>
      <c r="D1290" s="10"/>
      <c r="E1290" s="10"/>
      <c r="F1290" s="30"/>
      <c r="G1290" s="7">
        <f t="shared" si="383"/>
        <v>1</v>
      </c>
      <c r="H1290" s="58">
        <v>45021</v>
      </c>
      <c r="I1290" s="16"/>
      <c r="J1290" s="8"/>
      <c r="K1290" s="10"/>
      <c r="L1290" s="10"/>
      <c r="M1290" s="10"/>
      <c r="N1290" s="30"/>
      <c r="O1290" s="7">
        <f t="shared" si="386"/>
        <v>0</v>
      </c>
    </row>
    <row r="1291" spans="1:15" x14ac:dyDescent="0.15">
      <c r="A1291" s="14" t="s">
        <v>29</v>
      </c>
      <c r="B1291" s="8"/>
      <c r="C1291" s="10"/>
      <c r="D1291" s="10">
        <v>1</v>
      </c>
      <c r="E1291" s="10"/>
      <c r="F1291" s="30"/>
      <c r="G1291" s="7">
        <f t="shared" si="383"/>
        <v>1</v>
      </c>
      <c r="H1291" s="58">
        <v>45023</v>
      </c>
      <c r="I1291" s="16"/>
      <c r="J1291" s="8"/>
      <c r="K1291" s="10"/>
      <c r="L1291" s="10"/>
      <c r="M1291" s="10"/>
      <c r="N1291" s="30"/>
      <c r="O1291" s="7">
        <f t="shared" si="386"/>
        <v>0</v>
      </c>
    </row>
    <row r="1292" spans="1:15" x14ac:dyDescent="0.15">
      <c r="A1292" s="14" t="s">
        <v>29</v>
      </c>
      <c r="B1292" s="8"/>
      <c r="C1292" s="10"/>
      <c r="D1292" s="10">
        <v>1</v>
      </c>
      <c r="E1292" s="10"/>
      <c r="F1292" s="30"/>
      <c r="G1292" s="7">
        <f t="shared" si="383"/>
        <v>1</v>
      </c>
      <c r="H1292" s="58">
        <v>45026</v>
      </c>
      <c r="I1292" s="16"/>
      <c r="J1292" s="11"/>
      <c r="K1292" s="12"/>
      <c r="L1292" s="12"/>
      <c r="M1292" s="12"/>
      <c r="N1292" s="31"/>
      <c r="O1292" s="7">
        <f t="shared" si="386"/>
        <v>0</v>
      </c>
    </row>
    <row r="1293" spans="1:15" x14ac:dyDescent="0.15">
      <c r="A1293" s="14" t="s">
        <v>29</v>
      </c>
      <c r="B1293" s="8"/>
      <c r="C1293" s="10">
        <v>1</v>
      </c>
      <c r="D1293" s="10"/>
      <c r="E1293" s="10"/>
      <c r="F1293" s="30"/>
      <c r="G1293" s="7">
        <f t="shared" si="383"/>
        <v>1</v>
      </c>
      <c r="H1293" s="58">
        <v>45031</v>
      </c>
      <c r="I1293" s="16"/>
      <c r="J1293" s="8"/>
      <c r="K1293" s="10"/>
      <c r="L1293" s="10"/>
      <c r="M1293" s="10"/>
      <c r="N1293" s="30"/>
      <c r="O1293" s="7">
        <f>SUM(J1293:N1293)</f>
        <v>0</v>
      </c>
    </row>
    <row r="1294" spans="1:15" x14ac:dyDescent="0.15">
      <c r="A1294" s="14" t="s">
        <v>29</v>
      </c>
      <c r="B1294" s="8"/>
      <c r="C1294" s="10"/>
      <c r="D1294" s="10">
        <v>1</v>
      </c>
      <c r="E1294" s="10"/>
      <c r="F1294" s="30"/>
      <c r="G1294" s="7">
        <f t="shared" si="383"/>
        <v>1</v>
      </c>
      <c r="H1294" s="58">
        <v>45034</v>
      </c>
      <c r="I1294" s="64"/>
      <c r="J1294" s="11"/>
      <c r="K1294" s="12"/>
      <c r="L1294" s="12"/>
      <c r="M1294" s="12"/>
      <c r="N1294" s="31"/>
      <c r="O1294" s="7">
        <f t="shared" ref="O1294:O1300" si="387">SUM(J1294:N1294)</f>
        <v>0</v>
      </c>
    </row>
    <row r="1295" spans="1:15" x14ac:dyDescent="0.15">
      <c r="A1295" s="14" t="s">
        <v>29</v>
      </c>
      <c r="B1295" s="8"/>
      <c r="C1295" s="10"/>
      <c r="D1295" s="10">
        <v>1</v>
      </c>
      <c r="E1295" s="10"/>
      <c r="F1295" s="30"/>
      <c r="G1295" s="7">
        <f t="shared" si="383"/>
        <v>1</v>
      </c>
      <c r="H1295" s="58">
        <v>45040</v>
      </c>
      <c r="I1295" s="14"/>
      <c r="J1295" s="8"/>
      <c r="K1295" s="10"/>
      <c r="L1295" s="10"/>
      <c r="M1295" s="10"/>
      <c r="N1295" s="30"/>
      <c r="O1295" s="7">
        <f t="shared" si="387"/>
        <v>0</v>
      </c>
    </row>
    <row r="1296" spans="1:15" x14ac:dyDescent="0.15">
      <c r="A1296" s="14" t="s">
        <v>29</v>
      </c>
      <c r="B1296" s="8"/>
      <c r="C1296" s="10"/>
      <c r="D1296" s="10"/>
      <c r="E1296" s="10"/>
      <c r="F1296" s="30">
        <v>1</v>
      </c>
      <c r="G1296" s="7">
        <f t="shared" si="383"/>
        <v>1</v>
      </c>
      <c r="H1296" s="58">
        <v>45041</v>
      </c>
      <c r="I1296" s="14"/>
      <c r="J1296" s="8"/>
      <c r="K1296" s="10"/>
      <c r="L1296" s="10"/>
      <c r="M1296" s="10"/>
      <c r="N1296" s="30"/>
      <c r="O1296" s="7">
        <f t="shared" si="387"/>
        <v>0</v>
      </c>
    </row>
    <row r="1297" spans="1:16" x14ac:dyDescent="0.15">
      <c r="A1297" s="14" t="s">
        <v>29</v>
      </c>
      <c r="B1297" s="8"/>
      <c r="C1297" s="10">
        <v>1</v>
      </c>
      <c r="D1297" s="10"/>
      <c r="E1297" s="10"/>
      <c r="F1297" s="30"/>
      <c r="G1297" s="7">
        <f t="shared" si="383"/>
        <v>1</v>
      </c>
      <c r="H1297" s="58">
        <v>45047</v>
      </c>
      <c r="I1297" s="14"/>
      <c r="J1297" s="8"/>
      <c r="K1297" s="10"/>
      <c r="L1297" s="10"/>
      <c r="M1297" s="10"/>
      <c r="N1297" s="30"/>
      <c r="O1297" s="7">
        <f t="shared" si="387"/>
        <v>0</v>
      </c>
    </row>
    <row r="1298" spans="1:16" x14ac:dyDescent="0.15">
      <c r="A1298" s="14" t="s">
        <v>29</v>
      </c>
      <c r="B1298" s="8"/>
      <c r="C1298" s="10"/>
      <c r="D1298" s="10"/>
      <c r="E1298" s="10">
        <v>1</v>
      </c>
      <c r="F1298" s="30"/>
      <c r="G1298" s="7">
        <f t="shared" ref="G1298:G1300" si="388">SUM(B1298:F1298)</f>
        <v>1</v>
      </c>
      <c r="H1298" s="58">
        <v>45054</v>
      </c>
      <c r="I1298" s="14"/>
      <c r="J1298" s="8"/>
      <c r="K1298" s="10"/>
      <c r="L1298" s="10"/>
      <c r="M1298" s="10"/>
      <c r="N1298" s="30"/>
      <c r="O1298" s="7">
        <f t="shared" si="387"/>
        <v>0</v>
      </c>
    </row>
    <row r="1299" spans="1:16" x14ac:dyDescent="0.15">
      <c r="A1299" s="14" t="s">
        <v>29</v>
      </c>
      <c r="B1299" s="8"/>
      <c r="C1299" s="10"/>
      <c r="D1299" s="10"/>
      <c r="E1299" s="10">
        <v>1</v>
      </c>
      <c r="F1299" s="30"/>
      <c r="G1299" s="7">
        <f t="shared" si="388"/>
        <v>1</v>
      </c>
      <c r="H1299" s="58">
        <v>45064</v>
      </c>
      <c r="I1299" s="14"/>
      <c r="J1299" s="8"/>
      <c r="K1299" s="10"/>
      <c r="L1299" s="10"/>
      <c r="M1299" s="10"/>
      <c r="N1299" s="30"/>
      <c r="O1299" s="7">
        <f t="shared" si="387"/>
        <v>0</v>
      </c>
    </row>
    <row r="1300" spans="1:16" ht="14.25" thickBot="1" x14ac:dyDescent="0.2">
      <c r="A1300" s="14" t="s">
        <v>29</v>
      </c>
      <c r="B1300" s="11">
        <v>1</v>
      </c>
      <c r="C1300" s="12">
        <v>1</v>
      </c>
      <c r="D1300" s="12"/>
      <c r="E1300" s="12"/>
      <c r="F1300" s="31">
        <v>1</v>
      </c>
      <c r="G1300" s="115">
        <f t="shared" si="388"/>
        <v>3</v>
      </c>
      <c r="H1300" s="58">
        <v>45068</v>
      </c>
      <c r="I1300" s="14" t="s">
        <v>1556</v>
      </c>
      <c r="J1300" s="11"/>
      <c r="K1300" s="12"/>
      <c r="L1300" s="12"/>
      <c r="M1300" s="12"/>
      <c r="N1300" s="31"/>
      <c r="O1300" s="7">
        <f t="shared" si="387"/>
        <v>0</v>
      </c>
      <c r="P1300" s="56" t="s">
        <v>1557</v>
      </c>
    </row>
    <row r="1301" spans="1:16" ht="14.25" thickBot="1" x14ac:dyDescent="0.2">
      <c r="A1301" s="3" t="s">
        <v>11</v>
      </c>
      <c r="B1301" s="23">
        <f>SUM(B1275:B1300)</f>
        <v>3</v>
      </c>
      <c r="C1301" s="4">
        <f>SUM(C1275:C1300)</f>
        <v>17</v>
      </c>
      <c r="D1301" s="4">
        <f>SUM(D1275:D1300)</f>
        <v>12</v>
      </c>
      <c r="E1301" s="6">
        <f>SUM(E1275:E1300)</f>
        <v>12</v>
      </c>
      <c r="F1301" s="32">
        <f>SUM(F1275:F1300)</f>
        <v>5</v>
      </c>
      <c r="G1301" s="5">
        <f>SUM(B1301:F1301)</f>
        <v>49</v>
      </c>
      <c r="I1301" s="3" t="s">
        <v>11</v>
      </c>
      <c r="J1301" s="23">
        <f>SUM(J1275:J1300)</f>
        <v>3</v>
      </c>
      <c r="K1301" s="4">
        <f>SUM(K1275:K1300)</f>
        <v>10</v>
      </c>
      <c r="L1301" s="4">
        <f>SUM(L1275:L1300)</f>
        <v>10</v>
      </c>
      <c r="M1301" s="6">
        <f>SUM(M1275:M1300)</f>
        <v>13</v>
      </c>
      <c r="N1301" s="32">
        <f>SUM(N1275:N1300)</f>
        <v>5</v>
      </c>
      <c r="O1301" s="5">
        <f>SUM(J1301:N1301)</f>
        <v>41</v>
      </c>
    </row>
    <row r="1302" spans="1:16" ht="14.25" thickBot="1" x14ac:dyDescent="0.2">
      <c r="A1302" s="25" t="s">
        <v>12</v>
      </c>
      <c r="B1302" s="63">
        <f>B1274-B1301</f>
        <v>14</v>
      </c>
      <c r="C1302" s="26">
        <f t="shared" ref="C1302:G1302" si="389">C1274-C1301</f>
        <v>7</v>
      </c>
      <c r="D1302" s="71">
        <f t="shared" si="389"/>
        <v>9</v>
      </c>
      <c r="E1302" s="26">
        <f t="shared" si="389"/>
        <v>9</v>
      </c>
      <c r="F1302" s="70">
        <f t="shared" si="389"/>
        <v>7</v>
      </c>
      <c r="G1302" s="27">
        <f t="shared" si="389"/>
        <v>46</v>
      </c>
      <c r="I1302" s="25" t="s">
        <v>12</v>
      </c>
      <c r="J1302" s="63">
        <f>J1274-J1301</f>
        <v>140</v>
      </c>
      <c r="K1302" s="26">
        <f t="shared" ref="K1302:O1302" si="390">K1274-K1301</f>
        <v>180</v>
      </c>
      <c r="L1302" s="71">
        <f t="shared" si="390"/>
        <v>135</v>
      </c>
      <c r="M1302" s="26">
        <f t="shared" si="390"/>
        <v>124</v>
      </c>
      <c r="N1302" s="70">
        <f t="shared" si="390"/>
        <v>87</v>
      </c>
      <c r="O1302" s="27">
        <f t="shared" si="390"/>
        <v>666</v>
      </c>
    </row>
    <row r="1303" spans="1:16" ht="17.25" x14ac:dyDescent="0.2">
      <c r="A1303" s="79" t="s">
        <v>391</v>
      </c>
      <c r="B1303" s="80"/>
      <c r="C1303" s="80"/>
      <c r="D1303" s="80"/>
      <c r="E1303" s="80"/>
      <c r="F1303" s="80"/>
      <c r="G1303" s="80"/>
      <c r="H1303" s="56"/>
      <c r="I1303" s="79" t="s">
        <v>391</v>
      </c>
      <c r="J1303" s="80"/>
      <c r="K1303" s="80"/>
      <c r="L1303" s="80"/>
      <c r="M1303" s="80"/>
      <c r="N1303" s="80"/>
      <c r="O1303" s="1"/>
    </row>
    <row r="1304" spans="1:16" ht="21.75" thickBot="1" x14ac:dyDescent="0.25">
      <c r="A1304" s="82" t="s">
        <v>390</v>
      </c>
      <c r="B1304" s="80"/>
      <c r="C1304" s="80"/>
      <c r="D1304" s="80"/>
      <c r="E1304" s="81" t="s">
        <v>53</v>
      </c>
      <c r="F1304" s="80"/>
      <c r="G1304" s="80"/>
      <c r="H1304" s="56"/>
      <c r="I1304" s="82" t="s">
        <v>390</v>
      </c>
      <c r="J1304" s="80"/>
      <c r="K1304" s="80"/>
      <c r="L1304" s="80"/>
      <c r="M1304" s="81" t="s">
        <v>393</v>
      </c>
      <c r="N1304" s="80"/>
      <c r="O1304" s="1"/>
    </row>
    <row r="1305" spans="1:16" ht="14.25" thickBot="1" x14ac:dyDescent="0.2">
      <c r="A1305" s="13" t="s">
        <v>0</v>
      </c>
      <c r="B1305" s="228" t="s">
        <v>392</v>
      </c>
      <c r="C1305" s="229"/>
      <c r="D1305" s="229"/>
      <c r="E1305" s="229"/>
      <c r="F1305" s="230"/>
      <c r="G1305" s="231"/>
      <c r="H1305" s="56"/>
      <c r="I1305" s="13" t="s">
        <v>0</v>
      </c>
      <c r="J1305" s="228" t="s">
        <v>392</v>
      </c>
      <c r="K1305" s="229"/>
      <c r="L1305" s="229"/>
      <c r="M1305" s="229"/>
      <c r="N1305" s="230"/>
      <c r="O1305" s="231"/>
    </row>
    <row r="1306" spans="1:16" ht="14.25" thickBot="1" x14ac:dyDescent="0.2">
      <c r="A1306" s="3" t="s">
        <v>1</v>
      </c>
      <c r="B1306" s="2" t="s">
        <v>42</v>
      </c>
      <c r="C1306" s="21" t="s">
        <v>43</v>
      </c>
      <c r="D1306" s="21" t="s">
        <v>44</v>
      </c>
      <c r="E1306" s="24" t="s">
        <v>45</v>
      </c>
      <c r="F1306" s="33" t="s">
        <v>46</v>
      </c>
      <c r="G1306" s="34" t="s">
        <v>2</v>
      </c>
      <c r="H1306" s="56"/>
      <c r="I1306" s="3" t="s">
        <v>1</v>
      </c>
      <c r="J1306" s="41" t="s">
        <v>42</v>
      </c>
      <c r="K1306" s="42" t="s">
        <v>43</v>
      </c>
      <c r="L1306" s="42" t="s">
        <v>44</v>
      </c>
      <c r="M1306" s="43" t="s">
        <v>45</v>
      </c>
      <c r="N1306" s="44" t="s">
        <v>46</v>
      </c>
      <c r="O1306" s="3" t="s">
        <v>2</v>
      </c>
    </row>
    <row r="1307" spans="1:16" ht="14.25" thickBot="1" x14ac:dyDescent="0.2">
      <c r="A1307" s="72" t="s">
        <v>456</v>
      </c>
      <c r="B1307" s="73">
        <f>B1302</f>
        <v>14</v>
      </c>
      <c r="C1307" s="74">
        <f t="shared" ref="C1307:F1307" si="391">C1302</f>
        <v>7</v>
      </c>
      <c r="D1307" s="74">
        <f t="shared" si="391"/>
        <v>9</v>
      </c>
      <c r="E1307" s="74">
        <f t="shared" si="391"/>
        <v>9</v>
      </c>
      <c r="F1307" s="105">
        <f t="shared" si="391"/>
        <v>7</v>
      </c>
      <c r="G1307" s="131">
        <f t="shared" ref="G1307:G1315" si="392">SUM(B1307:F1307)</f>
        <v>46</v>
      </c>
      <c r="H1307" s="56"/>
      <c r="I1307" s="72" t="s">
        <v>456</v>
      </c>
      <c r="J1307" s="73">
        <f>J1302</f>
        <v>140</v>
      </c>
      <c r="K1307" s="74">
        <f t="shared" ref="K1307:N1307" si="393">K1302</f>
        <v>180</v>
      </c>
      <c r="L1307" s="74">
        <f t="shared" si="393"/>
        <v>135</v>
      </c>
      <c r="M1307" s="74">
        <f t="shared" si="393"/>
        <v>124</v>
      </c>
      <c r="N1307" s="105">
        <f t="shared" si="393"/>
        <v>87</v>
      </c>
      <c r="O1307" s="131">
        <f t="shared" ref="O1307:O1315" si="394">SUM(J1307:N1307)</f>
        <v>666</v>
      </c>
    </row>
    <row r="1308" spans="1:16" x14ac:dyDescent="0.15">
      <c r="A1308" s="15" t="s">
        <v>3</v>
      </c>
      <c r="B1308" s="11"/>
      <c r="C1308" s="100">
        <v>5</v>
      </c>
      <c r="D1308" s="100">
        <v>5</v>
      </c>
      <c r="E1308" s="100"/>
      <c r="F1308" s="101"/>
      <c r="G1308" s="102">
        <f t="shared" ref="G1308:G1313" si="395">SUM(B1308:F1308)</f>
        <v>10</v>
      </c>
      <c r="H1308" s="58">
        <v>45122</v>
      </c>
      <c r="I1308" s="38" t="s">
        <v>1348</v>
      </c>
      <c r="J1308" s="8">
        <v>1</v>
      </c>
      <c r="K1308" s="10"/>
      <c r="L1308" s="10">
        <v>-2</v>
      </c>
      <c r="M1308" s="10">
        <v>2</v>
      </c>
      <c r="N1308" s="30">
        <v>-1</v>
      </c>
      <c r="O1308" s="7">
        <f t="shared" ref="O1308:O1313" si="396">SUM(J1308:N1308)</f>
        <v>0</v>
      </c>
      <c r="P1308" s="57">
        <v>45143</v>
      </c>
    </row>
    <row r="1309" spans="1:16" x14ac:dyDescent="0.15">
      <c r="A1309" s="15" t="s">
        <v>4</v>
      </c>
      <c r="B1309" s="11"/>
      <c r="C1309" s="100"/>
      <c r="D1309" s="100">
        <v>5</v>
      </c>
      <c r="E1309" s="100"/>
      <c r="F1309" s="101"/>
      <c r="G1309" s="102">
        <f t="shared" si="395"/>
        <v>5</v>
      </c>
      <c r="H1309" s="58">
        <v>45136</v>
      </c>
      <c r="I1309" s="38" t="s">
        <v>3</v>
      </c>
      <c r="J1309" s="8"/>
      <c r="K1309" s="10"/>
      <c r="L1309" s="10"/>
      <c r="M1309" s="10"/>
      <c r="N1309" s="30"/>
      <c r="O1309" s="7">
        <f t="shared" si="396"/>
        <v>0</v>
      </c>
    </row>
    <row r="1310" spans="1:16" x14ac:dyDescent="0.15">
      <c r="A1310" s="15" t="s">
        <v>5</v>
      </c>
      <c r="B1310" s="11"/>
      <c r="C1310" s="100">
        <v>3</v>
      </c>
      <c r="D1310" s="100"/>
      <c r="E1310" s="100"/>
      <c r="F1310" s="101"/>
      <c r="G1310" s="102">
        <f t="shared" si="395"/>
        <v>3</v>
      </c>
      <c r="H1310" s="58">
        <v>45163</v>
      </c>
      <c r="I1310" s="38" t="s">
        <v>4</v>
      </c>
      <c r="J1310" s="8"/>
      <c r="K1310" s="10"/>
      <c r="L1310" s="10"/>
      <c r="M1310" s="10"/>
      <c r="N1310" s="30"/>
      <c r="O1310" s="7">
        <f t="shared" si="396"/>
        <v>0</v>
      </c>
    </row>
    <row r="1311" spans="1:16" x14ac:dyDescent="0.15">
      <c r="A1311" s="15" t="s">
        <v>1348</v>
      </c>
      <c r="B1311" s="11">
        <v>1</v>
      </c>
      <c r="C1311" s="100">
        <v>-1</v>
      </c>
      <c r="D1311" s="100">
        <v>1</v>
      </c>
      <c r="E1311" s="100">
        <v>2</v>
      </c>
      <c r="F1311" s="101"/>
      <c r="G1311" s="102">
        <f t="shared" si="395"/>
        <v>3</v>
      </c>
      <c r="H1311" s="58">
        <v>45162</v>
      </c>
      <c r="I1311" s="38" t="s">
        <v>5</v>
      </c>
      <c r="J1311" s="8"/>
      <c r="K1311" s="10"/>
      <c r="L1311" s="10"/>
      <c r="M1311" s="10"/>
      <c r="N1311" s="30"/>
      <c r="O1311" s="7">
        <f t="shared" si="396"/>
        <v>0</v>
      </c>
    </row>
    <row r="1312" spans="1:16" x14ac:dyDescent="0.15">
      <c r="A1312" s="15" t="s">
        <v>84</v>
      </c>
      <c r="B1312" s="11"/>
      <c r="C1312" s="100"/>
      <c r="D1312" s="100"/>
      <c r="E1312" s="100"/>
      <c r="F1312" s="101"/>
      <c r="G1312" s="102">
        <f t="shared" si="395"/>
        <v>0</v>
      </c>
      <c r="H1312" s="58"/>
      <c r="I1312" s="38" t="s">
        <v>6</v>
      </c>
      <c r="J1312" s="8"/>
      <c r="K1312" s="10"/>
      <c r="L1312" s="10"/>
      <c r="M1312" s="10"/>
      <c r="N1312" s="30"/>
      <c r="O1312" s="7">
        <f t="shared" si="396"/>
        <v>0</v>
      </c>
    </row>
    <row r="1313" spans="1:18" x14ac:dyDescent="0.15">
      <c r="A1313" s="15" t="s">
        <v>85</v>
      </c>
      <c r="B1313" s="11"/>
      <c r="C1313" s="100"/>
      <c r="D1313" s="100"/>
      <c r="E1313" s="100"/>
      <c r="F1313" s="101"/>
      <c r="G1313" s="102">
        <f t="shared" si="395"/>
        <v>0</v>
      </c>
      <c r="H1313" s="58"/>
      <c r="I1313" s="38" t="s">
        <v>84</v>
      </c>
      <c r="J1313" s="8"/>
      <c r="K1313" s="10"/>
      <c r="L1313" s="10"/>
      <c r="M1313" s="10"/>
      <c r="N1313" s="30"/>
      <c r="O1313" s="7">
        <f t="shared" si="396"/>
        <v>0</v>
      </c>
    </row>
    <row r="1314" spans="1:18" x14ac:dyDescent="0.15">
      <c r="A1314" s="15" t="s">
        <v>86</v>
      </c>
      <c r="B1314" s="11"/>
      <c r="C1314" s="100"/>
      <c r="D1314" s="100"/>
      <c r="E1314" s="100"/>
      <c r="F1314" s="101"/>
      <c r="G1314" s="102">
        <f t="shared" si="392"/>
        <v>0</v>
      </c>
      <c r="H1314" s="58"/>
      <c r="I1314" s="38" t="s">
        <v>85</v>
      </c>
      <c r="J1314" s="8"/>
      <c r="K1314" s="10"/>
      <c r="L1314" s="10"/>
      <c r="M1314" s="10"/>
      <c r="N1314" s="30"/>
      <c r="O1314" s="7">
        <f t="shared" si="394"/>
        <v>0</v>
      </c>
    </row>
    <row r="1315" spans="1:18" ht="14.25" thickBot="1" x14ac:dyDescent="0.2">
      <c r="A1315" s="15" t="s">
        <v>87</v>
      </c>
      <c r="B1315" s="11"/>
      <c r="C1315" s="100"/>
      <c r="D1315" s="100"/>
      <c r="E1315" s="100"/>
      <c r="F1315" s="101"/>
      <c r="G1315" s="102">
        <f t="shared" si="392"/>
        <v>0</v>
      </c>
      <c r="H1315" s="58"/>
      <c r="I1315" s="38" t="s">
        <v>86</v>
      </c>
      <c r="J1315" s="11"/>
      <c r="K1315" s="100"/>
      <c r="L1315" s="100"/>
      <c r="M1315" s="100"/>
      <c r="N1315" s="101"/>
      <c r="O1315" s="102">
        <f t="shared" si="394"/>
        <v>0</v>
      </c>
    </row>
    <row r="1316" spans="1:18" ht="14.25" thickBot="1" x14ac:dyDescent="0.2">
      <c r="A1316" s="72" t="s">
        <v>7</v>
      </c>
      <c r="B1316" s="73">
        <f>SUM(B1307:B1315)</f>
        <v>15</v>
      </c>
      <c r="C1316" s="74">
        <f t="shared" ref="C1316:G1316" si="397">SUM(C1307:C1315)</f>
        <v>14</v>
      </c>
      <c r="D1316" s="74">
        <f t="shared" si="397"/>
        <v>20</v>
      </c>
      <c r="E1316" s="74">
        <f t="shared" si="397"/>
        <v>11</v>
      </c>
      <c r="F1316" s="105">
        <f t="shared" si="397"/>
        <v>7</v>
      </c>
      <c r="G1316" s="76">
        <f t="shared" si="397"/>
        <v>67</v>
      </c>
      <c r="H1316" s="56"/>
      <c r="I1316" s="72" t="s">
        <v>7</v>
      </c>
      <c r="J1316" s="73">
        <f>SUM(J1307:J1315)</f>
        <v>141</v>
      </c>
      <c r="K1316" s="74">
        <f t="shared" ref="K1316:O1316" si="398">SUM(K1307:K1315)</f>
        <v>180</v>
      </c>
      <c r="L1316" s="74">
        <f t="shared" si="398"/>
        <v>133</v>
      </c>
      <c r="M1316" s="74">
        <f t="shared" si="398"/>
        <v>126</v>
      </c>
      <c r="N1316" s="105">
        <f t="shared" si="398"/>
        <v>86</v>
      </c>
      <c r="O1316" s="76">
        <f t="shared" si="398"/>
        <v>666</v>
      </c>
    </row>
    <row r="1317" spans="1:18" x14ac:dyDescent="0.15">
      <c r="A1317" s="14" t="s">
        <v>29</v>
      </c>
      <c r="B1317" s="8"/>
      <c r="C1317" s="10"/>
      <c r="D1317" s="10">
        <v>1</v>
      </c>
      <c r="E1317" s="10"/>
      <c r="F1317" s="30"/>
      <c r="G1317" s="7">
        <f t="shared" ref="G1317:G1322" si="399">SUM(B1317:F1317)</f>
        <v>1</v>
      </c>
      <c r="H1317" s="58">
        <v>45082</v>
      </c>
      <c r="I1317" s="14" t="s">
        <v>24</v>
      </c>
      <c r="J1317" s="8"/>
      <c r="K1317" s="10">
        <v>5</v>
      </c>
      <c r="L1317" s="10">
        <v>5</v>
      </c>
      <c r="M1317" s="10"/>
      <c r="N1317" s="30"/>
      <c r="O1317" s="7">
        <f t="shared" ref="O1317" si="400">SUM(J1317:N1317)</f>
        <v>10</v>
      </c>
      <c r="P1317" s="58">
        <v>45122</v>
      </c>
    </row>
    <row r="1318" spans="1:18" x14ac:dyDescent="0.15">
      <c r="A1318" s="14" t="s">
        <v>29</v>
      </c>
      <c r="B1318" s="8"/>
      <c r="C1318" s="10"/>
      <c r="D1318" s="10">
        <v>1</v>
      </c>
      <c r="E1318" s="10"/>
      <c r="F1318" s="30"/>
      <c r="G1318" s="7">
        <f t="shared" si="399"/>
        <v>1</v>
      </c>
      <c r="H1318" s="58">
        <v>45083</v>
      </c>
      <c r="I1318" s="14" t="s">
        <v>24</v>
      </c>
      <c r="J1318" s="8"/>
      <c r="K1318" s="10"/>
      <c r="L1318" s="10">
        <v>5</v>
      </c>
      <c r="M1318" s="10"/>
      <c r="N1318" s="30"/>
      <c r="O1318" s="7">
        <f t="shared" ref="O1318:O1322" si="401">SUM(J1318:N1318)</f>
        <v>5</v>
      </c>
      <c r="P1318" s="58">
        <v>45136</v>
      </c>
      <c r="Q1318" s="56"/>
      <c r="R1318" s="56"/>
    </row>
    <row r="1319" spans="1:18" x14ac:dyDescent="0.15">
      <c r="A1319" s="14" t="s">
        <v>29</v>
      </c>
      <c r="B1319" s="8"/>
      <c r="C1319" s="10"/>
      <c r="D1319" s="10">
        <v>1</v>
      </c>
      <c r="E1319" s="10"/>
      <c r="F1319" s="30"/>
      <c r="G1319" s="7">
        <f t="shared" si="399"/>
        <v>1</v>
      </c>
      <c r="H1319" s="58">
        <v>45091</v>
      </c>
      <c r="I1319" s="14" t="s">
        <v>1579</v>
      </c>
      <c r="J1319" s="8"/>
      <c r="K1319" s="10">
        <v>3</v>
      </c>
      <c r="L1319" s="10"/>
      <c r="M1319" s="10"/>
      <c r="N1319" s="30"/>
      <c r="O1319" s="7">
        <f t="shared" si="401"/>
        <v>3</v>
      </c>
      <c r="P1319" s="58">
        <v>45163</v>
      </c>
      <c r="Q1319" s="56"/>
    </row>
    <row r="1320" spans="1:18" x14ac:dyDescent="0.15">
      <c r="A1320" s="14" t="s">
        <v>29</v>
      </c>
      <c r="B1320" s="8"/>
      <c r="C1320" s="10">
        <v>1</v>
      </c>
      <c r="D1320" s="10"/>
      <c r="E1320" s="10">
        <v>1</v>
      </c>
      <c r="F1320" s="30"/>
      <c r="G1320" s="7">
        <f t="shared" si="399"/>
        <v>2</v>
      </c>
      <c r="H1320" s="58">
        <v>45092</v>
      </c>
      <c r="I1320" s="14"/>
      <c r="J1320" s="8"/>
      <c r="K1320" s="10"/>
      <c r="L1320" s="10"/>
      <c r="M1320" s="10"/>
      <c r="N1320" s="30"/>
      <c r="O1320" s="7">
        <f t="shared" si="401"/>
        <v>0</v>
      </c>
      <c r="P1320" s="56"/>
      <c r="Q1320" s="56"/>
    </row>
    <row r="1321" spans="1:18" x14ac:dyDescent="0.15">
      <c r="A1321" s="14" t="s">
        <v>29</v>
      </c>
      <c r="B1321" s="8"/>
      <c r="C1321" s="10"/>
      <c r="D1321" s="10"/>
      <c r="E1321" s="10"/>
      <c r="F1321" s="30">
        <v>1</v>
      </c>
      <c r="G1321" s="7">
        <f t="shared" si="399"/>
        <v>1</v>
      </c>
      <c r="H1321" s="58">
        <v>45093</v>
      </c>
      <c r="I1321" s="14"/>
      <c r="J1321" s="8"/>
      <c r="K1321" s="10"/>
      <c r="L1321" s="10"/>
      <c r="M1321" s="10"/>
      <c r="N1321" s="30"/>
      <c r="O1321" s="7">
        <f t="shared" si="401"/>
        <v>0</v>
      </c>
    </row>
    <row r="1322" spans="1:18" x14ac:dyDescent="0.15">
      <c r="A1322" s="14" t="s">
        <v>29</v>
      </c>
      <c r="B1322" s="8"/>
      <c r="C1322" s="10"/>
      <c r="D1322" s="10">
        <v>1</v>
      </c>
      <c r="E1322" s="10"/>
      <c r="F1322" s="30"/>
      <c r="G1322" s="7">
        <f t="shared" si="399"/>
        <v>1</v>
      </c>
      <c r="H1322" s="58">
        <v>45096</v>
      </c>
      <c r="I1322" s="14"/>
      <c r="J1322" s="8"/>
      <c r="K1322" s="10"/>
      <c r="L1322" s="10"/>
      <c r="M1322" s="10"/>
      <c r="N1322" s="30"/>
      <c r="O1322" s="7">
        <f t="shared" si="401"/>
        <v>0</v>
      </c>
    </row>
    <row r="1323" spans="1:18" x14ac:dyDescent="0.15">
      <c r="A1323" s="14" t="s">
        <v>29</v>
      </c>
      <c r="B1323" s="8"/>
      <c r="C1323" s="10">
        <v>1</v>
      </c>
      <c r="D1323" s="10"/>
      <c r="E1323" s="10"/>
      <c r="F1323" s="30"/>
      <c r="G1323" s="7">
        <f t="shared" ref="G1323:G1342" si="402">SUM(B1323:F1323)</f>
        <v>1</v>
      </c>
      <c r="H1323" s="58">
        <v>45104</v>
      </c>
      <c r="I1323" s="14"/>
      <c r="J1323" s="8"/>
      <c r="K1323" s="10"/>
      <c r="L1323" s="10"/>
      <c r="M1323" s="10"/>
      <c r="N1323" s="30"/>
      <c r="O1323" s="7">
        <f t="shared" ref="O1323:O1342" si="403">SUM(J1323:N1323)</f>
        <v>0</v>
      </c>
    </row>
    <row r="1324" spans="1:18" x14ac:dyDescent="0.15">
      <c r="A1324" s="14" t="s">
        <v>1576</v>
      </c>
      <c r="B1324" s="8"/>
      <c r="C1324" s="10"/>
      <c r="D1324" s="10">
        <v>1</v>
      </c>
      <c r="E1324" s="10"/>
      <c r="F1324" s="30"/>
      <c r="G1324" s="7">
        <f t="shared" si="402"/>
        <v>1</v>
      </c>
      <c r="H1324" s="58">
        <v>45111</v>
      </c>
      <c r="I1324" s="14"/>
      <c r="J1324" s="8"/>
      <c r="K1324" s="10"/>
      <c r="L1324" s="10"/>
      <c r="M1324" s="10"/>
      <c r="N1324" s="30"/>
      <c r="O1324" s="7">
        <f t="shared" si="403"/>
        <v>0</v>
      </c>
    </row>
    <row r="1325" spans="1:18" x14ac:dyDescent="0.15">
      <c r="A1325" s="14" t="s">
        <v>29</v>
      </c>
      <c r="B1325" s="8"/>
      <c r="C1325" s="10"/>
      <c r="D1325" s="10"/>
      <c r="E1325" s="10">
        <v>1</v>
      </c>
      <c r="F1325" s="30"/>
      <c r="G1325" s="7">
        <f t="shared" si="402"/>
        <v>1</v>
      </c>
      <c r="H1325" s="58">
        <v>45112</v>
      </c>
      <c r="I1325" s="14"/>
      <c r="J1325" s="8"/>
      <c r="K1325" s="10"/>
      <c r="L1325" s="10"/>
      <c r="M1325" s="10"/>
      <c r="N1325" s="30"/>
      <c r="O1325" s="7">
        <f t="shared" si="403"/>
        <v>0</v>
      </c>
    </row>
    <row r="1326" spans="1:18" x14ac:dyDescent="0.15">
      <c r="A1326" s="14" t="s">
        <v>29</v>
      </c>
      <c r="B1326" s="8">
        <v>1</v>
      </c>
      <c r="C1326" s="10"/>
      <c r="D1326" s="10"/>
      <c r="E1326" s="10"/>
      <c r="F1326" s="30"/>
      <c r="G1326" s="7">
        <f t="shared" si="402"/>
        <v>1</v>
      </c>
      <c r="H1326" s="58">
        <v>45113</v>
      </c>
      <c r="I1326" s="14"/>
      <c r="J1326" s="8"/>
      <c r="K1326" s="10"/>
      <c r="L1326" s="10"/>
      <c r="M1326" s="10"/>
      <c r="N1326" s="30"/>
      <c r="O1326" s="7">
        <f t="shared" si="403"/>
        <v>0</v>
      </c>
    </row>
    <row r="1327" spans="1:18" x14ac:dyDescent="0.15">
      <c r="A1327" s="14" t="s">
        <v>29</v>
      </c>
      <c r="B1327" s="8"/>
      <c r="C1327" s="10"/>
      <c r="D1327" s="10">
        <v>1</v>
      </c>
      <c r="E1327" s="10"/>
      <c r="F1327" s="30"/>
      <c r="G1327" s="7">
        <f t="shared" si="402"/>
        <v>1</v>
      </c>
      <c r="H1327" s="58">
        <v>45117</v>
      </c>
      <c r="I1327" s="14"/>
      <c r="J1327" s="8"/>
      <c r="K1327" s="10"/>
      <c r="L1327" s="10"/>
      <c r="M1327" s="10"/>
      <c r="N1327" s="30"/>
      <c r="O1327" s="7">
        <f t="shared" si="403"/>
        <v>0</v>
      </c>
    </row>
    <row r="1328" spans="1:18" x14ac:dyDescent="0.15">
      <c r="A1328" s="14" t="s">
        <v>29</v>
      </c>
      <c r="B1328" s="8"/>
      <c r="C1328" s="10">
        <v>1</v>
      </c>
      <c r="D1328" s="10"/>
      <c r="E1328" s="10"/>
      <c r="F1328" s="30"/>
      <c r="G1328" s="7">
        <f t="shared" si="402"/>
        <v>1</v>
      </c>
      <c r="H1328" s="58">
        <v>45118</v>
      </c>
      <c r="I1328" s="14"/>
      <c r="J1328" s="8"/>
      <c r="K1328" s="10"/>
      <c r="L1328" s="10"/>
      <c r="M1328" s="10"/>
      <c r="N1328" s="30"/>
      <c r="O1328" s="7">
        <f t="shared" si="403"/>
        <v>0</v>
      </c>
    </row>
    <row r="1329" spans="1:15" x14ac:dyDescent="0.15">
      <c r="A1329" s="14" t="s">
        <v>29</v>
      </c>
      <c r="B1329" s="8"/>
      <c r="C1329" s="10">
        <v>1</v>
      </c>
      <c r="D1329" s="10">
        <v>1</v>
      </c>
      <c r="E1329" s="10">
        <v>1</v>
      </c>
      <c r="F1329" s="30"/>
      <c r="G1329" s="7">
        <f t="shared" si="402"/>
        <v>3</v>
      </c>
      <c r="H1329" s="58">
        <v>45119</v>
      </c>
      <c r="I1329" s="14"/>
      <c r="J1329" s="8"/>
      <c r="K1329" s="10"/>
      <c r="L1329" s="10"/>
      <c r="M1329" s="10"/>
      <c r="N1329" s="30"/>
      <c r="O1329" s="7">
        <f t="shared" si="403"/>
        <v>0</v>
      </c>
    </row>
    <row r="1330" spans="1:15" x14ac:dyDescent="0.15">
      <c r="A1330" s="14" t="s">
        <v>117</v>
      </c>
      <c r="B1330" s="8"/>
      <c r="C1330" s="10"/>
      <c r="D1330" s="10"/>
      <c r="E1330" s="10"/>
      <c r="F1330" s="30">
        <v>1</v>
      </c>
      <c r="G1330" s="7">
        <f t="shared" si="402"/>
        <v>1</v>
      </c>
      <c r="H1330" s="58">
        <v>45126</v>
      </c>
      <c r="I1330" s="14"/>
      <c r="J1330" s="8"/>
      <c r="K1330" s="10"/>
      <c r="L1330" s="10"/>
      <c r="M1330" s="10"/>
      <c r="N1330" s="30"/>
      <c r="O1330" s="7">
        <f t="shared" si="403"/>
        <v>0</v>
      </c>
    </row>
    <row r="1331" spans="1:15" x14ac:dyDescent="0.15">
      <c r="A1331" s="14" t="s">
        <v>29</v>
      </c>
      <c r="B1331" s="8"/>
      <c r="C1331" s="10">
        <v>1</v>
      </c>
      <c r="D1331" s="10">
        <v>1</v>
      </c>
      <c r="E1331" s="10"/>
      <c r="F1331" s="30"/>
      <c r="G1331" s="7">
        <f t="shared" si="402"/>
        <v>2</v>
      </c>
      <c r="H1331" s="58">
        <v>45127</v>
      </c>
      <c r="I1331" s="14"/>
      <c r="J1331" s="8"/>
      <c r="K1331" s="10"/>
      <c r="L1331" s="10"/>
      <c r="M1331" s="10"/>
      <c r="N1331" s="30"/>
      <c r="O1331" s="7">
        <f t="shared" si="403"/>
        <v>0</v>
      </c>
    </row>
    <row r="1332" spans="1:15" x14ac:dyDescent="0.15">
      <c r="A1332" s="14" t="s">
        <v>29</v>
      </c>
      <c r="B1332" s="8"/>
      <c r="C1332" s="10"/>
      <c r="D1332" s="10">
        <v>1</v>
      </c>
      <c r="E1332" s="10"/>
      <c r="F1332" s="30"/>
      <c r="G1332" s="7">
        <f t="shared" si="402"/>
        <v>1</v>
      </c>
      <c r="H1332" s="58">
        <v>45128</v>
      </c>
      <c r="I1332" s="14"/>
      <c r="J1332" s="8"/>
      <c r="K1332" s="10"/>
      <c r="L1332" s="10"/>
      <c r="M1332" s="10"/>
      <c r="N1332" s="30"/>
      <c r="O1332" s="7">
        <f t="shared" si="403"/>
        <v>0</v>
      </c>
    </row>
    <row r="1333" spans="1:15" x14ac:dyDescent="0.15">
      <c r="A1333" s="14" t="s">
        <v>29</v>
      </c>
      <c r="B1333" s="8"/>
      <c r="C1333" s="10">
        <v>1</v>
      </c>
      <c r="D1333" s="10"/>
      <c r="E1333" s="10"/>
      <c r="F1333" s="30"/>
      <c r="G1333" s="7">
        <f t="shared" si="402"/>
        <v>1</v>
      </c>
      <c r="H1333" s="58">
        <v>45132</v>
      </c>
      <c r="I1333" s="14"/>
      <c r="J1333" s="8"/>
      <c r="K1333" s="10"/>
      <c r="L1333" s="10"/>
      <c r="M1333" s="10"/>
      <c r="N1333" s="30"/>
      <c r="O1333" s="7">
        <f t="shared" si="403"/>
        <v>0</v>
      </c>
    </row>
    <row r="1334" spans="1:15" x14ac:dyDescent="0.15">
      <c r="A1334" s="14" t="s">
        <v>29</v>
      </c>
      <c r="B1334" s="8"/>
      <c r="C1334" s="10"/>
      <c r="D1334" s="10">
        <f>1+1</f>
        <v>2</v>
      </c>
      <c r="E1334" s="10"/>
      <c r="F1334" s="30"/>
      <c r="G1334" s="7">
        <f t="shared" si="402"/>
        <v>2</v>
      </c>
      <c r="H1334" s="58">
        <v>45133</v>
      </c>
      <c r="I1334" s="14"/>
      <c r="J1334" s="8"/>
      <c r="K1334" s="10"/>
      <c r="L1334" s="10"/>
      <c r="M1334" s="10"/>
      <c r="N1334" s="30"/>
      <c r="O1334" s="7">
        <f t="shared" si="403"/>
        <v>0</v>
      </c>
    </row>
    <row r="1335" spans="1:15" x14ac:dyDescent="0.15">
      <c r="A1335" s="14" t="s">
        <v>1577</v>
      </c>
      <c r="B1335" s="8">
        <v>1</v>
      </c>
      <c r="C1335" s="10"/>
      <c r="D1335" s="10"/>
      <c r="E1335" s="10"/>
      <c r="F1335" s="30"/>
      <c r="G1335" s="7">
        <f t="shared" si="402"/>
        <v>1</v>
      </c>
      <c r="H1335" s="58">
        <v>45146</v>
      </c>
      <c r="I1335" s="14"/>
      <c r="J1335" s="8"/>
      <c r="K1335" s="10"/>
      <c r="L1335" s="10"/>
      <c r="M1335" s="10"/>
      <c r="N1335" s="30"/>
      <c r="O1335" s="7">
        <f t="shared" si="403"/>
        <v>0</v>
      </c>
    </row>
    <row r="1336" spans="1:15" x14ac:dyDescent="0.15">
      <c r="A1336" s="14" t="s">
        <v>29</v>
      </c>
      <c r="B1336" s="8"/>
      <c r="C1336" s="10"/>
      <c r="D1336" s="10"/>
      <c r="E1336" s="10">
        <v>1</v>
      </c>
      <c r="F1336" s="30"/>
      <c r="G1336" s="7">
        <f t="shared" si="402"/>
        <v>1</v>
      </c>
      <c r="H1336" s="58">
        <v>45143</v>
      </c>
      <c r="I1336" s="14"/>
      <c r="J1336" s="8"/>
      <c r="K1336" s="10"/>
      <c r="L1336" s="10"/>
      <c r="M1336" s="10"/>
      <c r="N1336" s="30"/>
      <c r="O1336" s="7">
        <f t="shared" si="403"/>
        <v>0</v>
      </c>
    </row>
    <row r="1337" spans="1:15" x14ac:dyDescent="0.15">
      <c r="A1337" s="14" t="s">
        <v>29</v>
      </c>
      <c r="B1337" s="8">
        <v>1</v>
      </c>
      <c r="C1337" s="10"/>
      <c r="D1337" s="10"/>
      <c r="E1337" s="10"/>
      <c r="F1337" s="30"/>
      <c r="G1337" s="7">
        <f t="shared" si="402"/>
        <v>1</v>
      </c>
      <c r="H1337" s="58">
        <v>45145</v>
      </c>
      <c r="I1337" s="14"/>
      <c r="J1337" s="8"/>
      <c r="K1337" s="10"/>
      <c r="L1337" s="10"/>
      <c r="M1337" s="10"/>
      <c r="N1337" s="30"/>
      <c r="O1337" s="7">
        <f t="shared" si="403"/>
        <v>0</v>
      </c>
    </row>
    <row r="1338" spans="1:15" x14ac:dyDescent="0.15">
      <c r="A1338" s="14" t="s">
        <v>29</v>
      </c>
      <c r="B1338" s="8"/>
      <c r="C1338" s="10">
        <v>1</v>
      </c>
      <c r="D1338" s="10"/>
      <c r="E1338" s="10">
        <v>1</v>
      </c>
      <c r="F1338" s="30"/>
      <c r="G1338" s="7">
        <f t="shared" si="402"/>
        <v>2</v>
      </c>
      <c r="H1338" s="58">
        <v>45146</v>
      </c>
      <c r="I1338" s="14"/>
      <c r="J1338" s="8"/>
      <c r="K1338" s="10"/>
      <c r="L1338" s="10"/>
      <c r="M1338" s="10"/>
      <c r="N1338" s="30"/>
      <c r="O1338" s="7">
        <f t="shared" si="403"/>
        <v>0</v>
      </c>
    </row>
    <row r="1339" spans="1:15" x14ac:dyDescent="0.15">
      <c r="A1339" s="14" t="s">
        <v>29</v>
      </c>
      <c r="B1339" s="8"/>
      <c r="C1339" s="10">
        <v>1</v>
      </c>
      <c r="D1339" s="10">
        <v>1</v>
      </c>
      <c r="E1339" s="10"/>
      <c r="F1339" s="30"/>
      <c r="G1339" s="7">
        <f t="shared" si="402"/>
        <v>2</v>
      </c>
      <c r="H1339" s="58">
        <v>45149</v>
      </c>
      <c r="I1339" s="14"/>
      <c r="J1339" s="8"/>
      <c r="K1339" s="10"/>
      <c r="L1339" s="10"/>
      <c r="M1339" s="10"/>
      <c r="N1339" s="30"/>
      <c r="O1339" s="7">
        <f t="shared" si="403"/>
        <v>0</v>
      </c>
    </row>
    <row r="1340" spans="1:15" x14ac:dyDescent="0.15">
      <c r="A1340" s="14" t="s">
        <v>29</v>
      </c>
      <c r="B1340" s="8"/>
      <c r="C1340" s="10">
        <v>2</v>
      </c>
      <c r="D1340" s="10"/>
      <c r="E1340" s="10"/>
      <c r="F1340" s="30"/>
      <c r="G1340" s="7">
        <f t="shared" si="402"/>
        <v>2</v>
      </c>
      <c r="H1340" s="58">
        <v>45154</v>
      </c>
      <c r="I1340" s="14"/>
      <c r="J1340" s="8"/>
      <c r="K1340" s="10"/>
      <c r="L1340" s="10"/>
      <c r="M1340" s="10"/>
      <c r="N1340" s="30"/>
      <c r="O1340" s="7">
        <f t="shared" si="403"/>
        <v>0</v>
      </c>
    </row>
    <row r="1341" spans="1:15" x14ac:dyDescent="0.15">
      <c r="A1341" s="14" t="s">
        <v>29</v>
      </c>
      <c r="B1341" s="8"/>
      <c r="C1341" s="10"/>
      <c r="D1341" s="10"/>
      <c r="E1341" s="10"/>
      <c r="F1341" s="30">
        <v>1</v>
      </c>
      <c r="G1341" s="7">
        <f t="shared" si="402"/>
        <v>1</v>
      </c>
      <c r="H1341" s="58">
        <v>45159</v>
      </c>
      <c r="I1341" s="14"/>
      <c r="J1341" s="8"/>
      <c r="K1341" s="10"/>
      <c r="L1341" s="10"/>
      <c r="M1341" s="10"/>
      <c r="N1341" s="30"/>
      <c r="O1341" s="7">
        <f t="shared" si="403"/>
        <v>0</v>
      </c>
    </row>
    <row r="1342" spans="1:15" ht="14.25" thickBot="1" x14ac:dyDescent="0.2">
      <c r="A1342" s="14" t="s">
        <v>29</v>
      </c>
      <c r="B1342" s="8"/>
      <c r="C1342" s="10"/>
      <c r="D1342" s="10"/>
      <c r="E1342" s="10"/>
      <c r="F1342" s="30">
        <v>1</v>
      </c>
      <c r="G1342" s="7">
        <f t="shared" si="402"/>
        <v>1</v>
      </c>
      <c r="H1342" s="58">
        <v>45162</v>
      </c>
      <c r="I1342" s="14"/>
      <c r="J1342" s="8"/>
      <c r="K1342" s="10"/>
      <c r="L1342" s="10"/>
      <c r="M1342" s="10"/>
      <c r="N1342" s="30"/>
      <c r="O1342" s="7">
        <f t="shared" si="403"/>
        <v>0</v>
      </c>
    </row>
    <row r="1343" spans="1:15" ht="14.25" thickBot="1" x14ac:dyDescent="0.2">
      <c r="A1343" s="3" t="s">
        <v>11</v>
      </c>
      <c r="B1343" s="23">
        <f>SUM(B1317:B1342)</f>
        <v>3</v>
      </c>
      <c r="C1343" s="4">
        <f>SUM(C1317:C1342)</f>
        <v>10</v>
      </c>
      <c r="D1343" s="4">
        <f>SUM(D1317:D1342)</f>
        <v>12</v>
      </c>
      <c r="E1343" s="6">
        <f>SUM(E1317:E1342)</f>
        <v>5</v>
      </c>
      <c r="F1343" s="32">
        <f>SUM(F1317:F1342)</f>
        <v>4</v>
      </c>
      <c r="G1343" s="5">
        <f>SUM(B1343:F1343)</f>
        <v>34</v>
      </c>
      <c r="I1343" s="3" t="s">
        <v>11</v>
      </c>
      <c r="J1343" s="23">
        <f>SUM(J1317:J1342)</f>
        <v>0</v>
      </c>
      <c r="K1343" s="4">
        <f>SUM(K1317:K1342)</f>
        <v>8</v>
      </c>
      <c r="L1343" s="4">
        <f>SUM(L1317:L1342)</f>
        <v>10</v>
      </c>
      <c r="M1343" s="6">
        <f>SUM(M1317:M1342)</f>
        <v>0</v>
      </c>
      <c r="N1343" s="32">
        <f>SUM(N1317:N1342)</f>
        <v>0</v>
      </c>
      <c r="O1343" s="5">
        <f>SUM(J1343:N1343)</f>
        <v>18</v>
      </c>
    </row>
    <row r="1344" spans="1:15" ht="14.25" thickBot="1" x14ac:dyDescent="0.2">
      <c r="A1344" s="25" t="s">
        <v>12</v>
      </c>
      <c r="B1344" s="63">
        <f>B1316-B1343</f>
        <v>12</v>
      </c>
      <c r="C1344" s="26">
        <f t="shared" ref="C1344:G1344" si="404">C1316-C1343</f>
        <v>4</v>
      </c>
      <c r="D1344" s="71">
        <f t="shared" si="404"/>
        <v>8</v>
      </c>
      <c r="E1344" s="26">
        <f t="shared" si="404"/>
        <v>6</v>
      </c>
      <c r="F1344" s="70">
        <f t="shared" si="404"/>
        <v>3</v>
      </c>
      <c r="G1344" s="27">
        <f t="shared" si="404"/>
        <v>33</v>
      </c>
      <c r="I1344" s="25" t="s">
        <v>12</v>
      </c>
      <c r="J1344" s="63">
        <f>J1316-J1343</f>
        <v>141</v>
      </c>
      <c r="K1344" s="26">
        <f t="shared" ref="K1344:O1344" si="405">K1316-K1343</f>
        <v>172</v>
      </c>
      <c r="L1344" s="71">
        <f t="shared" si="405"/>
        <v>123</v>
      </c>
      <c r="M1344" s="26">
        <f t="shared" si="405"/>
        <v>126</v>
      </c>
      <c r="N1344" s="70">
        <f t="shared" si="405"/>
        <v>86</v>
      </c>
      <c r="O1344" s="27">
        <f t="shared" si="405"/>
        <v>648</v>
      </c>
    </row>
    <row r="1345" spans="1:16" ht="17.25" x14ac:dyDescent="0.2">
      <c r="A1345" s="79" t="s">
        <v>391</v>
      </c>
      <c r="B1345" s="80"/>
      <c r="C1345" s="80"/>
      <c r="D1345" s="80"/>
      <c r="E1345" s="80"/>
      <c r="F1345" s="80"/>
      <c r="G1345" s="80"/>
      <c r="H1345" s="56"/>
      <c r="I1345" s="79" t="s">
        <v>391</v>
      </c>
      <c r="J1345" s="80"/>
      <c r="K1345" s="80"/>
      <c r="L1345" s="80"/>
      <c r="M1345" s="80"/>
      <c r="N1345" s="80"/>
      <c r="O1345" s="1"/>
    </row>
    <row r="1346" spans="1:16" ht="21.75" thickBot="1" x14ac:dyDescent="0.25">
      <c r="A1346" s="82" t="s">
        <v>390</v>
      </c>
      <c r="B1346" s="80"/>
      <c r="C1346" s="80"/>
      <c r="D1346" s="80"/>
      <c r="E1346" s="81" t="s">
        <v>53</v>
      </c>
      <c r="F1346" s="80"/>
      <c r="G1346" s="80"/>
      <c r="H1346" s="56"/>
      <c r="I1346" s="82" t="s">
        <v>390</v>
      </c>
      <c r="J1346" s="80"/>
      <c r="K1346" s="80"/>
      <c r="L1346" s="80"/>
      <c r="M1346" s="81" t="s">
        <v>393</v>
      </c>
      <c r="N1346" s="80"/>
      <c r="O1346" s="1"/>
    </row>
    <row r="1347" spans="1:16" ht="14.25" thickBot="1" x14ac:dyDescent="0.2">
      <c r="A1347" s="13" t="s">
        <v>0</v>
      </c>
      <c r="B1347" s="228" t="s">
        <v>392</v>
      </c>
      <c r="C1347" s="229"/>
      <c r="D1347" s="229"/>
      <c r="E1347" s="229"/>
      <c r="F1347" s="230"/>
      <c r="G1347" s="231"/>
      <c r="H1347" s="56"/>
      <c r="I1347" s="13" t="s">
        <v>0</v>
      </c>
      <c r="J1347" s="228" t="s">
        <v>392</v>
      </c>
      <c r="K1347" s="229"/>
      <c r="L1347" s="229"/>
      <c r="M1347" s="229"/>
      <c r="N1347" s="230"/>
      <c r="O1347" s="231"/>
    </row>
    <row r="1348" spans="1:16" ht="14.25" thickBot="1" x14ac:dyDescent="0.2">
      <c r="A1348" s="3" t="s">
        <v>1</v>
      </c>
      <c r="B1348" s="2" t="s">
        <v>42</v>
      </c>
      <c r="C1348" s="21" t="s">
        <v>43</v>
      </c>
      <c r="D1348" s="21" t="s">
        <v>44</v>
      </c>
      <c r="E1348" s="24" t="s">
        <v>45</v>
      </c>
      <c r="F1348" s="33" t="s">
        <v>46</v>
      </c>
      <c r="G1348" s="34" t="s">
        <v>2</v>
      </c>
      <c r="H1348" s="56"/>
      <c r="I1348" s="3" t="s">
        <v>1</v>
      </c>
      <c r="J1348" s="41" t="s">
        <v>42</v>
      </c>
      <c r="K1348" s="42" t="s">
        <v>43</v>
      </c>
      <c r="L1348" s="42" t="s">
        <v>44</v>
      </c>
      <c r="M1348" s="43" t="s">
        <v>45</v>
      </c>
      <c r="N1348" s="44" t="s">
        <v>46</v>
      </c>
      <c r="O1348" s="3" t="s">
        <v>2</v>
      </c>
    </row>
    <row r="1349" spans="1:16" ht="14.25" thickBot="1" x14ac:dyDescent="0.2">
      <c r="A1349" s="72" t="s">
        <v>456</v>
      </c>
      <c r="B1349" s="73">
        <f>B1344</f>
        <v>12</v>
      </c>
      <c r="C1349" s="74">
        <f t="shared" ref="C1349:F1349" si="406">C1344</f>
        <v>4</v>
      </c>
      <c r="D1349" s="74">
        <f t="shared" si="406"/>
        <v>8</v>
      </c>
      <c r="E1349" s="74">
        <f t="shared" si="406"/>
        <v>6</v>
      </c>
      <c r="F1349" s="105">
        <f t="shared" si="406"/>
        <v>3</v>
      </c>
      <c r="G1349" s="131">
        <f t="shared" ref="G1349:G1357" si="407">SUM(B1349:F1349)</f>
        <v>33</v>
      </c>
      <c r="H1349" s="56"/>
      <c r="I1349" s="72" t="s">
        <v>456</v>
      </c>
      <c r="J1349" s="73">
        <f>J1344</f>
        <v>141</v>
      </c>
      <c r="K1349" s="74">
        <f t="shared" ref="K1349:N1349" si="408">K1344</f>
        <v>172</v>
      </c>
      <c r="L1349" s="74">
        <f t="shared" si="408"/>
        <v>123</v>
      </c>
      <c r="M1349" s="74">
        <f t="shared" si="408"/>
        <v>126</v>
      </c>
      <c r="N1349" s="105">
        <f t="shared" si="408"/>
        <v>86</v>
      </c>
      <c r="O1349" s="131">
        <f t="shared" ref="O1349:O1356" si="409">SUM(J1349:N1349)</f>
        <v>648</v>
      </c>
    </row>
    <row r="1350" spans="1:16" x14ac:dyDescent="0.15">
      <c r="A1350" s="15" t="s">
        <v>3</v>
      </c>
      <c r="B1350" s="11"/>
      <c r="C1350" s="100">
        <v>3</v>
      </c>
      <c r="D1350" s="100"/>
      <c r="E1350" s="100">
        <v>3</v>
      </c>
      <c r="F1350" s="101">
        <v>3</v>
      </c>
      <c r="G1350" s="102">
        <f t="shared" si="407"/>
        <v>9</v>
      </c>
      <c r="H1350" s="58">
        <v>45180</v>
      </c>
      <c r="I1350" s="38" t="s">
        <v>14</v>
      </c>
      <c r="J1350" s="8"/>
      <c r="K1350" s="10"/>
      <c r="L1350" s="10"/>
      <c r="M1350" s="10"/>
      <c r="N1350" s="30"/>
      <c r="O1350" s="7">
        <f t="shared" ref="O1350:O1354" si="410">SUM(J1350:N1350)</f>
        <v>0</v>
      </c>
    </row>
    <row r="1351" spans="1:16" x14ac:dyDescent="0.15">
      <c r="A1351" s="15" t="s">
        <v>4</v>
      </c>
      <c r="B1351" s="11"/>
      <c r="C1351" s="100"/>
      <c r="D1351" s="100">
        <v>5</v>
      </c>
      <c r="E1351" s="100"/>
      <c r="F1351" s="101"/>
      <c r="G1351" s="102">
        <f t="shared" ref="G1351:G1354" si="411">SUM(B1351:F1351)</f>
        <v>5</v>
      </c>
      <c r="H1351" s="58">
        <v>45210</v>
      </c>
      <c r="I1351" s="38" t="s">
        <v>3</v>
      </c>
      <c r="J1351" s="8"/>
      <c r="K1351" s="10"/>
      <c r="L1351" s="10"/>
      <c r="M1351" s="10"/>
      <c r="N1351" s="30"/>
      <c r="O1351" s="7">
        <f t="shared" si="410"/>
        <v>0</v>
      </c>
    </row>
    <row r="1352" spans="1:16" x14ac:dyDescent="0.15">
      <c r="A1352" s="15" t="s">
        <v>5</v>
      </c>
      <c r="B1352" s="11"/>
      <c r="C1352" s="100">
        <v>3</v>
      </c>
      <c r="D1352" s="100">
        <v>3</v>
      </c>
      <c r="E1352" s="100">
        <v>3</v>
      </c>
      <c r="F1352" s="101"/>
      <c r="G1352" s="102">
        <f t="shared" si="411"/>
        <v>9</v>
      </c>
      <c r="H1352" s="58">
        <v>45245</v>
      </c>
      <c r="I1352" s="38" t="s">
        <v>4</v>
      </c>
      <c r="J1352" s="8"/>
      <c r="K1352" s="10"/>
      <c r="L1352" s="10"/>
      <c r="M1352" s="10"/>
      <c r="N1352" s="30"/>
      <c r="O1352" s="7">
        <f t="shared" si="410"/>
        <v>0</v>
      </c>
    </row>
    <row r="1353" spans="1:16" x14ac:dyDescent="0.15">
      <c r="A1353" s="15" t="s">
        <v>6</v>
      </c>
      <c r="B1353" s="11"/>
      <c r="C1353" s="100"/>
      <c r="D1353" s="100"/>
      <c r="E1353" s="100"/>
      <c r="F1353" s="101">
        <v>3</v>
      </c>
      <c r="G1353" s="102">
        <f t="shared" si="411"/>
        <v>3</v>
      </c>
      <c r="H1353" s="58">
        <v>45257</v>
      </c>
      <c r="I1353" s="38" t="s">
        <v>5</v>
      </c>
      <c r="J1353" s="8"/>
      <c r="K1353" s="10"/>
      <c r="L1353" s="10"/>
      <c r="M1353" s="10"/>
      <c r="N1353" s="30"/>
      <c r="O1353" s="7">
        <f t="shared" si="410"/>
        <v>0</v>
      </c>
    </row>
    <row r="1354" spans="1:16" x14ac:dyDescent="0.15">
      <c r="A1354" s="15" t="s">
        <v>84</v>
      </c>
      <c r="B1354" s="11"/>
      <c r="C1354" s="100"/>
      <c r="D1354" s="100"/>
      <c r="E1354" s="100"/>
      <c r="F1354" s="101"/>
      <c r="G1354" s="102">
        <f t="shared" si="411"/>
        <v>0</v>
      </c>
      <c r="H1354" s="58"/>
      <c r="I1354" s="38" t="s">
        <v>6</v>
      </c>
      <c r="J1354" s="8"/>
      <c r="K1354" s="10"/>
      <c r="L1354" s="10"/>
      <c r="M1354" s="10"/>
      <c r="N1354" s="30"/>
      <c r="O1354" s="7">
        <f t="shared" si="410"/>
        <v>0</v>
      </c>
    </row>
    <row r="1355" spans="1:16" x14ac:dyDescent="0.15">
      <c r="A1355" s="15" t="s">
        <v>85</v>
      </c>
      <c r="B1355" s="11"/>
      <c r="C1355" s="100"/>
      <c r="D1355" s="100"/>
      <c r="E1355" s="100"/>
      <c r="F1355" s="101"/>
      <c r="G1355" s="102">
        <f t="shared" si="407"/>
        <v>0</v>
      </c>
      <c r="H1355" s="58"/>
      <c r="I1355" s="38" t="s">
        <v>84</v>
      </c>
      <c r="J1355" s="8"/>
      <c r="K1355" s="10"/>
      <c r="L1355" s="10"/>
      <c r="M1355" s="10"/>
      <c r="N1355" s="30"/>
      <c r="O1355" s="7">
        <f t="shared" si="409"/>
        <v>0</v>
      </c>
    </row>
    <row r="1356" spans="1:16" x14ac:dyDescent="0.15">
      <c r="A1356" s="15" t="s">
        <v>86</v>
      </c>
      <c r="B1356" s="11"/>
      <c r="C1356" s="100"/>
      <c r="D1356" s="100"/>
      <c r="E1356" s="100"/>
      <c r="F1356" s="101"/>
      <c r="G1356" s="102">
        <f t="shared" si="407"/>
        <v>0</v>
      </c>
      <c r="H1356" s="58"/>
      <c r="I1356" s="38" t="s">
        <v>85</v>
      </c>
      <c r="J1356" s="8"/>
      <c r="K1356" s="10"/>
      <c r="L1356" s="10"/>
      <c r="M1356" s="10"/>
      <c r="N1356" s="30"/>
      <c r="O1356" s="7">
        <f t="shared" si="409"/>
        <v>0</v>
      </c>
    </row>
    <row r="1357" spans="1:16" ht="14.25" thickBot="1" x14ac:dyDescent="0.2">
      <c r="A1357" s="15" t="s">
        <v>87</v>
      </c>
      <c r="B1357" s="11"/>
      <c r="C1357" s="100"/>
      <c r="D1357" s="100"/>
      <c r="E1357" s="100"/>
      <c r="F1357" s="101"/>
      <c r="G1357" s="102">
        <f t="shared" si="407"/>
        <v>0</v>
      </c>
      <c r="H1357" s="58"/>
      <c r="I1357" s="38" t="s">
        <v>86</v>
      </c>
      <c r="J1357" s="8"/>
      <c r="K1357" s="10"/>
      <c r="L1357" s="10"/>
      <c r="M1357" s="10"/>
      <c r="N1357" s="30"/>
      <c r="O1357" s="7">
        <f t="shared" ref="O1357" si="412">SUM(J1357:N1357)</f>
        <v>0</v>
      </c>
    </row>
    <row r="1358" spans="1:16" ht="14.25" thickBot="1" x14ac:dyDescent="0.2">
      <c r="A1358" s="72" t="s">
        <v>7</v>
      </c>
      <c r="B1358" s="73">
        <f>SUM(B1349:B1357)</f>
        <v>12</v>
      </c>
      <c r="C1358" s="74">
        <f t="shared" ref="C1358:G1358" si="413">SUM(C1349:C1357)</f>
        <v>10</v>
      </c>
      <c r="D1358" s="74">
        <f t="shared" si="413"/>
        <v>16</v>
      </c>
      <c r="E1358" s="74">
        <f t="shared" si="413"/>
        <v>12</v>
      </c>
      <c r="F1358" s="105">
        <f t="shared" si="413"/>
        <v>9</v>
      </c>
      <c r="G1358" s="76">
        <f t="shared" si="413"/>
        <v>59</v>
      </c>
      <c r="H1358" s="56"/>
      <c r="I1358" s="72" t="s">
        <v>7</v>
      </c>
      <c r="J1358" s="73">
        <f>SUM(J1349:J1357)</f>
        <v>141</v>
      </c>
      <c r="K1358" s="74">
        <f t="shared" ref="K1358:O1358" si="414">SUM(K1349:K1357)</f>
        <v>172</v>
      </c>
      <c r="L1358" s="74">
        <f t="shared" si="414"/>
        <v>123</v>
      </c>
      <c r="M1358" s="74">
        <f t="shared" si="414"/>
        <v>126</v>
      </c>
      <c r="N1358" s="105">
        <f t="shared" si="414"/>
        <v>86</v>
      </c>
      <c r="O1358" s="76">
        <f t="shared" si="414"/>
        <v>648</v>
      </c>
    </row>
    <row r="1359" spans="1:16" x14ac:dyDescent="0.15">
      <c r="A1359" s="14" t="s">
        <v>29</v>
      </c>
      <c r="B1359" s="8"/>
      <c r="C1359" s="10"/>
      <c r="D1359" s="10"/>
      <c r="E1359" s="10"/>
      <c r="F1359" s="30">
        <v>1</v>
      </c>
      <c r="G1359" s="7">
        <f t="shared" ref="G1359:G1382" si="415">SUM(B1359:F1359)</f>
        <v>1</v>
      </c>
      <c r="H1359" s="58">
        <v>45166</v>
      </c>
      <c r="I1359" s="14" t="s">
        <v>24</v>
      </c>
      <c r="J1359" s="8"/>
      <c r="K1359" s="10">
        <v>3</v>
      </c>
      <c r="L1359" s="10"/>
      <c r="M1359" s="10">
        <v>3</v>
      </c>
      <c r="N1359" s="30">
        <v>3</v>
      </c>
      <c r="O1359" s="7">
        <f t="shared" ref="O1359:O1361" si="416">SUM(J1359:N1359)</f>
        <v>9</v>
      </c>
      <c r="P1359" s="58">
        <v>45180</v>
      </c>
    </row>
    <row r="1360" spans="1:16" x14ac:dyDescent="0.15">
      <c r="A1360" s="14" t="s">
        <v>29</v>
      </c>
      <c r="B1360" s="8"/>
      <c r="C1360" s="10"/>
      <c r="D1360" s="10">
        <v>1</v>
      </c>
      <c r="E1360" s="10"/>
      <c r="F1360" s="30"/>
      <c r="G1360" s="7">
        <f t="shared" si="415"/>
        <v>1</v>
      </c>
      <c r="H1360" s="58">
        <v>45169</v>
      </c>
      <c r="I1360" s="14" t="s">
        <v>24</v>
      </c>
      <c r="J1360" s="8"/>
      <c r="K1360" s="10"/>
      <c r="L1360" s="10">
        <v>5</v>
      </c>
      <c r="M1360" s="10"/>
      <c r="N1360" s="30"/>
      <c r="O1360" s="7">
        <f t="shared" si="416"/>
        <v>5</v>
      </c>
      <c r="P1360" s="58">
        <v>45210</v>
      </c>
    </row>
    <row r="1361" spans="1:16" x14ac:dyDescent="0.15">
      <c r="A1361" s="14" t="s">
        <v>29</v>
      </c>
      <c r="B1361" s="8"/>
      <c r="C1361" s="10"/>
      <c r="D1361" s="10">
        <v>1</v>
      </c>
      <c r="E1361" s="10"/>
      <c r="F1361" s="30"/>
      <c r="G1361" s="7">
        <f t="shared" si="415"/>
        <v>1</v>
      </c>
      <c r="H1361" s="58">
        <v>45170</v>
      </c>
      <c r="I1361" s="14" t="s">
        <v>24</v>
      </c>
      <c r="J1361" s="8"/>
      <c r="K1361" s="10">
        <v>3</v>
      </c>
      <c r="L1361" s="10">
        <v>3</v>
      </c>
      <c r="M1361" s="10">
        <v>3</v>
      </c>
      <c r="N1361" s="30"/>
      <c r="O1361" s="7">
        <f t="shared" si="416"/>
        <v>9</v>
      </c>
      <c r="P1361" s="58">
        <v>45245</v>
      </c>
    </row>
    <row r="1362" spans="1:16" x14ac:dyDescent="0.15">
      <c r="A1362" s="14" t="s">
        <v>29</v>
      </c>
      <c r="B1362" s="8"/>
      <c r="C1362" s="10">
        <v>1</v>
      </c>
      <c r="D1362" s="10"/>
      <c r="E1362" s="10"/>
      <c r="F1362" s="30"/>
      <c r="G1362" s="7">
        <f t="shared" si="415"/>
        <v>1</v>
      </c>
      <c r="H1362" s="58">
        <v>45173</v>
      </c>
      <c r="I1362" s="14" t="s">
        <v>24</v>
      </c>
      <c r="J1362" s="8"/>
      <c r="K1362" s="10"/>
      <c r="L1362" s="10"/>
      <c r="M1362" s="10"/>
      <c r="N1362" s="30">
        <v>3</v>
      </c>
      <c r="O1362" s="7">
        <f t="shared" ref="O1362:O1381" si="417">SUM(J1362:N1362)</f>
        <v>3</v>
      </c>
      <c r="P1362" s="58">
        <v>45257</v>
      </c>
    </row>
    <row r="1363" spans="1:16" x14ac:dyDescent="0.15">
      <c r="A1363" s="14" t="s">
        <v>29</v>
      </c>
      <c r="B1363" s="8"/>
      <c r="C1363" s="10"/>
      <c r="D1363" s="10">
        <v>2</v>
      </c>
      <c r="E1363" s="10"/>
      <c r="F1363" s="30"/>
      <c r="G1363" s="7">
        <f t="shared" si="415"/>
        <v>2</v>
      </c>
      <c r="H1363" s="58">
        <v>45174</v>
      </c>
      <c r="I1363" s="14"/>
      <c r="J1363" s="8"/>
      <c r="K1363" s="10"/>
      <c r="L1363" s="10"/>
      <c r="M1363" s="10"/>
      <c r="N1363" s="30"/>
      <c r="O1363" s="7">
        <f t="shared" si="417"/>
        <v>0</v>
      </c>
      <c r="P1363" s="56"/>
    </row>
    <row r="1364" spans="1:16" x14ac:dyDescent="0.15">
      <c r="A1364" s="14" t="s">
        <v>29</v>
      </c>
      <c r="B1364" s="8"/>
      <c r="C1364" s="10">
        <v>1</v>
      </c>
      <c r="D1364" s="10"/>
      <c r="E1364" s="10"/>
      <c r="F1364" s="30"/>
      <c r="G1364" s="7">
        <f t="shared" si="415"/>
        <v>1</v>
      </c>
      <c r="H1364" s="58">
        <v>45176</v>
      </c>
      <c r="I1364" s="14"/>
      <c r="J1364" s="8"/>
      <c r="K1364" s="10"/>
      <c r="L1364" s="10"/>
      <c r="M1364" s="10"/>
      <c r="N1364" s="30"/>
      <c r="O1364" s="7">
        <f t="shared" si="417"/>
        <v>0</v>
      </c>
    </row>
    <row r="1365" spans="1:16" x14ac:dyDescent="0.15">
      <c r="A1365" s="14" t="s">
        <v>29</v>
      </c>
      <c r="B1365" s="8"/>
      <c r="C1365" s="10">
        <v>1</v>
      </c>
      <c r="D1365" s="10"/>
      <c r="E1365" s="10"/>
      <c r="F1365" s="30"/>
      <c r="G1365" s="7">
        <f t="shared" si="415"/>
        <v>1</v>
      </c>
      <c r="H1365" s="58">
        <v>45180</v>
      </c>
      <c r="I1365" s="14"/>
      <c r="J1365" s="8"/>
      <c r="K1365" s="10"/>
      <c r="L1365" s="10"/>
      <c r="M1365" s="10"/>
      <c r="N1365" s="30"/>
      <c r="O1365" s="7">
        <f t="shared" si="417"/>
        <v>0</v>
      </c>
    </row>
    <row r="1366" spans="1:16" x14ac:dyDescent="0.15">
      <c r="A1366" s="14" t="s">
        <v>29</v>
      </c>
      <c r="B1366" s="8"/>
      <c r="C1366" s="10"/>
      <c r="D1366" s="10"/>
      <c r="E1366" s="10">
        <v>1</v>
      </c>
      <c r="F1366" s="30"/>
      <c r="G1366" s="7">
        <f t="shared" si="415"/>
        <v>1</v>
      </c>
      <c r="H1366" s="58">
        <v>45188</v>
      </c>
      <c r="I1366" s="14"/>
      <c r="J1366" s="8"/>
      <c r="K1366" s="10"/>
      <c r="L1366" s="10"/>
      <c r="M1366" s="10"/>
      <c r="N1366" s="30"/>
      <c r="O1366" s="7">
        <f t="shared" si="417"/>
        <v>0</v>
      </c>
    </row>
    <row r="1367" spans="1:16" x14ac:dyDescent="0.15">
      <c r="A1367" s="14" t="s">
        <v>29</v>
      </c>
      <c r="B1367" s="8"/>
      <c r="C1367" s="10"/>
      <c r="D1367" s="10">
        <v>1</v>
      </c>
      <c r="E1367" s="10">
        <v>1</v>
      </c>
      <c r="F1367" s="30"/>
      <c r="G1367" s="7">
        <f t="shared" si="415"/>
        <v>2</v>
      </c>
      <c r="H1367" s="58">
        <v>45189</v>
      </c>
      <c r="I1367" s="14"/>
      <c r="J1367" s="8"/>
      <c r="K1367" s="10"/>
      <c r="L1367" s="10"/>
      <c r="M1367" s="10"/>
      <c r="N1367" s="30"/>
      <c r="O1367" s="7">
        <f t="shared" si="417"/>
        <v>0</v>
      </c>
    </row>
    <row r="1368" spans="1:16" x14ac:dyDescent="0.15">
      <c r="A1368" s="14" t="s">
        <v>29</v>
      </c>
      <c r="B1368" s="8"/>
      <c r="C1368" s="10"/>
      <c r="D1368" s="10"/>
      <c r="E1368" s="10"/>
      <c r="F1368" s="30">
        <v>1</v>
      </c>
      <c r="G1368" s="7">
        <f t="shared" si="415"/>
        <v>1</v>
      </c>
      <c r="H1368" s="58">
        <v>45194</v>
      </c>
      <c r="I1368" s="14"/>
      <c r="J1368" s="8"/>
      <c r="K1368" s="10"/>
      <c r="L1368" s="10"/>
      <c r="M1368" s="10"/>
      <c r="N1368" s="30"/>
      <c r="O1368" s="7">
        <f t="shared" si="417"/>
        <v>0</v>
      </c>
    </row>
    <row r="1369" spans="1:16" x14ac:dyDescent="0.15">
      <c r="A1369" s="14" t="s">
        <v>29</v>
      </c>
      <c r="B1369" s="8"/>
      <c r="C1369" s="10"/>
      <c r="D1369" s="10">
        <v>1</v>
      </c>
      <c r="E1369" s="10"/>
      <c r="F1369" s="30">
        <v>1</v>
      </c>
      <c r="G1369" s="7">
        <f t="shared" si="415"/>
        <v>2</v>
      </c>
      <c r="H1369" s="58">
        <v>45204</v>
      </c>
      <c r="I1369" s="14"/>
      <c r="J1369" s="8"/>
      <c r="K1369" s="10"/>
      <c r="L1369" s="10"/>
      <c r="M1369" s="10"/>
      <c r="N1369" s="30"/>
      <c r="O1369" s="7">
        <f t="shared" si="417"/>
        <v>0</v>
      </c>
    </row>
    <row r="1370" spans="1:16" x14ac:dyDescent="0.15">
      <c r="A1370" s="14" t="s">
        <v>29</v>
      </c>
      <c r="B1370" s="8"/>
      <c r="C1370" s="10">
        <v>2</v>
      </c>
      <c r="D1370" s="10">
        <v>1</v>
      </c>
      <c r="E1370" s="10"/>
      <c r="F1370" s="30"/>
      <c r="G1370" s="7">
        <f t="shared" si="415"/>
        <v>3</v>
      </c>
      <c r="H1370" s="58">
        <v>45209</v>
      </c>
      <c r="I1370" s="14"/>
      <c r="J1370" s="8"/>
      <c r="K1370" s="10"/>
      <c r="L1370" s="10"/>
      <c r="M1370" s="10"/>
      <c r="N1370" s="30"/>
      <c r="O1370" s="7">
        <f t="shared" si="417"/>
        <v>0</v>
      </c>
    </row>
    <row r="1371" spans="1:16" x14ac:dyDescent="0.15">
      <c r="A1371" s="16" t="s">
        <v>1586</v>
      </c>
      <c r="B1371" s="8">
        <v>1</v>
      </c>
      <c r="C1371" s="10"/>
      <c r="D1371" s="10"/>
      <c r="E1371" s="10"/>
      <c r="F1371" s="30"/>
      <c r="G1371" s="7">
        <f t="shared" si="415"/>
        <v>1</v>
      </c>
      <c r="H1371" s="58">
        <v>45217</v>
      </c>
      <c r="I1371" s="14"/>
      <c r="J1371" s="8"/>
      <c r="K1371" s="10"/>
      <c r="L1371" s="10"/>
      <c r="M1371" s="10"/>
      <c r="N1371" s="30"/>
      <c r="O1371" s="7">
        <f t="shared" si="417"/>
        <v>0</v>
      </c>
    </row>
    <row r="1372" spans="1:16" x14ac:dyDescent="0.15">
      <c r="A1372" s="14" t="s">
        <v>29</v>
      </c>
      <c r="B1372" s="8"/>
      <c r="C1372" s="10"/>
      <c r="D1372" s="10">
        <v>1</v>
      </c>
      <c r="E1372" s="10"/>
      <c r="F1372" s="30"/>
      <c r="G1372" s="7">
        <f t="shared" si="415"/>
        <v>1</v>
      </c>
      <c r="H1372" s="58">
        <v>45238</v>
      </c>
      <c r="I1372" s="14"/>
      <c r="J1372" s="8"/>
      <c r="K1372" s="10"/>
      <c r="L1372" s="10"/>
      <c r="M1372" s="10"/>
      <c r="N1372" s="30"/>
      <c r="O1372" s="7">
        <f t="shared" si="417"/>
        <v>0</v>
      </c>
    </row>
    <row r="1373" spans="1:16" x14ac:dyDescent="0.15">
      <c r="A1373" s="14" t="s">
        <v>29</v>
      </c>
      <c r="B1373" s="8"/>
      <c r="C1373" s="10"/>
      <c r="D1373" s="10">
        <v>1</v>
      </c>
      <c r="E1373" s="10"/>
      <c r="F1373" s="30"/>
      <c r="G1373" s="7">
        <f t="shared" si="415"/>
        <v>1</v>
      </c>
      <c r="H1373" s="58">
        <v>45240</v>
      </c>
      <c r="I1373" s="14"/>
      <c r="J1373" s="8"/>
      <c r="K1373" s="10"/>
      <c r="L1373" s="10"/>
      <c r="M1373" s="10"/>
      <c r="N1373" s="30"/>
      <c r="O1373" s="7">
        <f t="shared" si="417"/>
        <v>0</v>
      </c>
    </row>
    <row r="1374" spans="1:16" x14ac:dyDescent="0.15">
      <c r="A1374" s="14" t="s">
        <v>29</v>
      </c>
      <c r="B1374" s="8">
        <v>1</v>
      </c>
      <c r="C1374" s="10"/>
      <c r="D1374" s="10"/>
      <c r="E1374" s="10"/>
      <c r="F1374" s="30">
        <v>1</v>
      </c>
      <c r="G1374" s="7">
        <f t="shared" si="415"/>
        <v>2</v>
      </c>
      <c r="H1374" s="58">
        <v>45243</v>
      </c>
      <c r="I1374" s="14"/>
      <c r="J1374" s="8"/>
      <c r="K1374" s="10"/>
      <c r="L1374" s="10"/>
      <c r="M1374" s="10"/>
      <c r="N1374" s="30"/>
      <c r="O1374" s="7">
        <f t="shared" si="417"/>
        <v>0</v>
      </c>
    </row>
    <row r="1375" spans="1:16" x14ac:dyDescent="0.15">
      <c r="A1375" s="14" t="s">
        <v>29</v>
      </c>
      <c r="B1375" s="8">
        <v>1</v>
      </c>
      <c r="C1375" s="10"/>
      <c r="D1375" s="10"/>
      <c r="E1375" s="10"/>
      <c r="F1375" s="30"/>
      <c r="G1375" s="7">
        <f t="shared" si="415"/>
        <v>1</v>
      </c>
      <c r="H1375" s="58">
        <v>45247</v>
      </c>
      <c r="I1375" s="14"/>
      <c r="J1375" s="8"/>
      <c r="K1375" s="10"/>
      <c r="L1375" s="10"/>
      <c r="M1375" s="10"/>
      <c r="N1375" s="30"/>
      <c r="O1375" s="7">
        <f t="shared" si="417"/>
        <v>0</v>
      </c>
    </row>
    <row r="1376" spans="1:16" x14ac:dyDescent="0.15">
      <c r="A1376" s="14" t="s">
        <v>1591</v>
      </c>
      <c r="B1376" s="8"/>
      <c r="C1376" s="10"/>
      <c r="D1376" s="10"/>
      <c r="E1376" s="10"/>
      <c r="F1376" s="30">
        <v>1</v>
      </c>
      <c r="G1376" s="7">
        <f t="shared" si="415"/>
        <v>1</v>
      </c>
      <c r="H1376" s="58">
        <v>45254</v>
      </c>
      <c r="I1376" s="14"/>
      <c r="J1376" s="8"/>
      <c r="K1376" s="10"/>
      <c r="L1376" s="10"/>
      <c r="M1376" s="10"/>
      <c r="N1376" s="30"/>
      <c r="O1376" s="7">
        <f t="shared" si="417"/>
        <v>0</v>
      </c>
    </row>
    <row r="1377" spans="1:15" x14ac:dyDescent="0.15">
      <c r="A1377" s="14" t="s">
        <v>29</v>
      </c>
      <c r="B1377" s="8"/>
      <c r="C1377" s="10">
        <v>1</v>
      </c>
      <c r="D1377" s="10">
        <v>1</v>
      </c>
      <c r="E1377" s="10"/>
      <c r="F1377" s="30">
        <v>1</v>
      </c>
      <c r="G1377" s="7">
        <f t="shared" si="415"/>
        <v>3</v>
      </c>
      <c r="H1377" s="58">
        <v>45257</v>
      </c>
      <c r="I1377" s="14"/>
      <c r="J1377" s="8"/>
      <c r="K1377" s="10"/>
      <c r="L1377" s="10"/>
      <c r="M1377" s="10"/>
      <c r="N1377" s="30"/>
      <c r="O1377" s="7">
        <f t="shared" si="417"/>
        <v>0</v>
      </c>
    </row>
    <row r="1378" spans="1:15" x14ac:dyDescent="0.15">
      <c r="A1378" s="14" t="s">
        <v>696</v>
      </c>
      <c r="B1378" s="8"/>
      <c r="C1378" s="10"/>
      <c r="D1378" s="10"/>
      <c r="E1378" s="10"/>
      <c r="F1378" s="30">
        <v>-1</v>
      </c>
      <c r="G1378" s="7">
        <f t="shared" si="415"/>
        <v>-1</v>
      </c>
      <c r="H1378" s="58">
        <v>45264</v>
      </c>
      <c r="I1378" s="14"/>
      <c r="J1378" s="8"/>
      <c r="K1378" s="10"/>
      <c r="L1378" s="10"/>
      <c r="M1378" s="10"/>
      <c r="N1378" s="30"/>
      <c r="O1378" s="7">
        <f t="shared" si="417"/>
        <v>0</v>
      </c>
    </row>
    <row r="1379" spans="1:15" x14ac:dyDescent="0.15">
      <c r="A1379" s="14" t="s">
        <v>29</v>
      </c>
      <c r="B1379" s="8"/>
      <c r="C1379" s="10"/>
      <c r="D1379" s="10">
        <v>1</v>
      </c>
      <c r="E1379" s="10"/>
      <c r="F1379" s="30"/>
      <c r="G1379" s="7">
        <f t="shared" si="415"/>
        <v>1</v>
      </c>
      <c r="H1379" s="58">
        <v>45273</v>
      </c>
      <c r="I1379" s="14"/>
      <c r="J1379" s="8"/>
      <c r="K1379" s="10"/>
      <c r="L1379" s="10"/>
      <c r="M1379" s="10"/>
      <c r="N1379" s="30"/>
      <c r="O1379" s="7">
        <f t="shared" si="417"/>
        <v>0</v>
      </c>
    </row>
    <row r="1380" spans="1:15" x14ac:dyDescent="0.15">
      <c r="A1380" s="14" t="s">
        <v>29</v>
      </c>
      <c r="B1380" s="8">
        <v>1</v>
      </c>
      <c r="C1380" s="10"/>
      <c r="D1380" s="10"/>
      <c r="E1380" s="10"/>
      <c r="F1380" s="30"/>
      <c r="G1380" s="7">
        <f t="shared" si="415"/>
        <v>1</v>
      </c>
      <c r="H1380" s="58">
        <v>45278</v>
      </c>
      <c r="I1380" s="14"/>
      <c r="J1380" s="8"/>
      <c r="K1380" s="10"/>
      <c r="L1380" s="10"/>
      <c r="M1380" s="10"/>
      <c r="N1380" s="30"/>
      <c r="O1380" s="7">
        <f t="shared" si="417"/>
        <v>0</v>
      </c>
    </row>
    <row r="1381" spans="1:15" x14ac:dyDescent="0.15">
      <c r="A1381" s="14" t="s">
        <v>29</v>
      </c>
      <c r="B1381" s="8"/>
      <c r="C1381" s="10">
        <v>1</v>
      </c>
      <c r="D1381" s="10"/>
      <c r="E1381" s="10"/>
      <c r="F1381" s="30"/>
      <c r="G1381" s="7">
        <f t="shared" si="415"/>
        <v>1</v>
      </c>
      <c r="H1381" s="58">
        <v>45280</v>
      </c>
      <c r="I1381" s="14"/>
      <c r="J1381" s="8"/>
      <c r="K1381" s="10"/>
      <c r="L1381" s="10"/>
      <c r="M1381" s="10"/>
      <c r="N1381" s="30"/>
      <c r="O1381" s="7">
        <f t="shared" si="417"/>
        <v>0</v>
      </c>
    </row>
    <row r="1382" spans="1:15" x14ac:dyDescent="0.15">
      <c r="A1382" s="14" t="s">
        <v>29</v>
      </c>
      <c r="B1382" s="8"/>
      <c r="C1382" s="10"/>
      <c r="D1382" s="10"/>
      <c r="E1382" s="10">
        <v>1</v>
      </c>
      <c r="F1382" s="30"/>
      <c r="G1382" s="7">
        <f t="shared" si="415"/>
        <v>1</v>
      </c>
      <c r="H1382" s="58">
        <v>45285</v>
      </c>
      <c r="I1382" s="14"/>
      <c r="J1382" s="8"/>
      <c r="K1382" s="10"/>
      <c r="L1382" s="10"/>
      <c r="M1382" s="10"/>
      <c r="N1382" s="30"/>
      <c r="O1382" s="7">
        <f t="shared" ref="O1382:O1384" si="418">SUM(J1382:N1382)</f>
        <v>0</v>
      </c>
    </row>
    <row r="1383" spans="1:15" x14ac:dyDescent="0.15">
      <c r="A1383" s="14" t="s">
        <v>29</v>
      </c>
      <c r="B1383" s="8"/>
      <c r="C1383" s="10"/>
      <c r="D1383" s="10">
        <v>1</v>
      </c>
      <c r="E1383" s="10"/>
      <c r="F1383" s="30"/>
      <c r="G1383" s="7">
        <f t="shared" ref="G1383:G1384" si="419">SUM(B1383:F1383)</f>
        <v>1</v>
      </c>
      <c r="H1383" s="58">
        <v>45296</v>
      </c>
      <c r="I1383" s="14"/>
      <c r="J1383" s="8"/>
      <c r="K1383" s="10"/>
      <c r="L1383" s="10"/>
      <c r="M1383" s="10"/>
      <c r="N1383" s="30"/>
      <c r="O1383" s="7">
        <f t="shared" si="418"/>
        <v>0</v>
      </c>
    </row>
    <row r="1384" spans="1:15" ht="14.25" thickBot="1" x14ac:dyDescent="0.2">
      <c r="A1384" s="14" t="s">
        <v>29</v>
      </c>
      <c r="B1384" s="8"/>
      <c r="C1384" s="10"/>
      <c r="D1384" s="10"/>
      <c r="E1384" s="10">
        <v>1</v>
      </c>
      <c r="F1384" s="30"/>
      <c r="G1384" s="7">
        <f t="shared" si="419"/>
        <v>1</v>
      </c>
      <c r="H1384" s="58">
        <v>45297</v>
      </c>
      <c r="I1384" s="14"/>
      <c r="J1384" s="8"/>
      <c r="K1384" s="10"/>
      <c r="L1384" s="10"/>
      <c r="M1384" s="10"/>
      <c r="N1384" s="30"/>
      <c r="O1384" s="7">
        <f t="shared" si="418"/>
        <v>0</v>
      </c>
    </row>
    <row r="1385" spans="1:15" ht="14.25" thickBot="1" x14ac:dyDescent="0.2">
      <c r="A1385" s="3" t="s">
        <v>11</v>
      </c>
      <c r="B1385" s="23">
        <f>SUM(B1359:B1384)</f>
        <v>4</v>
      </c>
      <c r="C1385" s="4">
        <f>SUM(C1359:C1384)</f>
        <v>7</v>
      </c>
      <c r="D1385" s="4">
        <f>SUM(D1359:D1384)</f>
        <v>12</v>
      </c>
      <c r="E1385" s="6">
        <f>SUM(E1359:E1384)</f>
        <v>4</v>
      </c>
      <c r="F1385" s="32">
        <f>SUM(F1359:F1384)</f>
        <v>5</v>
      </c>
      <c r="G1385" s="5">
        <f>SUM(B1385:F1385)</f>
        <v>32</v>
      </c>
      <c r="I1385" s="3" t="s">
        <v>11</v>
      </c>
      <c r="J1385" s="23">
        <f>SUM(J1359:J1384)</f>
        <v>0</v>
      </c>
      <c r="K1385" s="4">
        <f>SUM(K1359:K1384)</f>
        <v>6</v>
      </c>
      <c r="L1385" s="4">
        <f>SUM(L1359:L1384)</f>
        <v>8</v>
      </c>
      <c r="M1385" s="6">
        <f>SUM(M1359:M1384)</f>
        <v>6</v>
      </c>
      <c r="N1385" s="32">
        <f>SUM(N1359:N1384)</f>
        <v>6</v>
      </c>
      <c r="O1385" s="5">
        <f>SUM(J1385:N1385)</f>
        <v>26</v>
      </c>
    </row>
    <row r="1386" spans="1:15" ht="14.25" thickBot="1" x14ac:dyDescent="0.2">
      <c r="A1386" s="25" t="s">
        <v>12</v>
      </c>
      <c r="B1386" s="63">
        <f>B1358-B1385</f>
        <v>8</v>
      </c>
      <c r="C1386" s="26">
        <f t="shared" ref="C1386:G1386" si="420">C1358-C1385</f>
        <v>3</v>
      </c>
      <c r="D1386" s="71">
        <f t="shared" si="420"/>
        <v>4</v>
      </c>
      <c r="E1386" s="26">
        <f t="shared" si="420"/>
        <v>8</v>
      </c>
      <c r="F1386" s="70">
        <f t="shared" si="420"/>
        <v>4</v>
      </c>
      <c r="G1386" s="27">
        <f t="shared" si="420"/>
        <v>27</v>
      </c>
      <c r="I1386" s="25" t="s">
        <v>12</v>
      </c>
      <c r="J1386" s="63">
        <f>J1358-J1385</f>
        <v>141</v>
      </c>
      <c r="K1386" s="26">
        <f t="shared" ref="K1386:O1386" si="421">K1358-K1385</f>
        <v>166</v>
      </c>
      <c r="L1386" s="71">
        <f t="shared" si="421"/>
        <v>115</v>
      </c>
      <c r="M1386" s="26">
        <f t="shared" si="421"/>
        <v>120</v>
      </c>
      <c r="N1386" s="70">
        <f t="shared" si="421"/>
        <v>80</v>
      </c>
      <c r="O1386" s="27">
        <f t="shared" si="421"/>
        <v>622</v>
      </c>
    </row>
    <row r="1387" spans="1:15" ht="17.25" x14ac:dyDescent="0.2">
      <c r="A1387" s="79" t="s">
        <v>391</v>
      </c>
      <c r="B1387" s="80"/>
      <c r="C1387" s="80"/>
      <c r="D1387" s="80"/>
      <c r="E1387" s="80"/>
      <c r="F1387" s="80"/>
      <c r="G1387" s="80"/>
      <c r="H1387" s="56"/>
      <c r="I1387" s="79" t="s">
        <v>391</v>
      </c>
      <c r="J1387" s="80"/>
      <c r="K1387" s="80"/>
      <c r="L1387" s="80"/>
      <c r="M1387" s="80"/>
      <c r="N1387" s="80"/>
      <c r="O1387" s="1"/>
    </row>
    <row r="1388" spans="1:15" ht="21.75" thickBot="1" x14ac:dyDescent="0.25">
      <c r="A1388" s="82" t="s">
        <v>390</v>
      </c>
      <c r="B1388" s="80"/>
      <c r="C1388" s="80"/>
      <c r="D1388" s="80"/>
      <c r="E1388" s="81" t="s">
        <v>53</v>
      </c>
      <c r="F1388" s="80"/>
      <c r="G1388" s="80"/>
      <c r="H1388" s="56"/>
      <c r="I1388" s="82" t="s">
        <v>390</v>
      </c>
      <c r="J1388" s="80"/>
      <c r="K1388" s="80"/>
      <c r="L1388" s="80"/>
      <c r="M1388" s="81" t="s">
        <v>393</v>
      </c>
      <c r="N1388" s="80"/>
      <c r="O1388" s="1"/>
    </row>
    <row r="1389" spans="1:15" ht="14.25" thickBot="1" x14ac:dyDescent="0.2">
      <c r="A1389" s="13" t="s">
        <v>0</v>
      </c>
      <c r="B1389" s="228" t="s">
        <v>392</v>
      </c>
      <c r="C1389" s="229"/>
      <c r="D1389" s="229"/>
      <c r="E1389" s="229"/>
      <c r="F1389" s="230"/>
      <c r="G1389" s="231"/>
      <c r="H1389" s="56"/>
      <c r="I1389" s="13" t="s">
        <v>0</v>
      </c>
      <c r="J1389" s="228" t="s">
        <v>392</v>
      </c>
      <c r="K1389" s="229"/>
      <c r="L1389" s="229"/>
      <c r="M1389" s="229"/>
      <c r="N1389" s="230"/>
      <c r="O1389" s="231"/>
    </row>
    <row r="1390" spans="1:15" ht="14.25" thickBot="1" x14ac:dyDescent="0.2">
      <c r="A1390" s="3" t="s">
        <v>1</v>
      </c>
      <c r="B1390" s="2" t="s">
        <v>42</v>
      </c>
      <c r="C1390" s="21" t="s">
        <v>43</v>
      </c>
      <c r="D1390" s="21" t="s">
        <v>44</v>
      </c>
      <c r="E1390" s="24" t="s">
        <v>45</v>
      </c>
      <c r="F1390" s="33" t="s">
        <v>46</v>
      </c>
      <c r="G1390" s="34" t="s">
        <v>2</v>
      </c>
      <c r="H1390" s="56"/>
      <c r="I1390" s="3" t="s">
        <v>1</v>
      </c>
      <c r="J1390" s="41" t="s">
        <v>42</v>
      </c>
      <c r="K1390" s="42" t="s">
        <v>43</v>
      </c>
      <c r="L1390" s="42" t="s">
        <v>44</v>
      </c>
      <c r="M1390" s="43" t="s">
        <v>45</v>
      </c>
      <c r="N1390" s="44" t="s">
        <v>46</v>
      </c>
      <c r="O1390" s="3" t="s">
        <v>2</v>
      </c>
    </row>
    <row r="1391" spans="1:15" ht="14.25" thickBot="1" x14ac:dyDescent="0.2">
      <c r="A1391" s="72" t="s">
        <v>456</v>
      </c>
      <c r="B1391" s="73">
        <f>B1386</f>
        <v>8</v>
      </c>
      <c r="C1391" s="74">
        <f t="shared" ref="C1391:F1391" si="422">C1386</f>
        <v>3</v>
      </c>
      <c r="D1391" s="74">
        <f t="shared" si="422"/>
        <v>4</v>
      </c>
      <c r="E1391" s="74">
        <f t="shared" si="422"/>
        <v>8</v>
      </c>
      <c r="F1391" s="105">
        <f t="shared" si="422"/>
        <v>4</v>
      </c>
      <c r="G1391" s="131">
        <f t="shared" ref="G1391:G1399" si="423">SUM(B1391:F1391)</f>
        <v>27</v>
      </c>
      <c r="H1391" s="56"/>
      <c r="I1391" s="72" t="s">
        <v>456</v>
      </c>
      <c r="J1391" s="73">
        <f>J1386</f>
        <v>141</v>
      </c>
      <c r="K1391" s="74">
        <f t="shared" ref="K1391:N1391" si="424">K1386</f>
        <v>166</v>
      </c>
      <c r="L1391" s="74">
        <f t="shared" si="424"/>
        <v>115</v>
      </c>
      <c r="M1391" s="74">
        <f t="shared" si="424"/>
        <v>120</v>
      </c>
      <c r="N1391" s="105">
        <f t="shared" si="424"/>
        <v>80</v>
      </c>
      <c r="O1391" s="131">
        <f t="shared" ref="O1391:O1399" si="425">SUM(J1391:N1391)</f>
        <v>622</v>
      </c>
    </row>
    <row r="1392" spans="1:15" x14ac:dyDescent="0.15">
      <c r="A1392" s="15" t="s">
        <v>3</v>
      </c>
      <c r="B1392" s="11"/>
      <c r="C1392" s="100"/>
      <c r="D1392" s="100"/>
      <c r="E1392" s="100"/>
      <c r="F1392" s="101">
        <v>10</v>
      </c>
      <c r="G1392" s="102">
        <f t="shared" si="423"/>
        <v>10</v>
      </c>
      <c r="H1392" s="58">
        <v>45301</v>
      </c>
      <c r="I1392" s="38" t="s">
        <v>14</v>
      </c>
      <c r="J1392" s="8"/>
      <c r="K1392" s="10"/>
      <c r="L1392" s="10"/>
      <c r="M1392" s="10"/>
      <c r="N1392" s="30"/>
      <c r="O1392" s="7">
        <f t="shared" si="425"/>
        <v>0</v>
      </c>
    </row>
    <row r="1393" spans="1:18" x14ac:dyDescent="0.15">
      <c r="A1393" s="15" t="s">
        <v>4</v>
      </c>
      <c r="B1393" s="11"/>
      <c r="C1393" s="100">
        <v>5</v>
      </c>
      <c r="D1393" s="100"/>
      <c r="E1393" s="100"/>
      <c r="F1393" s="101"/>
      <c r="G1393" s="102">
        <f t="shared" si="423"/>
        <v>5</v>
      </c>
      <c r="H1393" s="58">
        <v>45303</v>
      </c>
      <c r="I1393" s="38" t="s">
        <v>3</v>
      </c>
      <c r="J1393" s="8"/>
      <c r="K1393" s="10"/>
      <c r="L1393" s="10"/>
      <c r="M1393" s="10"/>
      <c r="N1393" s="30"/>
      <c r="O1393" s="7">
        <f t="shared" si="425"/>
        <v>0</v>
      </c>
    </row>
    <row r="1394" spans="1:18" x14ac:dyDescent="0.15">
      <c r="A1394" s="15" t="s">
        <v>5</v>
      </c>
      <c r="B1394" s="11"/>
      <c r="C1394" s="100"/>
      <c r="D1394" s="100">
        <v>3</v>
      </c>
      <c r="E1394" s="100"/>
      <c r="F1394" s="101"/>
      <c r="G1394" s="102">
        <f t="shared" si="423"/>
        <v>3</v>
      </c>
      <c r="H1394" s="58">
        <v>45310</v>
      </c>
      <c r="I1394" s="38" t="s">
        <v>4</v>
      </c>
      <c r="J1394" s="8"/>
      <c r="K1394" s="10"/>
      <c r="L1394" s="10"/>
      <c r="M1394" s="10"/>
      <c r="N1394" s="30"/>
      <c r="O1394" s="7">
        <f t="shared" si="425"/>
        <v>0</v>
      </c>
    </row>
    <row r="1395" spans="1:18" x14ac:dyDescent="0.15">
      <c r="A1395" s="15" t="s">
        <v>6</v>
      </c>
      <c r="B1395" s="11"/>
      <c r="C1395" s="100">
        <v>3</v>
      </c>
      <c r="D1395" s="100">
        <v>3</v>
      </c>
      <c r="E1395" s="100">
        <v>3</v>
      </c>
      <c r="F1395" s="101"/>
      <c r="G1395" s="102">
        <f t="shared" si="423"/>
        <v>9</v>
      </c>
      <c r="H1395" s="58">
        <v>45357</v>
      </c>
      <c r="I1395" s="38" t="s">
        <v>5</v>
      </c>
      <c r="J1395" s="8"/>
      <c r="K1395" s="10"/>
      <c r="L1395" s="10"/>
      <c r="M1395" s="10"/>
      <c r="N1395" s="30"/>
      <c r="O1395" s="7">
        <f t="shared" si="425"/>
        <v>0</v>
      </c>
    </row>
    <row r="1396" spans="1:18" x14ac:dyDescent="0.15">
      <c r="A1396" s="15" t="s">
        <v>84</v>
      </c>
      <c r="B1396" s="11"/>
      <c r="C1396" s="100">
        <v>5</v>
      </c>
      <c r="D1396" s="100"/>
      <c r="E1396" s="100"/>
      <c r="F1396" s="101"/>
      <c r="G1396" s="102">
        <f t="shared" si="423"/>
        <v>5</v>
      </c>
      <c r="H1396" s="58">
        <v>45388</v>
      </c>
      <c r="I1396" s="38" t="s">
        <v>6</v>
      </c>
      <c r="J1396" s="8"/>
      <c r="K1396" s="10"/>
      <c r="L1396" s="10"/>
      <c r="M1396" s="10"/>
      <c r="N1396" s="30"/>
      <c r="O1396" s="7">
        <f t="shared" si="425"/>
        <v>0</v>
      </c>
    </row>
    <row r="1397" spans="1:18" x14ac:dyDescent="0.15">
      <c r="A1397" s="15" t="s">
        <v>85</v>
      </c>
      <c r="B1397" s="11"/>
      <c r="C1397" s="100"/>
      <c r="D1397" s="100"/>
      <c r="E1397" s="100">
        <v>5</v>
      </c>
      <c r="F1397" s="101"/>
      <c r="G1397" s="102">
        <f t="shared" si="423"/>
        <v>5</v>
      </c>
      <c r="H1397" s="58">
        <v>45398</v>
      </c>
      <c r="I1397" s="38" t="s">
        <v>84</v>
      </c>
      <c r="J1397" s="8"/>
      <c r="K1397" s="10"/>
      <c r="L1397" s="10"/>
      <c r="M1397" s="10"/>
      <c r="N1397" s="30"/>
      <c r="O1397" s="7">
        <f t="shared" si="425"/>
        <v>0</v>
      </c>
    </row>
    <row r="1398" spans="1:18" x14ac:dyDescent="0.15">
      <c r="A1398" s="15" t="s">
        <v>86</v>
      </c>
      <c r="B1398" s="11"/>
      <c r="C1398" s="100"/>
      <c r="D1398" s="100"/>
      <c r="E1398" s="100"/>
      <c r="F1398" s="101"/>
      <c r="G1398" s="102">
        <f t="shared" si="423"/>
        <v>0</v>
      </c>
      <c r="H1398" s="58"/>
      <c r="I1398" s="38" t="s">
        <v>85</v>
      </c>
      <c r="J1398" s="8"/>
      <c r="K1398" s="10"/>
      <c r="L1398" s="10"/>
      <c r="M1398" s="10"/>
      <c r="N1398" s="30"/>
      <c r="O1398" s="7">
        <f t="shared" si="425"/>
        <v>0</v>
      </c>
    </row>
    <row r="1399" spans="1:18" ht="14.25" thickBot="1" x14ac:dyDescent="0.2">
      <c r="A1399" s="15" t="s">
        <v>87</v>
      </c>
      <c r="B1399" s="11"/>
      <c r="C1399" s="100"/>
      <c r="D1399" s="100"/>
      <c r="E1399" s="100"/>
      <c r="F1399" s="101"/>
      <c r="G1399" s="102">
        <f t="shared" si="423"/>
        <v>0</v>
      </c>
      <c r="H1399" s="58"/>
      <c r="I1399" s="38" t="s">
        <v>86</v>
      </c>
      <c r="J1399" s="8"/>
      <c r="K1399" s="10"/>
      <c r="L1399" s="10"/>
      <c r="M1399" s="10"/>
      <c r="N1399" s="30"/>
      <c r="O1399" s="7">
        <f t="shared" si="425"/>
        <v>0</v>
      </c>
    </row>
    <row r="1400" spans="1:18" ht="14.25" thickBot="1" x14ac:dyDescent="0.2">
      <c r="A1400" s="72" t="s">
        <v>7</v>
      </c>
      <c r="B1400" s="73">
        <f>SUM(B1391:B1399)</f>
        <v>8</v>
      </c>
      <c r="C1400" s="74">
        <f t="shared" ref="C1400:G1400" si="426">SUM(C1391:C1399)</f>
        <v>16</v>
      </c>
      <c r="D1400" s="74">
        <f t="shared" si="426"/>
        <v>10</v>
      </c>
      <c r="E1400" s="74">
        <f t="shared" si="426"/>
        <v>16</v>
      </c>
      <c r="F1400" s="105">
        <f t="shared" si="426"/>
        <v>14</v>
      </c>
      <c r="G1400" s="76">
        <f t="shared" si="426"/>
        <v>64</v>
      </c>
      <c r="H1400" s="56"/>
      <c r="I1400" s="72" t="s">
        <v>7</v>
      </c>
      <c r="J1400" s="73">
        <f>SUM(J1391:J1399)</f>
        <v>141</v>
      </c>
      <c r="K1400" s="74">
        <f t="shared" ref="K1400:O1400" si="427">SUM(K1391:K1399)</f>
        <v>166</v>
      </c>
      <c r="L1400" s="74">
        <f t="shared" si="427"/>
        <v>115</v>
      </c>
      <c r="M1400" s="74">
        <f t="shared" si="427"/>
        <v>120</v>
      </c>
      <c r="N1400" s="105">
        <f t="shared" si="427"/>
        <v>80</v>
      </c>
      <c r="O1400" s="76">
        <f t="shared" si="427"/>
        <v>622</v>
      </c>
    </row>
    <row r="1401" spans="1:18" x14ac:dyDescent="0.15">
      <c r="A1401" s="14" t="s">
        <v>29</v>
      </c>
      <c r="B1401" s="8"/>
      <c r="C1401" s="10">
        <v>1</v>
      </c>
      <c r="D1401" s="10"/>
      <c r="E1401" s="10"/>
      <c r="F1401" s="30">
        <v>2</v>
      </c>
      <c r="G1401" s="7">
        <f t="shared" ref="G1401:G1423" si="428">SUM(B1401:F1401)</f>
        <v>3</v>
      </c>
      <c r="H1401" s="58">
        <v>45300</v>
      </c>
      <c r="I1401" s="14" t="s">
        <v>24</v>
      </c>
      <c r="J1401" s="8"/>
      <c r="K1401" s="10"/>
      <c r="L1401" s="10"/>
      <c r="M1401" s="10"/>
      <c r="N1401" s="30">
        <v>10</v>
      </c>
      <c r="O1401" s="7">
        <f t="shared" ref="O1401" si="429">SUM(J1401:N1401)</f>
        <v>10</v>
      </c>
      <c r="P1401" s="58">
        <v>45301</v>
      </c>
      <c r="Q1401" s="56"/>
      <c r="R1401" s="56"/>
    </row>
    <row r="1402" spans="1:18" x14ac:dyDescent="0.15">
      <c r="A1402" s="14" t="s">
        <v>29</v>
      </c>
      <c r="B1402" s="8"/>
      <c r="C1402" s="10">
        <v>1</v>
      </c>
      <c r="D1402" s="10"/>
      <c r="E1402" s="10"/>
      <c r="F1402" s="30"/>
      <c r="G1402" s="7">
        <f t="shared" si="428"/>
        <v>1</v>
      </c>
      <c r="H1402" s="58">
        <v>45302</v>
      </c>
      <c r="I1402" s="14" t="s">
        <v>24</v>
      </c>
      <c r="J1402" s="8"/>
      <c r="K1402" s="10">
        <v>5</v>
      </c>
      <c r="L1402" s="10"/>
      <c r="M1402" s="10"/>
      <c r="N1402" s="30"/>
      <c r="O1402" s="7">
        <f t="shared" ref="O1402:O1424" si="430">SUM(J1402:N1402)</f>
        <v>5</v>
      </c>
      <c r="P1402" s="58">
        <v>45303</v>
      </c>
    </row>
    <row r="1403" spans="1:18" x14ac:dyDescent="0.15">
      <c r="A1403" s="14" t="s">
        <v>29</v>
      </c>
      <c r="B1403" s="8"/>
      <c r="C1403" s="10"/>
      <c r="D1403" s="10">
        <v>1</v>
      </c>
      <c r="E1403" s="10"/>
      <c r="F1403" s="30"/>
      <c r="G1403" s="7">
        <f t="shared" si="428"/>
        <v>1</v>
      </c>
      <c r="H1403" s="58">
        <v>45306</v>
      </c>
      <c r="I1403" s="14" t="s">
        <v>24</v>
      </c>
      <c r="J1403" s="8"/>
      <c r="K1403" s="10"/>
      <c r="L1403" s="10">
        <v>3</v>
      </c>
      <c r="M1403" s="10"/>
      <c r="N1403" s="30"/>
      <c r="O1403" s="7">
        <f t="shared" si="430"/>
        <v>3</v>
      </c>
      <c r="P1403" s="58">
        <v>45310</v>
      </c>
      <c r="Q1403" s="56"/>
    </row>
    <row r="1404" spans="1:18" x14ac:dyDescent="0.15">
      <c r="A1404" s="64" t="s">
        <v>1595</v>
      </c>
      <c r="B1404" s="8">
        <v>1</v>
      </c>
      <c r="C1404" s="10"/>
      <c r="D1404" s="10"/>
      <c r="E1404" s="10"/>
      <c r="F1404" s="30"/>
      <c r="G1404" s="7">
        <f t="shared" si="428"/>
        <v>1</v>
      </c>
      <c r="H1404" s="58">
        <v>45310</v>
      </c>
      <c r="I1404" s="14" t="s">
        <v>1597</v>
      </c>
      <c r="J1404" s="8">
        <v>13</v>
      </c>
      <c r="K1404" s="10">
        <v>13</v>
      </c>
      <c r="L1404" s="10">
        <v>8</v>
      </c>
      <c r="M1404" s="10">
        <v>11</v>
      </c>
      <c r="N1404" s="30"/>
      <c r="O1404" s="7">
        <f t="shared" si="430"/>
        <v>45</v>
      </c>
      <c r="P1404" s="58">
        <v>45350</v>
      </c>
      <c r="Q1404" s="56"/>
    </row>
    <row r="1405" spans="1:18" x14ac:dyDescent="0.15">
      <c r="A1405" s="14" t="s">
        <v>29</v>
      </c>
      <c r="B1405" s="8"/>
      <c r="C1405" s="10"/>
      <c r="D1405" s="10">
        <v>1</v>
      </c>
      <c r="E1405" s="10"/>
      <c r="F1405" s="30"/>
      <c r="G1405" s="7">
        <f t="shared" si="428"/>
        <v>1</v>
      </c>
      <c r="H1405" s="58">
        <v>45314</v>
      </c>
      <c r="I1405" s="14" t="s">
        <v>24</v>
      </c>
      <c r="J1405" s="8"/>
      <c r="K1405" s="10">
        <v>3</v>
      </c>
      <c r="L1405" s="10">
        <v>3</v>
      </c>
      <c r="M1405" s="10">
        <v>3</v>
      </c>
      <c r="N1405" s="30"/>
      <c r="O1405" s="7">
        <f t="shared" si="430"/>
        <v>9</v>
      </c>
      <c r="P1405" s="58">
        <v>45357</v>
      </c>
      <c r="Q1405" s="56"/>
    </row>
    <row r="1406" spans="1:18" x14ac:dyDescent="0.15">
      <c r="A1406" s="14" t="s">
        <v>29</v>
      </c>
      <c r="B1406" s="8"/>
      <c r="C1406" s="10"/>
      <c r="D1406" s="10">
        <v>1</v>
      </c>
      <c r="E1406" s="10"/>
      <c r="F1406" s="30"/>
      <c r="G1406" s="7">
        <f t="shared" si="428"/>
        <v>1</v>
      </c>
      <c r="H1406" s="58">
        <v>45316</v>
      </c>
      <c r="I1406" s="14" t="s">
        <v>24</v>
      </c>
      <c r="J1406" s="8"/>
      <c r="K1406" s="10">
        <v>5</v>
      </c>
      <c r="L1406" s="10"/>
      <c r="M1406" s="10"/>
      <c r="N1406" s="30"/>
      <c r="O1406" s="7">
        <f t="shared" si="430"/>
        <v>5</v>
      </c>
      <c r="P1406" s="58">
        <v>45388</v>
      </c>
      <c r="Q1406" s="56"/>
    </row>
    <row r="1407" spans="1:18" x14ac:dyDescent="0.15">
      <c r="A1407" s="14" t="s">
        <v>29</v>
      </c>
      <c r="B1407" s="8"/>
      <c r="C1407" s="10">
        <v>1</v>
      </c>
      <c r="D1407" s="10"/>
      <c r="E1407" s="10"/>
      <c r="F1407" s="30"/>
      <c r="G1407" s="7">
        <f t="shared" si="428"/>
        <v>1</v>
      </c>
      <c r="H1407" s="58">
        <v>45317</v>
      </c>
      <c r="I1407" s="14" t="s">
        <v>1601</v>
      </c>
      <c r="J1407" s="8">
        <v>25</v>
      </c>
      <c r="K1407" s="10">
        <v>50</v>
      </c>
      <c r="L1407" s="10">
        <v>25</v>
      </c>
      <c r="M1407" s="10">
        <v>25</v>
      </c>
      <c r="N1407" s="30"/>
      <c r="O1407" s="7">
        <f t="shared" si="430"/>
        <v>125</v>
      </c>
      <c r="P1407" s="58">
        <v>45397</v>
      </c>
      <c r="Q1407" s="56"/>
    </row>
    <row r="1408" spans="1:18" x14ac:dyDescent="0.15">
      <c r="A1408" s="14" t="s">
        <v>117</v>
      </c>
      <c r="B1408" s="8"/>
      <c r="C1408" s="10">
        <v>1</v>
      </c>
      <c r="D1408" s="10"/>
      <c r="E1408" s="10"/>
      <c r="F1408" s="30"/>
      <c r="G1408" s="7">
        <f t="shared" si="428"/>
        <v>1</v>
      </c>
      <c r="H1408" s="58">
        <v>45321</v>
      </c>
      <c r="I1408" s="14" t="s">
        <v>1605</v>
      </c>
      <c r="J1408" s="8"/>
      <c r="K1408" s="10"/>
      <c r="L1408" s="10">
        <v>10</v>
      </c>
      <c r="M1408" s="10">
        <v>10</v>
      </c>
      <c r="N1408" s="30"/>
      <c r="O1408" s="7">
        <f t="shared" si="430"/>
        <v>20</v>
      </c>
      <c r="P1408" s="58">
        <v>45421</v>
      </c>
      <c r="Q1408" s="56"/>
    </row>
    <row r="1409" spans="1:18" x14ac:dyDescent="0.15">
      <c r="A1409" s="14" t="s">
        <v>29</v>
      </c>
      <c r="B1409" s="8"/>
      <c r="C1409" s="10"/>
      <c r="D1409" s="10">
        <v>1</v>
      </c>
      <c r="E1409" s="10"/>
      <c r="F1409" s="30"/>
      <c r="G1409" s="7">
        <f t="shared" si="428"/>
        <v>1</v>
      </c>
      <c r="H1409" s="58">
        <v>45320</v>
      </c>
      <c r="I1409" s="14" t="s">
        <v>24</v>
      </c>
      <c r="J1409" s="8"/>
      <c r="K1409" s="10"/>
      <c r="L1409" s="10"/>
      <c r="M1409" s="10">
        <v>5</v>
      </c>
      <c r="N1409" s="30"/>
      <c r="O1409" s="7">
        <f t="shared" si="430"/>
        <v>5</v>
      </c>
      <c r="P1409" s="58">
        <v>45398</v>
      </c>
    </row>
    <row r="1410" spans="1:18" x14ac:dyDescent="0.15">
      <c r="A1410" s="14" t="s">
        <v>29</v>
      </c>
      <c r="B1410" s="8"/>
      <c r="C1410" s="10"/>
      <c r="D1410" s="10"/>
      <c r="E1410" s="10"/>
      <c r="F1410" s="30">
        <v>1</v>
      </c>
      <c r="G1410" s="7">
        <f t="shared" si="428"/>
        <v>1</v>
      </c>
      <c r="H1410" s="58">
        <v>45327</v>
      </c>
      <c r="I1410" s="14" t="s">
        <v>1607</v>
      </c>
      <c r="J1410" s="8">
        <v>3</v>
      </c>
      <c r="K1410" s="10"/>
      <c r="L1410" s="10">
        <v>15</v>
      </c>
      <c r="M1410" s="10">
        <v>10</v>
      </c>
      <c r="N1410" s="30"/>
      <c r="O1410" s="7">
        <f t="shared" si="430"/>
        <v>28</v>
      </c>
      <c r="P1410" s="58">
        <v>45429</v>
      </c>
      <c r="Q1410" s="56"/>
    </row>
    <row r="1411" spans="1:18" x14ac:dyDescent="0.15">
      <c r="A1411" s="14" t="s">
        <v>29</v>
      </c>
      <c r="B1411" s="8"/>
      <c r="C1411" s="10"/>
      <c r="D1411" s="10"/>
      <c r="E1411" s="10">
        <v>1</v>
      </c>
      <c r="F1411" s="30"/>
      <c r="G1411" s="7">
        <f t="shared" si="428"/>
        <v>1</v>
      </c>
      <c r="H1411" s="58">
        <v>45342</v>
      </c>
      <c r="I1411" s="14" t="s">
        <v>1609</v>
      </c>
      <c r="J1411" s="8">
        <v>5</v>
      </c>
      <c r="K1411" s="10"/>
      <c r="L1411" s="10"/>
      <c r="M1411" s="10"/>
      <c r="N1411" s="30"/>
      <c r="O1411" s="7">
        <f t="shared" si="430"/>
        <v>5</v>
      </c>
      <c r="P1411" s="58">
        <v>45429</v>
      </c>
      <c r="Q1411" s="56"/>
      <c r="R1411" s="56"/>
    </row>
    <row r="1412" spans="1:18" x14ac:dyDescent="0.15">
      <c r="A1412" s="14" t="s">
        <v>29</v>
      </c>
      <c r="B1412" s="8"/>
      <c r="C1412" s="10">
        <v>1</v>
      </c>
      <c r="D1412" s="10"/>
      <c r="E1412" s="10"/>
      <c r="F1412" s="30"/>
      <c r="G1412" s="7">
        <f t="shared" si="428"/>
        <v>1</v>
      </c>
      <c r="H1412" s="58">
        <v>45343</v>
      </c>
      <c r="I1412" s="14" t="s">
        <v>24</v>
      </c>
      <c r="J1412" s="8">
        <v>3</v>
      </c>
      <c r="K1412" s="10">
        <v>3</v>
      </c>
      <c r="L1412" s="10"/>
      <c r="M1412" s="10"/>
      <c r="N1412" s="30"/>
      <c r="O1412" s="7">
        <f t="shared" si="430"/>
        <v>6</v>
      </c>
      <c r="P1412" s="58">
        <v>45421</v>
      </c>
    </row>
    <row r="1413" spans="1:18" x14ac:dyDescent="0.15">
      <c r="A1413" s="14" t="s">
        <v>29</v>
      </c>
      <c r="B1413" s="8"/>
      <c r="C1413" s="10"/>
      <c r="D1413" s="10"/>
      <c r="E1413" s="10">
        <v>1</v>
      </c>
      <c r="F1413" s="30"/>
      <c r="G1413" s="7">
        <f t="shared" si="428"/>
        <v>1</v>
      </c>
      <c r="H1413" s="58">
        <v>45349</v>
      </c>
      <c r="I1413" s="14" t="s">
        <v>1610</v>
      </c>
      <c r="J1413" s="8"/>
      <c r="K1413" s="10"/>
      <c r="L1413" s="10">
        <v>5</v>
      </c>
      <c r="M1413" s="10">
        <v>5</v>
      </c>
      <c r="N1413" s="30"/>
      <c r="O1413" s="7">
        <f t="shared" si="430"/>
        <v>10</v>
      </c>
      <c r="P1413" s="58">
        <v>45442</v>
      </c>
    </row>
    <row r="1414" spans="1:18" x14ac:dyDescent="0.15">
      <c r="A1414" s="14" t="s">
        <v>29</v>
      </c>
      <c r="B1414" s="8"/>
      <c r="C1414" s="10">
        <v>1</v>
      </c>
      <c r="D1414" s="10"/>
      <c r="E1414" s="10"/>
      <c r="F1414" s="30"/>
      <c r="G1414" s="7">
        <f t="shared" si="428"/>
        <v>1</v>
      </c>
      <c r="H1414" s="58">
        <v>45355</v>
      </c>
      <c r="I1414" s="14" t="s">
        <v>24</v>
      </c>
      <c r="J1414" s="8"/>
      <c r="K1414" s="10"/>
      <c r="L1414" s="10">
        <v>3</v>
      </c>
      <c r="M1414" s="10">
        <v>3</v>
      </c>
      <c r="N1414" s="30"/>
      <c r="O1414" s="7">
        <f t="shared" si="430"/>
        <v>6</v>
      </c>
      <c r="P1414" s="58">
        <v>45430</v>
      </c>
      <c r="Q1414" s="56"/>
    </row>
    <row r="1415" spans="1:18" x14ac:dyDescent="0.15">
      <c r="A1415" s="14" t="s">
        <v>29</v>
      </c>
      <c r="B1415" s="8"/>
      <c r="C1415" s="10"/>
      <c r="D1415" s="10"/>
      <c r="E1415" s="10">
        <v>1</v>
      </c>
      <c r="F1415" s="30"/>
      <c r="G1415" s="7">
        <f t="shared" si="428"/>
        <v>1</v>
      </c>
      <c r="H1415" s="58">
        <v>45369</v>
      </c>
      <c r="I1415" s="14"/>
      <c r="J1415" s="8"/>
      <c r="K1415" s="10"/>
      <c r="L1415" s="10"/>
      <c r="M1415" s="10"/>
      <c r="N1415" s="30"/>
      <c r="O1415" s="7">
        <f t="shared" ref="O1415" si="431">SUM(J1415:N1415)</f>
        <v>0</v>
      </c>
      <c r="P1415" s="56"/>
    </row>
    <row r="1416" spans="1:18" x14ac:dyDescent="0.15">
      <c r="A1416" s="14" t="s">
        <v>29</v>
      </c>
      <c r="B1416" s="8">
        <v>1</v>
      </c>
      <c r="C1416" s="10"/>
      <c r="D1416" s="10"/>
      <c r="E1416" s="10"/>
      <c r="F1416" s="30">
        <v>1</v>
      </c>
      <c r="G1416" s="7">
        <f t="shared" si="428"/>
        <v>2</v>
      </c>
      <c r="H1416" s="58">
        <v>45370</v>
      </c>
      <c r="I1416" s="14"/>
      <c r="J1416" s="8"/>
      <c r="K1416" s="10"/>
      <c r="L1416" s="10"/>
      <c r="M1416" s="10"/>
      <c r="N1416" s="30"/>
      <c r="O1416" s="7">
        <f t="shared" si="430"/>
        <v>0</v>
      </c>
      <c r="P1416" s="56"/>
    </row>
    <row r="1417" spans="1:18" x14ac:dyDescent="0.15">
      <c r="A1417" s="14" t="s">
        <v>29</v>
      </c>
      <c r="B1417" s="8"/>
      <c r="C1417" s="10"/>
      <c r="D1417" s="10"/>
      <c r="E1417" s="10">
        <v>1</v>
      </c>
      <c r="F1417" s="30"/>
      <c r="G1417" s="7">
        <f t="shared" si="428"/>
        <v>1</v>
      </c>
      <c r="H1417" s="58">
        <v>45372</v>
      </c>
      <c r="I1417" s="14"/>
      <c r="J1417" s="8"/>
      <c r="K1417" s="10"/>
      <c r="L1417" s="10"/>
      <c r="M1417" s="10"/>
      <c r="N1417" s="30"/>
      <c r="O1417" s="7">
        <f t="shared" si="430"/>
        <v>0</v>
      </c>
    </row>
    <row r="1418" spans="1:18" x14ac:dyDescent="0.15">
      <c r="A1418" s="14" t="s">
        <v>29</v>
      </c>
      <c r="B1418" s="8"/>
      <c r="C1418" s="10">
        <f>1+1</f>
        <v>2</v>
      </c>
      <c r="D1418" s="10"/>
      <c r="E1418" s="10"/>
      <c r="F1418" s="30"/>
      <c r="G1418" s="7">
        <f t="shared" si="428"/>
        <v>2</v>
      </c>
      <c r="H1418" s="58">
        <v>45376</v>
      </c>
      <c r="I1418" s="14"/>
      <c r="J1418" s="8"/>
      <c r="K1418" s="10"/>
      <c r="L1418" s="10"/>
      <c r="M1418" s="10"/>
      <c r="N1418" s="30"/>
      <c r="O1418" s="7">
        <f t="shared" si="430"/>
        <v>0</v>
      </c>
    </row>
    <row r="1419" spans="1:18" x14ac:dyDescent="0.15">
      <c r="A1419" s="14" t="s">
        <v>696</v>
      </c>
      <c r="B1419" s="8"/>
      <c r="C1419" s="10"/>
      <c r="D1419" s="10"/>
      <c r="E1419" s="10">
        <v>-1</v>
      </c>
      <c r="F1419" s="30"/>
      <c r="G1419" s="7">
        <f t="shared" si="428"/>
        <v>-1</v>
      </c>
      <c r="H1419" s="58">
        <v>45376</v>
      </c>
      <c r="I1419" s="14"/>
      <c r="J1419" s="8"/>
      <c r="K1419" s="10"/>
      <c r="L1419" s="10"/>
      <c r="M1419" s="10"/>
      <c r="N1419" s="30"/>
      <c r="O1419" s="7">
        <f t="shared" si="430"/>
        <v>0</v>
      </c>
    </row>
    <row r="1420" spans="1:18" x14ac:dyDescent="0.15">
      <c r="A1420" s="14" t="s">
        <v>29</v>
      </c>
      <c r="B1420" s="8"/>
      <c r="C1420" s="10"/>
      <c r="D1420" s="10"/>
      <c r="E1420" s="10">
        <v>1</v>
      </c>
      <c r="F1420" s="30"/>
      <c r="G1420" s="7">
        <f t="shared" si="428"/>
        <v>1</v>
      </c>
      <c r="H1420" s="58">
        <v>45383</v>
      </c>
      <c r="I1420" s="14"/>
      <c r="J1420" s="8"/>
      <c r="K1420" s="10"/>
      <c r="L1420" s="10"/>
      <c r="M1420" s="10"/>
      <c r="N1420" s="30"/>
      <c r="O1420" s="7">
        <f t="shared" si="430"/>
        <v>0</v>
      </c>
    </row>
    <row r="1421" spans="1:18" x14ac:dyDescent="0.15">
      <c r="A1421" s="14" t="s">
        <v>1598</v>
      </c>
      <c r="B1421" s="8"/>
      <c r="C1421" s="10">
        <v>1</v>
      </c>
      <c r="D1421" s="10"/>
      <c r="E1421" s="10"/>
      <c r="F1421" s="30"/>
      <c r="G1421" s="7">
        <f t="shared" si="428"/>
        <v>1</v>
      </c>
      <c r="H1421" s="58">
        <v>45390</v>
      </c>
      <c r="I1421" s="14"/>
      <c r="J1421" s="8"/>
      <c r="K1421" s="10"/>
      <c r="L1421" s="10"/>
      <c r="M1421" s="10"/>
      <c r="N1421" s="30"/>
      <c r="O1421" s="7">
        <f t="shared" si="430"/>
        <v>0</v>
      </c>
    </row>
    <row r="1422" spans="1:18" x14ac:dyDescent="0.15">
      <c r="A1422" s="14" t="s">
        <v>29</v>
      </c>
      <c r="B1422" s="8"/>
      <c r="C1422" s="10">
        <v>1</v>
      </c>
      <c r="D1422" s="10"/>
      <c r="E1422" s="10"/>
      <c r="F1422" s="30"/>
      <c r="G1422" s="7">
        <f t="shared" si="428"/>
        <v>1</v>
      </c>
      <c r="H1422" s="58">
        <v>45387</v>
      </c>
      <c r="I1422" s="14"/>
      <c r="J1422" s="8"/>
      <c r="K1422" s="10"/>
      <c r="L1422" s="10"/>
      <c r="M1422" s="10"/>
      <c r="N1422" s="30"/>
      <c r="O1422" s="7">
        <f t="shared" si="430"/>
        <v>0</v>
      </c>
    </row>
    <row r="1423" spans="1:18" x14ac:dyDescent="0.15">
      <c r="A1423" s="14" t="s">
        <v>29</v>
      </c>
      <c r="B1423" s="8"/>
      <c r="C1423" s="10"/>
      <c r="D1423" s="10">
        <v>1</v>
      </c>
      <c r="E1423" s="10"/>
      <c r="F1423" s="30"/>
      <c r="G1423" s="7">
        <f t="shared" si="428"/>
        <v>1</v>
      </c>
      <c r="H1423" s="58">
        <v>45390</v>
      </c>
      <c r="I1423" s="14"/>
      <c r="J1423" s="8"/>
      <c r="K1423" s="10"/>
      <c r="L1423" s="10"/>
      <c r="M1423" s="10"/>
      <c r="N1423" s="30"/>
      <c r="O1423" s="7">
        <f t="shared" si="430"/>
        <v>0</v>
      </c>
    </row>
    <row r="1424" spans="1:18" x14ac:dyDescent="0.15">
      <c r="A1424" s="14" t="s">
        <v>29</v>
      </c>
      <c r="B1424" s="8">
        <v>1</v>
      </c>
      <c r="C1424" s="10"/>
      <c r="D1424" s="10"/>
      <c r="E1424" s="10"/>
      <c r="F1424" s="30"/>
      <c r="G1424" s="7">
        <f t="shared" ref="G1424:G1426" si="432">SUM(B1424:F1424)</f>
        <v>1</v>
      </c>
      <c r="H1424" s="58">
        <v>45392</v>
      </c>
      <c r="I1424" s="14"/>
      <c r="J1424" s="8"/>
      <c r="K1424" s="10"/>
      <c r="L1424" s="10"/>
      <c r="M1424" s="10"/>
      <c r="N1424" s="30"/>
      <c r="O1424" s="7">
        <f t="shared" si="430"/>
        <v>0</v>
      </c>
    </row>
    <row r="1425" spans="1:16" x14ac:dyDescent="0.15">
      <c r="A1425" s="14" t="s">
        <v>29</v>
      </c>
      <c r="B1425" s="8"/>
      <c r="C1425" s="10"/>
      <c r="D1425" s="10"/>
      <c r="E1425" s="10">
        <f>1+1</f>
        <v>2</v>
      </c>
      <c r="F1425" s="30"/>
      <c r="G1425" s="7">
        <f t="shared" si="432"/>
        <v>2</v>
      </c>
      <c r="H1425" s="58">
        <v>45397</v>
      </c>
      <c r="I1425" s="14"/>
      <c r="J1425" s="8"/>
      <c r="K1425" s="10"/>
      <c r="L1425" s="10"/>
      <c r="M1425" s="10"/>
      <c r="N1425" s="30"/>
      <c r="O1425" s="7">
        <f t="shared" ref="O1425:O1426" si="433">SUM(J1425:N1425)</f>
        <v>0</v>
      </c>
    </row>
    <row r="1426" spans="1:16" ht="14.25" thickBot="1" x14ac:dyDescent="0.2">
      <c r="A1426" s="14" t="s">
        <v>29</v>
      </c>
      <c r="B1426" s="8"/>
      <c r="C1426" s="10">
        <v>1</v>
      </c>
      <c r="D1426" s="10"/>
      <c r="E1426" s="10"/>
      <c r="F1426" s="30"/>
      <c r="G1426" s="7">
        <f t="shared" si="432"/>
        <v>1</v>
      </c>
      <c r="H1426" s="58">
        <v>45398</v>
      </c>
      <c r="I1426" s="14"/>
      <c r="J1426" s="8"/>
      <c r="K1426" s="10"/>
      <c r="L1426" s="10"/>
      <c r="M1426" s="10"/>
      <c r="N1426" s="30"/>
      <c r="O1426" s="7">
        <f t="shared" si="433"/>
        <v>0</v>
      </c>
    </row>
    <row r="1427" spans="1:16" ht="14.25" thickBot="1" x14ac:dyDescent="0.2">
      <c r="A1427" s="3" t="s">
        <v>11</v>
      </c>
      <c r="B1427" s="23">
        <f>SUM(B1401:B1426)</f>
        <v>3</v>
      </c>
      <c r="C1427" s="4">
        <f>SUM(C1401:C1426)</f>
        <v>11</v>
      </c>
      <c r="D1427" s="4">
        <f>SUM(D1401:D1426)</f>
        <v>5</v>
      </c>
      <c r="E1427" s="6">
        <f>SUM(E1401:E1426)</f>
        <v>6</v>
      </c>
      <c r="F1427" s="32">
        <f>SUM(F1401:F1426)</f>
        <v>4</v>
      </c>
      <c r="G1427" s="5">
        <f>SUM(B1427:F1427)</f>
        <v>29</v>
      </c>
      <c r="I1427" s="3" t="s">
        <v>11</v>
      </c>
      <c r="J1427" s="23">
        <f>SUM(J1401:J1426)</f>
        <v>49</v>
      </c>
      <c r="K1427" s="4">
        <f>SUM(K1401:K1426)</f>
        <v>79</v>
      </c>
      <c r="L1427" s="4">
        <f>SUM(L1401:L1426)</f>
        <v>72</v>
      </c>
      <c r="M1427" s="6">
        <f>SUM(M1401:M1426)</f>
        <v>72</v>
      </c>
      <c r="N1427" s="32">
        <f>SUM(N1401:N1426)</f>
        <v>10</v>
      </c>
      <c r="O1427" s="5">
        <f>SUM(J1427:N1427)</f>
        <v>282</v>
      </c>
    </row>
    <row r="1428" spans="1:16" ht="14.25" thickBot="1" x14ac:dyDescent="0.2">
      <c r="A1428" s="25" t="s">
        <v>12</v>
      </c>
      <c r="B1428" s="63">
        <f>B1400-B1427</f>
        <v>5</v>
      </c>
      <c r="C1428" s="26">
        <f t="shared" ref="C1428:G1428" si="434">C1400-C1427</f>
        <v>5</v>
      </c>
      <c r="D1428" s="71">
        <f t="shared" si="434"/>
        <v>5</v>
      </c>
      <c r="E1428" s="26">
        <f t="shared" si="434"/>
        <v>10</v>
      </c>
      <c r="F1428" s="70">
        <f t="shared" si="434"/>
        <v>10</v>
      </c>
      <c r="G1428" s="27">
        <f t="shared" si="434"/>
        <v>35</v>
      </c>
      <c r="I1428" s="25" t="s">
        <v>12</v>
      </c>
      <c r="J1428" s="63">
        <f>J1400-J1427</f>
        <v>92</v>
      </c>
      <c r="K1428" s="26">
        <f t="shared" ref="K1428:O1428" si="435">K1400-K1427</f>
        <v>87</v>
      </c>
      <c r="L1428" s="71">
        <f t="shared" si="435"/>
        <v>43</v>
      </c>
      <c r="M1428" s="26">
        <f t="shared" si="435"/>
        <v>48</v>
      </c>
      <c r="N1428" s="70">
        <f t="shared" si="435"/>
        <v>70</v>
      </c>
      <c r="O1428" s="27">
        <f t="shared" si="435"/>
        <v>340</v>
      </c>
    </row>
    <row r="1429" spans="1:16" ht="17.25" x14ac:dyDescent="0.2">
      <c r="A1429" s="79" t="s">
        <v>391</v>
      </c>
      <c r="B1429" s="80"/>
      <c r="C1429" s="80"/>
      <c r="D1429" s="80"/>
      <c r="E1429" s="80"/>
      <c r="F1429" s="80"/>
      <c r="G1429" s="80"/>
      <c r="H1429" s="56"/>
      <c r="I1429" s="79" t="s">
        <v>391</v>
      </c>
      <c r="J1429" s="80"/>
      <c r="K1429" s="80"/>
      <c r="L1429" s="80"/>
      <c r="M1429" s="80"/>
      <c r="N1429" s="80"/>
      <c r="O1429" s="1"/>
    </row>
    <row r="1430" spans="1:16" ht="21.75" thickBot="1" x14ac:dyDescent="0.25">
      <c r="A1430" s="82" t="s">
        <v>390</v>
      </c>
      <c r="B1430" s="80"/>
      <c r="C1430" s="80"/>
      <c r="D1430" s="80"/>
      <c r="E1430" s="81" t="s">
        <v>53</v>
      </c>
      <c r="F1430" s="80"/>
      <c r="G1430" s="80"/>
      <c r="H1430" s="56"/>
      <c r="I1430" s="82" t="s">
        <v>390</v>
      </c>
      <c r="J1430" s="80"/>
      <c r="K1430" s="80"/>
      <c r="L1430" s="80"/>
      <c r="M1430" s="81" t="s">
        <v>393</v>
      </c>
      <c r="N1430" s="80"/>
      <c r="O1430" s="1"/>
    </row>
    <row r="1431" spans="1:16" ht="14.25" thickBot="1" x14ac:dyDescent="0.2">
      <c r="A1431" s="13" t="s">
        <v>0</v>
      </c>
      <c r="B1431" s="228" t="s">
        <v>392</v>
      </c>
      <c r="C1431" s="229"/>
      <c r="D1431" s="229"/>
      <c r="E1431" s="229"/>
      <c r="F1431" s="230"/>
      <c r="G1431" s="231"/>
      <c r="H1431" s="56"/>
      <c r="I1431" s="13" t="s">
        <v>0</v>
      </c>
      <c r="J1431" s="228" t="s">
        <v>392</v>
      </c>
      <c r="K1431" s="229"/>
      <c r="L1431" s="229"/>
      <c r="M1431" s="229"/>
      <c r="N1431" s="230"/>
      <c r="O1431" s="231"/>
    </row>
    <row r="1432" spans="1:16" ht="14.25" thickBot="1" x14ac:dyDescent="0.2">
      <c r="A1432" s="3" t="s">
        <v>1</v>
      </c>
      <c r="B1432" s="2" t="s">
        <v>42</v>
      </c>
      <c r="C1432" s="21" t="s">
        <v>43</v>
      </c>
      <c r="D1432" s="21" t="s">
        <v>44</v>
      </c>
      <c r="E1432" s="24" t="s">
        <v>45</v>
      </c>
      <c r="F1432" s="33" t="s">
        <v>46</v>
      </c>
      <c r="G1432" s="34" t="s">
        <v>2</v>
      </c>
      <c r="H1432" s="56"/>
      <c r="I1432" s="3" t="s">
        <v>1</v>
      </c>
      <c r="J1432" s="41" t="s">
        <v>42</v>
      </c>
      <c r="K1432" s="42" t="s">
        <v>43</v>
      </c>
      <c r="L1432" s="42" t="s">
        <v>44</v>
      </c>
      <c r="M1432" s="43" t="s">
        <v>45</v>
      </c>
      <c r="N1432" s="44" t="s">
        <v>46</v>
      </c>
      <c r="O1432" s="3" t="s">
        <v>2</v>
      </c>
    </row>
    <row r="1433" spans="1:16" ht="14.25" thickBot="1" x14ac:dyDescent="0.2">
      <c r="A1433" s="72" t="s">
        <v>456</v>
      </c>
      <c r="B1433" s="73">
        <f>B1428</f>
        <v>5</v>
      </c>
      <c r="C1433" s="74">
        <f t="shared" ref="C1433:F1433" si="436">C1428</f>
        <v>5</v>
      </c>
      <c r="D1433" s="74">
        <f t="shared" si="436"/>
        <v>5</v>
      </c>
      <c r="E1433" s="74">
        <f t="shared" si="436"/>
        <v>10</v>
      </c>
      <c r="F1433" s="105">
        <f t="shared" si="436"/>
        <v>10</v>
      </c>
      <c r="G1433" s="131">
        <f t="shared" ref="G1433:G1441" si="437">SUM(B1433:F1433)</f>
        <v>35</v>
      </c>
      <c r="H1433" s="56"/>
      <c r="I1433" s="72" t="s">
        <v>456</v>
      </c>
      <c r="J1433" s="73">
        <f>J1428</f>
        <v>92</v>
      </c>
      <c r="K1433" s="74">
        <f t="shared" ref="K1433:N1433" si="438">K1428</f>
        <v>87</v>
      </c>
      <c r="L1433" s="74">
        <f t="shared" si="438"/>
        <v>43</v>
      </c>
      <c r="M1433" s="74">
        <f t="shared" si="438"/>
        <v>48</v>
      </c>
      <c r="N1433" s="105">
        <f t="shared" si="438"/>
        <v>70</v>
      </c>
      <c r="O1433" s="131">
        <f t="shared" ref="O1433:O1441" si="439">SUM(J1433:N1433)</f>
        <v>340</v>
      </c>
    </row>
    <row r="1434" spans="1:16" x14ac:dyDescent="0.15">
      <c r="A1434" s="15" t="s">
        <v>3</v>
      </c>
      <c r="B1434" s="11">
        <v>3</v>
      </c>
      <c r="C1434" s="100">
        <v>3</v>
      </c>
      <c r="D1434" s="100"/>
      <c r="E1434" s="100"/>
      <c r="F1434" s="101"/>
      <c r="G1434" s="102">
        <f t="shared" ref="G1434:G1439" si="440">SUM(B1434:F1434)</f>
        <v>6</v>
      </c>
      <c r="H1434" s="58">
        <v>45421</v>
      </c>
      <c r="I1434" s="38" t="s">
        <v>14</v>
      </c>
      <c r="J1434" s="8">
        <v>5</v>
      </c>
      <c r="K1434" s="10">
        <v>2</v>
      </c>
      <c r="L1434" s="10">
        <v>5</v>
      </c>
      <c r="M1434" s="10">
        <v>4</v>
      </c>
      <c r="N1434" s="30"/>
      <c r="O1434" s="7">
        <f t="shared" si="439"/>
        <v>16</v>
      </c>
      <c r="P1434" s="57">
        <v>45458</v>
      </c>
    </row>
    <row r="1435" spans="1:16" x14ac:dyDescent="0.15">
      <c r="A1435" s="15" t="s">
        <v>4</v>
      </c>
      <c r="B1435" s="11"/>
      <c r="C1435" s="100"/>
      <c r="D1435" s="100">
        <v>3</v>
      </c>
      <c r="E1435" s="100">
        <v>3</v>
      </c>
      <c r="F1435" s="101"/>
      <c r="G1435" s="102">
        <f t="shared" si="440"/>
        <v>6</v>
      </c>
      <c r="H1435" s="58">
        <v>45430</v>
      </c>
      <c r="I1435" s="38" t="s">
        <v>3</v>
      </c>
      <c r="J1435" s="8"/>
      <c r="K1435" s="10"/>
      <c r="L1435" s="10"/>
      <c r="M1435" s="10"/>
      <c r="N1435" s="30"/>
      <c r="O1435" s="7">
        <f t="shared" si="439"/>
        <v>0</v>
      </c>
    </row>
    <row r="1436" spans="1:16" x14ac:dyDescent="0.15">
      <c r="A1436" s="15" t="s">
        <v>1620</v>
      </c>
      <c r="B1436" s="11"/>
      <c r="C1436" s="100">
        <v>1</v>
      </c>
      <c r="D1436" s="100"/>
      <c r="E1436" s="100"/>
      <c r="F1436" s="101"/>
      <c r="G1436" s="102">
        <f t="shared" si="440"/>
        <v>1</v>
      </c>
      <c r="H1436" s="58">
        <v>45456</v>
      </c>
      <c r="I1436" s="38" t="s">
        <v>4</v>
      </c>
      <c r="J1436" s="8"/>
      <c r="K1436" s="10"/>
      <c r="L1436" s="10"/>
      <c r="M1436" s="10"/>
      <c r="N1436" s="30"/>
      <c r="O1436" s="7">
        <f t="shared" si="439"/>
        <v>0</v>
      </c>
    </row>
    <row r="1437" spans="1:16" x14ac:dyDescent="0.15">
      <c r="A1437" s="15" t="s">
        <v>1620</v>
      </c>
      <c r="B1437" s="11">
        <v>5</v>
      </c>
      <c r="C1437" s="100">
        <v>7</v>
      </c>
      <c r="D1437" s="100">
        <v>5</v>
      </c>
      <c r="E1437" s="100">
        <v>4</v>
      </c>
      <c r="F1437" s="101"/>
      <c r="G1437" s="102">
        <f t="shared" si="440"/>
        <v>21</v>
      </c>
      <c r="H1437" s="58">
        <v>45456</v>
      </c>
      <c r="I1437" s="38" t="s">
        <v>5</v>
      </c>
      <c r="J1437" s="8"/>
      <c r="K1437" s="10"/>
      <c r="L1437" s="10"/>
      <c r="M1437" s="10"/>
      <c r="N1437" s="30"/>
      <c r="O1437" s="7">
        <f t="shared" si="439"/>
        <v>0</v>
      </c>
    </row>
    <row r="1438" spans="1:16" x14ac:dyDescent="0.15">
      <c r="A1438" s="15" t="s">
        <v>84</v>
      </c>
      <c r="B1438" s="11">
        <v>3</v>
      </c>
      <c r="C1438" s="100"/>
      <c r="D1438" s="100">
        <v>3</v>
      </c>
      <c r="E1438" s="100"/>
      <c r="F1438" s="101"/>
      <c r="G1438" s="102">
        <f t="shared" si="440"/>
        <v>6</v>
      </c>
      <c r="H1438" s="58">
        <v>45462</v>
      </c>
      <c r="I1438" s="38" t="s">
        <v>6</v>
      </c>
      <c r="J1438" s="8"/>
      <c r="K1438" s="10"/>
      <c r="L1438" s="10"/>
      <c r="M1438" s="10"/>
      <c r="N1438" s="30"/>
      <c r="O1438" s="7">
        <f t="shared" si="439"/>
        <v>0</v>
      </c>
    </row>
    <row r="1439" spans="1:16" x14ac:dyDescent="0.15">
      <c r="A1439" s="15" t="s">
        <v>1620</v>
      </c>
      <c r="B1439" s="11"/>
      <c r="C1439" s="100"/>
      <c r="D1439" s="100"/>
      <c r="E1439" s="100">
        <v>4</v>
      </c>
      <c r="F1439" s="101"/>
      <c r="G1439" s="102">
        <f t="shared" si="440"/>
        <v>4</v>
      </c>
      <c r="H1439" s="58">
        <v>45489</v>
      </c>
      <c r="I1439" s="38" t="s">
        <v>84</v>
      </c>
      <c r="J1439" s="8"/>
      <c r="K1439" s="10"/>
      <c r="L1439" s="10"/>
      <c r="M1439" s="10"/>
      <c r="N1439" s="30"/>
      <c r="O1439" s="7">
        <f t="shared" si="439"/>
        <v>0</v>
      </c>
    </row>
    <row r="1440" spans="1:16" x14ac:dyDescent="0.15">
      <c r="A1440" s="15" t="s">
        <v>86</v>
      </c>
      <c r="B1440" s="11"/>
      <c r="C1440" s="100"/>
      <c r="D1440" s="100"/>
      <c r="E1440" s="100"/>
      <c r="F1440" s="101"/>
      <c r="G1440" s="102">
        <f t="shared" si="437"/>
        <v>0</v>
      </c>
      <c r="H1440" s="58"/>
      <c r="I1440" s="38" t="s">
        <v>85</v>
      </c>
      <c r="J1440" s="8"/>
      <c r="K1440" s="10"/>
      <c r="L1440" s="10"/>
      <c r="M1440" s="10"/>
      <c r="N1440" s="30"/>
      <c r="O1440" s="7">
        <f t="shared" si="439"/>
        <v>0</v>
      </c>
    </row>
    <row r="1441" spans="1:19" ht="14.25" thickBot="1" x14ac:dyDescent="0.2">
      <c r="A1441" s="15" t="s">
        <v>87</v>
      </c>
      <c r="B1441" s="11"/>
      <c r="C1441" s="100"/>
      <c r="D1441" s="100"/>
      <c r="E1441" s="100"/>
      <c r="F1441" s="101"/>
      <c r="G1441" s="102">
        <f t="shared" si="437"/>
        <v>0</v>
      </c>
      <c r="H1441" s="58"/>
      <c r="I1441" s="38" t="s">
        <v>86</v>
      </c>
      <c r="J1441" s="8"/>
      <c r="K1441" s="10"/>
      <c r="L1441" s="10"/>
      <c r="M1441" s="10"/>
      <c r="N1441" s="30"/>
      <c r="O1441" s="7">
        <f t="shared" si="439"/>
        <v>0</v>
      </c>
    </row>
    <row r="1442" spans="1:19" ht="14.25" thickBot="1" x14ac:dyDescent="0.2">
      <c r="A1442" s="72" t="s">
        <v>7</v>
      </c>
      <c r="B1442" s="73">
        <f>SUM(B1433:B1441)</f>
        <v>16</v>
      </c>
      <c r="C1442" s="74">
        <f t="shared" ref="C1442:G1442" si="441">SUM(C1433:C1441)</f>
        <v>16</v>
      </c>
      <c r="D1442" s="74">
        <f t="shared" si="441"/>
        <v>16</v>
      </c>
      <c r="E1442" s="74">
        <f t="shared" si="441"/>
        <v>21</v>
      </c>
      <c r="F1442" s="105">
        <f t="shared" si="441"/>
        <v>10</v>
      </c>
      <c r="G1442" s="76">
        <f t="shared" si="441"/>
        <v>79</v>
      </c>
      <c r="H1442" s="56"/>
      <c r="I1442" s="72" t="s">
        <v>7</v>
      </c>
      <c r="J1442" s="73">
        <f>SUM(J1433:J1441)</f>
        <v>97</v>
      </c>
      <c r="K1442" s="74">
        <f t="shared" ref="K1442:O1442" si="442">SUM(K1433:K1441)</f>
        <v>89</v>
      </c>
      <c r="L1442" s="74">
        <f t="shared" si="442"/>
        <v>48</v>
      </c>
      <c r="M1442" s="74">
        <f t="shared" si="442"/>
        <v>52</v>
      </c>
      <c r="N1442" s="105">
        <f t="shared" si="442"/>
        <v>70</v>
      </c>
      <c r="O1442" s="76">
        <f t="shared" si="442"/>
        <v>356</v>
      </c>
    </row>
    <row r="1443" spans="1:19" x14ac:dyDescent="0.15">
      <c r="A1443" s="14" t="s">
        <v>29</v>
      </c>
      <c r="B1443" s="8"/>
      <c r="C1443" s="10"/>
      <c r="D1443" s="10"/>
      <c r="E1443" s="10">
        <v>1</v>
      </c>
      <c r="F1443" s="30"/>
      <c r="G1443" s="7">
        <f t="shared" ref="G1443:G1466" si="443">SUM(B1443:F1443)</f>
        <v>1</v>
      </c>
      <c r="H1443" s="58">
        <v>45401</v>
      </c>
      <c r="I1443" s="14" t="s">
        <v>1613</v>
      </c>
      <c r="J1443" s="8"/>
      <c r="K1443" s="10">
        <v>5</v>
      </c>
      <c r="L1443" s="10"/>
      <c r="M1443" s="10"/>
      <c r="N1443" s="30"/>
      <c r="O1443" s="7">
        <f t="shared" ref="O1443" si="444">SUM(J1443:N1443)</f>
        <v>5</v>
      </c>
      <c r="P1443" s="58">
        <v>45448</v>
      </c>
      <c r="Q1443" s="56"/>
    </row>
    <row r="1444" spans="1:19" x14ac:dyDescent="0.15">
      <c r="A1444" s="14" t="s">
        <v>29</v>
      </c>
      <c r="B1444" s="8">
        <v>1</v>
      </c>
      <c r="C1444" s="10"/>
      <c r="D1444" s="10"/>
      <c r="E1444" s="10"/>
      <c r="F1444" s="30"/>
      <c r="G1444" s="7">
        <f t="shared" si="443"/>
        <v>1</v>
      </c>
      <c r="H1444" s="58">
        <v>45404</v>
      </c>
      <c r="I1444" s="14" t="s">
        <v>1615</v>
      </c>
      <c r="J1444" s="8"/>
      <c r="K1444" s="10"/>
      <c r="L1444" s="10">
        <v>6</v>
      </c>
      <c r="M1444" s="10">
        <v>3</v>
      </c>
      <c r="N1444" s="30"/>
      <c r="O1444" s="7">
        <f t="shared" ref="O1444:O1454" si="445">SUM(J1444:N1444)</f>
        <v>9</v>
      </c>
      <c r="P1444" s="58">
        <v>45448</v>
      </c>
    </row>
    <row r="1445" spans="1:19" x14ac:dyDescent="0.15">
      <c r="A1445" s="14" t="s">
        <v>29</v>
      </c>
      <c r="B1445" s="8">
        <v>1</v>
      </c>
      <c r="C1445" s="10"/>
      <c r="D1445" s="10"/>
      <c r="E1445" s="10"/>
      <c r="F1445" s="30"/>
      <c r="G1445" s="7">
        <f t="shared" si="443"/>
        <v>1</v>
      </c>
      <c r="H1445" s="58">
        <v>45407</v>
      </c>
      <c r="I1445" s="14" t="s">
        <v>1617</v>
      </c>
      <c r="J1445" s="8"/>
      <c r="K1445" s="10">
        <v>5</v>
      </c>
      <c r="L1445" s="10"/>
      <c r="M1445" s="10">
        <v>10</v>
      </c>
      <c r="N1445" s="30"/>
      <c r="O1445" s="7">
        <f t="shared" si="445"/>
        <v>15</v>
      </c>
      <c r="P1445" s="58">
        <v>45456</v>
      </c>
      <c r="Q1445" s="56"/>
    </row>
    <row r="1446" spans="1:19" x14ac:dyDescent="0.15">
      <c r="A1446" s="14" t="s">
        <v>29</v>
      </c>
      <c r="B1446" s="8"/>
      <c r="C1446" s="10"/>
      <c r="D1446" s="10"/>
      <c r="E1446" s="10">
        <v>1</v>
      </c>
      <c r="F1446" s="30"/>
      <c r="G1446" s="7">
        <f t="shared" si="443"/>
        <v>1</v>
      </c>
      <c r="H1446" s="58">
        <v>45408</v>
      </c>
      <c r="I1446" s="14" t="s">
        <v>1619</v>
      </c>
      <c r="J1446" s="8"/>
      <c r="K1446" s="10"/>
      <c r="L1446" s="10">
        <v>5</v>
      </c>
      <c r="M1446" s="10">
        <v>5</v>
      </c>
      <c r="N1446" s="30"/>
      <c r="O1446" s="7">
        <f t="shared" si="445"/>
        <v>10</v>
      </c>
      <c r="P1446" s="58">
        <v>45463</v>
      </c>
      <c r="Q1446" s="56"/>
    </row>
    <row r="1447" spans="1:19" x14ac:dyDescent="0.15">
      <c r="A1447" s="14" t="s">
        <v>29</v>
      </c>
      <c r="B1447" s="8"/>
      <c r="C1447" s="10">
        <v>1</v>
      </c>
      <c r="D1447" s="10"/>
      <c r="E1447" s="10">
        <v>1</v>
      </c>
      <c r="F1447" s="30"/>
      <c r="G1447" s="7">
        <f t="shared" si="443"/>
        <v>2</v>
      </c>
      <c r="H1447" s="58">
        <v>45419</v>
      </c>
      <c r="I1447" s="14" t="s">
        <v>1622</v>
      </c>
      <c r="J1447" s="8">
        <v>3</v>
      </c>
      <c r="K1447" s="10">
        <v>6</v>
      </c>
      <c r="L1447" s="10">
        <v>6</v>
      </c>
      <c r="M1447" s="10"/>
      <c r="N1447" s="30"/>
      <c r="O1447" s="7">
        <f t="shared" si="445"/>
        <v>15</v>
      </c>
      <c r="P1447" s="58">
        <v>45469</v>
      </c>
      <c r="Q1447" s="56"/>
      <c r="R1447" s="56"/>
      <c r="S1447" s="56"/>
    </row>
    <row r="1448" spans="1:19" x14ac:dyDescent="0.15">
      <c r="A1448" s="14" t="s">
        <v>29</v>
      </c>
      <c r="B1448" s="8">
        <v>1</v>
      </c>
      <c r="C1448" s="10"/>
      <c r="D1448" s="10">
        <v>1</v>
      </c>
      <c r="E1448" s="10"/>
      <c r="F1448" s="30"/>
      <c r="G1448" s="7">
        <f t="shared" si="443"/>
        <v>2</v>
      </c>
      <c r="H1448" s="58">
        <v>45425</v>
      </c>
      <c r="I1448" s="14" t="s">
        <v>24</v>
      </c>
      <c r="J1448" s="8">
        <v>3</v>
      </c>
      <c r="K1448" s="10"/>
      <c r="L1448" s="10">
        <v>3</v>
      </c>
      <c r="M1448" s="10"/>
      <c r="N1448" s="30"/>
      <c r="O1448" s="7">
        <f t="shared" si="445"/>
        <v>6</v>
      </c>
      <c r="P1448" s="58">
        <v>45462</v>
      </c>
      <c r="Q1448" s="56"/>
    </row>
    <row r="1449" spans="1:19" x14ac:dyDescent="0.15">
      <c r="A1449" s="14" t="s">
        <v>29</v>
      </c>
      <c r="B1449" s="8"/>
      <c r="C1449" s="10"/>
      <c r="D1449" s="10"/>
      <c r="E1449" s="10">
        <v>1</v>
      </c>
      <c r="F1449" s="30"/>
      <c r="G1449" s="7">
        <f t="shared" si="443"/>
        <v>1</v>
      </c>
      <c r="H1449" s="58">
        <v>45426</v>
      </c>
      <c r="I1449" s="14" t="s">
        <v>1625</v>
      </c>
      <c r="J1449" s="8"/>
      <c r="K1449" s="10">
        <v>5</v>
      </c>
      <c r="L1449" s="10">
        <v>5</v>
      </c>
      <c r="M1449" s="10">
        <v>8</v>
      </c>
      <c r="N1449" s="30"/>
      <c r="O1449" s="7">
        <f t="shared" si="445"/>
        <v>18</v>
      </c>
      <c r="P1449" s="58">
        <v>45484</v>
      </c>
      <c r="Q1449" s="56"/>
    </row>
    <row r="1450" spans="1:19" x14ac:dyDescent="0.15">
      <c r="A1450" s="14" t="s">
        <v>29</v>
      </c>
      <c r="B1450" s="8"/>
      <c r="C1450" s="10"/>
      <c r="D1450" s="10"/>
      <c r="E1450" s="10"/>
      <c r="F1450" s="30">
        <v>1</v>
      </c>
      <c r="G1450" s="7">
        <f t="shared" si="443"/>
        <v>1</v>
      </c>
      <c r="H1450" s="58">
        <v>45428</v>
      </c>
      <c r="I1450" s="14" t="s">
        <v>24</v>
      </c>
      <c r="J1450" s="8"/>
      <c r="K1450" s="10">
        <v>3</v>
      </c>
      <c r="L1450" s="10">
        <v>5</v>
      </c>
      <c r="M1450" s="10"/>
      <c r="N1450" s="30"/>
      <c r="O1450" s="7">
        <f t="shared" si="445"/>
        <v>8</v>
      </c>
      <c r="P1450" s="58">
        <v>45502</v>
      </c>
      <c r="Q1450" s="56"/>
    </row>
    <row r="1451" spans="1:19" x14ac:dyDescent="0.15">
      <c r="A1451" s="14" t="s">
        <v>29</v>
      </c>
      <c r="B1451" s="8"/>
      <c r="C1451" s="10"/>
      <c r="D1451" s="10">
        <v>1</v>
      </c>
      <c r="E1451" s="10"/>
      <c r="F1451" s="30"/>
      <c r="G1451" s="7">
        <f t="shared" si="443"/>
        <v>1</v>
      </c>
      <c r="H1451" s="58">
        <v>45429</v>
      </c>
      <c r="I1451" s="14"/>
      <c r="J1451" s="8"/>
      <c r="K1451" s="10"/>
      <c r="L1451" s="10"/>
      <c r="M1451" s="10"/>
      <c r="N1451" s="30"/>
      <c r="O1451" s="7">
        <f t="shared" si="445"/>
        <v>0</v>
      </c>
      <c r="P1451" s="56"/>
      <c r="Q1451" s="56"/>
    </row>
    <row r="1452" spans="1:19" x14ac:dyDescent="0.15">
      <c r="A1452" s="14" t="s">
        <v>29</v>
      </c>
      <c r="B1452" s="8"/>
      <c r="C1452" s="10">
        <v>1</v>
      </c>
      <c r="D1452" s="10">
        <v>1</v>
      </c>
      <c r="E1452" s="10"/>
      <c r="F1452" s="30"/>
      <c r="G1452" s="7">
        <f t="shared" si="443"/>
        <v>2</v>
      </c>
      <c r="H1452" s="58">
        <v>45435</v>
      </c>
      <c r="I1452" s="14"/>
      <c r="J1452" s="8"/>
      <c r="K1452" s="10"/>
      <c r="L1452" s="10"/>
      <c r="M1452" s="10"/>
      <c r="N1452" s="30"/>
      <c r="O1452" s="7">
        <f t="shared" si="445"/>
        <v>0</v>
      </c>
      <c r="P1452" s="56"/>
      <c r="Q1452" s="56"/>
    </row>
    <row r="1453" spans="1:19" x14ac:dyDescent="0.15">
      <c r="A1453" s="14" t="s">
        <v>29</v>
      </c>
      <c r="B1453" s="8"/>
      <c r="C1453" s="10"/>
      <c r="D1453" s="10"/>
      <c r="E1453" s="10"/>
      <c r="F1453" s="30">
        <v>1</v>
      </c>
      <c r="G1453" s="7">
        <f t="shared" si="443"/>
        <v>1</v>
      </c>
      <c r="H1453" s="58">
        <v>45436</v>
      </c>
      <c r="I1453" s="14"/>
      <c r="J1453" s="8"/>
      <c r="K1453" s="10"/>
      <c r="L1453" s="10"/>
      <c r="M1453" s="10"/>
      <c r="N1453" s="30"/>
      <c r="O1453" s="7">
        <f t="shared" si="445"/>
        <v>0</v>
      </c>
      <c r="P1453" s="56"/>
      <c r="Q1453" s="56"/>
    </row>
    <row r="1454" spans="1:19" x14ac:dyDescent="0.15">
      <c r="A1454" s="14" t="s">
        <v>29</v>
      </c>
      <c r="B1454" s="8"/>
      <c r="C1454" s="10">
        <v>1</v>
      </c>
      <c r="D1454" s="10"/>
      <c r="E1454" s="10"/>
      <c r="F1454" s="30"/>
      <c r="G1454" s="7">
        <f t="shared" si="443"/>
        <v>1</v>
      </c>
      <c r="H1454" s="58">
        <v>45441</v>
      </c>
      <c r="I1454" s="14"/>
      <c r="J1454" s="8"/>
      <c r="K1454" s="10"/>
      <c r="L1454" s="10"/>
      <c r="M1454" s="10"/>
      <c r="N1454" s="30"/>
      <c r="O1454" s="7">
        <f t="shared" si="445"/>
        <v>0</v>
      </c>
      <c r="P1454" s="56"/>
      <c r="Q1454" s="56"/>
    </row>
    <row r="1455" spans="1:19" x14ac:dyDescent="0.15">
      <c r="A1455" s="14" t="s">
        <v>29</v>
      </c>
      <c r="B1455" s="8"/>
      <c r="C1455" s="10">
        <v>1</v>
      </c>
      <c r="D1455" s="10"/>
      <c r="E1455" s="10"/>
      <c r="F1455" s="30">
        <v>1</v>
      </c>
      <c r="G1455" s="7">
        <f t="shared" si="443"/>
        <v>2</v>
      </c>
      <c r="H1455" s="58">
        <v>45446</v>
      </c>
      <c r="I1455" s="14"/>
      <c r="J1455" s="8"/>
      <c r="K1455" s="10"/>
      <c r="L1455" s="10"/>
      <c r="M1455" s="10"/>
      <c r="N1455" s="30"/>
      <c r="O1455" s="7">
        <f t="shared" ref="O1455:O1461" si="446">SUM(J1455:N1455)</f>
        <v>0</v>
      </c>
      <c r="P1455" s="56"/>
      <c r="Q1455" s="56"/>
    </row>
    <row r="1456" spans="1:19" x14ac:dyDescent="0.15">
      <c r="A1456" s="14" t="s">
        <v>29</v>
      </c>
      <c r="B1456" s="8">
        <v>1</v>
      </c>
      <c r="C1456" s="10"/>
      <c r="D1456" s="10"/>
      <c r="E1456" s="10"/>
      <c r="F1456" s="30"/>
      <c r="G1456" s="7">
        <f t="shared" si="443"/>
        <v>1</v>
      </c>
      <c r="H1456" s="58">
        <v>45450</v>
      </c>
      <c r="I1456" s="14"/>
      <c r="J1456" s="8"/>
      <c r="K1456" s="10"/>
      <c r="L1456" s="10"/>
      <c r="M1456" s="10"/>
      <c r="N1456" s="30"/>
      <c r="O1456" s="7">
        <f t="shared" si="446"/>
        <v>0</v>
      </c>
      <c r="P1456" s="56"/>
      <c r="Q1456" s="56"/>
    </row>
    <row r="1457" spans="1:15" x14ac:dyDescent="0.15">
      <c r="A1457" s="14" t="s">
        <v>117</v>
      </c>
      <c r="B1457" s="8"/>
      <c r="C1457" s="10">
        <v>1</v>
      </c>
      <c r="D1457" s="10"/>
      <c r="E1457" s="10"/>
      <c r="F1457" s="30"/>
      <c r="G1457" s="7">
        <f t="shared" si="443"/>
        <v>1</v>
      </c>
      <c r="H1457" s="58">
        <v>45454</v>
      </c>
      <c r="I1457" s="14"/>
      <c r="J1457" s="8"/>
      <c r="K1457" s="10"/>
      <c r="L1457" s="10"/>
      <c r="M1457" s="10"/>
      <c r="N1457" s="30"/>
      <c r="O1457" s="7">
        <f t="shared" si="446"/>
        <v>0</v>
      </c>
    </row>
    <row r="1458" spans="1:15" x14ac:dyDescent="0.15">
      <c r="A1458" s="14" t="s">
        <v>29</v>
      </c>
      <c r="B1458" s="8"/>
      <c r="C1458" s="10"/>
      <c r="D1458" s="10">
        <v>1</v>
      </c>
      <c r="E1458" s="10"/>
      <c r="F1458" s="30">
        <v>1</v>
      </c>
      <c r="G1458" s="7">
        <f t="shared" si="443"/>
        <v>2</v>
      </c>
      <c r="H1458" s="58">
        <v>45453</v>
      </c>
      <c r="I1458" s="14"/>
      <c r="J1458" s="8"/>
      <c r="K1458" s="10"/>
      <c r="L1458" s="10"/>
      <c r="M1458" s="10"/>
      <c r="N1458" s="30"/>
      <c r="O1458" s="7">
        <f t="shared" si="446"/>
        <v>0</v>
      </c>
    </row>
    <row r="1459" spans="1:15" x14ac:dyDescent="0.15">
      <c r="A1459" s="14" t="s">
        <v>117</v>
      </c>
      <c r="B1459" s="8"/>
      <c r="C1459" s="10">
        <v>1</v>
      </c>
      <c r="D1459" s="10"/>
      <c r="E1459" s="10"/>
      <c r="F1459" s="30"/>
      <c r="G1459" s="7">
        <f t="shared" si="443"/>
        <v>1</v>
      </c>
      <c r="H1459" s="58">
        <v>45455</v>
      </c>
      <c r="I1459" s="14"/>
      <c r="J1459" s="8"/>
      <c r="K1459" s="10"/>
      <c r="L1459" s="10"/>
      <c r="M1459" s="10"/>
      <c r="N1459" s="30"/>
      <c r="O1459" s="7">
        <f t="shared" si="446"/>
        <v>0</v>
      </c>
    </row>
    <row r="1460" spans="1:15" x14ac:dyDescent="0.15">
      <c r="A1460" s="14" t="s">
        <v>29</v>
      </c>
      <c r="B1460" s="8"/>
      <c r="C1460" s="10">
        <v>1</v>
      </c>
      <c r="D1460" s="10"/>
      <c r="E1460" s="10"/>
      <c r="F1460" s="30"/>
      <c r="G1460" s="7">
        <f t="shared" si="443"/>
        <v>1</v>
      </c>
      <c r="H1460" s="58">
        <v>45456</v>
      </c>
      <c r="I1460" s="14"/>
      <c r="J1460" s="8"/>
      <c r="K1460" s="10"/>
      <c r="L1460" s="10"/>
      <c r="M1460" s="10"/>
      <c r="N1460" s="30"/>
      <c r="O1460" s="7">
        <f t="shared" si="446"/>
        <v>0</v>
      </c>
    </row>
    <row r="1461" spans="1:15" x14ac:dyDescent="0.15">
      <c r="A1461" s="14" t="s">
        <v>29</v>
      </c>
      <c r="B1461" s="8"/>
      <c r="C1461" s="10">
        <v>1</v>
      </c>
      <c r="D1461" s="10"/>
      <c r="E1461" s="10"/>
      <c r="F1461" s="30"/>
      <c r="G1461" s="7">
        <f t="shared" si="443"/>
        <v>1</v>
      </c>
      <c r="H1461" s="58">
        <v>45457</v>
      </c>
      <c r="I1461" s="14"/>
      <c r="J1461" s="8"/>
      <c r="K1461" s="10"/>
      <c r="L1461" s="10"/>
      <c r="M1461" s="10"/>
      <c r="N1461" s="30"/>
      <c r="O1461" s="7">
        <f t="shared" si="446"/>
        <v>0</v>
      </c>
    </row>
    <row r="1462" spans="1:15" x14ac:dyDescent="0.15">
      <c r="A1462" s="14" t="s">
        <v>1621</v>
      </c>
      <c r="B1462" s="8">
        <v>5</v>
      </c>
      <c r="C1462" s="10">
        <v>2</v>
      </c>
      <c r="D1462" s="10">
        <v>5</v>
      </c>
      <c r="E1462" s="10">
        <v>4</v>
      </c>
      <c r="F1462" s="30"/>
      <c r="G1462" s="7">
        <f t="shared" si="443"/>
        <v>16</v>
      </c>
      <c r="H1462" s="58">
        <v>45458</v>
      </c>
      <c r="I1462" s="14"/>
      <c r="J1462" s="8"/>
      <c r="K1462" s="10"/>
      <c r="L1462" s="10"/>
      <c r="M1462" s="10"/>
      <c r="N1462" s="30"/>
      <c r="O1462" s="7">
        <f t="shared" ref="O1462:O1463" si="447">SUM(J1462:N1462)</f>
        <v>0</v>
      </c>
    </row>
    <row r="1463" spans="1:15" x14ac:dyDescent="0.15">
      <c r="A1463" s="14" t="s">
        <v>29</v>
      </c>
      <c r="B1463" s="8">
        <v>1</v>
      </c>
      <c r="C1463" s="10"/>
      <c r="D1463" s="10">
        <v>1</v>
      </c>
      <c r="E1463" s="10"/>
      <c r="F1463" s="30"/>
      <c r="G1463" s="7">
        <f t="shared" si="443"/>
        <v>2</v>
      </c>
      <c r="H1463" s="58">
        <v>45460</v>
      </c>
      <c r="I1463" s="14"/>
      <c r="J1463" s="8"/>
      <c r="K1463" s="10"/>
      <c r="L1463" s="10"/>
      <c r="M1463" s="10"/>
      <c r="N1463" s="30"/>
      <c r="O1463" s="7">
        <f t="shared" si="447"/>
        <v>0</v>
      </c>
    </row>
    <row r="1464" spans="1:15" x14ac:dyDescent="0.15">
      <c r="A1464" s="14" t="s">
        <v>29</v>
      </c>
      <c r="B1464" s="8"/>
      <c r="C1464" s="10"/>
      <c r="D1464" s="10"/>
      <c r="E1464" s="10">
        <v>1</v>
      </c>
      <c r="F1464" s="30"/>
      <c r="G1464" s="7">
        <f t="shared" si="443"/>
        <v>1</v>
      </c>
      <c r="H1464" s="58">
        <v>45470</v>
      </c>
      <c r="I1464" s="14"/>
      <c r="J1464" s="8"/>
      <c r="K1464" s="10"/>
      <c r="L1464" s="10"/>
      <c r="M1464" s="10"/>
      <c r="N1464" s="30"/>
      <c r="O1464" s="7">
        <f t="shared" ref="O1464:O1468" si="448">SUM(J1464:N1464)</f>
        <v>0</v>
      </c>
    </row>
    <row r="1465" spans="1:15" x14ac:dyDescent="0.15">
      <c r="A1465" s="14" t="s">
        <v>29</v>
      </c>
      <c r="B1465" s="8"/>
      <c r="C1465" s="10"/>
      <c r="D1465" s="10"/>
      <c r="E1465" s="10"/>
      <c r="F1465" s="30">
        <v>1</v>
      </c>
      <c r="G1465" s="7">
        <f t="shared" si="443"/>
        <v>1</v>
      </c>
      <c r="H1465" s="58">
        <v>45478</v>
      </c>
      <c r="I1465" s="14"/>
      <c r="J1465" s="8"/>
      <c r="K1465" s="10"/>
      <c r="L1465" s="10"/>
      <c r="M1465" s="10"/>
      <c r="N1465" s="30"/>
      <c r="O1465" s="7">
        <f t="shared" si="448"/>
        <v>0</v>
      </c>
    </row>
    <row r="1466" spans="1:15" x14ac:dyDescent="0.15">
      <c r="A1466" s="14" t="s">
        <v>29</v>
      </c>
      <c r="B1466" s="8"/>
      <c r="C1466" s="10"/>
      <c r="D1466" s="10">
        <v>1</v>
      </c>
      <c r="E1466" s="10"/>
      <c r="F1466" s="30"/>
      <c r="G1466" s="7">
        <f t="shared" si="443"/>
        <v>1</v>
      </c>
      <c r="H1466" s="58">
        <v>45481</v>
      </c>
      <c r="I1466" s="14"/>
      <c r="J1466" s="8"/>
      <c r="K1466" s="10"/>
      <c r="L1466" s="10"/>
      <c r="M1466" s="10"/>
      <c r="N1466" s="30"/>
      <c r="O1466" s="7">
        <f t="shared" si="448"/>
        <v>0</v>
      </c>
    </row>
    <row r="1467" spans="1:15" x14ac:dyDescent="0.15">
      <c r="A1467" s="14" t="s">
        <v>29</v>
      </c>
      <c r="B1467" s="8">
        <v>1</v>
      </c>
      <c r="C1467" s="10">
        <v>1</v>
      </c>
      <c r="D1467" s="10"/>
      <c r="E1467" s="10"/>
      <c r="F1467" s="30"/>
      <c r="G1467" s="7">
        <f t="shared" ref="G1467:G1468" si="449">SUM(B1467:F1467)</f>
        <v>2</v>
      </c>
      <c r="H1467" s="58">
        <v>45485</v>
      </c>
      <c r="I1467" s="14"/>
      <c r="J1467" s="8"/>
      <c r="K1467" s="10"/>
      <c r="L1467" s="10"/>
      <c r="M1467" s="10"/>
      <c r="N1467" s="30"/>
      <c r="O1467" s="7">
        <f t="shared" si="448"/>
        <v>0</v>
      </c>
    </row>
    <row r="1468" spans="1:15" ht="14.25" thickBot="1" x14ac:dyDescent="0.2">
      <c r="A1468" s="14" t="s">
        <v>29</v>
      </c>
      <c r="B1468" s="8"/>
      <c r="C1468" s="10"/>
      <c r="D1468" s="10">
        <v>1</v>
      </c>
      <c r="E1468" s="10">
        <v>1</v>
      </c>
      <c r="F1468" s="30"/>
      <c r="G1468" s="7">
        <f t="shared" si="449"/>
        <v>2</v>
      </c>
      <c r="H1468" s="58">
        <v>45489</v>
      </c>
      <c r="I1468" s="14"/>
      <c r="J1468" s="8"/>
      <c r="K1468" s="10"/>
      <c r="L1468" s="10"/>
      <c r="M1468" s="10"/>
      <c r="N1468" s="30"/>
      <c r="O1468" s="7">
        <f t="shared" si="448"/>
        <v>0</v>
      </c>
    </row>
    <row r="1469" spans="1:15" ht="14.25" thickBot="1" x14ac:dyDescent="0.2">
      <c r="A1469" s="3" t="s">
        <v>11</v>
      </c>
      <c r="B1469" s="23">
        <f>SUM(B1443:B1468)</f>
        <v>11</v>
      </c>
      <c r="C1469" s="4">
        <f>SUM(C1443:C1468)</f>
        <v>11</v>
      </c>
      <c r="D1469" s="4">
        <f>SUM(D1443:D1468)</f>
        <v>12</v>
      </c>
      <c r="E1469" s="6">
        <f>SUM(E1443:E1468)</f>
        <v>10</v>
      </c>
      <c r="F1469" s="32">
        <f>SUM(F1443:F1468)</f>
        <v>5</v>
      </c>
      <c r="G1469" s="5">
        <f>SUM(B1469:F1469)</f>
        <v>49</v>
      </c>
      <c r="I1469" s="3" t="s">
        <v>11</v>
      </c>
      <c r="J1469" s="23">
        <f>SUM(J1443:J1468)</f>
        <v>6</v>
      </c>
      <c r="K1469" s="4">
        <f>SUM(K1443:K1468)</f>
        <v>24</v>
      </c>
      <c r="L1469" s="4">
        <f>SUM(L1443:L1468)</f>
        <v>30</v>
      </c>
      <c r="M1469" s="6">
        <f>SUM(M1443:M1468)</f>
        <v>26</v>
      </c>
      <c r="N1469" s="32">
        <f>SUM(N1443:N1468)</f>
        <v>0</v>
      </c>
      <c r="O1469" s="5">
        <f>SUM(J1469:N1469)</f>
        <v>86</v>
      </c>
    </row>
    <row r="1470" spans="1:15" ht="14.25" thickBot="1" x14ac:dyDescent="0.2">
      <c r="A1470" s="25" t="s">
        <v>12</v>
      </c>
      <c r="B1470" s="63">
        <f>B1442-B1469</f>
        <v>5</v>
      </c>
      <c r="C1470" s="26">
        <f t="shared" ref="C1470:G1470" si="450">C1442-C1469</f>
        <v>5</v>
      </c>
      <c r="D1470" s="71">
        <f t="shared" si="450"/>
        <v>4</v>
      </c>
      <c r="E1470" s="26">
        <f t="shared" si="450"/>
        <v>11</v>
      </c>
      <c r="F1470" s="70">
        <f t="shared" si="450"/>
        <v>5</v>
      </c>
      <c r="G1470" s="27">
        <f t="shared" si="450"/>
        <v>30</v>
      </c>
      <c r="I1470" s="25" t="s">
        <v>12</v>
      </c>
      <c r="J1470" s="63">
        <f>J1442-J1469</f>
        <v>91</v>
      </c>
      <c r="K1470" s="26">
        <f t="shared" ref="K1470:O1470" si="451">K1442-K1469</f>
        <v>65</v>
      </c>
      <c r="L1470" s="71">
        <f t="shared" si="451"/>
        <v>18</v>
      </c>
      <c r="M1470" s="26">
        <f t="shared" si="451"/>
        <v>26</v>
      </c>
      <c r="N1470" s="70">
        <f t="shared" si="451"/>
        <v>70</v>
      </c>
      <c r="O1470" s="27">
        <f t="shared" si="451"/>
        <v>270</v>
      </c>
    </row>
    <row r="1471" spans="1:15" ht="17.25" x14ac:dyDescent="0.2">
      <c r="A1471" s="79" t="s">
        <v>391</v>
      </c>
      <c r="B1471" s="80"/>
      <c r="C1471" s="80"/>
      <c r="D1471" s="80"/>
      <c r="E1471" s="80"/>
      <c r="F1471" s="80"/>
      <c r="G1471" s="80"/>
      <c r="H1471" s="56"/>
      <c r="I1471" s="79" t="s">
        <v>391</v>
      </c>
      <c r="J1471" s="80"/>
      <c r="K1471" s="80"/>
      <c r="L1471" s="80"/>
      <c r="M1471" s="80"/>
      <c r="N1471" s="80"/>
      <c r="O1471" s="1"/>
    </row>
    <row r="1472" spans="1:15" ht="21.75" thickBot="1" x14ac:dyDescent="0.25">
      <c r="A1472" s="82" t="s">
        <v>390</v>
      </c>
      <c r="B1472" s="80"/>
      <c r="C1472" s="80"/>
      <c r="D1472" s="80"/>
      <c r="E1472" s="81" t="s">
        <v>53</v>
      </c>
      <c r="F1472" s="80"/>
      <c r="G1472" s="80"/>
      <c r="H1472" s="56"/>
      <c r="I1472" s="82" t="s">
        <v>390</v>
      </c>
      <c r="J1472" s="80"/>
      <c r="K1472" s="80"/>
      <c r="L1472" s="80"/>
      <c r="M1472" s="81" t="s">
        <v>393</v>
      </c>
      <c r="N1472" s="80"/>
      <c r="O1472" s="1"/>
    </row>
    <row r="1473" spans="1:17" ht="14.25" thickBot="1" x14ac:dyDescent="0.2">
      <c r="A1473" s="13" t="s">
        <v>0</v>
      </c>
      <c r="B1473" s="228" t="s">
        <v>392</v>
      </c>
      <c r="C1473" s="229"/>
      <c r="D1473" s="229"/>
      <c r="E1473" s="229"/>
      <c r="F1473" s="230"/>
      <c r="G1473" s="231"/>
      <c r="H1473" s="56"/>
      <c r="I1473" s="13" t="s">
        <v>0</v>
      </c>
      <c r="J1473" s="228" t="s">
        <v>392</v>
      </c>
      <c r="K1473" s="229"/>
      <c r="L1473" s="229"/>
      <c r="M1473" s="229"/>
      <c r="N1473" s="230"/>
      <c r="O1473" s="231"/>
    </row>
    <row r="1474" spans="1:17" ht="14.25" thickBot="1" x14ac:dyDescent="0.2">
      <c r="A1474" s="3" t="s">
        <v>1</v>
      </c>
      <c r="B1474" s="2" t="s">
        <v>42</v>
      </c>
      <c r="C1474" s="21" t="s">
        <v>43</v>
      </c>
      <c r="D1474" s="21" t="s">
        <v>44</v>
      </c>
      <c r="E1474" s="24" t="s">
        <v>45</v>
      </c>
      <c r="F1474" s="33" t="s">
        <v>46</v>
      </c>
      <c r="G1474" s="34" t="s">
        <v>2</v>
      </c>
      <c r="H1474" s="56"/>
      <c r="I1474" s="3" t="s">
        <v>1</v>
      </c>
      <c r="J1474" s="41" t="s">
        <v>42</v>
      </c>
      <c r="K1474" s="42" t="s">
        <v>43</v>
      </c>
      <c r="L1474" s="42" t="s">
        <v>44</v>
      </c>
      <c r="M1474" s="43" t="s">
        <v>45</v>
      </c>
      <c r="N1474" s="44" t="s">
        <v>46</v>
      </c>
      <c r="O1474" s="3" t="s">
        <v>2</v>
      </c>
    </row>
    <row r="1475" spans="1:17" ht="14.25" thickBot="1" x14ac:dyDescent="0.2">
      <c r="A1475" s="72" t="s">
        <v>456</v>
      </c>
      <c r="B1475" s="73">
        <f>B1470</f>
        <v>5</v>
      </c>
      <c r="C1475" s="74">
        <f t="shared" ref="C1475:F1475" si="452">C1470</f>
        <v>5</v>
      </c>
      <c r="D1475" s="74">
        <f t="shared" si="452"/>
        <v>4</v>
      </c>
      <c r="E1475" s="74">
        <f t="shared" si="452"/>
        <v>11</v>
      </c>
      <c r="F1475" s="105">
        <f t="shared" si="452"/>
        <v>5</v>
      </c>
      <c r="G1475" s="131">
        <f t="shared" ref="G1475:G1483" si="453">SUM(B1475:F1475)</f>
        <v>30</v>
      </c>
      <c r="H1475" s="56"/>
      <c r="I1475" s="72" t="s">
        <v>456</v>
      </c>
      <c r="J1475" s="73">
        <f>J1470</f>
        <v>91</v>
      </c>
      <c r="K1475" s="74">
        <f t="shared" ref="K1475:N1475" si="454">K1470</f>
        <v>65</v>
      </c>
      <c r="L1475" s="74">
        <f t="shared" si="454"/>
        <v>18</v>
      </c>
      <c r="M1475" s="74">
        <f t="shared" si="454"/>
        <v>26</v>
      </c>
      <c r="N1475" s="105">
        <f t="shared" si="454"/>
        <v>70</v>
      </c>
      <c r="O1475" s="131">
        <f t="shared" ref="O1475:O1483" si="455">SUM(J1475:N1475)</f>
        <v>270</v>
      </c>
    </row>
    <row r="1476" spans="1:17" x14ac:dyDescent="0.15">
      <c r="A1476" s="38" t="s">
        <v>14</v>
      </c>
      <c r="B1476" s="8"/>
      <c r="C1476" s="10">
        <v>3</v>
      </c>
      <c r="D1476" s="10">
        <v>5</v>
      </c>
      <c r="E1476" s="10"/>
      <c r="F1476" s="30"/>
      <c r="G1476" s="7">
        <f t="shared" si="453"/>
        <v>8</v>
      </c>
      <c r="H1476" s="58">
        <v>45502</v>
      </c>
      <c r="I1476" s="38" t="s">
        <v>9</v>
      </c>
      <c r="J1476" s="8">
        <v>3</v>
      </c>
      <c r="K1476" s="10">
        <v>2</v>
      </c>
      <c r="L1476" s="10">
        <v>6</v>
      </c>
      <c r="M1476" s="10">
        <v>4</v>
      </c>
      <c r="N1476" s="30"/>
      <c r="O1476" s="7">
        <f t="shared" si="455"/>
        <v>15</v>
      </c>
      <c r="P1476" s="58">
        <v>45535</v>
      </c>
    </row>
    <row r="1477" spans="1:17" x14ac:dyDescent="0.15">
      <c r="A1477" s="38" t="s">
        <v>3</v>
      </c>
      <c r="B1477" s="8"/>
      <c r="C1477" s="10"/>
      <c r="D1477" s="10"/>
      <c r="E1477" s="10"/>
      <c r="F1477" s="30">
        <v>5</v>
      </c>
      <c r="G1477" s="7">
        <f t="shared" si="453"/>
        <v>5</v>
      </c>
      <c r="H1477" s="58">
        <v>45512</v>
      </c>
      <c r="I1477" s="38" t="s">
        <v>3</v>
      </c>
      <c r="J1477" s="8"/>
      <c r="K1477" s="10"/>
      <c r="L1477" s="10"/>
      <c r="M1477" s="10"/>
      <c r="N1477" s="30"/>
      <c r="O1477" s="7">
        <f t="shared" ref="O1477:O1478" si="456">SUM(J1477:N1477)</f>
        <v>0</v>
      </c>
    </row>
    <row r="1478" spans="1:17" x14ac:dyDescent="0.15">
      <c r="A1478" s="38" t="s">
        <v>1620</v>
      </c>
      <c r="B1478" s="8">
        <v>3</v>
      </c>
      <c r="C1478" s="10">
        <v>2</v>
      </c>
      <c r="D1478" s="10">
        <v>6</v>
      </c>
      <c r="E1478" s="10">
        <v>4</v>
      </c>
      <c r="F1478" s="30"/>
      <c r="G1478" s="7">
        <f t="shared" si="453"/>
        <v>15</v>
      </c>
      <c r="H1478" s="58">
        <v>45531</v>
      </c>
      <c r="I1478" s="38" t="s">
        <v>4</v>
      </c>
      <c r="J1478" s="8"/>
      <c r="K1478" s="10"/>
      <c r="L1478" s="10"/>
      <c r="M1478" s="10"/>
      <c r="N1478" s="30"/>
      <c r="O1478" s="7">
        <f t="shared" si="456"/>
        <v>0</v>
      </c>
    </row>
    <row r="1479" spans="1:17" x14ac:dyDescent="0.15">
      <c r="A1479" s="38" t="s">
        <v>1348</v>
      </c>
      <c r="B1479" s="8">
        <v>0</v>
      </c>
      <c r="C1479" s="10">
        <v>-1</v>
      </c>
      <c r="D1479" s="10">
        <v>0</v>
      </c>
      <c r="E1479" s="10">
        <v>0</v>
      </c>
      <c r="F1479" s="30">
        <v>-1</v>
      </c>
      <c r="G1479" s="7">
        <f t="shared" si="453"/>
        <v>-2</v>
      </c>
      <c r="H1479" s="57">
        <v>45531</v>
      </c>
      <c r="I1479" s="38" t="s">
        <v>5</v>
      </c>
      <c r="J1479" s="8"/>
      <c r="K1479" s="10"/>
      <c r="L1479" s="10"/>
      <c r="M1479" s="10"/>
      <c r="N1479" s="30"/>
      <c r="O1479" s="7">
        <f t="shared" si="455"/>
        <v>0</v>
      </c>
    </row>
    <row r="1480" spans="1:17" x14ac:dyDescent="0.15">
      <c r="A1480" s="38" t="s">
        <v>6</v>
      </c>
      <c r="B1480" s="8">
        <v>5</v>
      </c>
      <c r="C1480" s="10">
        <v>3</v>
      </c>
      <c r="D1480" s="10">
        <v>5</v>
      </c>
      <c r="E1480" s="10"/>
      <c r="F1480" s="30"/>
      <c r="G1480" s="7">
        <f t="shared" si="453"/>
        <v>13</v>
      </c>
      <c r="H1480" s="58">
        <v>45541</v>
      </c>
      <c r="I1480" s="38" t="s">
        <v>6</v>
      </c>
      <c r="J1480" s="8"/>
      <c r="K1480" s="10"/>
      <c r="L1480" s="10"/>
      <c r="M1480" s="10"/>
      <c r="N1480" s="30"/>
      <c r="O1480" s="7">
        <f t="shared" si="455"/>
        <v>0</v>
      </c>
    </row>
    <row r="1481" spans="1:17" x14ac:dyDescent="0.15">
      <c r="A1481" s="38" t="s">
        <v>84</v>
      </c>
      <c r="B1481" s="8">
        <v>3</v>
      </c>
      <c r="C1481" s="10">
        <v>3</v>
      </c>
      <c r="D1481" s="10"/>
      <c r="E1481" s="10"/>
      <c r="F1481" s="30"/>
      <c r="G1481" s="7">
        <f t="shared" si="453"/>
        <v>6</v>
      </c>
      <c r="H1481" s="58">
        <v>45555</v>
      </c>
      <c r="I1481" s="38" t="s">
        <v>84</v>
      </c>
      <c r="J1481" s="8"/>
      <c r="K1481" s="10"/>
      <c r="L1481" s="10"/>
      <c r="M1481" s="10"/>
      <c r="N1481" s="30"/>
      <c r="O1481" s="7">
        <f t="shared" si="455"/>
        <v>0</v>
      </c>
    </row>
    <row r="1482" spans="1:17" x14ac:dyDescent="0.15">
      <c r="A1482" s="38" t="s">
        <v>85</v>
      </c>
      <c r="B1482" s="8"/>
      <c r="C1482" s="10"/>
      <c r="D1482" s="10"/>
      <c r="E1482" s="10"/>
      <c r="F1482" s="30"/>
      <c r="G1482" s="7">
        <f t="shared" si="453"/>
        <v>0</v>
      </c>
      <c r="H1482" s="56"/>
      <c r="I1482" s="38" t="s">
        <v>85</v>
      </c>
      <c r="J1482" s="8"/>
      <c r="K1482" s="10"/>
      <c r="L1482" s="10"/>
      <c r="M1482" s="10"/>
      <c r="N1482" s="30"/>
      <c r="O1482" s="7">
        <f t="shared" si="455"/>
        <v>0</v>
      </c>
    </row>
    <row r="1483" spans="1:17" ht="14.25" thickBot="1" x14ac:dyDescent="0.2">
      <c r="A1483" s="38" t="s">
        <v>86</v>
      </c>
      <c r="B1483" s="8"/>
      <c r="C1483" s="10"/>
      <c r="D1483" s="10"/>
      <c r="E1483" s="10"/>
      <c r="F1483" s="30"/>
      <c r="G1483" s="7">
        <f t="shared" si="453"/>
        <v>0</v>
      </c>
      <c r="I1483" s="38" t="s">
        <v>86</v>
      </c>
      <c r="J1483" s="8"/>
      <c r="K1483" s="10"/>
      <c r="L1483" s="10"/>
      <c r="M1483" s="10"/>
      <c r="N1483" s="30"/>
      <c r="O1483" s="7">
        <f t="shared" si="455"/>
        <v>0</v>
      </c>
    </row>
    <row r="1484" spans="1:17" ht="14.25" thickBot="1" x14ac:dyDescent="0.2">
      <c r="A1484" s="72" t="s">
        <v>7</v>
      </c>
      <c r="B1484" s="73">
        <f>SUM(B1475:B1483)</f>
        <v>16</v>
      </c>
      <c r="C1484" s="74">
        <f t="shared" ref="C1484:G1484" si="457">SUM(C1475:C1483)</f>
        <v>15</v>
      </c>
      <c r="D1484" s="74">
        <f t="shared" si="457"/>
        <v>20</v>
      </c>
      <c r="E1484" s="74">
        <f t="shared" si="457"/>
        <v>15</v>
      </c>
      <c r="F1484" s="105">
        <f t="shared" si="457"/>
        <v>9</v>
      </c>
      <c r="G1484" s="76">
        <f t="shared" si="457"/>
        <v>75</v>
      </c>
      <c r="H1484" s="56"/>
      <c r="I1484" s="72" t="s">
        <v>7</v>
      </c>
      <c r="J1484" s="73">
        <f>SUM(J1475:J1483)</f>
        <v>94</v>
      </c>
      <c r="K1484" s="74">
        <f t="shared" ref="K1484:O1484" si="458">SUM(K1475:K1483)</f>
        <v>67</v>
      </c>
      <c r="L1484" s="74">
        <f t="shared" si="458"/>
        <v>24</v>
      </c>
      <c r="M1484" s="74">
        <f t="shared" si="458"/>
        <v>30</v>
      </c>
      <c r="N1484" s="105">
        <f t="shared" si="458"/>
        <v>70</v>
      </c>
      <c r="O1484" s="76">
        <f t="shared" si="458"/>
        <v>285</v>
      </c>
    </row>
    <row r="1485" spans="1:17" x14ac:dyDescent="0.15">
      <c r="A1485" s="14" t="s">
        <v>29</v>
      </c>
      <c r="B1485" s="8"/>
      <c r="C1485" s="10">
        <v>1</v>
      </c>
      <c r="D1485" s="10">
        <v>1</v>
      </c>
      <c r="E1485" s="10"/>
      <c r="F1485" s="30"/>
      <c r="G1485" s="7">
        <f t="shared" ref="G1485:G1497" si="459">SUM(B1485:F1485)</f>
        <v>2</v>
      </c>
      <c r="H1485" s="58">
        <v>45491</v>
      </c>
      <c r="I1485" s="14" t="s">
        <v>24</v>
      </c>
      <c r="J1485" s="8"/>
      <c r="K1485" s="10"/>
      <c r="L1485" s="10"/>
      <c r="M1485" s="10"/>
      <c r="N1485" s="30">
        <v>5</v>
      </c>
      <c r="O1485" s="7">
        <f t="shared" ref="O1485" si="460">SUM(J1485:N1485)</f>
        <v>5</v>
      </c>
      <c r="P1485" s="58">
        <v>45512</v>
      </c>
      <c r="Q1485" s="56"/>
    </row>
    <row r="1486" spans="1:17" x14ac:dyDescent="0.15">
      <c r="A1486" s="14" t="s">
        <v>29</v>
      </c>
      <c r="B1486" s="8"/>
      <c r="C1486" s="10">
        <v>1</v>
      </c>
      <c r="D1486" s="10"/>
      <c r="E1486" s="10"/>
      <c r="F1486" s="30"/>
      <c r="G1486" s="7">
        <f t="shared" si="459"/>
        <v>1</v>
      </c>
      <c r="H1486" s="58">
        <v>45495</v>
      </c>
      <c r="I1486" s="14" t="s">
        <v>1630</v>
      </c>
      <c r="J1486" s="8"/>
      <c r="K1486" s="10"/>
      <c r="L1486" s="10">
        <v>3</v>
      </c>
      <c r="M1486" s="10"/>
      <c r="N1486" s="30"/>
      <c r="O1486" s="7">
        <f t="shared" ref="O1486:O1495" si="461">SUM(J1486:N1486)</f>
        <v>3</v>
      </c>
      <c r="P1486" s="58">
        <v>45530</v>
      </c>
      <c r="Q1486" s="56"/>
    </row>
    <row r="1487" spans="1:17" x14ac:dyDescent="0.15">
      <c r="A1487" s="14" t="s">
        <v>29</v>
      </c>
      <c r="B1487" s="8"/>
      <c r="C1487" s="10"/>
      <c r="D1487" s="10">
        <v>1</v>
      </c>
      <c r="E1487" s="10"/>
      <c r="F1487" s="30"/>
      <c r="G1487" s="7">
        <f t="shared" si="459"/>
        <v>1</v>
      </c>
      <c r="H1487" s="58">
        <v>45496</v>
      </c>
      <c r="I1487" s="14" t="s">
        <v>24</v>
      </c>
      <c r="J1487" s="8">
        <v>5</v>
      </c>
      <c r="K1487" s="10">
        <v>3</v>
      </c>
      <c r="L1487" s="10">
        <v>5</v>
      </c>
      <c r="M1487" s="10"/>
      <c r="N1487" s="30"/>
      <c r="O1487" s="7">
        <f t="shared" si="461"/>
        <v>13</v>
      </c>
      <c r="P1487" s="58">
        <v>45541</v>
      </c>
      <c r="Q1487" s="56"/>
    </row>
    <row r="1488" spans="1:17" x14ac:dyDescent="0.15">
      <c r="A1488" s="14" t="s">
        <v>29</v>
      </c>
      <c r="B1488" s="8"/>
      <c r="C1488" s="10"/>
      <c r="D1488" s="10"/>
      <c r="E1488" s="10">
        <v>1</v>
      </c>
      <c r="F1488" s="30"/>
      <c r="G1488" s="7">
        <f t="shared" si="459"/>
        <v>1</v>
      </c>
      <c r="H1488" s="58">
        <v>45497</v>
      </c>
      <c r="I1488" s="14" t="s">
        <v>1637</v>
      </c>
      <c r="J1488" s="8"/>
      <c r="K1488" s="10">
        <v>1</v>
      </c>
      <c r="L1488" s="10"/>
      <c r="M1488" s="10"/>
      <c r="N1488" s="30"/>
      <c r="O1488" s="7">
        <f t="shared" si="461"/>
        <v>1</v>
      </c>
      <c r="P1488" s="58">
        <v>45554</v>
      </c>
      <c r="Q1488" s="56"/>
    </row>
    <row r="1489" spans="1:19" x14ac:dyDescent="0.15">
      <c r="A1489" s="14" t="s">
        <v>29</v>
      </c>
      <c r="B1489" s="8"/>
      <c r="C1489" s="10"/>
      <c r="D1489" s="10">
        <v>1</v>
      </c>
      <c r="E1489" s="10"/>
      <c r="F1489" s="30"/>
      <c r="G1489" s="7">
        <f t="shared" si="459"/>
        <v>1</v>
      </c>
      <c r="H1489" s="58">
        <v>45499</v>
      </c>
      <c r="I1489" s="14" t="s">
        <v>24</v>
      </c>
      <c r="J1489" s="8">
        <v>3</v>
      </c>
      <c r="K1489" s="10">
        <v>3</v>
      </c>
      <c r="L1489" s="10"/>
      <c r="M1489" s="10"/>
      <c r="N1489" s="30"/>
      <c r="O1489" s="7">
        <f t="shared" si="461"/>
        <v>6</v>
      </c>
      <c r="P1489" s="58">
        <v>45555</v>
      </c>
      <c r="Q1489" s="56"/>
      <c r="R1489" s="56"/>
      <c r="S1489" s="56"/>
    </row>
    <row r="1490" spans="1:19" x14ac:dyDescent="0.15">
      <c r="A1490" s="14" t="s">
        <v>29</v>
      </c>
      <c r="B1490" s="8">
        <f>1+1</f>
        <v>2</v>
      </c>
      <c r="C1490" s="10"/>
      <c r="D1490" s="10">
        <v>1</v>
      </c>
      <c r="E1490" s="10"/>
      <c r="F1490" s="30"/>
      <c r="G1490" s="7">
        <f t="shared" si="459"/>
        <v>3</v>
      </c>
      <c r="H1490" s="58">
        <v>45502</v>
      </c>
      <c r="I1490" s="14"/>
      <c r="J1490" s="8"/>
      <c r="K1490" s="10"/>
      <c r="L1490" s="10"/>
      <c r="M1490" s="10"/>
      <c r="N1490" s="30"/>
      <c r="O1490" s="7">
        <f t="shared" si="461"/>
        <v>0</v>
      </c>
      <c r="P1490" s="56"/>
      <c r="Q1490" s="56"/>
    </row>
    <row r="1491" spans="1:19" x14ac:dyDescent="0.15">
      <c r="A1491" s="14" t="s">
        <v>696</v>
      </c>
      <c r="B1491" s="8"/>
      <c r="C1491" s="10"/>
      <c r="D1491" s="10"/>
      <c r="E1491" s="10"/>
      <c r="F1491" s="30">
        <v>-1</v>
      </c>
      <c r="G1491" s="7">
        <f t="shared" si="459"/>
        <v>-1</v>
      </c>
      <c r="H1491" s="58">
        <v>45506</v>
      </c>
      <c r="I1491" s="14"/>
      <c r="J1491" s="8"/>
      <c r="K1491" s="10"/>
      <c r="L1491" s="10"/>
      <c r="M1491" s="10"/>
      <c r="N1491" s="30"/>
      <c r="O1491" s="7">
        <f t="shared" si="461"/>
        <v>0</v>
      </c>
      <c r="P1491" s="56"/>
      <c r="Q1491" s="56"/>
    </row>
    <row r="1492" spans="1:19" x14ac:dyDescent="0.15">
      <c r="A1492" s="14" t="s">
        <v>29</v>
      </c>
      <c r="B1492" s="8"/>
      <c r="C1492" s="10"/>
      <c r="D1492" s="10">
        <v>1</v>
      </c>
      <c r="E1492" s="10"/>
      <c r="F1492" s="30"/>
      <c r="G1492" s="7">
        <f t="shared" si="459"/>
        <v>1</v>
      </c>
      <c r="H1492" s="58">
        <v>45510</v>
      </c>
      <c r="I1492" s="14"/>
      <c r="J1492" s="8"/>
      <c r="K1492" s="10"/>
      <c r="L1492" s="10"/>
      <c r="M1492" s="10"/>
      <c r="N1492" s="30"/>
      <c r="O1492" s="7">
        <f t="shared" si="461"/>
        <v>0</v>
      </c>
      <c r="P1492" s="56"/>
      <c r="Q1492" s="56"/>
    </row>
    <row r="1493" spans="1:19" x14ac:dyDescent="0.15">
      <c r="A1493" s="14" t="s">
        <v>29</v>
      </c>
      <c r="B1493" s="8"/>
      <c r="C1493" s="10"/>
      <c r="D1493" s="10"/>
      <c r="E1493" s="10"/>
      <c r="F1493" s="30">
        <v>1</v>
      </c>
      <c r="G1493" s="7">
        <f t="shared" si="459"/>
        <v>1</v>
      </c>
      <c r="H1493" s="58">
        <v>45511</v>
      </c>
      <c r="I1493" s="14"/>
      <c r="J1493" s="8"/>
      <c r="K1493" s="10"/>
      <c r="L1493" s="10"/>
      <c r="M1493" s="10"/>
      <c r="N1493" s="30"/>
      <c r="O1493" s="7">
        <f t="shared" si="461"/>
        <v>0</v>
      </c>
      <c r="P1493" s="56"/>
      <c r="Q1493" s="56"/>
    </row>
    <row r="1494" spans="1:19" x14ac:dyDescent="0.15">
      <c r="A1494" s="14" t="s">
        <v>29</v>
      </c>
      <c r="B1494" s="8"/>
      <c r="C1494" s="10"/>
      <c r="D1494" s="10">
        <v>1</v>
      </c>
      <c r="E1494" s="10"/>
      <c r="F1494" s="30"/>
      <c r="G1494" s="7">
        <f t="shared" si="459"/>
        <v>1</v>
      </c>
      <c r="H1494" s="58">
        <v>45523</v>
      </c>
      <c r="I1494" s="14"/>
      <c r="J1494" s="8"/>
      <c r="K1494" s="10"/>
      <c r="L1494" s="10"/>
      <c r="M1494" s="10"/>
      <c r="N1494" s="30"/>
      <c r="O1494" s="7">
        <f t="shared" si="461"/>
        <v>0</v>
      </c>
      <c r="P1494" s="56"/>
      <c r="Q1494" s="56"/>
    </row>
    <row r="1495" spans="1:19" x14ac:dyDescent="0.15">
      <c r="A1495" s="14" t="s">
        <v>29</v>
      </c>
      <c r="B1495" s="8"/>
      <c r="C1495" s="10"/>
      <c r="D1495" s="10"/>
      <c r="E1495" s="10"/>
      <c r="F1495" s="30">
        <v>1</v>
      </c>
      <c r="G1495" s="7">
        <f t="shared" si="459"/>
        <v>1</v>
      </c>
      <c r="H1495" s="58">
        <v>45525</v>
      </c>
      <c r="I1495" s="14"/>
      <c r="J1495" s="8"/>
      <c r="K1495" s="10"/>
      <c r="L1495" s="10"/>
      <c r="M1495" s="10"/>
      <c r="N1495" s="30"/>
      <c r="O1495" s="7">
        <f t="shared" si="461"/>
        <v>0</v>
      </c>
      <c r="P1495" s="56"/>
      <c r="Q1495" s="56"/>
    </row>
    <row r="1496" spans="1:19" x14ac:dyDescent="0.15">
      <c r="A1496" s="14" t="s">
        <v>1621</v>
      </c>
      <c r="B1496" s="8">
        <v>3</v>
      </c>
      <c r="C1496" s="10">
        <v>2</v>
      </c>
      <c r="D1496" s="10">
        <v>6</v>
      </c>
      <c r="E1496" s="10">
        <v>4</v>
      </c>
      <c r="F1496" s="30"/>
      <c r="G1496" s="7">
        <f t="shared" si="459"/>
        <v>15</v>
      </c>
      <c r="H1496" s="58">
        <v>45535</v>
      </c>
      <c r="I1496" s="14"/>
      <c r="J1496" s="8"/>
      <c r="K1496" s="10"/>
      <c r="L1496" s="10"/>
      <c r="M1496" s="10"/>
      <c r="N1496" s="30"/>
      <c r="O1496" s="7">
        <f t="shared" ref="O1496:O1510" si="462">SUM(J1496:N1496)</f>
        <v>0</v>
      </c>
      <c r="P1496" s="56"/>
      <c r="Q1496" s="56"/>
    </row>
    <row r="1497" spans="1:19" x14ac:dyDescent="0.15">
      <c r="A1497" s="14" t="s">
        <v>29</v>
      </c>
      <c r="B1497" s="8"/>
      <c r="C1497" s="10"/>
      <c r="D1497" s="10"/>
      <c r="E1497" s="10"/>
      <c r="F1497" s="30">
        <v>1</v>
      </c>
      <c r="G1497" s="7">
        <f t="shared" si="459"/>
        <v>1</v>
      </c>
      <c r="H1497" s="58">
        <v>45537</v>
      </c>
      <c r="I1497" s="14"/>
      <c r="J1497" s="8"/>
      <c r="K1497" s="10"/>
      <c r="L1497" s="10"/>
      <c r="M1497" s="10"/>
      <c r="N1497" s="30"/>
      <c r="O1497" s="7">
        <f t="shared" si="462"/>
        <v>0</v>
      </c>
      <c r="P1497" s="56"/>
      <c r="Q1497" s="56"/>
    </row>
    <row r="1498" spans="1:19" x14ac:dyDescent="0.15">
      <c r="A1498" s="14" t="s">
        <v>29</v>
      </c>
      <c r="B1498" s="8"/>
      <c r="C1498" s="10"/>
      <c r="D1498" s="10">
        <v>1</v>
      </c>
      <c r="E1498" s="10"/>
      <c r="F1498" s="30"/>
      <c r="G1498" s="7">
        <f>SUM(B1498:F1498)</f>
        <v>1</v>
      </c>
      <c r="H1498" s="58">
        <v>45539</v>
      </c>
      <c r="I1498" s="14"/>
      <c r="J1498" s="8"/>
      <c r="K1498" s="10"/>
      <c r="L1498" s="10"/>
      <c r="M1498" s="10"/>
      <c r="N1498" s="30"/>
      <c r="O1498" s="7">
        <f t="shared" si="462"/>
        <v>0</v>
      </c>
      <c r="P1498" s="56"/>
      <c r="Q1498" s="56"/>
    </row>
    <row r="1499" spans="1:19" x14ac:dyDescent="0.15">
      <c r="A1499" s="14" t="s">
        <v>29</v>
      </c>
      <c r="B1499" s="8">
        <v>2</v>
      </c>
      <c r="C1499" s="10">
        <v>2</v>
      </c>
      <c r="D1499" s="10">
        <v>1</v>
      </c>
      <c r="E1499" s="10">
        <v>3</v>
      </c>
      <c r="F1499" s="30">
        <v>1</v>
      </c>
      <c r="G1499" s="7">
        <f t="shared" ref="G1499:G1510" si="463">SUM(B1499:F1499)</f>
        <v>9</v>
      </c>
      <c r="H1499" s="58">
        <v>45540</v>
      </c>
      <c r="I1499" s="14"/>
      <c r="J1499" s="8"/>
      <c r="K1499" s="10"/>
      <c r="L1499" s="10"/>
      <c r="M1499" s="10"/>
      <c r="N1499" s="30"/>
      <c r="O1499" s="7">
        <f t="shared" si="462"/>
        <v>0</v>
      </c>
    </row>
    <row r="1500" spans="1:19" x14ac:dyDescent="0.15">
      <c r="A1500" s="14" t="s">
        <v>29</v>
      </c>
      <c r="B1500" s="8"/>
      <c r="C1500" s="10">
        <v>1</v>
      </c>
      <c r="D1500" s="10">
        <v>1</v>
      </c>
      <c r="E1500" s="10"/>
      <c r="F1500" s="30"/>
      <c r="G1500" s="7">
        <f t="shared" si="463"/>
        <v>2</v>
      </c>
      <c r="H1500" s="58">
        <v>45541</v>
      </c>
      <c r="I1500" s="14"/>
      <c r="J1500" s="8"/>
      <c r="K1500" s="10"/>
      <c r="L1500" s="10"/>
      <c r="M1500" s="10"/>
      <c r="N1500" s="30"/>
      <c r="O1500" s="7">
        <f t="shared" si="462"/>
        <v>0</v>
      </c>
    </row>
    <row r="1501" spans="1:19" x14ac:dyDescent="0.15">
      <c r="A1501" s="14" t="s">
        <v>29</v>
      </c>
      <c r="B1501" s="8">
        <v>1</v>
      </c>
      <c r="C1501" s="10">
        <v>1</v>
      </c>
      <c r="D1501" s="10"/>
      <c r="E1501" s="10"/>
      <c r="F1501" s="30">
        <v>1</v>
      </c>
      <c r="G1501" s="7">
        <f t="shared" si="463"/>
        <v>3</v>
      </c>
      <c r="H1501" s="58">
        <v>45544</v>
      </c>
      <c r="I1501" s="14"/>
      <c r="J1501" s="8"/>
      <c r="K1501" s="10"/>
      <c r="L1501" s="10"/>
      <c r="M1501" s="10"/>
      <c r="N1501" s="30"/>
      <c r="O1501" s="7">
        <f t="shared" si="462"/>
        <v>0</v>
      </c>
    </row>
    <row r="1502" spans="1:19" x14ac:dyDescent="0.15">
      <c r="A1502" s="14" t="s">
        <v>29</v>
      </c>
      <c r="B1502" s="8">
        <v>1</v>
      </c>
      <c r="C1502" s="10"/>
      <c r="D1502" s="10"/>
      <c r="E1502" s="10"/>
      <c r="F1502" s="30"/>
      <c r="G1502" s="7">
        <f t="shared" si="463"/>
        <v>1</v>
      </c>
      <c r="H1502" s="58">
        <v>45545</v>
      </c>
      <c r="I1502" s="14"/>
      <c r="J1502" s="8"/>
      <c r="K1502" s="10"/>
      <c r="L1502" s="10"/>
      <c r="M1502" s="10"/>
      <c r="N1502" s="30"/>
      <c r="O1502" s="7">
        <f t="shared" si="462"/>
        <v>0</v>
      </c>
    </row>
    <row r="1503" spans="1:19" x14ac:dyDescent="0.15">
      <c r="A1503" s="14" t="s">
        <v>29</v>
      </c>
      <c r="B1503" s="8"/>
      <c r="C1503" s="10">
        <v>-1</v>
      </c>
      <c r="D1503" s="10"/>
      <c r="E1503" s="10">
        <v>1</v>
      </c>
      <c r="F1503" s="30"/>
      <c r="G1503" s="7">
        <f t="shared" si="463"/>
        <v>0</v>
      </c>
      <c r="H1503" s="58">
        <v>45546</v>
      </c>
      <c r="I1503" s="14"/>
      <c r="J1503" s="8"/>
      <c r="K1503" s="10"/>
      <c r="L1503" s="10"/>
      <c r="M1503" s="10"/>
      <c r="N1503" s="30"/>
      <c r="O1503" s="7">
        <f t="shared" si="462"/>
        <v>0</v>
      </c>
    </row>
    <row r="1504" spans="1:19" x14ac:dyDescent="0.15">
      <c r="A1504" s="14" t="s">
        <v>29</v>
      </c>
      <c r="B1504" s="8"/>
      <c r="C1504" s="10">
        <v>1</v>
      </c>
      <c r="D1504" s="10"/>
      <c r="E1504" s="10"/>
      <c r="F1504" s="30"/>
      <c r="G1504" s="7">
        <f t="shared" si="463"/>
        <v>1</v>
      </c>
      <c r="H1504" s="58">
        <v>45546</v>
      </c>
      <c r="I1504" s="14"/>
      <c r="J1504" s="8"/>
      <c r="K1504" s="10"/>
      <c r="L1504" s="10"/>
      <c r="M1504" s="10"/>
      <c r="N1504" s="30"/>
      <c r="O1504" s="7">
        <f t="shared" si="462"/>
        <v>0</v>
      </c>
    </row>
    <row r="1505" spans="1:18" x14ac:dyDescent="0.15">
      <c r="A1505" s="14" t="s">
        <v>29</v>
      </c>
      <c r="B1505" s="8"/>
      <c r="C1505" s="10">
        <v>1</v>
      </c>
      <c r="D1505" s="10"/>
      <c r="E1505" s="10"/>
      <c r="F1505" s="30"/>
      <c r="G1505" s="7">
        <f t="shared" si="463"/>
        <v>1</v>
      </c>
      <c r="H1505" s="58">
        <v>45547</v>
      </c>
      <c r="I1505" s="14"/>
      <c r="J1505" s="8"/>
      <c r="K1505" s="10"/>
      <c r="L1505" s="10"/>
      <c r="M1505" s="10"/>
      <c r="N1505" s="30"/>
      <c r="O1505" s="7">
        <f t="shared" si="462"/>
        <v>0</v>
      </c>
    </row>
    <row r="1506" spans="1:18" x14ac:dyDescent="0.15">
      <c r="A1506" s="14" t="s">
        <v>29</v>
      </c>
      <c r="B1506" s="8"/>
      <c r="C1506" s="10"/>
      <c r="D1506" s="10"/>
      <c r="E1506" s="10">
        <v>1</v>
      </c>
      <c r="F1506" s="30"/>
      <c r="G1506" s="7">
        <f t="shared" si="463"/>
        <v>1</v>
      </c>
      <c r="H1506" s="58">
        <v>45552</v>
      </c>
      <c r="I1506" s="14"/>
      <c r="J1506" s="8"/>
      <c r="K1506" s="10"/>
      <c r="L1506" s="10"/>
      <c r="M1506" s="10"/>
      <c r="N1506" s="30"/>
      <c r="O1506" s="7">
        <f t="shared" si="462"/>
        <v>0</v>
      </c>
    </row>
    <row r="1507" spans="1:18" x14ac:dyDescent="0.15">
      <c r="A1507" s="14" t="s">
        <v>29</v>
      </c>
      <c r="B1507" s="8">
        <v>1</v>
      </c>
      <c r="C1507" s="10"/>
      <c r="D1507" s="10"/>
      <c r="E1507" s="10"/>
      <c r="F1507" s="30"/>
      <c r="G1507" s="7">
        <f t="shared" si="463"/>
        <v>1</v>
      </c>
      <c r="H1507" s="58">
        <v>45553</v>
      </c>
      <c r="I1507" s="14"/>
      <c r="J1507" s="8"/>
      <c r="K1507" s="10"/>
      <c r="L1507" s="10"/>
      <c r="M1507" s="10"/>
      <c r="N1507" s="30"/>
      <c r="O1507" s="7">
        <f t="shared" si="462"/>
        <v>0</v>
      </c>
    </row>
    <row r="1508" spans="1:18" x14ac:dyDescent="0.15">
      <c r="A1508" s="14" t="s">
        <v>29</v>
      </c>
      <c r="B1508" s="8"/>
      <c r="C1508" s="10"/>
      <c r="D1508" s="10"/>
      <c r="E1508" s="10"/>
      <c r="F1508" s="30">
        <v>1</v>
      </c>
      <c r="G1508" s="7">
        <f t="shared" si="463"/>
        <v>1</v>
      </c>
      <c r="H1508" s="58">
        <v>45555</v>
      </c>
      <c r="I1508" s="14"/>
      <c r="J1508" s="8"/>
      <c r="K1508" s="10"/>
      <c r="L1508" s="10"/>
      <c r="M1508" s="10"/>
      <c r="N1508" s="30"/>
      <c r="O1508" s="7">
        <f t="shared" si="462"/>
        <v>0</v>
      </c>
    </row>
    <row r="1509" spans="1:18" x14ac:dyDescent="0.15">
      <c r="A1509" s="14" t="s">
        <v>29</v>
      </c>
      <c r="B1509" s="8">
        <v>1</v>
      </c>
      <c r="C1509" s="10"/>
      <c r="D1509" s="10"/>
      <c r="E1509" s="10"/>
      <c r="F1509" s="30"/>
      <c r="G1509" s="7">
        <f t="shared" si="463"/>
        <v>1</v>
      </c>
      <c r="H1509" s="58">
        <v>45559</v>
      </c>
      <c r="I1509" s="14" t="s">
        <v>1599</v>
      </c>
      <c r="J1509" s="8"/>
      <c r="K1509" s="10"/>
      <c r="L1509" s="10"/>
      <c r="M1509" s="10"/>
      <c r="N1509" s="30"/>
      <c r="O1509" s="7">
        <f t="shared" si="462"/>
        <v>0</v>
      </c>
      <c r="P1509" s="56"/>
      <c r="Q1509" s="56"/>
      <c r="R1509" s="56"/>
    </row>
    <row r="1510" spans="1:18" ht="14.25" thickBot="1" x14ac:dyDescent="0.2">
      <c r="A1510" s="14" t="s">
        <v>29</v>
      </c>
      <c r="B1510" s="8"/>
      <c r="C1510" s="10">
        <v>1</v>
      </c>
      <c r="D1510" s="10"/>
      <c r="E1510" s="10"/>
      <c r="F1510" s="30"/>
      <c r="G1510" s="7">
        <f t="shared" si="463"/>
        <v>1</v>
      </c>
      <c r="H1510" s="58">
        <v>45561</v>
      </c>
      <c r="I1510" s="14" t="s">
        <v>1582</v>
      </c>
      <c r="J1510" s="8"/>
      <c r="K1510" s="10"/>
      <c r="L1510" s="10"/>
      <c r="M1510" s="10"/>
      <c r="N1510" s="217"/>
      <c r="O1510" s="7">
        <f t="shared" si="462"/>
        <v>0</v>
      </c>
      <c r="P1510" s="56" t="s">
        <v>1592</v>
      </c>
      <c r="Q1510" s="56"/>
      <c r="R1510" s="56"/>
    </row>
    <row r="1511" spans="1:18" ht="14.25" thickBot="1" x14ac:dyDescent="0.2">
      <c r="A1511" s="3" t="s">
        <v>11</v>
      </c>
      <c r="B1511" s="23">
        <f>SUM(B1485:B1510)</f>
        <v>11</v>
      </c>
      <c r="C1511" s="4">
        <f>SUM(C1485:C1510)</f>
        <v>10</v>
      </c>
      <c r="D1511" s="4">
        <f>SUM(D1485:D1510)</f>
        <v>15</v>
      </c>
      <c r="E1511" s="6">
        <f>SUM(E1485:E1510)</f>
        <v>10</v>
      </c>
      <c r="F1511" s="32">
        <f>SUM(F1485:F1510)</f>
        <v>5</v>
      </c>
      <c r="G1511" s="5">
        <f>SUM(B1511:F1511)</f>
        <v>51</v>
      </c>
      <c r="I1511" s="3" t="s">
        <v>11</v>
      </c>
      <c r="J1511" s="23">
        <f>SUM(J1485:J1510)</f>
        <v>8</v>
      </c>
      <c r="K1511" s="4">
        <f>SUM(K1485:K1510)</f>
        <v>7</v>
      </c>
      <c r="L1511" s="4">
        <f>SUM(L1485:L1510)</f>
        <v>8</v>
      </c>
      <c r="M1511" s="6">
        <f>SUM(M1485:M1510)</f>
        <v>0</v>
      </c>
      <c r="N1511" s="32">
        <f>SUM(N1485:N1510)</f>
        <v>5</v>
      </c>
      <c r="O1511" s="5">
        <f>SUM(J1511:N1511)</f>
        <v>28</v>
      </c>
    </row>
    <row r="1512" spans="1:18" ht="14.25" thickBot="1" x14ac:dyDescent="0.2">
      <c r="A1512" s="25" t="s">
        <v>12</v>
      </c>
      <c r="B1512" s="63">
        <f>B1484-B1511</f>
        <v>5</v>
      </c>
      <c r="C1512" s="26">
        <f t="shared" ref="C1512:G1512" si="464">C1484-C1511</f>
        <v>5</v>
      </c>
      <c r="D1512" s="71">
        <f t="shared" si="464"/>
        <v>5</v>
      </c>
      <c r="E1512" s="26">
        <f t="shared" si="464"/>
        <v>5</v>
      </c>
      <c r="F1512" s="70">
        <f t="shared" si="464"/>
        <v>4</v>
      </c>
      <c r="G1512" s="27">
        <f t="shared" si="464"/>
        <v>24</v>
      </c>
      <c r="I1512" s="25" t="s">
        <v>12</v>
      </c>
      <c r="J1512" s="63">
        <f>J1484-J1511</f>
        <v>86</v>
      </c>
      <c r="K1512" s="26">
        <f t="shared" ref="K1512:O1512" si="465">K1484-K1511</f>
        <v>60</v>
      </c>
      <c r="L1512" s="71">
        <f t="shared" si="465"/>
        <v>16</v>
      </c>
      <c r="M1512" s="26">
        <f t="shared" si="465"/>
        <v>30</v>
      </c>
      <c r="N1512" s="70">
        <f t="shared" si="465"/>
        <v>65</v>
      </c>
      <c r="O1512" s="27">
        <f t="shared" si="465"/>
        <v>257</v>
      </c>
    </row>
    <row r="1513" spans="1:18" ht="17.25" x14ac:dyDescent="0.2">
      <c r="A1513" s="79" t="s">
        <v>391</v>
      </c>
      <c r="B1513" s="80"/>
      <c r="C1513" s="80"/>
      <c r="D1513" s="80"/>
      <c r="E1513" s="80"/>
      <c r="F1513" s="80"/>
      <c r="G1513" s="80"/>
      <c r="H1513" s="56"/>
      <c r="I1513" s="79" t="s">
        <v>391</v>
      </c>
      <c r="J1513" s="80"/>
      <c r="K1513" s="80"/>
      <c r="L1513" s="80"/>
      <c r="M1513" s="80"/>
      <c r="N1513" s="80"/>
      <c r="O1513" s="1"/>
    </row>
    <row r="1514" spans="1:18" ht="21.75" thickBot="1" x14ac:dyDescent="0.25">
      <c r="A1514" s="82" t="s">
        <v>390</v>
      </c>
      <c r="B1514" s="80"/>
      <c r="C1514" s="80"/>
      <c r="D1514" s="80"/>
      <c r="E1514" s="81" t="s">
        <v>53</v>
      </c>
      <c r="F1514" s="80"/>
      <c r="G1514" s="80"/>
      <c r="H1514" s="56"/>
      <c r="I1514" s="82" t="s">
        <v>390</v>
      </c>
      <c r="J1514" s="80"/>
      <c r="K1514" s="80"/>
      <c r="L1514" s="80"/>
      <c r="M1514" s="81" t="s">
        <v>393</v>
      </c>
      <c r="N1514" s="80"/>
      <c r="O1514" s="1"/>
    </row>
    <row r="1515" spans="1:18" ht="14.25" thickBot="1" x14ac:dyDescent="0.2">
      <c r="A1515" s="13" t="s">
        <v>0</v>
      </c>
      <c r="B1515" s="228" t="s">
        <v>392</v>
      </c>
      <c r="C1515" s="229"/>
      <c r="D1515" s="229"/>
      <c r="E1515" s="229"/>
      <c r="F1515" s="230"/>
      <c r="G1515" s="231"/>
      <c r="H1515" s="56"/>
      <c r="I1515" s="13" t="s">
        <v>0</v>
      </c>
      <c r="J1515" s="228" t="s">
        <v>392</v>
      </c>
      <c r="K1515" s="229"/>
      <c r="L1515" s="229"/>
      <c r="M1515" s="229"/>
      <c r="N1515" s="230"/>
      <c r="O1515" s="231"/>
    </row>
    <row r="1516" spans="1:18" ht="14.25" thickBot="1" x14ac:dyDescent="0.2">
      <c r="A1516" s="3" t="s">
        <v>1</v>
      </c>
      <c r="B1516" s="2" t="s">
        <v>42</v>
      </c>
      <c r="C1516" s="21" t="s">
        <v>43</v>
      </c>
      <c r="D1516" s="21" t="s">
        <v>44</v>
      </c>
      <c r="E1516" s="24" t="s">
        <v>45</v>
      </c>
      <c r="F1516" s="33" t="s">
        <v>46</v>
      </c>
      <c r="G1516" s="34" t="s">
        <v>2</v>
      </c>
      <c r="H1516" s="56"/>
      <c r="I1516" s="3" t="s">
        <v>1</v>
      </c>
      <c r="J1516" s="41" t="s">
        <v>42</v>
      </c>
      <c r="K1516" s="42" t="s">
        <v>43</v>
      </c>
      <c r="L1516" s="42" t="s">
        <v>44</v>
      </c>
      <c r="M1516" s="43" t="s">
        <v>45</v>
      </c>
      <c r="N1516" s="44" t="s">
        <v>46</v>
      </c>
      <c r="O1516" s="3" t="s">
        <v>2</v>
      </c>
    </row>
    <row r="1517" spans="1:18" ht="14.25" thickBot="1" x14ac:dyDescent="0.2">
      <c r="A1517" s="72" t="s">
        <v>456</v>
      </c>
      <c r="B1517" s="73">
        <f>B1512</f>
        <v>5</v>
      </c>
      <c r="C1517" s="74">
        <f t="shared" ref="C1517:F1517" si="466">C1512</f>
        <v>5</v>
      </c>
      <c r="D1517" s="74">
        <f t="shared" si="466"/>
        <v>5</v>
      </c>
      <c r="E1517" s="74">
        <f t="shared" si="466"/>
        <v>5</v>
      </c>
      <c r="F1517" s="105">
        <f t="shared" si="466"/>
        <v>4</v>
      </c>
      <c r="G1517" s="131">
        <f t="shared" ref="G1517:G1525" si="467">SUM(B1517:F1517)</f>
        <v>24</v>
      </c>
      <c r="H1517" s="56"/>
      <c r="I1517" s="72" t="s">
        <v>456</v>
      </c>
      <c r="J1517" s="73">
        <f>J1512</f>
        <v>86</v>
      </c>
      <c r="K1517" s="74">
        <f t="shared" ref="K1517:N1517" si="468">K1512</f>
        <v>60</v>
      </c>
      <c r="L1517" s="74">
        <f t="shared" si="468"/>
        <v>16</v>
      </c>
      <c r="M1517" s="74">
        <f t="shared" si="468"/>
        <v>30</v>
      </c>
      <c r="N1517" s="105">
        <f t="shared" si="468"/>
        <v>65</v>
      </c>
      <c r="O1517" s="131">
        <f t="shared" ref="O1517:O1525" si="469">SUM(J1517:N1517)</f>
        <v>257</v>
      </c>
    </row>
    <row r="1518" spans="1:18" x14ac:dyDescent="0.15">
      <c r="A1518" s="38" t="s">
        <v>14</v>
      </c>
      <c r="B1518" s="8"/>
      <c r="C1518" s="10">
        <v>3</v>
      </c>
      <c r="D1518" s="10">
        <v>3</v>
      </c>
      <c r="E1518" s="10">
        <v>3</v>
      </c>
      <c r="F1518" s="30"/>
      <c r="G1518" s="7">
        <f t="shared" si="467"/>
        <v>9</v>
      </c>
      <c r="H1518" s="58">
        <v>45576</v>
      </c>
      <c r="I1518" s="38" t="s">
        <v>14</v>
      </c>
      <c r="J1518" s="8"/>
      <c r="K1518" s="10"/>
      <c r="L1518" s="10"/>
      <c r="M1518" s="10"/>
      <c r="N1518" s="30"/>
      <c r="O1518" s="7">
        <f t="shared" ref="O1518:O1519" si="470">SUM(J1518:N1518)</f>
        <v>0</v>
      </c>
    </row>
    <row r="1519" spans="1:18" x14ac:dyDescent="0.15">
      <c r="A1519" s="38" t="s">
        <v>3</v>
      </c>
      <c r="B1519" s="8"/>
      <c r="C1519" s="10">
        <v>5</v>
      </c>
      <c r="D1519" s="10"/>
      <c r="E1519" s="10"/>
      <c r="F1519" s="30">
        <v>3</v>
      </c>
      <c r="G1519" s="7">
        <f t="shared" si="467"/>
        <v>8</v>
      </c>
      <c r="H1519" s="58">
        <v>45594</v>
      </c>
      <c r="I1519" s="38" t="s">
        <v>3</v>
      </c>
      <c r="J1519" s="8"/>
      <c r="K1519" s="10"/>
      <c r="L1519" s="10"/>
      <c r="M1519" s="10"/>
      <c r="N1519" s="30"/>
      <c r="O1519" s="7">
        <f t="shared" si="470"/>
        <v>0</v>
      </c>
    </row>
    <row r="1520" spans="1:18" x14ac:dyDescent="0.15">
      <c r="A1520" s="38" t="s">
        <v>4</v>
      </c>
      <c r="B1520" s="8">
        <v>3</v>
      </c>
      <c r="C1520" s="10"/>
      <c r="D1520" s="10"/>
      <c r="E1520" s="10">
        <v>3</v>
      </c>
      <c r="F1520" s="30"/>
      <c r="G1520" s="7">
        <f t="shared" si="467"/>
        <v>6</v>
      </c>
      <c r="H1520" s="58">
        <v>45612</v>
      </c>
      <c r="I1520" s="38" t="s">
        <v>4</v>
      </c>
      <c r="J1520" s="8"/>
      <c r="K1520" s="10"/>
      <c r="L1520" s="10"/>
      <c r="M1520" s="10"/>
      <c r="N1520" s="30"/>
      <c r="O1520" s="7">
        <f t="shared" si="469"/>
        <v>0</v>
      </c>
    </row>
    <row r="1521" spans="1:18" x14ac:dyDescent="0.15">
      <c r="A1521" s="38" t="s">
        <v>1620</v>
      </c>
      <c r="B1521" s="8"/>
      <c r="C1521" s="10">
        <v>2</v>
      </c>
      <c r="D1521" s="10">
        <v>6</v>
      </c>
      <c r="E1521" s="10">
        <v>3</v>
      </c>
      <c r="F1521" s="30"/>
      <c r="G1521" s="7">
        <f t="shared" si="467"/>
        <v>11</v>
      </c>
      <c r="H1521" s="58">
        <v>45630</v>
      </c>
      <c r="I1521" s="38" t="s">
        <v>5</v>
      </c>
      <c r="J1521" s="8"/>
      <c r="K1521" s="10"/>
      <c r="L1521" s="10"/>
      <c r="M1521" s="10"/>
      <c r="N1521" s="30"/>
      <c r="O1521" s="7">
        <f t="shared" si="469"/>
        <v>0</v>
      </c>
    </row>
    <row r="1522" spans="1:18" x14ac:dyDescent="0.15">
      <c r="A1522" s="38" t="s">
        <v>6</v>
      </c>
      <c r="B1522" s="8"/>
      <c r="C1522" s="10"/>
      <c r="D1522" s="10"/>
      <c r="E1522" s="10"/>
      <c r="F1522" s="30">
        <v>3</v>
      </c>
      <c r="G1522" s="7">
        <f t="shared" si="467"/>
        <v>3</v>
      </c>
      <c r="H1522" s="58">
        <v>45653</v>
      </c>
      <c r="I1522" s="38" t="s">
        <v>6</v>
      </c>
      <c r="J1522" s="8"/>
      <c r="K1522" s="10"/>
      <c r="L1522" s="10"/>
      <c r="M1522" s="10"/>
      <c r="N1522" s="30"/>
      <c r="O1522" s="7">
        <f t="shared" si="469"/>
        <v>0</v>
      </c>
    </row>
    <row r="1523" spans="1:18" x14ac:dyDescent="0.15">
      <c r="A1523" s="38" t="s">
        <v>84</v>
      </c>
      <c r="B1523" s="8"/>
      <c r="C1523" s="10"/>
      <c r="D1523" s="10"/>
      <c r="E1523" s="10"/>
      <c r="F1523" s="30"/>
      <c r="G1523" s="7">
        <f t="shared" si="467"/>
        <v>0</v>
      </c>
      <c r="H1523" s="56"/>
      <c r="I1523" s="38" t="s">
        <v>84</v>
      </c>
      <c r="J1523" s="8"/>
      <c r="K1523" s="10"/>
      <c r="L1523" s="10"/>
      <c r="M1523" s="10"/>
      <c r="N1523" s="30"/>
      <c r="O1523" s="7">
        <f t="shared" si="469"/>
        <v>0</v>
      </c>
    </row>
    <row r="1524" spans="1:18" x14ac:dyDescent="0.15">
      <c r="A1524" s="38" t="s">
        <v>85</v>
      </c>
      <c r="B1524" s="8"/>
      <c r="C1524" s="10"/>
      <c r="D1524" s="10"/>
      <c r="E1524" s="10"/>
      <c r="F1524" s="30"/>
      <c r="G1524" s="7">
        <f t="shared" si="467"/>
        <v>0</v>
      </c>
      <c r="I1524" s="38" t="s">
        <v>85</v>
      </c>
      <c r="J1524" s="8"/>
      <c r="K1524" s="10"/>
      <c r="L1524" s="10"/>
      <c r="M1524" s="10"/>
      <c r="N1524" s="30"/>
      <c r="O1524" s="7">
        <f t="shared" si="469"/>
        <v>0</v>
      </c>
    </row>
    <row r="1525" spans="1:18" ht="14.25" thickBot="1" x14ac:dyDescent="0.2">
      <c r="A1525" s="38" t="s">
        <v>86</v>
      </c>
      <c r="B1525" s="8"/>
      <c r="C1525" s="10"/>
      <c r="D1525" s="10"/>
      <c r="E1525" s="10"/>
      <c r="F1525" s="30"/>
      <c r="G1525" s="7">
        <f t="shared" si="467"/>
        <v>0</v>
      </c>
      <c r="I1525" s="38" t="s">
        <v>86</v>
      </c>
      <c r="J1525" s="8"/>
      <c r="K1525" s="10"/>
      <c r="L1525" s="10"/>
      <c r="M1525" s="10"/>
      <c r="N1525" s="30"/>
      <c r="O1525" s="7">
        <f t="shared" si="469"/>
        <v>0</v>
      </c>
    </row>
    <row r="1526" spans="1:18" ht="14.25" thickBot="1" x14ac:dyDescent="0.2">
      <c r="A1526" s="72" t="s">
        <v>7</v>
      </c>
      <c r="B1526" s="73">
        <f>SUM(B1517:B1525)</f>
        <v>8</v>
      </c>
      <c r="C1526" s="74">
        <f t="shared" ref="C1526:G1526" si="471">SUM(C1517:C1525)</f>
        <v>15</v>
      </c>
      <c r="D1526" s="74">
        <f t="shared" si="471"/>
        <v>14</v>
      </c>
      <c r="E1526" s="74">
        <f t="shared" si="471"/>
        <v>14</v>
      </c>
      <c r="F1526" s="105">
        <f t="shared" si="471"/>
        <v>10</v>
      </c>
      <c r="G1526" s="76">
        <f t="shared" si="471"/>
        <v>61</v>
      </c>
      <c r="H1526" s="56"/>
      <c r="I1526" s="72" t="s">
        <v>7</v>
      </c>
      <c r="J1526" s="73">
        <f>SUM(J1517:J1525)</f>
        <v>86</v>
      </c>
      <c r="K1526" s="74">
        <f t="shared" ref="K1526:O1526" si="472">SUM(K1517:K1525)</f>
        <v>60</v>
      </c>
      <c r="L1526" s="74">
        <f t="shared" si="472"/>
        <v>16</v>
      </c>
      <c r="M1526" s="74">
        <f t="shared" si="472"/>
        <v>30</v>
      </c>
      <c r="N1526" s="105">
        <f t="shared" si="472"/>
        <v>65</v>
      </c>
      <c r="O1526" s="76">
        <f t="shared" si="472"/>
        <v>257</v>
      </c>
    </row>
    <row r="1527" spans="1:18" x14ac:dyDescent="0.15">
      <c r="A1527" s="14" t="s">
        <v>29</v>
      </c>
      <c r="B1527" s="8">
        <v>1</v>
      </c>
      <c r="C1527" s="10">
        <v>1</v>
      </c>
      <c r="D1527" s="10"/>
      <c r="E1527" s="10">
        <f>1+1</f>
        <v>2</v>
      </c>
      <c r="F1527" s="30"/>
      <c r="G1527" s="7">
        <f t="shared" ref="G1527:G1539" si="473">SUM(B1527:F1527)</f>
        <v>4</v>
      </c>
      <c r="H1527" s="58">
        <v>45565</v>
      </c>
      <c r="I1527" s="14" t="s">
        <v>24</v>
      </c>
      <c r="J1527" s="8"/>
      <c r="K1527" s="10">
        <v>3</v>
      </c>
      <c r="L1527" s="10">
        <v>3</v>
      </c>
      <c r="M1527" s="10">
        <v>3</v>
      </c>
      <c r="N1527" s="30"/>
      <c r="O1527" s="7">
        <f t="shared" ref="O1527:O1530" si="474">SUM(J1527:N1527)</f>
        <v>9</v>
      </c>
      <c r="P1527" s="58">
        <v>45576</v>
      </c>
      <c r="Q1527" s="56"/>
    </row>
    <row r="1528" spans="1:18" x14ac:dyDescent="0.15">
      <c r="A1528" s="14" t="s">
        <v>29</v>
      </c>
      <c r="B1528" s="8"/>
      <c r="C1528" s="10"/>
      <c r="D1528" s="10">
        <v>1</v>
      </c>
      <c r="E1528" s="10">
        <v>1</v>
      </c>
      <c r="F1528" s="30"/>
      <c r="G1528" s="7">
        <f t="shared" si="473"/>
        <v>2</v>
      </c>
      <c r="H1528" s="58">
        <v>45566</v>
      </c>
      <c r="I1528" s="14" t="s">
        <v>24</v>
      </c>
      <c r="J1528" s="8"/>
      <c r="K1528" s="10">
        <v>5</v>
      </c>
      <c r="L1528" s="10"/>
      <c r="M1528" s="10"/>
      <c r="N1528" s="30">
        <v>3</v>
      </c>
      <c r="O1528" s="7">
        <f t="shared" si="474"/>
        <v>8</v>
      </c>
      <c r="P1528" s="58">
        <v>45594</v>
      </c>
      <c r="Q1528" s="56"/>
      <c r="R1528" s="56"/>
    </row>
    <row r="1529" spans="1:18" x14ac:dyDescent="0.15">
      <c r="A1529" s="14" t="s">
        <v>29</v>
      </c>
      <c r="B1529" s="8"/>
      <c r="C1529" s="10">
        <v>1</v>
      </c>
      <c r="D1529" s="10"/>
      <c r="E1529" s="10"/>
      <c r="F1529" s="30"/>
      <c r="G1529" s="7">
        <f t="shared" si="473"/>
        <v>1</v>
      </c>
      <c r="H1529" s="58">
        <v>45567</v>
      </c>
      <c r="I1529" s="14" t="s">
        <v>24</v>
      </c>
      <c r="J1529" s="8">
        <v>3</v>
      </c>
      <c r="K1529" s="10"/>
      <c r="L1529" s="10"/>
      <c r="M1529" s="10">
        <v>3</v>
      </c>
      <c r="N1529" s="30"/>
      <c r="O1529" s="7">
        <f t="shared" si="474"/>
        <v>6</v>
      </c>
      <c r="P1529" s="58">
        <v>45612</v>
      </c>
      <c r="Q1529" s="56"/>
      <c r="R1529" s="56"/>
    </row>
    <row r="1530" spans="1:18" x14ac:dyDescent="0.15">
      <c r="A1530" s="14" t="s">
        <v>29</v>
      </c>
      <c r="B1530" s="8"/>
      <c r="C1530" s="10"/>
      <c r="D1530" s="10">
        <v>1</v>
      </c>
      <c r="E1530" s="10"/>
      <c r="F1530" s="30"/>
      <c r="G1530" s="7">
        <f t="shared" si="473"/>
        <v>1</v>
      </c>
      <c r="H1530" s="58">
        <v>45573</v>
      </c>
      <c r="I1530" s="14" t="s">
        <v>24</v>
      </c>
      <c r="J1530" s="8"/>
      <c r="K1530" s="10"/>
      <c r="L1530" s="10"/>
      <c r="M1530" s="10"/>
      <c r="N1530" s="30">
        <v>3</v>
      </c>
      <c r="O1530" s="7">
        <f t="shared" si="474"/>
        <v>3</v>
      </c>
      <c r="P1530" s="58">
        <v>45653</v>
      </c>
      <c r="Q1530" s="56"/>
      <c r="R1530" s="56"/>
    </row>
    <row r="1531" spans="1:18" x14ac:dyDescent="0.15">
      <c r="A1531" s="14" t="s">
        <v>29</v>
      </c>
      <c r="B1531" s="8"/>
      <c r="C1531" s="10">
        <v>1</v>
      </c>
      <c r="D1531" s="10"/>
      <c r="E1531" s="10"/>
      <c r="F1531" s="30"/>
      <c r="G1531" s="7">
        <f t="shared" si="473"/>
        <v>1</v>
      </c>
      <c r="H1531" s="58">
        <v>45574</v>
      </c>
      <c r="I1531" s="14"/>
      <c r="J1531" s="8"/>
      <c r="K1531" s="10"/>
      <c r="L1531" s="10"/>
      <c r="M1531" s="10"/>
      <c r="N1531" s="30"/>
      <c r="O1531" s="7">
        <f t="shared" ref="O1531:O1548" si="475">SUM(J1531:N1531)</f>
        <v>0</v>
      </c>
      <c r="P1531" s="58"/>
      <c r="Q1531" s="56"/>
      <c r="R1531" s="56"/>
    </row>
    <row r="1532" spans="1:18" x14ac:dyDescent="0.15">
      <c r="A1532" s="14" t="s">
        <v>29</v>
      </c>
      <c r="B1532" s="8"/>
      <c r="C1532" s="10">
        <v>1</v>
      </c>
      <c r="D1532" s="10"/>
      <c r="E1532" s="10"/>
      <c r="F1532" s="30"/>
      <c r="G1532" s="7">
        <f t="shared" si="473"/>
        <v>1</v>
      </c>
      <c r="H1532" s="58">
        <v>45580</v>
      </c>
      <c r="I1532" s="14"/>
      <c r="J1532" s="8"/>
      <c r="K1532" s="10"/>
      <c r="L1532" s="10"/>
      <c r="M1532" s="10"/>
      <c r="N1532" s="30"/>
      <c r="O1532" s="7">
        <f t="shared" si="475"/>
        <v>0</v>
      </c>
      <c r="P1532" s="56"/>
      <c r="Q1532" s="56"/>
      <c r="R1532" s="56"/>
    </row>
    <row r="1533" spans="1:18" x14ac:dyDescent="0.15">
      <c r="A1533" s="14" t="s">
        <v>29</v>
      </c>
      <c r="B1533" s="8"/>
      <c r="C1533" s="10"/>
      <c r="D1533" s="10"/>
      <c r="E1533" s="10"/>
      <c r="F1533" s="30">
        <v>1</v>
      </c>
      <c r="G1533" s="7">
        <f t="shared" si="473"/>
        <v>1</v>
      </c>
      <c r="H1533" s="58">
        <v>45587</v>
      </c>
      <c r="I1533" s="14"/>
      <c r="J1533" s="8"/>
      <c r="K1533" s="10"/>
      <c r="L1533" s="10"/>
      <c r="M1533" s="10"/>
      <c r="N1533" s="30"/>
      <c r="O1533" s="7">
        <f t="shared" si="475"/>
        <v>0</v>
      </c>
      <c r="P1533" s="56"/>
      <c r="Q1533" s="56"/>
      <c r="R1533" s="56"/>
    </row>
    <row r="1534" spans="1:18" x14ac:dyDescent="0.15">
      <c r="A1534" s="14" t="s">
        <v>29</v>
      </c>
      <c r="B1534" s="8"/>
      <c r="C1534" s="10">
        <v>1</v>
      </c>
      <c r="D1534" s="10"/>
      <c r="E1534" s="10"/>
      <c r="F1534" s="30"/>
      <c r="G1534" s="7">
        <f t="shared" si="473"/>
        <v>1</v>
      </c>
      <c r="H1534" s="58">
        <v>45588</v>
      </c>
      <c r="I1534" s="14"/>
      <c r="J1534" s="8"/>
      <c r="K1534" s="10"/>
      <c r="L1534" s="10"/>
      <c r="M1534" s="10"/>
      <c r="N1534" s="30"/>
      <c r="O1534" s="7">
        <f t="shared" si="475"/>
        <v>0</v>
      </c>
      <c r="P1534" s="56"/>
      <c r="Q1534" s="56"/>
      <c r="R1534" s="56"/>
    </row>
    <row r="1535" spans="1:18" x14ac:dyDescent="0.15">
      <c r="A1535" s="14" t="s">
        <v>29</v>
      </c>
      <c r="B1535" s="8"/>
      <c r="C1535" s="10">
        <v>1</v>
      </c>
      <c r="D1535" s="10"/>
      <c r="E1535" s="10"/>
      <c r="F1535" s="30"/>
      <c r="G1535" s="7">
        <f t="shared" si="473"/>
        <v>1</v>
      </c>
      <c r="H1535" s="58">
        <v>45590</v>
      </c>
      <c r="I1535" s="14"/>
      <c r="J1535" s="8"/>
      <c r="K1535" s="10"/>
      <c r="L1535" s="10"/>
      <c r="M1535" s="10"/>
      <c r="N1535" s="30"/>
      <c r="O1535" s="7">
        <f t="shared" si="475"/>
        <v>0</v>
      </c>
      <c r="P1535" s="56"/>
      <c r="Q1535" s="56"/>
      <c r="R1535" s="56"/>
    </row>
    <row r="1536" spans="1:18" x14ac:dyDescent="0.15">
      <c r="A1536" s="14" t="s">
        <v>29</v>
      </c>
      <c r="B1536" s="8"/>
      <c r="C1536" s="10">
        <v>1</v>
      </c>
      <c r="D1536" s="10"/>
      <c r="E1536" s="10"/>
      <c r="F1536" s="30"/>
      <c r="G1536" s="7">
        <f t="shared" si="473"/>
        <v>1</v>
      </c>
      <c r="H1536" s="58">
        <v>45593</v>
      </c>
      <c r="I1536" s="14"/>
      <c r="J1536" s="8"/>
      <c r="K1536" s="10"/>
      <c r="L1536" s="10"/>
      <c r="M1536" s="10"/>
      <c r="N1536" s="30"/>
      <c r="O1536" s="7">
        <f t="shared" si="475"/>
        <v>0</v>
      </c>
      <c r="P1536" s="56"/>
      <c r="Q1536" s="56"/>
      <c r="R1536" s="56"/>
    </row>
    <row r="1537" spans="1:18" x14ac:dyDescent="0.15">
      <c r="A1537" s="14" t="s">
        <v>29</v>
      </c>
      <c r="B1537" s="8"/>
      <c r="C1537" s="10"/>
      <c r="D1537" s="10"/>
      <c r="E1537" s="10">
        <v>1</v>
      </c>
      <c r="F1537" s="30"/>
      <c r="G1537" s="7">
        <f t="shared" si="473"/>
        <v>1</v>
      </c>
      <c r="H1537" s="58">
        <v>45596</v>
      </c>
      <c r="I1537" s="14"/>
      <c r="J1537" s="8"/>
      <c r="K1537" s="10"/>
      <c r="L1537" s="10"/>
      <c r="M1537" s="10"/>
      <c r="N1537" s="30"/>
      <c r="O1537" s="7">
        <f t="shared" si="475"/>
        <v>0</v>
      </c>
      <c r="P1537" s="56"/>
      <c r="Q1537" s="56"/>
      <c r="R1537" s="56"/>
    </row>
    <row r="1538" spans="1:18" x14ac:dyDescent="0.15">
      <c r="A1538" s="14" t="s">
        <v>29</v>
      </c>
      <c r="B1538" s="8"/>
      <c r="C1538" s="10"/>
      <c r="D1538" s="10"/>
      <c r="E1538" s="10">
        <v>1</v>
      </c>
      <c r="F1538" s="30"/>
      <c r="G1538" s="7">
        <f t="shared" si="473"/>
        <v>1</v>
      </c>
      <c r="H1538" s="58">
        <v>45601</v>
      </c>
      <c r="I1538" s="14"/>
      <c r="J1538" s="8"/>
      <c r="K1538" s="10"/>
      <c r="L1538" s="10"/>
      <c r="M1538" s="10"/>
      <c r="N1538" s="30"/>
      <c r="O1538" s="7">
        <f t="shared" si="475"/>
        <v>0</v>
      </c>
      <c r="P1538" s="56"/>
      <c r="Q1538" s="56"/>
      <c r="R1538" s="56"/>
    </row>
    <row r="1539" spans="1:18" x14ac:dyDescent="0.15">
      <c r="A1539" s="14" t="s">
        <v>29</v>
      </c>
      <c r="B1539" s="8">
        <v>1</v>
      </c>
      <c r="C1539" s="10">
        <v>1</v>
      </c>
      <c r="D1539" s="10"/>
      <c r="E1539" s="10">
        <v>1</v>
      </c>
      <c r="F1539" s="30"/>
      <c r="G1539" s="7">
        <f t="shared" si="473"/>
        <v>3</v>
      </c>
      <c r="H1539" s="58">
        <v>45607</v>
      </c>
      <c r="I1539" s="14"/>
      <c r="J1539" s="8"/>
      <c r="K1539" s="10"/>
      <c r="L1539" s="10"/>
      <c r="M1539" s="10"/>
      <c r="N1539" s="30"/>
      <c r="O1539" s="7">
        <f t="shared" si="475"/>
        <v>0</v>
      </c>
      <c r="P1539" s="56"/>
      <c r="Q1539" s="56"/>
      <c r="R1539" s="56"/>
    </row>
    <row r="1540" spans="1:18" x14ac:dyDescent="0.15">
      <c r="A1540" s="14" t="s">
        <v>29</v>
      </c>
      <c r="B1540" s="8"/>
      <c r="C1540" s="10"/>
      <c r="D1540" s="10">
        <v>1</v>
      </c>
      <c r="E1540" s="10"/>
      <c r="F1540" s="30"/>
      <c r="G1540" s="7">
        <f>SUM(B1540:F1540)</f>
        <v>1</v>
      </c>
      <c r="H1540" s="58">
        <v>45612</v>
      </c>
      <c r="I1540" s="14"/>
      <c r="J1540" s="8"/>
      <c r="K1540" s="10"/>
      <c r="L1540" s="10"/>
      <c r="M1540" s="10"/>
      <c r="N1540" s="30"/>
      <c r="O1540" s="7">
        <f t="shared" si="475"/>
        <v>0</v>
      </c>
      <c r="P1540" s="56"/>
      <c r="Q1540" s="56"/>
    </row>
    <row r="1541" spans="1:18" x14ac:dyDescent="0.15">
      <c r="A1541" s="14" t="s">
        <v>1639</v>
      </c>
      <c r="B1541" s="8"/>
      <c r="C1541" s="10"/>
      <c r="D1541" s="10">
        <v>1</v>
      </c>
      <c r="E1541" s="10"/>
      <c r="F1541" s="30"/>
      <c r="G1541" s="7">
        <f t="shared" ref="G1541:G1552" si="476">SUM(B1541:F1541)</f>
        <v>1</v>
      </c>
      <c r="H1541" s="58">
        <v>45622</v>
      </c>
      <c r="I1541" s="14"/>
      <c r="J1541" s="8"/>
      <c r="K1541" s="10"/>
      <c r="L1541" s="10"/>
      <c r="M1541" s="10"/>
      <c r="N1541" s="30"/>
      <c r="O1541" s="7">
        <f t="shared" si="475"/>
        <v>0</v>
      </c>
    </row>
    <row r="1542" spans="1:18" x14ac:dyDescent="0.15">
      <c r="A1542" s="14" t="s">
        <v>29</v>
      </c>
      <c r="B1542" s="8"/>
      <c r="C1542" s="10">
        <v>1</v>
      </c>
      <c r="D1542" s="10"/>
      <c r="E1542" s="10">
        <v>1</v>
      </c>
      <c r="F1542" s="30"/>
      <c r="G1542" s="7">
        <f t="shared" si="476"/>
        <v>2</v>
      </c>
      <c r="H1542" s="58">
        <v>45621</v>
      </c>
      <c r="I1542" s="14"/>
      <c r="J1542" s="8"/>
      <c r="K1542" s="10"/>
      <c r="L1542" s="10"/>
      <c r="M1542" s="10"/>
      <c r="N1542" s="30"/>
      <c r="O1542" s="7">
        <f t="shared" si="475"/>
        <v>0</v>
      </c>
    </row>
    <row r="1543" spans="1:18" x14ac:dyDescent="0.15">
      <c r="A1543" s="14" t="s">
        <v>29</v>
      </c>
      <c r="B1543" s="8"/>
      <c r="C1543" s="10"/>
      <c r="D1543" s="10"/>
      <c r="E1543" s="10"/>
      <c r="F1543" s="30">
        <v>1</v>
      </c>
      <c r="G1543" s="7">
        <f t="shared" si="476"/>
        <v>1</v>
      </c>
      <c r="H1543" s="58">
        <v>45628</v>
      </c>
      <c r="I1543" s="14"/>
      <c r="J1543" s="8"/>
      <c r="K1543" s="10"/>
      <c r="L1543" s="10"/>
      <c r="M1543" s="10"/>
      <c r="N1543" s="30"/>
      <c r="O1543" s="7">
        <f t="shared" si="475"/>
        <v>0</v>
      </c>
    </row>
    <row r="1544" spans="1:18" x14ac:dyDescent="0.15">
      <c r="A1544" s="14" t="s">
        <v>29</v>
      </c>
      <c r="B1544" s="8"/>
      <c r="C1544" s="10"/>
      <c r="D1544" s="10">
        <v>1</v>
      </c>
      <c r="E1544" s="10"/>
      <c r="F1544" s="30"/>
      <c r="G1544" s="7">
        <f t="shared" si="476"/>
        <v>1</v>
      </c>
      <c r="H1544" s="58">
        <v>45631</v>
      </c>
      <c r="I1544" s="14"/>
      <c r="J1544" s="8"/>
      <c r="K1544" s="10"/>
      <c r="L1544" s="10"/>
      <c r="M1544" s="10"/>
      <c r="N1544" s="30"/>
      <c r="O1544" s="7">
        <f t="shared" si="475"/>
        <v>0</v>
      </c>
    </row>
    <row r="1545" spans="1:18" x14ac:dyDescent="0.15">
      <c r="A1545" s="14" t="s">
        <v>29</v>
      </c>
      <c r="B1545" s="8"/>
      <c r="C1545" s="10"/>
      <c r="D1545" s="10">
        <v>1</v>
      </c>
      <c r="E1545" s="10"/>
      <c r="F1545" s="30"/>
      <c r="G1545" s="7">
        <f t="shared" si="476"/>
        <v>1</v>
      </c>
      <c r="H1545" s="58">
        <v>45636</v>
      </c>
      <c r="I1545" s="14"/>
      <c r="J1545" s="8"/>
      <c r="K1545" s="10"/>
      <c r="L1545" s="10"/>
      <c r="M1545" s="10"/>
      <c r="N1545" s="30"/>
      <c r="O1545" s="7">
        <f t="shared" si="475"/>
        <v>0</v>
      </c>
    </row>
    <row r="1546" spans="1:18" x14ac:dyDescent="0.15">
      <c r="A1546" s="14" t="s">
        <v>29</v>
      </c>
      <c r="B1546" s="8">
        <v>1</v>
      </c>
      <c r="C1546" s="10"/>
      <c r="D1546" s="10"/>
      <c r="E1546" s="10"/>
      <c r="F1546" s="30">
        <v>2</v>
      </c>
      <c r="G1546" s="7">
        <f t="shared" si="476"/>
        <v>3</v>
      </c>
      <c r="H1546" s="58">
        <v>45649</v>
      </c>
      <c r="I1546" s="14"/>
      <c r="J1546" s="8"/>
      <c r="K1546" s="10"/>
      <c r="L1546" s="10"/>
      <c r="M1546" s="10"/>
      <c r="N1546" s="30"/>
      <c r="O1546" s="7">
        <f t="shared" si="475"/>
        <v>0</v>
      </c>
    </row>
    <row r="1547" spans="1:18" x14ac:dyDescent="0.15">
      <c r="A1547" s="14" t="s">
        <v>29</v>
      </c>
      <c r="B1547" s="8"/>
      <c r="C1547" s="10"/>
      <c r="D1547" s="10"/>
      <c r="E1547" s="10"/>
      <c r="F1547" s="30">
        <v>1</v>
      </c>
      <c r="G1547" s="7">
        <f t="shared" si="476"/>
        <v>1</v>
      </c>
      <c r="H1547" s="58">
        <v>45650</v>
      </c>
      <c r="I1547" s="14"/>
      <c r="J1547" s="8"/>
      <c r="K1547" s="10"/>
      <c r="L1547" s="10"/>
      <c r="M1547" s="10"/>
      <c r="N1547" s="30"/>
      <c r="O1547" s="7">
        <f t="shared" si="475"/>
        <v>0</v>
      </c>
    </row>
    <row r="1548" spans="1:18" x14ac:dyDescent="0.15">
      <c r="A1548" s="14" t="s">
        <v>29</v>
      </c>
      <c r="B1548" s="8"/>
      <c r="C1548" s="10"/>
      <c r="D1548" s="10"/>
      <c r="E1548" s="10">
        <v>2</v>
      </c>
      <c r="F1548" s="30"/>
      <c r="G1548" s="7">
        <f t="shared" si="476"/>
        <v>2</v>
      </c>
      <c r="H1548" s="58">
        <v>45652</v>
      </c>
      <c r="I1548" s="14"/>
      <c r="J1548" s="8"/>
      <c r="K1548" s="10"/>
      <c r="L1548" s="10"/>
      <c r="M1548" s="10"/>
      <c r="N1548" s="30"/>
      <c r="O1548" s="7">
        <f t="shared" si="475"/>
        <v>0</v>
      </c>
    </row>
    <row r="1549" spans="1:18" x14ac:dyDescent="0.15">
      <c r="A1549" s="14" t="s">
        <v>29</v>
      </c>
      <c r="B1549" s="8"/>
      <c r="C1549" s="10"/>
      <c r="D1549" s="10">
        <v>2</v>
      </c>
      <c r="E1549" s="10"/>
      <c r="F1549" s="30"/>
      <c r="G1549" s="7">
        <f t="shared" si="476"/>
        <v>2</v>
      </c>
      <c r="H1549" s="58">
        <v>45663</v>
      </c>
      <c r="I1549" s="14"/>
      <c r="J1549" s="8"/>
      <c r="K1549" s="10"/>
      <c r="L1549" s="10"/>
      <c r="M1549" s="10"/>
      <c r="N1549" s="30"/>
      <c r="O1549" s="7">
        <f t="shared" ref="O1549:O1552" si="477">SUM(J1549:N1549)</f>
        <v>0</v>
      </c>
    </row>
    <row r="1550" spans="1:18" x14ac:dyDescent="0.15">
      <c r="A1550" s="14" t="s">
        <v>29</v>
      </c>
      <c r="B1550" s="8">
        <v>1</v>
      </c>
      <c r="C1550" s="10"/>
      <c r="D1550" s="10"/>
      <c r="E1550" s="10"/>
      <c r="F1550" s="30"/>
      <c r="G1550" s="7">
        <f t="shared" si="476"/>
        <v>1</v>
      </c>
      <c r="H1550" s="58">
        <v>45664</v>
      </c>
      <c r="I1550" s="14"/>
      <c r="J1550" s="8"/>
      <c r="K1550" s="10"/>
      <c r="L1550" s="10"/>
      <c r="M1550" s="10"/>
      <c r="N1550" s="30"/>
      <c r="O1550" s="7">
        <f t="shared" si="477"/>
        <v>0</v>
      </c>
    </row>
    <row r="1551" spans="1:18" x14ac:dyDescent="0.15">
      <c r="A1551" s="14" t="s">
        <v>29</v>
      </c>
      <c r="B1551" s="8"/>
      <c r="C1551" s="10">
        <v>1</v>
      </c>
      <c r="D1551" s="10"/>
      <c r="E1551" s="10"/>
      <c r="F1551" s="30">
        <v>1</v>
      </c>
      <c r="G1551" s="7">
        <f t="shared" si="476"/>
        <v>2</v>
      </c>
      <c r="H1551" s="58">
        <v>45671</v>
      </c>
      <c r="I1551" s="14"/>
      <c r="J1551" s="8"/>
      <c r="K1551" s="10"/>
      <c r="L1551" s="10"/>
      <c r="M1551" s="10"/>
      <c r="N1551" s="30"/>
      <c r="O1551" s="7">
        <f t="shared" si="477"/>
        <v>0</v>
      </c>
    </row>
    <row r="1552" spans="1:18" ht="14.25" thickBot="1" x14ac:dyDescent="0.2">
      <c r="A1552" s="14" t="s">
        <v>29</v>
      </c>
      <c r="B1552" s="8"/>
      <c r="C1552" s="10"/>
      <c r="D1552" s="10">
        <v>1</v>
      </c>
      <c r="E1552" s="10"/>
      <c r="F1552" s="30"/>
      <c r="G1552" s="7">
        <f t="shared" si="476"/>
        <v>1</v>
      </c>
      <c r="H1552" s="58">
        <v>45673</v>
      </c>
      <c r="I1552" s="14"/>
      <c r="J1552" s="8"/>
      <c r="K1552" s="10"/>
      <c r="L1552" s="10"/>
      <c r="M1552" s="10"/>
      <c r="N1552" s="30"/>
      <c r="O1552" s="7">
        <f t="shared" si="477"/>
        <v>0</v>
      </c>
    </row>
    <row r="1553" spans="1:15" ht="14.25" thickBot="1" x14ac:dyDescent="0.2">
      <c r="A1553" s="3" t="s">
        <v>11</v>
      </c>
      <c r="B1553" s="23">
        <f>SUM(B1527:B1552)</f>
        <v>4</v>
      </c>
      <c r="C1553" s="4">
        <f>SUM(C1527:C1552)</f>
        <v>10</v>
      </c>
      <c r="D1553" s="4">
        <f>SUM(D1527:D1552)</f>
        <v>9</v>
      </c>
      <c r="E1553" s="6">
        <f>SUM(E1527:E1552)</f>
        <v>9</v>
      </c>
      <c r="F1553" s="32">
        <f>SUM(F1527:F1552)</f>
        <v>6</v>
      </c>
      <c r="G1553" s="5">
        <f>SUM(B1553:F1553)</f>
        <v>38</v>
      </c>
      <c r="I1553" s="3" t="s">
        <v>11</v>
      </c>
      <c r="J1553" s="23">
        <f>SUM(J1527:J1552)</f>
        <v>3</v>
      </c>
      <c r="K1553" s="4">
        <f>SUM(K1527:K1552)</f>
        <v>8</v>
      </c>
      <c r="L1553" s="4">
        <f>SUM(L1527:L1552)</f>
        <v>3</v>
      </c>
      <c r="M1553" s="6">
        <f>SUM(M1527:M1552)</f>
        <v>6</v>
      </c>
      <c r="N1553" s="32">
        <f>SUM(N1527:N1552)</f>
        <v>6</v>
      </c>
      <c r="O1553" s="5">
        <f>SUM(J1553:N1553)</f>
        <v>26</v>
      </c>
    </row>
    <row r="1554" spans="1:15" ht="14.25" thickBot="1" x14ac:dyDescent="0.2">
      <c r="A1554" s="25" t="s">
        <v>12</v>
      </c>
      <c r="B1554" s="63">
        <f>B1526-B1553</f>
        <v>4</v>
      </c>
      <c r="C1554" s="26">
        <f t="shared" ref="C1554:G1554" si="478">C1526-C1553</f>
        <v>5</v>
      </c>
      <c r="D1554" s="71">
        <f t="shared" si="478"/>
        <v>5</v>
      </c>
      <c r="E1554" s="26">
        <f t="shared" si="478"/>
        <v>5</v>
      </c>
      <c r="F1554" s="70">
        <f t="shared" si="478"/>
        <v>4</v>
      </c>
      <c r="G1554" s="27">
        <f t="shared" si="478"/>
        <v>23</v>
      </c>
      <c r="I1554" s="25" t="s">
        <v>12</v>
      </c>
      <c r="J1554" s="63">
        <f>J1526-J1553</f>
        <v>83</v>
      </c>
      <c r="K1554" s="26">
        <f t="shared" ref="K1554:O1554" si="479">K1526-K1553</f>
        <v>52</v>
      </c>
      <c r="L1554" s="71">
        <f t="shared" si="479"/>
        <v>13</v>
      </c>
      <c r="M1554" s="26">
        <f t="shared" si="479"/>
        <v>24</v>
      </c>
      <c r="N1554" s="70">
        <f t="shared" si="479"/>
        <v>59</v>
      </c>
      <c r="O1554" s="27">
        <f t="shared" si="479"/>
        <v>231</v>
      </c>
    </row>
    <row r="1555" spans="1:15" ht="17.25" x14ac:dyDescent="0.2">
      <c r="A1555" s="79" t="s">
        <v>391</v>
      </c>
      <c r="B1555" s="80"/>
      <c r="C1555" s="80"/>
      <c r="D1555" s="80"/>
      <c r="E1555" s="80"/>
      <c r="F1555" s="80"/>
      <c r="G1555" s="80"/>
      <c r="H1555" s="56"/>
      <c r="I1555" s="79" t="s">
        <v>391</v>
      </c>
      <c r="J1555" s="80"/>
      <c r="K1555" s="80"/>
      <c r="L1555" s="80"/>
      <c r="M1555" s="80"/>
      <c r="N1555" s="80"/>
      <c r="O1555" s="1"/>
    </row>
    <row r="1556" spans="1:15" ht="21.75" thickBot="1" x14ac:dyDescent="0.25">
      <c r="A1556" s="82" t="s">
        <v>390</v>
      </c>
      <c r="B1556" s="80"/>
      <c r="C1556" s="80"/>
      <c r="D1556" s="80"/>
      <c r="E1556" s="81" t="s">
        <v>53</v>
      </c>
      <c r="F1556" s="80"/>
      <c r="G1556" s="80"/>
      <c r="H1556" s="56"/>
      <c r="I1556" s="82" t="s">
        <v>390</v>
      </c>
      <c r="J1556" s="80"/>
      <c r="K1556" s="80"/>
      <c r="L1556" s="80"/>
      <c r="M1556" s="81" t="s">
        <v>393</v>
      </c>
      <c r="N1556" s="80"/>
      <c r="O1556" s="1"/>
    </row>
    <row r="1557" spans="1:15" ht="14.25" thickBot="1" x14ac:dyDescent="0.2">
      <c r="A1557" s="13" t="s">
        <v>0</v>
      </c>
      <c r="B1557" s="228" t="s">
        <v>392</v>
      </c>
      <c r="C1557" s="229"/>
      <c r="D1557" s="229"/>
      <c r="E1557" s="229"/>
      <c r="F1557" s="230"/>
      <c r="G1557" s="231"/>
      <c r="H1557" s="56"/>
      <c r="I1557" s="13" t="s">
        <v>0</v>
      </c>
      <c r="J1557" s="228" t="s">
        <v>392</v>
      </c>
      <c r="K1557" s="229"/>
      <c r="L1557" s="229"/>
      <c r="M1557" s="229"/>
      <c r="N1557" s="230"/>
      <c r="O1557" s="231"/>
    </row>
    <row r="1558" spans="1:15" ht="14.25" thickBot="1" x14ac:dyDescent="0.2">
      <c r="A1558" s="3" t="s">
        <v>1</v>
      </c>
      <c r="B1558" s="2" t="s">
        <v>42</v>
      </c>
      <c r="C1558" s="21" t="s">
        <v>43</v>
      </c>
      <c r="D1558" s="21" t="s">
        <v>44</v>
      </c>
      <c r="E1558" s="24" t="s">
        <v>45</v>
      </c>
      <c r="F1558" s="33" t="s">
        <v>46</v>
      </c>
      <c r="G1558" s="34" t="s">
        <v>2</v>
      </c>
      <c r="H1558" s="56"/>
      <c r="I1558" s="3" t="s">
        <v>1</v>
      </c>
      <c r="J1558" s="41" t="s">
        <v>42</v>
      </c>
      <c r="K1558" s="42" t="s">
        <v>43</v>
      </c>
      <c r="L1558" s="42" t="s">
        <v>44</v>
      </c>
      <c r="M1558" s="43" t="s">
        <v>45</v>
      </c>
      <c r="N1558" s="44" t="s">
        <v>46</v>
      </c>
      <c r="O1558" s="3" t="s">
        <v>2</v>
      </c>
    </row>
    <row r="1559" spans="1:15" ht="14.25" thickBot="1" x14ac:dyDescent="0.2">
      <c r="A1559" s="72" t="s">
        <v>456</v>
      </c>
      <c r="B1559" s="73">
        <f>B1554</f>
        <v>4</v>
      </c>
      <c r="C1559" s="74">
        <f t="shared" ref="C1559:F1559" si="480">C1554</f>
        <v>5</v>
      </c>
      <c r="D1559" s="74">
        <f t="shared" si="480"/>
        <v>5</v>
      </c>
      <c r="E1559" s="74">
        <f t="shared" si="480"/>
        <v>5</v>
      </c>
      <c r="F1559" s="105">
        <f t="shared" si="480"/>
        <v>4</v>
      </c>
      <c r="G1559" s="131">
        <f t="shared" ref="G1559:G1567" si="481">SUM(B1559:F1559)</f>
        <v>23</v>
      </c>
      <c r="H1559" s="56"/>
      <c r="I1559" s="72" t="s">
        <v>456</v>
      </c>
      <c r="J1559" s="73">
        <f>J1554</f>
        <v>83</v>
      </c>
      <c r="K1559" s="74">
        <f t="shared" ref="K1559:N1559" si="482">K1554</f>
        <v>52</v>
      </c>
      <c r="L1559" s="74">
        <f t="shared" si="482"/>
        <v>13</v>
      </c>
      <c r="M1559" s="74">
        <f t="shared" si="482"/>
        <v>24</v>
      </c>
      <c r="N1559" s="105">
        <f t="shared" si="482"/>
        <v>59</v>
      </c>
      <c r="O1559" s="131">
        <f t="shared" ref="O1559:O1567" si="483">SUM(J1559:N1559)</f>
        <v>231</v>
      </c>
    </row>
    <row r="1560" spans="1:15" x14ac:dyDescent="0.15">
      <c r="A1560" s="38" t="s">
        <v>14</v>
      </c>
      <c r="B1560" s="8">
        <v>5</v>
      </c>
      <c r="C1560" s="10"/>
      <c r="D1560" s="10"/>
      <c r="E1560" s="10"/>
      <c r="F1560" s="30"/>
      <c r="G1560" s="7">
        <f t="shared" ref="G1560:G1564" si="484">SUM(B1560:F1560)</f>
        <v>5</v>
      </c>
      <c r="H1560" s="58">
        <v>45685</v>
      </c>
      <c r="I1560" s="38" t="s">
        <v>14</v>
      </c>
      <c r="J1560" s="8"/>
      <c r="K1560" s="10"/>
      <c r="L1560" s="10"/>
      <c r="M1560" s="10"/>
      <c r="N1560" s="30"/>
      <c r="O1560" s="7">
        <f t="shared" si="483"/>
        <v>0</v>
      </c>
    </row>
    <row r="1561" spans="1:15" x14ac:dyDescent="0.15">
      <c r="A1561" s="38" t="s">
        <v>3</v>
      </c>
      <c r="B1561" s="8"/>
      <c r="C1561" s="10"/>
      <c r="D1561" s="10">
        <v>16</v>
      </c>
      <c r="E1561" s="10"/>
      <c r="F1561" s="30"/>
      <c r="G1561" s="7">
        <f t="shared" si="484"/>
        <v>16</v>
      </c>
      <c r="H1561" s="58">
        <v>45689</v>
      </c>
      <c r="I1561" s="38" t="s">
        <v>3</v>
      </c>
      <c r="J1561" s="8"/>
      <c r="K1561" s="10"/>
      <c r="L1561" s="10"/>
      <c r="M1561" s="10"/>
      <c r="N1561" s="30"/>
      <c r="O1561" s="7">
        <f t="shared" si="483"/>
        <v>0</v>
      </c>
    </row>
    <row r="1562" spans="1:15" x14ac:dyDescent="0.15">
      <c r="A1562" s="38" t="s">
        <v>4</v>
      </c>
      <c r="B1562" s="8"/>
      <c r="C1562" s="10">
        <v>3</v>
      </c>
      <c r="D1562" s="10"/>
      <c r="E1562" s="10">
        <v>3</v>
      </c>
      <c r="F1562" s="30">
        <v>3</v>
      </c>
      <c r="G1562" s="7">
        <f t="shared" si="484"/>
        <v>9</v>
      </c>
      <c r="H1562" s="58">
        <v>45702</v>
      </c>
      <c r="I1562" s="38" t="s">
        <v>4</v>
      </c>
      <c r="J1562" s="8"/>
      <c r="K1562" s="10"/>
      <c r="L1562" s="10"/>
      <c r="M1562" s="10"/>
      <c r="N1562" s="30"/>
      <c r="O1562" s="7">
        <f t="shared" si="483"/>
        <v>0</v>
      </c>
    </row>
    <row r="1563" spans="1:15" x14ac:dyDescent="0.15">
      <c r="A1563" s="38" t="s">
        <v>5</v>
      </c>
      <c r="B1563" s="8"/>
      <c r="C1563" s="10">
        <v>5</v>
      </c>
      <c r="D1563" s="10"/>
      <c r="E1563" s="10"/>
      <c r="F1563" s="30"/>
      <c r="G1563" s="7">
        <f t="shared" si="484"/>
        <v>5</v>
      </c>
      <c r="H1563" s="58">
        <v>45723</v>
      </c>
      <c r="I1563" s="38" t="s">
        <v>5</v>
      </c>
      <c r="J1563" s="8"/>
      <c r="K1563" s="10"/>
      <c r="L1563" s="10"/>
      <c r="M1563" s="10"/>
      <c r="N1563" s="30"/>
      <c r="O1563" s="7">
        <f t="shared" si="483"/>
        <v>0</v>
      </c>
    </row>
    <row r="1564" spans="1:15" x14ac:dyDescent="0.15">
      <c r="A1564" s="38" t="s">
        <v>6</v>
      </c>
      <c r="B1564" s="8">
        <v>3</v>
      </c>
      <c r="C1564" s="10">
        <v>3</v>
      </c>
      <c r="D1564" s="10"/>
      <c r="E1564" s="10">
        <v>3</v>
      </c>
      <c r="F1564" s="30"/>
      <c r="G1564" s="7">
        <f t="shared" si="484"/>
        <v>9</v>
      </c>
      <c r="H1564" s="58">
        <v>45772</v>
      </c>
      <c r="I1564" s="38" t="s">
        <v>6</v>
      </c>
      <c r="J1564" s="8"/>
      <c r="K1564" s="10"/>
      <c r="L1564" s="10"/>
      <c r="M1564" s="10"/>
      <c r="N1564" s="30"/>
      <c r="O1564" s="7">
        <f t="shared" si="483"/>
        <v>0</v>
      </c>
    </row>
    <row r="1565" spans="1:15" x14ac:dyDescent="0.15">
      <c r="A1565" s="38" t="s">
        <v>84</v>
      </c>
      <c r="B1565" s="8"/>
      <c r="C1565" s="10"/>
      <c r="D1565" s="10"/>
      <c r="E1565" s="10"/>
      <c r="F1565" s="30"/>
      <c r="G1565" s="7">
        <f t="shared" si="481"/>
        <v>0</v>
      </c>
      <c r="H1565" s="56"/>
      <c r="I1565" s="38" t="s">
        <v>84</v>
      </c>
      <c r="J1565" s="8"/>
      <c r="K1565" s="10"/>
      <c r="L1565" s="10"/>
      <c r="M1565" s="10"/>
      <c r="N1565" s="30"/>
      <c r="O1565" s="7">
        <f t="shared" si="483"/>
        <v>0</v>
      </c>
    </row>
    <row r="1566" spans="1:15" x14ac:dyDescent="0.15">
      <c r="A1566" s="38" t="s">
        <v>85</v>
      </c>
      <c r="B1566" s="8"/>
      <c r="C1566" s="10"/>
      <c r="D1566" s="10"/>
      <c r="E1566" s="10"/>
      <c r="F1566" s="30"/>
      <c r="G1566" s="7">
        <f t="shared" si="481"/>
        <v>0</v>
      </c>
      <c r="I1566" s="38" t="s">
        <v>85</v>
      </c>
      <c r="J1566" s="8"/>
      <c r="K1566" s="10"/>
      <c r="L1566" s="10"/>
      <c r="M1566" s="10"/>
      <c r="N1566" s="30"/>
      <c r="O1566" s="7">
        <f t="shared" si="483"/>
        <v>0</v>
      </c>
    </row>
    <row r="1567" spans="1:15" ht="14.25" thickBot="1" x14ac:dyDescent="0.2">
      <c r="A1567" s="38" t="s">
        <v>86</v>
      </c>
      <c r="B1567" s="8"/>
      <c r="C1567" s="10"/>
      <c r="D1567" s="10"/>
      <c r="E1567" s="10"/>
      <c r="F1567" s="30"/>
      <c r="G1567" s="7">
        <f t="shared" si="481"/>
        <v>0</v>
      </c>
      <c r="I1567" s="38" t="s">
        <v>86</v>
      </c>
      <c r="J1567" s="8"/>
      <c r="K1567" s="10"/>
      <c r="L1567" s="10"/>
      <c r="M1567" s="10"/>
      <c r="N1567" s="30"/>
      <c r="O1567" s="7">
        <f t="shared" si="483"/>
        <v>0</v>
      </c>
    </row>
    <row r="1568" spans="1:15" ht="14.25" thickBot="1" x14ac:dyDescent="0.2">
      <c r="A1568" s="72" t="s">
        <v>7</v>
      </c>
      <c r="B1568" s="73">
        <f>SUM(B1559:B1567)</f>
        <v>12</v>
      </c>
      <c r="C1568" s="74">
        <f t="shared" ref="C1568:G1568" si="485">SUM(C1559:C1567)</f>
        <v>16</v>
      </c>
      <c r="D1568" s="74">
        <f t="shared" si="485"/>
        <v>21</v>
      </c>
      <c r="E1568" s="74">
        <f t="shared" si="485"/>
        <v>11</v>
      </c>
      <c r="F1568" s="105">
        <f t="shared" si="485"/>
        <v>7</v>
      </c>
      <c r="G1568" s="76">
        <f t="shared" si="485"/>
        <v>67</v>
      </c>
      <c r="H1568" s="56"/>
      <c r="I1568" s="72" t="s">
        <v>7</v>
      </c>
      <c r="J1568" s="73">
        <f>SUM(J1559:J1567)</f>
        <v>83</v>
      </c>
      <c r="K1568" s="74">
        <f t="shared" ref="K1568:O1568" si="486">SUM(K1559:K1567)</f>
        <v>52</v>
      </c>
      <c r="L1568" s="74">
        <f t="shared" si="486"/>
        <v>13</v>
      </c>
      <c r="M1568" s="74">
        <f t="shared" si="486"/>
        <v>24</v>
      </c>
      <c r="N1568" s="105">
        <f t="shared" si="486"/>
        <v>59</v>
      </c>
      <c r="O1568" s="76">
        <f t="shared" si="486"/>
        <v>231</v>
      </c>
    </row>
    <row r="1569" spans="1:17" x14ac:dyDescent="0.15">
      <c r="A1569" s="14" t="s">
        <v>29</v>
      </c>
      <c r="B1569" s="8">
        <f>1+1+1</f>
        <v>3</v>
      </c>
      <c r="C1569" s="10">
        <v>1</v>
      </c>
      <c r="D1569" s="10">
        <v>1</v>
      </c>
      <c r="E1569" s="10"/>
      <c r="F1569" s="30"/>
      <c r="G1569" s="7">
        <f t="shared" ref="G1569:G1590" si="487">SUM(B1569:F1569)</f>
        <v>5</v>
      </c>
      <c r="H1569" s="58">
        <v>45684</v>
      </c>
      <c r="I1569" s="14" t="s">
        <v>24</v>
      </c>
      <c r="J1569" s="8">
        <v>5</v>
      </c>
      <c r="K1569" s="10"/>
      <c r="L1569" s="10"/>
      <c r="M1569" s="10"/>
      <c r="N1569" s="30"/>
      <c r="O1569" s="7">
        <f t="shared" ref="O1569:O1573" si="488">SUM(J1569:N1569)</f>
        <v>5</v>
      </c>
      <c r="P1569" s="58">
        <v>45685</v>
      </c>
    </row>
    <row r="1570" spans="1:17" x14ac:dyDescent="0.15">
      <c r="A1570" s="14" t="s">
        <v>29</v>
      </c>
      <c r="B1570" s="8"/>
      <c r="C1570" s="10"/>
      <c r="D1570" s="10"/>
      <c r="E1570" s="10">
        <v>1</v>
      </c>
      <c r="F1570" s="30"/>
      <c r="G1570" s="7">
        <f t="shared" si="487"/>
        <v>1</v>
      </c>
      <c r="H1570" s="58">
        <v>45686</v>
      </c>
      <c r="I1570" s="14" t="s">
        <v>24</v>
      </c>
      <c r="J1570" s="8"/>
      <c r="K1570" s="10"/>
      <c r="L1570" s="10">
        <v>13</v>
      </c>
      <c r="M1570" s="10"/>
      <c r="N1570" s="30"/>
      <c r="O1570" s="7">
        <f t="shared" si="488"/>
        <v>13</v>
      </c>
      <c r="P1570" s="58">
        <v>45689</v>
      </c>
    </row>
    <row r="1571" spans="1:17" x14ac:dyDescent="0.15">
      <c r="A1571" s="14" t="s">
        <v>29</v>
      </c>
      <c r="B1571" s="8"/>
      <c r="C1571" s="10"/>
      <c r="D1571" s="10">
        <v>1</v>
      </c>
      <c r="E1571" s="10"/>
      <c r="F1571" s="30"/>
      <c r="G1571" s="7">
        <f t="shared" si="487"/>
        <v>1</v>
      </c>
      <c r="H1571" s="58">
        <v>45687</v>
      </c>
      <c r="I1571" s="14" t="s">
        <v>24</v>
      </c>
      <c r="J1571" s="8"/>
      <c r="K1571" s="10">
        <v>3</v>
      </c>
      <c r="L1571" s="10"/>
      <c r="M1571" s="10">
        <v>3</v>
      </c>
      <c r="N1571" s="30">
        <v>3</v>
      </c>
      <c r="O1571" s="7">
        <f t="shared" si="488"/>
        <v>9</v>
      </c>
      <c r="P1571" s="58">
        <v>45702</v>
      </c>
      <c r="Q1571" s="56"/>
    </row>
    <row r="1572" spans="1:17" x14ac:dyDescent="0.15">
      <c r="A1572" s="14" t="s">
        <v>29</v>
      </c>
      <c r="B1572" s="8"/>
      <c r="C1572" s="10"/>
      <c r="D1572" s="10">
        <v>1</v>
      </c>
      <c r="E1572" s="10"/>
      <c r="F1572" s="30"/>
      <c r="G1572" s="7">
        <f t="shared" si="487"/>
        <v>1</v>
      </c>
      <c r="H1572" s="58">
        <v>45691</v>
      </c>
      <c r="I1572" s="14" t="s">
        <v>24</v>
      </c>
      <c r="J1572" s="8"/>
      <c r="K1572" s="10">
        <v>5</v>
      </c>
      <c r="L1572" s="10"/>
      <c r="M1572" s="10"/>
      <c r="N1572" s="30"/>
      <c r="O1572" s="7">
        <f t="shared" si="488"/>
        <v>5</v>
      </c>
      <c r="P1572" s="58">
        <v>45723</v>
      </c>
      <c r="Q1572" s="56"/>
    </row>
    <row r="1573" spans="1:17" x14ac:dyDescent="0.15">
      <c r="A1573" s="14" t="s">
        <v>29</v>
      </c>
      <c r="B1573" s="8"/>
      <c r="C1573" s="10"/>
      <c r="D1573" s="10">
        <v>1</v>
      </c>
      <c r="E1573" s="10">
        <v>1</v>
      </c>
      <c r="F1573" s="30"/>
      <c r="G1573" s="7">
        <f t="shared" si="487"/>
        <v>2</v>
      </c>
      <c r="H1573" s="58">
        <v>45698</v>
      </c>
      <c r="I1573" s="14" t="s">
        <v>24</v>
      </c>
      <c r="J1573" s="8">
        <v>3</v>
      </c>
      <c r="K1573" s="10">
        <v>3</v>
      </c>
      <c r="L1573" s="10"/>
      <c r="M1573" s="10">
        <v>3</v>
      </c>
      <c r="N1573" s="30"/>
      <c r="O1573" s="7">
        <f t="shared" si="488"/>
        <v>9</v>
      </c>
      <c r="P1573" s="58">
        <v>45772</v>
      </c>
    </row>
    <row r="1574" spans="1:17" x14ac:dyDescent="0.15">
      <c r="A1574" s="14" t="s">
        <v>29</v>
      </c>
      <c r="B1574" s="8"/>
      <c r="C1574" s="10">
        <v>1</v>
      </c>
      <c r="D1574" s="10"/>
      <c r="E1574" s="10"/>
      <c r="F1574" s="30"/>
      <c r="G1574" s="7">
        <f t="shared" si="487"/>
        <v>1</v>
      </c>
      <c r="H1574" s="58">
        <v>45701</v>
      </c>
      <c r="I1574" s="14"/>
      <c r="J1574" s="8"/>
      <c r="K1574" s="10"/>
      <c r="L1574" s="10"/>
      <c r="M1574" s="10"/>
      <c r="N1574" s="30"/>
      <c r="O1574" s="7">
        <f t="shared" ref="O1574:O1594" si="489">SUM(J1574:N1574)</f>
        <v>0</v>
      </c>
      <c r="P1574" s="56"/>
    </row>
    <row r="1575" spans="1:17" x14ac:dyDescent="0.15">
      <c r="A1575" s="14" t="s">
        <v>29</v>
      </c>
      <c r="B1575" s="8"/>
      <c r="C1575" s="10">
        <v>1</v>
      </c>
      <c r="D1575" s="10"/>
      <c r="E1575" s="10">
        <v>1</v>
      </c>
      <c r="F1575" s="30"/>
      <c r="G1575" s="7">
        <f t="shared" si="487"/>
        <v>2</v>
      </c>
      <c r="H1575" s="58">
        <v>45708</v>
      </c>
      <c r="I1575" s="14"/>
      <c r="J1575" s="8"/>
      <c r="K1575" s="10"/>
      <c r="L1575" s="10"/>
      <c r="M1575" s="10"/>
      <c r="N1575" s="30"/>
      <c r="O1575" s="7">
        <f t="shared" si="489"/>
        <v>0</v>
      </c>
      <c r="P1575" s="56"/>
    </row>
    <row r="1576" spans="1:17" x14ac:dyDescent="0.15">
      <c r="A1576" s="14" t="s">
        <v>29</v>
      </c>
      <c r="B1576" s="8"/>
      <c r="C1576" s="10"/>
      <c r="D1576" s="10">
        <v>1</v>
      </c>
      <c r="E1576" s="10"/>
      <c r="F1576" s="30"/>
      <c r="G1576" s="7">
        <f t="shared" si="487"/>
        <v>1</v>
      </c>
      <c r="H1576" s="58">
        <v>45713</v>
      </c>
      <c r="I1576" s="14"/>
      <c r="J1576" s="8"/>
      <c r="K1576" s="10"/>
      <c r="L1576" s="10"/>
      <c r="M1576" s="10"/>
      <c r="N1576" s="30"/>
      <c r="O1576" s="7">
        <f t="shared" si="489"/>
        <v>0</v>
      </c>
      <c r="P1576" s="56"/>
    </row>
    <row r="1577" spans="1:17" x14ac:dyDescent="0.15">
      <c r="A1577" s="14" t="s">
        <v>29</v>
      </c>
      <c r="B1577" s="8"/>
      <c r="C1577" s="10">
        <v>1</v>
      </c>
      <c r="D1577" s="10">
        <v>1</v>
      </c>
      <c r="E1577" s="10"/>
      <c r="F1577" s="30"/>
      <c r="G1577" s="7">
        <f t="shared" si="487"/>
        <v>2</v>
      </c>
      <c r="H1577" s="58">
        <v>45721</v>
      </c>
      <c r="I1577" s="14"/>
      <c r="J1577" s="8"/>
      <c r="K1577" s="10"/>
      <c r="L1577" s="10"/>
      <c r="M1577" s="10"/>
      <c r="N1577" s="30"/>
      <c r="O1577" s="7">
        <f t="shared" si="489"/>
        <v>0</v>
      </c>
      <c r="P1577" s="56"/>
    </row>
    <row r="1578" spans="1:17" x14ac:dyDescent="0.15">
      <c r="A1578" s="14" t="s">
        <v>29</v>
      </c>
      <c r="B1578" s="8"/>
      <c r="C1578" s="10">
        <v>1</v>
      </c>
      <c r="D1578" s="10"/>
      <c r="E1578" s="10"/>
      <c r="F1578" s="30"/>
      <c r="G1578" s="7">
        <f t="shared" si="487"/>
        <v>1</v>
      </c>
      <c r="H1578" s="58">
        <v>45722</v>
      </c>
      <c r="I1578" s="14"/>
      <c r="J1578" s="8"/>
      <c r="K1578" s="10"/>
      <c r="L1578" s="10"/>
      <c r="M1578" s="10"/>
      <c r="N1578" s="30"/>
      <c r="O1578" s="7">
        <f t="shared" si="489"/>
        <v>0</v>
      </c>
    </row>
    <row r="1579" spans="1:17" x14ac:dyDescent="0.15">
      <c r="A1579" s="14" t="s">
        <v>29</v>
      </c>
      <c r="B1579" s="8"/>
      <c r="C1579" s="10">
        <v>1</v>
      </c>
      <c r="D1579" s="10"/>
      <c r="E1579" s="10"/>
      <c r="F1579" s="30"/>
      <c r="G1579" s="7">
        <f t="shared" si="487"/>
        <v>1</v>
      </c>
      <c r="H1579" s="58">
        <v>45727</v>
      </c>
      <c r="I1579" s="14"/>
      <c r="J1579" s="8"/>
      <c r="K1579" s="10"/>
      <c r="L1579" s="10"/>
      <c r="M1579" s="10"/>
      <c r="N1579" s="30"/>
      <c r="O1579" s="7">
        <f t="shared" si="489"/>
        <v>0</v>
      </c>
    </row>
    <row r="1580" spans="1:17" x14ac:dyDescent="0.15">
      <c r="A1580" s="14" t="s">
        <v>29</v>
      </c>
      <c r="B1580" s="8"/>
      <c r="C1580" s="10"/>
      <c r="D1580" s="10">
        <v>2</v>
      </c>
      <c r="E1580" s="10"/>
      <c r="F1580" s="30"/>
      <c r="G1580" s="7">
        <f t="shared" si="487"/>
        <v>2</v>
      </c>
      <c r="H1580" s="58">
        <v>45733</v>
      </c>
      <c r="I1580" s="14"/>
      <c r="J1580" s="8"/>
      <c r="K1580" s="10"/>
      <c r="L1580" s="10"/>
      <c r="M1580" s="10"/>
      <c r="N1580" s="30"/>
      <c r="O1580" s="7">
        <f t="shared" si="489"/>
        <v>0</v>
      </c>
    </row>
    <row r="1581" spans="1:17" x14ac:dyDescent="0.15">
      <c r="A1581" s="14" t="s">
        <v>29</v>
      </c>
      <c r="B1581" s="8"/>
      <c r="C1581" s="10"/>
      <c r="D1581" s="10">
        <v>1</v>
      </c>
      <c r="E1581" s="10"/>
      <c r="F1581" s="30"/>
      <c r="G1581" s="7">
        <f t="shared" si="487"/>
        <v>1</v>
      </c>
      <c r="H1581" s="58">
        <v>45734</v>
      </c>
      <c r="I1581" s="14"/>
      <c r="J1581" s="8"/>
      <c r="K1581" s="10"/>
      <c r="L1581" s="10"/>
      <c r="M1581" s="10"/>
      <c r="N1581" s="30"/>
      <c r="O1581" s="7">
        <f t="shared" si="489"/>
        <v>0</v>
      </c>
    </row>
    <row r="1582" spans="1:17" x14ac:dyDescent="0.15">
      <c r="A1582" s="14" t="s">
        <v>29</v>
      </c>
      <c r="B1582" s="8"/>
      <c r="C1582" s="10"/>
      <c r="D1582" s="10">
        <v>1</v>
      </c>
      <c r="E1582" s="10"/>
      <c r="F1582" s="30"/>
      <c r="G1582" s="7">
        <f t="shared" si="487"/>
        <v>1</v>
      </c>
      <c r="H1582" s="58">
        <v>45737</v>
      </c>
      <c r="I1582" s="14"/>
      <c r="J1582" s="8"/>
      <c r="K1582" s="10"/>
      <c r="L1582" s="10"/>
      <c r="M1582" s="10"/>
      <c r="N1582" s="30"/>
      <c r="O1582" s="7">
        <f t="shared" si="489"/>
        <v>0</v>
      </c>
    </row>
    <row r="1583" spans="1:17" x14ac:dyDescent="0.15">
      <c r="A1583" s="14" t="s">
        <v>29</v>
      </c>
      <c r="B1583" s="8">
        <v>1</v>
      </c>
      <c r="C1583" s="10"/>
      <c r="D1583" s="10"/>
      <c r="E1583" s="10">
        <v>1</v>
      </c>
      <c r="F1583" s="30"/>
      <c r="G1583" s="7">
        <f t="shared" si="487"/>
        <v>2</v>
      </c>
      <c r="H1583" s="58">
        <v>45741</v>
      </c>
      <c r="I1583" s="14"/>
      <c r="J1583" s="8"/>
      <c r="K1583" s="10"/>
      <c r="L1583" s="10"/>
      <c r="M1583" s="10"/>
      <c r="N1583" s="30"/>
      <c r="O1583" s="7">
        <f t="shared" si="489"/>
        <v>0</v>
      </c>
    </row>
    <row r="1584" spans="1:17" x14ac:dyDescent="0.15">
      <c r="A1584" s="14" t="s">
        <v>29</v>
      </c>
      <c r="B1584" s="8"/>
      <c r="C1584" s="10">
        <v>1</v>
      </c>
      <c r="D1584" s="10"/>
      <c r="E1584" s="10"/>
      <c r="F1584" s="30"/>
      <c r="G1584" s="7">
        <f t="shared" si="487"/>
        <v>1</v>
      </c>
      <c r="H1584" s="58">
        <v>45747</v>
      </c>
      <c r="I1584" s="14"/>
      <c r="J1584" s="8"/>
      <c r="K1584" s="10"/>
      <c r="L1584" s="10"/>
      <c r="M1584" s="10"/>
      <c r="N1584" s="30"/>
      <c r="O1584" s="7">
        <f t="shared" si="489"/>
        <v>0</v>
      </c>
    </row>
    <row r="1585" spans="1:15" x14ac:dyDescent="0.15">
      <c r="A1585" s="14" t="s">
        <v>29</v>
      </c>
      <c r="B1585" s="8"/>
      <c r="C1585" s="10"/>
      <c r="D1585" s="10">
        <v>1</v>
      </c>
      <c r="E1585" s="10"/>
      <c r="F1585" s="30"/>
      <c r="G1585" s="7">
        <f t="shared" si="487"/>
        <v>1</v>
      </c>
      <c r="H1585" s="58">
        <v>45756</v>
      </c>
      <c r="I1585" s="14"/>
      <c r="J1585" s="8"/>
      <c r="K1585" s="10"/>
      <c r="L1585" s="10"/>
      <c r="M1585" s="10"/>
      <c r="N1585" s="30"/>
      <c r="O1585" s="7">
        <f t="shared" si="489"/>
        <v>0</v>
      </c>
    </row>
    <row r="1586" spans="1:15" x14ac:dyDescent="0.15">
      <c r="A1586" s="14" t="s">
        <v>29</v>
      </c>
      <c r="B1586" s="8">
        <v>1</v>
      </c>
      <c r="C1586" s="10">
        <v>2</v>
      </c>
      <c r="D1586" s="10"/>
      <c r="E1586" s="10">
        <v>1</v>
      </c>
      <c r="F1586" s="30"/>
      <c r="G1586" s="7">
        <f t="shared" si="487"/>
        <v>4</v>
      </c>
      <c r="H1586" s="58">
        <v>45761</v>
      </c>
      <c r="I1586" s="14"/>
      <c r="J1586" s="8"/>
      <c r="K1586" s="10"/>
      <c r="L1586" s="10"/>
      <c r="M1586" s="10"/>
      <c r="N1586" s="30"/>
      <c r="O1586" s="7">
        <f t="shared" si="489"/>
        <v>0</v>
      </c>
    </row>
    <row r="1587" spans="1:15" x14ac:dyDescent="0.15">
      <c r="A1587" s="14" t="s">
        <v>29</v>
      </c>
      <c r="B1587" s="8">
        <v>1</v>
      </c>
      <c r="C1587" s="10"/>
      <c r="D1587" s="10"/>
      <c r="E1587" s="10"/>
      <c r="F1587" s="30"/>
      <c r="G1587" s="7">
        <f t="shared" si="487"/>
        <v>1</v>
      </c>
      <c r="H1587" s="58">
        <v>45762</v>
      </c>
      <c r="I1587" s="14"/>
      <c r="J1587" s="8"/>
      <c r="K1587" s="10"/>
      <c r="L1587" s="10"/>
      <c r="M1587" s="10"/>
      <c r="N1587" s="30"/>
      <c r="O1587" s="7">
        <f t="shared" si="489"/>
        <v>0</v>
      </c>
    </row>
    <row r="1588" spans="1:15" x14ac:dyDescent="0.15">
      <c r="A1588" s="14" t="s">
        <v>29</v>
      </c>
      <c r="B1588" s="8"/>
      <c r="C1588" s="10"/>
      <c r="D1588" s="10">
        <v>2</v>
      </c>
      <c r="E1588" s="10"/>
      <c r="F1588" s="30"/>
      <c r="G1588" s="7">
        <f t="shared" si="487"/>
        <v>2</v>
      </c>
      <c r="H1588" s="58">
        <v>45768</v>
      </c>
      <c r="I1588" s="14"/>
      <c r="J1588" s="8"/>
      <c r="K1588" s="10"/>
      <c r="L1588" s="10"/>
      <c r="M1588" s="10"/>
      <c r="N1588" s="30"/>
      <c r="O1588" s="7">
        <f t="shared" si="489"/>
        <v>0</v>
      </c>
    </row>
    <row r="1589" spans="1:15" x14ac:dyDescent="0.15">
      <c r="A1589" s="14" t="s">
        <v>29</v>
      </c>
      <c r="B1589" s="8"/>
      <c r="C1589" s="10"/>
      <c r="D1589" s="10">
        <v>1</v>
      </c>
      <c r="E1589" s="10"/>
      <c r="F1589" s="30"/>
      <c r="G1589" s="7">
        <f t="shared" si="487"/>
        <v>1</v>
      </c>
      <c r="H1589" s="58">
        <v>45771</v>
      </c>
      <c r="I1589" s="14"/>
      <c r="J1589" s="8"/>
      <c r="K1589" s="10"/>
      <c r="L1589" s="10"/>
      <c r="M1589" s="10"/>
      <c r="N1589" s="30"/>
      <c r="O1589" s="7">
        <f t="shared" si="489"/>
        <v>0</v>
      </c>
    </row>
    <row r="1590" spans="1:15" x14ac:dyDescent="0.15">
      <c r="A1590" s="14" t="s">
        <v>29</v>
      </c>
      <c r="B1590" s="8">
        <v>1</v>
      </c>
      <c r="C1590" s="10">
        <f>1+1</f>
        <v>2</v>
      </c>
      <c r="D1590" s="10"/>
      <c r="E1590" s="10">
        <v>1</v>
      </c>
      <c r="F1590" s="30"/>
      <c r="G1590" s="7">
        <f t="shared" si="487"/>
        <v>4</v>
      </c>
      <c r="H1590" s="58">
        <v>45784</v>
      </c>
      <c r="I1590" s="14"/>
      <c r="J1590" s="8"/>
      <c r="K1590" s="10"/>
      <c r="L1590" s="10"/>
      <c r="M1590" s="10"/>
      <c r="N1590" s="30"/>
      <c r="O1590" s="7">
        <f t="shared" si="489"/>
        <v>0</v>
      </c>
    </row>
    <row r="1591" spans="1:15" x14ac:dyDescent="0.15">
      <c r="A1591" s="14" t="s">
        <v>29</v>
      </c>
      <c r="B1591" s="8">
        <v>1</v>
      </c>
      <c r="C1591" s="10"/>
      <c r="D1591" s="10"/>
      <c r="E1591" s="10"/>
      <c r="F1591" s="30"/>
      <c r="G1591" s="7">
        <f t="shared" ref="G1591:G1594" si="490">SUM(B1591:F1591)</f>
        <v>1</v>
      </c>
      <c r="H1591" s="58">
        <v>45789</v>
      </c>
      <c r="I1591" s="14"/>
      <c r="J1591" s="8"/>
      <c r="K1591" s="10"/>
      <c r="L1591" s="10"/>
      <c r="M1591" s="10"/>
      <c r="N1591" s="30"/>
      <c r="O1591" s="7">
        <f t="shared" si="489"/>
        <v>0</v>
      </c>
    </row>
    <row r="1592" spans="1:15" x14ac:dyDescent="0.15">
      <c r="A1592" s="14" t="s">
        <v>29</v>
      </c>
      <c r="B1592" s="8"/>
      <c r="C1592" s="10"/>
      <c r="D1592" s="10"/>
      <c r="E1592" s="10">
        <v>1</v>
      </c>
      <c r="F1592" s="30"/>
      <c r="G1592" s="7">
        <f t="shared" si="490"/>
        <v>1</v>
      </c>
      <c r="H1592" s="58">
        <v>45790</v>
      </c>
      <c r="I1592" s="14"/>
      <c r="J1592" s="8"/>
      <c r="K1592" s="10"/>
      <c r="L1592" s="10"/>
      <c r="M1592" s="10"/>
      <c r="N1592" s="30"/>
      <c r="O1592" s="7">
        <f t="shared" si="489"/>
        <v>0</v>
      </c>
    </row>
    <row r="1593" spans="1:15" x14ac:dyDescent="0.15">
      <c r="A1593" s="14" t="s">
        <v>29</v>
      </c>
      <c r="B1593" s="8"/>
      <c r="C1593" s="10">
        <v>1</v>
      </c>
      <c r="D1593" s="10"/>
      <c r="E1593" s="10"/>
      <c r="F1593" s="30"/>
      <c r="G1593" s="7">
        <f t="shared" si="490"/>
        <v>1</v>
      </c>
      <c r="H1593" s="58">
        <v>45796</v>
      </c>
      <c r="I1593" s="14"/>
      <c r="J1593" s="8"/>
      <c r="K1593" s="10"/>
      <c r="L1593" s="10"/>
      <c r="M1593" s="10"/>
      <c r="N1593" s="30"/>
      <c r="O1593" s="7">
        <f t="shared" si="489"/>
        <v>0</v>
      </c>
    </row>
    <row r="1594" spans="1:15" ht="14.25" thickBot="1" x14ac:dyDescent="0.2">
      <c r="A1594" s="14" t="s">
        <v>29</v>
      </c>
      <c r="B1594" s="8"/>
      <c r="C1594" s="10">
        <v>1</v>
      </c>
      <c r="D1594" s="10"/>
      <c r="E1594" s="10"/>
      <c r="F1594" s="30"/>
      <c r="G1594" s="7">
        <f t="shared" si="490"/>
        <v>1</v>
      </c>
      <c r="H1594" s="58">
        <v>45797</v>
      </c>
      <c r="I1594" s="14"/>
      <c r="J1594" s="8"/>
      <c r="K1594" s="10"/>
      <c r="L1594" s="10"/>
      <c r="M1594" s="10"/>
      <c r="N1594" s="30"/>
      <c r="O1594" s="7">
        <f t="shared" si="489"/>
        <v>0</v>
      </c>
    </row>
    <row r="1595" spans="1:15" ht="14.25" thickBot="1" x14ac:dyDescent="0.2">
      <c r="A1595" s="3" t="s">
        <v>11</v>
      </c>
      <c r="B1595" s="23">
        <f>SUM(B1569:B1594)</f>
        <v>8</v>
      </c>
      <c r="C1595" s="4">
        <f>SUM(C1569:C1594)</f>
        <v>13</v>
      </c>
      <c r="D1595" s="4">
        <f>SUM(D1569:D1594)</f>
        <v>14</v>
      </c>
      <c r="E1595" s="6">
        <f>SUM(E1569:E1594)</f>
        <v>7</v>
      </c>
      <c r="F1595" s="32">
        <f>SUM(F1569:F1594)</f>
        <v>0</v>
      </c>
      <c r="G1595" s="5">
        <f>SUM(B1595:F1595)</f>
        <v>42</v>
      </c>
      <c r="I1595" s="3" t="s">
        <v>11</v>
      </c>
      <c r="J1595" s="23">
        <f>SUM(J1569:J1594)</f>
        <v>8</v>
      </c>
      <c r="K1595" s="4">
        <f>SUM(K1569:K1594)</f>
        <v>11</v>
      </c>
      <c r="L1595" s="203">
        <f>SUM(L1569:L1594)</f>
        <v>13</v>
      </c>
      <c r="M1595" s="6">
        <f>SUM(M1569:M1594)</f>
        <v>6</v>
      </c>
      <c r="N1595" s="32">
        <f>SUM(N1569:N1594)</f>
        <v>3</v>
      </c>
      <c r="O1595" s="5">
        <f>SUM(J1595:N1595)</f>
        <v>41</v>
      </c>
    </row>
    <row r="1596" spans="1:15" ht="14.25" thickBot="1" x14ac:dyDescent="0.2">
      <c r="A1596" s="25" t="s">
        <v>12</v>
      </c>
      <c r="B1596" s="63">
        <f>B1568-B1595</f>
        <v>4</v>
      </c>
      <c r="C1596" s="26">
        <f t="shared" ref="C1596:G1596" si="491">C1568-C1595</f>
        <v>3</v>
      </c>
      <c r="D1596" s="71">
        <f t="shared" si="491"/>
        <v>7</v>
      </c>
      <c r="E1596" s="26">
        <f t="shared" si="491"/>
        <v>4</v>
      </c>
      <c r="F1596" s="70">
        <f t="shared" si="491"/>
        <v>7</v>
      </c>
      <c r="G1596" s="27">
        <f t="shared" si="491"/>
        <v>25</v>
      </c>
      <c r="I1596" s="25" t="s">
        <v>12</v>
      </c>
      <c r="J1596" s="63">
        <f>J1568-J1595</f>
        <v>75</v>
      </c>
      <c r="K1596" s="26">
        <f t="shared" ref="K1596:O1596" si="492">K1568-K1595</f>
        <v>41</v>
      </c>
      <c r="L1596" s="207">
        <f t="shared" si="492"/>
        <v>0</v>
      </c>
      <c r="M1596" s="26">
        <f t="shared" si="492"/>
        <v>18</v>
      </c>
      <c r="N1596" s="70">
        <f t="shared" si="492"/>
        <v>56</v>
      </c>
      <c r="O1596" s="27">
        <f t="shared" si="492"/>
        <v>190</v>
      </c>
    </row>
    <row r="1597" spans="1:15" ht="17.25" x14ac:dyDescent="0.2">
      <c r="A1597" s="79" t="s">
        <v>391</v>
      </c>
      <c r="B1597" s="80"/>
      <c r="C1597" s="80"/>
      <c r="D1597" s="80"/>
      <c r="E1597" s="80"/>
      <c r="F1597" s="80"/>
      <c r="G1597" s="80"/>
      <c r="H1597" s="56"/>
      <c r="I1597" s="79" t="s">
        <v>391</v>
      </c>
      <c r="J1597" s="80"/>
      <c r="K1597" s="80"/>
      <c r="L1597" s="80"/>
      <c r="M1597" s="80"/>
      <c r="N1597" s="80"/>
      <c r="O1597" s="1"/>
    </row>
    <row r="1598" spans="1:15" ht="21.75" thickBot="1" x14ac:dyDescent="0.25">
      <c r="A1598" s="82" t="s">
        <v>390</v>
      </c>
      <c r="B1598" s="80"/>
      <c r="C1598" s="80"/>
      <c r="D1598" s="80"/>
      <c r="E1598" s="81" t="s">
        <v>53</v>
      </c>
      <c r="F1598" s="80"/>
      <c r="G1598" s="80"/>
      <c r="H1598" s="56"/>
      <c r="I1598" s="82" t="s">
        <v>390</v>
      </c>
      <c r="J1598" s="80"/>
      <c r="K1598" s="80"/>
      <c r="L1598" s="80"/>
      <c r="M1598" s="81" t="s">
        <v>393</v>
      </c>
      <c r="N1598" s="80"/>
      <c r="O1598" s="1"/>
    </row>
    <row r="1599" spans="1:15" ht="14.25" thickBot="1" x14ac:dyDescent="0.2">
      <c r="A1599" s="13" t="s">
        <v>0</v>
      </c>
      <c r="B1599" s="228" t="s">
        <v>392</v>
      </c>
      <c r="C1599" s="229"/>
      <c r="D1599" s="229"/>
      <c r="E1599" s="229"/>
      <c r="F1599" s="230"/>
      <c r="G1599" s="231"/>
      <c r="H1599" s="56"/>
      <c r="I1599" s="13" t="s">
        <v>0</v>
      </c>
      <c r="J1599" s="228" t="s">
        <v>392</v>
      </c>
      <c r="K1599" s="229"/>
      <c r="L1599" s="229"/>
      <c r="M1599" s="229"/>
      <c r="N1599" s="230"/>
      <c r="O1599" s="231"/>
    </row>
    <row r="1600" spans="1:15" ht="14.25" thickBot="1" x14ac:dyDescent="0.2">
      <c r="A1600" s="3" t="s">
        <v>1</v>
      </c>
      <c r="B1600" s="2" t="s">
        <v>42</v>
      </c>
      <c r="C1600" s="21" t="s">
        <v>43</v>
      </c>
      <c r="D1600" s="21" t="s">
        <v>44</v>
      </c>
      <c r="E1600" s="24" t="s">
        <v>45</v>
      </c>
      <c r="F1600" s="33" t="s">
        <v>46</v>
      </c>
      <c r="G1600" s="34" t="s">
        <v>2</v>
      </c>
      <c r="H1600" s="56"/>
      <c r="I1600" s="3" t="s">
        <v>1</v>
      </c>
      <c r="J1600" s="41" t="s">
        <v>42</v>
      </c>
      <c r="K1600" s="42" t="s">
        <v>43</v>
      </c>
      <c r="L1600" s="42" t="s">
        <v>44</v>
      </c>
      <c r="M1600" s="43" t="s">
        <v>45</v>
      </c>
      <c r="N1600" s="44" t="s">
        <v>46</v>
      </c>
      <c r="O1600" s="3" t="s">
        <v>2</v>
      </c>
    </row>
    <row r="1601" spans="1:17" ht="14.25" thickBot="1" x14ac:dyDescent="0.2">
      <c r="A1601" s="72" t="s">
        <v>456</v>
      </c>
      <c r="B1601" s="73">
        <f>B1596</f>
        <v>4</v>
      </c>
      <c r="C1601" s="74">
        <f t="shared" ref="C1601:F1601" si="493">C1596</f>
        <v>3</v>
      </c>
      <c r="D1601" s="74">
        <f t="shared" si="493"/>
        <v>7</v>
      </c>
      <c r="E1601" s="74">
        <f t="shared" si="493"/>
        <v>4</v>
      </c>
      <c r="F1601" s="105">
        <f t="shared" si="493"/>
        <v>7</v>
      </c>
      <c r="G1601" s="131">
        <f t="shared" ref="G1601:G1609" si="494">SUM(B1601:F1601)</f>
        <v>25</v>
      </c>
      <c r="H1601" s="56"/>
      <c r="I1601" s="72" t="s">
        <v>456</v>
      </c>
      <c r="J1601" s="73">
        <f>J1596</f>
        <v>75</v>
      </c>
      <c r="K1601" s="74">
        <f t="shared" ref="K1601:N1601" si="495">K1596</f>
        <v>41</v>
      </c>
      <c r="L1601" s="74">
        <f t="shared" si="495"/>
        <v>0</v>
      </c>
      <c r="M1601" s="74">
        <f t="shared" si="495"/>
        <v>18</v>
      </c>
      <c r="N1601" s="105">
        <f t="shared" si="495"/>
        <v>56</v>
      </c>
      <c r="O1601" s="131">
        <f t="shared" ref="O1601:O1609" si="496">SUM(J1601:N1601)</f>
        <v>190</v>
      </c>
    </row>
    <row r="1602" spans="1:17" x14ac:dyDescent="0.15">
      <c r="A1602" s="38" t="s">
        <v>14</v>
      </c>
      <c r="B1602" s="8">
        <v>3</v>
      </c>
      <c r="C1602" s="10">
        <v>3</v>
      </c>
      <c r="D1602" s="10"/>
      <c r="E1602" s="10"/>
      <c r="F1602" s="30"/>
      <c r="G1602" s="7">
        <f t="shared" ref="G1602:G1605" si="497">SUM(B1602:F1602)</f>
        <v>6</v>
      </c>
      <c r="H1602" s="58">
        <v>45803</v>
      </c>
      <c r="I1602" s="38" t="s">
        <v>14</v>
      </c>
      <c r="J1602" s="8"/>
      <c r="K1602" s="10"/>
      <c r="L1602" s="10"/>
      <c r="M1602" s="10"/>
      <c r="N1602" s="30"/>
      <c r="O1602" s="7">
        <f t="shared" si="496"/>
        <v>0</v>
      </c>
    </row>
    <row r="1603" spans="1:17" x14ac:dyDescent="0.15">
      <c r="A1603" s="38" t="s">
        <v>3</v>
      </c>
      <c r="B1603" s="8"/>
      <c r="C1603" s="10">
        <v>5</v>
      </c>
      <c r="D1603" s="10"/>
      <c r="E1603" s="10">
        <v>5</v>
      </c>
      <c r="F1603" s="30"/>
      <c r="G1603" s="7">
        <f t="shared" si="497"/>
        <v>10</v>
      </c>
      <c r="H1603" s="58">
        <v>45818</v>
      </c>
      <c r="I1603" s="38" t="s">
        <v>3</v>
      </c>
      <c r="J1603" s="8"/>
      <c r="K1603" s="10"/>
      <c r="L1603" s="10"/>
      <c r="M1603" s="10"/>
      <c r="N1603" s="30"/>
      <c r="O1603" s="7">
        <f t="shared" si="496"/>
        <v>0</v>
      </c>
    </row>
    <row r="1604" spans="1:17" x14ac:dyDescent="0.15">
      <c r="A1604" s="38" t="s">
        <v>4</v>
      </c>
      <c r="B1604" s="8">
        <v>10</v>
      </c>
      <c r="C1604" s="10">
        <v>10</v>
      </c>
      <c r="D1604" s="10"/>
      <c r="E1604" s="10">
        <v>9</v>
      </c>
      <c r="F1604" s="30">
        <v>10</v>
      </c>
      <c r="G1604" s="7">
        <f t="shared" si="497"/>
        <v>39</v>
      </c>
      <c r="H1604" s="58">
        <v>45839</v>
      </c>
      <c r="I1604" s="38" t="s">
        <v>4</v>
      </c>
      <c r="J1604" s="8"/>
      <c r="K1604" s="10"/>
      <c r="L1604" s="10"/>
      <c r="M1604" s="10"/>
      <c r="N1604" s="30"/>
      <c r="O1604" s="7">
        <f t="shared" si="496"/>
        <v>0</v>
      </c>
    </row>
    <row r="1605" spans="1:17" x14ac:dyDescent="0.15">
      <c r="A1605" s="38" t="s">
        <v>5</v>
      </c>
      <c r="B1605" s="8"/>
      <c r="C1605" s="10"/>
      <c r="D1605" s="10"/>
      <c r="E1605" s="10"/>
      <c r="F1605" s="30"/>
      <c r="G1605" s="7">
        <f t="shared" si="497"/>
        <v>0</v>
      </c>
      <c r="H1605" s="56"/>
      <c r="I1605" s="38" t="s">
        <v>5</v>
      </c>
      <c r="J1605" s="8"/>
      <c r="K1605" s="10"/>
      <c r="L1605" s="10"/>
      <c r="M1605" s="10"/>
      <c r="N1605" s="30"/>
      <c r="O1605" s="7">
        <f t="shared" si="496"/>
        <v>0</v>
      </c>
    </row>
    <row r="1606" spans="1:17" x14ac:dyDescent="0.15">
      <c r="A1606" s="38" t="s">
        <v>6</v>
      </c>
      <c r="B1606" s="8"/>
      <c r="C1606" s="10"/>
      <c r="D1606" s="10"/>
      <c r="E1606" s="10"/>
      <c r="F1606" s="30"/>
      <c r="G1606" s="7">
        <f t="shared" si="494"/>
        <v>0</v>
      </c>
      <c r="H1606" s="56"/>
      <c r="I1606" s="38" t="s">
        <v>6</v>
      </c>
      <c r="J1606" s="8"/>
      <c r="K1606" s="10"/>
      <c r="L1606" s="10"/>
      <c r="M1606" s="10"/>
      <c r="N1606" s="30"/>
      <c r="O1606" s="7">
        <f t="shared" si="496"/>
        <v>0</v>
      </c>
    </row>
    <row r="1607" spans="1:17" x14ac:dyDescent="0.15">
      <c r="A1607" s="38" t="s">
        <v>84</v>
      </c>
      <c r="B1607" s="8"/>
      <c r="C1607" s="10"/>
      <c r="D1607" s="10"/>
      <c r="E1607" s="10"/>
      <c r="F1607" s="30"/>
      <c r="G1607" s="7">
        <f t="shared" si="494"/>
        <v>0</v>
      </c>
      <c r="I1607" s="38" t="s">
        <v>84</v>
      </c>
      <c r="J1607" s="8"/>
      <c r="K1607" s="10"/>
      <c r="L1607" s="10"/>
      <c r="M1607" s="10"/>
      <c r="N1607" s="30"/>
      <c r="O1607" s="7">
        <f t="shared" si="496"/>
        <v>0</v>
      </c>
    </row>
    <row r="1608" spans="1:17" x14ac:dyDescent="0.15">
      <c r="A1608" s="38" t="s">
        <v>85</v>
      </c>
      <c r="B1608" s="8"/>
      <c r="C1608" s="10"/>
      <c r="D1608" s="10"/>
      <c r="E1608" s="10"/>
      <c r="F1608" s="30"/>
      <c r="G1608" s="7">
        <f t="shared" si="494"/>
        <v>0</v>
      </c>
      <c r="I1608" s="38" t="s">
        <v>85</v>
      </c>
      <c r="J1608" s="8"/>
      <c r="K1608" s="10"/>
      <c r="L1608" s="10"/>
      <c r="M1608" s="10"/>
      <c r="N1608" s="30"/>
      <c r="O1608" s="7">
        <f t="shared" si="496"/>
        <v>0</v>
      </c>
    </row>
    <row r="1609" spans="1:17" ht="14.25" thickBot="1" x14ac:dyDescent="0.2">
      <c r="A1609" s="38" t="s">
        <v>86</v>
      </c>
      <c r="B1609" s="8"/>
      <c r="C1609" s="10">
        <v>1</v>
      </c>
      <c r="D1609" s="10">
        <v>-1</v>
      </c>
      <c r="E1609" s="10">
        <v>-1</v>
      </c>
      <c r="F1609" s="30">
        <v>1</v>
      </c>
      <c r="G1609" s="7">
        <f t="shared" si="494"/>
        <v>0</v>
      </c>
      <c r="I1609" s="38" t="s">
        <v>86</v>
      </c>
      <c r="J1609" s="8"/>
      <c r="K1609" s="10"/>
      <c r="L1609" s="10"/>
      <c r="M1609" s="10"/>
      <c r="N1609" s="30"/>
      <c r="O1609" s="7">
        <f t="shared" si="496"/>
        <v>0</v>
      </c>
    </row>
    <row r="1610" spans="1:17" ht="14.25" thickBot="1" x14ac:dyDescent="0.2">
      <c r="A1610" s="72" t="s">
        <v>7</v>
      </c>
      <c r="B1610" s="73">
        <f>SUM(B1601:B1609)</f>
        <v>17</v>
      </c>
      <c r="C1610" s="74">
        <f t="shared" ref="C1610:G1610" si="498">SUM(C1601:C1609)</f>
        <v>22</v>
      </c>
      <c r="D1610" s="74">
        <f t="shared" si="498"/>
        <v>6</v>
      </c>
      <c r="E1610" s="74">
        <f t="shared" si="498"/>
        <v>17</v>
      </c>
      <c r="F1610" s="105">
        <f t="shared" si="498"/>
        <v>18</v>
      </c>
      <c r="G1610" s="76">
        <f t="shared" si="498"/>
        <v>80</v>
      </c>
      <c r="H1610" s="56"/>
      <c r="I1610" s="72" t="s">
        <v>7</v>
      </c>
      <c r="J1610" s="73">
        <f>SUM(J1601:J1609)</f>
        <v>75</v>
      </c>
      <c r="K1610" s="74">
        <f t="shared" ref="K1610:O1610" si="499">SUM(K1601:K1609)</f>
        <v>41</v>
      </c>
      <c r="L1610" s="74">
        <f t="shared" si="499"/>
        <v>0</v>
      </c>
      <c r="M1610" s="74">
        <f t="shared" si="499"/>
        <v>18</v>
      </c>
      <c r="N1610" s="105">
        <f t="shared" si="499"/>
        <v>56</v>
      </c>
      <c r="O1610" s="76">
        <f t="shared" si="499"/>
        <v>190</v>
      </c>
    </row>
    <row r="1611" spans="1:17" x14ac:dyDescent="0.15">
      <c r="A1611" s="14" t="s">
        <v>29</v>
      </c>
      <c r="B1611" s="8"/>
      <c r="C1611" s="10">
        <v>1</v>
      </c>
      <c r="D1611" s="10"/>
      <c r="E1611" s="10"/>
      <c r="F1611" s="30"/>
      <c r="G1611" s="7">
        <f t="shared" ref="G1611:G1620" si="500">SUM(B1611:F1611)</f>
        <v>1</v>
      </c>
      <c r="H1611" s="58">
        <v>45798</v>
      </c>
      <c r="I1611" s="14" t="s">
        <v>24</v>
      </c>
      <c r="J1611" s="8">
        <v>3</v>
      </c>
      <c r="K1611" s="10">
        <v>3</v>
      </c>
      <c r="L1611" s="10"/>
      <c r="M1611" s="10"/>
      <c r="N1611" s="30"/>
      <c r="O1611" s="7">
        <f t="shared" ref="O1611:O1613" si="501">SUM(J1611:N1611)</f>
        <v>6</v>
      </c>
      <c r="P1611" s="58">
        <v>45803</v>
      </c>
    </row>
    <row r="1612" spans="1:17" x14ac:dyDescent="0.15">
      <c r="A1612" s="14" t="s">
        <v>29</v>
      </c>
      <c r="B1612" s="8">
        <v>1</v>
      </c>
      <c r="C1612" s="10"/>
      <c r="D1612" s="10"/>
      <c r="E1612" s="10"/>
      <c r="F1612" s="30"/>
      <c r="G1612" s="7">
        <f t="shared" si="500"/>
        <v>1</v>
      </c>
      <c r="H1612" s="58">
        <v>45799</v>
      </c>
      <c r="I1612" s="14" t="s">
        <v>24</v>
      </c>
      <c r="J1612" s="8"/>
      <c r="K1612" s="10">
        <v>5</v>
      </c>
      <c r="L1612" s="10"/>
      <c r="M1612" s="10">
        <v>5</v>
      </c>
      <c r="N1612" s="30"/>
      <c r="O1612" s="7">
        <f t="shared" si="501"/>
        <v>10</v>
      </c>
      <c r="P1612" s="58">
        <v>45818</v>
      </c>
      <c r="Q1612" s="56"/>
    </row>
    <row r="1613" spans="1:17" x14ac:dyDescent="0.15">
      <c r="A1613" s="14" t="s">
        <v>1644</v>
      </c>
      <c r="B1613" s="8"/>
      <c r="C1613" s="10"/>
      <c r="D1613" s="10">
        <v>-1</v>
      </c>
      <c r="E1613" s="10"/>
      <c r="F1613" s="30"/>
      <c r="G1613" s="7">
        <f t="shared" si="500"/>
        <v>-1</v>
      </c>
      <c r="H1613" s="58">
        <v>45799</v>
      </c>
      <c r="I1613" s="14" t="s">
        <v>24</v>
      </c>
      <c r="J1613" s="8">
        <v>10</v>
      </c>
      <c r="K1613" s="10">
        <v>10</v>
      </c>
      <c r="L1613" s="10"/>
      <c r="M1613" s="10">
        <v>13</v>
      </c>
      <c r="N1613" s="30">
        <v>10</v>
      </c>
      <c r="O1613" s="7">
        <f t="shared" si="501"/>
        <v>43</v>
      </c>
      <c r="P1613" s="58">
        <v>45839</v>
      </c>
      <c r="Q1613" s="56"/>
    </row>
    <row r="1614" spans="1:17" x14ac:dyDescent="0.15">
      <c r="A1614" s="14" t="s">
        <v>29</v>
      </c>
      <c r="B1614" s="8"/>
      <c r="C1614" s="10"/>
      <c r="D1614" s="10">
        <f>1+1</f>
        <v>2</v>
      </c>
      <c r="E1614" s="10"/>
      <c r="F1614" s="30"/>
      <c r="G1614" s="7">
        <f t="shared" si="500"/>
        <v>2</v>
      </c>
      <c r="H1614" s="58">
        <v>45803</v>
      </c>
      <c r="I1614" s="14"/>
      <c r="J1614" s="8"/>
      <c r="K1614" s="10"/>
      <c r="L1614" s="10"/>
      <c r="M1614" s="10"/>
      <c r="N1614" s="30"/>
      <c r="O1614" s="7">
        <f t="shared" ref="O1614" si="502">SUM(J1614:N1614)</f>
        <v>0</v>
      </c>
      <c r="P1614" s="56"/>
      <c r="Q1614" s="56"/>
    </row>
    <row r="1615" spans="1:17" x14ac:dyDescent="0.15">
      <c r="A1615" s="14" t="s">
        <v>29</v>
      </c>
      <c r="B1615" s="8"/>
      <c r="C1615" s="10">
        <v>1</v>
      </c>
      <c r="D1615" s="10"/>
      <c r="E1615" s="10"/>
      <c r="F1615" s="30"/>
      <c r="G1615" s="7">
        <f t="shared" si="500"/>
        <v>1</v>
      </c>
      <c r="H1615" s="58">
        <v>45804</v>
      </c>
      <c r="I1615" s="14"/>
      <c r="J1615" s="8"/>
      <c r="K1615" s="10"/>
      <c r="L1615" s="10"/>
      <c r="M1615" s="10"/>
      <c r="N1615" s="30"/>
      <c r="O1615" s="7">
        <f t="shared" ref="O1615:O1636" si="503">SUM(J1615:N1615)</f>
        <v>0</v>
      </c>
      <c r="P1615" s="56"/>
      <c r="Q1615" s="56"/>
    </row>
    <row r="1616" spans="1:17" x14ac:dyDescent="0.15">
      <c r="A1616" s="14" t="s">
        <v>29</v>
      </c>
      <c r="B1616" s="8"/>
      <c r="C1616" s="10"/>
      <c r="D1616" s="10"/>
      <c r="E1616" s="10"/>
      <c r="F1616" s="30">
        <v>1</v>
      </c>
      <c r="G1616" s="7">
        <f t="shared" si="500"/>
        <v>1</v>
      </c>
      <c r="H1616" s="58">
        <v>45805</v>
      </c>
      <c r="I1616" s="14"/>
      <c r="J1616" s="8"/>
      <c r="K1616" s="10"/>
      <c r="L1616" s="10"/>
      <c r="M1616" s="10"/>
      <c r="N1616" s="30"/>
      <c r="O1616" s="7">
        <f t="shared" si="503"/>
        <v>0</v>
      </c>
    </row>
    <row r="1617" spans="1:15" x14ac:dyDescent="0.15">
      <c r="A1617" s="14" t="s">
        <v>29</v>
      </c>
      <c r="B1617" s="8"/>
      <c r="C1617" s="10"/>
      <c r="D1617" s="10"/>
      <c r="E1617" s="10"/>
      <c r="F1617" s="30">
        <v>1</v>
      </c>
      <c r="G1617" s="7">
        <f t="shared" si="500"/>
        <v>1</v>
      </c>
      <c r="H1617" s="58">
        <v>45807</v>
      </c>
      <c r="I1617" s="14"/>
      <c r="J1617" s="8"/>
      <c r="K1617" s="10"/>
      <c r="L1617" s="10"/>
      <c r="M1617" s="10"/>
      <c r="N1617" s="30"/>
      <c r="O1617" s="7">
        <f t="shared" si="503"/>
        <v>0</v>
      </c>
    </row>
    <row r="1618" spans="1:15" x14ac:dyDescent="0.15">
      <c r="A1618" s="14" t="s">
        <v>29</v>
      </c>
      <c r="B1618" s="8"/>
      <c r="C1618" s="10">
        <v>1</v>
      </c>
      <c r="D1618" s="10"/>
      <c r="E1618" s="10">
        <v>1</v>
      </c>
      <c r="F1618" s="30"/>
      <c r="G1618" s="7">
        <f t="shared" si="500"/>
        <v>2</v>
      </c>
      <c r="H1618" s="58">
        <v>45813</v>
      </c>
      <c r="I1618" s="14"/>
      <c r="J1618" s="8"/>
      <c r="K1618" s="10"/>
      <c r="L1618" s="10"/>
      <c r="M1618" s="10"/>
      <c r="N1618" s="30"/>
      <c r="O1618" s="7">
        <f t="shared" si="503"/>
        <v>0</v>
      </c>
    </row>
    <row r="1619" spans="1:15" x14ac:dyDescent="0.15">
      <c r="A1619" s="14" t="s">
        <v>29</v>
      </c>
      <c r="B1619" s="8"/>
      <c r="C1619" s="10">
        <v>1</v>
      </c>
      <c r="D1619" s="10"/>
      <c r="E1619" s="10"/>
      <c r="F1619" s="30"/>
      <c r="G1619" s="7">
        <f t="shared" si="500"/>
        <v>1</v>
      </c>
      <c r="H1619" s="58">
        <v>45817</v>
      </c>
      <c r="I1619" s="14"/>
      <c r="J1619" s="8"/>
      <c r="K1619" s="10"/>
      <c r="L1619" s="10"/>
      <c r="M1619" s="10"/>
      <c r="N1619" s="30"/>
      <c r="O1619" s="7">
        <f t="shared" si="503"/>
        <v>0</v>
      </c>
    </row>
    <row r="1620" spans="1:15" x14ac:dyDescent="0.15">
      <c r="A1620" s="14" t="s">
        <v>29</v>
      </c>
      <c r="B1620" s="8"/>
      <c r="C1620" s="10">
        <v>1</v>
      </c>
      <c r="D1620" s="10"/>
      <c r="E1620" s="10"/>
      <c r="F1620" s="30"/>
      <c r="G1620" s="7">
        <f t="shared" si="500"/>
        <v>1</v>
      </c>
      <c r="H1620" s="58">
        <v>45819</v>
      </c>
      <c r="I1620" s="14"/>
      <c r="J1620" s="8"/>
      <c r="K1620" s="10"/>
      <c r="L1620" s="10"/>
      <c r="M1620" s="10"/>
      <c r="N1620" s="30"/>
      <c r="O1620" s="7">
        <f t="shared" si="503"/>
        <v>0</v>
      </c>
    </row>
    <row r="1621" spans="1:15" x14ac:dyDescent="0.15">
      <c r="A1621" s="14" t="s">
        <v>29</v>
      </c>
      <c r="B1621" s="8">
        <v>1</v>
      </c>
      <c r="C1621" s="10">
        <v>1</v>
      </c>
      <c r="D1621" s="10"/>
      <c r="E1621" s="10">
        <v>1</v>
      </c>
      <c r="F1621" s="30">
        <v>1</v>
      </c>
      <c r="G1621" s="7">
        <f t="shared" ref="G1621:G1636" si="504">SUM(B1621:F1621)</f>
        <v>4</v>
      </c>
      <c r="H1621" s="58">
        <v>45819</v>
      </c>
      <c r="I1621" s="14"/>
      <c r="J1621" s="8"/>
      <c r="K1621" s="10"/>
      <c r="L1621" s="10"/>
      <c r="M1621" s="10"/>
      <c r="N1621" s="30"/>
      <c r="O1621" s="7">
        <f t="shared" si="503"/>
        <v>0</v>
      </c>
    </row>
    <row r="1622" spans="1:15" x14ac:dyDescent="0.15">
      <c r="A1622" s="14" t="s">
        <v>29</v>
      </c>
      <c r="B1622" s="8"/>
      <c r="C1622" s="10"/>
      <c r="D1622" s="10"/>
      <c r="E1622" s="10"/>
      <c r="F1622" s="30">
        <v>1</v>
      </c>
      <c r="G1622" s="7">
        <f t="shared" si="504"/>
        <v>1</v>
      </c>
      <c r="H1622" s="58">
        <v>45824</v>
      </c>
      <c r="I1622" s="14"/>
      <c r="J1622" s="8"/>
      <c r="K1622" s="10"/>
      <c r="L1622" s="10"/>
      <c r="M1622" s="10"/>
      <c r="N1622" s="30"/>
      <c r="O1622" s="7">
        <f t="shared" si="503"/>
        <v>0</v>
      </c>
    </row>
    <row r="1623" spans="1:15" x14ac:dyDescent="0.15">
      <c r="A1623" s="14" t="s">
        <v>29</v>
      </c>
      <c r="B1623" s="8"/>
      <c r="C1623" s="10"/>
      <c r="D1623" s="10"/>
      <c r="E1623" s="10">
        <v>1</v>
      </c>
      <c r="F1623" s="30"/>
      <c r="G1623" s="7">
        <f t="shared" si="504"/>
        <v>1</v>
      </c>
      <c r="H1623" s="58">
        <v>45826</v>
      </c>
      <c r="I1623" s="14"/>
      <c r="J1623" s="8"/>
      <c r="K1623" s="10"/>
      <c r="L1623" s="10"/>
      <c r="M1623" s="10"/>
      <c r="N1623" s="30"/>
      <c r="O1623" s="7">
        <f t="shared" si="503"/>
        <v>0</v>
      </c>
    </row>
    <row r="1624" spans="1:15" x14ac:dyDescent="0.15">
      <c r="A1624" s="14" t="s">
        <v>29</v>
      </c>
      <c r="B1624" s="8"/>
      <c r="C1624" s="10">
        <v>1</v>
      </c>
      <c r="D1624" s="10"/>
      <c r="E1624" s="10"/>
      <c r="F1624" s="30">
        <v>1</v>
      </c>
      <c r="G1624" s="7">
        <f t="shared" si="504"/>
        <v>2</v>
      </c>
      <c r="H1624" s="58">
        <v>45831</v>
      </c>
      <c r="I1624" s="14"/>
      <c r="J1624" s="8"/>
      <c r="K1624" s="10"/>
      <c r="L1624" s="10"/>
      <c r="M1624" s="10"/>
      <c r="N1624" s="30"/>
      <c r="O1624" s="7">
        <f t="shared" si="503"/>
        <v>0</v>
      </c>
    </row>
    <row r="1625" spans="1:15" x14ac:dyDescent="0.15">
      <c r="A1625" s="14" t="s">
        <v>29</v>
      </c>
      <c r="B1625" s="8">
        <v>1</v>
      </c>
      <c r="C1625" s="10"/>
      <c r="D1625" s="10"/>
      <c r="E1625" s="10"/>
      <c r="F1625" s="30"/>
      <c r="G1625" s="7">
        <f t="shared" si="504"/>
        <v>1</v>
      </c>
      <c r="H1625" s="58">
        <v>45833</v>
      </c>
      <c r="I1625" s="14"/>
      <c r="J1625" s="8"/>
      <c r="K1625" s="10"/>
      <c r="L1625" s="10"/>
      <c r="M1625" s="10"/>
      <c r="N1625" s="30"/>
      <c r="O1625" s="7">
        <f t="shared" si="503"/>
        <v>0</v>
      </c>
    </row>
    <row r="1626" spans="1:15" x14ac:dyDescent="0.15">
      <c r="A1626" s="14" t="s">
        <v>29</v>
      </c>
      <c r="B1626" s="8"/>
      <c r="C1626" s="10"/>
      <c r="D1626" s="10"/>
      <c r="E1626" s="10"/>
      <c r="F1626" s="30">
        <v>1</v>
      </c>
      <c r="G1626" s="7">
        <f t="shared" si="504"/>
        <v>1</v>
      </c>
      <c r="H1626" s="58">
        <v>45834</v>
      </c>
      <c r="I1626" s="14"/>
      <c r="J1626" s="8"/>
      <c r="K1626" s="10"/>
      <c r="L1626" s="10"/>
      <c r="M1626" s="10"/>
      <c r="N1626" s="30"/>
      <c r="O1626" s="7">
        <f t="shared" si="503"/>
        <v>0</v>
      </c>
    </row>
    <row r="1627" spans="1:15" x14ac:dyDescent="0.15">
      <c r="A1627" s="14" t="s">
        <v>29</v>
      </c>
      <c r="B1627" s="8"/>
      <c r="C1627" s="10"/>
      <c r="D1627" s="10"/>
      <c r="E1627" s="10"/>
      <c r="F1627" s="30">
        <v>1</v>
      </c>
      <c r="G1627" s="7">
        <f t="shared" si="504"/>
        <v>1</v>
      </c>
      <c r="H1627" s="58">
        <v>45835</v>
      </c>
      <c r="I1627" s="14"/>
      <c r="J1627" s="8"/>
      <c r="K1627" s="10"/>
      <c r="L1627" s="10"/>
      <c r="M1627" s="10"/>
      <c r="N1627" s="30"/>
      <c r="O1627" s="7">
        <f t="shared" si="503"/>
        <v>0</v>
      </c>
    </row>
    <row r="1628" spans="1:15" x14ac:dyDescent="0.15">
      <c r="A1628" s="14" t="s">
        <v>29</v>
      </c>
      <c r="B1628" s="8">
        <v>1</v>
      </c>
      <c r="C1628" s="10">
        <v>1</v>
      </c>
      <c r="D1628" s="10"/>
      <c r="E1628" s="10"/>
      <c r="F1628" s="30"/>
      <c r="G1628" s="7">
        <f t="shared" si="504"/>
        <v>2</v>
      </c>
      <c r="H1628" s="58">
        <v>45838</v>
      </c>
      <c r="I1628" s="14"/>
      <c r="J1628" s="8"/>
      <c r="K1628" s="10"/>
      <c r="L1628" s="10"/>
      <c r="M1628" s="10"/>
      <c r="N1628" s="30"/>
      <c r="O1628" s="7">
        <f t="shared" si="503"/>
        <v>0</v>
      </c>
    </row>
    <row r="1629" spans="1:15" x14ac:dyDescent="0.15">
      <c r="A1629" s="14" t="s">
        <v>29</v>
      </c>
      <c r="B1629" s="8"/>
      <c r="C1629" s="10">
        <v>1</v>
      </c>
      <c r="D1629" s="10"/>
      <c r="E1629" s="10"/>
      <c r="F1629" s="30"/>
      <c r="G1629" s="7">
        <f t="shared" si="504"/>
        <v>1</v>
      </c>
      <c r="H1629" s="58">
        <v>45840</v>
      </c>
      <c r="I1629" s="14"/>
      <c r="J1629" s="8"/>
      <c r="K1629" s="10"/>
      <c r="L1629" s="10"/>
      <c r="M1629" s="10"/>
      <c r="N1629" s="30"/>
      <c r="O1629" s="7">
        <f t="shared" si="503"/>
        <v>0</v>
      </c>
    </row>
    <row r="1630" spans="1:15" x14ac:dyDescent="0.15">
      <c r="A1630" s="14" t="s">
        <v>29</v>
      </c>
      <c r="B1630" s="8"/>
      <c r="C1630" s="10">
        <v>1</v>
      </c>
      <c r="D1630" s="10"/>
      <c r="E1630" s="10"/>
      <c r="F1630" s="30"/>
      <c r="G1630" s="7">
        <f t="shared" si="504"/>
        <v>1</v>
      </c>
      <c r="H1630" s="58">
        <v>45842</v>
      </c>
      <c r="I1630" s="14"/>
      <c r="J1630" s="8"/>
      <c r="K1630" s="10"/>
      <c r="L1630" s="10"/>
      <c r="M1630" s="10"/>
      <c r="N1630" s="30"/>
      <c r="O1630" s="7">
        <f t="shared" si="503"/>
        <v>0</v>
      </c>
    </row>
    <row r="1631" spans="1:15" x14ac:dyDescent="0.15">
      <c r="A1631" s="14" t="s">
        <v>29</v>
      </c>
      <c r="B1631" s="8"/>
      <c r="C1631" s="10">
        <v>1</v>
      </c>
      <c r="D1631" s="10"/>
      <c r="E1631" s="10"/>
      <c r="F1631" s="30"/>
      <c r="G1631" s="7">
        <f t="shared" si="504"/>
        <v>1</v>
      </c>
      <c r="H1631" s="58">
        <v>45843</v>
      </c>
      <c r="I1631" s="14"/>
      <c r="J1631" s="8"/>
      <c r="K1631" s="10"/>
      <c r="L1631" s="10"/>
      <c r="M1631" s="10"/>
      <c r="N1631" s="30"/>
      <c r="O1631" s="7">
        <f t="shared" si="503"/>
        <v>0</v>
      </c>
    </row>
    <row r="1632" spans="1:15" x14ac:dyDescent="0.15">
      <c r="A1632" s="14" t="s">
        <v>29</v>
      </c>
      <c r="B1632" s="8"/>
      <c r="C1632" s="10">
        <v>1</v>
      </c>
      <c r="D1632" s="10"/>
      <c r="E1632" s="10"/>
      <c r="F1632" s="30"/>
      <c r="G1632" s="7">
        <f t="shared" si="504"/>
        <v>1</v>
      </c>
      <c r="H1632" s="58">
        <v>45847</v>
      </c>
      <c r="I1632" s="14"/>
      <c r="J1632" s="8"/>
      <c r="K1632" s="10"/>
      <c r="L1632" s="10"/>
      <c r="M1632" s="10"/>
      <c r="N1632" s="30"/>
      <c r="O1632" s="7">
        <f t="shared" si="503"/>
        <v>0</v>
      </c>
    </row>
    <row r="1633" spans="1:15" x14ac:dyDescent="0.15">
      <c r="A1633" s="14" t="s">
        <v>29</v>
      </c>
      <c r="B1633" s="8"/>
      <c r="C1633" s="10"/>
      <c r="D1633" s="10"/>
      <c r="E1633" s="10">
        <f>1+1</f>
        <v>2</v>
      </c>
      <c r="F1633" s="30"/>
      <c r="G1633" s="7">
        <f t="shared" si="504"/>
        <v>2</v>
      </c>
      <c r="H1633" s="58">
        <v>45852</v>
      </c>
      <c r="I1633" s="14"/>
      <c r="J1633" s="8"/>
      <c r="K1633" s="10"/>
      <c r="L1633" s="10"/>
      <c r="M1633" s="10"/>
      <c r="N1633" s="30"/>
      <c r="O1633" s="7">
        <f t="shared" si="503"/>
        <v>0</v>
      </c>
    </row>
    <row r="1634" spans="1:15" x14ac:dyDescent="0.15">
      <c r="A1634" s="14" t="s">
        <v>29</v>
      </c>
      <c r="B1634" s="8"/>
      <c r="C1634" s="10"/>
      <c r="D1634" s="10">
        <v>1</v>
      </c>
      <c r="E1634" s="10"/>
      <c r="F1634" s="30"/>
      <c r="G1634" s="7">
        <f t="shared" si="504"/>
        <v>1</v>
      </c>
      <c r="H1634" s="58">
        <v>45855</v>
      </c>
      <c r="I1634" s="14"/>
      <c r="J1634" s="8"/>
      <c r="K1634" s="10"/>
      <c r="L1634" s="10"/>
      <c r="M1634" s="10"/>
      <c r="N1634" s="30"/>
      <c r="O1634" s="7">
        <f t="shared" si="503"/>
        <v>0</v>
      </c>
    </row>
    <row r="1635" spans="1:15" x14ac:dyDescent="0.15">
      <c r="A1635" s="14" t="s">
        <v>29</v>
      </c>
      <c r="B1635" s="8"/>
      <c r="C1635" s="10"/>
      <c r="D1635" s="10"/>
      <c r="E1635" s="10">
        <v>1</v>
      </c>
      <c r="F1635" s="30">
        <v>1</v>
      </c>
      <c r="G1635" s="7">
        <f t="shared" si="504"/>
        <v>2</v>
      </c>
      <c r="H1635" s="58">
        <v>45866</v>
      </c>
      <c r="I1635" s="14"/>
      <c r="J1635" s="8"/>
      <c r="K1635" s="10"/>
      <c r="L1635" s="10"/>
      <c r="M1635" s="10"/>
      <c r="N1635" s="30"/>
      <c r="O1635" s="7">
        <f t="shared" si="503"/>
        <v>0</v>
      </c>
    </row>
    <row r="1636" spans="1:15" ht="14.25" thickBot="1" x14ac:dyDescent="0.2">
      <c r="A1636" s="14" t="s">
        <v>29</v>
      </c>
      <c r="B1636" s="8"/>
      <c r="C1636" s="10">
        <v>1</v>
      </c>
      <c r="D1636" s="10"/>
      <c r="E1636" s="10"/>
      <c r="F1636" s="30"/>
      <c r="G1636" s="7">
        <f t="shared" si="504"/>
        <v>1</v>
      </c>
      <c r="H1636" s="58">
        <v>45869</v>
      </c>
      <c r="I1636" s="14"/>
      <c r="J1636" s="8"/>
      <c r="K1636" s="10"/>
      <c r="L1636" s="10"/>
      <c r="M1636" s="10"/>
      <c r="N1636" s="30"/>
      <c r="O1636" s="7">
        <f t="shared" si="503"/>
        <v>0</v>
      </c>
    </row>
    <row r="1637" spans="1:15" ht="14.25" thickBot="1" x14ac:dyDescent="0.2">
      <c r="A1637" s="3" t="s">
        <v>11</v>
      </c>
      <c r="B1637" s="23">
        <f>SUM(B1611:B1636)</f>
        <v>4</v>
      </c>
      <c r="C1637" s="4">
        <f>SUM(C1611:C1636)</f>
        <v>13</v>
      </c>
      <c r="D1637" s="4">
        <f>SUM(D1611:D1636)</f>
        <v>2</v>
      </c>
      <c r="E1637" s="6">
        <f>SUM(E1611:E1636)</f>
        <v>6</v>
      </c>
      <c r="F1637" s="32">
        <f>SUM(F1611:F1636)</f>
        <v>8</v>
      </c>
      <c r="G1637" s="5">
        <f>SUM(B1637:F1637)</f>
        <v>33</v>
      </c>
      <c r="I1637" s="3" t="s">
        <v>11</v>
      </c>
      <c r="J1637" s="23">
        <f>SUM(J1611:J1636)</f>
        <v>13</v>
      </c>
      <c r="K1637" s="4">
        <f>SUM(K1611:K1636)</f>
        <v>18</v>
      </c>
      <c r="L1637" s="203">
        <f>SUM(L1611:L1636)</f>
        <v>0</v>
      </c>
      <c r="M1637" s="203">
        <f>SUM(M1611:M1636)</f>
        <v>18</v>
      </c>
      <c r="N1637" s="32">
        <f>SUM(N1611:N1636)</f>
        <v>10</v>
      </c>
      <c r="O1637" s="5">
        <f>SUM(J1637:N1637)</f>
        <v>59</v>
      </c>
    </row>
    <row r="1638" spans="1:15" ht="14.25" thickBot="1" x14ac:dyDescent="0.2">
      <c r="A1638" s="25" t="s">
        <v>12</v>
      </c>
      <c r="B1638" s="63">
        <f>B1610-B1637</f>
        <v>13</v>
      </c>
      <c r="C1638" s="26">
        <f t="shared" ref="C1638:G1638" si="505">C1610-C1637</f>
        <v>9</v>
      </c>
      <c r="D1638" s="71">
        <f t="shared" si="505"/>
        <v>4</v>
      </c>
      <c r="E1638" s="26">
        <f t="shared" si="505"/>
        <v>11</v>
      </c>
      <c r="F1638" s="70">
        <f t="shared" si="505"/>
        <v>10</v>
      </c>
      <c r="G1638" s="27">
        <f t="shared" si="505"/>
        <v>47</v>
      </c>
      <c r="I1638" s="25" t="s">
        <v>12</v>
      </c>
      <c r="J1638" s="63">
        <f>J1610-J1637</f>
        <v>62</v>
      </c>
      <c r="K1638" s="26">
        <f t="shared" ref="K1638:O1638" si="506">K1610-K1637</f>
        <v>23</v>
      </c>
      <c r="L1638" s="206">
        <f t="shared" si="506"/>
        <v>0</v>
      </c>
      <c r="M1638" s="206">
        <f t="shared" ref="M1638" si="507">M1610-M1637</f>
        <v>0</v>
      </c>
      <c r="N1638" s="70">
        <f t="shared" si="506"/>
        <v>46</v>
      </c>
      <c r="O1638" s="27">
        <f t="shared" si="506"/>
        <v>131</v>
      </c>
    </row>
    <row r="1639" spans="1:15" ht="17.25" x14ac:dyDescent="0.2">
      <c r="A1639" s="79" t="s">
        <v>391</v>
      </c>
      <c r="B1639" s="80"/>
      <c r="C1639" s="80"/>
      <c r="D1639" s="80"/>
      <c r="E1639" s="80"/>
      <c r="F1639" s="80"/>
      <c r="G1639" s="80"/>
      <c r="H1639" s="56"/>
      <c r="I1639" s="79" t="s">
        <v>391</v>
      </c>
      <c r="J1639" s="80"/>
      <c r="K1639" s="80"/>
      <c r="L1639" s="80"/>
      <c r="M1639" s="80"/>
      <c r="N1639" s="80"/>
      <c r="O1639" s="1"/>
    </row>
    <row r="1640" spans="1:15" ht="21.75" thickBot="1" x14ac:dyDescent="0.25">
      <c r="A1640" s="82" t="s">
        <v>390</v>
      </c>
      <c r="B1640" s="80"/>
      <c r="C1640" s="80"/>
      <c r="D1640" s="80"/>
      <c r="E1640" s="81" t="s">
        <v>53</v>
      </c>
      <c r="F1640" s="80"/>
      <c r="G1640" s="80"/>
      <c r="H1640" s="56"/>
      <c r="I1640" s="82" t="s">
        <v>390</v>
      </c>
      <c r="J1640" s="80"/>
      <c r="K1640" s="80"/>
      <c r="L1640" s="80"/>
      <c r="M1640" s="81" t="s">
        <v>393</v>
      </c>
      <c r="N1640" s="80"/>
      <c r="O1640" s="1"/>
    </row>
    <row r="1641" spans="1:15" ht="14.25" thickBot="1" x14ac:dyDescent="0.2">
      <c r="A1641" s="13" t="s">
        <v>0</v>
      </c>
      <c r="B1641" s="228" t="s">
        <v>392</v>
      </c>
      <c r="C1641" s="229"/>
      <c r="D1641" s="229"/>
      <c r="E1641" s="229"/>
      <c r="F1641" s="230"/>
      <c r="G1641" s="231"/>
      <c r="H1641" s="56"/>
      <c r="I1641" s="13" t="s">
        <v>0</v>
      </c>
      <c r="J1641" s="228" t="s">
        <v>392</v>
      </c>
      <c r="K1641" s="229"/>
      <c r="L1641" s="229"/>
      <c r="M1641" s="229"/>
      <c r="N1641" s="230"/>
      <c r="O1641" s="231"/>
    </row>
    <row r="1642" spans="1:15" ht="14.25" thickBot="1" x14ac:dyDescent="0.2">
      <c r="A1642" s="3" t="s">
        <v>1</v>
      </c>
      <c r="B1642" s="2" t="s">
        <v>42</v>
      </c>
      <c r="C1642" s="21" t="s">
        <v>43</v>
      </c>
      <c r="D1642" s="21" t="s">
        <v>44</v>
      </c>
      <c r="E1642" s="24" t="s">
        <v>45</v>
      </c>
      <c r="F1642" s="33" t="s">
        <v>46</v>
      </c>
      <c r="G1642" s="34" t="s">
        <v>2</v>
      </c>
      <c r="H1642" s="56"/>
      <c r="I1642" s="3" t="s">
        <v>1</v>
      </c>
      <c r="J1642" s="41" t="s">
        <v>42</v>
      </c>
      <c r="K1642" s="42" t="s">
        <v>43</v>
      </c>
      <c r="L1642" s="42" t="s">
        <v>44</v>
      </c>
      <c r="M1642" s="43" t="s">
        <v>45</v>
      </c>
      <c r="N1642" s="44" t="s">
        <v>46</v>
      </c>
      <c r="O1642" s="3" t="s">
        <v>2</v>
      </c>
    </row>
    <row r="1643" spans="1:15" ht="14.25" thickBot="1" x14ac:dyDescent="0.2">
      <c r="A1643" s="72" t="s">
        <v>456</v>
      </c>
      <c r="B1643" s="73">
        <f>B1638</f>
        <v>13</v>
      </c>
      <c r="C1643" s="74">
        <f t="shared" ref="C1643:F1643" si="508">C1638</f>
        <v>9</v>
      </c>
      <c r="D1643" s="74">
        <f t="shared" si="508"/>
        <v>4</v>
      </c>
      <c r="E1643" s="74">
        <f t="shared" si="508"/>
        <v>11</v>
      </c>
      <c r="F1643" s="105">
        <f t="shared" si="508"/>
        <v>10</v>
      </c>
      <c r="G1643" s="131">
        <f t="shared" ref="G1643:G1651" si="509">SUM(B1643:F1643)</f>
        <v>47</v>
      </c>
      <c r="H1643" s="56"/>
      <c r="I1643" s="72" t="s">
        <v>456</v>
      </c>
      <c r="J1643" s="73">
        <f>J1638</f>
        <v>62</v>
      </c>
      <c r="K1643" s="74">
        <f t="shared" ref="K1643:N1643" si="510">K1638</f>
        <v>23</v>
      </c>
      <c r="L1643" s="74">
        <f t="shared" si="510"/>
        <v>0</v>
      </c>
      <c r="M1643" s="74">
        <f t="shared" si="510"/>
        <v>0</v>
      </c>
      <c r="N1643" s="105">
        <f t="shared" si="510"/>
        <v>46</v>
      </c>
      <c r="O1643" s="131">
        <f t="shared" ref="O1643:O1651" si="511">SUM(J1643:N1643)</f>
        <v>131</v>
      </c>
    </row>
    <row r="1644" spans="1:15" x14ac:dyDescent="0.15">
      <c r="A1644" s="38" t="s">
        <v>1348</v>
      </c>
      <c r="B1644" s="8">
        <v>0</v>
      </c>
      <c r="C1644" s="10">
        <v>1</v>
      </c>
      <c r="D1644" s="10">
        <v>0</v>
      </c>
      <c r="E1644" s="10">
        <v>0</v>
      </c>
      <c r="F1644" s="30">
        <v>0</v>
      </c>
      <c r="G1644" s="7">
        <f t="shared" ref="G1644:G1648" si="512">SUM(B1644:F1644)</f>
        <v>1</v>
      </c>
      <c r="H1644" s="58">
        <v>45894</v>
      </c>
      <c r="I1644" s="38" t="s">
        <v>14</v>
      </c>
      <c r="J1644" s="8"/>
      <c r="K1644" s="10"/>
      <c r="L1644" s="10"/>
      <c r="M1644" s="10"/>
      <c r="N1644" s="30"/>
      <c r="O1644" s="7">
        <f t="shared" si="511"/>
        <v>0</v>
      </c>
    </row>
    <row r="1645" spans="1:15" x14ac:dyDescent="0.15">
      <c r="A1645" s="38" t="s">
        <v>3</v>
      </c>
      <c r="B1645" s="8">
        <v>2</v>
      </c>
      <c r="C1645" s="10"/>
      <c r="D1645" s="10"/>
      <c r="E1645" s="10"/>
      <c r="F1645" s="30"/>
      <c r="G1645" s="7">
        <f t="shared" si="512"/>
        <v>2</v>
      </c>
      <c r="H1645" s="58">
        <v>45897</v>
      </c>
      <c r="I1645" s="38" t="s">
        <v>3</v>
      </c>
      <c r="J1645" s="8"/>
      <c r="K1645" s="10"/>
      <c r="L1645" s="10"/>
      <c r="M1645" s="10"/>
      <c r="N1645" s="30"/>
      <c r="O1645" s="7">
        <f t="shared" si="511"/>
        <v>0</v>
      </c>
    </row>
    <row r="1646" spans="1:15" x14ac:dyDescent="0.15">
      <c r="A1646" s="38" t="s">
        <v>4</v>
      </c>
      <c r="B1646" s="8"/>
      <c r="C1646" s="10">
        <v>22</v>
      </c>
      <c r="D1646" s="10"/>
      <c r="E1646" s="10"/>
      <c r="F1646" s="30"/>
      <c r="G1646" s="7">
        <f t="shared" si="512"/>
        <v>22</v>
      </c>
      <c r="H1646" s="58">
        <v>45909</v>
      </c>
      <c r="I1646" s="38" t="s">
        <v>4</v>
      </c>
      <c r="J1646" s="8"/>
      <c r="K1646" s="10"/>
      <c r="L1646" s="10"/>
      <c r="M1646" s="10"/>
      <c r="N1646" s="30"/>
      <c r="O1646" s="7">
        <f t="shared" si="511"/>
        <v>0</v>
      </c>
    </row>
    <row r="1647" spans="1:15" x14ac:dyDescent="0.15">
      <c r="A1647" s="38" t="s">
        <v>5</v>
      </c>
      <c r="B1647" s="8"/>
      <c r="C1647" s="10"/>
      <c r="D1647" s="10"/>
      <c r="E1647" s="10"/>
      <c r="F1647" s="30"/>
      <c r="G1647" s="7">
        <f t="shared" si="512"/>
        <v>0</v>
      </c>
      <c r="H1647" s="56"/>
      <c r="I1647" s="38" t="s">
        <v>5</v>
      </c>
      <c r="J1647" s="8"/>
      <c r="K1647" s="10"/>
      <c r="L1647" s="10"/>
      <c r="M1647" s="10"/>
      <c r="N1647" s="30"/>
      <c r="O1647" s="7">
        <f t="shared" si="511"/>
        <v>0</v>
      </c>
    </row>
    <row r="1648" spans="1:15" x14ac:dyDescent="0.15">
      <c r="A1648" s="38" t="s">
        <v>6</v>
      </c>
      <c r="B1648" s="8"/>
      <c r="C1648" s="10"/>
      <c r="D1648" s="10"/>
      <c r="E1648" s="10"/>
      <c r="F1648" s="30"/>
      <c r="G1648" s="7">
        <f t="shared" si="512"/>
        <v>0</v>
      </c>
      <c r="H1648" s="56"/>
      <c r="I1648" s="38" t="s">
        <v>6</v>
      </c>
      <c r="J1648" s="8"/>
      <c r="K1648" s="10"/>
      <c r="L1648" s="10"/>
      <c r="M1648" s="10"/>
      <c r="N1648" s="30"/>
      <c r="O1648" s="7">
        <f t="shared" si="511"/>
        <v>0</v>
      </c>
    </row>
    <row r="1649" spans="1:17" x14ac:dyDescent="0.15">
      <c r="A1649" s="38" t="s">
        <v>84</v>
      </c>
      <c r="B1649" s="8"/>
      <c r="C1649" s="10"/>
      <c r="D1649" s="10"/>
      <c r="E1649" s="10"/>
      <c r="F1649" s="30"/>
      <c r="G1649" s="7">
        <f t="shared" si="509"/>
        <v>0</v>
      </c>
      <c r="I1649" s="38" t="s">
        <v>84</v>
      </c>
      <c r="J1649" s="8"/>
      <c r="K1649" s="10"/>
      <c r="L1649" s="10"/>
      <c r="M1649" s="10"/>
      <c r="N1649" s="30"/>
      <c r="O1649" s="7">
        <f t="shared" si="511"/>
        <v>0</v>
      </c>
    </row>
    <row r="1650" spans="1:17" x14ac:dyDescent="0.15">
      <c r="A1650" s="38" t="s">
        <v>85</v>
      </c>
      <c r="B1650" s="8"/>
      <c r="C1650" s="10"/>
      <c r="D1650" s="10"/>
      <c r="E1650" s="10"/>
      <c r="F1650" s="30"/>
      <c r="G1650" s="7">
        <f t="shared" si="509"/>
        <v>0</v>
      </c>
      <c r="I1650" s="38" t="s">
        <v>85</v>
      </c>
      <c r="J1650" s="8"/>
      <c r="K1650" s="10"/>
      <c r="L1650" s="10"/>
      <c r="M1650" s="10"/>
      <c r="N1650" s="30"/>
      <c r="O1650" s="7">
        <f t="shared" si="511"/>
        <v>0</v>
      </c>
    </row>
    <row r="1651" spans="1:17" ht="14.25" thickBot="1" x14ac:dyDescent="0.2">
      <c r="A1651" s="38" t="s">
        <v>86</v>
      </c>
      <c r="B1651" s="8"/>
      <c r="C1651" s="10"/>
      <c r="D1651" s="10"/>
      <c r="E1651" s="10"/>
      <c r="F1651" s="30"/>
      <c r="G1651" s="7">
        <f t="shared" si="509"/>
        <v>0</v>
      </c>
      <c r="I1651" s="38" t="s">
        <v>86</v>
      </c>
      <c r="J1651" s="8"/>
      <c r="K1651" s="10"/>
      <c r="L1651" s="10"/>
      <c r="M1651" s="10"/>
      <c r="N1651" s="30"/>
      <c r="O1651" s="7">
        <f t="shared" si="511"/>
        <v>0</v>
      </c>
    </row>
    <row r="1652" spans="1:17" ht="14.25" thickBot="1" x14ac:dyDescent="0.2">
      <c r="A1652" s="72" t="s">
        <v>7</v>
      </c>
      <c r="B1652" s="73">
        <f>SUM(B1643:B1651)</f>
        <v>15</v>
      </c>
      <c r="C1652" s="74">
        <f t="shared" ref="C1652:G1652" si="513">SUM(C1643:C1651)</f>
        <v>32</v>
      </c>
      <c r="D1652" s="74">
        <f t="shared" si="513"/>
        <v>4</v>
      </c>
      <c r="E1652" s="74">
        <f t="shared" si="513"/>
        <v>11</v>
      </c>
      <c r="F1652" s="105">
        <f t="shared" si="513"/>
        <v>10</v>
      </c>
      <c r="G1652" s="76">
        <f t="shared" si="513"/>
        <v>72</v>
      </c>
      <c r="H1652" s="56"/>
      <c r="I1652" s="72" t="s">
        <v>7</v>
      </c>
      <c r="J1652" s="73">
        <f>SUM(J1643:J1651)</f>
        <v>62</v>
      </c>
      <c r="K1652" s="74">
        <f t="shared" ref="K1652:O1652" si="514">SUM(K1643:K1651)</f>
        <v>23</v>
      </c>
      <c r="L1652" s="74">
        <f t="shared" si="514"/>
        <v>0</v>
      </c>
      <c r="M1652" s="74">
        <f t="shared" si="514"/>
        <v>0</v>
      </c>
      <c r="N1652" s="105">
        <f t="shared" si="514"/>
        <v>46</v>
      </c>
      <c r="O1652" s="76">
        <f t="shared" si="514"/>
        <v>131</v>
      </c>
    </row>
    <row r="1653" spans="1:17" x14ac:dyDescent="0.15">
      <c r="A1653" s="14" t="s">
        <v>29</v>
      </c>
      <c r="B1653" s="8"/>
      <c r="C1653" s="10">
        <v>1</v>
      </c>
      <c r="D1653" s="10"/>
      <c r="E1653" s="10"/>
      <c r="F1653" s="30">
        <v>1</v>
      </c>
      <c r="G1653" s="7">
        <f t="shared" ref="G1653:G1678" si="515">SUM(B1653:F1653)</f>
        <v>2</v>
      </c>
      <c r="H1653" s="58">
        <v>45873</v>
      </c>
      <c r="I1653" s="14" t="s">
        <v>24</v>
      </c>
      <c r="J1653" s="8"/>
      <c r="K1653" s="10">
        <v>23</v>
      </c>
      <c r="L1653" s="10"/>
      <c r="M1653" s="10"/>
      <c r="N1653" s="30"/>
      <c r="O1653" s="7">
        <f t="shared" ref="O1653" si="516">SUM(J1653:N1653)</f>
        <v>23</v>
      </c>
      <c r="P1653" s="58">
        <v>45909</v>
      </c>
      <c r="Q1653" s="56"/>
    </row>
    <row r="1654" spans="1:17" x14ac:dyDescent="0.15">
      <c r="A1654" s="14" t="s">
        <v>29</v>
      </c>
      <c r="B1654" s="8">
        <v>1</v>
      </c>
      <c r="C1654" s="10">
        <v>1</v>
      </c>
      <c r="D1654" s="10"/>
      <c r="E1654" s="10"/>
      <c r="F1654" s="30"/>
      <c r="G1654" s="7">
        <f t="shared" si="515"/>
        <v>2</v>
      </c>
      <c r="H1654" s="58">
        <v>45877</v>
      </c>
      <c r="I1654" s="14"/>
      <c r="J1654" s="8"/>
      <c r="K1654" s="10"/>
      <c r="L1654" s="10"/>
      <c r="M1654" s="10"/>
      <c r="N1654" s="30"/>
      <c r="O1654" s="7">
        <f t="shared" ref="O1654:O1656" si="517">SUM(J1654:N1654)</f>
        <v>0</v>
      </c>
    </row>
    <row r="1655" spans="1:17" x14ac:dyDescent="0.15">
      <c r="A1655" s="14" t="s">
        <v>29</v>
      </c>
      <c r="B1655" s="8">
        <v>2</v>
      </c>
      <c r="C1655" s="10">
        <f>1+2</f>
        <v>3</v>
      </c>
      <c r="D1655" s="10"/>
      <c r="E1655" s="10"/>
      <c r="F1655" s="30"/>
      <c r="G1655" s="7">
        <f t="shared" si="515"/>
        <v>5</v>
      </c>
      <c r="H1655" s="58">
        <v>45887</v>
      </c>
      <c r="I1655" s="14"/>
      <c r="J1655" s="8"/>
      <c r="K1655" s="10"/>
      <c r="L1655" s="10"/>
      <c r="M1655" s="10"/>
      <c r="N1655" s="30"/>
      <c r="O1655" s="7">
        <f t="shared" si="517"/>
        <v>0</v>
      </c>
    </row>
    <row r="1656" spans="1:17" x14ac:dyDescent="0.15">
      <c r="A1656" s="14" t="s">
        <v>29</v>
      </c>
      <c r="B1656" s="8"/>
      <c r="C1656" s="10"/>
      <c r="D1656" s="10"/>
      <c r="E1656" s="10">
        <v>1</v>
      </c>
      <c r="F1656" s="30"/>
      <c r="G1656" s="7">
        <f t="shared" si="515"/>
        <v>1</v>
      </c>
      <c r="H1656" s="58">
        <v>45891</v>
      </c>
      <c r="I1656" s="14"/>
      <c r="J1656" s="8"/>
      <c r="K1656" s="10"/>
      <c r="L1656" s="10"/>
      <c r="M1656" s="10"/>
      <c r="N1656" s="30"/>
      <c r="O1656" s="7">
        <f t="shared" si="517"/>
        <v>0</v>
      </c>
    </row>
    <row r="1657" spans="1:17" x14ac:dyDescent="0.15">
      <c r="A1657" s="14" t="s">
        <v>29</v>
      </c>
      <c r="B1657" s="8"/>
      <c r="C1657" s="10"/>
      <c r="D1657" s="10"/>
      <c r="E1657" s="10">
        <v>2</v>
      </c>
      <c r="F1657" s="30"/>
      <c r="G1657" s="7">
        <f t="shared" si="515"/>
        <v>2</v>
      </c>
      <c r="H1657" s="58">
        <v>45894</v>
      </c>
      <c r="I1657" s="14"/>
      <c r="J1657" s="8"/>
      <c r="K1657" s="10"/>
      <c r="L1657" s="10"/>
      <c r="M1657" s="10"/>
      <c r="N1657" s="30"/>
      <c r="O1657" s="7">
        <f t="shared" ref="O1657:O1678" si="518">SUM(J1657:N1657)</f>
        <v>0</v>
      </c>
    </row>
    <row r="1658" spans="1:17" x14ac:dyDescent="0.15">
      <c r="A1658" s="14" t="s">
        <v>29</v>
      </c>
      <c r="B1658" s="8">
        <v>1</v>
      </c>
      <c r="C1658" s="10">
        <v>1</v>
      </c>
      <c r="D1658" s="10"/>
      <c r="E1658" s="10"/>
      <c r="F1658" s="30"/>
      <c r="G1658" s="7">
        <f t="shared" si="515"/>
        <v>2</v>
      </c>
      <c r="H1658" s="58">
        <v>45895</v>
      </c>
      <c r="I1658" s="14"/>
      <c r="J1658" s="8"/>
      <c r="K1658" s="10"/>
      <c r="L1658" s="10"/>
      <c r="M1658" s="10"/>
      <c r="N1658" s="30"/>
      <c r="O1658" s="7">
        <f t="shared" si="518"/>
        <v>0</v>
      </c>
    </row>
    <row r="1659" spans="1:17" x14ac:dyDescent="0.15">
      <c r="A1659" s="14" t="s">
        <v>29</v>
      </c>
      <c r="B1659" s="8"/>
      <c r="C1659" s="10"/>
      <c r="D1659" s="10"/>
      <c r="E1659" s="10">
        <v>2</v>
      </c>
      <c r="F1659" s="30"/>
      <c r="G1659" s="7">
        <f t="shared" si="515"/>
        <v>2</v>
      </c>
      <c r="H1659" s="58">
        <v>45905</v>
      </c>
      <c r="I1659" s="14"/>
      <c r="J1659" s="8"/>
      <c r="K1659" s="10"/>
      <c r="L1659" s="10"/>
      <c r="M1659" s="10"/>
      <c r="N1659" s="30"/>
      <c r="O1659" s="7">
        <f t="shared" si="518"/>
        <v>0</v>
      </c>
    </row>
    <row r="1660" spans="1:17" x14ac:dyDescent="0.15">
      <c r="A1660" s="14" t="s">
        <v>29</v>
      </c>
      <c r="B1660" s="8"/>
      <c r="C1660" s="10">
        <f>2+1</f>
        <v>3</v>
      </c>
      <c r="D1660" s="10"/>
      <c r="E1660" s="10"/>
      <c r="F1660" s="30"/>
      <c r="G1660" s="7">
        <f t="shared" si="515"/>
        <v>3</v>
      </c>
      <c r="H1660" s="58">
        <v>45906</v>
      </c>
      <c r="I1660" s="14"/>
      <c r="J1660" s="8"/>
      <c r="K1660" s="10"/>
      <c r="L1660" s="10"/>
      <c r="M1660" s="10"/>
      <c r="N1660" s="30"/>
      <c r="O1660" s="7">
        <f t="shared" si="518"/>
        <v>0</v>
      </c>
    </row>
    <row r="1661" spans="1:17" x14ac:dyDescent="0.15">
      <c r="A1661" s="14" t="s">
        <v>29</v>
      </c>
      <c r="B1661" s="8"/>
      <c r="C1661" s="10">
        <v>1</v>
      </c>
      <c r="D1661" s="10"/>
      <c r="E1661" s="10"/>
      <c r="F1661" s="30"/>
      <c r="G1661" s="7">
        <f t="shared" si="515"/>
        <v>1</v>
      </c>
      <c r="H1661" s="58">
        <v>45908</v>
      </c>
      <c r="I1661" s="14"/>
      <c r="J1661" s="8"/>
      <c r="K1661" s="10"/>
      <c r="L1661" s="10"/>
      <c r="M1661" s="10"/>
      <c r="N1661" s="30"/>
      <c r="O1661" s="7">
        <f t="shared" si="518"/>
        <v>0</v>
      </c>
    </row>
    <row r="1662" spans="1:17" x14ac:dyDescent="0.15">
      <c r="A1662" s="14" t="s">
        <v>29</v>
      </c>
      <c r="B1662" s="8"/>
      <c r="C1662" s="10">
        <v>1</v>
      </c>
      <c r="D1662" s="10"/>
      <c r="E1662" s="10"/>
      <c r="F1662" s="30"/>
      <c r="G1662" s="7">
        <f t="shared" si="515"/>
        <v>1</v>
      </c>
      <c r="H1662" s="58">
        <v>45910</v>
      </c>
      <c r="I1662" s="14"/>
      <c r="J1662" s="8"/>
      <c r="K1662" s="10"/>
      <c r="L1662" s="10"/>
      <c r="M1662" s="10"/>
      <c r="N1662" s="30"/>
      <c r="O1662" s="7">
        <f t="shared" si="518"/>
        <v>0</v>
      </c>
    </row>
    <row r="1663" spans="1:17" x14ac:dyDescent="0.15">
      <c r="A1663" s="14" t="s">
        <v>29</v>
      </c>
      <c r="B1663" s="8"/>
      <c r="C1663" s="10"/>
      <c r="D1663" s="10"/>
      <c r="E1663" s="10">
        <v>3</v>
      </c>
      <c r="F1663" s="30"/>
      <c r="G1663" s="7">
        <f t="shared" si="515"/>
        <v>3</v>
      </c>
      <c r="H1663" s="58">
        <v>45911</v>
      </c>
      <c r="I1663" s="14"/>
      <c r="J1663" s="8"/>
      <c r="K1663" s="10"/>
      <c r="L1663" s="10"/>
      <c r="M1663" s="10"/>
      <c r="N1663" s="30"/>
      <c r="O1663" s="7">
        <f t="shared" si="518"/>
        <v>0</v>
      </c>
    </row>
    <row r="1664" spans="1:17" x14ac:dyDescent="0.15">
      <c r="A1664" s="14" t="s">
        <v>29</v>
      </c>
      <c r="B1664" s="8"/>
      <c r="C1664" s="10">
        <v>1</v>
      </c>
      <c r="D1664" s="10">
        <v>1</v>
      </c>
      <c r="E1664" s="10">
        <f>1+1</f>
        <v>2</v>
      </c>
      <c r="F1664" s="30"/>
      <c r="G1664" s="7">
        <f t="shared" si="515"/>
        <v>4</v>
      </c>
      <c r="H1664" s="58">
        <v>45916</v>
      </c>
      <c r="I1664" s="14"/>
      <c r="J1664" s="8"/>
      <c r="K1664" s="10"/>
      <c r="L1664" s="10"/>
      <c r="M1664" s="10"/>
      <c r="N1664" s="30"/>
      <c r="O1664" s="7">
        <f t="shared" si="518"/>
        <v>0</v>
      </c>
    </row>
    <row r="1665" spans="1:15" x14ac:dyDescent="0.15">
      <c r="A1665" s="14" t="s">
        <v>29</v>
      </c>
      <c r="B1665" s="8"/>
      <c r="C1665" s="10"/>
      <c r="D1665" s="10"/>
      <c r="E1665" s="10"/>
      <c r="F1665" s="30">
        <v>1</v>
      </c>
      <c r="G1665" s="7">
        <f t="shared" si="515"/>
        <v>1</v>
      </c>
      <c r="H1665" s="58">
        <v>45917</v>
      </c>
      <c r="I1665" s="14"/>
      <c r="J1665" s="8"/>
      <c r="K1665" s="10"/>
      <c r="L1665" s="10"/>
      <c r="M1665" s="10"/>
      <c r="N1665" s="30"/>
      <c r="O1665" s="7">
        <f t="shared" si="518"/>
        <v>0</v>
      </c>
    </row>
    <row r="1666" spans="1:15" x14ac:dyDescent="0.15">
      <c r="A1666" s="14" t="s">
        <v>29</v>
      </c>
      <c r="B1666" s="8">
        <v>1</v>
      </c>
      <c r="C1666" s="10"/>
      <c r="D1666" s="10"/>
      <c r="E1666" s="10">
        <v>1</v>
      </c>
      <c r="F1666" s="30"/>
      <c r="G1666" s="7">
        <f t="shared" si="515"/>
        <v>2</v>
      </c>
      <c r="H1666" s="58">
        <v>45922</v>
      </c>
      <c r="I1666" s="14"/>
      <c r="J1666" s="8"/>
      <c r="K1666" s="10"/>
      <c r="L1666" s="10"/>
      <c r="M1666" s="10"/>
      <c r="N1666" s="30"/>
      <c r="O1666" s="7">
        <f t="shared" si="518"/>
        <v>0</v>
      </c>
    </row>
    <row r="1667" spans="1:15" x14ac:dyDescent="0.15">
      <c r="A1667" s="14" t="s">
        <v>29</v>
      </c>
      <c r="B1667" s="8"/>
      <c r="C1667" s="10">
        <v>1</v>
      </c>
      <c r="D1667" s="10"/>
      <c r="E1667" s="10"/>
      <c r="F1667" s="30"/>
      <c r="G1667" s="7">
        <f t="shared" si="515"/>
        <v>1</v>
      </c>
      <c r="H1667" s="58">
        <v>45929</v>
      </c>
      <c r="I1667" s="14"/>
      <c r="J1667" s="8"/>
      <c r="K1667" s="10"/>
      <c r="L1667" s="10"/>
      <c r="M1667" s="10"/>
      <c r="N1667" s="30"/>
      <c r="O1667" s="7">
        <f t="shared" si="518"/>
        <v>0</v>
      </c>
    </row>
    <row r="1668" spans="1:15" x14ac:dyDescent="0.15">
      <c r="A1668" s="14" t="s">
        <v>29</v>
      </c>
      <c r="B1668" s="8"/>
      <c r="C1668" s="10"/>
      <c r="D1668" s="10">
        <v>1</v>
      </c>
      <c r="E1668" s="10"/>
      <c r="F1668" s="30"/>
      <c r="G1668" s="7">
        <f t="shared" si="515"/>
        <v>1</v>
      </c>
      <c r="H1668" s="58">
        <v>45930</v>
      </c>
      <c r="I1668" s="14"/>
      <c r="J1668" s="8"/>
      <c r="K1668" s="10"/>
      <c r="L1668" s="10"/>
      <c r="M1668" s="10"/>
      <c r="N1668" s="30"/>
      <c r="O1668" s="7">
        <f t="shared" si="518"/>
        <v>0</v>
      </c>
    </row>
    <row r="1669" spans="1:15" x14ac:dyDescent="0.15">
      <c r="A1669" s="14" t="s">
        <v>29</v>
      </c>
      <c r="B1669" s="8"/>
      <c r="C1669" s="10"/>
      <c r="D1669" s="10"/>
      <c r="E1669" s="10"/>
      <c r="F1669" s="30">
        <v>1</v>
      </c>
      <c r="G1669" s="7">
        <f t="shared" si="515"/>
        <v>1</v>
      </c>
      <c r="H1669" s="58">
        <v>45937</v>
      </c>
      <c r="I1669" s="14"/>
      <c r="J1669" s="8"/>
      <c r="K1669" s="10"/>
      <c r="L1669" s="10"/>
      <c r="M1669" s="10"/>
      <c r="N1669" s="30"/>
      <c r="O1669" s="7">
        <f t="shared" si="518"/>
        <v>0</v>
      </c>
    </row>
    <row r="1670" spans="1:15" x14ac:dyDescent="0.15">
      <c r="A1670" s="14" t="s">
        <v>29</v>
      </c>
      <c r="B1670" s="8"/>
      <c r="C1670" s="10">
        <v>1</v>
      </c>
      <c r="D1670" s="10"/>
      <c r="E1670" s="10"/>
      <c r="F1670" s="30"/>
      <c r="G1670" s="7">
        <f t="shared" si="515"/>
        <v>1</v>
      </c>
      <c r="H1670" s="58">
        <v>45939</v>
      </c>
      <c r="I1670" s="14"/>
      <c r="J1670" s="8"/>
      <c r="K1670" s="10"/>
      <c r="L1670" s="10"/>
      <c r="M1670" s="10"/>
      <c r="N1670" s="30"/>
      <c r="O1670" s="7">
        <f t="shared" si="518"/>
        <v>0</v>
      </c>
    </row>
    <row r="1671" spans="1:15" x14ac:dyDescent="0.15">
      <c r="A1671" s="14" t="s">
        <v>29</v>
      </c>
      <c r="B1671" s="8">
        <v>1</v>
      </c>
      <c r="C1671" s="10"/>
      <c r="D1671" s="10"/>
      <c r="E1671" s="10"/>
      <c r="F1671" s="30"/>
      <c r="G1671" s="7">
        <f t="shared" si="515"/>
        <v>1</v>
      </c>
      <c r="H1671" s="58">
        <v>45944</v>
      </c>
      <c r="I1671" s="14"/>
      <c r="J1671" s="8"/>
      <c r="K1671" s="10"/>
      <c r="L1671" s="10"/>
      <c r="M1671" s="10"/>
      <c r="N1671" s="30"/>
      <c r="O1671" s="7">
        <f t="shared" si="518"/>
        <v>0</v>
      </c>
    </row>
    <row r="1672" spans="1:15" x14ac:dyDescent="0.15">
      <c r="A1672" s="14" t="s">
        <v>29</v>
      </c>
      <c r="B1672" s="8"/>
      <c r="C1672" s="10">
        <v>1</v>
      </c>
      <c r="D1672" s="10"/>
      <c r="E1672" s="10"/>
      <c r="F1672" s="30"/>
      <c r="G1672" s="7">
        <f t="shared" si="515"/>
        <v>1</v>
      </c>
      <c r="H1672" s="58">
        <v>45945</v>
      </c>
      <c r="I1672" s="14"/>
      <c r="J1672" s="8"/>
      <c r="K1672" s="10"/>
      <c r="L1672" s="10"/>
      <c r="M1672" s="10"/>
      <c r="N1672" s="30"/>
      <c r="O1672" s="7">
        <f t="shared" si="518"/>
        <v>0</v>
      </c>
    </row>
    <row r="1673" spans="1:15" x14ac:dyDescent="0.15">
      <c r="A1673" s="14" t="s">
        <v>29</v>
      </c>
      <c r="B1673" s="8"/>
      <c r="C1673" s="10"/>
      <c r="D1673" s="10"/>
      <c r="E1673" s="10"/>
      <c r="F1673" s="30">
        <v>1</v>
      </c>
      <c r="G1673" s="7">
        <f t="shared" si="515"/>
        <v>1</v>
      </c>
      <c r="H1673" s="58">
        <v>45946</v>
      </c>
      <c r="I1673" s="14"/>
      <c r="J1673" s="8"/>
      <c r="K1673" s="10"/>
      <c r="L1673" s="10"/>
      <c r="M1673" s="10"/>
      <c r="N1673" s="30"/>
      <c r="O1673" s="7">
        <f t="shared" si="518"/>
        <v>0</v>
      </c>
    </row>
    <row r="1674" spans="1:15" x14ac:dyDescent="0.15">
      <c r="A1674" s="14" t="s">
        <v>696</v>
      </c>
      <c r="B1674" s="8">
        <v>-1</v>
      </c>
      <c r="C1674" s="10"/>
      <c r="D1674" s="10"/>
      <c r="E1674" s="10"/>
      <c r="F1674" s="30"/>
      <c r="G1674" s="7">
        <f t="shared" si="515"/>
        <v>-1</v>
      </c>
      <c r="H1674" s="58">
        <v>45946</v>
      </c>
      <c r="I1674" s="14"/>
      <c r="J1674" s="8"/>
      <c r="K1674" s="10"/>
      <c r="L1674" s="10"/>
      <c r="M1674" s="10"/>
      <c r="N1674" s="30"/>
      <c r="O1674" s="7">
        <f t="shared" si="518"/>
        <v>0</v>
      </c>
    </row>
    <row r="1675" spans="1:15" x14ac:dyDescent="0.15">
      <c r="A1675" s="14" t="s">
        <v>29</v>
      </c>
      <c r="B1675" s="8"/>
      <c r="C1675" s="10">
        <v>1</v>
      </c>
      <c r="D1675" s="10"/>
      <c r="E1675" s="10"/>
      <c r="F1675" s="30"/>
      <c r="G1675" s="7">
        <f t="shared" si="515"/>
        <v>1</v>
      </c>
      <c r="H1675" s="58">
        <v>45948</v>
      </c>
      <c r="I1675" s="14"/>
      <c r="J1675" s="8"/>
      <c r="K1675" s="10"/>
      <c r="L1675" s="10"/>
      <c r="M1675" s="10"/>
      <c r="N1675" s="30"/>
      <c r="O1675" s="7">
        <f t="shared" si="518"/>
        <v>0</v>
      </c>
    </row>
    <row r="1676" spans="1:15" x14ac:dyDescent="0.15">
      <c r="A1676" s="14" t="s">
        <v>29</v>
      </c>
      <c r="B1676" s="8"/>
      <c r="C1676" s="10">
        <v>1</v>
      </c>
      <c r="D1676" s="10"/>
      <c r="E1676" s="10"/>
      <c r="F1676" s="30"/>
      <c r="G1676" s="7">
        <f t="shared" ref="G1676" si="519">SUM(B1676:F1676)</f>
        <v>1</v>
      </c>
      <c r="H1676" s="58">
        <v>45959</v>
      </c>
      <c r="I1676" s="14"/>
      <c r="J1676" s="8"/>
      <c r="K1676" s="10"/>
      <c r="L1676" s="10"/>
      <c r="M1676" s="10"/>
      <c r="N1676" s="30"/>
      <c r="O1676" s="7">
        <f t="shared" si="518"/>
        <v>0</v>
      </c>
    </row>
    <row r="1677" spans="1:15" x14ac:dyDescent="0.15">
      <c r="A1677" s="14" t="s">
        <v>29</v>
      </c>
      <c r="B1677" s="8"/>
      <c r="C1677" s="10"/>
      <c r="D1677" s="10"/>
      <c r="E1677" s="10"/>
      <c r="F1677" s="30">
        <v>1</v>
      </c>
      <c r="G1677" s="7">
        <f t="shared" si="515"/>
        <v>1</v>
      </c>
      <c r="H1677" s="58">
        <v>45960</v>
      </c>
      <c r="I1677" s="14"/>
      <c r="J1677" s="8"/>
      <c r="K1677" s="10"/>
      <c r="L1677" s="10"/>
      <c r="M1677" s="10"/>
      <c r="N1677" s="30"/>
      <c r="O1677" s="7">
        <f t="shared" si="518"/>
        <v>0</v>
      </c>
    </row>
    <row r="1678" spans="1:15" ht="14.25" thickBot="1" x14ac:dyDescent="0.2">
      <c r="A1678" s="14" t="s">
        <v>29</v>
      </c>
      <c r="B1678" s="8"/>
      <c r="C1678" s="10">
        <v>2</v>
      </c>
      <c r="D1678" s="10">
        <v>1</v>
      </c>
      <c r="E1678" s="10"/>
      <c r="F1678" s="30"/>
      <c r="G1678" s="7">
        <f t="shared" si="515"/>
        <v>3</v>
      </c>
      <c r="H1678" s="58">
        <v>45965</v>
      </c>
      <c r="I1678" s="14"/>
      <c r="J1678" s="8"/>
      <c r="K1678" s="10"/>
      <c r="L1678" s="10"/>
      <c r="M1678" s="10"/>
      <c r="N1678" s="30"/>
      <c r="O1678" s="7">
        <f t="shared" si="518"/>
        <v>0</v>
      </c>
    </row>
    <row r="1679" spans="1:15" ht="14.25" thickBot="1" x14ac:dyDescent="0.2">
      <c r="A1679" s="3" t="s">
        <v>11</v>
      </c>
      <c r="B1679" s="23">
        <f>SUM(B1653:B1678)</f>
        <v>5</v>
      </c>
      <c r="C1679" s="4">
        <f>SUM(C1653:C1678)</f>
        <v>19</v>
      </c>
      <c r="D1679" s="4">
        <f>SUM(D1653:D1678)</f>
        <v>3</v>
      </c>
      <c r="E1679" s="203">
        <f>SUM(E1653:E1678)</f>
        <v>11</v>
      </c>
      <c r="F1679" s="32">
        <f>SUM(F1653:F1678)</f>
        <v>5</v>
      </c>
      <c r="G1679" s="5">
        <f>SUM(B1679:F1679)</f>
        <v>43</v>
      </c>
      <c r="I1679" s="3" t="s">
        <v>11</v>
      </c>
      <c r="J1679" s="23">
        <f>SUM(J1653:J1678)</f>
        <v>0</v>
      </c>
      <c r="K1679" s="203">
        <f>SUM(K1653:K1678)</f>
        <v>23</v>
      </c>
      <c r="L1679" s="203">
        <f>SUM(L1653:L1678)</f>
        <v>0</v>
      </c>
      <c r="M1679" s="203">
        <f>SUM(M1653:M1678)</f>
        <v>0</v>
      </c>
      <c r="N1679" s="32">
        <f>SUM(N1653:N1678)</f>
        <v>0</v>
      </c>
      <c r="O1679" s="5">
        <f>SUM(J1679:N1679)</f>
        <v>23</v>
      </c>
    </row>
    <row r="1680" spans="1:15" ht="14.25" thickBot="1" x14ac:dyDescent="0.2">
      <c r="A1680" s="25" t="s">
        <v>12</v>
      </c>
      <c r="B1680" s="63">
        <f>B1652-B1679</f>
        <v>10</v>
      </c>
      <c r="C1680" s="26">
        <f t="shared" ref="C1680:G1680" si="520">C1652-C1679</f>
        <v>13</v>
      </c>
      <c r="D1680" s="71">
        <f t="shared" si="520"/>
        <v>1</v>
      </c>
      <c r="E1680" s="206">
        <f t="shared" si="520"/>
        <v>0</v>
      </c>
      <c r="F1680" s="70">
        <f t="shared" si="520"/>
        <v>5</v>
      </c>
      <c r="G1680" s="27">
        <f t="shared" si="520"/>
        <v>29</v>
      </c>
      <c r="I1680" s="25" t="s">
        <v>12</v>
      </c>
      <c r="J1680" s="63">
        <f>J1652-J1679</f>
        <v>62</v>
      </c>
      <c r="K1680" s="206">
        <f t="shared" ref="K1680" si="521">K1652-K1679</f>
        <v>0</v>
      </c>
      <c r="L1680" s="206">
        <f t="shared" ref="L1680:O1680" si="522">L1652-L1679</f>
        <v>0</v>
      </c>
      <c r="M1680" s="206">
        <f t="shared" si="522"/>
        <v>0</v>
      </c>
      <c r="N1680" s="70">
        <f t="shared" si="522"/>
        <v>46</v>
      </c>
      <c r="O1680" s="27">
        <f t="shared" si="522"/>
        <v>108</v>
      </c>
    </row>
    <row r="1681" spans="1:16" ht="17.25" x14ac:dyDescent="0.2">
      <c r="A1681" s="79" t="s">
        <v>391</v>
      </c>
      <c r="B1681" s="80"/>
      <c r="C1681" s="80"/>
      <c r="D1681" s="80"/>
      <c r="E1681" s="80"/>
      <c r="F1681" s="80"/>
      <c r="G1681" s="80"/>
      <c r="H1681" s="56"/>
      <c r="I1681" s="79" t="s">
        <v>391</v>
      </c>
      <c r="J1681" s="80"/>
      <c r="K1681" s="80"/>
      <c r="L1681" s="80"/>
      <c r="M1681" s="80"/>
      <c r="N1681" s="80"/>
      <c r="O1681" s="1"/>
    </row>
    <row r="1682" spans="1:16" ht="21.75" thickBot="1" x14ac:dyDescent="0.25">
      <c r="A1682" s="82" t="s">
        <v>390</v>
      </c>
      <c r="B1682" s="80"/>
      <c r="C1682" s="80"/>
      <c r="D1682" s="80"/>
      <c r="E1682" s="81" t="s">
        <v>53</v>
      </c>
      <c r="F1682" s="80"/>
      <c r="G1682" s="80"/>
      <c r="H1682" s="56"/>
      <c r="I1682" s="82" t="s">
        <v>390</v>
      </c>
      <c r="J1682" s="80"/>
      <c r="K1682" s="80"/>
      <c r="L1682" s="80"/>
      <c r="M1682" s="81" t="s">
        <v>393</v>
      </c>
      <c r="N1682" s="80"/>
      <c r="O1682" s="1"/>
    </row>
    <row r="1683" spans="1:16" ht="14.25" thickBot="1" x14ac:dyDescent="0.2">
      <c r="A1683" s="13" t="s">
        <v>0</v>
      </c>
      <c r="B1683" s="228" t="s">
        <v>392</v>
      </c>
      <c r="C1683" s="229"/>
      <c r="D1683" s="229"/>
      <c r="E1683" s="229"/>
      <c r="F1683" s="230"/>
      <c r="G1683" s="231"/>
      <c r="H1683" s="56"/>
      <c r="I1683" s="13" t="s">
        <v>0</v>
      </c>
      <c r="J1683" s="228" t="s">
        <v>392</v>
      </c>
      <c r="K1683" s="229"/>
      <c r="L1683" s="229"/>
      <c r="M1683" s="229"/>
      <c r="N1683" s="230"/>
      <c r="O1683" s="231"/>
    </row>
    <row r="1684" spans="1:16" ht="14.25" thickBot="1" x14ac:dyDescent="0.2">
      <c r="A1684" s="3" t="s">
        <v>1</v>
      </c>
      <c r="B1684" s="2" t="s">
        <v>42</v>
      </c>
      <c r="C1684" s="21" t="s">
        <v>43</v>
      </c>
      <c r="D1684" s="21" t="s">
        <v>44</v>
      </c>
      <c r="E1684" s="24" t="s">
        <v>45</v>
      </c>
      <c r="F1684" s="33" t="s">
        <v>46</v>
      </c>
      <c r="G1684" s="34" t="s">
        <v>2</v>
      </c>
      <c r="H1684" s="56"/>
      <c r="I1684" s="3" t="s">
        <v>1</v>
      </c>
      <c r="J1684" s="41" t="s">
        <v>42</v>
      </c>
      <c r="K1684" s="42" t="s">
        <v>43</v>
      </c>
      <c r="L1684" s="42" t="s">
        <v>44</v>
      </c>
      <c r="M1684" s="43" t="s">
        <v>45</v>
      </c>
      <c r="N1684" s="44" t="s">
        <v>46</v>
      </c>
      <c r="O1684" s="3" t="s">
        <v>2</v>
      </c>
    </row>
    <row r="1685" spans="1:16" ht="14.25" thickBot="1" x14ac:dyDescent="0.2">
      <c r="A1685" s="72" t="s">
        <v>456</v>
      </c>
      <c r="B1685" s="73">
        <f>B1680</f>
        <v>10</v>
      </c>
      <c r="C1685" s="74">
        <f t="shared" ref="C1685:F1685" si="523">C1680</f>
        <v>13</v>
      </c>
      <c r="D1685" s="74">
        <f t="shared" si="523"/>
        <v>1</v>
      </c>
      <c r="E1685" s="74">
        <f t="shared" si="523"/>
        <v>0</v>
      </c>
      <c r="F1685" s="105">
        <f t="shared" si="523"/>
        <v>5</v>
      </c>
      <c r="G1685" s="131">
        <f t="shared" ref="G1685:G1693" si="524">SUM(B1685:F1685)</f>
        <v>29</v>
      </c>
      <c r="H1685" s="56"/>
      <c r="I1685" s="72" t="s">
        <v>456</v>
      </c>
      <c r="J1685" s="73">
        <f>J1680</f>
        <v>62</v>
      </c>
      <c r="K1685" s="74">
        <f t="shared" ref="K1685:N1685" si="525">K1680</f>
        <v>0</v>
      </c>
      <c r="L1685" s="74">
        <f t="shared" si="525"/>
        <v>0</v>
      </c>
      <c r="M1685" s="74">
        <f t="shared" si="525"/>
        <v>0</v>
      </c>
      <c r="N1685" s="105">
        <f t="shared" si="525"/>
        <v>46</v>
      </c>
      <c r="O1685" s="131">
        <f t="shared" ref="O1685:O1693" si="526">SUM(J1685:N1685)</f>
        <v>108</v>
      </c>
    </row>
    <row r="1686" spans="1:16" x14ac:dyDescent="0.15">
      <c r="A1686" s="38" t="s">
        <v>14</v>
      </c>
      <c r="B1686" s="8">
        <v>10</v>
      </c>
      <c r="C1686" s="10"/>
      <c r="D1686" s="10"/>
      <c r="E1686" s="10"/>
      <c r="F1686" s="30"/>
      <c r="G1686" s="7">
        <f t="shared" si="524"/>
        <v>10</v>
      </c>
      <c r="H1686" s="58">
        <v>45976</v>
      </c>
      <c r="I1686" s="38" t="s">
        <v>14</v>
      </c>
      <c r="J1686" s="8"/>
      <c r="K1686" s="10"/>
      <c r="L1686" s="10"/>
      <c r="M1686" s="10"/>
      <c r="N1686" s="30"/>
      <c r="O1686" s="7">
        <f t="shared" si="526"/>
        <v>0</v>
      </c>
    </row>
    <row r="1687" spans="1:16" x14ac:dyDescent="0.15">
      <c r="A1687" s="195" t="s">
        <v>3</v>
      </c>
      <c r="B1687" s="158"/>
      <c r="C1687" s="159"/>
      <c r="D1687" s="159"/>
      <c r="E1687" s="159"/>
      <c r="F1687" s="160">
        <v>3</v>
      </c>
      <c r="G1687" s="161">
        <f t="shared" ref="G1687:G1689" si="527">SUM(B1687:F1687)</f>
        <v>3</v>
      </c>
      <c r="H1687" s="162">
        <v>46037</v>
      </c>
      <c r="I1687" s="38" t="s">
        <v>3</v>
      </c>
      <c r="J1687" s="8"/>
      <c r="K1687" s="10"/>
      <c r="L1687" s="10"/>
      <c r="M1687" s="10"/>
      <c r="N1687" s="30"/>
      <c r="O1687" s="7">
        <f t="shared" si="526"/>
        <v>0</v>
      </c>
    </row>
    <row r="1688" spans="1:16" x14ac:dyDescent="0.15">
      <c r="A1688" s="38" t="s">
        <v>4</v>
      </c>
      <c r="B1688" s="8">
        <v>10</v>
      </c>
      <c r="C1688" s="10"/>
      <c r="D1688" s="10"/>
      <c r="E1688" s="10"/>
      <c r="F1688" s="30"/>
      <c r="G1688" s="7">
        <f t="shared" si="527"/>
        <v>10</v>
      </c>
      <c r="H1688" s="58">
        <v>46060</v>
      </c>
      <c r="I1688" s="38" t="s">
        <v>4</v>
      </c>
      <c r="J1688" s="8"/>
      <c r="K1688" s="10"/>
      <c r="L1688" s="10"/>
      <c r="M1688" s="10"/>
      <c r="N1688" s="30"/>
      <c r="O1688" s="7">
        <f t="shared" si="526"/>
        <v>0</v>
      </c>
    </row>
    <row r="1689" spans="1:16" x14ac:dyDescent="0.15">
      <c r="A1689" s="195" t="s">
        <v>5</v>
      </c>
      <c r="B1689" s="158">
        <v>10</v>
      </c>
      <c r="C1689" s="159"/>
      <c r="D1689" s="159"/>
      <c r="E1689" s="159"/>
      <c r="F1689" s="160">
        <v>3</v>
      </c>
      <c r="G1689" s="161">
        <f t="shared" si="527"/>
        <v>13</v>
      </c>
      <c r="H1689" s="162">
        <v>46070</v>
      </c>
      <c r="I1689" s="38" t="s">
        <v>5</v>
      </c>
      <c r="J1689" s="8"/>
      <c r="K1689" s="10"/>
      <c r="L1689" s="10"/>
      <c r="M1689" s="10"/>
      <c r="N1689" s="30"/>
      <c r="O1689" s="7">
        <f t="shared" si="526"/>
        <v>0</v>
      </c>
    </row>
    <row r="1690" spans="1:16" x14ac:dyDescent="0.15">
      <c r="A1690" s="38" t="s">
        <v>6</v>
      </c>
      <c r="B1690" s="8"/>
      <c r="C1690" s="10"/>
      <c r="D1690" s="10"/>
      <c r="E1690" s="10"/>
      <c r="F1690" s="30"/>
      <c r="G1690" s="7">
        <f t="shared" si="524"/>
        <v>0</v>
      </c>
      <c r="H1690" s="58">
        <v>46074</v>
      </c>
      <c r="I1690" s="38" t="s">
        <v>6</v>
      </c>
      <c r="J1690" s="8"/>
      <c r="K1690" s="10"/>
      <c r="L1690" s="10"/>
      <c r="M1690" s="10"/>
      <c r="N1690" s="30"/>
      <c r="O1690" s="7">
        <f t="shared" si="526"/>
        <v>0</v>
      </c>
    </row>
    <row r="1691" spans="1:16" x14ac:dyDescent="0.15">
      <c r="A1691" s="38" t="s">
        <v>84</v>
      </c>
      <c r="B1691" s="8"/>
      <c r="C1691" s="10"/>
      <c r="D1691" s="10"/>
      <c r="E1691" s="10"/>
      <c r="F1691" s="30"/>
      <c r="G1691" s="7">
        <f t="shared" si="524"/>
        <v>0</v>
      </c>
      <c r="I1691" s="38" t="s">
        <v>84</v>
      </c>
      <c r="J1691" s="8"/>
      <c r="K1691" s="10"/>
      <c r="L1691" s="10"/>
      <c r="M1691" s="10"/>
      <c r="N1691" s="30"/>
      <c r="O1691" s="7">
        <f t="shared" si="526"/>
        <v>0</v>
      </c>
    </row>
    <row r="1692" spans="1:16" x14ac:dyDescent="0.15">
      <c r="A1692" s="38" t="s">
        <v>85</v>
      </c>
      <c r="B1692" s="8"/>
      <c r="C1692" s="10"/>
      <c r="D1692" s="10"/>
      <c r="E1692" s="10"/>
      <c r="F1692" s="30"/>
      <c r="G1692" s="7">
        <f t="shared" si="524"/>
        <v>0</v>
      </c>
      <c r="I1692" s="38" t="s">
        <v>85</v>
      </c>
      <c r="J1692" s="8"/>
      <c r="K1692" s="10"/>
      <c r="L1692" s="10"/>
      <c r="M1692" s="10"/>
      <c r="N1692" s="30"/>
      <c r="O1692" s="7">
        <f t="shared" si="526"/>
        <v>0</v>
      </c>
    </row>
    <row r="1693" spans="1:16" ht="14.25" thickBot="1" x14ac:dyDescent="0.2">
      <c r="A1693" s="38" t="s">
        <v>86</v>
      </c>
      <c r="B1693" s="8"/>
      <c r="C1693" s="10"/>
      <c r="D1693" s="10"/>
      <c r="E1693" s="10"/>
      <c r="F1693" s="30"/>
      <c r="G1693" s="7">
        <f t="shared" si="524"/>
        <v>0</v>
      </c>
      <c r="I1693" s="38" t="s">
        <v>86</v>
      </c>
      <c r="J1693" s="8"/>
      <c r="K1693" s="10"/>
      <c r="L1693" s="10"/>
      <c r="M1693" s="10"/>
      <c r="N1693" s="30"/>
      <c r="O1693" s="7">
        <f t="shared" si="526"/>
        <v>0</v>
      </c>
    </row>
    <row r="1694" spans="1:16" ht="14.25" thickBot="1" x14ac:dyDescent="0.2">
      <c r="A1694" s="72" t="s">
        <v>7</v>
      </c>
      <c r="B1694" s="73">
        <f>SUM(B1685:B1693)</f>
        <v>40</v>
      </c>
      <c r="C1694" s="74">
        <f t="shared" ref="C1694:G1694" si="528">SUM(C1685:C1693)</f>
        <v>13</v>
      </c>
      <c r="D1694" s="74">
        <f t="shared" si="528"/>
        <v>1</v>
      </c>
      <c r="E1694" s="74">
        <f t="shared" si="528"/>
        <v>0</v>
      </c>
      <c r="F1694" s="105">
        <f t="shared" si="528"/>
        <v>11</v>
      </c>
      <c r="G1694" s="76">
        <f t="shared" si="528"/>
        <v>65</v>
      </c>
      <c r="H1694" s="56"/>
      <c r="I1694" s="72" t="s">
        <v>7</v>
      </c>
      <c r="J1694" s="73">
        <f>SUM(J1685:J1693)</f>
        <v>62</v>
      </c>
      <c r="K1694" s="74">
        <f t="shared" ref="K1694:O1694" si="529">SUM(K1685:K1693)</f>
        <v>0</v>
      </c>
      <c r="L1694" s="74">
        <f t="shared" si="529"/>
        <v>0</v>
      </c>
      <c r="M1694" s="74">
        <f t="shared" si="529"/>
        <v>0</v>
      </c>
      <c r="N1694" s="105">
        <f t="shared" si="529"/>
        <v>46</v>
      </c>
      <c r="O1694" s="76">
        <f t="shared" si="529"/>
        <v>108</v>
      </c>
    </row>
    <row r="1695" spans="1:16" x14ac:dyDescent="0.15">
      <c r="A1695" s="14" t="s">
        <v>29</v>
      </c>
      <c r="B1695" s="8"/>
      <c r="C1695" s="10">
        <v>1</v>
      </c>
      <c r="D1695" s="10"/>
      <c r="E1695" s="10"/>
      <c r="F1695" s="30"/>
      <c r="G1695" s="7">
        <f t="shared" ref="G1695:G1718" si="530">SUM(B1695:F1695)</f>
        <v>1</v>
      </c>
      <c r="H1695" s="58">
        <v>45967</v>
      </c>
      <c r="I1695" s="14" t="s">
        <v>1648</v>
      </c>
      <c r="J1695" s="8">
        <v>10</v>
      </c>
      <c r="K1695" s="10"/>
      <c r="L1695" s="10"/>
      <c r="M1695" s="10"/>
      <c r="N1695" s="30"/>
      <c r="O1695" s="7">
        <f t="shared" ref="O1695" si="531">SUM(J1695:N1695)</f>
        <v>10</v>
      </c>
      <c r="P1695" s="57">
        <v>45976</v>
      </c>
    </row>
    <row r="1696" spans="1:16" x14ac:dyDescent="0.15">
      <c r="A1696" s="14" t="s">
        <v>29</v>
      </c>
      <c r="B1696" s="8">
        <v>2</v>
      </c>
      <c r="C1696" s="10"/>
      <c r="D1696" s="10"/>
      <c r="E1696" s="10"/>
      <c r="F1696" s="30"/>
      <c r="G1696" s="7">
        <f t="shared" si="530"/>
        <v>2</v>
      </c>
      <c r="H1696" s="58">
        <v>45972</v>
      </c>
      <c r="I1696" s="157" t="s">
        <v>24</v>
      </c>
      <c r="J1696" s="158"/>
      <c r="K1696" s="159"/>
      <c r="L1696" s="159"/>
      <c r="M1696" s="159"/>
      <c r="N1696" s="160">
        <v>3</v>
      </c>
      <c r="O1696" s="161">
        <f t="shared" ref="O1696:O1720" si="532">SUM(J1696:N1696)</f>
        <v>3</v>
      </c>
      <c r="P1696" s="162">
        <v>46037</v>
      </c>
    </row>
    <row r="1697" spans="1:16" x14ac:dyDescent="0.15">
      <c r="A1697" s="14" t="s">
        <v>29</v>
      </c>
      <c r="B1697" s="8">
        <v>1</v>
      </c>
      <c r="C1697" s="10"/>
      <c r="D1697" s="10"/>
      <c r="E1697" s="10"/>
      <c r="F1697" s="30"/>
      <c r="G1697" s="7">
        <f t="shared" si="530"/>
        <v>1</v>
      </c>
      <c r="H1697" s="58">
        <v>45974</v>
      </c>
      <c r="I1697" s="157" t="s">
        <v>24</v>
      </c>
      <c r="J1697" s="8">
        <v>10</v>
      </c>
      <c r="K1697" s="10"/>
      <c r="L1697" s="10"/>
      <c r="M1697" s="10"/>
      <c r="N1697" s="30"/>
      <c r="O1697" s="7">
        <f t="shared" si="532"/>
        <v>10</v>
      </c>
      <c r="P1697" s="57">
        <v>46060</v>
      </c>
    </row>
    <row r="1698" spans="1:16" x14ac:dyDescent="0.15">
      <c r="A1698" s="14" t="s">
        <v>29</v>
      </c>
      <c r="B1698" s="8">
        <v>2</v>
      </c>
      <c r="C1698" s="10">
        <v>1</v>
      </c>
      <c r="D1698" s="10"/>
      <c r="E1698" s="10"/>
      <c r="F1698" s="30">
        <v>1</v>
      </c>
      <c r="G1698" s="7">
        <f t="shared" si="530"/>
        <v>4</v>
      </c>
      <c r="H1698" s="58">
        <v>45986</v>
      </c>
      <c r="I1698" s="157" t="s">
        <v>24</v>
      </c>
      <c r="J1698" s="158"/>
      <c r="K1698" s="159"/>
      <c r="L1698" s="159"/>
      <c r="M1698" s="159"/>
      <c r="N1698" s="160">
        <v>3</v>
      </c>
      <c r="O1698" s="161">
        <f t="shared" si="532"/>
        <v>3</v>
      </c>
      <c r="P1698" s="162">
        <v>46070</v>
      </c>
    </row>
    <row r="1699" spans="1:16" x14ac:dyDescent="0.15">
      <c r="A1699" s="14" t="s">
        <v>29</v>
      </c>
      <c r="B1699" s="8"/>
      <c r="C1699" s="10">
        <v>2</v>
      </c>
      <c r="D1699" s="10"/>
      <c r="E1699" s="10"/>
      <c r="F1699" s="30"/>
      <c r="G1699" s="7">
        <f t="shared" si="530"/>
        <v>2</v>
      </c>
      <c r="H1699" s="58">
        <v>45989</v>
      </c>
      <c r="I1699" s="157" t="s">
        <v>24</v>
      </c>
      <c r="J1699" s="8">
        <v>10</v>
      </c>
      <c r="K1699" s="10"/>
      <c r="L1699" s="10"/>
      <c r="M1699" s="10"/>
      <c r="N1699" s="30"/>
      <c r="O1699" s="7">
        <f t="shared" si="532"/>
        <v>10</v>
      </c>
      <c r="P1699" s="57">
        <v>46074</v>
      </c>
    </row>
    <row r="1700" spans="1:16" x14ac:dyDescent="0.15">
      <c r="A1700" s="14" t="s">
        <v>29</v>
      </c>
      <c r="B1700" s="8">
        <v>1</v>
      </c>
      <c r="C1700" s="10">
        <v>1</v>
      </c>
      <c r="D1700" s="10"/>
      <c r="E1700" s="10"/>
      <c r="F1700" s="30"/>
      <c r="G1700" s="7">
        <f t="shared" si="530"/>
        <v>2</v>
      </c>
      <c r="H1700" s="58">
        <v>45992</v>
      </c>
      <c r="I1700" s="14"/>
      <c r="J1700" s="8"/>
      <c r="K1700" s="10"/>
      <c r="L1700" s="10"/>
      <c r="M1700" s="10"/>
      <c r="N1700" s="30"/>
      <c r="O1700" s="7">
        <f t="shared" si="532"/>
        <v>0</v>
      </c>
    </row>
    <row r="1701" spans="1:16" x14ac:dyDescent="0.15">
      <c r="A1701" s="14" t="s">
        <v>29</v>
      </c>
      <c r="B1701" s="8"/>
      <c r="C1701" s="10">
        <v>1</v>
      </c>
      <c r="D1701" s="10"/>
      <c r="E1701" s="10"/>
      <c r="F1701" s="30"/>
      <c r="G1701" s="7">
        <f t="shared" si="530"/>
        <v>1</v>
      </c>
      <c r="H1701" s="58">
        <v>45993</v>
      </c>
      <c r="I1701" s="14"/>
      <c r="J1701" s="8"/>
      <c r="K1701" s="10"/>
      <c r="L1701" s="10"/>
      <c r="M1701" s="10"/>
      <c r="N1701" s="30"/>
      <c r="O1701" s="7">
        <f t="shared" si="532"/>
        <v>0</v>
      </c>
    </row>
    <row r="1702" spans="1:16" x14ac:dyDescent="0.15">
      <c r="A1702" s="14" t="s">
        <v>29</v>
      </c>
      <c r="B1702" s="8">
        <v>1</v>
      </c>
      <c r="C1702" s="10">
        <f>1+3</f>
        <v>4</v>
      </c>
      <c r="D1702" s="10"/>
      <c r="E1702" s="10"/>
      <c r="F1702" s="30"/>
      <c r="G1702" s="7">
        <f t="shared" si="530"/>
        <v>5</v>
      </c>
      <c r="H1702" s="58">
        <v>45996</v>
      </c>
      <c r="I1702" s="14"/>
      <c r="J1702" s="8"/>
      <c r="K1702" s="10"/>
      <c r="L1702" s="10"/>
      <c r="M1702" s="10"/>
      <c r="N1702" s="30"/>
      <c r="O1702" s="7">
        <f t="shared" si="532"/>
        <v>0</v>
      </c>
    </row>
    <row r="1703" spans="1:16" x14ac:dyDescent="0.15">
      <c r="A1703" s="14" t="s">
        <v>29</v>
      </c>
      <c r="B1703" s="8"/>
      <c r="C1703" s="10"/>
      <c r="D1703" s="10"/>
      <c r="E1703" s="10"/>
      <c r="F1703" s="30">
        <v>1</v>
      </c>
      <c r="G1703" s="7">
        <f t="shared" si="530"/>
        <v>1</v>
      </c>
      <c r="H1703" s="58">
        <v>46013</v>
      </c>
      <c r="I1703" s="14"/>
      <c r="J1703" s="8"/>
      <c r="K1703" s="10"/>
      <c r="L1703" s="10"/>
      <c r="M1703" s="10"/>
      <c r="N1703" s="30"/>
      <c r="O1703" s="7">
        <f t="shared" si="532"/>
        <v>0</v>
      </c>
    </row>
    <row r="1704" spans="1:16" x14ac:dyDescent="0.15">
      <c r="A1704" s="14" t="s">
        <v>29</v>
      </c>
      <c r="B1704" s="8">
        <v>1</v>
      </c>
      <c r="C1704" s="10"/>
      <c r="D1704" s="10"/>
      <c r="E1704" s="10"/>
      <c r="F1704" s="30"/>
      <c r="G1704" s="7">
        <f t="shared" si="530"/>
        <v>1</v>
      </c>
      <c r="H1704" s="58">
        <v>46016</v>
      </c>
      <c r="I1704" s="14"/>
      <c r="J1704" s="8"/>
      <c r="K1704" s="10"/>
      <c r="L1704" s="10"/>
      <c r="M1704" s="10"/>
      <c r="N1704" s="30"/>
      <c r="O1704" s="7">
        <f t="shared" si="532"/>
        <v>0</v>
      </c>
    </row>
    <row r="1705" spans="1:16" x14ac:dyDescent="0.15">
      <c r="A1705" s="14" t="s">
        <v>29</v>
      </c>
      <c r="B1705" s="8"/>
      <c r="C1705" s="10">
        <v>1</v>
      </c>
      <c r="D1705" s="10"/>
      <c r="E1705" s="10"/>
      <c r="F1705" s="30">
        <v>1</v>
      </c>
      <c r="G1705" s="7">
        <f t="shared" si="530"/>
        <v>2</v>
      </c>
      <c r="H1705" s="58">
        <v>46017</v>
      </c>
      <c r="I1705" s="14"/>
      <c r="J1705" s="8"/>
      <c r="K1705" s="10"/>
      <c r="L1705" s="10"/>
      <c r="M1705" s="10"/>
      <c r="N1705" s="30"/>
      <c r="O1705" s="7">
        <f t="shared" si="532"/>
        <v>0</v>
      </c>
    </row>
    <row r="1706" spans="1:16" x14ac:dyDescent="0.15">
      <c r="A1706" s="14" t="s">
        <v>1632</v>
      </c>
      <c r="B1706" s="8"/>
      <c r="C1706" s="10">
        <v>2</v>
      </c>
      <c r="D1706" s="10"/>
      <c r="E1706" s="10"/>
      <c r="F1706" s="30"/>
      <c r="G1706" s="7">
        <f t="shared" si="530"/>
        <v>2</v>
      </c>
      <c r="H1706" s="58">
        <v>46029</v>
      </c>
      <c r="I1706" s="14"/>
      <c r="J1706" s="8"/>
      <c r="K1706" s="10"/>
      <c r="L1706" s="10"/>
      <c r="M1706" s="10"/>
      <c r="N1706" s="30"/>
      <c r="O1706" s="7">
        <f t="shared" si="532"/>
        <v>0</v>
      </c>
    </row>
    <row r="1707" spans="1:16" x14ac:dyDescent="0.15">
      <c r="A1707" s="14" t="s">
        <v>29</v>
      </c>
      <c r="B1707" s="8"/>
      <c r="C1707" s="10"/>
      <c r="D1707" s="10">
        <v>1</v>
      </c>
      <c r="E1707" s="10"/>
      <c r="F1707" s="30">
        <v>1</v>
      </c>
      <c r="G1707" s="7">
        <f t="shared" si="530"/>
        <v>2</v>
      </c>
      <c r="H1707" s="58">
        <v>46032</v>
      </c>
      <c r="I1707" s="14"/>
      <c r="J1707" s="8"/>
      <c r="K1707" s="10"/>
      <c r="L1707" s="10"/>
      <c r="M1707" s="10"/>
      <c r="N1707" s="30"/>
      <c r="O1707" s="7">
        <f t="shared" si="532"/>
        <v>0</v>
      </c>
    </row>
    <row r="1708" spans="1:16" x14ac:dyDescent="0.15">
      <c r="A1708" s="14" t="s">
        <v>29</v>
      </c>
      <c r="B1708" s="8">
        <v>1</v>
      </c>
      <c r="C1708" s="10"/>
      <c r="D1708" s="10"/>
      <c r="E1708" s="10"/>
      <c r="F1708" s="30"/>
      <c r="G1708" s="7">
        <f t="shared" si="530"/>
        <v>1</v>
      </c>
      <c r="H1708" s="58">
        <v>46036</v>
      </c>
      <c r="I1708" s="14"/>
      <c r="J1708" s="8"/>
      <c r="K1708" s="10"/>
      <c r="L1708" s="10"/>
      <c r="M1708" s="10"/>
      <c r="N1708" s="30"/>
      <c r="O1708" s="7">
        <f t="shared" si="532"/>
        <v>0</v>
      </c>
    </row>
    <row r="1709" spans="1:16" x14ac:dyDescent="0.15">
      <c r="A1709" s="14" t="s">
        <v>29</v>
      </c>
      <c r="B1709" s="8"/>
      <c r="C1709" s="10"/>
      <c r="D1709" s="10"/>
      <c r="E1709" s="10"/>
      <c r="F1709" s="30">
        <v>1</v>
      </c>
      <c r="G1709" s="7">
        <f t="shared" si="530"/>
        <v>1</v>
      </c>
      <c r="H1709" s="58">
        <v>46037</v>
      </c>
      <c r="I1709" s="14"/>
      <c r="J1709" s="8"/>
      <c r="K1709" s="10"/>
      <c r="L1709" s="10"/>
      <c r="M1709" s="10"/>
      <c r="N1709" s="30"/>
      <c r="O1709" s="7">
        <f t="shared" si="532"/>
        <v>0</v>
      </c>
    </row>
    <row r="1710" spans="1:16" x14ac:dyDescent="0.15">
      <c r="A1710" s="14" t="s">
        <v>29</v>
      </c>
      <c r="B1710" s="8">
        <v>1</v>
      </c>
      <c r="C1710" s="10"/>
      <c r="D1710" s="10"/>
      <c r="E1710" s="10"/>
      <c r="F1710" s="30"/>
      <c r="G1710" s="7">
        <f t="shared" si="530"/>
        <v>1</v>
      </c>
      <c r="H1710" s="58">
        <v>46038</v>
      </c>
      <c r="I1710" s="14"/>
      <c r="J1710" s="8"/>
      <c r="K1710" s="10"/>
      <c r="L1710" s="10"/>
      <c r="M1710" s="10"/>
      <c r="N1710" s="30"/>
      <c r="O1710" s="7">
        <f t="shared" si="532"/>
        <v>0</v>
      </c>
    </row>
    <row r="1711" spans="1:16" x14ac:dyDescent="0.15">
      <c r="A1711" s="14" t="s">
        <v>29</v>
      </c>
      <c r="B1711" s="8">
        <v>1</v>
      </c>
      <c r="C1711" s="10"/>
      <c r="D1711" s="10"/>
      <c r="E1711" s="10"/>
      <c r="F1711" s="30"/>
      <c r="G1711" s="7">
        <f t="shared" si="530"/>
        <v>1</v>
      </c>
      <c r="H1711" s="58">
        <v>46043</v>
      </c>
      <c r="I1711" s="14"/>
      <c r="J1711" s="8"/>
      <c r="K1711" s="10"/>
      <c r="L1711" s="10"/>
      <c r="M1711" s="10"/>
      <c r="N1711" s="30"/>
      <c r="O1711" s="7">
        <f t="shared" si="532"/>
        <v>0</v>
      </c>
    </row>
    <row r="1712" spans="1:16" x14ac:dyDescent="0.15">
      <c r="A1712" s="14" t="s">
        <v>29</v>
      </c>
      <c r="B1712" s="8">
        <v>3</v>
      </c>
      <c r="C1712" s="10"/>
      <c r="D1712" s="10"/>
      <c r="E1712" s="10"/>
      <c r="F1712" s="30"/>
      <c r="G1712" s="7">
        <f t="shared" si="530"/>
        <v>3</v>
      </c>
      <c r="H1712" s="58">
        <v>46048</v>
      </c>
      <c r="I1712" s="14"/>
      <c r="J1712" s="8"/>
      <c r="K1712" s="10"/>
      <c r="L1712" s="10"/>
      <c r="M1712" s="10"/>
      <c r="N1712" s="30"/>
      <c r="O1712" s="7">
        <f t="shared" si="532"/>
        <v>0</v>
      </c>
    </row>
    <row r="1713" spans="1:15" x14ac:dyDescent="0.15">
      <c r="A1713" s="14" t="s">
        <v>29</v>
      </c>
      <c r="B1713" s="8">
        <v>2</v>
      </c>
      <c r="C1713" s="10"/>
      <c r="D1713" s="10"/>
      <c r="E1713" s="10"/>
      <c r="F1713" s="30">
        <v>1</v>
      </c>
      <c r="G1713" s="7">
        <f t="shared" si="530"/>
        <v>3</v>
      </c>
      <c r="H1713" s="58">
        <v>46055</v>
      </c>
      <c r="I1713" s="14"/>
      <c r="J1713" s="8"/>
      <c r="K1713" s="10"/>
      <c r="L1713" s="10"/>
      <c r="M1713" s="10"/>
      <c r="N1713" s="30"/>
      <c r="O1713" s="7">
        <f t="shared" si="532"/>
        <v>0</v>
      </c>
    </row>
    <row r="1714" spans="1:15" x14ac:dyDescent="0.15">
      <c r="A1714" s="14" t="s">
        <v>1632</v>
      </c>
      <c r="B1714" s="8">
        <v>2</v>
      </c>
      <c r="C1714" s="10"/>
      <c r="D1714" s="10"/>
      <c r="E1714" s="10"/>
      <c r="F1714" s="30"/>
      <c r="G1714" s="7">
        <f t="shared" si="530"/>
        <v>2</v>
      </c>
      <c r="H1714" s="58">
        <v>46058</v>
      </c>
      <c r="I1714" s="14"/>
      <c r="J1714" s="8"/>
      <c r="K1714" s="10"/>
      <c r="L1714" s="10"/>
      <c r="M1714" s="10"/>
      <c r="N1714" s="30"/>
      <c r="O1714" s="7">
        <f t="shared" si="532"/>
        <v>0</v>
      </c>
    </row>
    <row r="1715" spans="1:15" x14ac:dyDescent="0.15">
      <c r="A1715" s="14" t="s">
        <v>29</v>
      </c>
      <c r="B1715" s="8">
        <v>2</v>
      </c>
      <c r="C1715" s="10"/>
      <c r="D1715" s="10"/>
      <c r="E1715" s="10"/>
      <c r="F1715" s="30"/>
      <c r="G1715" s="7">
        <f t="shared" si="530"/>
        <v>2</v>
      </c>
      <c r="H1715" s="58">
        <v>46062</v>
      </c>
      <c r="I1715" s="14"/>
      <c r="J1715" s="8"/>
      <c r="K1715" s="10"/>
      <c r="L1715" s="10"/>
      <c r="M1715" s="10"/>
      <c r="N1715" s="30"/>
      <c r="O1715" s="7">
        <f t="shared" si="532"/>
        <v>0</v>
      </c>
    </row>
    <row r="1716" spans="1:15" x14ac:dyDescent="0.15">
      <c r="A1716" s="14" t="s">
        <v>29</v>
      </c>
      <c r="B1716" s="8">
        <v>1</v>
      </c>
      <c r="C1716" s="10"/>
      <c r="D1716" s="10"/>
      <c r="E1716" s="10"/>
      <c r="F1716" s="30"/>
      <c r="G1716" s="7">
        <f t="shared" si="530"/>
        <v>1</v>
      </c>
      <c r="H1716" s="58">
        <v>46069</v>
      </c>
      <c r="I1716" s="14"/>
      <c r="J1716" s="8"/>
      <c r="K1716" s="10"/>
      <c r="L1716" s="10"/>
      <c r="M1716" s="10"/>
      <c r="N1716" s="30"/>
      <c r="O1716" s="7">
        <f t="shared" si="532"/>
        <v>0</v>
      </c>
    </row>
    <row r="1717" spans="1:15" x14ac:dyDescent="0.15">
      <c r="A1717" s="14" t="s">
        <v>29</v>
      </c>
      <c r="B1717" s="8">
        <v>2</v>
      </c>
      <c r="C1717" s="10"/>
      <c r="D1717" s="10"/>
      <c r="E1717" s="10"/>
      <c r="F1717" s="30"/>
      <c r="G1717" s="7">
        <f t="shared" si="530"/>
        <v>2</v>
      </c>
      <c r="H1717" s="58">
        <v>46073</v>
      </c>
      <c r="I1717" s="14"/>
      <c r="J1717" s="8"/>
      <c r="K1717" s="10"/>
      <c r="L1717" s="10"/>
      <c r="M1717" s="10"/>
      <c r="N1717" s="30"/>
      <c r="O1717" s="7">
        <f t="shared" si="532"/>
        <v>0</v>
      </c>
    </row>
    <row r="1718" spans="1:15" x14ac:dyDescent="0.15">
      <c r="A1718" s="14" t="s">
        <v>29</v>
      </c>
      <c r="B1718" s="8">
        <v>2</v>
      </c>
      <c r="C1718" s="10"/>
      <c r="D1718" s="10"/>
      <c r="E1718" s="10"/>
      <c r="F1718" s="30"/>
      <c r="G1718" s="7">
        <f t="shared" si="530"/>
        <v>2</v>
      </c>
      <c r="H1718" s="58">
        <v>46077</v>
      </c>
      <c r="I1718" s="14"/>
      <c r="J1718" s="8"/>
      <c r="K1718" s="10"/>
      <c r="L1718" s="10"/>
      <c r="M1718" s="10"/>
      <c r="N1718" s="30"/>
      <c r="O1718" s="7">
        <f t="shared" si="532"/>
        <v>0</v>
      </c>
    </row>
    <row r="1719" spans="1:15" x14ac:dyDescent="0.15">
      <c r="A1719" s="14" t="s">
        <v>29</v>
      </c>
      <c r="B1719" s="8"/>
      <c r="C1719" s="10"/>
      <c r="D1719" s="10"/>
      <c r="E1719" s="10"/>
      <c r="F1719" s="30">
        <v>1</v>
      </c>
      <c r="G1719" s="7">
        <f t="shared" ref="G1719:G1720" si="533">SUM(B1719:F1719)</f>
        <v>1</v>
      </c>
      <c r="H1719" s="58">
        <v>46078</v>
      </c>
      <c r="I1719" s="14"/>
      <c r="J1719" s="8"/>
      <c r="K1719" s="10"/>
      <c r="L1719" s="10"/>
      <c r="M1719" s="10"/>
      <c r="N1719" s="30"/>
      <c r="O1719" s="7">
        <f t="shared" si="532"/>
        <v>0</v>
      </c>
    </row>
    <row r="1720" spans="1:15" ht="14.25" thickBot="1" x14ac:dyDescent="0.2">
      <c r="A1720" s="14" t="s">
        <v>1655</v>
      </c>
      <c r="B1720" s="8">
        <v>2</v>
      </c>
      <c r="C1720" s="10"/>
      <c r="D1720" s="10"/>
      <c r="E1720" s="10"/>
      <c r="F1720" s="30"/>
      <c r="G1720" s="7">
        <f t="shared" si="533"/>
        <v>2</v>
      </c>
      <c r="H1720" s="58">
        <v>46086</v>
      </c>
      <c r="I1720" s="14"/>
      <c r="J1720" s="8"/>
      <c r="K1720" s="10"/>
      <c r="L1720" s="10"/>
      <c r="M1720" s="10"/>
      <c r="N1720" s="30"/>
      <c r="O1720" s="7">
        <f t="shared" si="532"/>
        <v>0</v>
      </c>
    </row>
    <row r="1721" spans="1:15" ht="14.25" thickBot="1" x14ac:dyDescent="0.2">
      <c r="A1721" s="3" t="s">
        <v>11</v>
      </c>
      <c r="B1721" s="23">
        <f>SUM(B1695:B1720)</f>
        <v>27</v>
      </c>
      <c r="C1721" s="203">
        <f>SUM(C1695:C1720)</f>
        <v>13</v>
      </c>
      <c r="D1721" s="203">
        <f>SUM(D1695:D1720)</f>
        <v>1</v>
      </c>
      <c r="E1721" s="203">
        <f>SUM(E1695:E1720)</f>
        <v>0</v>
      </c>
      <c r="F1721" s="32">
        <f>SUM(F1695:F1720)</f>
        <v>7</v>
      </c>
      <c r="G1721" s="5">
        <f>SUM(B1721:F1721)</f>
        <v>48</v>
      </c>
      <c r="I1721" s="3" t="s">
        <v>11</v>
      </c>
      <c r="J1721" s="23">
        <f>SUM(J1695:J1720)</f>
        <v>30</v>
      </c>
      <c r="K1721" s="203">
        <f>SUM(K1695:K1720)</f>
        <v>0</v>
      </c>
      <c r="L1721" s="203">
        <f>SUM(L1695:L1720)</f>
        <v>0</v>
      </c>
      <c r="M1721" s="203">
        <f>SUM(M1695:M1720)</f>
        <v>0</v>
      </c>
      <c r="N1721" s="32">
        <f>SUM(N1695:N1720)</f>
        <v>6</v>
      </c>
      <c r="O1721" s="5">
        <f>SUM(J1721:N1721)</f>
        <v>36</v>
      </c>
    </row>
    <row r="1722" spans="1:15" ht="14.25" thickBot="1" x14ac:dyDescent="0.2">
      <c r="A1722" s="25" t="s">
        <v>12</v>
      </c>
      <c r="B1722" s="63">
        <f>B1694-B1721</f>
        <v>13</v>
      </c>
      <c r="C1722" s="206">
        <f t="shared" ref="C1722:G1722" si="534">C1694-C1721</f>
        <v>0</v>
      </c>
      <c r="D1722" s="207">
        <f t="shared" si="534"/>
        <v>0</v>
      </c>
      <c r="E1722" s="206">
        <f t="shared" si="534"/>
        <v>0</v>
      </c>
      <c r="F1722" s="70">
        <f t="shared" si="534"/>
        <v>4</v>
      </c>
      <c r="G1722" s="27">
        <f t="shared" si="534"/>
        <v>17</v>
      </c>
      <c r="I1722" s="25" t="s">
        <v>12</v>
      </c>
      <c r="J1722" s="63">
        <f>J1694-J1721</f>
        <v>32</v>
      </c>
      <c r="K1722" s="206">
        <f t="shared" ref="K1722:O1722" si="535">K1694-K1721</f>
        <v>0</v>
      </c>
      <c r="L1722" s="206">
        <f t="shared" si="535"/>
        <v>0</v>
      </c>
      <c r="M1722" s="206">
        <f t="shared" si="535"/>
        <v>0</v>
      </c>
      <c r="N1722" s="70">
        <f t="shared" si="535"/>
        <v>40</v>
      </c>
      <c r="O1722" s="27">
        <f t="shared" si="535"/>
        <v>72</v>
      </c>
    </row>
    <row r="1723" spans="1:15" ht="17.25" x14ac:dyDescent="0.2">
      <c r="A1723" s="79" t="s">
        <v>391</v>
      </c>
      <c r="B1723" s="80"/>
      <c r="C1723" s="80"/>
      <c r="D1723" s="80"/>
      <c r="E1723" s="80"/>
      <c r="F1723" s="80"/>
      <c r="G1723" s="80"/>
      <c r="H1723" s="56"/>
      <c r="I1723" s="79" t="s">
        <v>391</v>
      </c>
      <c r="J1723" s="80"/>
      <c r="K1723" s="80"/>
      <c r="L1723" s="80"/>
      <c r="M1723" s="80"/>
      <c r="N1723" s="80"/>
      <c r="O1723" s="1"/>
    </row>
    <row r="1724" spans="1:15" ht="21.75" thickBot="1" x14ac:dyDescent="0.25">
      <c r="A1724" s="82" t="s">
        <v>390</v>
      </c>
      <c r="B1724" s="80"/>
      <c r="C1724" s="80"/>
      <c r="D1724" s="80"/>
      <c r="E1724" s="81" t="s">
        <v>53</v>
      </c>
      <c r="F1724" s="80"/>
      <c r="G1724" s="80"/>
      <c r="H1724" s="56"/>
      <c r="I1724" s="82" t="s">
        <v>390</v>
      </c>
      <c r="J1724" s="80"/>
      <c r="K1724" s="80"/>
      <c r="L1724" s="80"/>
      <c r="M1724" s="81" t="s">
        <v>393</v>
      </c>
      <c r="N1724" s="80"/>
      <c r="O1724" s="1"/>
    </row>
    <row r="1725" spans="1:15" ht="14.25" thickBot="1" x14ac:dyDescent="0.2">
      <c r="A1725" s="13" t="s">
        <v>0</v>
      </c>
      <c r="B1725" s="228" t="s">
        <v>392</v>
      </c>
      <c r="C1725" s="229"/>
      <c r="D1725" s="229"/>
      <c r="E1725" s="229"/>
      <c r="F1725" s="230"/>
      <c r="G1725" s="231"/>
      <c r="H1725" s="56"/>
      <c r="I1725" s="13" t="s">
        <v>0</v>
      </c>
      <c r="J1725" s="228" t="s">
        <v>392</v>
      </c>
      <c r="K1725" s="229"/>
      <c r="L1725" s="229"/>
      <c r="M1725" s="229"/>
      <c r="N1725" s="230"/>
      <c r="O1725" s="231"/>
    </row>
    <row r="1726" spans="1:15" ht="14.25" thickBot="1" x14ac:dyDescent="0.2">
      <c r="A1726" s="3" t="s">
        <v>1</v>
      </c>
      <c r="B1726" s="2" t="s">
        <v>42</v>
      </c>
      <c r="C1726" s="21" t="s">
        <v>43</v>
      </c>
      <c r="D1726" s="21" t="s">
        <v>44</v>
      </c>
      <c r="E1726" s="24" t="s">
        <v>45</v>
      </c>
      <c r="F1726" s="33" t="s">
        <v>46</v>
      </c>
      <c r="G1726" s="34" t="s">
        <v>2</v>
      </c>
      <c r="H1726" s="56"/>
      <c r="I1726" s="3" t="s">
        <v>1</v>
      </c>
      <c r="J1726" s="41" t="s">
        <v>42</v>
      </c>
      <c r="K1726" s="42" t="s">
        <v>43</v>
      </c>
      <c r="L1726" s="42" t="s">
        <v>44</v>
      </c>
      <c r="M1726" s="43" t="s">
        <v>45</v>
      </c>
      <c r="N1726" s="44" t="s">
        <v>46</v>
      </c>
      <c r="O1726" s="3" t="s">
        <v>2</v>
      </c>
    </row>
    <row r="1727" spans="1:15" ht="14.25" thickBot="1" x14ac:dyDescent="0.2">
      <c r="A1727" s="72" t="s">
        <v>456</v>
      </c>
      <c r="B1727" s="73">
        <f>B1722</f>
        <v>13</v>
      </c>
      <c r="C1727" s="74">
        <f t="shared" ref="C1727:F1727" si="536">C1722</f>
        <v>0</v>
      </c>
      <c r="D1727" s="74">
        <f t="shared" si="536"/>
        <v>0</v>
      </c>
      <c r="E1727" s="74">
        <f t="shared" si="536"/>
        <v>0</v>
      </c>
      <c r="F1727" s="105">
        <f t="shared" si="536"/>
        <v>4</v>
      </c>
      <c r="G1727" s="131">
        <f t="shared" ref="G1727:G1735" si="537">SUM(B1727:F1727)</f>
        <v>17</v>
      </c>
      <c r="H1727" s="56"/>
      <c r="I1727" s="72" t="s">
        <v>456</v>
      </c>
      <c r="J1727" s="73">
        <f>J1722</f>
        <v>32</v>
      </c>
      <c r="K1727" s="74">
        <f t="shared" ref="K1727:N1727" si="538">K1722</f>
        <v>0</v>
      </c>
      <c r="L1727" s="74">
        <f t="shared" si="538"/>
        <v>0</v>
      </c>
      <c r="M1727" s="74">
        <f t="shared" si="538"/>
        <v>0</v>
      </c>
      <c r="N1727" s="105">
        <f t="shared" si="538"/>
        <v>40</v>
      </c>
      <c r="O1727" s="131">
        <f t="shared" ref="O1727:O1735" si="539">SUM(J1727:N1727)</f>
        <v>72</v>
      </c>
    </row>
    <row r="1728" spans="1:15" x14ac:dyDescent="0.15">
      <c r="A1728" s="38" t="s">
        <v>14</v>
      </c>
      <c r="B1728" s="8">
        <v>10</v>
      </c>
      <c r="C1728" s="10"/>
      <c r="D1728" s="10"/>
      <c r="E1728" s="10"/>
      <c r="F1728" s="30"/>
      <c r="G1728" s="7">
        <f t="shared" ref="G1728:G1732" si="540">SUM(B1728:F1728)</f>
        <v>10</v>
      </c>
      <c r="H1728" s="57">
        <v>46102</v>
      </c>
      <c r="I1728" s="38" t="s">
        <v>14</v>
      </c>
      <c r="J1728" s="8"/>
      <c r="K1728" s="10"/>
      <c r="L1728" s="10"/>
      <c r="M1728" s="10"/>
      <c r="N1728" s="30"/>
      <c r="O1728" s="7">
        <f t="shared" si="539"/>
        <v>0</v>
      </c>
    </row>
    <row r="1729" spans="1:16" x14ac:dyDescent="0.15">
      <c r="A1729" s="195" t="s">
        <v>3</v>
      </c>
      <c r="B1729" s="158"/>
      <c r="C1729" s="159"/>
      <c r="D1729" s="159"/>
      <c r="E1729" s="159"/>
      <c r="F1729" s="160">
        <v>3</v>
      </c>
      <c r="G1729" s="161">
        <f t="shared" si="540"/>
        <v>3</v>
      </c>
      <c r="H1729" s="162">
        <v>46113</v>
      </c>
      <c r="I1729" s="38" t="s">
        <v>3</v>
      </c>
      <c r="J1729" s="8"/>
      <c r="K1729" s="10"/>
      <c r="L1729" s="10"/>
      <c r="M1729" s="10"/>
      <c r="N1729" s="30"/>
      <c r="O1729" s="7">
        <f t="shared" si="539"/>
        <v>0</v>
      </c>
    </row>
    <row r="1730" spans="1:16" x14ac:dyDescent="0.15">
      <c r="A1730" s="38" t="s">
        <v>4</v>
      </c>
      <c r="B1730" s="8"/>
      <c r="C1730" s="10"/>
      <c r="D1730" s="10"/>
      <c r="E1730" s="10"/>
      <c r="F1730" s="30">
        <v>5</v>
      </c>
      <c r="G1730" s="7">
        <f t="shared" si="540"/>
        <v>5</v>
      </c>
      <c r="H1730" s="58">
        <v>46158</v>
      </c>
      <c r="I1730" s="38" t="s">
        <v>4</v>
      </c>
      <c r="J1730" s="8"/>
      <c r="K1730" s="10"/>
      <c r="L1730" s="10"/>
      <c r="M1730" s="10"/>
      <c r="N1730" s="30"/>
      <c r="O1730" s="7">
        <f t="shared" si="539"/>
        <v>0</v>
      </c>
    </row>
    <row r="1731" spans="1:16" x14ac:dyDescent="0.15">
      <c r="A1731" s="195" t="s">
        <v>5</v>
      </c>
      <c r="B1731" s="158"/>
      <c r="C1731" s="159"/>
      <c r="D1731" s="159"/>
      <c r="E1731" s="159"/>
      <c r="F1731" s="160">
        <v>5</v>
      </c>
      <c r="G1731" s="161">
        <f t="shared" si="540"/>
        <v>5</v>
      </c>
      <c r="H1731" s="162">
        <v>46183</v>
      </c>
      <c r="I1731" s="38" t="s">
        <v>5</v>
      </c>
      <c r="J1731" s="8"/>
      <c r="K1731" s="10"/>
      <c r="L1731" s="10"/>
      <c r="M1731" s="10"/>
      <c r="N1731" s="30"/>
      <c r="O1731" s="7">
        <f t="shared" si="539"/>
        <v>0</v>
      </c>
    </row>
    <row r="1732" spans="1:16" x14ac:dyDescent="0.15">
      <c r="A1732" s="38" t="s">
        <v>6</v>
      </c>
      <c r="B1732" s="8"/>
      <c r="C1732" s="10"/>
      <c r="D1732" s="10"/>
      <c r="E1732" s="10"/>
      <c r="F1732" s="30"/>
      <c r="G1732" s="7">
        <f t="shared" si="540"/>
        <v>0</v>
      </c>
      <c r="I1732" s="38" t="s">
        <v>6</v>
      </c>
      <c r="J1732" s="8"/>
      <c r="K1732" s="10"/>
      <c r="L1732" s="10"/>
      <c r="M1732" s="10"/>
      <c r="N1732" s="30"/>
      <c r="O1732" s="7">
        <f t="shared" si="539"/>
        <v>0</v>
      </c>
    </row>
    <row r="1733" spans="1:16" x14ac:dyDescent="0.15">
      <c r="A1733" s="38" t="s">
        <v>84</v>
      </c>
      <c r="B1733" s="8"/>
      <c r="C1733" s="10"/>
      <c r="D1733" s="10"/>
      <c r="E1733" s="10"/>
      <c r="F1733" s="30"/>
      <c r="G1733" s="7">
        <f t="shared" si="537"/>
        <v>0</v>
      </c>
      <c r="I1733" s="38" t="s">
        <v>84</v>
      </c>
      <c r="J1733" s="8"/>
      <c r="K1733" s="10"/>
      <c r="L1733" s="10"/>
      <c r="M1733" s="10"/>
      <c r="N1733" s="30"/>
      <c r="O1733" s="7">
        <f t="shared" si="539"/>
        <v>0</v>
      </c>
    </row>
    <row r="1734" spans="1:16" x14ac:dyDescent="0.15">
      <c r="A1734" s="38" t="s">
        <v>85</v>
      </c>
      <c r="B1734" s="8"/>
      <c r="C1734" s="10"/>
      <c r="D1734" s="10"/>
      <c r="E1734" s="10"/>
      <c r="F1734" s="30"/>
      <c r="G1734" s="7">
        <f t="shared" si="537"/>
        <v>0</v>
      </c>
      <c r="I1734" s="38" t="s">
        <v>85</v>
      </c>
      <c r="J1734" s="8"/>
      <c r="K1734" s="10"/>
      <c r="L1734" s="10"/>
      <c r="M1734" s="10"/>
      <c r="N1734" s="30"/>
      <c r="O1734" s="7">
        <f t="shared" si="539"/>
        <v>0</v>
      </c>
    </row>
    <row r="1735" spans="1:16" ht="14.25" thickBot="1" x14ac:dyDescent="0.2">
      <c r="A1735" s="38" t="s">
        <v>86</v>
      </c>
      <c r="B1735" s="8"/>
      <c r="C1735" s="10"/>
      <c r="D1735" s="10"/>
      <c r="E1735" s="10"/>
      <c r="F1735" s="30"/>
      <c r="G1735" s="7">
        <f t="shared" si="537"/>
        <v>0</v>
      </c>
      <c r="I1735" s="38" t="s">
        <v>86</v>
      </c>
      <c r="J1735" s="8"/>
      <c r="K1735" s="10"/>
      <c r="L1735" s="10"/>
      <c r="M1735" s="10"/>
      <c r="N1735" s="30"/>
      <c r="O1735" s="7">
        <f t="shared" si="539"/>
        <v>0</v>
      </c>
    </row>
    <row r="1736" spans="1:16" ht="14.25" thickBot="1" x14ac:dyDescent="0.2">
      <c r="A1736" s="72" t="s">
        <v>7</v>
      </c>
      <c r="B1736" s="73">
        <f>SUM(B1727:B1735)</f>
        <v>23</v>
      </c>
      <c r="C1736" s="74">
        <f t="shared" ref="C1736:G1736" si="541">SUM(C1727:C1735)</f>
        <v>0</v>
      </c>
      <c r="D1736" s="74">
        <f t="shared" si="541"/>
        <v>0</v>
      </c>
      <c r="E1736" s="74">
        <f t="shared" si="541"/>
        <v>0</v>
      </c>
      <c r="F1736" s="105">
        <f t="shared" si="541"/>
        <v>17</v>
      </c>
      <c r="G1736" s="76">
        <f t="shared" si="541"/>
        <v>40</v>
      </c>
      <c r="H1736" s="56"/>
      <c r="I1736" s="72" t="s">
        <v>7</v>
      </c>
      <c r="J1736" s="73">
        <f>SUM(J1727:J1735)</f>
        <v>32</v>
      </c>
      <c r="K1736" s="74">
        <f t="shared" ref="K1736:O1736" si="542">SUM(K1727:K1735)</f>
        <v>0</v>
      </c>
      <c r="L1736" s="74">
        <f t="shared" si="542"/>
        <v>0</v>
      </c>
      <c r="M1736" s="74">
        <f t="shared" si="542"/>
        <v>0</v>
      </c>
      <c r="N1736" s="105">
        <f t="shared" si="542"/>
        <v>40</v>
      </c>
      <c r="O1736" s="76">
        <f t="shared" si="542"/>
        <v>72</v>
      </c>
    </row>
    <row r="1737" spans="1:16" x14ac:dyDescent="0.15">
      <c r="A1737" s="14" t="s">
        <v>29</v>
      </c>
      <c r="B1737" s="8">
        <v>1</v>
      </c>
      <c r="C1737" s="10"/>
      <c r="D1737" s="10"/>
      <c r="E1737" s="10"/>
      <c r="F1737" s="30">
        <v>1</v>
      </c>
      <c r="G1737" s="7">
        <f t="shared" ref="G1737:G1762" si="543">SUM(B1737:F1737)</f>
        <v>2</v>
      </c>
      <c r="H1737" s="58">
        <v>46090</v>
      </c>
      <c r="I1737" s="14" t="s">
        <v>1656</v>
      </c>
      <c r="J1737" s="8">
        <v>10</v>
      </c>
      <c r="K1737" s="10"/>
      <c r="L1737" s="10"/>
      <c r="M1737" s="10"/>
      <c r="N1737" s="30"/>
      <c r="O1737" s="7">
        <f t="shared" ref="O1737:O1742" si="544">SUM(J1737:N1737)</f>
        <v>10</v>
      </c>
      <c r="P1737" s="57">
        <v>46102</v>
      </c>
    </row>
    <row r="1738" spans="1:16" x14ac:dyDescent="0.15">
      <c r="A1738" s="14" t="s">
        <v>29</v>
      </c>
      <c r="B1738" s="8">
        <v>1</v>
      </c>
      <c r="C1738" s="10"/>
      <c r="D1738" s="10"/>
      <c r="E1738" s="10"/>
      <c r="F1738" s="30"/>
      <c r="G1738" s="7">
        <f t="shared" si="543"/>
        <v>1</v>
      </c>
      <c r="H1738" s="58">
        <v>46104</v>
      </c>
      <c r="I1738" s="14" t="s">
        <v>1652</v>
      </c>
      <c r="J1738" s="8"/>
      <c r="K1738" s="10"/>
      <c r="L1738" s="10"/>
      <c r="M1738" s="10"/>
      <c r="N1738" s="30">
        <v>3</v>
      </c>
      <c r="O1738" s="7">
        <f t="shared" si="544"/>
        <v>3</v>
      </c>
      <c r="P1738" s="58">
        <v>46113</v>
      </c>
    </row>
    <row r="1739" spans="1:16" x14ac:dyDescent="0.15">
      <c r="A1739" s="14" t="s">
        <v>1657</v>
      </c>
      <c r="B1739" s="8"/>
      <c r="C1739" s="10"/>
      <c r="D1739" s="10"/>
      <c r="E1739" s="10"/>
      <c r="F1739" s="30">
        <v>2</v>
      </c>
      <c r="G1739" s="7">
        <f t="shared" si="543"/>
        <v>2</v>
      </c>
      <c r="H1739" s="58">
        <v>46104</v>
      </c>
      <c r="I1739" s="14" t="s">
        <v>1652</v>
      </c>
      <c r="J1739" s="8"/>
      <c r="K1739" s="10"/>
      <c r="L1739" s="10"/>
      <c r="M1739" s="10"/>
      <c r="N1739" s="30">
        <v>5</v>
      </c>
      <c r="O1739" s="7">
        <f t="shared" si="544"/>
        <v>5</v>
      </c>
      <c r="P1739" s="58">
        <v>46158</v>
      </c>
    </row>
    <row r="1740" spans="1:16" x14ac:dyDescent="0.15">
      <c r="A1740" s="14" t="s">
        <v>29</v>
      </c>
      <c r="B1740" s="8">
        <v>4</v>
      </c>
      <c r="C1740" s="10"/>
      <c r="D1740" s="10"/>
      <c r="E1740" s="10"/>
      <c r="F1740" s="30"/>
      <c r="G1740" s="7">
        <f t="shared" si="543"/>
        <v>4</v>
      </c>
      <c r="H1740" s="58">
        <v>46105</v>
      </c>
      <c r="I1740" s="157" t="s">
        <v>1652</v>
      </c>
      <c r="J1740" s="158"/>
      <c r="K1740" s="159"/>
      <c r="L1740" s="159"/>
      <c r="M1740" s="159"/>
      <c r="N1740" s="160">
        <v>5</v>
      </c>
      <c r="O1740" s="161">
        <f t="shared" si="544"/>
        <v>5</v>
      </c>
      <c r="P1740" s="162">
        <v>46183</v>
      </c>
    </row>
    <row r="1741" spans="1:16" x14ac:dyDescent="0.15">
      <c r="A1741" s="14" t="s">
        <v>29</v>
      </c>
      <c r="B1741" s="8">
        <f>1+1</f>
        <v>2</v>
      </c>
      <c r="C1741" s="10"/>
      <c r="D1741" s="10"/>
      <c r="E1741" s="10"/>
      <c r="F1741" s="30"/>
      <c r="G1741" s="7">
        <f t="shared" si="543"/>
        <v>2</v>
      </c>
      <c r="H1741" s="58">
        <v>46107</v>
      </c>
      <c r="I1741" s="14"/>
      <c r="J1741" s="8"/>
      <c r="K1741" s="10"/>
      <c r="L1741" s="10"/>
      <c r="M1741" s="10"/>
      <c r="N1741" s="30"/>
      <c r="O1741" s="7">
        <f t="shared" si="544"/>
        <v>0</v>
      </c>
    </row>
    <row r="1742" spans="1:16" x14ac:dyDescent="0.15">
      <c r="A1742" s="14" t="s">
        <v>29</v>
      </c>
      <c r="B1742" s="8">
        <v>1</v>
      </c>
      <c r="C1742" s="10"/>
      <c r="D1742" s="10"/>
      <c r="E1742" s="10"/>
      <c r="F1742" s="30"/>
      <c r="G1742" s="7">
        <f t="shared" si="543"/>
        <v>1</v>
      </c>
      <c r="H1742" s="58">
        <v>46118</v>
      </c>
      <c r="I1742" s="14"/>
      <c r="J1742" s="8"/>
      <c r="K1742" s="10"/>
      <c r="L1742" s="10"/>
      <c r="M1742" s="10"/>
      <c r="N1742" s="30"/>
      <c r="O1742" s="7">
        <f t="shared" si="544"/>
        <v>0</v>
      </c>
    </row>
    <row r="1743" spans="1:16" x14ac:dyDescent="0.15">
      <c r="A1743" s="14" t="s">
        <v>29</v>
      </c>
      <c r="B1743" s="8">
        <v>1</v>
      </c>
      <c r="C1743" s="10"/>
      <c r="D1743" s="10"/>
      <c r="E1743" s="10"/>
      <c r="F1743" s="30"/>
      <c r="G1743" s="7">
        <f t="shared" si="543"/>
        <v>1</v>
      </c>
      <c r="H1743" s="58">
        <v>46139</v>
      </c>
      <c r="I1743" s="14"/>
      <c r="J1743" s="8"/>
      <c r="K1743" s="10"/>
      <c r="L1743" s="10"/>
      <c r="M1743" s="10"/>
      <c r="N1743" s="30"/>
      <c r="O1743" s="7">
        <f t="shared" ref="O1743:O1762" si="545">SUM(J1743:N1743)</f>
        <v>0</v>
      </c>
    </row>
    <row r="1744" spans="1:16" x14ac:dyDescent="0.15">
      <c r="A1744" s="14" t="s">
        <v>29</v>
      </c>
      <c r="B1744" s="8"/>
      <c r="C1744" s="10"/>
      <c r="D1744" s="10"/>
      <c r="E1744" s="10"/>
      <c r="F1744" s="30">
        <v>1</v>
      </c>
      <c r="G1744" s="7">
        <f t="shared" si="543"/>
        <v>1</v>
      </c>
      <c r="H1744" s="58">
        <v>46153</v>
      </c>
      <c r="I1744" s="14"/>
      <c r="J1744" s="8"/>
      <c r="K1744" s="10"/>
      <c r="L1744" s="10"/>
      <c r="M1744" s="10"/>
      <c r="N1744" s="30"/>
      <c r="O1744" s="7">
        <f t="shared" si="545"/>
        <v>0</v>
      </c>
    </row>
    <row r="1745" spans="1:15" x14ac:dyDescent="0.15">
      <c r="A1745" s="14" t="s">
        <v>29</v>
      </c>
      <c r="B1745" s="8">
        <v>1</v>
      </c>
      <c r="C1745" s="10"/>
      <c r="D1745" s="10"/>
      <c r="E1745" s="10"/>
      <c r="F1745" s="30"/>
      <c r="G1745" s="7">
        <f t="shared" si="543"/>
        <v>1</v>
      </c>
      <c r="H1745" s="58">
        <v>46155</v>
      </c>
      <c r="I1745" s="14"/>
      <c r="J1745" s="8"/>
      <c r="K1745" s="10"/>
      <c r="L1745" s="10"/>
      <c r="M1745" s="10"/>
      <c r="N1745" s="30"/>
      <c r="O1745" s="7">
        <f t="shared" si="545"/>
        <v>0</v>
      </c>
    </row>
    <row r="1746" spans="1:15" x14ac:dyDescent="0.15">
      <c r="A1746" s="14" t="s">
        <v>29</v>
      </c>
      <c r="B1746" s="8"/>
      <c r="C1746" s="10"/>
      <c r="D1746" s="10"/>
      <c r="E1746" s="10"/>
      <c r="F1746" s="30">
        <v>1</v>
      </c>
      <c r="G1746" s="7">
        <f t="shared" si="543"/>
        <v>1</v>
      </c>
      <c r="H1746" s="58">
        <v>46156</v>
      </c>
      <c r="I1746" s="14"/>
      <c r="J1746" s="8"/>
      <c r="K1746" s="10"/>
      <c r="L1746" s="10"/>
      <c r="M1746" s="10"/>
      <c r="N1746" s="30"/>
      <c r="O1746" s="7">
        <f t="shared" si="545"/>
        <v>0</v>
      </c>
    </row>
    <row r="1747" spans="1:15" x14ac:dyDescent="0.15">
      <c r="A1747" s="14" t="s">
        <v>29</v>
      </c>
      <c r="B1747" s="8"/>
      <c r="C1747" s="10"/>
      <c r="D1747" s="10"/>
      <c r="E1747" s="10"/>
      <c r="F1747" s="30">
        <v>1</v>
      </c>
      <c r="G1747" s="7">
        <f t="shared" si="543"/>
        <v>1</v>
      </c>
      <c r="H1747" s="58">
        <v>46169</v>
      </c>
      <c r="I1747" s="14"/>
      <c r="J1747" s="8"/>
      <c r="K1747" s="10"/>
      <c r="L1747" s="10"/>
      <c r="M1747" s="10"/>
      <c r="N1747" s="30"/>
      <c r="O1747" s="7">
        <f t="shared" si="545"/>
        <v>0</v>
      </c>
    </row>
    <row r="1748" spans="1:15" x14ac:dyDescent="0.15">
      <c r="A1748" s="14" t="s">
        <v>29</v>
      </c>
      <c r="B1748" s="8"/>
      <c r="C1748" s="10"/>
      <c r="D1748" s="10"/>
      <c r="E1748" s="10"/>
      <c r="F1748" s="30">
        <v>1</v>
      </c>
      <c r="G1748" s="7">
        <f t="shared" si="543"/>
        <v>1</v>
      </c>
      <c r="H1748" s="58">
        <v>46171</v>
      </c>
      <c r="I1748" s="14"/>
      <c r="J1748" s="8"/>
      <c r="K1748" s="10"/>
      <c r="L1748" s="10"/>
      <c r="M1748" s="10"/>
      <c r="N1748" s="30"/>
      <c r="O1748" s="7">
        <f t="shared" si="545"/>
        <v>0</v>
      </c>
    </row>
    <row r="1749" spans="1:15" x14ac:dyDescent="0.15">
      <c r="A1749" s="14" t="s">
        <v>29</v>
      </c>
      <c r="B1749" s="8">
        <v>1</v>
      </c>
      <c r="C1749" s="10"/>
      <c r="D1749" s="10"/>
      <c r="E1749" s="10"/>
      <c r="F1749" s="30">
        <v>1</v>
      </c>
      <c r="G1749" s="7">
        <f t="shared" si="543"/>
        <v>2</v>
      </c>
      <c r="H1749" s="58">
        <v>46175</v>
      </c>
      <c r="I1749" s="14"/>
      <c r="J1749" s="8"/>
      <c r="K1749" s="10"/>
      <c r="L1749" s="10"/>
      <c r="M1749" s="10"/>
      <c r="N1749" s="30"/>
      <c r="O1749" s="7">
        <f t="shared" si="545"/>
        <v>0</v>
      </c>
    </row>
    <row r="1750" spans="1:15" x14ac:dyDescent="0.15">
      <c r="A1750" s="14" t="s">
        <v>29</v>
      </c>
      <c r="B1750" s="8">
        <v>3</v>
      </c>
      <c r="C1750" s="10"/>
      <c r="D1750" s="10"/>
      <c r="E1750" s="10"/>
      <c r="F1750" s="30">
        <v>1</v>
      </c>
      <c r="G1750" s="7">
        <f t="shared" si="543"/>
        <v>4</v>
      </c>
      <c r="H1750" s="58">
        <v>46181</v>
      </c>
      <c r="I1750" s="14"/>
      <c r="J1750" s="8"/>
      <c r="K1750" s="10"/>
      <c r="L1750" s="10"/>
      <c r="M1750" s="10"/>
      <c r="N1750" s="30"/>
      <c r="O1750" s="7">
        <f t="shared" si="545"/>
        <v>0</v>
      </c>
    </row>
    <row r="1751" spans="1:15" x14ac:dyDescent="0.15">
      <c r="A1751" s="14" t="s">
        <v>29</v>
      </c>
      <c r="B1751" s="8">
        <v>4</v>
      </c>
      <c r="C1751" s="10"/>
      <c r="D1751" s="10"/>
      <c r="E1751" s="10"/>
      <c r="F1751" s="30">
        <v>1</v>
      </c>
      <c r="G1751" s="7">
        <f t="shared" si="543"/>
        <v>5</v>
      </c>
      <c r="H1751" s="58">
        <v>46182</v>
      </c>
      <c r="I1751" s="14"/>
      <c r="J1751" s="8"/>
      <c r="K1751" s="10"/>
      <c r="L1751" s="10"/>
      <c r="M1751" s="10"/>
      <c r="N1751" s="30"/>
      <c r="O1751" s="7">
        <f t="shared" si="545"/>
        <v>0</v>
      </c>
    </row>
    <row r="1752" spans="1:15" x14ac:dyDescent="0.15">
      <c r="A1752" s="14" t="s">
        <v>29</v>
      </c>
      <c r="B1752" s="8">
        <v>1</v>
      </c>
      <c r="C1752" s="10"/>
      <c r="D1752" s="10"/>
      <c r="E1752" s="10"/>
      <c r="F1752" s="30"/>
      <c r="G1752" s="7">
        <f t="shared" si="543"/>
        <v>1</v>
      </c>
      <c r="H1752" s="58">
        <v>46183</v>
      </c>
      <c r="I1752" s="14"/>
      <c r="J1752" s="8"/>
      <c r="K1752" s="10"/>
      <c r="L1752" s="10"/>
      <c r="M1752" s="10"/>
      <c r="N1752" s="30"/>
      <c r="O1752" s="7">
        <f t="shared" si="545"/>
        <v>0</v>
      </c>
    </row>
    <row r="1753" spans="1:15" x14ac:dyDescent="0.15">
      <c r="A1753" s="14" t="s">
        <v>29</v>
      </c>
      <c r="B1753" s="8"/>
      <c r="C1753" s="10"/>
      <c r="D1753" s="10"/>
      <c r="E1753" s="10"/>
      <c r="F1753" s="30">
        <v>1</v>
      </c>
      <c r="G1753" s="7">
        <f t="shared" si="543"/>
        <v>1</v>
      </c>
      <c r="H1753" s="58">
        <v>46184</v>
      </c>
      <c r="I1753" s="14"/>
      <c r="J1753" s="8"/>
      <c r="K1753" s="10"/>
      <c r="L1753" s="10"/>
      <c r="M1753" s="10"/>
      <c r="N1753" s="30"/>
      <c r="O1753" s="7">
        <f t="shared" si="545"/>
        <v>0</v>
      </c>
    </row>
    <row r="1754" spans="1:15" x14ac:dyDescent="0.15">
      <c r="A1754" s="14" t="s">
        <v>29</v>
      </c>
      <c r="B1754" s="8">
        <v>1</v>
      </c>
      <c r="C1754" s="10"/>
      <c r="D1754" s="10"/>
      <c r="E1754" s="10"/>
      <c r="F1754" s="30"/>
      <c r="G1754" s="7">
        <f t="shared" si="543"/>
        <v>1</v>
      </c>
      <c r="H1754" s="58">
        <v>46190</v>
      </c>
      <c r="I1754" s="14"/>
      <c r="J1754" s="8"/>
      <c r="K1754" s="10"/>
      <c r="L1754" s="10"/>
      <c r="M1754" s="10"/>
      <c r="N1754" s="30"/>
      <c r="O1754" s="7">
        <f t="shared" si="545"/>
        <v>0</v>
      </c>
    </row>
    <row r="1755" spans="1:15" x14ac:dyDescent="0.15">
      <c r="A1755" s="14" t="s">
        <v>713</v>
      </c>
      <c r="B1755" s="8">
        <v>1</v>
      </c>
      <c r="C1755" s="10"/>
      <c r="D1755" s="10"/>
      <c r="E1755" s="10"/>
      <c r="F1755" s="30"/>
      <c r="G1755" s="7">
        <f t="shared" si="543"/>
        <v>1</v>
      </c>
      <c r="H1755" s="58">
        <v>46217</v>
      </c>
      <c r="I1755" s="14"/>
      <c r="J1755" s="8"/>
      <c r="K1755" s="10"/>
      <c r="L1755" s="10"/>
      <c r="M1755" s="10"/>
      <c r="N1755" s="30"/>
      <c r="O1755" s="7">
        <f t="shared" si="545"/>
        <v>0</v>
      </c>
    </row>
    <row r="1756" spans="1:15" x14ac:dyDescent="0.15">
      <c r="A1756" s="14"/>
      <c r="B1756" s="8"/>
      <c r="C1756" s="10"/>
      <c r="D1756" s="10"/>
      <c r="E1756" s="10"/>
      <c r="F1756" s="30"/>
      <c r="G1756" s="7">
        <f t="shared" si="543"/>
        <v>0</v>
      </c>
      <c r="H1756" s="58"/>
      <c r="I1756" s="14"/>
      <c r="J1756" s="8"/>
      <c r="K1756" s="10"/>
      <c r="L1756" s="10"/>
      <c r="M1756" s="10"/>
      <c r="N1756" s="30"/>
      <c r="O1756" s="7">
        <f t="shared" si="545"/>
        <v>0</v>
      </c>
    </row>
    <row r="1757" spans="1:15" x14ac:dyDescent="0.15">
      <c r="A1757" s="14"/>
      <c r="B1757" s="8"/>
      <c r="C1757" s="10"/>
      <c r="D1757" s="10"/>
      <c r="E1757" s="10"/>
      <c r="F1757" s="30"/>
      <c r="G1757" s="7">
        <f t="shared" si="543"/>
        <v>0</v>
      </c>
      <c r="H1757" s="58"/>
      <c r="I1757" s="14"/>
      <c r="J1757" s="8"/>
      <c r="K1757" s="10"/>
      <c r="L1757" s="10"/>
      <c r="M1757" s="10"/>
      <c r="N1757" s="30"/>
      <c r="O1757" s="7">
        <f t="shared" si="545"/>
        <v>0</v>
      </c>
    </row>
    <row r="1758" spans="1:15" x14ac:dyDescent="0.15">
      <c r="A1758" s="14"/>
      <c r="B1758" s="8"/>
      <c r="C1758" s="10"/>
      <c r="D1758" s="10"/>
      <c r="E1758" s="10"/>
      <c r="F1758" s="30"/>
      <c r="G1758" s="7">
        <f t="shared" si="543"/>
        <v>0</v>
      </c>
      <c r="H1758" s="58"/>
      <c r="I1758" s="14"/>
      <c r="J1758" s="8"/>
      <c r="K1758" s="10"/>
      <c r="L1758" s="10"/>
      <c r="M1758" s="10"/>
      <c r="N1758" s="30"/>
      <c r="O1758" s="7">
        <f t="shared" si="545"/>
        <v>0</v>
      </c>
    </row>
    <row r="1759" spans="1:15" x14ac:dyDescent="0.15">
      <c r="A1759" s="14"/>
      <c r="B1759" s="8"/>
      <c r="C1759" s="10"/>
      <c r="D1759" s="10"/>
      <c r="E1759" s="10"/>
      <c r="F1759" s="30"/>
      <c r="G1759" s="7">
        <f t="shared" si="543"/>
        <v>0</v>
      </c>
      <c r="H1759" s="58"/>
      <c r="I1759" s="14"/>
      <c r="J1759" s="8"/>
      <c r="K1759" s="10"/>
      <c r="L1759" s="10"/>
      <c r="M1759" s="10"/>
      <c r="N1759" s="30"/>
      <c r="O1759" s="7">
        <f t="shared" si="545"/>
        <v>0</v>
      </c>
    </row>
    <row r="1760" spans="1:15" x14ac:dyDescent="0.15">
      <c r="A1760" s="14"/>
      <c r="B1760" s="8"/>
      <c r="C1760" s="10"/>
      <c r="D1760" s="10"/>
      <c r="E1760" s="10"/>
      <c r="F1760" s="30"/>
      <c r="G1760" s="7">
        <f t="shared" si="543"/>
        <v>0</v>
      </c>
      <c r="H1760" s="58"/>
      <c r="I1760" s="14"/>
      <c r="J1760" s="8"/>
      <c r="K1760" s="10"/>
      <c r="L1760" s="10"/>
      <c r="M1760" s="10"/>
      <c r="N1760" s="30"/>
      <c r="O1760" s="7">
        <f t="shared" si="545"/>
        <v>0</v>
      </c>
    </row>
    <row r="1761" spans="1:15" x14ac:dyDescent="0.15">
      <c r="A1761" s="14"/>
      <c r="B1761" s="8"/>
      <c r="C1761" s="10"/>
      <c r="D1761" s="10"/>
      <c r="E1761" s="10"/>
      <c r="F1761" s="30"/>
      <c r="G1761" s="7">
        <f t="shared" si="543"/>
        <v>0</v>
      </c>
      <c r="H1761" s="58"/>
      <c r="I1761" s="14"/>
      <c r="J1761" s="8"/>
      <c r="K1761" s="10"/>
      <c r="L1761" s="10"/>
      <c r="M1761" s="10"/>
      <c r="N1761" s="30"/>
      <c r="O1761" s="7">
        <f t="shared" si="545"/>
        <v>0</v>
      </c>
    </row>
    <row r="1762" spans="1:15" ht="14.25" thickBot="1" x14ac:dyDescent="0.2">
      <c r="A1762" s="14"/>
      <c r="B1762" s="8"/>
      <c r="C1762" s="10"/>
      <c r="D1762" s="10"/>
      <c r="E1762" s="10"/>
      <c r="F1762" s="30"/>
      <c r="G1762" s="7">
        <f t="shared" si="543"/>
        <v>0</v>
      </c>
      <c r="H1762" s="58"/>
      <c r="I1762" s="14"/>
      <c r="J1762" s="8"/>
      <c r="K1762" s="10"/>
      <c r="L1762" s="10"/>
      <c r="M1762" s="10"/>
      <c r="N1762" s="30"/>
      <c r="O1762" s="7">
        <f t="shared" si="545"/>
        <v>0</v>
      </c>
    </row>
    <row r="1763" spans="1:15" ht="14.25" thickBot="1" x14ac:dyDescent="0.2">
      <c r="A1763" s="3" t="s">
        <v>11</v>
      </c>
      <c r="B1763" s="23">
        <f>SUM(B1737:B1762)</f>
        <v>22</v>
      </c>
      <c r="C1763" s="203">
        <f>SUM(C1737:C1762)</f>
        <v>0</v>
      </c>
      <c r="D1763" s="203">
        <f>SUM(D1737:D1762)</f>
        <v>0</v>
      </c>
      <c r="E1763" s="203">
        <f>SUM(E1737:E1762)</f>
        <v>0</v>
      </c>
      <c r="F1763" s="32">
        <f>SUM(F1737:F1762)</f>
        <v>11</v>
      </c>
      <c r="G1763" s="5">
        <f>SUM(B1763:F1763)</f>
        <v>33</v>
      </c>
      <c r="I1763" s="3" t="s">
        <v>11</v>
      </c>
      <c r="J1763" s="23">
        <f>SUM(J1737:J1762)</f>
        <v>10</v>
      </c>
      <c r="K1763" s="203">
        <f>SUM(K1737:K1762)</f>
        <v>0</v>
      </c>
      <c r="L1763" s="203">
        <f>SUM(L1737:L1762)</f>
        <v>0</v>
      </c>
      <c r="M1763" s="203">
        <f>SUM(M1737:M1762)</f>
        <v>0</v>
      </c>
      <c r="N1763" s="32">
        <f>SUM(N1737:N1762)</f>
        <v>13</v>
      </c>
      <c r="O1763" s="5">
        <f>SUM(J1763:N1763)</f>
        <v>23</v>
      </c>
    </row>
    <row r="1764" spans="1:15" ht="14.25" thickBot="1" x14ac:dyDescent="0.2">
      <c r="A1764" s="25" t="s">
        <v>12</v>
      </c>
      <c r="B1764" s="63">
        <f>B1736-B1763</f>
        <v>1</v>
      </c>
      <c r="C1764" s="206">
        <f t="shared" ref="C1764:G1764" si="546">C1736-C1763</f>
        <v>0</v>
      </c>
      <c r="D1764" s="207">
        <f t="shared" si="546"/>
        <v>0</v>
      </c>
      <c r="E1764" s="206">
        <f t="shared" si="546"/>
        <v>0</v>
      </c>
      <c r="F1764" s="70">
        <f t="shared" si="546"/>
        <v>6</v>
      </c>
      <c r="G1764" s="27">
        <f t="shared" si="546"/>
        <v>7</v>
      </c>
      <c r="I1764" s="25" t="s">
        <v>12</v>
      </c>
      <c r="J1764" s="63">
        <f>J1736-J1763</f>
        <v>22</v>
      </c>
      <c r="K1764" s="206">
        <f t="shared" ref="K1764:O1764" si="547">K1736-K1763</f>
        <v>0</v>
      </c>
      <c r="L1764" s="206">
        <f t="shared" si="547"/>
        <v>0</v>
      </c>
      <c r="M1764" s="206">
        <f t="shared" si="547"/>
        <v>0</v>
      </c>
      <c r="N1764" s="70">
        <f t="shared" si="547"/>
        <v>27</v>
      </c>
      <c r="O1764" s="27">
        <f t="shared" si="547"/>
        <v>49</v>
      </c>
    </row>
    <row r="1765" spans="1:15" x14ac:dyDescent="0.15">
      <c r="J1765">
        <f>J1764+B1764</f>
        <v>23</v>
      </c>
      <c r="K1765">
        <f t="shared" ref="K1765:O1765" si="548">K1764+C1764</f>
        <v>0</v>
      </c>
      <c r="L1765">
        <f t="shared" si="548"/>
        <v>0</v>
      </c>
      <c r="M1765">
        <f t="shared" si="548"/>
        <v>0</v>
      </c>
      <c r="N1765">
        <f t="shared" si="548"/>
        <v>33</v>
      </c>
      <c r="O1765">
        <f t="shared" si="548"/>
        <v>56</v>
      </c>
    </row>
  </sheetData>
  <mergeCells count="84">
    <mergeCell ref="B1725:G1725"/>
    <mergeCell ref="J1725:O1725"/>
    <mergeCell ref="B1683:G1683"/>
    <mergeCell ref="J1683:O1683"/>
    <mergeCell ref="B1557:G1557"/>
    <mergeCell ref="J1557:O1557"/>
    <mergeCell ref="B1515:G1515"/>
    <mergeCell ref="J1515:O1515"/>
    <mergeCell ref="B1641:G1641"/>
    <mergeCell ref="J1641:O1641"/>
    <mergeCell ref="B1599:G1599"/>
    <mergeCell ref="J1599:O1599"/>
    <mergeCell ref="B1431:G1431"/>
    <mergeCell ref="J1431:O1431"/>
    <mergeCell ref="B1389:G1389"/>
    <mergeCell ref="J1389:O1389"/>
    <mergeCell ref="B1473:G1473"/>
    <mergeCell ref="J1473:O1473"/>
    <mergeCell ref="B717:G717"/>
    <mergeCell ref="J717:O717"/>
    <mergeCell ref="B675:G675"/>
    <mergeCell ref="J675:O675"/>
    <mergeCell ref="B1347:G1347"/>
    <mergeCell ref="J1347:O1347"/>
    <mergeCell ref="B843:G843"/>
    <mergeCell ref="J843:O843"/>
    <mergeCell ref="B1305:G1305"/>
    <mergeCell ref="J1305:O1305"/>
    <mergeCell ref="B1011:G1011"/>
    <mergeCell ref="J1011:O1011"/>
    <mergeCell ref="B969:G969"/>
    <mergeCell ref="J969:O969"/>
    <mergeCell ref="B927:G927"/>
    <mergeCell ref="J927:O927"/>
    <mergeCell ref="B255:G255"/>
    <mergeCell ref="J255:O255"/>
    <mergeCell ref="B297:G297"/>
    <mergeCell ref="J297:O297"/>
    <mergeCell ref="B423:G423"/>
    <mergeCell ref="J423:O423"/>
    <mergeCell ref="B339:G339"/>
    <mergeCell ref="J339:O339"/>
    <mergeCell ref="B381:G381"/>
    <mergeCell ref="J381:O381"/>
    <mergeCell ref="B129:G129"/>
    <mergeCell ref="J129:O129"/>
    <mergeCell ref="B213:G213"/>
    <mergeCell ref="J213:O213"/>
    <mergeCell ref="B171:G171"/>
    <mergeCell ref="J171:O171"/>
    <mergeCell ref="B3:G3"/>
    <mergeCell ref="J3:O3"/>
    <mergeCell ref="J45:O45"/>
    <mergeCell ref="B45:G45"/>
    <mergeCell ref="J87:O87"/>
    <mergeCell ref="B87:G87"/>
    <mergeCell ref="B759:G759"/>
    <mergeCell ref="J759:O759"/>
    <mergeCell ref="B801:G801"/>
    <mergeCell ref="J801:O801"/>
    <mergeCell ref="B1263:G1263"/>
    <mergeCell ref="J1263:O1263"/>
    <mergeCell ref="B1221:G1221"/>
    <mergeCell ref="J1221:O1221"/>
    <mergeCell ref="B1053:G1053"/>
    <mergeCell ref="J1053:O1053"/>
    <mergeCell ref="B1137:G1137"/>
    <mergeCell ref="J1137:O1137"/>
    <mergeCell ref="B465:G465"/>
    <mergeCell ref="J465:O465"/>
    <mergeCell ref="B1179:G1179"/>
    <mergeCell ref="J1179:O1179"/>
    <mergeCell ref="B1095:G1095"/>
    <mergeCell ref="J1095:O1095"/>
    <mergeCell ref="B549:G549"/>
    <mergeCell ref="J549:O549"/>
    <mergeCell ref="B885:G885"/>
    <mergeCell ref="J885:O885"/>
    <mergeCell ref="B591:G591"/>
    <mergeCell ref="J591:O591"/>
    <mergeCell ref="B507:G507"/>
    <mergeCell ref="J507:O507"/>
    <mergeCell ref="B633:G633"/>
    <mergeCell ref="J633:O633"/>
  </mergeCells>
  <phoneticPr fontId="10"/>
  <pageMargins left="0.7" right="0.7" top="0.75" bottom="0.75" header="0.3" footer="0.3"/>
  <pageSetup paperSize="9" orientation="portrait" r:id="rId1"/>
  <ignoredErrors>
    <ignoredError sqref="O93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V1764"/>
  <sheetViews>
    <sheetView topLeftCell="A1705" zoomScale="90" zoomScaleNormal="90" workbookViewId="0">
      <selection activeCell="H1718" sqref="H1718"/>
    </sheetView>
  </sheetViews>
  <sheetFormatPr defaultRowHeight="13.5" x14ac:dyDescent="0.15"/>
  <cols>
    <col min="1" max="1" width="26.125" customWidth="1"/>
    <col min="8" max="8" width="9.25" bestFit="1" customWidth="1"/>
    <col min="9" max="9" width="24.5" customWidth="1"/>
    <col min="10" max="10" width="9.125" bestFit="1" customWidth="1"/>
    <col min="12" max="12" width="9.125" bestFit="1" customWidth="1"/>
    <col min="14" max="15" width="9.125" bestFit="1" customWidth="1"/>
    <col min="16" max="16" width="10.25" bestFit="1" customWidth="1"/>
  </cols>
  <sheetData>
    <row r="1" spans="1:17" ht="21" x14ac:dyDescent="0.2">
      <c r="A1" s="83" t="s">
        <v>415</v>
      </c>
      <c r="B1" s="77"/>
      <c r="C1" s="77"/>
      <c r="D1" s="77"/>
      <c r="E1" s="77"/>
      <c r="F1" s="77"/>
      <c r="G1" s="77"/>
      <c r="H1" s="1"/>
      <c r="I1" s="83" t="s">
        <v>415</v>
      </c>
      <c r="J1" s="77"/>
      <c r="K1" s="77"/>
      <c r="L1" s="77"/>
      <c r="M1" s="77"/>
      <c r="N1" s="77"/>
      <c r="O1" s="77"/>
      <c r="P1" s="1"/>
    </row>
    <row r="2" spans="1:17" ht="21.75" thickBot="1" x14ac:dyDescent="0.25">
      <c r="A2" s="83" t="s">
        <v>47</v>
      </c>
      <c r="B2" s="77"/>
      <c r="C2" s="77"/>
      <c r="D2" s="77"/>
      <c r="E2" s="84"/>
      <c r="F2" s="78" t="s">
        <v>53</v>
      </c>
      <c r="G2" s="77"/>
      <c r="H2" s="1"/>
      <c r="I2" s="83" t="s">
        <v>47</v>
      </c>
      <c r="J2" s="77"/>
      <c r="K2" s="77"/>
      <c r="L2" s="77"/>
      <c r="M2" s="84"/>
      <c r="N2" s="78" t="s">
        <v>54</v>
      </c>
      <c r="O2" s="77"/>
      <c r="P2" s="1"/>
    </row>
    <row r="3" spans="1:17" ht="14.25" thickBot="1" x14ac:dyDescent="0.2">
      <c r="A3" s="13" t="s">
        <v>0</v>
      </c>
      <c r="B3" s="228" t="s">
        <v>49</v>
      </c>
      <c r="C3" s="229"/>
      <c r="D3" s="229"/>
      <c r="E3" s="229"/>
      <c r="F3" s="230"/>
      <c r="G3" s="231"/>
      <c r="H3" s="1"/>
      <c r="I3" s="13" t="s">
        <v>0</v>
      </c>
      <c r="J3" s="228" t="s">
        <v>49</v>
      </c>
      <c r="K3" s="229"/>
      <c r="L3" s="229"/>
      <c r="M3" s="229"/>
      <c r="N3" s="230"/>
      <c r="O3" s="231"/>
      <c r="P3" s="1"/>
    </row>
    <row r="4" spans="1:17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4" t="s">
        <v>2</v>
      </c>
      <c r="H4" s="1"/>
      <c r="I4" s="3" t="s">
        <v>1</v>
      </c>
      <c r="J4" s="2" t="s">
        <v>42</v>
      </c>
      <c r="K4" s="21" t="s">
        <v>43</v>
      </c>
      <c r="L4" s="21" t="s">
        <v>44</v>
      </c>
      <c r="M4" s="24" t="s">
        <v>45</v>
      </c>
      <c r="N4" s="33" t="s">
        <v>46</v>
      </c>
      <c r="O4" s="3" t="s">
        <v>2</v>
      </c>
      <c r="P4" s="1"/>
    </row>
    <row r="5" spans="1:17" x14ac:dyDescent="0.15">
      <c r="A5" s="15" t="s">
        <v>14</v>
      </c>
      <c r="B5" s="17">
        <v>10</v>
      </c>
      <c r="C5" s="22">
        <v>10</v>
      </c>
      <c r="D5" s="22">
        <v>10</v>
      </c>
      <c r="E5" s="22">
        <v>10</v>
      </c>
      <c r="F5" s="29">
        <v>10</v>
      </c>
      <c r="G5" s="18">
        <f t="shared" ref="G5:G40" si="0">SUM(B5:F5)</f>
        <v>50</v>
      </c>
      <c r="H5" s="36">
        <v>42896</v>
      </c>
      <c r="I5" s="15" t="s">
        <v>14</v>
      </c>
      <c r="J5" s="37">
        <v>10</v>
      </c>
      <c r="K5" s="35">
        <v>10</v>
      </c>
      <c r="L5" s="35">
        <v>10</v>
      </c>
      <c r="M5" s="35">
        <v>10</v>
      </c>
      <c r="N5" s="28">
        <v>10</v>
      </c>
      <c r="O5" s="18">
        <f t="shared" ref="O5:O40" si="1">SUM(J5:N5)</f>
        <v>50</v>
      </c>
      <c r="P5" s="36">
        <v>42896</v>
      </c>
    </row>
    <row r="6" spans="1:17" x14ac:dyDescent="0.15">
      <c r="A6" s="15" t="s">
        <v>3</v>
      </c>
      <c r="B6" s="8"/>
      <c r="C6" s="10">
        <v>1</v>
      </c>
      <c r="D6" s="10"/>
      <c r="E6" s="10"/>
      <c r="F6" s="28"/>
      <c r="G6" s="9">
        <f t="shared" si="0"/>
        <v>1</v>
      </c>
      <c r="H6" s="36">
        <v>42919</v>
      </c>
      <c r="I6" s="15" t="s">
        <v>3</v>
      </c>
      <c r="J6" s="37">
        <v>136</v>
      </c>
      <c r="K6" s="35">
        <v>140</v>
      </c>
      <c r="L6" s="35">
        <v>140</v>
      </c>
      <c r="M6" s="35">
        <v>138</v>
      </c>
      <c r="N6" s="28">
        <v>128</v>
      </c>
      <c r="O6" s="7">
        <f t="shared" ref="O6:O7" si="2">SUM(J6:N6)</f>
        <v>682</v>
      </c>
      <c r="P6" s="36">
        <v>42915</v>
      </c>
      <c r="Q6" s="56"/>
    </row>
    <row r="7" spans="1:17" x14ac:dyDescent="0.15">
      <c r="A7" s="15" t="s">
        <v>4</v>
      </c>
      <c r="B7" s="8">
        <v>2</v>
      </c>
      <c r="C7" s="10"/>
      <c r="D7" s="10"/>
      <c r="E7" s="10"/>
      <c r="F7" s="28">
        <v>10</v>
      </c>
      <c r="G7" s="9">
        <f t="shared" si="0"/>
        <v>12</v>
      </c>
      <c r="H7" s="36">
        <v>42928</v>
      </c>
      <c r="I7" s="15" t="s">
        <v>4</v>
      </c>
      <c r="J7" s="8">
        <v>1</v>
      </c>
      <c r="K7" s="10"/>
      <c r="L7" s="10"/>
      <c r="M7" s="10"/>
      <c r="N7" s="28">
        <v>10</v>
      </c>
      <c r="O7" s="9">
        <f t="shared" si="2"/>
        <v>11</v>
      </c>
      <c r="P7" s="36">
        <v>42915</v>
      </c>
    </row>
    <row r="8" spans="1:17" x14ac:dyDescent="0.15">
      <c r="A8" s="15" t="s">
        <v>5</v>
      </c>
      <c r="B8" s="8"/>
      <c r="C8" s="10">
        <v>10</v>
      </c>
      <c r="D8" s="10"/>
      <c r="E8" s="10"/>
      <c r="F8" s="28"/>
      <c r="G8" s="9">
        <f t="shared" si="0"/>
        <v>10</v>
      </c>
      <c r="H8" s="36">
        <v>42936</v>
      </c>
      <c r="I8" s="15" t="s">
        <v>5</v>
      </c>
      <c r="J8" s="8"/>
      <c r="K8" s="10"/>
      <c r="L8" s="10"/>
      <c r="M8" s="10"/>
      <c r="N8" s="28"/>
      <c r="O8" s="9">
        <f t="shared" si="1"/>
        <v>0</v>
      </c>
      <c r="P8" s="1"/>
    </row>
    <row r="9" spans="1:17" x14ac:dyDescent="0.15">
      <c r="A9" s="15" t="s">
        <v>6</v>
      </c>
      <c r="B9" s="8"/>
      <c r="C9" s="10"/>
      <c r="D9" s="10"/>
      <c r="E9" s="10">
        <v>10</v>
      </c>
      <c r="F9" s="28"/>
      <c r="G9" s="9">
        <f t="shared" si="0"/>
        <v>10</v>
      </c>
      <c r="H9" s="36">
        <v>42937</v>
      </c>
      <c r="I9" s="15" t="s">
        <v>6</v>
      </c>
      <c r="J9" s="8"/>
      <c r="K9" s="10"/>
      <c r="L9" s="10"/>
      <c r="M9" s="10"/>
      <c r="N9" s="28"/>
      <c r="O9" s="9">
        <f t="shared" si="1"/>
        <v>0</v>
      </c>
      <c r="P9" s="1"/>
    </row>
    <row r="10" spans="1:17" x14ac:dyDescent="0.15">
      <c r="A10" s="15" t="s">
        <v>84</v>
      </c>
      <c r="B10" s="11"/>
      <c r="C10" s="12"/>
      <c r="D10" s="12">
        <v>10</v>
      </c>
      <c r="E10" s="12"/>
      <c r="F10" s="31"/>
      <c r="G10" s="7">
        <f t="shared" si="0"/>
        <v>10</v>
      </c>
      <c r="H10" s="36">
        <v>42942</v>
      </c>
      <c r="I10" s="15" t="s">
        <v>84</v>
      </c>
      <c r="J10" s="11"/>
      <c r="K10" s="12"/>
      <c r="L10" s="12"/>
      <c r="M10" s="12"/>
      <c r="N10" s="31"/>
      <c r="O10" s="7">
        <f t="shared" si="1"/>
        <v>0</v>
      </c>
      <c r="P10" s="1"/>
    </row>
    <row r="11" spans="1:17" x14ac:dyDescent="0.15">
      <c r="A11" s="15" t="s">
        <v>85</v>
      </c>
      <c r="B11" s="8"/>
      <c r="C11" s="10">
        <v>10</v>
      </c>
      <c r="D11" s="10"/>
      <c r="E11" s="10"/>
      <c r="F11" s="30">
        <v>10</v>
      </c>
      <c r="G11" s="7">
        <f t="shared" si="0"/>
        <v>20</v>
      </c>
      <c r="H11" s="36">
        <v>42949</v>
      </c>
      <c r="I11" s="15" t="s">
        <v>85</v>
      </c>
      <c r="J11" s="8"/>
      <c r="K11" s="10"/>
      <c r="L11" s="10"/>
      <c r="M11" s="10"/>
      <c r="N11" s="30"/>
      <c r="O11" s="7">
        <f t="shared" si="1"/>
        <v>0</v>
      </c>
      <c r="P11" s="1"/>
    </row>
    <row r="12" spans="1:17" x14ac:dyDescent="0.15">
      <c r="A12" s="16" t="s">
        <v>88</v>
      </c>
      <c r="B12" s="8">
        <v>10</v>
      </c>
      <c r="C12" s="10"/>
      <c r="D12" s="10"/>
      <c r="E12" s="10">
        <v>10</v>
      </c>
      <c r="F12" s="30"/>
      <c r="G12" s="7">
        <f t="shared" si="0"/>
        <v>20</v>
      </c>
      <c r="H12" s="36">
        <v>42963</v>
      </c>
      <c r="I12" s="16" t="s">
        <v>88</v>
      </c>
      <c r="J12" s="8"/>
      <c r="K12" s="10"/>
      <c r="L12" s="10"/>
      <c r="M12" s="10"/>
      <c r="N12" s="30"/>
      <c r="O12" s="7">
        <f t="shared" si="1"/>
        <v>0</v>
      </c>
      <c r="P12" s="1"/>
    </row>
    <row r="13" spans="1:17" ht="14.25" thickBot="1" x14ac:dyDescent="0.2">
      <c r="A13" s="15" t="s">
        <v>87</v>
      </c>
      <c r="B13" s="11"/>
      <c r="C13" s="100"/>
      <c r="D13" s="100"/>
      <c r="E13" s="100"/>
      <c r="F13" s="101">
        <v>10</v>
      </c>
      <c r="G13" s="102">
        <f t="shared" si="0"/>
        <v>10</v>
      </c>
      <c r="H13" s="36">
        <v>42966</v>
      </c>
      <c r="I13" s="15" t="s">
        <v>87</v>
      </c>
      <c r="J13" s="11"/>
      <c r="K13" s="100"/>
      <c r="L13" s="100"/>
      <c r="M13" s="100"/>
      <c r="N13" s="101"/>
      <c r="O13" s="102">
        <f t="shared" si="1"/>
        <v>0</v>
      </c>
      <c r="P13" s="1"/>
    </row>
    <row r="14" spans="1:17" ht="14.25" thickBot="1" x14ac:dyDescent="0.2">
      <c r="A14" s="72" t="s">
        <v>7</v>
      </c>
      <c r="B14" s="73">
        <f>SUM(B5:B13)</f>
        <v>22</v>
      </c>
      <c r="C14" s="74">
        <f t="shared" ref="C14:F14" si="3">SUM(C5:C13)</f>
        <v>31</v>
      </c>
      <c r="D14" s="74">
        <f t="shared" si="3"/>
        <v>20</v>
      </c>
      <c r="E14" s="74">
        <f t="shared" si="3"/>
        <v>30</v>
      </c>
      <c r="F14" s="105">
        <f t="shared" si="3"/>
        <v>40</v>
      </c>
      <c r="G14" s="76">
        <f t="shared" si="0"/>
        <v>143</v>
      </c>
      <c r="H14" s="1"/>
      <c r="I14" s="72" t="s">
        <v>7</v>
      </c>
      <c r="J14" s="73">
        <f>SUM(J5:J13)</f>
        <v>147</v>
      </c>
      <c r="K14" s="74">
        <f t="shared" ref="K14:N14" si="4">SUM(K5:K13)</f>
        <v>150</v>
      </c>
      <c r="L14" s="74">
        <f t="shared" si="4"/>
        <v>150</v>
      </c>
      <c r="M14" s="74">
        <f t="shared" si="4"/>
        <v>148</v>
      </c>
      <c r="N14" s="105">
        <f t="shared" si="4"/>
        <v>148</v>
      </c>
      <c r="O14" s="76">
        <f t="shared" si="1"/>
        <v>743</v>
      </c>
      <c r="P14" s="69"/>
    </row>
    <row r="15" spans="1:17" x14ac:dyDescent="0.15">
      <c r="A15" s="16" t="s">
        <v>442</v>
      </c>
      <c r="B15" s="37">
        <v>10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50</v>
      </c>
      <c r="H15" s="36">
        <v>42905</v>
      </c>
      <c r="I15" s="16" t="s">
        <v>444</v>
      </c>
      <c r="J15" s="17">
        <v>10</v>
      </c>
      <c r="K15" s="22">
        <v>10</v>
      </c>
      <c r="L15" s="22">
        <v>10</v>
      </c>
      <c r="M15" s="22">
        <v>10</v>
      </c>
      <c r="N15" s="29">
        <v>10</v>
      </c>
      <c r="O15" s="18">
        <f t="shared" si="1"/>
        <v>50</v>
      </c>
      <c r="P15" s="36">
        <v>42896</v>
      </c>
    </row>
    <row r="16" spans="1:17" x14ac:dyDescent="0.15">
      <c r="A16" s="39" t="s">
        <v>448</v>
      </c>
      <c r="B16" s="8"/>
      <c r="C16" s="10">
        <v>1</v>
      </c>
      <c r="D16" s="10"/>
      <c r="E16" s="10"/>
      <c r="F16" s="30"/>
      <c r="G16" s="7">
        <f t="shared" si="0"/>
        <v>1</v>
      </c>
      <c r="H16" s="36">
        <v>42881</v>
      </c>
      <c r="I16" s="16" t="s">
        <v>24</v>
      </c>
      <c r="J16" s="8">
        <v>2</v>
      </c>
      <c r="K16" s="10"/>
      <c r="L16" s="10"/>
      <c r="M16" s="10"/>
      <c r="N16" s="30">
        <v>10</v>
      </c>
      <c r="O16" s="7">
        <f t="shared" si="1"/>
        <v>12</v>
      </c>
      <c r="P16" s="36">
        <v>42928</v>
      </c>
    </row>
    <row r="17" spans="1:16" x14ac:dyDescent="0.15">
      <c r="A17" s="39" t="s">
        <v>470</v>
      </c>
      <c r="B17" s="8"/>
      <c r="C17" s="10">
        <v>-1</v>
      </c>
      <c r="D17" s="10"/>
      <c r="E17" s="10"/>
      <c r="F17" s="30"/>
      <c r="G17" s="7">
        <f t="shared" si="0"/>
        <v>-1</v>
      </c>
      <c r="H17" s="36">
        <v>42919</v>
      </c>
      <c r="I17" s="16" t="s">
        <v>24</v>
      </c>
      <c r="J17" s="8"/>
      <c r="K17" s="10">
        <v>10</v>
      </c>
      <c r="L17" s="10"/>
      <c r="M17" s="10"/>
      <c r="N17" s="30"/>
      <c r="O17" s="7">
        <f t="shared" si="1"/>
        <v>10</v>
      </c>
      <c r="P17" s="36">
        <v>42936</v>
      </c>
    </row>
    <row r="18" spans="1:16" x14ac:dyDescent="0.15">
      <c r="A18" s="16" t="s">
        <v>22</v>
      </c>
      <c r="B18" s="8"/>
      <c r="C18" s="10"/>
      <c r="D18" s="10"/>
      <c r="E18" s="10"/>
      <c r="F18" s="30">
        <v>10</v>
      </c>
      <c r="G18" s="7">
        <f t="shared" si="0"/>
        <v>10</v>
      </c>
      <c r="H18" s="36">
        <v>42930</v>
      </c>
      <c r="I18" s="16" t="s">
        <v>24</v>
      </c>
      <c r="J18" s="8"/>
      <c r="K18" s="10"/>
      <c r="L18" s="10"/>
      <c r="M18" s="10">
        <v>10</v>
      </c>
      <c r="N18" s="30"/>
      <c r="O18" s="7">
        <f t="shared" si="1"/>
        <v>10</v>
      </c>
      <c r="P18" s="36">
        <v>42937</v>
      </c>
    </row>
    <row r="19" spans="1:16" x14ac:dyDescent="0.15">
      <c r="A19" s="16" t="s">
        <v>22</v>
      </c>
      <c r="B19" s="8"/>
      <c r="C19" s="10">
        <v>10</v>
      </c>
      <c r="D19" s="10"/>
      <c r="E19" s="10"/>
      <c r="F19" s="30"/>
      <c r="G19" s="7">
        <f t="shared" si="0"/>
        <v>10</v>
      </c>
      <c r="H19" s="36">
        <v>42940</v>
      </c>
      <c r="I19" s="16" t="s">
        <v>24</v>
      </c>
      <c r="J19" s="8"/>
      <c r="K19" s="10"/>
      <c r="L19" s="10">
        <v>10</v>
      </c>
      <c r="M19" s="10"/>
      <c r="N19" s="30"/>
      <c r="O19" s="7">
        <f t="shared" si="1"/>
        <v>10</v>
      </c>
      <c r="P19" s="36">
        <v>42942</v>
      </c>
    </row>
    <row r="20" spans="1:16" x14ac:dyDescent="0.15">
      <c r="A20" s="16" t="s">
        <v>22</v>
      </c>
      <c r="B20" s="8"/>
      <c r="C20" s="10"/>
      <c r="D20" s="10"/>
      <c r="E20" s="10">
        <v>10</v>
      </c>
      <c r="F20" s="30"/>
      <c r="G20" s="7">
        <f t="shared" si="0"/>
        <v>10</v>
      </c>
      <c r="H20" s="36">
        <v>42942</v>
      </c>
      <c r="I20" s="16" t="s">
        <v>24</v>
      </c>
      <c r="J20" s="8"/>
      <c r="K20" s="10">
        <v>10</v>
      </c>
      <c r="L20" s="10"/>
      <c r="M20" s="10"/>
      <c r="N20" s="30">
        <v>10</v>
      </c>
      <c r="O20" s="7">
        <f t="shared" si="1"/>
        <v>20</v>
      </c>
      <c r="P20" s="36">
        <v>42949</v>
      </c>
    </row>
    <row r="21" spans="1:16" x14ac:dyDescent="0.15">
      <c r="A21" s="16" t="s">
        <v>22</v>
      </c>
      <c r="B21" s="8"/>
      <c r="C21" s="10"/>
      <c r="D21" s="10">
        <v>10</v>
      </c>
      <c r="E21" s="10"/>
      <c r="F21" s="30"/>
      <c r="G21" s="7">
        <f t="shared" si="0"/>
        <v>10</v>
      </c>
      <c r="H21" s="36">
        <v>42948</v>
      </c>
      <c r="I21" s="16" t="s">
        <v>24</v>
      </c>
      <c r="J21" s="8">
        <v>10</v>
      </c>
      <c r="K21" s="10"/>
      <c r="L21" s="10"/>
      <c r="M21" s="10">
        <v>10</v>
      </c>
      <c r="N21" s="30"/>
      <c r="O21" s="7">
        <f t="shared" si="1"/>
        <v>20</v>
      </c>
      <c r="P21" s="36">
        <v>42963</v>
      </c>
    </row>
    <row r="22" spans="1:16" x14ac:dyDescent="0.15">
      <c r="A22" s="16" t="s">
        <v>22</v>
      </c>
      <c r="B22" s="8"/>
      <c r="C22" s="10">
        <v>10</v>
      </c>
      <c r="D22" s="10"/>
      <c r="E22" s="10"/>
      <c r="F22" s="30">
        <v>10</v>
      </c>
      <c r="G22" s="7">
        <f t="shared" si="0"/>
        <v>20</v>
      </c>
      <c r="H22" s="36">
        <v>42954</v>
      </c>
      <c r="I22" s="16" t="s">
        <v>24</v>
      </c>
      <c r="J22" s="8"/>
      <c r="K22" s="10"/>
      <c r="L22" s="10"/>
      <c r="M22" s="10"/>
      <c r="N22" s="30">
        <v>10</v>
      </c>
      <c r="O22" s="7">
        <f t="shared" si="1"/>
        <v>10</v>
      </c>
      <c r="P22" s="36">
        <v>42966</v>
      </c>
    </row>
    <row r="23" spans="1:16" x14ac:dyDescent="0.15">
      <c r="A23" s="39" t="s">
        <v>505</v>
      </c>
      <c r="B23" s="8">
        <v>-2</v>
      </c>
      <c r="C23" s="10">
        <v>-3</v>
      </c>
      <c r="D23" s="10">
        <v>-2</v>
      </c>
      <c r="E23" s="10"/>
      <c r="F23" s="30">
        <v>-1</v>
      </c>
      <c r="G23" s="7">
        <f t="shared" si="0"/>
        <v>-8</v>
      </c>
      <c r="H23" s="36">
        <v>42950</v>
      </c>
      <c r="I23" s="16"/>
      <c r="J23" s="8"/>
      <c r="K23" s="10"/>
      <c r="L23" s="10"/>
      <c r="M23" s="10"/>
      <c r="N23" s="30"/>
      <c r="O23" s="7">
        <f t="shared" si="1"/>
        <v>0</v>
      </c>
      <c r="P23" s="36"/>
    </row>
    <row r="24" spans="1:16" x14ac:dyDescent="0.15">
      <c r="A24" s="16" t="s">
        <v>22</v>
      </c>
      <c r="B24" s="11">
        <v>10</v>
      </c>
      <c r="C24" s="12"/>
      <c r="D24" s="12"/>
      <c r="E24" s="12">
        <v>10</v>
      </c>
      <c r="F24" s="31"/>
      <c r="G24" s="7">
        <f t="shared" si="0"/>
        <v>20</v>
      </c>
      <c r="H24" s="36">
        <v>42968</v>
      </c>
      <c r="I24" s="16"/>
      <c r="J24" s="11"/>
      <c r="K24" s="12"/>
      <c r="L24" s="12"/>
      <c r="M24" s="12"/>
      <c r="N24" s="31"/>
      <c r="O24" s="7">
        <f t="shared" si="1"/>
        <v>0</v>
      </c>
      <c r="P24" s="1"/>
    </row>
    <row r="25" spans="1:16" x14ac:dyDescent="0.15">
      <c r="A25" s="16" t="s">
        <v>516</v>
      </c>
      <c r="B25" s="8"/>
      <c r="C25" s="10">
        <v>-2</v>
      </c>
      <c r="D25" s="10"/>
      <c r="E25" s="10"/>
      <c r="F25" s="30">
        <v>-2</v>
      </c>
      <c r="G25" s="7">
        <f t="shared" si="0"/>
        <v>-4</v>
      </c>
      <c r="H25" s="36">
        <v>42963</v>
      </c>
      <c r="I25" s="16"/>
      <c r="J25" s="8"/>
      <c r="K25" s="10"/>
      <c r="L25" s="10"/>
      <c r="M25" s="10"/>
      <c r="N25" s="30"/>
      <c r="O25" s="7">
        <f t="shared" si="1"/>
        <v>0</v>
      </c>
      <c r="P25" s="1"/>
    </row>
    <row r="26" spans="1:16" x14ac:dyDescent="0.15">
      <c r="A26" s="16" t="s">
        <v>22</v>
      </c>
      <c r="B26" s="8"/>
      <c r="C26" s="10"/>
      <c r="D26" s="10"/>
      <c r="E26" s="10"/>
      <c r="F26" s="30">
        <v>10</v>
      </c>
      <c r="G26" s="7">
        <f t="shared" si="0"/>
        <v>10</v>
      </c>
      <c r="H26" s="36">
        <v>42971</v>
      </c>
      <c r="I26" s="14"/>
      <c r="J26" s="8"/>
      <c r="K26" s="10"/>
      <c r="L26" s="10"/>
      <c r="M26" s="10"/>
      <c r="N26" s="30"/>
      <c r="O26" s="7">
        <f t="shared" si="1"/>
        <v>0</v>
      </c>
      <c r="P26" s="1"/>
    </row>
    <row r="27" spans="1:16" x14ac:dyDescent="0.15">
      <c r="A27" s="16" t="s">
        <v>23</v>
      </c>
      <c r="B27" s="8"/>
      <c r="C27" s="10">
        <v>-2</v>
      </c>
      <c r="D27" s="10">
        <v>-2</v>
      </c>
      <c r="E27" s="10">
        <v>-3</v>
      </c>
      <c r="F27" s="30">
        <v>-1</v>
      </c>
      <c r="G27" s="7">
        <f t="shared" si="0"/>
        <v>-8</v>
      </c>
      <c r="H27" s="36">
        <v>42975</v>
      </c>
      <c r="I27" s="16"/>
      <c r="J27" s="8"/>
      <c r="K27" s="10"/>
      <c r="L27" s="10"/>
      <c r="M27" s="10"/>
      <c r="N27" s="30"/>
      <c r="O27" s="7">
        <f t="shared" si="1"/>
        <v>0</v>
      </c>
      <c r="P27" s="1"/>
    </row>
    <row r="28" spans="1:16" x14ac:dyDescent="0.15">
      <c r="A28" s="16"/>
      <c r="B28" s="8"/>
      <c r="C28" s="10"/>
      <c r="D28" s="10"/>
      <c r="E28" s="10"/>
      <c r="F28" s="30"/>
      <c r="G28" s="7">
        <f t="shared" si="0"/>
        <v>0</v>
      </c>
      <c r="H28" s="36"/>
      <c r="I28" s="16"/>
      <c r="J28" s="8"/>
      <c r="K28" s="10"/>
      <c r="L28" s="10"/>
      <c r="M28" s="10"/>
      <c r="N28" s="30"/>
      <c r="O28" s="7">
        <f t="shared" si="1"/>
        <v>0</v>
      </c>
      <c r="P28" s="1"/>
    </row>
    <row r="29" spans="1:16" x14ac:dyDescent="0.15">
      <c r="A29" s="16"/>
      <c r="B29" s="8"/>
      <c r="C29" s="10"/>
      <c r="D29" s="10"/>
      <c r="E29" s="10"/>
      <c r="F29" s="30"/>
      <c r="G29" s="7">
        <f t="shared" si="0"/>
        <v>0</v>
      </c>
      <c r="H29" s="36"/>
      <c r="I29" s="16"/>
      <c r="J29" s="8"/>
      <c r="K29" s="10"/>
      <c r="L29" s="10"/>
      <c r="M29" s="10"/>
      <c r="N29" s="30"/>
      <c r="O29" s="7">
        <f t="shared" si="1"/>
        <v>0</v>
      </c>
      <c r="P29" s="1"/>
    </row>
    <row r="30" spans="1:16" x14ac:dyDescent="0.15">
      <c r="A30" s="14"/>
      <c r="B30" s="8"/>
      <c r="C30" s="10"/>
      <c r="D30" s="10"/>
      <c r="E30" s="10"/>
      <c r="F30" s="30"/>
      <c r="G30" s="7">
        <f t="shared" si="0"/>
        <v>0</v>
      </c>
      <c r="H30" s="36"/>
      <c r="I30" s="16"/>
      <c r="J30" s="8"/>
      <c r="K30" s="10"/>
      <c r="L30" s="10"/>
      <c r="M30" s="10"/>
      <c r="N30" s="30"/>
      <c r="O30" s="7">
        <f t="shared" si="1"/>
        <v>0</v>
      </c>
      <c r="P30" s="1"/>
    </row>
    <row r="31" spans="1:16" x14ac:dyDescent="0.15">
      <c r="A31" s="39"/>
      <c r="B31" s="8"/>
      <c r="C31" s="10"/>
      <c r="D31" s="10"/>
      <c r="E31" s="10"/>
      <c r="F31" s="30"/>
      <c r="G31" s="7">
        <f t="shared" si="0"/>
        <v>0</v>
      </c>
      <c r="H31" s="36"/>
      <c r="I31" s="14"/>
      <c r="J31" s="8"/>
      <c r="K31" s="10"/>
      <c r="L31" s="10"/>
      <c r="M31" s="10"/>
      <c r="N31" s="30"/>
      <c r="O31" s="7">
        <f t="shared" si="1"/>
        <v>0</v>
      </c>
      <c r="P31" s="1"/>
    </row>
    <row r="32" spans="1:16" x14ac:dyDescent="0.15">
      <c r="A32" s="39"/>
      <c r="B32" s="8"/>
      <c r="C32" s="10"/>
      <c r="D32" s="10"/>
      <c r="E32" s="10"/>
      <c r="F32" s="30"/>
      <c r="G32" s="7">
        <f t="shared" si="0"/>
        <v>0</v>
      </c>
      <c r="H32" s="36"/>
      <c r="I32" s="16"/>
      <c r="J32" s="8"/>
      <c r="K32" s="10"/>
      <c r="L32" s="10"/>
      <c r="M32" s="10"/>
      <c r="N32" s="30"/>
      <c r="O32" s="7">
        <f t="shared" si="1"/>
        <v>0</v>
      </c>
      <c r="P32" s="1"/>
    </row>
    <row r="33" spans="1:16" x14ac:dyDescent="0.15">
      <c r="A33" s="16"/>
      <c r="B33" s="8"/>
      <c r="C33" s="10"/>
      <c r="D33" s="10"/>
      <c r="E33" s="10"/>
      <c r="F33" s="30"/>
      <c r="G33" s="7">
        <f t="shared" si="0"/>
        <v>0</v>
      </c>
      <c r="H33" s="36"/>
      <c r="I33" s="16"/>
      <c r="J33" s="8"/>
      <c r="K33" s="10"/>
      <c r="L33" s="10"/>
      <c r="M33" s="10"/>
      <c r="N33" s="30"/>
      <c r="O33" s="7">
        <f t="shared" si="1"/>
        <v>0</v>
      </c>
      <c r="P33" s="1"/>
    </row>
    <row r="34" spans="1:16" x14ac:dyDescent="0.15">
      <c r="A34" s="16"/>
      <c r="B34" s="8"/>
      <c r="C34" s="10"/>
      <c r="D34" s="10"/>
      <c r="E34" s="10"/>
      <c r="F34" s="30"/>
      <c r="G34" s="7">
        <f t="shared" si="0"/>
        <v>0</v>
      </c>
      <c r="H34" s="36"/>
      <c r="I34" s="16"/>
      <c r="J34" s="8"/>
      <c r="K34" s="10"/>
      <c r="L34" s="10"/>
      <c r="M34" s="10"/>
      <c r="N34" s="30"/>
      <c r="O34" s="7">
        <f t="shared" si="1"/>
        <v>0</v>
      </c>
      <c r="P34" s="1"/>
    </row>
    <row r="35" spans="1:16" x14ac:dyDescent="0.15">
      <c r="A35" s="39"/>
      <c r="B35" s="8"/>
      <c r="C35" s="10"/>
      <c r="D35" s="10"/>
      <c r="E35" s="10"/>
      <c r="F35" s="30"/>
      <c r="G35" s="7">
        <f t="shared" si="0"/>
        <v>0</v>
      </c>
      <c r="H35" s="36"/>
      <c r="I35" s="14"/>
      <c r="J35" s="8"/>
      <c r="K35" s="10"/>
      <c r="L35" s="10"/>
      <c r="M35" s="10"/>
      <c r="N35" s="30"/>
      <c r="O35" s="7">
        <f t="shared" si="1"/>
        <v>0</v>
      </c>
      <c r="P35" s="1"/>
    </row>
    <row r="36" spans="1:16" x14ac:dyDescent="0.15">
      <c r="A36" s="16"/>
      <c r="B36" s="11"/>
      <c r="C36" s="12"/>
      <c r="D36" s="12"/>
      <c r="E36" s="12"/>
      <c r="F36" s="31"/>
      <c r="G36" s="7">
        <f t="shared" si="0"/>
        <v>0</v>
      </c>
      <c r="H36" s="36"/>
      <c r="I36" s="16"/>
      <c r="J36" s="11"/>
      <c r="K36" s="12"/>
      <c r="L36" s="12"/>
      <c r="M36" s="12"/>
      <c r="N36" s="31"/>
      <c r="O36" s="7">
        <f t="shared" si="1"/>
        <v>0</v>
      </c>
      <c r="P36" s="1"/>
    </row>
    <row r="37" spans="1:16" x14ac:dyDescent="0.15">
      <c r="A37" s="16"/>
      <c r="B37" s="8"/>
      <c r="C37" s="10"/>
      <c r="D37" s="10"/>
      <c r="E37" s="10"/>
      <c r="F37" s="30"/>
      <c r="G37" s="7">
        <f t="shared" si="0"/>
        <v>0</v>
      </c>
      <c r="H37" s="36"/>
      <c r="I37" s="133"/>
      <c r="J37" s="8"/>
      <c r="K37" s="10"/>
      <c r="L37" s="10"/>
      <c r="M37" s="10"/>
      <c r="N37" s="30"/>
      <c r="O37" s="7">
        <f t="shared" si="1"/>
        <v>0</v>
      </c>
      <c r="P37" s="1"/>
    </row>
    <row r="38" spans="1:16" x14ac:dyDescent="0.15">
      <c r="A38" s="16"/>
      <c r="B38" s="37"/>
      <c r="C38" s="35"/>
      <c r="D38" s="35"/>
      <c r="E38" s="35"/>
      <c r="F38" s="28"/>
      <c r="G38" s="7">
        <f t="shared" si="0"/>
        <v>0</v>
      </c>
      <c r="H38" s="36"/>
      <c r="I38" s="14"/>
      <c r="J38" s="8"/>
      <c r="K38" s="10"/>
      <c r="L38" s="10"/>
      <c r="M38" s="10"/>
      <c r="N38" s="30"/>
      <c r="O38" s="7">
        <f t="shared" si="1"/>
        <v>0</v>
      </c>
      <c r="P38" s="36"/>
    </row>
    <row r="39" spans="1:16" x14ac:dyDescent="0.15">
      <c r="A39" s="16"/>
      <c r="B39" s="8"/>
      <c r="C39" s="10"/>
      <c r="D39" s="10"/>
      <c r="E39" s="10"/>
      <c r="F39" s="30"/>
      <c r="G39" s="9">
        <f t="shared" si="0"/>
        <v>0</v>
      </c>
      <c r="H39" s="36"/>
      <c r="I39" s="20"/>
      <c r="J39" s="8"/>
      <c r="K39" s="10"/>
      <c r="L39" s="10"/>
      <c r="M39" s="10"/>
      <c r="N39" s="30"/>
      <c r="O39" s="7">
        <f t="shared" si="1"/>
        <v>0</v>
      </c>
      <c r="P39" s="36"/>
    </row>
    <row r="40" spans="1:16" ht="14.25" thickBot="1" x14ac:dyDescent="0.2">
      <c r="A40" s="16"/>
      <c r="B40" s="37"/>
      <c r="C40" s="35"/>
      <c r="D40" s="35"/>
      <c r="E40" s="35"/>
      <c r="F40" s="28"/>
      <c r="G40" s="7">
        <f t="shared" si="0"/>
        <v>0</v>
      </c>
      <c r="H40" s="36"/>
      <c r="I40" s="20"/>
      <c r="J40" s="11"/>
      <c r="K40" s="12"/>
      <c r="L40" s="12"/>
      <c r="M40" s="12"/>
      <c r="N40" s="31"/>
      <c r="O40" s="7">
        <f t="shared" si="1"/>
        <v>0</v>
      </c>
      <c r="P40" s="36"/>
    </row>
    <row r="41" spans="1:16" ht="14.25" thickBot="1" x14ac:dyDescent="0.2">
      <c r="A41" s="3" t="s">
        <v>11</v>
      </c>
      <c r="B41" s="23">
        <f>SUM(B15:B40)</f>
        <v>18</v>
      </c>
      <c r="C41" s="4">
        <f>SUM(C15:C40)</f>
        <v>23</v>
      </c>
      <c r="D41" s="4">
        <f>SUM(D15:D40)</f>
        <v>16</v>
      </c>
      <c r="E41" s="6">
        <f>SUM(E15:E40)</f>
        <v>27</v>
      </c>
      <c r="F41" s="32">
        <f>SUM(F15:F40)</f>
        <v>36</v>
      </c>
      <c r="G41" s="5">
        <f>SUM(B41:F41)</f>
        <v>120</v>
      </c>
      <c r="H41" s="1"/>
      <c r="I41" s="3" t="s">
        <v>11</v>
      </c>
      <c r="J41" s="23">
        <f>SUM(J15:J40)</f>
        <v>22</v>
      </c>
      <c r="K41" s="4">
        <f>SUM(K15:K40)</f>
        <v>30</v>
      </c>
      <c r="L41" s="4">
        <f>SUM(L15:L40)</f>
        <v>20</v>
      </c>
      <c r="M41" s="6">
        <f>SUM(M15:M40)</f>
        <v>30</v>
      </c>
      <c r="N41" s="32">
        <f>SUM(N15:N40)</f>
        <v>40</v>
      </c>
      <c r="O41" s="5">
        <f>SUM(J41:N41)</f>
        <v>142</v>
      </c>
      <c r="P41" s="1"/>
    </row>
    <row r="42" spans="1:16" ht="14.25" thickBot="1" x14ac:dyDescent="0.2">
      <c r="A42" s="25" t="s">
        <v>12</v>
      </c>
      <c r="B42" s="63">
        <f>B14-B41</f>
        <v>4</v>
      </c>
      <c r="C42" s="26">
        <f t="shared" ref="C42:G42" si="5">C14-C41</f>
        <v>8</v>
      </c>
      <c r="D42" s="71">
        <f t="shared" si="5"/>
        <v>4</v>
      </c>
      <c r="E42" s="26">
        <f t="shared" si="5"/>
        <v>3</v>
      </c>
      <c r="F42" s="70">
        <f t="shared" si="5"/>
        <v>4</v>
      </c>
      <c r="G42" s="27">
        <f t="shared" si="5"/>
        <v>23</v>
      </c>
      <c r="H42" s="1"/>
      <c r="I42" s="25" t="s">
        <v>12</v>
      </c>
      <c r="J42" s="63">
        <f>J14-J41</f>
        <v>125</v>
      </c>
      <c r="K42" s="26">
        <f t="shared" ref="K42:O42" si="6">K14-K41</f>
        <v>120</v>
      </c>
      <c r="L42" s="71">
        <f t="shared" si="6"/>
        <v>130</v>
      </c>
      <c r="M42" s="26">
        <f t="shared" si="6"/>
        <v>118</v>
      </c>
      <c r="N42" s="70">
        <f t="shared" si="6"/>
        <v>108</v>
      </c>
      <c r="O42" s="27">
        <f t="shared" si="6"/>
        <v>601</v>
      </c>
      <c r="P42" s="1"/>
    </row>
    <row r="43" spans="1:16" ht="21" x14ac:dyDescent="0.2">
      <c r="A43" s="83" t="s">
        <v>415</v>
      </c>
      <c r="B43" s="77"/>
      <c r="C43" s="77"/>
      <c r="D43" s="77"/>
      <c r="E43" s="77"/>
      <c r="F43" s="77"/>
      <c r="G43" s="77"/>
      <c r="H43" s="1"/>
      <c r="I43" s="83" t="s">
        <v>415</v>
      </c>
      <c r="J43" s="77"/>
      <c r="K43" s="77"/>
      <c r="L43" s="77"/>
      <c r="M43" s="77"/>
      <c r="N43" s="77"/>
      <c r="O43" s="77"/>
      <c r="P43" s="1"/>
    </row>
    <row r="44" spans="1:16" ht="21.75" thickBot="1" x14ac:dyDescent="0.25">
      <c r="A44" s="83" t="s">
        <v>47</v>
      </c>
      <c r="B44" s="77"/>
      <c r="C44" s="77"/>
      <c r="D44" s="77"/>
      <c r="E44" s="84"/>
      <c r="F44" s="78" t="s">
        <v>53</v>
      </c>
      <c r="G44" s="77"/>
      <c r="H44" s="1"/>
      <c r="I44" s="83" t="s">
        <v>47</v>
      </c>
      <c r="J44" s="77"/>
      <c r="K44" s="77"/>
      <c r="L44" s="77"/>
      <c r="M44" s="84"/>
      <c r="N44" s="78" t="s">
        <v>54</v>
      </c>
      <c r="O44" s="77"/>
      <c r="P44" s="1"/>
    </row>
    <row r="45" spans="1:16" ht="14.25" thickBot="1" x14ac:dyDescent="0.2">
      <c r="A45" s="13" t="s">
        <v>0</v>
      </c>
      <c r="B45" s="228" t="s">
        <v>49</v>
      </c>
      <c r="C45" s="229"/>
      <c r="D45" s="229"/>
      <c r="E45" s="229"/>
      <c r="F45" s="230"/>
      <c r="G45" s="231"/>
      <c r="H45" s="1"/>
      <c r="I45" s="13" t="s">
        <v>0</v>
      </c>
      <c r="J45" s="228" t="s">
        <v>49</v>
      </c>
      <c r="K45" s="229"/>
      <c r="L45" s="229"/>
      <c r="M45" s="229"/>
      <c r="N45" s="230"/>
      <c r="O45" s="231"/>
      <c r="P45" s="1"/>
    </row>
    <row r="46" spans="1:16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4" t="s">
        <v>2</v>
      </c>
      <c r="H46" s="1"/>
      <c r="I46" s="3" t="s">
        <v>1</v>
      </c>
      <c r="J46" s="2" t="s">
        <v>42</v>
      </c>
      <c r="K46" s="21" t="s">
        <v>43</v>
      </c>
      <c r="L46" s="21" t="s">
        <v>44</v>
      </c>
      <c r="M46" s="24" t="s">
        <v>45</v>
      </c>
      <c r="N46" s="33" t="s">
        <v>46</v>
      </c>
      <c r="O46" s="3" t="s">
        <v>2</v>
      </c>
      <c r="P46" s="1"/>
    </row>
    <row r="47" spans="1:16" x14ac:dyDescent="0.15">
      <c r="A47" s="96" t="s">
        <v>527</v>
      </c>
      <c r="B47" s="95">
        <f>B42</f>
        <v>4</v>
      </c>
      <c r="C47" s="97">
        <f t="shared" ref="C47:F47" si="7">C42</f>
        <v>8</v>
      </c>
      <c r="D47" s="139">
        <f t="shared" si="7"/>
        <v>4</v>
      </c>
      <c r="E47" s="97">
        <f t="shared" si="7"/>
        <v>3</v>
      </c>
      <c r="F47" s="139">
        <f t="shared" si="7"/>
        <v>4</v>
      </c>
      <c r="G47" s="52">
        <f t="shared" ref="G47:G82" si="8">SUM(B47:F47)</f>
        <v>23</v>
      </c>
      <c r="H47" s="36"/>
      <c r="I47" s="96" t="s">
        <v>12</v>
      </c>
      <c r="J47" s="95">
        <f>J42</f>
        <v>125</v>
      </c>
      <c r="K47" s="97">
        <f t="shared" ref="K47:N47" si="9">K42</f>
        <v>120</v>
      </c>
      <c r="L47" s="97">
        <f t="shared" si="9"/>
        <v>130</v>
      </c>
      <c r="M47" s="97">
        <f t="shared" si="9"/>
        <v>118</v>
      </c>
      <c r="N47" s="54">
        <f t="shared" si="9"/>
        <v>108</v>
      </c>
      <c r="O47" s="52">
        <f t="shared" ref="O47:O82" si="10">SUM(J47:N47)</f>
        <v>601</v>
      </c>
      <c r="P47" s="36"/>
    </row>
    <row r="48" spans="1:16" x14ac:dyDescent="0.15">
      <c r="A48" s="15" t="s">
        <v>14</v>
      </c>
      <c r="B48" s="8"/>
      <c r="C48" s="10"/>
      <c r="D48" s="10">
        <v>10</v>
      </c>
      <c r="E48" s="10"/>
      <c r="F48" s="28"/>
      <c r="G48" s="9">
        <f t="shared" si="8"/>
        <v>10</v>
      </c>
      <c r="H48" s="36">
        <v>42984</v>
      </c>
      <c r="I48" s="15" t="s">
        <v>3</v>
      </c>
      <c r="J48" s="37"/>
      <c r="K48" s="35"/>
      <c r="L48" s="35"/>
      <c r="M48" s="35"/>
      <c r="N48" s="28"/>
      <c r="O48" s="7">
        <f t="shared" si="10"/>
        <v>0</v>
      </c>
      <c r="P48" s="36"/>
    </row>
    <row r="49" spans="1:18" x14ac:dyDescent="0.15">
      <c r="A49" s="15" t="s">
        <v>3</v>
      </c>
      <c r="B49" s="8"/>
      <c r="C49" s="10">
        <v>5</v>
      </c>
      <c r="D49" s="10"/>
      <c r="E49" s="10"/>
      <c r="F49" s="28"/>
      <c r="G49" s="9">
        <f t="shared" si="8"/>
        <v>5</v>
      </c>
      <c r="H49" s="36">
        <v>42994</v>
      </c>
      <c r="I49" s="15" t="s">
        <v>4</v>
      </c>
      <c r="J49" s="8"/>
      <c r="K49" s="10"/>
      <c r="L49" s="10"/>
      <c r="M49" s="10"/>
      <c r="N49" s="28"/>
      <c r="O49" s="9">
        <f t="shared" si="10"/>
        <v>0</v>
      </c>
      <c r="P49" s="36"/>
    </row>
    <row r="50" spans="1:18" x14ac:dyDescent="0.15">
      <c r="A50" s="15" t="s">
        <v>19</v>
      </c>
      <c r="B50" s="8">
        <v>2</v>
      </c>
      <c r="C50" s="10">
        <v>1</v>
      </c>
      <c r="D50" s="10"/>
      <c r="E50" s="10"/>
      <c r="F50" s="28">
        <v>2</v>
      </c>
      <c r="G50" s="9">
        <f t="shared" si="8"/>
        <v>5</v>
      </c>
      <c r="H50" s="36">
        <v>43003</v>
      </c>
      <c r="I50" s="15" t="s">
        <v>5</v>
      </c>
      <c r="J50" s="8"/>
      <c r="K50" s="10"/>
      <c r="L50" s="10"/>
      <c r="M50" s="10"/>
      <c r="N50" s="28"/>
      <c r="O50" s="9">
        <f t="shared" si="10"/>
        <v>0</v>
      </c>
      <c r="P50" s="1"/>
    </row>
    <row r="51" spans="1:18" x14ac:dyDescent="0.15">
      <c r="A51" s="15" t="s">
        <v>5</v>
      </c>
      <c r="B51" s="8">
        <v>10</v>
      </c>
      <c r="C51" s="10"/>
      <c r="D51" s="10"/>
      <c r="E51" s="10">
        <v>10</v>
      </c>
      <c r="F51" s="28"/>
      <c r="G51" s="9">
        <f t="shared" si="8"/>
        <v>20</v>
      </c>
      <c r="H51" s="36">
        <v>43005</v>
      </c>
      <c r="I51" s="15" t="s">
        <v>6</v>
      </c>
      <c r="J51" s="8"/>
      <c r="K51" s="10"/>
      <c r="L51" s="10"/>
      <c r="M51" s="10"/>
      <c r="N51" s="28"/>
      <c r="O51" s="9">
        <f t="shared" si="10"/>
        <v>0</v>
      </c>
      <c r="P51" s="1"/>
    </row>
    <row r="52" spans="1:18" x14ac:dyDescent="0.15">
      <c r="A52" s="15" t="s">
        <v>6</v>
      </c>
      <c r="B52" s="11"/>
      <c r="C52" s="12"/>
      <c r="D52" s="12">
        <v>11</v>
      </c>
      <c r="E52" s="12"/>
      <c r="F52" s="31"/>
      <c r="G52" s="7">
        <f t="shared" si="8"/>
        <v>11</v>
      </c>
      <c r="H52" s="36">
        <v>43011</v>
      </c>
      <c r="I52" s="15" t="s">
        <v>84</v>
      </c>
      <c r="J52" s="11"/>
      <c r="K52" s="12"/>
      <c r="L52" s="12"/>
      <c r="M52" s="12"/>
      <c r="N52" s="31"/>
      <c r="O52" s="7">
        <f t="shared" si="10"/>
        <v>0</v>
      </c>
      <c r="P52" s="1"/>
    </row>
    <row r="53" spans="1:18" x14ac:dyDescent="0.15">
      <c r="A53" s="15" t="s">
        <v>84</v>
      </c>
      <c r="B53" s="8"/>
      <c r="C53" s="10"/>
      <c r="D53" s="10"/>
      <c r="E53" s="10">
        <v>10</v>
      </c>
      <c r="F53" s="30"/>
      <c r="G53" s="7">
        <f t="shared" si="8"/>
        <v>10</v>
      </c>
      <c r="H53" s="36">
        <v>43013</v>
      </c>
      <c r="I53" s="15" t="s">
        <v>85</v>
      </c>
      <c r="J53" s="8"/>
      <c r="K53" s="10"/>
      <c r="L53" s="10"/>
      <c r="M53" s="10"/>
      <c r="N53" s="30"/>
      <c r="O53" s="7">
        <f t="shared" si="10"/>
        <v>0</v>
      </c>
      <c r="P53" s="1"/>
    </row>
    <row r="54" spans="1:18" x14ac:dyDescent="0.15">
      <c r="A54" s="15" t="s">
        <v>85</v>
      </c>
      <c r="B54" s="8"/>
      <c r="C54" s="10"/>
      <c r="D54" s="10"/>
      <c r="E54" s="10">
        <v>10</v>
      </c>
      <c r="F54" s="30">
        <v>10</v>
      </c>
      <c r="G54" s="7">
        <f t="shared" si="8"/>
        <v>20</v>
      </c>
      <c r="H54" s="36">
        <v>43019</v>
      </c>
      <c r="I54" s="16" t="s">
        <v>88</v>
      </c>
      <c r="J54" s="8"/>
      <c r="K54" s="10"/>
      <c r="L54" s="10"/>
      <c r="M54" s="10"/>
      <c r="N54" s="30"/>
      <c r="O54" s="7">
        <f t="shared" si="10"/>
        <v>0</v>
      </c>
      <c r="P54" s="1"/>
    </row>
    <row r="55" spans="1:18" ht="14.25" thickBot="1" x14ac:dyDescent="0.2">
      <c r="A55" s="15" t="s">
        <v>86</v>
      </c>
      <c r="B55" s="11"/>
      <c r="C55" s="100"/>
      <c r="D55" s="100">
        <v>20</v>
      </c>
      <c r="E55" s="100"/>
      <c r="F55" s="101"/>
      <c r="G55" s="102">
        <f t="shared" si="8"/>
        <v>20</v>
      </c>
      <c r="H55" s="36">
        <v>43024</v>
      </c>
      <c r="I55" s="15" t="s">
        <v>87</v>
      </c>
      <c r="J55" s="11"/>
      <c r="K55" s="100"/>
      <c r="L55" s="100"/>
      <c r="M55" s="100"/>
      <c r="N55" s="101"/>
      <c r="O55" s="102">
        <f t="shared" si="10"/>
        <v>0</v>
      </c>
      <c r="P55" s="1"/>
    </row>
    <row r="56" spans="1:18" ht="14.25" thickBot="1" x14ac:dyDescent="0.2">
      <c r="A56" s="72" t="s">
        <v>7</v>
      </c>
      <c r="B56" s="73">
        <f>SUM(B47:B55)</f>
        <v>16</v>
      </c>
      <c r="C56" s="74">
        <f t="shared" ref="C56:F56" si="11">SUM(C47:C55)</f>
        <v>14</v>
      </c>
      <c r="D56" s="74">
        <f t="shared" si="11"/>
        <v>45</v>
      </c>
      <c r="E56" s="74">
        <f t="shared" si="11"/>
        <v>33</v>
      </c>
      <c r="F56" s="105">
        <f t="shared" si="11"/>
        <v>16</v>
      </c>
      <c r="G56" s="76">
        <f t="shared" si="8"/>
        <v>124</v>
      </c>
      <c r="H56" s="1"/>
      <c r="I56" s="72" t="s">
        <v>7</v>
      </c>
      <c r="J56" s="73">
        <f>SUM(J47:J55)</f>
        <v>125</v>
      </c>
      <c r="K56" s="74">
        <f t="shared" ref="K56:N56" si="12">SUM(K47:K55)</f>
        <v>120</v>
      </c>
      <c r="L56" s="74">
        <f t="shared" si="12"/>
        <v>130</v>
      </c>
      <c r="M56" s="74">
        <f t="shared" si="12"/>
        <v>118</v>
      </c>
      <c r="N56" s="105">
        <f t="shared" si="12"/>
        <v>108</v>
      </c>
      <c r="O56" s="76">
        <f t="shared" si="10"/>
        <v>601</v>
      </c>
      <c r="P56" s="69"/>
    </row>
    <row r="57" spans="1:18" x14ac:dyDescent="0.15">
      <c r="A57" s="16" t="s">
        <v>526</v>
      </c>
      <c r="B57" s="37"/>
      <c r="C57" s="35"/>
      <c r="D57" s="35">
        <v>10</v>
      </c>
      <c r="E57" s="35"/>
      <c r="F57" s="28"/>
      <c r="G57" s="18">
        <f t="shared" si="8"/>
        <v>10</v>
      </c>
      <c r="H57" s="36">
        <v>42989</v>
      </c>
      <c r="I57" s="16" t="s">
        <v>528</v>
      </c>
      <c r="J57" s="17"/>
      <c r="K57" s="22"/>
      <c r="L57" s="22">
        <v>10</v>
      </c>
      <c r="M57" s="22"/>
      <c r="N57" s="29"/>
      <c r="O57" s="18">
        <f t="shared" si="10"/>
        <v>10</v>
      </c>
      <c r="P57" s="36">
        <v>42984</v>
      </c>
      <c r="Q57" s="56"/>
    </row>
    <row r="58" spans="1:18" x14ac:dyDescent="0.15">
      <c r="A58" s="16" t="s">
        <v>22</v>
      </c>
      <c r="B58" s="8"/>
      <c r="C58" s="10">
        <v>10</v>
      </c>
      <c r="D58" s="10"/>
      <c r="E58" s="10"/>
      <c r="F58" s="30"/>
      <c r="G58" s="7">
        <f t="shared" si="8"/>
        <v>10</v>
      </c>
      <c r="H58" s="36">
        <v>42999</v>
      </c>
      <c r="I58" s="16" t="s">
        <v>24</v>
      </c>
      <c r="J58" s="8"/>
      <c r="K58" s="10">
        <v>5</v>
      </c>
      <c r="L58" s="10"/>
      <c r="M58" s="10"/>
      <c r="N58" s="30"/>
      <c r="O58" s="7">
        <f t="shared" si="10"/>
        <v>5</v>
      </c>
      <c r="P58" s="36">
        <v>42994</v>
      </c>
    </row>
    <row r="59" spans="1:18" x14ac:dyDescent="0.15">
      <c r="A59" s="16" t="s">
        <v>22</v>
      </c>
      <c r="B59" s="8">
        <v>10</v>
      </c>
      <c r="C59" s="10"/>
      <c r="D59" s="10"/>
      <c r="E59" s="10">
        <v>10</v>
      </c>
      <c r="F59" s="30"/>
      <c r="G59" s="7">
        <f t="shared" si="8"/>
        <v>20</v>
      </c>
      <c r="H59" s="36">
        <v>43011</v>
      </c>
      <c r="I59" s="16" t="s">
        <v>24</v>
      </c>
      <c r="J59" s="8">
        <v>10</v>
      </c>
      <c r="K59" s="10"/>
      <c r="L59" s="10"/>
      <c r="M59" s="10">
        <v>10</v>
      </c>
      <c r="N59" s="30"/>
      <c r="O59" s="7">
        <f t="shared" si="10"/>
        <v>20</v>
      </c>
      <c r="P59" s="36">
        <v>43005</v>
      </c>
    </row>
    <row r="60" spans="1:18" x14ac:dyDescent="0.15">
      <c r="A60" s="16" t="s">
        <v>22</v>
      </c>
      <c r="B60" s="8"/>
      <c r="C60" s="10"/>
      <c r="D60" s="10">
        <v>10</v>
      </c>
      <c r="E60" s="10"/>
      <c r="F60" s="30"/>
      <c r="G60" s="7">
        <f t="shared" si="8"/>
        <v>10</v>
      </c>
      <c r="H60" s="36">
        <v>43014</v>
      </c>
      <c r="I60" s="16" t="s">
        <v>24</v>
      </c>
      <c r="J60" s="8"/>
      <c r="K60" s="10"/>
      <c r="L60" s="10">
        <v>11</v>
      </c>
      <c r="M60" s="10"/>
      <c r="N60" s="30"/>
      <c r="O60" s="7">
        <f t="shared" si="10"/>
        <v>11</v>
      </c>
      <c r="P60" s="36">
        <v>43011</v>
      </c>
    </row>
    <row r="61" spans="1:18" x14ac:dyDescent="0.15">
      <c r="A61" s="16" t="s">
        <v>546</v>
      </c>
      <c r="B61" s="8">
        <v>1</v>
      </c>
      <c r="C61" s="10"/>
      <c r="D61" s="10"/>
      <c r="E61" s="10"/>
      <c r="F61" s="30"/>
      <c r="G61" s="7">
        <f t="shared" si="8"/>
        <v>1</v>
      </c>
      <c r="H61" s="36">
        <v>43010</v>
      </c>
      <c r="I61" s="16" t="s">
        <v>24</v>
      </c>
      <c r="J61" s="8"/>
      <c r="K61" s="10"/>
      <c r="L61" s="10"/>
      <c r="M61" s="10">
        <v>10</v>
      </c>
      <c r="N61" s="30"/>
      <c r="O61" s="7">
        <f t="shared" si="10"/>
        <v>10</v>
      </c>
      <c r="P61" s="36">
        <v>43013</v>
      </c>
    </row>
    <row r="62" spans="1:18" x14ac:dyDescent="0.15">
      <c r="A62" s="16" t="s">
        <v>22</v>
      </c>
      <c r="B62" s="8"/>
      <c r="C62" s="10"/>
      <c r="D62" s="10"/>
      <c r="E62" s="10">
        <v>10</v>
      </c>
      <c r="F62" s="30"/>
      <c r="G62" s="7">
        <f t="shared" si="8"/>
        <v>10</v>
      </c>
      <c r="H62" s="36">
        <v>43018</v>
      </c>
      <c r="I62" s="16" t="s">
        <v>24</v>
      </c>
      <c r="J62" s="8"/>
      <c r="K62" s="10"/>
      <c r="L62" s="10"/>
      <c r="M62" s="10">
        <v>10</v>
      </c>
      <c r="N62" s="30">
        <v>10</v>
      </c>
      <c r="O62" s="7">
        <f t="shared" si="10"/>
        <v>20</v>
      </c>
      <c r="P62" s="36">
        <v>43019</v>
      </c>
    </row>
    <row r="63" spans="1:18" x14ac:dyDescent="0.15">
      <c r="A63" s="16" t="s">
        <v>22</v>
      </c>
      <c r="B63" s="8"/>
      <c r="C63" s="10"/>
      <c r="D63" s="10"/>
      <c r="E63" s="10">
        <v>10</v>
      </c>
      <c r="F63" s="30">
        <v>10</v>
      </c>
      <c r="G63" s="7">
        <f t="shared" si="8"/>
        <v>20</v>
      </c>
      <c r="H63" s="36">
        <v>43021</v>
      </c>
      <c r="I63" s="16" t="s">
        <v>24</v>
      </c>
      <c r="J63" s="8"/>
      <c r="K63" s="10"/>
      <c r="L63" s="10">
        <v>20</v>
      </c>
      <c r="M63" s="10"/>
      <c r="N63" s="30"/>
      <c r="O63" s="7">
        <f t="shared" si="10"/>
        <v>20</v>
      </c>
      <c r="P63" s="36">
        <v>43024</v>
      </c>
      <c r="Q63" s="56"/>
      <c r="R63" s="56"/>
    </row>
    <row r="64" spans="1:18" x14ac:dyDescent="0.15">
      <c r="A64" s="16" t="s">
        <v>22</v>
      </c>
      <c r="B64" s="8"/>
      <c r="C64" s="10"/>
      <c r="D64" s="10">
        <v>10</v>
      </c>
      <c r="E64" s="10"/>
      <c r="F64" s="30">
        <v>6</v>
      </c>
      <c r="G64" s="7">
        <f t="shared" si="8"/>
        <v>16</v>
      </c>
      <c r="H64" s="36">
        <v>43026</v>
      </c>
      <c r="I64" s="16" t="s">
        <v>24</v>
      </c>
      <c r="J64" s="8"/>
      <c r="K64" s="10">
        <v>10</v>
      </c>
      <c r="L64" s="10"/>
      <c r="M64" s="10"/>
      <c r="N64" s="30">
        <v>10</v>
      </c>
      <c r="O64" s="7">
        <f t="shared" si="10"/>
        <v>20</v>
      </c>
      <c r="P64" s="36">
        <v>43026</v>
      </c>
    </row>
    <row r="65" spans="1:16" x14ac:dyDescent="0.15">
      <c r="A65" s="16" t="s">
        <v>22</v>
      </c>
      <c r="B65" s="8"/>
      <c r="C65" s="10">
        <v>10</v>
      </c>
      <c r="D65" s="10"/>
      <c r="E65" s="10"/>
      <c r="F65" s="30"/>
      <c r="G65" s="7">
        <f t="shared" si="8"/>
        <v>10</v>
      </c>
      <c r="H65" s="36">
        <v>43031</v>
      </c>
      <c r="I65" s="16" t="s">
        <v>24</v>
      </c>
      <c r="J65" s="8"/>
      <c r="K65" s="10">
        <v>10</v>
      </c>
      <c r="L65" s="10"/>
      <c r="M65" s="10"/>
      <c r="N65" s="30"/>
      <c r="O65" s="7">
        <f t="shared" si="10"/>
        <v>10</v>
      </c>
      <c r="P65" s="36">
        <v>43040</v>
      </c>
    </row>
    <row r="66" spans="1:16" x14ac:dyDescent="0.15">
      <c r="A66" s="16" t="s">
        <v>553</v>
      </c>
      <c r="B66" s="11"/>
      <c r="C66" s="12">
        <v>-10</v>
      </c>
      <c r="D66" s="12"/>
      <c r="E66" s="12"/>
      <c r="F66" s="31">
        <v>-10</v>
      </c>
      <c r="G66" s="7">
        <f t="shared" si="8"/>
        <v>-20</v>
      </c>
      <c r="H66" s="36">
        <v>43026</v>
      </c>
      <c r="I66" s="16" t="s">
        <v>24</v>
      </c>
      <c r="J66" s="11">
        <v>5</v>
      </c>
      <c r="K66" s="12">
        <v>5</v>
      </c>
      <c r="L66" s="12"/>
      <c r="M66" s="12">
        <v>15</v>
      </c>
      <c r="N66" s="31"/>
      <c r="O66" s="7">
        <f t="shared" si="10"/>
        <v>25</v>
      </c>
      <c r="P66" s="36">
        <v>43047</v>
      </c>
    </row>
    <row r="67" spans="1:16" x14ac:dyDescent="0.15">
      <c r="A67" s="16" t="s">
        <v>554</v>
      </c>
      <c r="B67" s="8">
        <v>-2</v>
      </c>
      <c r="C67" s="10">
        <v>-2</v>
      </c>
      <c r="D67" s="10">
        <v>-5</v>
      </c>
      <c r="E67" s="10"/>
      <c r="F67" s="30">
        <v>-1</v>
      </c>
      <c r="G67" s="7">
        <f t="shared" si="8"/>
        <v>-10</v>
      </c>
      <c r="H67" s="36">
        <v>43029</v>
      </c>
      <c r="I67" s="16" t="s">
        <v>24</v>
      </c>
      <c r="J67" s="8">
        <v>5</v>
      </c>
      <c r="K67" s="10">
        <v>10</v>
      </c>
      <c r="L67" s="10">
        <v>5</v>
      </c>
      <c r="M67" s="10">
        <v>15</v>
      </c>
      <c r="N67" s="30">
        <v>5</v>
      </c>
      <c r="O67" s="7">
        <f t="shared" si="10"/>
        <v>40</v>
      </c>
      <c r="P67" s="36">
        <v>43052</v>
      </c>
    </row>
    <row r="68" spans="1:16" x14ac:dyDescent="0.15">
      <c r="A68" s="50" t="s">
        <v>558</v>
      </c>
      <c r="B68" s="8">
        <v>-1</v>
      </c>
      <c r="C68" s="10"/>
      <c r="D68" s="10"/>
      <c r="E68" s="10"/>
      <c r="F68" s="30"/>
      <c r="G68" s="7">
        <f t="shared" si="8"/>
        <v>-1</v>
      </c>
      <c r="H68" s="36">
        <v>43038</v>
      </c>
      <c r="I68" s="16" t="s">
        <v>24</v>
      </c>
      <c r="J68" s="8">
        <v>10</v>
      </c>
      <c r="K68" s="10"/>
      <c r="L68" s="10"/>
      <c r="M68" s="10"/>
      <c r="N68" s="30">
        <v>15</v>
      </c>
      <c r="O68" s="7">
        <f t="shared" si="10"/>
        <v>25</v>
      </c>
      <c r="P68" s="36">
        <v>43059</v>
      </c>
    </row>
    <row r="69" spans="1:16" x14ac:dyDescent="0.15">
      <c r="A69" s="16" t="s">
        <v>22</v>
      </c>
      <c r="B69" s="8"/>
      <c r="C69" s="10">
        <v>10</v>
      </c>
      <c r="D69" s="10"/>
      <c r="E69" s="10"/>
      <c r="F69" s="30"/>
      <c r="G69" s="7">
        <f t="shared" si="8"/>
        <v>10</v>
      </c>
      <c r="H69" s="36">
        <v>43045</v>
      </c>
      <c r="I69" s="16"/>
      <c r="J69" s="8"/>
      <c r="K69" s="10"/>
      <c r="L69" s="10"/>
      <c r="M69" s="10"/>
      <c r="N69" s="30"/>
      <c r="O69" s="7">
        <f t="shared" si="10"/>
        <v>0</v>
      </c>
      <c r="P69" s="1"/>
    </row>
    <row r="70" spans="1:16" x14ac:dyDescent="0.15">
      <c r="A70" s="16" t="s">
        <v>28</v>
      </c>
      <c r="B70" s="8"/>
      <c r="C70" s="10">
        <v>-10</v>
      </c>
      <c r="D70" s="10"/>
      <c r="E70" s="10"/>
      <c r="F70" s="30"/>
      <c r="G70" s="7">
        <f t="shared" si="8"/>
        <v>-10</v>
      </c>
      <c r="H70" s="36">
        <v>43040</v>
      </c>
      <c r="I70" s="16"/>
      <c r="J70" s="8"/>
      <c r="K70" s="10"/>
      <c r="L70" s="10"/>
      <c r="M70" s="10"/>
      <c r="N70" s="30"/>
      <c r="O70" s="7">
        <f t="shared" si="10"/>
        <v>0</v>
      </c>
      <c r="P70" s="1"/>
    </row>
    <row r="71" spans="1:16" x14ac:dyDescent="0.15">
      <c r="A71" s="16" t="s">
        <v>565</v>
      </c>
      <c r="B71" s="8"/>
      <c r="C71" s="10"/>
      <c r="D71" s="10"/>
      <c r="E71" s="10">
        <v>1</v>
      </c>
      <c r="F71" s="30">
        <v>2</v>
      </c>
      <c r="G71" s="7">
        <f t="shared" si="8"/>
        <v>3</v>
      </c>
      <c r="H71" s="36">
        <v>43043</v>
      </c>
      <c r="I71" s="16"/>
      <c r="J71" s="8"/>
      <c r="K71" s="10"/>
      <c r="L71" s="10"/>
      <c r="M71" s="10"/>
      <c r="N71" s="30"/>
      <c r="O71" s="7">
        <f t="shared" si="10"/>
        <v>0</v>
      </c>
      <c r="P71" s="1"/>
    </row>
    <row r="72" spans="1:16" x14ac:dyDescent="0.15">
      <c r="A72" s="16" t="s">
        <v>25</v>
      </c>
      <c r="B72" s="8">
        <v>1</v>
      </c>
      <c r="C72" s="10">
        <v>1</v>
      </c>
      <c r="D72" s="10">
        <v>1</v>
      </c>
      <c r="E72" s="10">
        <v>1</v>
      </c>
      <c r="F72" s="30"/>
      <c r="G72" s="7">
        <f t="shared" si="8"/>
        <v>4</v>
      </c>
      <c r="H72" s="36">
        <v>43046</v>
      </c>
      <c r="I72" s="16"/>
      <c r="J72" s="8"/>
      <c r="K72" s="10"/>
      <c r="L72" s="10"/>
      <c r="M72" s="10"/>
      <c r="N72" s="30"/>
      <c r="O72" s="7">
        <f t="shared" si="10"/>
        <v>0</v>
      </c>
      <c r="P72" s="1"/>
    </row>
    <row r="73" spans="1:16" x14ac:dyDescent="0.15">
      <c r="A73" s="16" t="s">
        <v>22</v>
      </c>
      <c r="B73" s="8"/>
      <c r="C73" s="10"/>
      <c r="D73" s="10"/>
      <c r="E73" s="10">
        <v>10</v>
      </c>
      <c r="F73" s="30"/>
      <c r="G73" s="7">
        <f t="shared" si="8"/>
        <v>10</v>
      </c>
      <c r="H73" s="36">
        <v>43052</v>
      </c>
      <c r="I73" s="14"/>
      <c r="J73" s="8"/>
      <c r="K73" s="10"/>
      <c r="L73" s="10"/>
      <c r="M73" s="10"/>
      <c r="N73" s="30"/>
      <c r="O73" s="7">
        <f t="shared" si="10"/>
        <v>0</v>
      </c>
      <c r="P73" s="1"/>
    </row>
    <row r="74" spans="1:16" x14ac:dyDescent="0.15">
      <c r="A74" s="39" t="s">
        <v>568</v>
      </c>
      <c r="B74" s="8">
        <v>-5</v>
      </c>
      <c r="C74" s="10">
        <v>-5</v>
      </c>
      <c r="D74" s="10"/>
      <c r="E74" s="10">
        <v>-15</v>
      </c>
      <c r="F74" s="30"/>
      <c r="G74" s="7">
        <f t="shared" si="8"/>
        <v>-25</v>
      </c>
      <c r="H74" s="36">
        <v>43047</v>
      </c>
      <c r="I74" s="16"/>
      <c r="J74" s="8"/>
      <c r="K74" s="10"/>
      <c r="L74" s="10"/>
      <c r="M74" s="10"/>
      <c r="N74" s="30"/>
      <c r="O74" s="7">
        <f t="shared" si="10"/>
        <v>0</v>
      </c>
      <c r="P74" s="1"/>
    </row>
    <row r="75" spans="1:16" x14ac:dyDescent="0.15">
      <c r="A75" s="16" t="s">
        <v>25</v>
      </c>
      <c r="B75" s="8">
        <v>1</v>
      </c>
      <c r="C75" s="10">
        <v>3</v>
      </c>
      <c r="D75" s="10">
        <v>9</v>
      </c>
      <c r="E75" s="10">
        <v>4</v>
      </c>
      <c r="F75" s="30">
        <v>2</v>
      </c>
      <c r="G75" s="7">
        <f t="shared" si="8"/>
        <v>19</v>
      </c>
      <c r="H75" s="36">
        <v>43048</v>
      </c>
      <c r="I75" s="16"/>
      <c r="J75" s="8"/>
      <c r="K75" s="10"/>
      <c r="L75" s="10"/>
      <c r="M75" s="10"/>
      <c r="N75" s="30"/>
      <c r="O75" s="7">
        <f t="shared" si="10"/>
        <v>0</v>
      </c>
      <c r="P75" s="1"/>
    </row>
    <row r="76" spans="1:16" x14ac:dyDescent="0.15">
      <c r="A76" s="16" t="s">
        <v>25</v>
      </c>
      <c r="B76" s="8"/>
      <c r="C76" s="10">
        <v>3</v>
      </c>
      <c r="D76" s="10"/>
      <c r="E76" s="10">
        <v>2</v>
      </c>
      <c r="F76" s="30"/>
      <c r="G76" s="7">
        <f t="shared" si="8"/>
        <v>5</v>
      </c>
      <c r="H76" s="36">
        <v>43050</v>
      </c>
      <c r="I76" s="16"/>
      <c r="J76" s="8"/>
      <c r="K76" s="10"/>
      <c r="L76" s="10"/>
      <c r="M76" s="10"/>
      <c r="N76" s="30"/>
      <c r="O76" s="7">
        <f t="shared" si="10"/>
        <v>0</v>
      </c>
      <c r="P76" s="1"/>
    </row>
    <row r="77" spans="1:16" x14ac:dyDescent="0.15">
      <c r="A77" s="39" t="s">
        <v>28</v>
      </c>
      <c r="B77" s="8">
        <v>-5</v>
      </c>
      <c r="C77" s="10">
        <v>-10</v>
      </c>
      <c r="D77" s="10">
        <v>-5</v>
      </c>
      <c r="E77" s="10">
        <v>-15</v>
      </c>
      <c r="F77" s="30">
        <v>-5</v>
      </c>
      <c r="G77" s="7">
        <f t="shared" si="8"/>
        <v>-40</v>
      </c>
      <c r="H77" s="36">
        <v>43052</v>
      </c>
      <c r="I77" s="14"/>
      <c r="J77" s="8"/>
      <c r="K77" s="10"/>
      <c r="L77" s="10"/>
      <c r="M77" s="10"/>
      <c r="N77" s="30"/>
      <c r="O77" s="7">
        <f t="shared" si="10"/>
        <v>0</v>
      </c>
      <c r="P77" s="1"/>
    </row>
    <row r="78" spans="1:16" x14ac:dyDescent="0.15">
      <c r="A78" s="16" t="s">
        <v>25</v>
      </c>
      <c r="B78" s="11">
        <v>1</v>
      </c>
      <c r="C78" s="12"/>
      <c r="D78" s="12"/>
      <c r="E78" s="12"/>
      <c r="F78" s="31">
        <v>3</v>
      </c>
      <c r="G78" s="7">
        <f t="shared" si="8"/>
        <v>4</v>
      </c>
      <c r="H78" s="36">
        <v>43055</v>
      </c>
      <c r="I78" s="16"/>
      <c r="J78" s="11"/>
      <c r="K78" s="12"/>
      <c r="L78" s="12"/>
      <c r="M78" s="12"/>
      <c r="N78" s="31"/>
      <c r="O78" s="7">
        <f t="shared" si="10"/>
        <v>0</v>
      </c>
      <c r="P78" s="36"/>
    </row>
    <row r="79" spans="1:16" x14ac:dyDescent="0.15">
      <c r="A79" s="16" t="s">
        <v>25</v>
      </c>
      <c r="B79" s="8">
        <v>1</v>
      </c>
      <c r="C79" s="10"/>
      <c r="D79" s="10"/>
      <c r="E79" s="10"/>
      <c r="F79" s="30">
        <v>1</v>
      </c>
      <c r="G79" s="7">
        <f t="shared" si="8"/>
        <v>2</v>
      </c>
      <c r="H79" s="36">
        <v>43057</v>
      </c>
      <c r="I79" s="16"/>
      <c r="J79" s="8"/>
      <c r="K79" s="10"/>
      <c r="L79" s="10"/>
      <c r="M79" s="10"/>
      <c r="N79" s="59"/>
      <c r="O79" s="7">
        <f t="shared" si="10"/>
        <v>0</v>
      </c>
      <c r="P79" s="36"/>
    </row>
    <row r="80" spans="1:16" x14ac:dyDescent="0.15">
      <c r="A80" s="16" t="s">
        <v>22</v>
      </c>
      <c r="B80" s="37">
        <v>10</v>
      </c>
      <c r="C80" s="35"/>
      <c r="D80" s="35"/>
      <c r="E80" s="35"/>
      <c r="F80" s="28">
        <v>10</v>
      </c>
      <c r="G80" s="7">
        <f t="shared" si="8"/>
        <v>20</v>
      </c>
      <c r="H80" s="36">
        <v>43063</v>
      </c>
      <c r="I80" s="14"/>
      <c r="J80" s="37"/>
      <c r="K80" s="35"/>
      <c r="L80" s="35"/>
      <c r="M80" s="35"/>
      <c r="N80" s="28"/>
      <c r="O80" s="7">
        <f t="shared" si="10"/>
        <v>0</v>
      </c>
      <c r="P80" s="36"/>
    </row>
    <row r="81" spans="1:16" x14ac:dyDescent="0.15">
      <c r="A81" s="39" t="s">
        <v>28</v>
      </c>
      <c r="B81" s="8">
        <v>-10</v>
      </c>
      <c r="C81" s="10"/>
      <c r="D81" s="10"/>
      <c r="E81" s="10"/>
      <c r="F81" s="30">
        <v>-15</v>
      </c>
      <c r="G81" s="9">
        <f t="shared" si="8"/>
        <v>-25</v>
      </c>
      <c r="H81" s="36">
        <v>43059</v>
      </c>
      <c r="I81" s="20"/>
      <c r="J81" s="8"/>
      <c r="K81" s="10"/>
      <c r="L81" s="10"/>
      <c r="M81" s="10"/>
      <c r="N81" s="30"/>
      <c r="O81" s="7">
        <f t="shared" si="10"/>
        <v>0</v>
      </c>
      <c r="P81" s="36"/>
    </row>
    <row r="82" spans="1:16" ht="14.25" thickBot="1" x14ac:dyDescent="0.2">
      <c r="A82" s="16" t="s">
        <v>25</v>
      </c>
      <c r="B82" s="37"/>
      <c r="C82" s="35">
        <v>2</v>
      </c>
      <c r="D82" s="35"/>
      <c r="E82" s="35"/>
      <c r="F82" s="28"/>
      <c r="G82" s="7">
        <f t="shared" si="8"/>
        <v>2</v>
      </c>
      <c r="H82" s="36">
        <v>43060</v>
      </c>
      <c r="I82" s="20"/>
      <c r="J82" s="11"/>
      <c r="K82" s="12"/>
      <c r="L82" s="12"/>
      <c r="M82" s="12"/>
      <c r="N82" s="31"/>
      <c r="O82" s="7">
        <f t="shared" si="10"/>
        <v>0</v>
      </c>
      <c r="P82" s="36"/>
    </row>
    <row r="83" spans="1:16" ht="14.25" thickBot="1" x14ac:dyDescent="0.2">
      <c r="A83" s="3" t="s">
        <v>11</v>
      </c>
      <c r="B83" s="23">
        <f>SUM(B57:B82)</f>
        <v>2</v>
      </c>
      <c r="C83" s="4">
        <f>SUM(C57:C82)</f>
        <v>2</v>
      </c>
      <c r="D83" s="4">
        <f>SUM(D57:D82)</f>
        <v>30</v>
      </c>
      <c r="E83" s="6">
        <f>SUM(E57:E82)</f>
        <v>18</v>
      </c>
      <c r="F83" s="32">
        <f>SUM(F57:F82)</f>
        <v>3</v>
      </c>
      <c r="G83" s="5">
        <f>SUM(B83:F83)</f>
        <v>55</v>
      </c>
      <c r="H83" s="1"/>
      <c r="I83" s="3" t="s">
        <v>11</v>
      </c>
      <c r="J83" s="23">
        <f>SUM(J57:J82)</f>
        <v>30</v>
      </c>
      <c r="K83" s="4">
        <f>SUM(K57:K82)</f>
        <v>40</v>
      </c>
      <c r="L83" s="4">
        <f>SUM(L57:L82)</f>
        <v>46</v>
      </c>
      <c r="M83" s="6">
        <f>SUM(M57:M82)</f>
        <v>60</v>
      </c>
      <c r="N83" s="32">
        <f>SUM(N57:N82)</f>
        <v>40</v>
      </c>
      <c r="O83" s="5">
        <f>SUM(J83:N83)</f>
        <v>216</v>
      </c>
      <c r="P83" s="1"/>
    </row>
    <row r="84" spans="1:16" ht="14.25" thickBot="1" x14ac:dyDescent="0.2">
      <c r="A84" s="25" t="s">
        <v>12</v>
      </c>
      <c r="B84" s="63">
        <f>B56-B83</f>
        <v>14</v>
      </c>
      <c r="C84" s="26">
        <f t="shared" ref="C84:G84" si="13">C56-C83</f>
        <v>12</v>
      </c>
      <c r="D84" s="71">
        <f t="shared" si="13"/>
        <v>15</v>
      </c>
      <c r="E84" s="26">
        <f t="shared" si="13"/>
        <v>15</v>
      </c>
      <c r="F84" s="70">
        <f t="shared" si="13"/>
        <v>13</v>
      </c>
      <c r="G84" s="27">
        <f t="shared" si="13"/>
        <v>69</v>
      </c>
      <c r="H84" s="1"/>
      <c r="I84" s="25" t="s">
        <v>12</v>
      </c>
      <c r="J84" s="63">
        <f>J56-J83</f>
        <v>95</v>
      </c>
      <c r="K84" s="26">
        <f t="shared" ref="K84:O84" si="14">K56-K83</f>
        <v>80</v>
      </c>
      <c r="L84" s="71">
        <f t="shared" si="14"/>
        <v>84</v>
      </c>
      <c r="M84" s="26">
        <f t="shared" si="14"/>
        <v>58</v>
      </c>
      <c r="N84" s="70">
        <f t="shared" si="14"/>
        <v>68</v>
      </c>
      <c r="O84" s="27">
        <f t="shared" si="14"/>
        <v>385</v>
      </c>
      <c r="P84" s="1"/>
    </row>
    <row r="85" spans="1:16" ht="21" x14ac:dyDescent="0.2">
      <c r="A85" s="83" t="s">
        <v>415</v>
      </c>
      <c r="B85" s="77"/>
      <c r="C85" s="77"/>
      <c r="D85" s="77"/>
      <c r="E85" s="77"/>
      <c r="F85" s="77"/>
      <c r="G85" s="77"/>
      <c r="H85" s="56"/>
      <c r="I85" s="83" t="s">
        <v>415</v>
      </c>
      <c r="J85" s="77"/>
      <c r="K85" s="77"/>
      <c r="L85" s="77"/>
      <c r="M85" s="77"/>
      <c r="N85" s="77"/>
      <c r="O85" s="77"/>
    </row>
    <row r="86" spans="1:16" ht="21.75" thickBot="1" x14ac:dyDescent="0.25">
      <c r="A86" s="83" t="s">
        <v>47</v>
      </c>
      <c r="B86" s="77"/>
      <c r="C86" s="77"/>
      <c r="D86" s="77"/>
      <c r="E86" s="84"/>
      <c r="F86" s="78" t="s">
        <v>53</v>
      </c>
      <c r="G86" s="77"/>
      <c r="H86" s="56"/>
      <c r="I86" s="83" t="s">
        <v>47</v>
      </c>
      <c r="J86" s="77"/>
      <c r="K86" s="77"/>
      <c r="L86" s="77"/>
      <c r="M86" s="84"/>
      <c r="N86" s="78" t="s">
        <v>54</v>
      </c>
      <c r="O86" s="77"/>
    </row>
    <row r="87" spans="1:16" ht="14.25" thickBot="1" x14ac:dyDescent="0.2">
      <c r="A87" s="13" t="s">
        <v>0</v>
      </c>
      <c r="B87" s="228" t="s">
        <v>49</v>
      </c>
      <c r="C87" s="229"/>
      <c r="D87" s="229"/>
      <c r="E87" s="229"/>
      <c r="F87" s="230"/>
      <c r="G87" s="231"/>
      <c r="H87" s="56"/>
      <c r="I87" s="13" t="s">
        <v>0</v>
      </c>
      <c r="J87" s="228" t="s">
        <v>49</v>
      </c>
      <c r="K87" s="229"/>
      <c r="L87" s="229"/>
      <c r="M87" s="229"/>
      <c r="N87" s="230"/>
      <c r="O87" s="231"/>
    </row>
    <row r="88" spans="1:16" ht="14.25" thickBot="1" x14ac:dyDescent="0.2">
      <c r="A88" s="3" t="s">
        <v>1</v>
      </c>
      <c r="B88" s="2" t="s">
        <v>42</v>
      </c>
      <c r="C88" s="21" t="s">
        <v>43</v>
      </c>
      <c r="D88" s="21" t="s">
        <v>44</v>
      </c>
      <c r="E88" s="24" t="s">
        <v>45</v>
      </c>
      <c r="F88" s="33" t="s">
        <v>46</v>
      </c>
      <c r="G88" s="34" t="s">
        <v>2</v>
      </c>
      <c r="H88" s="56"/>
      <c r="I88" s="3" t="s">
        <v>1</v>
      </c>
      <c r="J88" s="2" t="s">
        <v>42</v>
      </c>
      <c r="K88" s="21" t="s">
        <v>43</v>
      </c>
      <c r="L88" s="21" t="s">
        <v>44</v>
      </c>
      <c r="M88" s="24" t="s">
        <v>45</v>
      </c>
      <c r="N88" s="33" t="s">
        <v>46</v>
      </c>
      <c r="O88" s="3" t="s">
        <v>2</v>
      </c>
    </row>
    <row r="89" spans="1:16" x14ac:dyDescent="0.15">
      <c r="A89" s="96" t="s">
        <v>527</v>
      </c>
      <c r="B89" s="95">
        <f>B84</f>
        <v>14</v>
      </c>
      <c r="C89" s="95">
        <f t="shared" ref="C89:F89" si="15">C84</f>
        <v>12</v>
      </c>
      <c r="D89" s="95">
        <f t="shared" si="15"/>
        <v>15</v>
      </c>
      <c r="E89" s="95">
        <f t="shared" si="15"/>
        <v>15</v>
      </c>
      <c r="F89" s="95">
        <f t="shared" si="15"/>
        <v>13</v>
      </c>
      <c r="G89" s="52">
        <f t="shared" ref="G89:G124" si="16">SUM(B89:F89)</f>
        <v>69</v>
      </c>
      <c r="H89" s="56"/>
      <c r="I89" s="96" t="s">
        <v>12</v>
      </c>
      <c r="J89" s="95">
        <f>J84</f>
        <v>95</v>
      </c>
      <c r="K89" s="97">
        <f t="shared" ref="K89:N89" si="17">K84</f>
        <v>80</v>
      </c>
      <c r="L89" s="97">
        <f t="shared" si="17"/>
        <v>84</v>
      </c>
      <c r="M89" s="97">
        <f t="shared" si="17"/>
        <v>58</v>
      </c>
      <c r="N89" s="54">
        <f t="shared" si="17"/>
        <v>68</v>
      </c>
      <c r="O89" s="52">
        <f t="shared" ref="O89:O124" si="18">SUM(J89:N89)</f>
        <v>385</v>
      </c>
    </row>
    <row r="90" spans="1:16" x14ac:dyDescent="0.15">
      <c r="A90" s="15" t="s">
        <v>19</v>
      </c>
      <c r="B90" s="8"/>
      <c r="C90" s="10">
        <v>2</v>
      </c>
      <c r="D90" s="10">
        <v>4</v>
      </c>
      <c r="E90" s="10">
        <v>4</v>
      </c>
      <c r="F90" s="28">
        <v>4</v>
      </c>
      <c r="G90" s="9">
        <f t="shared" si="16"/>
        <v>14</v>
      </c>
      <c r="H90" s="58">
        <v>43070</v>
      </c>
      <c r="I90" s="15" t="s">
        <v>3</v>
      </c>
      <c r="J90" s="37"/>
      <c r="K90" s="35"/>
      <c r="L90" s="35"/>
      <c r="M90" s="35"/>
      <c r="N90" s="28"/>
      <c r="O90" s="7">
        <f t="shared" si="18"/>
        <v>0</v>
      </c>
    </row>
    <row r="91" spans="1:16" x14ac:dyDescent="0.15">
      <c r="A91" s="15" t="s">
        <v>17</v>
      </c>
      <c r="B91" s="8"/>
      <c r="C91" s="10"/>
      <c r="D91" s="10">
        <v>1</v>
      </c>
      <c r="E91" s="10">
        <v>1</v>
      </c>
      <c r="F91" s="28">
        <v>1</v>
      </c>
      <c r="G91" s="9">
        <f t="shared" si="16"/>
        <v>3</v>
      </c>
      <c r="H91" s="58">
        <v>43075</v>
      </c>
      <c r="I91" s="15" t="s">
        <v>4</v>
      </c>
      <c r="J91" s="8"/>
      <c r="K91" s="10"/>
      <c r="L91" s="10"/>
      <c r="M91" s="10"/>
      <c r="N91" s="28"/>
      <c r="O91" s="9">
        <f t="shared" si="18"/>
        <v>0</v>
      </c>
      <c r="P91" s="58"/>
    </row>
    <row r="92" spans="1:16" x14ac:dyDescent="0.15">
      <c r="A92" s="15" t="s">
        <v>4</v>
      </c>
      <c r="B92" s="8">
        <v>5</v>
      </c>
      <c r="C92" s="10"/>
      <c r="D92" s="10">
        <v>10</v>
      </c>
      <c r="E92" s="10"/>
      <c r="F92" s="28"/>
      <c r="G92" s="9">
        <f t="shared" si="16"/>
        <v>15</v>
      </c>
      <c r="H92" s="58">
        <v>43080</v>
      </c>
      <c r="I92" s="15" t="s">
        <v>5</v>
      </c>
      <c r="J92" s="8"/>
      <c r="K92" s="10"/>
      <c r="L92" s="10"/>
      <c r="M92" s="10"/>
      <c r="N92" s="28"/>
      <c r="O92" s="9">
        <f t="shared" si="18"/>
        <v>0</v>
      </c>
    </row>
    <row r="93" spans="1:16" x14ac:dyDescent="0.15">
      <c r="A93" s="15" t="s">
        <v>17</v>
      </c>
      <c r="B93" s="8"/>
      <c r="C93" s="10"/>
      <c r="D93" s="10"/>
      <c r="E93" s="10">
        <v>1</v>
      </c>
      <c r="F93" s="28"/>
      <c r="G93" s="9">
        <f t="shared" si="16"/>
        <v>1</v>
      </c>
      <c r="H93" s="58">
        <v>43082</v>
      </c>
      <c r="I93" s="15" t="s">
        <v>6</v>
      </c>
      <c r="J93" s="8"/>
      <c r="K93" s="10"/>
      <c r="L93" s="10"/>
      <c r="M93" s="10"/>
      <c r="N93" s="28"/>
      <c r="O93" s="9">
        <f t="shared" si="18"/>
        <v>0</v>
      </c>
    </row>
    <row r="94" spans="1:16" x14ac:dyDescent="0.15">
      <c r="A94" s="15" t="s">
        <v>6</v>
      </c>
      <c r="B94" s="11"/>
      <c r="C94" s="12">
        <v>5</v>
      </c>
      <c r="D94" s="12">
        <v>5</v>
      </c>
      <c r="E94" s="12"/>
      <c r="F94" s="31"/>
      <c r="G94" s="7">
        <f t="shared" si="16"/>
        <v>10</v>
      </c>
      <c r="H94" s="58">
        <v>43095</v>
      </c>
      <c r="I94" s="15" t="s">
        <v>84</v>
      </c>
      <c r="J94" s="11"/>
      <c r="K94" s="12"/>
      <c r="L94" s="12"/>
      <c r="M94" s="12"/>
      <c r="N94" s="31"/>
      <c r="O94" s="7">
        <f t="shared" si="18"/>
        <v>0</v>
      </c>
    </row>
    <row r="95" spans="1:16" x14ac:dyDescent="0.15">
      <c r="A95" s="15" t="s">
        <v>84</v>
      </c>
      <c r="B95" s="8">
        <v>10</v>
      </c>
      <c r="C95" s="10"/>
      <c r="D95" s="10"/>
      <c r="E95" s="10">
        <v>10</v>
      </c>
      <c r="F95" s="30"/>
      <c r="G95" s="7">
        <f t="shared" si="16"/>
        <v>20</v>
      </c>
      <c r="H95" s="58">
        <v>43096</v>
      </c>
      <c r="I95" s="15" t="s">
        <v>85</v>
      </c>
      <c r="J95" s="8"/>
      <c r="K95" s="10"/>
      <c r="L95" s="10"/>
      <c r="M95" s="10"/>
      <c r="N95" s="30"/>
      <c r="O95" s="7">
        <f t="shared" si="18"/>
        <v>0</v>
      </c>
    </row>
    <row r="96" spans="1:16" x14ac:dyDescent="0.15">
      <c r="A96" s="15" t="s">
        <v>17</v>
      </c>
      <c r="B96" s="8"/>
      <c r="C96" s="10"/>
      <c r="D96" s="10">
        <v>1</v>
      </c>
      <c r="E96" s="10"/>
      <c r="F96" s="30">
        <v>1</v>
      </c>
      <c r="G96" s="7">
        <f t="shared" si="16"/>
        <v>2</v>
      </c>
      <c r="H96" s="58">
        <v>43096</v>
      </c>
      <c r="I96" s="16" t="s">
        <v>88</v>
      </c>
      <c r="J96" s="8"/>
      <c r="K96" s="10"/>
      <c r="L96" s="10"/>
      <c r="M96" s="10"/>
      <c r="N96" s="30"/>
      <c r="O96" s="7">
        <f t="shared" si="18"/>
        <v>0</v>
      </c>
    </row>
    <row r="97" spans="1:16" ht="14.25" thickBot="1" x14ac:dyDescent="0.2">
      <c r="A97" s="15" t="s">
        <v>86</v>
      </c>
      <c r="B97" s="11"/>
      <c r="C97" s="100">
        <v>10</v>
      </c>
      <c r="D97" s="100"/>
      <c r="E97" s="100"/>
      <c r="F97" s="101">
        <v>10</v>
      </c>
      <c r="G97" s="102">
        <f t="shared" si="16"/>
        <v>20</v>
      </c>
      <c r="H97" s="58">
        <v>43109</v>
      </c>
      <c r="I97" s="15" t="s">
        <v>87</v>
      </c>
      <c r="J97" s="11"/>
      <c r="K97" s="100"/>
      <c r="L97" s="100"/>
      <c r="M97" s="100"/>
      <c r="N97" s="101"/>
      <c r="O97" s="102">
        <f t="shared" si="18"/>
        <v>0</v>
      </c>
    </row>
    <row r="98" spans="1:16" ht="14.25" thickBot="1" x14ac:dyDescent="0.2">
      <c r="A98" s="72" t="s">
        <v>7</v>
      </c>
      <c r="B98" s="73">
        <f>SUM(B89:B97)</f>
        <v>29</v>
      </c>
      <c r="C98" s="74">
        <f t="shared" ref="C98:F98" si="19">SUM(C89:C97)</f>
        <v>29</v>
      </c>
      <c r="D98" s="74">
        <f t="shared" si="19"/>
        <v>36</v>
      </c>
      <c r="E98" s="74">
        <f t="shared" si="19"/>
        <v>31</v>
      </c>
      <c r="F98" s="105">
        <f t="shared" si="19"/>
        <v>29</v>
      </c>
      <c r="G98" s="76">
        <f t="shared" si="16"/>
        <v>154</v>
      </c>
      <c r="H98" s="56"/>
      <c r="I98" s="72" t="s">
        <v>7</v>
      </c>
      <c r="J98" s="73">
        <f>SUM(J89:J97)</f>
        <v>95</v>
      </c>
      <c r="K98" s="74">
        <f t="shared" ref="K98:N98" si="20">SUM(K89:K97)</f>
        <v>80</v>
      </c>
      <c r="L98" s="74">
        <f t="shared" si="20"/>
        <v>84</v>
      </c>
      <c r="M98" s="74">
        <f t="shared" si="20"/>
        <v>58</v>
      </c>
      <c r="N98" s="105">
        <f t="shared" si="20"/>
        <v>68</v>
      </c>
      <c r="O98" s="76">
        <f t="shared" si="18"/>
        <v>385</v>
      </c>
    </row>
    <row r="99" spans="1:16" x14ac:dyDescent="0.15">
      <c r="A99" s="16" t="s">
        <v>574</v>
      </c>
      <c r="B99" s="37"/>
      <c r="C99" s="35"/>
      <c r="D99" s="35">
        <v>1</v>
      </c>
      <c r="E99" s="35">
        <v>1</v>
      </c>
      <c r="F99" s="28"/>
      <c r="G99" s="18">
        <f t="shared" si="16"/>
        <v>2</v>
      </c>
      <c r="H99" s="58">
        <v>43064</v>
      </c>
      <c r="I99" s="16" t="s">
        <v>586</v>
      </c>
      <c r="J99" s="17">
        <v>5</v>
      </c>
      <c r="K99" s="22"/>
      <c r="L99" s="22">
        <v>10</v>
      </c>
      <c r="M99" s="22"/>
      <c r="N99" s="29"/>
      <c r="O99" s="18">
        <f t="shared" si="18"/>
        <v>15</v>
      </c>
      <c r="P99" s="58">
        <v>43080</v>
      </c>
    </row>
    <row r="100" spans="1:16" x14ac:dyDescent="0.15">
      <c r="A100" s="16" t="s">
        <v>25</v>
      </c>
      <c r="B100" s="8"/>
      <c r="C100" s="10"/>
      <c r="D100" s="10"/>
      <c r="E100" s="10">
        <v>1</v>
      </c>
      <c r="F100" s="30"/>
      <c r="G100" s="7">
        <f t="shared" si="16"/>
        <v>1</v>
      </c>
      <c r="H100" s="58">
        <v>43067</v>
      </c>
      <c r="I100" s="16" t="s">
        <v>24</v>
      </c>
      <c r="J100" s="8"/>
      <c r="K100" s="10">
        <v>5</v>
      </c>
      <c r="L100" s="10">
        <v>5</v>
      </c>
      <c r="M100" s="10"/>
      <c r="N100" s="30"/>
      <c r="O100" s="7">
        <f t="shared" si="18"/>
        <v>10</v>
      </c>
      <c r="P100" s="58">
        <v>43095</v>
      </c>
    </row>
    <row r="101" spans="1:16" x14ac:dyDescent="0.15">
      <c r="A101" s="16" t="s">
        <v>582</v>
      </c>
      <c r="B101" s="8">
        <v>1</v>
      </c>
      <c r="C101" s="10"/>
      <c r="D101" s="10"/>
      <c r="E101" s="10"/>
      <c r="F101" s="30"/>
      <c r="G101" s="7">
        <f t="shared" si="16"/>
        <v>1</v>
      </c>
      <c r="H101" s="58">
        <v>43066</v>
      </c>
      <c r="I101" s="16" t="s">
        <v>24</v>
      </c>
      <c r="J101" s="8">
        <v>10</v>
      </c>
      <c r="K101" s="10"/>
      <c r="L101" s="10"/>
      <c r="M101" s="10">
        <v>10</v>
      </c>
      <c r="N101" s="30"/>
      <c r="O101" s="7">
        <f t="shared" si="18"/>
        <v>20</v>
      </c>
      <c r="P101" s="58">
        <v>43096</v>
      </c>
    </row>
    <row r="102" spans="1:16" x14ac:dyDescent="0.15">
      <c r="A102" s="16" t="s">
        <v>25</v>
      </c>
      <c r="B102" s="8">
        <v>1</v>
      </c>
      <c r="C102" s="10"/>
      <c r="D102" s="10">
        <v>5</v>
      </c>
      <c r="E102" s="10"/>
      <c r="F102" s="30"/>
      <c r="G102" s="7">
        <f t="shared" si="16"/>
        <v>6</v>
      </c>
      <c r="H102" s="58">
        <v>43069</v>
      </c>
      <c r="I102" s="16" t="s">
        <v>24</v>
      </c>
      <c r="J102" s="8"/>
      <c r="K102" s="10">
        <v>10</v>
      </c>
      <c r="L102" s="10"/>
      <c r="M102" s="10"/>
      <c r="N102" s="30">
        <v>10</v>
      </c>
      <c r="O102" s="7">
        <f t="shared" si="18"/>
        <v>20</v>
      </c>
      <c r="P102" s="58">
        <v>43109</v>
      </c>
    </row>
    <row r="103" spans="1:16" x14ac:dyDescent="0.15">
      <c r="A103" s="16" t="s">
        <v>25</v>
      </c>
      <c r="B103" s="8">
        <v>1</v>
      </c>
      <c r="C103" s="10"/>
      <c r="D103" s="10"/>
      <c r="E103" s="10"/>
      <c r="F103" s="30"/>
      <c r="G103" s="7">
        <f t="shared" si="16"/>
        <v>1</v>
      </c>
      <c r="H103" s="58">
        <v>43073</v>
      </c>
      <c r="I103" s="16" t="s">
        <v>24</v>
      </c>
      <c r="J103" s="8"/>
      <c r="K103" s="10">
        <v>5</v>
      </c>
      <c r="L103" s="10"/>
      <c r="M103" s="10">
        <v>5</v>
      </c>
      <c r="N103" s="30"/>
      <c r="O103" s="7">
        <f t="shared" si="18"/>
        <v>10</v>
      </c>
      <c r="P103" s="58">
        <v>43113</v>
      </c>
    </row>
    <row r="104" spans="1:16" x14ac:dyDescent="0.15">
      <c r="A104" s="16" t="s">
        <v>25</v>
      </c>
      <c r="B104" s="8">
        <v>1</v>
      </c>
      <c r="C104" s="10"/>
      <c r="D104" s="10"/>
      <c r="E104" s="10"/>
      <c r="F104" s="30">
        <v>3</v>
      </c>
      <c r="G104" s="7">
        <f t="shared" si="16"/>
        <v>4</v>
      </c>
      <c r="H104" s="58">
        <v>43075</v>
      </c>
      <c r="I104" s="16"/>
      <c r="J104" s="8"/>
      <c r="K104" s="10"/>
      <c r="L104" s="10"/>
      <c r="M104" s="10"/>
      <c r="N104" s="30"/>
      <c r="O104" s="7">
        <f t="shared" si="18"/>
        <v>0</v>
      </c>
    </row>
    <row r="105" spans="1:16" x14ac:dyDescent="0.15">
      <c r="A105" s="16" t="s">
        <v>584</v>
      </c>
      <c r="B105" s="8">
        <v>1</v>
      </c>
      <c r="C105" s="10"/>
      <c r="D105" s="10"/>
      <c r="E105" s="10"/>
      <c r="F105" s="30"/>
      <c r="G105" s="7">
        <f t="shared" si="16"/>
        <v>1</v>
      </c>
      <c r="H105" s="58">
        <v>43076</v>
      </c>
      <c r="I105" s="16"/>
      <c r="J105" s="8"/>
      <c r="K105" s="10"/>
      <c r="L105" s="10"/>
      <c r="M105" s="10"/>
      <c r="N105" s="30"/>
      <c r="O105" s="7">
        <f t="shared" si="18"/>
        <v>0</v>
      </c>
    </row>
    <row r="106" spans="1:16" x14ac:dyDescent="0.15">
      <c r="A106" s="16" t="s">
        <v>585</v>
      </c>
      <c r="B106" s="8"/>
      <c r="C106" s="10"/>
      <c r="D106" s="10">
        <v>10</v>
      </c>
      <c r="E106" s="10"/>
      <c r="F106" s="30"/>
      <c r="G106" s="7">
        <f t="shared" si="16"/>
        <v>10</v>
      </c>
      <c r="H106" s="58">
        <v>43084</v>
      </c>
      <c r="I106" s="16"/>
      <c r="J106" s="8"/>
      <c r="K106" s="10"/>
      <c r="L106" s="10"/>
      <c r="M106" s="10"/>
      <c r="N106" s="30"/>
      <c r="O106" s="7">
        <f t="shared" si="18"/>
        <v>0</v>
      </c>
    </row>
    <row r="107" spans="1:16" x14ac:dyDescent="0.15">
      <c r="A107" s="16" t="s">
        <v>25</v>
      </c>
      <c r="B107" s="8">
        <v>1</v>
      </c>
      <c r="C107" s="10"/>
      <c r="D107" s="10">
        <v>2</v>
      </c>
      <c r="E107" s="10"/>
      <c r="F107" s="30">
        <v>1</v>
      </c>
      <c r="G107" s="7">
        <f t="shared" si="16"/>
        <v>4</v>
      </c>
      <c r="H107" s="58">
        <v>43081</v>
      </c>
      <c r="I107" s="16"/>
      <c r="J107" s="8"/>
      <c r="K107" s="10"/>
      <c r="L107" s="10"/>
      <c r="M107" s="10"/>
      <c r="N107" s="30"/>
      <c r="O107" s="7">
        <f t="shared" si="18"/>
        <v>0</v>
      </c>
    </row>
    <row r="108" spans="1:16" x14ac:dyDescent="0.15">
      <c r="A108" s="16" t="s">
        <v>590</v>
      </c>
      <c r="B108" s="11"/>
      <c r="C108" s="12"/>
      <c r="D108" s="12"/>
      <c r="E108" s="12">
        <v>1</v>
      </c>
      <c r="F108" s="31"/>
      <c r="G108" s="7">
        <f t="shared" si="16"/>
        <v>1</v>
      </c>
      <c r="H108" s="58">
        <v>43080</v>
      </c>
      <c r="I108" s="16"/>
      <c r="J108" s="11"/>
      <c r="K108" s="12"/>
      <c r="L108" s="12"/>
      <c r="M108" s="12"/>
      <c r="N108" s="31"/>
      <c r="O108" s="7">
        <f t="shared" si="18"/>
        <v>0</v>
      </c>
    </row>
    <row r="109" spans="1:16" x14ac:dyDescent="0.15">
      <c r="A109" s="16" t="s">
        <v>25</v>
      </c>
      <c r="B109" s="8"/>
      <c r="C109" s="10">
        <v>2</v>
      </c>
      <c r="D109" s="10">
        <v>2</v>
      </c>
      <c r="E109" s="10"/>
      <c r="F109" s="30"/>
      <c r="G109" s="7">
        <f t="shared" si="16"/>
        <v>4</v>
      </c>
      <c r="H109" s="58">
        <v>43088</v>
      </c>
      <c r="I109" s="94"/>
      <c r="J109" s="65"/>
      <c r="K109" s="66"/>
      <c r="L109" s="66"/>
      <c r="M109" s="66"/>
      <c r="N109" s="67"/>
      <c r="O109" s="61">
        <f t="shared" si="18"/>
        <v>0</v>
      </c>
    </row>
    <row r="110" spans="1:16" x14ac:dyDescent="0.15">
      <c r="A110" s="16" t="s">
        <v>25</v>
      </c>
      <c r="B110" s="8"/>
      <c r="C110" s="10"/>
      <c r="D110" s="10"/>
      <c r="E110" s="10">
        <v>2</v>
      </c>
      <c r="F110" s="30"/>
      <c r="G110" s="7">
        <f t="shared" si="16"/>
        <v>2</v>
      </c>
      <c r="H110" s="58">
        <v>43089</v>
      </c>
      <c r="I110" s="14"/>
      <c r="J110" s="8"/>
      <c r="K110" s="10"/>
      <c r="L110" s="10"/>
      <c r="M110" s="10"/>
      <c r="N110" s="30"/>
      <c r="O110" s="7">
        <f t="shared" si="18"/>
        <v>0</v>
      </c>
    </row>
    <row r="111" spans="1:16" x14ac:dyDescent="0.15">
      <c r="A111" s="16" t="s">
        <v>25</v>
      </c>
      <c r="B111" s="8">
        <v>2</v>
      </c>
      <c r="C111" s="10">
        <v>3</v>
      </c>
      <c r="D111" s="10">
        <v>4</v>
      </c>
      <c r="E111" s="10"/>
      <c r="F111" s="30"/>
      <c r="G111" s="7">
        <f t="shared" si="16"/>
        <v>9</v>
      </c>
      <c r="H111" s="58">
        <v>43091</v>
      </c>
      <c r="I111" s="16"/>
      <c r="J111" s="8"/>
      <c r="K111" s="10"/>
      <c r="L111" s="10"/>
      <c r="M111" s="10"/>
      <c r="N111" s="30"/>
      <c r="O111" s="7">
        <f t="shared" si="18"/>
        <v>0</v>
      </c>
    </row>
    <row r="112" spans="1:16" x14ac:dyDescent="0.15">
      <c r="A112" s="16" t="s">
        <v>25</v>
      </c>
      <c r="B112" s="8"/>
      <c r="C112" s="10">
        <v>2</v>
      </c>
      <c r="D112" s="10"/>
      <c r="E112" s="10">
        <v>1</v>
      </c>
      <c r="F112" s="30">
        <v>1</v>
      </c>
      <c r="G112" s="7">
        <f t="shared" si="16"/>
        <v>4</v>
      </c>
      <c r="H112" s="58">
        <v>43095</v>
      </c>
      <c r="I112" s="16"/>
      <c r="J112" s="8"/>
      <c r="K112" s="10"/>
      <c r="L112" s="10"/>
      <c r="M112" s="10"/>
      <c r="N112" s="30"/>
      <c r="O112" s="7">
        <f t="shared" si="18"/>
        <v>0</v>
      </c>
    </row>
    <row r="113" spans="1:16" x14ac:dyDescent="0.15">
      <c r="A113" s="16" t="s">
        <v>22</v>
      </c>
      <c r="B113" s="8">
        <v>10</v>
      </c>
      <c r="C113" s="10"/>
      <c r="D113" s="10"/>
      <c r="E113" s="10">
        <v>10</v>
      </c>
      <c r="F113" s="30"/>
      <c r="G113" s="7">
        <f t="shared" si="16"/>
        <v>20</v>
      </c>
      <c r="H113" s="58">
        <v>42744</v>
      </c>
      <c r="I113" s="16"/>
      <c r="J113" s="8"/>
      <c r="K113" s="10"/>
      <c r="L113" s="10"/>
      <c r="M113" s="10"/>
      <c r="N113" s="30"/>
      <c r="O113" s="7">
        <f t="shared" si="18"/>
        <v>0</v>
      </c>
    </row>
    <row r="114" spans="1:16" x14ac:dyDescent="0.15">
      <c r="A114" s="16" t="s">
        <v>25</v>
      </c>
      <c r="B114" s="8"/>
      <c r="C114" s="10"/>
      <c r="D114" s="10"/>
      <c r="E114" s="10">
        <v>1</v>
      </c>
      <c r="F114" s="30"/>
      <c r="G114" s="7">
        <f t="shared" si="16"/>
        <v>1</v>
      </c>
      <c r="H114" s="58">
        <v>43097</v>
      </c>
      <c r="I114" s="16"/>
      <c r="J114" s="8"/>
      <c r="K114" s="10"/>
      <c r="L114" s="10"/>
      <c r="M114" s="10"/>
      <c r="N114" s="30"/>
      <c r="O114" s="7">
        <f t="shared" si="18"/>
        <v>0</v>
      </c>
    </row>
    <row r="115" spans="1:16" x14ac:dyDescent="0.15">
      <c r="A115" s="16" t="s">
        <v>22</v>
      </c>
      <c r="B115" s="8"/>
      <c r="C115" s="10">
        <v>10</v>
      </c>
      <c r="D115" s="10"/>
      <c r="E115" s="10"/>
      <c r="F115" s="30">
        <v>10</v>
      </c>
      <c r="G115" s="7">
        <f t="shared" si="16"/>
        <v>20</v>
      </c>
      <c r="H115" s="58">
        <v>43115</v>
      </c>
      <c r="I115" s="14"/>
      <c r="J115" s="8"/>
      <c r="K115" s="10"/>
      <c r="L115" s="10"/>
      <c r="M115" s="10"/>
      <c r="N115" s="30"/>
      <c r="O115" s="7">
        <f t="shared" si="18"/>
        <v>0</v>
      </c>
    </row>
    <row r="116" spans="1:16" x14ac:dyDescent="0.15">
      <c r="A116" s="16" t="s">
        <v>25</v>
      </c>
      <c r="B116" s="8"/>
      <c r="C116" s="10"/>
      <c r="D116" s="10"/>
      <c r="E116" s="10">
        <v>2</v>
      </c>
      <c r="F116" s="30">
        <v>1</v>
      </c>
      <c r="G116" s="7">
        <f t="shared" si="16"/>
        <v>3</v>
      </c>
      <c r="H116" s="58">
        <v>43110</v>
      </c>
      <c r="I116" s="16"/>
      <c r="J116" s="8"/>
      <c r="K116" s="10"/>
      <c r="L116" s="10"/>
      <c r="M116" s="10"/>
      <c r="N116" s="30"/>
      <c r="O116" s="7">
        <f t="shared" si="18"/>
        <v>0</v>
      </c>
    </row>
    <row r="117" spans="1:16" x14ac:dyDescent="0.15">
      <c r="A117" s="16" t="s">
        <v>25</v>
      </c>
      <c r="B117" s="8"/>
      <c r="C117" s="10"/>
      <c r="D117" s="10"/>
      <c r="E117" s="10">
        <v>4</v>
      </c>
      <c r="F117" s="30"/>
      <c r="G117" s="7">
        <f>SUM(B117:F117)</f>
        <v>4</v>
      </c>
      <c r="H117" s="58">
        <v>43111</v>
      </c>
      <c r="I117" s="16"/>
      <c r="J117" s="8"/>
      <c r="K117" s="10"/>
      <c r="L117" s="10"/>
      <c r="M117" s="10"/>
      <c r="N117" s="30"/>
      <c r="O117" s="7">
        <f t="shared" si="18"/>
        <v>0</v>
      </c>
    </row>
    <row r="118" spans="1:16" x14ac:dyDescent="0.15">
      <c r="B118" s="8">
        <v>1</v>
      </c>
      <c r="C118" s="10">
        <v>4</v>
      </c>
      <c r="D118" s="10"/>
      <c r="E118" s="10">
        <v>1</v>
      </c>
      <c r="F118" s="30"/>
      <c r="G118" s="7">
        <f>SUM(B118:F118)</f>
        <v>6</v>
      </c>
      <c r="H118" s="58">
        <v>43112</v>
      </c>
      <c r="I118" s="16"/>
      <c r="J118" s="8"/>
      <c r="K118" s="10"/>
      <c r="L118" s="10"/>
      <c r="M118" s="10"/>
      <c r="N118" s="30"/>
      <c r="O118" s="7">
        <f t="shared" si="18"/>
        <v>0</v>
      </c>
    </row>
    <row r="119" spans="1:16" x14ac:dyDescent="0.15">
      <c r="A119" s="39" t="s">
        <v>610</v>
      </c>
      <c r="B119" s="8"/>
      <c r="C119" s="10">
        <v>-5</v>
      </c>
      <c r="D119" s="10"/>
      <c r="E119" s="10">
        <v>-5</v>
      </c>
      <c r="F119" s="30"/>
      <c r="G119" s="7">
        <f t="shared" si="16"/>
        <v>-10</v>
      </c>
      <c r="H119" s="58">
        <v>43113</v>
      </c>
      <c r="I119" s="14"/>
      <c r="J119" s="8"/>
      <c r="K119" s="10"/>
      <c r="L119" s="10"/>
      <c r="M119" s="10"/>
      <c r="N119" s="30"/>
      <c r="O119" s="7">
        <f t="shared" si="18"/>
        <v>0</v>
      </c>
      <c r="P119" s="58"/>
    </row>
    <row r="120" spans="1:16" x14ac:dyDescent="0.15">
      <c r="A120" s="16" t="s">
        <v>29</v>
      </c>
      <c r="B120" s="11"/>
      <c r="C120" s="12">
        <v>1</v>
      </c>
      <c r="D120" s="12"/>
      <c r="E120" s="12"/>
      <c r="F120" s="31"/>
      <c r="G120" s="7">
        <f t="shared" si="16"/>
        <v>1</v>
      </c>
      <c r="H120" s="58">
        <v>43112</v>
      </c>
      <c r="I120" s="16"/>
      <c r="J120" s="8"/>
      <c r="K120" s="10"/>
      <c r="L120" s="10"/>
      <c r="M120" s="10"/>
      <c r="N120" s="30"/>
      <c r="O120" s="7">
        <f t="shared" si="18"/>
        <v>0</v>
      </c>
      <c r="P120" s="36"/>
    </row>
    <row r="121" spans="1:16" x14ac:dyDescent="0.15">
      <c r="A121" s="16" t="s">
        <v>25</v>
      </c>
      <c r="B121" s="8"/>
      <c r="C121" s="10">
        <v>1</v>
      </c>
      <c r="D121" s="10">
        <v>2</v>
      </c>
      <c r="E121" s="10"/>
      <c r="F121" s="30">
        <v>1</v>
      </c>
      <c r="G121" s="7">
        <f t="shared" si="16"/>
        <v>4</v>
      </c>
      <c r="H121" s="58">
        <v>43115</v>
      </c>
      <c r="I121" s="14"/>
      <c r="J121" s="8"/>
      <c r="K121" s="10"/>
      <c r="L121" s="10"/>
      <c r="M121" s="10"/>
      <c r="N121" s="30"/>
      <c r="O121" s="7">
        <f t="shared" si="18"/>
        <v>0</v>
      </c>
      <c r="P121" s="36"/>
    </row>
    <row r="122" spans="1:16" x14ac:dyDescent="0.15">
      <c r="A122" s="16" t="s">
        <v>612</v>
      </c>
      <c r="B122" s="37"/>
      <c r="C122" s="35">
        <v>-1</v>
      </c>
      <c r="D122" s="35"/>
      <c r="E122" s="35"/>
      <c r="F122" s="28"/>
      <c r="G122" s="7">
        <f t="shared" si="16"/>
        <v>-1</v>
      </c>
      <c r="H122" s="58">
        <v>43113</v>
      </c>
      <c r="I122" s="14"/>
      <c r="J122" s="8"/>
      <c r="K122" s="10"/>
      <c r="L122" s="10"/>
      <c r="M122" s="10"/>
      <c r="N122" s="30"/>
      <c r="O122" s="7">
        <f t="shared" ref="O122" si="21">SUM(J122:N122)</f>
        <v>0</v>
      </c>
      <c r="P122" s="58"/>
    </row>
    <row r="123" spans="1:16" x14ac:dyDescent="0.15">
      <c r="A123" s="16" t="s">
        <v>25</v>
      </c>
      <c r="B123" s="8">
        <v>2</v>
      </c>
      <c r="C123" s="10"/>
      <c r="D123" s="10">
        <v>1</v>
      </c>
      <c r="E123" s="10">
        <v>1</v>
      </c>
      <c r="F123" s="30"/>
      <c r="G123" s="9">
        <f t="shared" si="16"/>
        <v>4</v>
      </c>
      <c r="H123" s="58">
        <v>43117</v>
      </c>
      <c r="I123" s="20"/>
      <c r="J123" s="11"/>
      <c r="K123" s="12"/>
      <c r="L123" s="12"/>
      <c r="M123" s="12"/>
      <c r="N123" s="31"/>
      <c r="O123" s="7">
        <f t="shared" si="18"/>
        <v>0</v>
      </c>
      <c r="P123" s="36"/>
    </row>
    <row r="124" spans="1:16" ht="14.25" thickBot="1" x14ac:dyDescent="0.2">
      <c r="A124" s="51" t="s">
        <v>615</v>
      </c>
      <c r="B124" s="37"/>
      <c r="C124" s="35">
        <v>1</v>
      </c>
      <c r="D124" s="35"/>
      <c r="E124" s="35"/>
      <c r="F124" s="28"/>
      <c r="G124" s="7">
        <f t="shared" si="16"/>
        <v>1</v>
      </c>
      <c r="H124" s="58">
        <v>43119</v>
      </c>
      <c r="I124" s="20"/>
      <c r="J124" s="11"/>
      <c r="K124" s="12"/>
      <c r="L124" s="12"/>
      <c r="M124" s="12"/>
      <c r="N124" s="31"/>
      <c r="O124" s="7">
        <f t="shared" si="18"/>
        <v>0</v>
      </c>
      <c r="P124" s="56"/>
    </row>
    <row r="125" spans="1:16" ht="14.25" thickBot="1" x14ac:dyDescent="0.2">
      <c r="A125" s="3" t="s">
        <v>11</v>
      </c>
      <c r="B125" s="23">
        <f>SUM(B99:B124)</f>
        <v>21</v>
      </c>
      <c r="C125" s="4">
        <f>SUM(C99:C124)</f>
        <v>18</v>
      </c>
      <c r="D125" s="4">
        <f>SUM(D99:D124)</f>
        <v>27</v>
      </c>
      <c r="E125" s="6">
        <f>SUM(E99:E124)</f>
        <v>20</v>
      </c>
      <c r="F125" s="32">
        <f>SUM(F99:F124)</f>
        <v>17</v>
      </c>
      <c r="G125" s="5">
        <f>SUM(B125:F125)</f>
        <v>103</v>
      </c>
      <c r="H125" s="56"/>
      <c r="I125" s="3" t="s">
        <v>11</v>
      </c>
      <c r="J125" s="23">
        <f>SUM(J99:J124)</f>
        <v>15</v>
      </c>
      <c r="K125" s="4">
        <f>SUM(K99:K124)</f>
        <v>20</v>
      </c>
      <c r="L125" s="4">
        <f>SUM(L99:L124)</f>
        <v>15</v>
      </c>
      <c r="M125" s="6">
        <f>SUM(M99:M124)</f>
        <v>15</v>
      </c>
      <c r="N125" s="32">
        <f>SUM(N99:N124)</f>
        <v>10</v>
      </c>
      <c r="O125" s="5">
        <f>SUM(J125:N125)</f>
        <v>75</v>
      </c>
    </row>
    <row r="126" spans="1:16" ht="14.25" thickBot="1" x14ac:dyDescent="0.2">
      <c r="A126" s="25" t="s">
        <v>12</v>
      </c>
      <c r="B126" s="63">
        <f>B98-B125</f>
        <v>8</v>
      </c>
      <c r="C126" s="26">
        <f t="shared" ref="C126:G126" si="22">C98-C125</f>
        <v>11</v>
      </c>
      <c r="D126" s="71">
        <f t="shared" si="22"/>
        <v>9</v>
      </c>
      <c r="E126" s="26">
        <f t="shared" si="22"/>
        <v>11</v>
      </c>
      <c r="F126" s="70">
        <f t="shared" si="22"/>
        <v>12</v>
      </c>
      <c r="G126" s="27">
        <f t="shared" si="22"/>
        <v>51</v>
      </c>
      <c r="H126" s="56"/>
      <c r="I126" s="25" t="s">
        <v>12</v>
      </c>
      <c r="J126" s="63">
        <f>J98-J125</f>
        <v>80</v>
      </c>
      <c r="K126" s="26">
        <f t="shared" ref="K126:O126" si="23">K98-K125</f>
        <v>60</v>
      </c>
      <c r="L126" s="71">
        <f t="shared" si="23"/>
        <v>69</v>
      </c>
      <c r="M126" s="26">
        <f t="shared" si="23"/>
        <v>43</v>
      </c>
      <c r="N126" s="70">
        <f t="shared" si="23"/>
        <v>58</v>
      </c>
      <c r="O126" s="27">
        <f t="shared" si="23"/>
        <v>310</v>
      </c>
    </row>
    <row r="127" spans="1:16" ht="21" x14ac:dyDescent="0.2">
      <c r="A127" s="83" t="s">
        <v>415</v>
      </c>
      <c r="B127" s="77"/>
      <c r="C127" s="77"/>
      <c r="D127" s="77"/>
      <c r="E127" s="77"/>
      <c r="F127" s="77"/>
      <c r="G127" s="77"/>
      <c r="H127" s="56"/>
      <c r="I127" s="83" t="s">
        <v>415</v>
      </c>
      <c r="J127" s="77"/>
      <c r="K127" s="77"/>
      <c r="L127" s="77"/>
      <c r="M127" s="77"/>
      <c r="N127" s="77"/>
      <c r="O127" s="77"/>
    </row>
    <row r="128" spans="1:16" ht="21.75" thickBot="1" x14ac:dyDescent="0.25">
      <c r="A128" s="83" t="s">
        <v>47</v>
      </c>
      <c r="B128" s="77"/>
      <c r="C128" s="77"/>
      <c r="D128" s="77"/>
      <c r="E128" s="84"/>
      <c r="F128" s="78" t="s">
        <v>53</v>
      </c>
      <c r="G128" s="77"/>
      <c r="H128" s="56"/>
      <c r="I128" s="83" t="s">
        <v>47</v>
      </c>
      <c r="J128" s="77"/>
      <c r="K128" s="77"/>
      <c r="L128" s="77"/>
      <c r="M128" s="84"/>
      <c r="N128" s="78" t="s">
        <v>54</v>
      </c>
      <c r="O128" s="77"/>
    </row>
    <row r="129" spans="1:16" ht="14.25" thickBot="1" x14ac:dyDescent="0.2">
      <c r="A129" s="13" t="s">
        <v>0</v>
      </c>
      <c r="B129" s="228" t="s">
        <v>49</v>
      </c>
      <c r="C129" s="229"/>
      <c r="D129" s="229"/>
      <c r="E129" s="229"/>
      <c r="F129" s="230"/>
      <c r="G129" s="231"/>
      <c r="H129" s="56"/>
      <c r="I129" s="13" t="s">
        <v>0</v>
      </c>
      <c r="J129" s="228" t="s">
        <v>49</v>
      </c>
      <c r="K129" s="229"/>
      <c r="L129" s="229"/>
      <c r="M129" s="229"/>
      <c r="N129" s="230"/>
      <c r="O129" s="231"/>
    </row>
    <row r="130" spans="1:16" ht="14.25" thickBot="1" x14ac:dyDescent="0.2">
      <c r="A130" s="3" t="s">
        <v>1</v>
      </c>
      <c r="B130" s="2" t="s">
        <v>42</v>
      </c>
      <c r="C130" s="21" t="s">
        <v>43</v>
      </c>
      <c r="D130" s="21" t="s">
        <v>44</v>
      </c>
      <c r="E130" s="24" t="s">
        <v>45</v>
      </c>
      <c r="F130" s="33" t="s">
        <v>46</v>
      </c>
      <c r="G130" s="34" t="s">
        <v>2</v>
      </c>
      <c r="H130" s="56"/>
      <c r="I130" s="3" t="s">
        <v>1</v>
      </c>
      <c r="J130" s="2" t="s">
        <v>42</v>
      </c>
      <c r="K130" s="21" t="s">
        <v>43</v>
      </c>
      <c r="L130" s="21" t="s">
        <v>44</v>
      </c>
      <c r="M130" s="24" t="s">
        <v>45</v>
      </c>
      <c r="N130" s="33" t="s">
        <v>46</v>
      </c>
      <c r="O130" s="3" t="s">
        <v>2</v>
      </c>
    </row>
    <row r="131" spans="1:16" x14ac:dyDescent="0.15">
      <c r="A131" s="96" t="s">
        <v>527</v>
      </c>
      <c r="B131" s="95">
        <f>B126</f>
        <v>8</v>
      </c>
      <c r="C131" s="95">
        <f t="shared" ref="C131:F131" si="24">C126</f>
        <v>11</v>
      </c>
      <c r="D131" s="95">
        <f t="shared" si="24"/>
        <v>9</v>
      </c>
      <c r="E131" s="95">
        <f t="shared" si="24"/>
        <v>11</v>
      </c>
      <c r="F131" s="95">
        <f t="shared" si="24"/>
        <v>12</v>
      </c>
      <c r="G131" s="52">
        <f t="shared" ref="G131:G158" si="25">SUM(B131:F131)</f>
        <v>51</v>
      </c>
      <c r="H131" s="56"/>
      <c r="I131" s="96" t="s">
        <v>12</v>
      </c>
      <c r="J131" s="95">
        <f>J126</f>
        <v>80</v>
      </c>
      <c r="K131" s="97">
        <f t="shared" ref="K131:N131" si="26">K126</f>
        <v>60</v>
      </c>
      <c r="L131" s="97">
        <f t="shared" si="26"/>
        <v>69</v>
      </c>
      <c r="M131" s="97">
        <f t="shared" si="26"/>
        <v>43</v>
      </c>
      <c r="N131" s="54">
        <f t="shared" si="26"/>
        <v>58</v>
      </c>
      <c r="O131" s="52">
        <f t="shared" ref="O131:O166" si="27">SUM(J131:N131)</f>
        <v>310</v>
      </c>
    </row>
    <row r="132" spans="1:16" x14ac:dyDescent="0.15">
      <c r="A132" s="15" t="s">
        <v>14</v>
      </c>
      <c r="B132" s="8">
        <v>5</v>
      </c>
      <c r="C132" s="10"/>
      <c r="D132" s="10">
        <v>5</v>
      </c>
      <c r="E132" s="10"/>
      <c r="F132" s="28"/>
      <c r="G132" s="9">
        <f t="shared" si="25"/>
        <v>10</v>
      </c>
      <c r="H132" s="58">
        <v>43118</v>
      </c>
      <c r="I132" s="15" t="s">
        <v>3</v>
      </c>
      <c r="J132" s="37"/>
      <c r="K132" s="35"/>
      <c r="L132" s="35"/>
      <c r="M132" s="35"/>
      <c r="N132" s="28"/>
      <c r="O132" s="7">
        <f t="shared" si="27"/>
        <v>0</v>
      </c>
    </row>
    <row r="133" spans="1:16" x14ac:dyDescent="0.15">
      <c r="A133" s="15" t="s">
        <v>19</v>
      </c>
      <c r="B133" s="8"/>
      <c r="C133" s="10"/>
      <c r="D133" s="10">
        <v>1</v>
      </c>
      <c r="E133" s="10">
        <v>3</v>
      </c>
      <c r="F133" s="28"/>
      <c r="G133" s="9">
        <f t="shared" si="25"/>
        <v>4</v>
      </c>
      <c r="H133" s="58">
        <v>43118</v>
      </c>
      <c r="I133" s="15" t="s">
        <v>4</v>
      </c>
      <c r="J133" s="8">
        <v>70</v>
      </c>
      <c r="K133" s="10">
        <v>99</v>
      </c>
      <c r="L133" s="10">
        <v>150</v>
      </c>
      <c r="M133" s="10">
        <v>180</v>
      </c>
      <c r="N133" s="28">
        <v>120</v>
      </c>
      <c r="O133" s="9">
        <f t="shared" si="27"/>
        <v>619</v>
      </c>
      <c r="P133" s="58">
        <v>43111</v>
      </c>
    </row>
    <row r="134" spans="1:16" x14ac:dyDescent="0.15">
      <c r="A134" s="15" t="s">
        <v>616</v>
      </c>
      <c r="B134" s="8"/>
      <c r="C134" s="10">
        <v>1</v>
      </c>
      <c r="D134" s="10"/>
      <c r="E134" s="10"/>
      <c r="F134" s="28"/>
      <c r="G134" s="9">
        <f t="shared" si="25"/>
        <v>1</v>
      </c>
      <c r="H134" s="58">
        <v>43119</v>
      </c>
      <c r="I134" s="15" t="s">
        <v>5</v>
      </c>
      <c r="J134" s="8"/>
      <c r="K134" s="10"/>
      <c r="L134" s="10"/>
      <c r="M134" s="10"/>
      <c r="N134" s="28"/>
      <c r="O134" s="9">
        <f t="shared" si="27"/>
        <v>0</v>
      </c>
    </row>
    <row r="135" spans="1:16" x14ac:dyDescent="0.15">
      <c r="A135" s="15" t="s">
        <v>17</v>
      </c>
      <c r="B135" s="8"/>
      <c r="C135" s="10">
        <v>1</v>
      </c>
      <c r="D135" s="10"/>
      <c r="E135" s="10"/>
      <c r="F135" s="28"/>
      <c r="G135" s="9">
        <f t="shared" si="25"/>
        <v>1</v>
      </c>
      <c r="H135" s="58">
        <v>43119</v>
      </c>
      <c r="I135" s="15" t="s">
        <v>6</v>
      </c>
      <c r="J135" s="8"/>
      <c r="K135" s="10"/>
      <c r="L135" s="10"/>
      <c r="M135" s="10"/>
      <c r="N135" s="28"/>
      <c r="O135" s="9">
        <f t="shared" si="27"/>
        <v>0</v>
      </c>
    </row>
    <row r="136" spans="1:16" x14ac:dyDescent="0.15">
      <c r="A136" s="15" t="s">
        <v>17</v>
      </c>
      <c r="B136" s="11">
        <v>1</v>
      </c>
      <c r="C136" s="12">
        <v>2</v>
      </c>
      <c r="D136" s="12">
        <v>1</v>
      </c>
      <c r="E136" s="12">
        <v>2</v>
      </c>
      <c r="F136" s="31"/>
      <c r="G136" s="7">
        <f t="shared" si="25"/>
        <v>6</v>
      </c>
      <c r="H136" s="58">
        <v>43131</v>
      </c>
      <c r="I136" s="15" t="s">
        <v>84</v>
      </c>
      <c r="J136" s="11"/>
      <c r="K136" s="12"/>
      <c r="L136" s="12"/>
      <c r="M136" s="12"/>
      <c r="N136" s="31"/>
      <c r="O136" s="7">
        <f t="shared" si="27"/>
        <v>0</v>
      </c>
    </row>
    <row r="137" spans="1:16" x14ac:dyDescent="0.15">
      <c r="A137" s="15" t="s">
        <v>84</v>
      </c>
      <c r="B137" s="8"/>
      <c r="C137" s="10"/>
      <c r="D137" s="10">
        <v>15</v>
      </c>
      <c r="E137" s="10"/>
      <c r="F137" s="30"/>
      <c r="G137" s="7">
        <f t="shared" si="25"/>
        <v>15</v>
      </c>
      <c r="H137" s="58">
        <v>43137</v>
      </c>
      <c r="I137" s="15" t="s">
        <v>85</v>
      </c>
      <c r="J137" s="8"/>
      <c r="K137" s="10"/>
      <c r="L137" s="10"/>
      <c r="M137" s="10"/>
      <c r="N137" s="30"/>
      <c r="O137" s="7">
        <f t="shared" si="27"/>
        <v>0</v>
      </c>
    </row>
    <row r="138" spans="1:16" x14ac:dyDescent="0.15">
      <c r="A138" s="15" t="s">
        <v>17</v>
      </c>
      <c r="B138" s="8"/>
      <c r="C138" s="10">
        <v>2</v>
      </c>
      <c r="D138" s="10"/>
      <c r="E138" s="10"/>
      <c r="F138" s="30"/>
      <c r="G138" s="7">
        <f t="shared" si="25"/>
        <v>2</v>
      </c>
      <c r="H138" s="58">
        <v>43147</v>
      </c>
      <c r="I138" s="16" t="s">
        <v>88</v>
      </c>
      <c r="J138" s="8"/>
      <c r="K138" s="10"/>
      <c r="L138" s="10"/>
      <c r="M138" s="10"/>
      <c r="N138" s="30"/>
      <c r="O138" s="7">
        <f t="shared" si="27"/>
        <v>0</v>
      </c>
    </row>
    <row r="139" spans="1:16" ht="14.25" thickBot="1" x14ac:dyDescent="0.2">
      <c r="A139" s="15" t="s">
        <v>86</v>
      </c>
      <c r="B139" s="11"/>
      <c r="C139" s="100">
        <v>5</v>
      </c>
      <c r="D139" s="100"/>
      <c r="E139" s="100">
        <v>10</v>
      </c>
      <c r="F139" s="101"/>
      <c r="G139" s="102">
        <f t="shared" si="25"/>
        <v>15</v>
      </c>
      <c r="H139" s="58">
        <v>43150</v>
      </c>
      <c r="I139" s="15" t="s">
        <v>87</v>
      </c>
      <c r="J139" s="11"/>
      <c r="K139" s="100"/>
      <c r="L139" s="100"/>
      <c r="M139" s="100"/>
      <c r="N139" s="101"/>
      <c r="O139" s="102">
        <f t="shared" si="27"/>
        <v>0</v>
      </c>
    </row>
    <row r="140" spans="1:16" ht="14.25" thickBot="1" x14ac:dyDescent="0.2">
      <c r="A140" s="72" t="s">
        <v>7</v>
      </c>
      <c r="B140" s="73">
        <f>SUM(B131:B139)</f>
        <v>14</v>
      </c>
      <c r="C140" s="74">
        <f t="shared" ref="C140:F140" si="28">SUM(C131:C139)</f>
        <v>22</v>
      </c>
      <c r="D140" s="74">
        <f t="shared" si="28"/>
        <v>31</v>
      </c>
      <c r="E140" s="74">
        <f t="shared" si="28"/>
        <v>26</v>
      </c>
      <c r="F140" s="105">
        <f t="shared" si="28"/>
        <v>12</v>
      </c>
      <c r="G140" s="76">
        <f t="shared" si="25"/>
        <v>105</v>
      </c>
      <c r="H140" s="56"/>
      <c r="I140" s="72" t="s">
        <v>7</v>
      </c>
      <c r="J140" s="73">
        <f>SUM(J131:J139)</f>
        <v>150</v>
      </c>
      <c r="K140" s="74">
        <f t="shared" ref="K140:N140" si="29">SUM(K131:K139)</f>
        <v>159</v>
      </c>
      <c r="L140" s="74">
        <f t="shared" si="29"/>
        <v>219</v>
      </c>
      <c r="M140" s="74">
        <f t="shared" si="29"/>
        <v>223</v>
      </c>
      <c r="N140" s="105">
        <f t="shared" si="29"/>
        <v>178</v>
      </c>
      <c r="O140" s="76">
        <f t="shared" si="27"/>
        <v>929</v>
      </c>
    </row>
    <row r="141" spans="1:16" x14ac:dyDescent="0.15">
      <c r="A141" s="16" t="s">
        <v>25</v>
      </c>
      <c r="B141" s="37">
        <v>2</v>
      </c>
      <c r="C141" s="35">
        <v>1</v>
      </c>
      <c r="D141" s="35">
        <v>1</v>
      </c>
      <c r="E141" s="35"/>
      <c r="F141" s="28"/>
      <c r="G141" s="18">
        <f t="shared" si="25"/>
        <v>4</v>
      </c>
      <c r="H141" s="58">
        <v>43120</v>
      </c>
      <c r="I141" s="16" t="s">
        <v>614</v>
      </c>
      <c r="J141" s="17">
        <v>5</v>
      </c>
      <c r="K141" s="22"/>
      <c r="L141" s="22">
        <v>5</v>
      </c>
      <c r="M141" s="22"/>
      <c r="N141" s="29"/>
      <c r="O141" s="18">
        <f t="shared" si="27"/>
        <v>10</v>
      </c>
      <c r="P141" s="58">
        <v>43118</v>
      </c>
    </row>
    <row r="142" spans="1:16" x14ac:dyDescent="0.15">
      <c r="A142" s="16" t="s">
        <v>25</v>
      </c>
      <c r="B142" s="8"/>
      <c r="C142" s="10">
        <v>2</v>
      </c>
      <c r="D142" s="10">
        <v>1</v>
      </c>
      <c r="E142" s="10"/>
      <c r="F142" s="30"/>
      <c r="G142" s="7">
        <f t="shared" si="25"/>
        <v>3</v>
      </c>
      <c r="H142" s="58">
        <v>43122</v>
      </c>
      <c r="I142" s="16" t="s">
        <v>24</v>
      </c>
      <c r="J142" s="8"/>
      <c r="K142" s="10"/>
      <c r="L142" s="10">
        <v>15</v>
      </c>
      <c r="M142" s="10"/>
      <c r="N142" s="30"/>
      <c r="O142" s="7">
        <f t="shared" si="27"/>
        <v>15</v>
      </c>
      <c r="P142" s="58">
        <v>43137</v>
      </c>
    </row>
    <row r="143" spans="1:16" x14ac:dyDescent="0.15">
      <c r="A143" s="16" t="s">
        <v>29</v>
      </c>
      <c r="B143" s="8"/>
      <c r="C143" s="10"/>
      <c r="D143" s="10">
        <v>1</v>
      </c>
      <c r="E143" s="10"/>
      <c r="F143" s="30"/>
      <c r="G143" s="7">
        <f t="shared" si="25"/>
        <v>1</v>
      </c>
      <c r="H143" s="58">
        <v>43122</v>
      </c>
      <c r="I143" s="16" t="s">
        <v>24</v>
      </c>
      <c r="J143" s="8"/>
      <c r="K143" s="10">
        <v>5</v>
      </c>
      <c r="L143" s="10"/>
      <c r="M143" s="10">
        <v>10</v>
      </c>
      <c r="N143" s="30"/>
      <c r="O143" s="7">
        <f t="shared" si="27"/>
        <v>15</v>
      </c>
      <c r="P143" s="58">
        <v>43150</v>
      </c>
    </row>
    <row r="144" spans="1:16" x14ac:dyDescent="0.15">
      <c r="A144" s="16" t="s">
        <v>25</v>
      </c>
      <c r="B144" s="8"/>
      <c r="C144" s="10"/>
      <c r="D144" s="10">
        <v>1</v>
      </c>
      <c r="E144" s="10">
        <v>1</v>
      </c>
      <c r="F144" s="30">
        <v>1</v>
      </c>
      <c r="G144" s="7">
        <f t="shared" si="25"/>
        <v>3</v>
      </c>
      <c r="H144" s="58">
        <v>43124</v>
      </c>
      <c r="I144" s="16" t="s">
        <v>24</v>
      </c>
      <c r="J144" s="8"/>
      <c r="K144" s="10">
        <v>10</v>
      </c>
      <c r="L144" s="10"/>
      <c r="M144" s="10"/>
      <c r="N144" s="30">
        <v>15</v>
      </c>
      <c r="O144" s="7">
        <f t="shared" si="27"/>
        <v>25</v>
      </c>
      <c r="P144" s="58">
        <v>43153</v>
      </c>
    </row>
    <row r="145" spans="1:16" x14ac:dyDescent="0.15">
      <c r="A145" s="16" t="s">
        <v>25</v>
      </c>
      <c r="B145" s="8"/>
      <c r="C145" s="10">
        <v>1</v>
      </c>
      <c r="D145" s="10"/>
      <c r="E145" s="10">
        <v>1</v>
      </c>
      <c r="F145" s="30">
        <v>1</v>
      </c>
      <c r="G145" s="7">
        <f t="shared" si="25"/>
        <v>3</v>
      </c>
      <c r="H145" s="58">
        <v>43126</v>
      </c>
      <c r="I145" s="16" t="s">
        <v>24</v>
      </c>
      <c r="J145" s="8">
        <v>15</v>
      </c>
      <c r="K145" s="10"/>
      <c r="L145" s="10"/>
      <c r="M145" s="10"/>
      <c r="N145" s="30"/>
      <c r="O145" s="7">
        <f t="shared" si="27"/>
        <v>15</v>
      </c>
      <c r="P145" s="58">
        <v>43160</v>
      </c>
    </row>
    <row r="146" spans="1:16" x14ac:dyDescent="0.15">
      <c r="A146" s="16" t="s">
        <v>25</v>
      </c>
      <c r="B146" s="8"/>
      <c r="C146" s="10"/>
      <c r="D146" s="10">
        <v>1</v>
      </c>
      <c r="E146" s="10"/>
      <c r="F146" s="30"/>
      <c r="G146" s="7">
        <f t="shared" si="25"/>
        <v>1</v>
      </c>
      <c r="H146" s="58">
        <v>43130</v>
      </c>
      <c r="I146" s="16"/>
      <c r="J146" s="8"/>
      <c r="K146" s="10"/>
      <c r="L146" s="10"/>
      <c r="M146" s="10"/>
      <c r="N146" s="30"/>
      <c r="O146" s="7">
        <f t="shared" si="27"/>
        <v>0</v>
      </c>
    </row>
    <row r="147" spans="1:16" x14ac:dyDescent="0.15">
      <c r="A147" s="16" t="s">
        <v>22</v>
      </c>
      <c r="B147" s="8"/>
      <c r="C147" s="10"/>
      <c r="D147" s="10">
        <v>10</v>
      </c>
      <c r="E147" s="10"/>
      <c r="F147" s="30"/>
      <c r="G147" s="7">
        <f t="shared" si="25"/>
        <v>10</v>
      </c>
      <c r="H147" s="58">
        <v>43137</v>
      </c>
      <c r="I147" s="16"/>
      <c r="J147" s="8"/>
      <c r="K147" s="10"/>
      <c r="L147" s="10"/>
      <c r="M147" s="10"/>
      <c r="N147" s="30"/>
      <c r="O147" s="7">
        <f t="shared" si="27"/>
        <v>0</v>
      </c>
    </row>
    <row r="148" spans="1:16" x14ac:dyDescent="0.15">
      <c r="A148" s="16" t="s">
        <v>29</v>
      </c>
      <c r="B148" s="8"/>
      <c r="C148" s="10"/>
      <c r="D148" s="10">
        <v>1</v>
      </c>
      <c r="E148" s="10"/>
      <c r="F148" s="30"/>
      <c r="G148" s="7">
        <f t="shared" si="25"/>
        <v>1</v>
      </c>
      <c r="H148" s="58">
        <v>43131</v>
      </c>
      <c r="I148" s="16"/>
      <c r="J148" s="8"/>
      <c r="K148" s="10"/>
      <c r="L148" s="10"/>
      <c r="M148" s="10"/>
      <c r="N148" s="30"/>
      <c r="O148" s="7">
        <f t="shared" si="27"/>
        <v>0</v>
      </c>
    </row>
    <row r="149" spans="1:16" x14ac:dyDescent="0.15">
      <c r="A149" s="16" t="s">
        <v>25</v>
      </c>
      <c r="B149" s="8"/>
      <c r="C149" s="10">
        <v>1</v>
      </c>
      <c r="D149" s="10"/>
      <c r="E149" s="10"/>
      <c r="F149" s="30"/>
      <c r="G149" s="7">
        <f t="shared" si="25"/>
        <v>1</v>
      </c>
      <c r="H149" s="58">
        <v>43134</v>
      </c>
      <c r="I149" s="16"/>
      <c r="J149" s="8"/>
      <c r="K149" s="10"/>
      <c r="L149" s="10"/>
      <c r="M149" s="10"/>
      <c r="N149" s="30"/>
      <c r="O149" s="7">
        <f t="shared" si="27"/>
        <v>0</v>
      </c>
    </row>
    <row r="150" spans="1:16" x14ac:dyDescent="0.15">
      <c r="A150" s="16" t="s">
        <v>25</v>
      </c>
      <c r="B150" s="11"/>
      <c r="C150" s="12">
        <v>1</v>
      </c>
      <c r="D150" s="12"/>
      <c r="E150" s="12"/>
      <c r="F150" s="31">
        <v>3</v>
      </c>
      <c r="G150" s="7">
        <f t="shared" si="25"/>
        <v>4</v>
      </c>
      <c r="H150" s="58">
        <v>43138</v>
      </c>
      <c r="I150" s="16"/>
      <c r="J150" s="11"/>
      <c r="K150" s="12"/>
      <c r="L150" s="12"/>
      <c r="M150" s="12"/>
      <c r="N150" s="31"/>
      <c r="O150" s="7">
        <f t="shared" si="27"/>
        <v>0</v>
      </c>
    </row>
    <row r="151" spans="1:16" x14ac:dyDescent="0.15">
      <c r="A151" s="16" t="s">
        <v>25</v>
      </c>
      <c r="B151" s="8"/>
      <c r="C151" s="10">
        <v>3</v>
      </c>
      <c r="D151" s="10">
        <v>1</v>
      </c>
      <c r="E151" s="10">
        <v>1</v>
      </c>
      <c r="F151" s="30">
        <v>1</v>
      </c>
      <c r="G151" s="7">
        <f t="shared" si="25"/>
        <v>6</v>
      </c>
      <c r="H151" s="58">
        <v>43140</v>
      </c>
      <c r="I151" s="94"/>
      <c r="J151" s="65"/>
      <c r="K151" s="66"/>
      <c r="L151" s="66"/>
      <c r="M151" s="66"/>
      <c r="N151" s="67"/>
      <c r="O151" s="61">
        <f t="shared" si="27"/>
        <v>0</v>
      </c>
    </row>
    <row r="152" spans="1:16" x14ac:dyDescent="0.15">
      <c r="A152" s="16" t="s">
        <v>29</v>
      </c>
      <c r="B152" s="8"/>
      <c r="C152" s="10"/>
      <c r="D152" s="10"/>
      <c r="E152" s="10">
        <v>1</v>
      </c>
      <c r="F152" s="30"/>
      <c r="G152" s="7">
        <f t="shared" si="25"/>
        <v>1</v>
      </c>
      <c r="H152" s="58">
        <v>43140</v>
      </c>
      <c r="I152" s="14"/>
      <c r="J152" s="8"/>
      <c r="K152" s="10"/>
      <c r="L152" s="10"/>
      <c r="M152" s="10"/>
      <c r="N152" s="30"/>
      <c r="O152" s="7">
        <f t="shared" si="27"/>
        <v>0</v>
      </c>
    </row>
    <row r="153" spans="1:16" x14ac:dyDescent="0.15">
      <c r="A153" s="16" t="s">
        <v>25</v>
      </c>
      <c r="B153" s="8"/>
      <c r="C153" s="10"/>
      <c r="D153" s="10">
        <v>3</v>
      </c>
      <c r="E153" s="10">
        <v>1</v>
      </c>
      <c r="F153" s="30"/>
      <c r="G153" s="7">
        <f t="shared" si="25"/>
        <v>4</v>
      </c>
      <c r="H153" s="58">
        <v>43145</v>
      </c>
      <c r="I153" s="16"/>
      <c r="J153" s="8"/>
      <c r="K153" s="10"/>
      <c r="L153" s="10"/>
      <c r="M153" s="10"/>
      <c r="N153" s="30"/>
      <c r="O153" s="7">
        <f t="shared" si="27"/>
        <v>0</v>
      </c>
    </row>
    <row r="154" spans="1:16" x14ac:dyDescent="0.15">
      <c r="A154" s="16" t="s">
        <v>25</v>
      </c>
      <c r="B154" s="8"/>
      <c r="C154" s="10">
        <v>1</v>
      </c>
      <c r="D154" s="10"/>
      <c r="E154" s="10">
        <v>1</v>
      </c>
      <c r="F154" s="30"/>
      <c r="G154" s="7">
        <f t="shared" si="25"/>
        <v>2</v>
      </c>
      <c r="H154" s="58">
        <v>43147</v>
      </c>
      <c r="I154" s="16"/>
      <c r="J154" s="8"/>
      <c r="K154" s="10"/>
      <c r="L154" s="10"/>
      <c r="M154" s="10"/>
      <c r="N154" s="30"/>
      <c r="O154" s="7">
        <f t="shared" si="27"/>
        <v>0</v>
      </c>
    </row>
    <row r="155" spans="1:16" x14ac:dyDescent="0.15">
      <c r="A155" s="16" t="s">
        <v>626</v>
      </c>
      <c r="B155" s="8"/>
      <c r="C155" s="10"/>
      <c r="D155" s="10"/>
      <c r="E155" s="10">
        <v>10</v>
      </c>
      <c r="F155" s="30"/>
      <c r="G155" s="7">
        <f t="shared" si="25"/>
        <v>10</v>
      </c>
      <c r="H155" s="58">
        <v>43154</v>
      </c>
      <c r="I155" s="16"/>
      <c r="J155" s="8"/>
      <c r="K155" s="10"/>
      <c r="L155" s="10"/>
      <c r="M155" s="10"/>
      <c r="N155" s="30"/>
      <c r="O155" s="7">
        <f t="shared" si="27"/>
        <v>0</v>
      </c>
    </row>
    <row r="156" spans="1:16" x14ac:dyDescent="0.15">
      <c r="A156" s="16" t="s">
        <v>25</v>
      </c>
      <c r="B156" s="8"/>
      <c r="C156" s="10"/>
      <c r="D156" s="10">
        <v>1</v>
      </c>
      <c r="E156" s="10"/>
      <c r="F156" s="30">
        <v>1</v>
      </c>
      <c r="G156" s="7">
        <f t="shared" si="25"/>
        <v>2</v>
      </c>
      <c r="H156" s="58">
        <v>43152</v>
      </c>
      <c r="I156" s="16"/>
      <c r="J156" s="8"/>
      <c r="K156" s="10"/>
      <c r="L156" s="10"/>
      <c r="M156" s="10"/>
      <c r="N156" s="30"/>
      <c r="O156" s="7">
        <f t="shared" si="27"/>
        <v>0</v>
      </c>
    </row>
    <row r="157" spans="1:16" x14ac:dyDescent="0.15">
      <c r="A157" s="16" t="s">
        <v>627</v>
      </c>
      <c r="B157" s="8"/>
      <c r="C157" s="10">
        <v>10</v>
      </c>
      <c r="D157" s="10"/>
      <c r="E157" s="10"/>
      <c r="F157" s="30">
        <v>10</v>
      </c>
      <c r="G157" s="7">
        <f t="shared" si="25"/>
        <v>20</v>
      </c>
      <c r="H157" s="58">
        <v>43158</v>
      </c>
      <c r="I157" s="14"/>
      <c r="J157" s="8"/>
      <c r="K157" s="10"/>
      <c r="L157" s="10"/>
      <c r="M157" s="10"/>
      <c r="N157" s="30"/>
      <c r="O157" s="7">
        <f t="shared" si="27"/>
        <v>0</v>
      </c>
    </row>
    <row r="158" spans="1:16" x14ac:dyDescent="0.15">
      <c r="A158" s="16" t="s">
        <v>630</v>
      </c>
      <c r="B158" s="8"/>
      <c r="C158" s="10">
        <v>-10</v>
      </c>
      <c r="D158" s="10"/>
      <c r="E158" s="10"/>
      <c r="F158" s="30">
        <v>-15</v>
      </c>
      <c r="G158" s="7">
        <f t="shared" si="25"/>
        <v>-25</v>
      </c>
      <c r="H158" s="58">
        <v>43153</v>
      </c>
      <c r="I158" s="16"/>
      <c r="J158" s="8"/>
      <c r="K158" s="10"/>
      <c r="L158" s="10"/>
      <c r="M158" s="10"/>
      <c r="N158" s="30"/>
      <c r="O158" s="7">
        <f t="shared" si="27"/>
        <v>0</v>
      </c>
    </row>
    <row r="159" spans="1:16" x14ac:dyDescent="0.15">
      <c r="A159" s="16" t="s">
        <v>631</v>
      </c>
      <c r="B159" s="8">
        <v>2</v>
      </c>
      <c r="C159" s="10">
        <v>2</v>
      </c>
      <c r="D159" s="10">
        <v>2</v>
      </c>
      <c r="E159" s="10">
        <v>2</v>
      </c>
      <c r="F159" s="30">
        <v>2</v>
      </c>
      <c r="G159" s="7">
        <f>SUM(B159:F159)</f>
        <v>10</v>
      </c>
      <c r="H159" s="58">
        <v>43165</v>
      </c>
      <c r="I159" s="14"/>
      <c r="J159" s="8"/>
      <c r="K159" s="10"/>
      <c r="L159" s="10"/>
      <c r="M159" s="10"/>
      <c r="N159" s="30"/>
      <c r="O159" s="7">
        <f t="shared" si="27"/>
        <v>0</v>
      </c>
      <c r="P159" s="58"/>
    </row>
    <row r="160" spans="1:16" x14ac:dyDescent="0.15">
      <c r="A160" s="16" t="s">
        <v>25</v>
      </c>
      <c r="B160" s="8"/>
      <c r="C160" s="10"/>
      <c r="D160" s="10"/>
      <c r="E160" s="10"/>
      <c r="F160" s="30">
        <v>1</v>
      </c>
      <c r="G160" s="7">
        <f>SUM(B160:F160)</f>
        <v>1</v>
      </c>
      <c r="H160" s="58">
        <v>43154</v>
      </c>
      <c r="I160" s="14"/>
      <c r="J160" s="8"/>
      <c r="K160" s="10"/>
      <c r="L160" s="10"/>
      <c r="M160" s="10"/>
      <c r="N160" s="30"/>
      <c r="O160" s="7">
        <f t="shared" si="27"/>
        <v>0</v>
      </c>
      <c r="P160" s="58"/>
    </row>
    <row r="161" spans="1:16" x14ac:dyDescent="0.15">
      <c r="A161" s="16" t="s">
        <v>23</v>
      </c>
      <c r="B161" s="8"/>
      <c r="C161" s="10">
        <v>-2</v>
      </c>
      <c r="D161" s="10">
        <v>-2</v>
      </c>
      <c r="E161" s="10">
        <v>-1</v>
      </c>
      <c r="F161" s="30"/>
      <c r="G161" s="7">
        <f t="shared" ref="G161:G166" si="30">SUM(B161:F161)</f>
        <v>-5</v>
      </c>
      <c r="H161" s="58">
        <v>43157</v>
      </c>
      <c r="I161" s="14"/>
      <c r="J161" s="8"/>
      <c r="K161" s="10"/>
      <c r="L161" s="10"/>
      <c r="M161" s="10"/>
      <c r="N161" s="30"/>
      <c r="O161" s="7">
        <f t="shared" si="27"/>
        <v>0</v>
      </c>
      <c r="P161" s="58"/>
    </row>
    <row r="162" spans="1:16" x14ac:dyDescent="0.15">
      <c r="A162" s="16" t="s">
        <v>22</v>
      </c>
      <c r="B162" s="11">
        <v>10</v>
      </c>
      <c r="C162" s="12"/>
      <c r="D162" s="12"/>
      <c r="E162" s="12"/>
      <c r="F162" s="31"/>
      <c r="G162" s="7">
        <f t="shared" si="30"/>
        <v>10</v>
      </c>
      <c r="H162" s="58">
        <v>43165</v>
      </c>
      <c r="I162" s="20"/>
      <c r="J162" s="8"/>
      <c r="K162" s="10"/>
      <c r="L162" s="10"/>
      <c r="M162" s="10"/>
      <c r="N162" s="30"/>
      <c r="O162" s="7">
        <f t="shared" si="27"/>
        <v>0</v>
      </c>
      <c r="P162" s="36"/>
    </row>
    <row r="163" spans="1:16" x14ac:dyDescent="0.15">
      <c r="A163" s="16" t="s">
        <v>634</v>
      </c>
      <c r="B163" s="8">
        <v>-15</v>
      </c>
      <c r="C163" s="10"/>
      <c r="D163" s="10"/>
      <c r="E163" s="10"/>
      <c r="F163" s="30"/>
      <c r="G163" s="7">
        <f t="shared" si="30"/>
        <v>-15</v>
      </c>
      <c r="H163" s="58">
        <v>43160</v>
      </c>
      <c r="I163" s="141"/>
      <c r="J163" s="8"/>
      <c r="K163" s="10"/>
      <c r="L163" s="10"/>
      <c r="M163" s="10"/>
      <c r="N163" s="30"/>
      <c r="O163" s="7">
        <f t="shared" si="27"/>
        <v>0</v>
      </c>
      <c r="P163" s="36"/>
    </row>
    <row r="164" spans="1:16" x14ac:dyDescent="0.15">
      <c r="A164" s="16" t="s">
        <v>636</v>
      </c>
      <c r="B164" s="37"/>
      <c r="C164" s="35"/>
      <c r="D164" s="35">
        <v>-2</v>
      </c>
      <c r="E164" s="35"/>
      <c r="F164" s="28"/>
      <c r="G164" s="7">
        <f t="shared" si="30"/>
        <v>-2</v>
      </c>
      <c r="H164" s="58">
        <v>43159</v>
      </c>
      <c r="I164" s="14"/>
      <c r="J164" s="8"/>
      <c r="K164" s="10"/>
      <c r="L164" s="10"/>
      <c r="M164" s="10"/>
      <c r="N164" s="30"/>
      <c r="O164" s="7">
        <f t="shared" si="27"/>
        <v>0</v>
      </c>
      <c r="P164" s="58"/>
    </row>
    <row r="165" spans="1:16" x14ac:dyDescent="0.15">
      <c r="A165" s="16" t="s">
        <v>25</v>
      </c>
      <c r="B165" s="8"/>
      <c r="C165" s="10"/>
      <c r="D165" s="10">
        <v>1</v>
      </c>
      <c r="E165" s="10"/>
      <c r="F165" s="30"/>
      <c r="G165" s="9">
        <f t="shared" si="30"/>
        <v>1</v>
      </c>
      <c r="H165" s="58">
        <v>43161</v>
      </c>
      <c r="I165" s="20"/>
      <c r="J165" s="11"/>
      <c r="K165" s="12"/>
      <c r="L165" s="12"/>
      <c r="M165" s="12"/>
      <c r="N165" s="31"/>
      <c r="O165" s="7">
        <f t="shared" si="27"/>
        <v>0</v>
      </c>
      <c r="P165" s="36"/>
    </row>
    <row r="166" spans="1:16" ht="14.25" thickBot="1" x14ac:dyDescent="0.2">
      <c r="A166" s="20" t="s">
        <v>588</v>
      </c>
      <c r="B166" s="37">
        <v>1</v>
      </c>
      <c r="C166" s="35">
        <v>1</v>
      </c>
      <c r="D166" s="35">
        <v>3</v>
      </c>
      <c r="E166" s="35"/>
      <c r="F166" s="28"/>
      <c r="G166" s="7">
        <f t="shared" si="30"/>
        <v>5</v>
      </c>
      <c r="H166" s="58">
        <v>43164</v>
      </c>
      <c r="I166" s="20"/>
      <c r="J166" s="11"/>
      <c r="K166" s="12"/>
      <c r="L166" s="12"/>
      <c r="M166" s="12"/>
      <c r="N166" s="31"/>
      <c r="O166" s="7">
        <f t="shared" si="27"/>
        <v>0</v>
      </c>
      <c r="P166" s="58"/>
    </row>
    <row r="167" spans="1:16" ht="14.25" thickBot="1" x14ac:dyDescent="0.2">
      <c r="A167" s="3" t="s">
        <v>11</v>
      </c>
      <c r="B167" s="23">
        <f>SUM(B141:B166)</f>
        <v>0</v>
      </c>
      <c r="C167" s="4">
        <f>SUM(C141:C166)</f>
        <v>11</v>
      </c>
      <c r="D167" s="4">
        <f>SUM(D141:D166)</f>
        <v>23</v>
      </c>
      <c r="E167" s="6">
        <f>SUM(E141:E166)</f>
        <v>17</v>
      </c>
      <c r="F167" s="32">
        <f>SUM(F141:F166)</f>
        <v>5</v>
      </c>
      <c r="G167" s="5">
        <f>SUM(B167:F167)</f>
        <v>56</v>
      </c>
      <c r="H167" s="56"/>
      <c r="I167" s="3" t="s">
        <v>11</v>
      </c>
      <c r="J167" s="23">
        <f>SUM(J141:J166)</f>
        <v>20</v>
      </c>
      <c r="K167" s="4">
        <f>SUM(K141:K166)</f>
        <v>15</v>
      </c>
      <c r="L167" s="4">
        <f>SUM(L141:L166)</f>
        <v>20</v>
      </c>
      <c r="M167" s="6">
        <f>SUM(M141:M166)</f>
        <v>10</v>
      </c>
      <c r="N167" s="32">
        <f>SUM(N141:N166)</f>
        <v>15</v>
      </c>
      <c r="O167" s="5">
        <f>SUM(J167:N167)</f>
        <v>80</v>
      </c>
    </row>
    <row r="168" spans="1:16" ht="14.25" thickBot="1" x14ac:dyDescent="0.2">
      <c r="A168" s="25" t="s">
        <v>12</v>
      </c>
      <c r="B168" s="63">
        <f>B140-B167</f>
        <v>14</v>
      </c>
      <c r="C168" s="26">
        <f t="shared" ref="C168:G168" si="31">C140-C167</f>
        <v>11</v>
      </c>
      <c r="D168" s="71">
        <f t="shared" si="31"/>
        <v>8</v>
      </c>
      <c r="E168" s="26">
        <f t="shared" si="31"/>
        <v>9</v>
      </c>
      <c r="F168" s="70">
        <f t="shared" si="31"/>
        <v>7</v>
      </c>
      <c r="G168" s="27">
        <f t="shared" si="31"/>
        <v>49</v>
      </c>
      <c r="H168" s="56"/>
      <c r="I168" s="25" t="s">
        <v>12</v>
      </c>
      <c r="J168" s="63">
        <f>J140-J167</f>
        <v>130</v>
      </c>
      <c r="K168" s="26">
        <f t="shared" ref="K168:O168" si="32">K140-K167</f>
        <v>144</v>
      </c>
      <c r="L168" s="71">
        <f t="shared" si="32"/>
        <v>199</v>
      </c>
      <c r="M168" s="26">
        <f t="shared" si="32"/>
        <v>213</v>
      </c>
      <c r="N168" s="70">
        <f t="shared" si="32"/>
        <v>163</v>
      </c>
      <c r="O168" s="27">
        <f t="shared" si="32"/>
        <v>849</v>
      </c>
    </row>
    <row r="169" spans="1:16" ht="21" x14ac:dyDescent="0.2">
      <c r="A169" s="83" t="s">
        <v>415</v>
      </c>
      <c r="B169" s="77"/>
      <c r="C169" s="77"/>
      <c r="D169" s="77"/>
      <c r="E169" s="77"/>
      <c r="F169" s="77"/>
      <c r="G169" s="77"/>
      <c r="H169" s="56"/>
      <c r="I169" s="83" t="s">
        <v>415</v>
      </c>
      <c r="J169" s="77"/>
      <c r="K169" s="77"/>
      <c r="L169" s="77"/>
      <c r="M169" s="77"/>
      <c r="N169" s="77"/>
      <c r="O169" s="77"/>
    </row>
    <row r="170" spans="1:16" ht="21.75" thickBot="1" x14ac:dyDescent="0.25">
      <c r="A170" s="83" t="s">
        <v>47</v>
      </c>
      <c r="B170" s="77"/>
      <c r="C170" s="77"/>
      <c r="D170" s="77"/>
      <c r="E170" s="84"/>
      <c r="F170" s="78" t="s">
        <v>53</v>
      </c>
      <c r="G170" s="77"/>
      <c r="H170" s="56"/>
      <c r="I170" s="83" t="s">
        <v>47</v>
      </c>
      <c r="J170" s="77"/>
      <c r="K170" s="77"/>
      <c r="L170" s="77"/>
      <c r="M170" s="84"/>
      <c r="N170" s="78" t="s">
        <v>54</v>
      </c>
      <c r="O170" s="77"/>
    </row>
    <row r="171" spans="1:16" ht="14.25" thickBot="1" x14ac:dyDescent="0.2">
      <c r="A171" s="13" t="s">
        <v>0</v>
      </c>
      <c r="B171" s="228" t="s">
        <v>49</v>
      </c>
      <c r="C171" s="229"/>
      <c r="D171" s="229"/>
      <c r="E171" s="229"/>
      <c r="F171" s="230"/>
      <c r="G171" s="231"/>
      <c r="H171" s="56"/>
      <c r="I171" s="13" t="s">
        <v>0</v>
      </c>
      <c r="J171" s="228" t="s">
        <v>49</v>
      </c>
      <c r="K171" s="229"/>
      <c r="L171" s="229"/>
      <c r="M171" s="229"/>
      <c r="N171" s="230"/>
      <c r="O171" s="231"/>
    </row>
    <row r="172" spans="1:16" ht="14.25" thickBot="1" x14ac:dyDescent="0.2">
      <c r="A172" s="3" t="s">
        <v>1</v>
      </c>
      <c r="B172" s="2" t="s">
        <v>42</v>
      </c>
      <c r="C172" s="21" t="s">
        <v>43</v>
      </c>
      <c r="D172" s="21" t="s">
        <v>44</v>
      </c>
      <c r="E172" s="24" t="s">
        <v>45</v>
      </c>
      <c r="F172" s="33" t="s">
        <v>46</v>
      </c>
      <c r="G172" s="34" t="s">
        <v>2</v>
      </c>
      <c r="H172" s="56"/>
      <c r="I172" s="3" t="s">
        <v>1</v>
      </c>
      <c r="J172" s="2" t="s">
        <v>42</v>
      </c>
      <c r="K172" s="21" t="s">
        <v>43</v>
      </c>
      <c r="L172" s="21" t="s">
        <v>44</v>
      </c>
      <c r="M172" s="24" t="s">
        <v>45</v>
      </c>
      <c r="N172" s="33" t="s">
        <v>46</v>
      </c>
      <c r="O172" s="3" t="s">
        <v>2</v>
      </c>
    </row>
    <row r="173" spans="1:16" ht="14.25" thickBot="1" x14ac:dyDescent="0.2">
      <c r="A173" s="72" t="s">
        <v>527</v>
      </c>
      <c r="B173" s="73">
        <f>B168</f>
        <v>14</v>
      </c>
      <c r="C173" s="73">
        <f t="shared" ref="C173:F173" si="33">C168</f>
        <v>11</v>
      </c>
      <c r="D173" s="73">
        <f t="shared" si="33"/>
        <v>8</v>
      </c>
      <c r="E173" s="73">
        <f t="shared" si="33"/>
        <v>9</v>
      </c>
      <c r="F173" s="73">
        <f t="shared" si="33"/>
        <v>7</v>
      </c>
      <c r="G173" s="76">
        <f t="shared" ref="G173:G200" si="34">SUM(B173:F173)</f>
        <v>49</v>
      </c>
      <c r="H173" s="56"/>
      <c r="I173" s="96" t="s">
        <v>12</v>
      </c>
      <c r="J173" s="95">
        <f>J168</f>
        <v>130</v>
      </c>
      <c r="K173" s="97">
        <f t="shared" ref="K173:N173" si="35">K168</f>
        <v>144</v>
      </c>
      <c r="L173" s="97">
        <f t="shared" si="35"/>
        <v>199</v>
      </c>
      <c r="M173" s="97">
        <f t="shared" si="35"/>
        <v>213</v>
      </c>
      <c r="N173" s="54">
        <f t="shared" si="35"/>
        <v>163</v>
      </c>
      <c r="O173" s="52">
        <f t="shared" ref="O173:O208" si="36">SUM(J173:N173)</f>
        <v>849</v>
      </c>
    </row>
    <row r="174" spans="1:16" x14ac:dyDescent="0.15">
      <c r="A174" s="38" t="s">
        <v>19</v>
      </c>
      <c r="B174" s="37"/>
      <c r="C174" s="35">
        <v>2</v>
      </c>
      <c r="D174" s="35"/>
      <c r="E174" s="35">
        <v>3</v>
      </c>
      <c r="F174" s="28">
        <v>1</v>
      </c>
      <c r="G174" s="7">
        <f t="shared" si="34"/>
        <v>6</v>
      </c>
      <c r="H174" s="58">
        <v>43157</v>
      </c>
      <c r="I174" s="15" t="s">
        <v>3</v>
      </c>
      <c r="J174" s="37"/>
      <c r="K174" s="35"/>
      <c r="L174" s="35"/>
      <c r="M174" s="35"/>
      <c r="N174" s="28"/>
      <c r="O174" s="7">
        <f t="shared" si="36"/>
        <v>0</v>
      </c>
    </row>
    <row r="175" spans="1:16" x14ac:dyDescent="0.15">
      <c r="A175" s="15" t="s">
        <v>3</v>
      </c>
      <c r="B175" s="8"/>
      <c r="C175" s="10">
        <v>10</v>
      </c>
      <c r="D175" s="10"/>
      <c r="E175" s="10"/>
      <c r="F175" s="28"/>
      <c r="G175" s="9">
        <f t="shared" si="34"/>
        <v>10</v>
      </c>
      <c r="H175" s="58">
        <v>43161</v>
      </c>
      <c r="I175" s="15" t="s">
        <v>4</v>
      </c>
      <c r="J175" s="8"/>
      <c r="K175" s="10"/>
      <c r="L175" s="10"/>
      <c r="M175" s="10"/>
      <c r="N175" s="28"/>
      <c r="O175" s="9">
        <f t="shared" si="36"/>
        <v>0</v>
      </c>
    </row>
    <row r="176" spans="1:16" x14ac:dyDescent="0.15">
      <c r="A176" s="15" t="s">
        <v>4</v>
      </c>
      <c r="B176" s="8"/>
      <c r="C176" s="10"/>
      <c r="D176" s="10">
        <v>15</v>
      </c>
      <c r="E176" s="10"/>
      <c r="F176" s="28">
        <v>5</v>
      </c>
      <c r="G176" s="9">
        <f t="shared" si="34"/>
        <v>20</v>
      </c>
      <c r="H176" s="58">
        <v>43165</v>
      </c>
      <c r="I176" s="15" t="s">
        <v>5</v>
      </c>
      <c r="J176" s="8"/>
      <c r="K176" s="10"/>
      <c r="L176" s="10"/>
      <c r="M176" s="10"/>
      <c r="N176" s="28"/>
      <c r="O176" s="9">
        <f t="shared" si="36"/>
        <v>0</v>
      </c>
    </row>
    <row r="177" spans="1:16" x14ac:dyDescent="0.15">
      <c r="A177" s="15" t="s">
        <v>17</v>
      </c>
      <c r="B177" s="8"/>
      <c r="C177" s="10">
        <v>1</v>
      </c>
      <c r="D177" s="10"/>
      <c r="E177" s="10"/>
      <c r="F177" s="28"/>
      <c r="G177" s="9">
        <f t="shared" si="34"/>
        <v>1</v>
      </c>
      <c r="H177" s="58">
        <v>43167</v>
      </c>
      <c r="I177" s="15" t="s">
        <v>6</v>
      </c>
      <c r="J177" s="8"/>
      <c r="K177" s="10"/>
      <c r="L177" s="10"/>
      <c r="M177" s="10"/>
      <c r="N177" s="28"/>
      <c r="O177" s="9">
        <f t="shared" si="36"/>
        <v>0</v>
      </c>
    </row>
    <row r="178" spans="1:16" x14ac:dyDescent="0.15">
      <c r="A178" s="15" t="s">
        <v>6</v>
      </c>
      <c r="B178" s="11">
        <v>5</v>
      </c>
      <c r="C178" s="12">
        <v>5</v>
      </c>
      <c r="D178" s="12">
        <v>5</v>
      </c>
      <c r="E178" s="12"/>
      <c r="F178" s="31"/>
      <c r="G178" s="7">
        <f t="shared" si="34"/>
        <v>15</v>
      </c>
      <c r="H178" s="58">
        <v>43173</v>
      </c>
      <c r="I178" s="15" t="s">
        <v>84</v>
      </c>
      <c r="J178" s="11"/>
      <c r="K178" s="12"/>
      <c r="L178" s="12"/>
      <c r="M178" s="12"/>
      <c r="N178" s="31"/>
      <c r="O178" s="7">
        <f t="shared" si="36"/>
        <v>0</v>
      </c>
    </row>
    <row r="179" spans="1:16" x14ac:dyDescent="0.15">
      <c r="A179" s="38" t="s">
        <v>19</v>
      </c>
      <c r="B179" s="8">
        <v>2</v>
      </c>
      <c r="C179" s="10">
        <v>2</v>
      </c>
      <c r="D179" s="10"/>
      <c r="E179" s="10"/>
      <c r="F179" s="30">
        <v>2</v>
      </c>
      <c r="G179" s="7">
        <f t="shared" si="34"/>
        <v>6</v>
      </c>
      <c r="H179" s="58">
        <v>43174</v>
      </c>
      <c r="I179" s="15" t="s">
        <v>85</v>
      </c>
      <c r="J179" s="8"/>
      <c r="K179" s="10"/>
      <c r="L179" s="10"/>
      <c r="M179" s="10"/>
      <c r="N179" s="30"/>
      <c r="O179" s="7">
        <f t="shared" si="36"/>
        <v>0</v>
      </c>
    </row>
    <row r="180" spans="1:16" x14ac:dyDescent="0.15">
      <c r="A180" s="15" t="s">
        <v>85</v>
      </c>
      <c r="B180" s="8">
        <v>5</v>
      </c>
      <c r="C180" s="10">
        <v>5</v>
      </c>
      <c r="D180" s="10"/>
      <c r="E180" s="10"/>
      <c r="F180" s="30"/>
      <c r="G180" s="7">
        <f t="shared" si="34"/>
        <v>10</v>
      </c>
      <c r="H180" s="58">
        <v>43179</v>
      </c>
      <c r="I180" s="16" t="s">
        <v>88</v>
      </c>
      <c r="J180" s="8"/>
      <c r="K180" s="10"/>
      <c r="L180" s="10"/>
      <c r="M180" s="10"/>
      <c r="N180" s="30"/>
      <c r="O180" s="7">
        <f t="shared" si="36"/>
        <v>0</v>
      </c>
    </row>
    <row r="181" spans="1:16" ht="14.25" thickBot="1" x14ac:dyDescent="0.2">
      <c r="A181" s="15" t="s">
        <v>86</v>
      </c>
      <c r="B181" s="11"/>
      <c r="C181" s="100"/>
      <c r="D181" s="100">
        <v>5</v>
      </c>
      <c r="E181" s="100"/>
      <c r="F181" s="101">
        <v>10</v>
      </c>
      <c r="G181" s="102">
        <f t="shared" si="34"/>
        <v>15</v>
      </c>
      <c r="H181" s="58">
        <v>43181</v>
      </c>
      <c r="I181" s="15" t="s">
        <v>87</v>
      </c>
      <c r="J181" s="11"/>
      <c r="K181" s="100"/>
      <c r="L181" s="100"/>
      <c r="M181" s="100"/>
      <c r="N181" s="101"/>
      <c r="O181" s="102">
        <f t="shared" si="36"/>
        <v>0</v>
      </c>
    </row>
    <row r="182" spans="1:16" ht="14.25" thickBot="1" x14ac:dyDescent="0.2">
      <c r="A182" s="72" t="s">
        <v>7</v>
      </c>
      <c r="B182" s="73">
        <f>SUM(B173:B181)</f>
        <v>26</v>
      </c>
      <c r="C182" s="74">
        <f t="shared" ref="C182:F182" si="37">SUM(C173:C181)</f>
        <v>36</v>
      </c>
      <c r="D182" s="74">
        <f t="shared" si="37"/>
        <v>33</v>
      </c>
      <c r="E182" s="74">
        <f t="shared" si="37"/>
        <v>12</v>
      </c>
      <c r="F182" s="105">
        <f t="shared" si="37"/>
        <v>25</v>
      </c>
      <c r="G182" s="76">
        <f t="shared" si="34"/>
        <v>132</v>
      </c>
      <c r="H182" s="56"/>
      <c r="I182" s="72" t="s">
        <v>7</v>
      </c>
      <c r="J182" s="73">
        <f>SUM(J173:J181)</f>
        <v>130</v>
      </c>
      <c r="K182" s="74">
        <f t="shared" ref="K182:N182" si="38">SUM(K173:K181)</f>
        <v>144</v>
      </c>
      <c r="L182" s="74">
        <f t="shared" si="38"/>
        <v>199</v>
      </c>
      <c r="M182" s="74">
        <f t="shared" si="38"/>
        <v>213</v>
      </c>
      <c r="N182" s="105">
        <f t="shared" si="38"/>
        <v>163</v>
      </c>
      <c r="O182" s="76">
        <f t="shared" si="36"/>
        <v>849</v>
      </c>
    </row>
    <row r="183" spans="1:16" x14ac:dyDescent="0.15">
      <c r="A183" s="16" t="s">
        <v>22</v>
      </c>
      <c r="B183" s="37"/>
      <c r="C183" s="35"/>
      <c r="D183" s="35">
        <v>10</v>
      </c>
      <c r="E183" s="35"/>
      <c r="F183" s="28"/>
      <c r="G183" s="18">
        <f t="shared" si="34"/>
        <v>10</v>
      </c>
      <c r="H183" s="58">
        <v>43168</v>
      </c>
      <c r="I183" s="16" t="s">
        <v>637</v>
      </c>
      <c r="J183" s="17"/>
      <c r="K183" s="22">
        <v>10</v>
      </c>
      <c r="L183" s="22"/>
      <c r="M183" s="22"/>
      <c r="N183" s="29"/>
      <c r="O183" s="18">
        <f t="shared" si="36"/>
        <v>10</v>
      </c>
      <c r="P183" s="58">
        <v>43161</v>
      </c>
    </row>
    <row r="184" spans="1:16" x14ac:dyDescent="0.15">
      <c r="A184" s="50" t="s">
        <v>638</v>
      </c>
      <c r="B184" s="8"/>
      <c r="C184" s="10">
        <v>1</v>
      </c>
      <c r="D184" s="10"/>
      <c r="E184" s="10"/>
      <c r="F184" s="30"/>
      <c r="G184" s="7">
        <f t="shared" si="34"/>
        <v>1</v>
      </c>
      <c r="H184" s="58">
        <v>43162</v>
      </c>
      <c r="I184" s="16" t="s">
        <v>24</v>
      </c>
      <c r="J184" s="8"/>
      <c r="K184" s="10"/>
      <c r="L184" s="10">
        <v>15</v>
      </c>
      <c r="M184" s="10"/>
      <c r="N184" s="30">
        <v>5</v>
      </c>
      <c r="O184" s="7">
        <f t="shared" si="36"/>
        <v>20</v>
      </c>
      <c r="P184" s="58">
        <v>43165</v>
      </c>
    </row>
    <row r="185" spans="1:16" x14ac:dyDescent="0.15">
      <c r="A185" s="16" t="s">
        <v>25</v>
      </c>
      <c r="B185" s="8"/>
      <c r="C185" s="10"/>
      <c r="D185" s="10">
        <v>3</v>
      </c>
      <c r="E185" s="10">
        <v>1</v>
      </c>
      <c r="F185" s="30"/>
      <c r="G185" s="7">
        <f t="shared" si="34"/>
        <v>4</v>
      </c>
      <c r="H185" s="58">
        <v>43165</v>
      </c>
      <c r="I185" s="16" t="s">
        <v>24</v>
      </c>
      <c r="J185" s="8">
        <v>5</v>
      </c>
      <c r="K185" s="10">
        <v>5</v>
      </c>
      <c r="L185" s="10">
        <v>5</v>
      </c>
      <c r="M185" s="10"/>
      <c r="N185" s="30"/>
      <c r="O185" s="7">
        <f t="shared" si="36"/>
        <v>15</v>
      </c>
      <c r="P185" s="58">
        <v>43173</v>
      </c>
    </row>
    <row r="186" spans="1:16" x14ac:dyDescent="0.15">
      <c r="A186" s="14" t="s">
        <v>639</v>
      </c>
      <c r="B186" s="8">
        <v>2</v>
      </c>
      <c r="C186" s="10">
        <v>2</v>
      </c>
      <c r="D186" s="10"/>
      <c r="E186" s="10"/>
      <c r="F186" s="30">
        <v>5</v>
      </c>
      <c r="G186" s="7">
        <f t="shared" si="34"/>
        <v>9</v>
      </c>
      <c r="H186" s="58">
        <v>43167</v>
      </c>
      <c r="I186" s="16" t="s">
        <v>24</v>
      </c>
      <c r="J186" s="8">
        <v>5</v>
      </c>
      <c r="K186" s="10">
        <v>5</v>
      </c>
      <c r="L186" s="10"/>
      <c r="M186" s="10"/>
      <c r="N186" s="30"/>
      <c r="O186" s="7">
        <f t="shared" si="36"/>
        <v>10</v>
      </c>
      <c r="P186" s="58">
        <v>43179</v>
      </c>
    </row>
    <row r="187" spans="1:16" x14ac:dyDescent="0.15">
      <c r="A187" s="16" t="s">
        <v>22</v>
      </c>
      <c r="B187" s="37"/>
      <c r="C187" s="35">
        <v>10</v>
      </c>
      <c r="D187" s="35"/>
      <c r="E187" s="35"/>
      <c r="F187" s="28">
        <v>10</v>
      </c>
      <c r="G187" s="7">
        <f t="shared" si="34"/>
        <v>20</v>
      </c>
      <c r="H187" s="58">
        <v>43172</v>
      </c>
      <c r="I187" s="16" t="s">
        <v>24</v>
      </c>
      <c r="J187" s="8"/>
      <c r="K187" s="10"/>
      <c r="L187" s="10">
        <v>5</v>
      </c>
      <c r="M187" s="10"/>
      <c r="N187" s="30">
        <v>10</v>
      </c>
      <c r="O187" s="7">
        <f t="shared" si="36"/>
        <v>15</v>
      </c>
      <c r="P187" s="58">
        <v>43181</v>
      </c>
    </row>
    <row r="188" spans="1:16" x14ac:dyDescent="0.15">
      <c r="A188" s="16" t="s">
        <v>25</v>
      </c>
      <c r="B188" s="8"/>
      <c r="C188" s="10">
        <v>1</v>
      </c>
      <c r="D188" s="10">
        <v>1</v>
      </c>
      <c r="E188" s="10">
        <v>1</v>
      </c>
      <c r="F188" s="30"/>
      <c r="G188" s="7">
        <f t="shared" si="34"/>
        <v>3</v>
      </c>
      <c r="H188" s="58">
        <v>43168</v>
      </c>
      <c r="I188" s="16" t="s">
        <v>24</v>
      </c>
      <c r="J188" s="8"/>
      <c r="K188" s="10"/>
      <c r="L188" s="10"/>
      <c r="M188" s="10"/>
      <c r="N188" s="30">
        <v>15</v>
      </c>
      <c r="O188" s="7">
        <f t="shared" si="36"/>
        <v>15</v>
      </c>
      <c r="P188" s="58">
        <v>43187</v>
      </c>
    </row>
    <row r="189" spans="1:16" x14ac:dyDescent="0.15">
      <c r="A189" s="14" t="s">
        <v>643</v>
      </c>
      <c r="B189" s="8">
        <v>1</v>
      </c>
      <c r="C189" s="10">
        <v>1</v>
      </c>
      <c r="D189" s="10"/>
      <c r="E189" s="10"/>
      <c r="F189" s="30"/>
      <c r="G189" s="7">
        <f t="shared" si="34"/>
        <v>2</v>
      </c>
      <c r="H189" s="58">
        <v>43169</v>
      </c>
      <c r="I189" s="16" t="s">
        <v>24</v>
      </c>
      <c r="J189" s="8"/>
      <c r="K189" s="10">
        <v>10</v>
      </c>
      <c r="L189" s="10"/>
      <c r="M189" s="10"/>
      <c r="N189" s="30"/>
      <c r="O189" s="7">
        <f t="shared" si="36"/>
        <v>10</v>
      </c>
      <c r="P189" s="58">
        <v>43188</v>
      </c>
    </row>
    <row r="190" spans="1:16" x14ac:dyDescent="0.15">
      <c r="A190" s="16" t="s">
        <v>25</v>
      </c>
      <c r="B190" s="8">
        <v>4</v>
      </c>
      <c r="C190" s="10">
        <v>4</v>
      </c>
      <c r="D190" s="10">
        <v>4</v>
      </c>
      <c r="E190" s="10">
        <v>1</v>
      </c>
      <c r="F190" s="30"/>
      <c r="G190" s="7">
        <f t="shared" si="34"/>
        <v>13</v>
      </c>
      <c r="H190" s="58">
        <v>43172</v>
      </c>
      <c r="I190" s="16" t="s">
        <v>24</v>
      </c>
      <c r="J190" s="8"/>
      <c r="K190" s="10"/>
      <c r="L190" s="10">
        <v>5</v>
      </c>
      <c r="M190" s="10">
        <v>5</v>
      </c>
      <c r="N190" s="30"/>
      <c r="O190" s="7">
        <f t="shared" si="36"/>
        <v>10</v>
      </c>
      <c r="P190" s="58">
        <v>43189</v>
      </c>
    </row>
    <row r="191" spans="1:16" x14ac:dyDescent="0.15">
      <c r="A191" s="14" t="s">
        <v>645</v>
      </c>
      <c r="B191" s="8"/>
      <c r="C191" s="10"/>
      <c r="D191" s="10">
        <v>2</v>
      </c>
      <c r="E191" s="10">
        <v>1</v>
      </c>
      <c r="F191" s="30"/>
      <c r="G191" s="7">
        <f t="shared" si="34"/>
        <v>3</v>
      </c>
      <c r="H191" s="58">
        <v>43174</v>
      </c>
      <c r="I191" s="16"/>
      <c r="J191" s="8"/>
      <c r="K191" s="10"/>
      <c r="L191" s="10"/>
      <c r="M191" s="10"/>
      <c r="N191" s="30"/>
      <c r="O191" s="7">
        <f t="shared" si="36"/>
        <v>0</v>
      </c>
    </row>
    <row r="192" spans="1:16" x14ac:dyDescent="0.15">
      <c r="A192" s="14" t="s">
        <v>648</v>
      </c>
      <c r="B192" s="11">
        <v>1</v>
      </c>
      <c r="C192" s="12">
        <v>1</v>
      </c>
      <c r="D192" s="12">
        <v>1</v>
      </c>
      <c r="E192" s="12"/>
      <c r="F192" s="31">
        <v>1</v>
      </c>
      <c r="G192" s="7">
        <f t="shared" si="34"/>
        <v>4</v>
      </c>
      <c r="H192" s="58">
        <v>43178</v>
      </c>
      <c r="I192" s="16"/>
      <c r="J192" s="11"/>
      <c r="K192" s="12"/>
      <c r="L192" s="12"/>
      <c r="M192" s="12"/>
      <c r="N192" s="31"/>
      <c r="O192" s="7">
        <f t="shared" si="36"/>
        <v>0</v>
      </c>
    </row>
    <row r="193" spans="1:16" x14ac:dyDescent="0.15">
      <c r="A193" s="16" t="s">
        <v>25</v>
      </c>
      <c r="B193" s="8"/>
      <c r="C193" s="10">
        <v>2</v>
      </c>
      <c r="D193" s="10"/>
      <c r="E193" s="10"/>
      <c r="F193" s="30"/>
      <c r="G193" s="7">
        <f t="shared" si="34"/>
        <v>2</v>
      </c>
      <c r="H193" s="58">
        <v>43176</v>
      </c>
      <c r="I193" s="16"/>
      <c r="J193" s="8"/>
      <c r="K193" s="10"/>
      <c r="L193" s="10"/>
      <c r="M193" s="10"/>
      <c r="N193" s="30"/>
      <c r="O193" s="7">
        <f t="shared" si="36"/>
        <v>0</v>
      </c>
    </row>
    <row r="194" spans="1:16" x14ac:dyDescent="0.15">
      <c r="A194" s="14" t="s">
        <v>653</v>
      </c>
      <c r="B194" s="8"/>
      <c r="C194" s="10">
        <v>2</v>
      </c>
      <c r="D194" s="10">
        <v>3</v>
      </c>
      <c r="E194" s="10">
        <v>1</v>
      </c>
      <c r="F194" s="30">
        <v>1</v>
      </c>
      <c r="G194" s="7">
        <f t="shared" si="34"/>
        <v>7</v>
      </c>
      <c r="H194" s="58">
        <v>43181</v>
      </c>
      <c r="I194" s="14"/>
      <c r="J194" s="8"/>
      <c r="K194" s="10"/>
      <c r="L194" s="10"/>
      <c r="M194" s="10"/>
      <c r="N194" s="30"/>
      <c r="O194" s="7">
        <f t="shared" si="36"/>
        <v>0</v>
      </c>
    </row>
    <row r="195" spans="1:16" x14ac:dyDescent="0.15">
      <c r="A195" s="16" t="s">
        <v>656</v>
      </c>
      <c r="B195" s="8">
        <v>2</v>
      </c>
      <c r="C195" s="10"/>
      <c r="D195" s="10"/>
      <c r="E195" s="10"/>
      <c r="F195" s="30"/>
      <c r="G195" s="7">
        <f t="shared" si="34"/>
        <v>2</v>
      </c>
      <c r="H195" s="58">
        <v>43185</v>
      </c>
      <c r="I195" s="16"/>
      <c r="J195" s="8"/>
      <c r="K195" s="10"/>
      <c r="L195" s="10"/>
      <c r="M195" s="10"/>
      <c r="N195" s="30"/>
      <c r="O195" s="7">
        <f t="shared" si="36"/>
        <v>0</v>
      </c>
    </row>
    <row r="196" spans="1:16" x14ac:dyDescent="0.15">
      <c r="A196" s="16" t="s">
        <v>22</v>
      </c>
      <c r="B196" s="8"/>
      <c r="C196" s="10"/>
      <c r="D196" s="10"/>
      <c r="E196" s="10"/>
      <c r="F196" s="30">
        <v>10</v>
      </c>
      <c r="G196" s="7">
        <f t="shared" si="34"/>
        <v>10</v>
      </c>
      <c r="H196" s="58">
        <v>43185</v>
      </c>
      <c r="I196" s="16"/>
      <c r="J196" s="8"/>
      <c r="K196" s="10"/>
      <c r="L196" s="10"/>
      <c r="M196" s="10"/>
      <c r="N196" s="30"/>
      <c r="O196" s="7">
        <f t="shared" si="36"/>
        <v>0</v>
      </c>
    </row>
    <row r="197" spans="1:16" x14ac:dyDescent="0.15">
      <c r="A197" s="16" t="s">
        <v>25</v>
      </c>
      <c r="B197" s="8"/>
      <c r="C197" s="10">
        <v>1</v>
      </c>
      <c r="D197" s="10">
        <v>1</v>
      </c>
      <c r="E197" s="10">
        <v>1</v>
      </c>
      <c r="F197" s="30">
        <v>1</v>
      </c>
      <c r="G197" s="7">
        <f t="shared" si="34"/>
        <v>4</v>
      </c>
      <c r="H197" s="58">
        <v>43186</v>
      </c>
      <c r="I197" s="16"/>
      <c r="J197" s="8"/>
      <c r="K197" s="10"/>
      <c r="L197" s="10"/>
      <c r="M197" s="10"/>
      <c r="N197" s="30"/>
      <c r="O197" s="7">
        <f t="shared" si="36"/>
        <v>0</v>
      </c>
    </row>
    <row r="198" spans="1:16" x14ac:dyDescent="0.15">
      <c r="A198" s="14" t="s">
        <v>661</v>
      </c>
      <c r="B198" s="8">
        <v>2</v>
      </c>
      <c r="C198" s="10"/>
      <c r="D198" s="10"/>
      <c r="E198" s="10"/>
      <c r="F198" s="30">
        <v>1</v>
      </c>
      <c r="G198" s="7">
        <f t="shared" si="34"/>
        <v>3</v>
      </c>
      <c r="H198" s="58">
        <v>43188</v>
      </c>
      <c r="I198" s="16"/>
      <c r="J198" s="8"/>
      <c r="K198" s="10"/>
      <c r="L198" s="10"/>
      <c r="M198" s="10"/>
      <c r="N198" s="30"/>
      <c r="O198" s="7">
        <f t="shared" si="36"/>
        <v>0</v>
      </c>
    </row>
    <row r="199" spans="1:16" x14ac:dyDescent="0.15">
      <c r="A199" s="16" t="s">
        <v>662</v>
      </c>
      <c r="B199" s="8"/>
      <c r="C199" s="10"/>
      <c r="D199" s="10"/>
      <c r="E199" s="10"/>
      <c r="F199" s="30">
        <v>-15</v>
      </c>
      <c r="G199" s="7">
        <f t="shared" si="34"/>
        <v>-15</v>
      </c>
      <c r="H199" s="58">
        <v>43187</v>
      </c>
      <c r="I199" s="14"/>
      <c r="J199" s="8"/>
      <c r="K199" s="10"/>
      <c r="L199" s="10"/>
      <c r="M199" s="10"/>
      <c r="N199" s="30"/>
      <c r="O199" s="7">
        <f t="shared" si="36"/>
        <v>0</v>
      </c>
    </row>
    <row r="200" spans="1:16" x14ac:dyDescent="0.15">
      <c r="A200" s="16" t="s">
        <v>175</v>
      </c>
      <c r="B200" s="8"/>
      <c r="C200" s="10">
        <v>-1</v>
      </c>
      <c r="D200" s="10">
        <v>-2</v>
      </c>
      <c r="E200" s="10"/>
      <c r="F200" s="30"/>
      <c r="G200" s="7">
        <f t="shared" si="34"/>
        <v>-3</v>
      </c>
      <c r="H200" s="58">
        <v>43186</v>
      </c>
      <c r="I200" s="16"/>
      <c r="J200" s="8"/>
      <c r="K200" s="10"/>
      <c r="L200" s="10"/>
      <c r="M200" s="10"/>
      <c r="N200" s="30"/>
      <c r="O200" s="7">
        <f t="shared" si="36"/>
        <v>0</v>
      </c>
    </row>
    <row r="201" spans="1:16" x14ac:dyDescent="0.15">
      <c r="A201" s="16" t="s">
        <v>669</v>
      </c>
      <c r="B201" s="8"/>
      <c r="C201" s="10">
        <v>10</v>
      </c>
      <c r="D201" s="10"/>
      <c r="E201" s="10"/>
      <c r="F201" s="30"/>
      <c r="G201" s="7">
        <f>SUM(B201:F201)</f>
        <v>10</v>
      </c>
      <c r="H201" s="58">
        <v>43193</v>
      </c>
      <c r="I201" s="14"/>
      <c r="J201" s="8"/>
      <c r="K201" s="10"/>
      <c r="L201" s="10"/>
      <c r="M201" s="10"/>
      <c r="N201" s="30"/>
      <c r="O201" s="7">
        <f t="shared" si="36"/>
        <v>0</v>
      </c>
    </row>
    <row r="202" spans="1:16" x14ac:dyDescent="0.15">
      <c r="A202" s="16" t="s">
        <v>28</v>
      </c>
      <c r="B202" s="8"/>
      <c r="C202" s="10">
        <v>-10</v>
      </c>
      <c r="D202" s="10"/>
      <c r="E202" s="10"/>
      <c r="F202" s="30"/>
      <c r="G202" s="7">
        <f>SUM(B202:F202)</f>
        <v>-10</v>
      </c>
      <c r="H202" s="58">
        <v>43188</v>
      </c>
      <c r="I202" s="14"/>
      <c r="J202" s="8"/>
      <c r="K202" s="10"/>
      <c r="L202" s="10"/>
      <c r="M202" s="10"/>
      <c r="N202" s="30"/>
      <c r="O202" s="7">
        <f t="shared" si="36"/>
        <v>0</v>
      </c>
    </row>
    <row r="203" spans="1:16" x14ac:dyDescent="0.15">
      <c r="A203" s="16" t="s">
        <v>25</v>
      </c>
      <c r="B203" s="8">
        <v>1</v>
      </c>
      <c r="C203" s="10"/>
      <c r="D203" s="10">
        <v>3</v>
      </c>
      <c r="E203" s="10">
        <v>5</v>
      </c>
      <c r="F203" s="30">
        <v>1</v>
      </c>
      <c r="G203" s="7">
        <f t="shared" ref="G203:G208" si="39">SUM(B203:F203)</f>
        <v>10</v>
      </c>
      <c r="H203" s="58">
        <v>43189</v>
      </c>
      <c r="I203" s="14"/>
      <c r="J203" s="8"/>
      <c r="K203" s="10"/>
      <c r="L203" s="10"/>
      <c r="M203" s="10"/>
      <c r="N203" s="30"/>
      <c r="O203" s="7">
        <f t="shared" si="36"/>
        <v>0</v>
      </c>
      <c r="P203" s="36"/>
    </row>
    <row r="204" spans="1:16" x14ac:dyDescent="0.15">
      <c r="A204" s="16" t="s">
        <v>28</v>
      </c>
      <c r="B204" s="11"/>
      <c r="C204" s="12"/>
      <c r="D204" s="12">
        <v>-5</v>
      </c>
      <c r="E204" s="12">
        <v>-5</v>
      </c>
      <c r="F204" s="31"/>
      <c r="G204" s="7">
        <f t="shared" si="39"/>
        <v>-10</v>
      </c>
      <c r="H204" s="58">
        <v>43189</v>
      </c>
      <c r="I204" s="14"/>
      <c r="J204" s="8"/>
      <c r="K204" s="10"/>
      <c r="L204" s="10"/>
      <c r="M204" s="10"/>
      <c r="N204" s="30"/>
      <c r="O204" s="7">
        <f t="shared" si="36"/>
        <v>0</v>
      </c>
      <c r="P204" s="58"/>
    </row>
    <row r="205" spans="1:16" x14ac:dyDescent="0.15">
      <c r="A205" s="14" t="s">
        <v>667</v>
      </c>
      <c r="B205" s="8">
        <v>1</v>
      </c>
      <c r="C205" s="10">
        <v>3</v>
      </c>
      <c r="D205" s="10">
        <v>1</v>
      </c>
      <c r="E205" s="10"/>
      <c r="F205" s="30">
        <v>1</v>
      </c>
      <c r="G205" s="7">
        <f t="shared" si="39"/>
        <v>6</v>
      </c>
      <c r="H205" s="58">
        <v>43192</v>
      </c>
      <c r="I205" s="20"/>
      <c r="J205" s="8"/>
      <c r="K205" s="10"/>
      <c r="L205" s="10"/>
      <c r="M205" s="10"/>
      <c r="N205" s="30"/>
      <c r="O205" s="7">
        <f t="shared" si="36"/>
        <v>0</v>
      </c>
      <c r="P205" s="58"/>
    </row>
    <row r="206" spans="1:16" x14ac:dyDescent="0.15">
      <c r="A206" s="16" t="s">
        <v>671</v>
      </c>
      <c r="B206" s="37">
        <v>-1</v>
      </c>
      <c r="C206" s="35"/>
      <c r="D206" s="35">
        <v>-3</v>
      </c>
      <c r="E206" s="35"/>
      <c r="F206" s="28"/>
      <c r="G206" s="7">
        <f t="shared" si="39"/>
        <v>-4</v>
      </c>
      <c r="H206" s="58">
        <v>43190</v>
      </c>
      <c r="I206" s="20"/>
      <c r="J206" s="8"/>
      <c r="K206" s="10"/>
      <c r="L206" s="10"/>
      <c r="M206" s="10"/>
      <c r="N206" s="30"/>
      <c r="O206" s="7">
        <f t="shared" si="36"/>
        <v>0</v>
      </c>
      <c r="P206" s="36"/>
    </row>
    <row r="207" spans="1:16" x14ac:dyDescent="0.15">
      <c r="A207" s="16" t="s">
        <v>25</v>
      </c>
      <c r="B207" s="8">
        <v>2</v>
      </c>
      <c r="C207" s="10">
        <v>2</v>
      </c>
      <c r="D207" s="10">
        <v>5</v>
      </c>
      <c r="E207" s="10">
        <v>2</v>
      </c>
      <c r="F207" s="30"/>
      <c r="G207" s="9">
        <f t="shared" si="39"/>
        <v>11</v>
      </c>
      <c r="H207" s="58">
        <v>43193</v>
      </c>
      <c r="I207" s="14"/>
      <c r="J207" s="8"/>
      <c r="K207" s="10"/>
      <c r="L207" s="10"/>
      <c r="M207" s="10"/>
      <c r="N207" s="30"/>
      <c r="O207" s="7">
        <f t="shared" si="36"/>
        <v>0</v>
      </c>
      <c r="P207" s="58"/>
    </row>
    <row r="208" spans="1:16" ht="14.25" thickBot="1" x14ac:dyDescent="0.2">
      <c r="A208" s="16" t="s">
        <v>110</v>
      </c>
      <c r="B208" s="37"/>
      <c r="C208" s="35"/>
      <c r="D208" s="35"/>
      <c r="E208" s="35"/>
      <c r="F208" s="28">
        <v>3</v>
      </c>
      <c r="G208" s="115">
        <f t="shared" si="39"/>
        <v>3</v>
      </c>
      <c r="H208" s="58">
        <v>43199</v>
      </c>
      <c r="I208" s="20"/>
      <c r="J208" s="11"/>
      <c r="K208" s="12"/>
      <c r="L208" s="12"/>
      <c r="M208" s="12"/>
      <c r="N208" s="31"/>
      <c r="O208" s="7">
        <f t="shared" si="36"/>
        <v>0</v>
      </c>
      <c r="P208" s="58"/>
    </row>
    <row r="209" spans="1:15" ht="14.25" thickBot="1" x14ac:dyDescent="0.2">
      <c r="A209" s="3" t="s">
        <v>11</v>
      </c>
      <c r="B209" s="23">
        <f>SUM(B183:B208)</f>
        <v>15</v>
      </c>
      <c r="C209" s="4">
        <f>SUM(C183:C208)</f>
        <v>29</v>
      </c>
      <c r="D209" s="4">
        <f>SUM(D183:D208)</f>
        <v>24</v>
      </c>
      <c r="E209" s="6">
        <f>SUM(E183:E208)</f>
        <v>8</v>
      </c>
      <c r="F209" s="32">
        <f>SUM(F183:F208)</f>
        <v>19</v>
      </c>
      <c r="G209" s="5">
        <f>SUM(B209:F209)</f>
        <v>95</v>
      </c>
      <c r="H209" s="56"/>
      <c r="I209" s="3" t="s">
        <v>11</v>
      </c>
      <c r="J209" s="23">
        <f>SUM(J183:J208)</f>
        <v>10</v>
      </c>
      <c r="K209" s="4">
        <f>SUM(K183:K208)</f>
        <v>30</v>
      </c>
      <c r="L209" s="4">
        <f>SUM(L183:L208)</f>
        <v>30</v>
      </c>
      <c r="M209" s="6">
        <f>SUM(M183:M208)</f>
        <v>5</v>
      </c>
      <c r="N209" s="32">
        <f>SUM(N183:N208)</f>
        <v>30</v>
      </c>
      <c r="O209" s="5">
        <f>SUM(J209:N209)</f>
        <v>105</v>
      </c>
    </row>
    <row r="210" spans="1:15" ht="14.25" thickBot="1" x14ac:dyDescent="0.2">
      <c r="A210" s="25" t="s">
        <v>12</v>
      </c>
      <c r="B210" s="63">
        <f>B182-B209</f>
        <v>11</v>
      </c>
      <c r="C210" s="26">
        <f t="shared" ref="C210:G210" si="40">C182-C209</f>
        <v>7</v>
      </c>
      <c r="D210" s="71">
        <f t="shared" si="40"/>
        <v>9</v>
      </c>
      <c r="E210" s="26">
        <f t="shared" si="40"/>
        <v>4</v>
      </c>
      <c r="F210" s="70">
        <f t="shared" si="40"/>
        <v>6</v>
      </c>
      <c r="G210" s="27">
        <f t="shared" si="40"/>
        <v>37</v>
      </c>
      <c r="H210" s="56"/>
      <c r="I210" s="25" t="s">
        <v>12</v>
      </c>
      <c r="J210" s="63">
        <f>J182-J209</f>
        <v>120</v>
      </c>
      <c r="K210" s="26">
        <f t="shared" ref="K210:O210" si="41">K182-K209</f>
        <v>114</v>
      </c>
      <c r="L210" s="71">
        <f t="shared" si="41"/>
        <v>169</v>
      </c>
      <c r="M210" s="26">
        <f t="shared" si="41"/>
        <v>208</v>
      </c>
      <c r="N210" s="70">
        <f t="shared" si="41"/>
        <v>133</v>
      </c>
      <c r="O210" s="27">
        <f t="shared" si="41"/>
        <v>744</v>
      </c>
    </row>
    <row r="211" spans="1:15" ht="21" x14ac:dyDescent="0.2">
      <c r="A211" s="83" t="s">
        <v>415</v>
      </c>
      <c r="B211" s="77"/>
      <c r="C211" s="77"/>
      <c r="D211" s="77"/>
      <c r="E211" s="77"/>
      <c r="F211" s="77"/>
      <c r="G211" s="77"/>
      <c r="H211" s="56"/>
      <c r="I211" s="83" t="s">
        <v>415</v>
      </c>
      <c r="J211" s="77"/>
      <c r="K211" s="77"/>
      <c r="L211" s="77"/>
      <c r="M211" s="77"/>
      <c r="N211" s="77"/>
      <c r="O211" s="77"/>
    </row>
    <row r="212" spans="1:15" ht="21.75" thickBot="1" x14ac:dyDescent="0.25">
      <c r="A212" s="83" t="s">
        <v>47</v>
      </c>
      <c r="B212" s="77"/>
      <c r="C212" s="77"/>
      <c r="D212" s="77"/>
      <c r="E212" s="84"/>
      <c r="F212" s="78" t="s">
        <v>53</v>
      </c>
      <c r="G212" s="77"/>
      <c r="H212" s="56"/>
      <c r="I212" s="83" t="s">
        <v>47</v>
      </c>
      <c r="J212" s="77"/>
      <c r="K212" s="77"/>
      <c r="L212" s="77"/>
      <c r="M212" s="84"/>
      <c r="N212" s="78" t="s">
        <v>54</v>
      </c>
      <c r="O212" s="77"/>
    </row>
    <row r="213" spans="1:15" ht="14.25" thickBot="1" x14ac:dyDescent="0.2">
      <c r="A213" s="13" t="s">
        <v>0</v>
      </c>
      <c r="B213" s="228" t="s">
        <v>49</v>
      </c>
      <c r="C213" s="229"/>
      <c r="D213" s="229"/>
      <c r="E213" s="229"/>
      <c r="F213" s="230"/>
      <c r="G213" s="231"/>
      <c r="H213" s="56"/>
      <c r="I213" s="13" t="s">
        <v>0</v>
      </c>
      <c r="J213" s="228" t="s">
        <v>49</v>
      </c>
      <c r="K213" s="229"/>
      <c r="L213" s="229"/>
      <c r="M213" s="229"/>
      <c r="N213" s="230"/>
      <c r="O213" s="231"/>
    </row>
    <row r="214" spans="1:15" ht="14.25" thickBot="1" x14ac:dyDescent="0.2">
      <c r="A214" s="3" t="s">
        <v>1</v>
      </c>
      <c r="B214" s="2" t="s">
        <v>42</v>
      </c>
      <c r="C214" s="21" t="s">
        <v>43</v>
      </c>
      <c r="D214" s="21" t="s">
        <v>44</v>
      </c>
      <c r="E214" s="24" t="s">
        <v>45</v>
      </c>
      <c r="F214" s="33" t="s">
        <v>46</v>
      </c>
      <c r="G214" s="34" t="s">
        <v>2</v>
      </c>
      <c r="H214" s="56"/>
      <c r="I214" s="3" t="s">
        <v>1</v>
      </c>
      <c r="J214" s="2" t="s">
        <v>42</v>
      </c>
      <c r="K214" s="21" t="s">
        <v>43</v>
      </c>
      <c r="L214" s="21" t="s">
        <v>44</v>
      </c>
      <c r="M214" s="24" t="s">
        <v>45</v>
      </c>
      <c r="N214" s="33" t="s">
        <v>46</v>
      </c>
      <c r="O214" s="3" t="s">
        <v>2</v>
      </c>
    </row>
    <row r="215" spans="1:15" ht="14.25" thickBot="1" x14ac:dyDescent="0.2">
      <c r="A215" s="72" t="s">
        <v>527</v>
      </c>
      <c r="B215" s="73">
        <f>B210</f>
        <v>11</v>
      </c>
      <c r="C215" s="73">
        <f t="shared" ref="C215:F215" si="42">C210</f>
        <v>7</v>
      </c>
      <c r="D215" s="73">
        <f t="shared" si="42"/>
        <v>9</v>
      </c>
      <c r="E215" s="73">
        <f t="shared" si="42"/>
        <v>4</v>
      </c>
      <c r="F215" s="73">
        <f t="shared" si="42"/>
        <v>6</v>
      </c>
      <c r="G215" s="76">
        <f t="shared" ref="G215:G242" si="43">SUM(B215:F215)</f>
        <v>37</v>
      </c>
      <c r="H215" s="56"/>
      <c r="I215" s="96" t="s">
        <v>12</v>
      </c>
      <c r="J215" s="95">
        <f>J210</f>
        <v>120</v>
      </c>
      <c r="K215" s="97">
        <f t="shared" ref="K215:N215" si="44">K210</f>
        <v>114</v>
      </c>
      <c r="L215" s="97">
        <f t="shared" si="44"/>
        <v>169</v>
      </c>
      <c r="M215" s="97">
        <f t="shared" si="44"/>
        <v>208</v>
      </c>
      <c r="N215" s="54">
        <f t="shared" si="44"/>
        <v>133</v>
      </c>
      <c r="O215" s="52">
        <f t="shared" ref="O215:O250" si="45">SUM(J215:N215)</f>
        <v>744</v>
      </c>
    </row>
    <row r="216" spans="1:15" x14ac:dyDescent="0.15">
      <c r="A216" s="15" t="s">
        <v>14</v>
      </c>
      <c r="B216" s="37"/>
      <c r="C216" s="35"/>
      <c r="D216" s="35"/>
      <c r="E216" s="35">
        <v>10</v>
      </c>
      <c r="F216" s="28"/>
      <c r="G216" s="7">
        <f t="shared" si="43"/>
        <v>10</v>
      </c>
      <c r="H216" s="58">
        <v>43196</v>
      </c>
      <c r="I216" s="15" t="s">
        <v>3</v>
      </c>
      <c r="J216" s="37"/>
      <c r="K216" s="35"/>
      <c r="L216" s="35"/>
      <c r="M216" s="35"/>
      <c r="N216" s="28"/>
      <c r="O216" s="7">
        <f t="shared" si="45"/>
        <v>0</v>
      </c>
    </row>
    <row r="217" spans="1:15" x14ac:dyDescent="0.15">
      <c r="A217" s="15" t="s">
        <v>3</v>
      </c>
      <c r="B217" s="8"/>
      <c r="C217" s="10">
        <v>5</v>
      </c>
      <c r="D217" s="10">
        <v>10</v>
      </c>
      <c r="E217" s="10">
        <v>5</v>
      </c>
      <c r="F217" s="28"/>
      <c r="G217" s="9">
        <f t="shared" si="43"/>
        <v>20</v>
      </c>
      <c r="H217" s="58">
        <v>43199</v>
      </c>
      <c r="I217" s="15" t="s">
        <v>4</v>
      </c>
      <c r="J217" s="8"/>
      <c r="K217" s="10"/>
      <c r="L217" s="10"/>
      <c r="M217" s="10"/>
      <c r="N217" s="28"/>
      <c r="O217" s="9">
        <f t="shared" si="45"/>
        <v>0</v>
      </c>
    </row>
    <row r="218" spans="1:15" x14ac:dyDescent="0.15">
      <c r="A218" s="15" t="s">
        <v>17</v>
      </c>
      <c r="B218" s="8"/>
      <c r="C218" s="10">
        <v>1</v>
      </c>
      <c r="D218" s="10"/>
      <c r="E218" s="10"/>
      <c r="F218" s="28"/>
      <c r="G218" s="9">
        <f t="shared" si="43"/>
        <v>1</v>
      </c>
      <c r="H218" s="58">
        <v>43197</v>
      </c>
      <c r="I218" s="15" t="s">
        <v>5</v>
      </c>
      <c r="J218" s="8"/>
      <c r="K218" s="10"/>
      <c r="L218" s="10"/>
      <c r="M218" s="10"/>
      <c r="N218" s="28"/>
      <c r="O218" s="9">
        <f t="shared" si="45"/>
        <v>0</v>
      </c>
    </row>
    <row r="219" spans="1:15" x14ac:dyDescent="0.15">
      <c r="A219" s="15" t="s">
        <v>5</v>
      </c>
      <c r="B219" s="8"/>
      <c r="C219" s="10">
        <v>5</v>
      </c>
      <c r="D219" s="10">
        <v>15</v>
      </c>
      <c r="E219" s="10">
        <v>10</v>
      </c>
      <c r="F219" s="28">
        <v>5</v>
      </c>
      <c r="G219" s="9">
        <f t="shared" si="43"/>
        <v>35</v>
      </c>
      <c r="H219" s="58">
        <v>43201</v>
      </c>
      <c r="I219" s="15" t="s">
        <v>6</v>
      </c>
      <c r="J219" s="8"/>
      <c r="K219" s="10"/>
      <c r="L219" s="10"/>
      <c r="M219" s="10"/>
      <c r="N219" s="28"/>
      <c r="O219" s="9">
        <f t="shared" si="45"/>
        <v>0</v>
      </c>
    </row>
    <row r="220" spans="1:15" x14ac:dyDescent="0.15">
      <c r="A220" s="15" t="s">
        <v>6</v>
      </c>
      <c r="B220" s="11">
        <v>5</v>
      </c>
      <c r="C220" s="12">
        <v>5</v>
      </c>
      <c r="D220" s="12">
        <v>10</v>
      </c>
      <c r="E220" s="12">
        <v>5</v>
      </c>
      <c r="F220" s="31">
        <v>10</v>
      </c>
      <c r="G220" s="7">
        <f t="shared" si="43"/>
        <v>35</v>
      </c>
      <c r="H220" s="58">
        <v>43206</v>
      </c>
      <c r="I220" s="15" t="s">
        <v>84</v>
      </c>
      <c r="J220" s="11"/>
      <c r="K220" s="12"/>
      <c r="L220" s="12"/>
      <c r="M220" s="12"/>
      <c r="N220" s="31"/>
      <c r="O220" s="7">
        <f t="shared" si="45"/>
        <v>0</v>
      </c>
    </row>
    <row r="221" spans="1:15" x14ac:dyDescent="0.15">
      <c r="A221" s="15" t="s">
        <v>17</v>
      </c>
      <c r="B221" s="8">
        <v>2</v>
      </c>
      <c r="C221" s="10"/>
      <c r="D221" s="10">
        <v>2</v>
      </c>
      <c r="E221" s="10">
        <v>3</v>
      </c>
      <c r="F221" s="30"/>
      <c r="G221" s="7">
        <f t="shared" si="43"/>
        <v>7</v>
      </c>
      <c r="H221" s="58">
        <v>43208</v>
      </c>
      <c r="I221" s="15" t="s">
        <v>85</v>
      </c>
      <c r="J221" s="8"/>
      <c r="K221" s="10"/>
      <c r="L221" s="10"/>
      <c r="M221" s="10"/>
      <c r="N221" s="30"/>
      <c r="O221" s="7">
        <f t="shared" si="45"/>
        <v>0</v>
      </c>
    </row>
    <row r="222" spans="1:15" x14ac:dyDescent="0.15">
      <c r="A222" s="15" t="s">
        <v>85</v>
      </c>
      <c r="B222" s="8"/>
      <c r="C222" s="10"/>
      <c r="D222" s="10">
        <v>10</v>
      </c>
      <c r="E222" s="10">
        <v>10</v>
      </c>
      <c r="F222" s="30">
        <v>10</v>
      </c>
      <c r="G222" s="7">
        <f t="shared" si="43"/>
        <v>30</v>
      </c>
      <c r="H222" s="58">
        <v>43209</v>
      </c>
      <c r="I222" s="16" t="s">
        <v>88</v>
      </c>
      <c r="J222" s="8"/>
      <c r="K222" s="10"/>
      <c r="L222" s="10"/>
      <c r="M222" s="10"/>
      <c r="N222" s="30"/>
      <c r="O222" s="7">
        <f t="shared" si="45"/>
        <v>0</v>
      </c>
    </row>
    <row r="223" spans="1:15" ht="14.25" thickBot="1" x14ac:dyDescent="0.2">
      <c r="A223" s="15" t="s">
        <v>86</v>
      </c>
      <c r="B223" s="11"/>
      <c r="C223" s="100">
        <v>30</v>
      </c>
      <c r="D223" s="100"/>
      <c r="E223" s="100">
        <v>5</v>
      </c>
      <c r="F223" s="101"/>
      <c r="G223" s="102">
        <f t="shared" si="43"/>
        <v>35</v>
      </c>
      <c r="H223" s="58">
        <v>43213</v>
      </c>
      <c r="I223" s="15" t="s">
        <v>87</v>
      </c>
      <c r="J223" s="11"/>
      <c r="K223" s="100"/>
      <c r="L223" s="100"/>
      <c r="M223" s="100"/>
      <c r="N223" s="101"/>
      <c r="O223" s="102">
        <f t="shared" si="45"/>
        <v>0</v>
      </c>
    </row>
    <row r="224" spans="1:15" ht="14.25" thickBot="1" x14ac:dyDescent="0.2">
      <c r="A224" s="72" t="s">
        <v>7</v>
      </c>
      <c r="B224" s="73">
        <f>SUM(B215:B223)</f>
        <v>18</v>
      </c>
      <c r="C224" s="74">
        <f t="shared" ref="C224:F224" si="46">SUM(C215:C223)</f>
        <v>53</v>
      </c>
      <c r="D224" s="74">
        <f t="shared" si="46"/>
        <v>56</v>
      </c>
      <c r="E224" s="74">
        <f t="shared" si="46"/>
        <v>52</v>
      </c>
      <c r="F224" s="105">
        <f t="shared" si="46"/>
        <v>31</v>
      </c>
      <c r="G224" s="76">
        <f t="shared" si="43"/>
        <v>210</v>
      </c>
      <c r="H224" s="56"/>
      <c r="I224" s="72" t="s">
        <v>7</v>
      </c>
      <c r="J224" s="73">
        <f>SUM(J215:J223)</f>
        <v>120</v>
      </c>
      <c r="K224" s="74">
        <f t="shared" ref="K224:N224" si="47">SUM(K215:K223)</f>
        <v>114</v>
      </c>
      <c r="L224" s="74">
        <f t="shared" si="47"/>
        <v>169</v>
      </c>
      <c r="M224" s="74">
        <f t="shared" si="47"/>
        <v>208</v>
      </c>
      <c r="N224" s="105">
        <f t="shared" si="47"/>
        <v>133</v>
      </c>
      <c r="O224" s="76">
        <f t="shared" si="45"/>
        <v>744</v>
      </c>
    </row>
    <row r="225" spans="1:16" x14ac:dyDescent="0.15">
      <c r="A225" s="14" t="s">
        <v>672</v>
      </c>
      <c r="B225" s="37">
        <v>1</v>
      </c>
      <c r="C225" s="35">
        <v>1</v>
      </c>
      <c r="D225" s="35"/>
      <c r="E225" s="35">
        <v>1</v>
      </c>
      <c r="F225" s="28">
        <v>1</v>
      </c>
      <c r="G225" s="18">
        <f t="shared" si="43"/>
        <v>4</v>
      </c>
      <c r="H225" s="58">
        <v>43196</v>
      </c>
      <c r="I225" s="16" t="s">
        <v>24</v>
      </c>
      <c r="J225" s="37"/>
      <c r="K225" s="35"/>
      <c r="L225" s="35"/>
      <c r="M225" s="35">
        <v>10</v>
      </c>
      <c r="N225" s="28"/>
      <c r="O225" s="7">
        <f t="shared" si="45"/>
        <v>10</v>
      </c>
      <c r="P225" s="58">
        <v>43196</v>
      </c>
    </row>
    <row r="226" spans="1:16" x14ac:dyDescent="0.15">
      <c r="A226" s="50" t="s">
        <v>675</v>
      </c>
      <c r="B226" s="8"/>
      <c r="C226" s="10"/>
      <c r="D226" s="10">
        <v>10</v>
      </c>
      <c r="E226" s="10">
        <v>10</v>
      </c>
      <c r="F226" s="30"/>
      <c r="G226" s="7">
        <f t="shared" si="43"/>
        <v>20</v>
      </c>
      <c r="H226" s="58">
        <v>43201</v>
      </c>
      <c r="I226" s="16" t="s">
        <v>24</v>
      </c>
      <c r="J226" s="8"/>
      <c r="K226" s="10">
        <v>5</v>
      </c>
      <c r="L226" s="10">
        <v>10</v>
      </c>
      <c r="M226" s="10">
        <v>5</v>
      </c>
      <c r="N226" s="30"/>
      <c r="O226" s="7">
        <f t="shared" si="45"/>
        <v>20</v>
      </c>
      <c r="P226" s="58">
        <v>43199</v>
      </c>
    </row>
    <row r="227" spans="1:16" x14ac:dyDescent="0.15">
      <c r="A227" s="16" t="s">
        <v>25</v>
      </c>
      <c r="B227" s="8"/>
      <c r="C227" s="10">
        <v>1</v>
      </c>
      <c r="D227" s="10">
        <v>3</v>
      </c>
      <c r="E227" s="10">
        <v>3</v>
      </c>
      <c r="F227" s="30"/>
      <c r="G227" s="7">
        <f t="shared" si="43"/>
        <v>7</v>
      </c>
      <c r="H227" s="58">
        <v>43195</v>
      </c>
      <c r="I227" s="16" t="s">
        <v>24</v>
      </c>
      <c r="J227" s="8"/>
      <c r="K227" s="10">
        <v>5</v>
      </c>
      <c r="L227" s="10">
        <v>15</v>
      </c>
      <c r="M227" s="10">
        <v>10</v>
      </c>
      <c r="N227" s="30">
        <v>5</v>
      </c>
      <c r="O227" s="7">
        <f t="shared" si="45"/>
        <v>35</v>
      </c>
      <c r="P227" s="58">
        <v>43201</v>
      </c>
    </row>
    <row r="228" spans="1:16" x14ac:dyDescent="0.15">
      <c r="A228" s="16" t="s">
        <v>25</v>
      </c>
      <c r="B228" s="8"/>
      <c r="C228" s="10">
        <v>3</v>
      </c>
      <c r="D228" s="10">
        <v>6</v>
      </c>
      <c r="E228" s="10">
        <v>5</v>
      </c>
      <c r="F228" s="30">
        <v>2</v>
      </c>
      <c r="G228" s="7">
        <f t="shared" si="43"/>
        <v>16</v>
      </c>
      <c r="H228" s="58">
        <v>43200</v>
      </c>
      <c r="I228" s="16" t="s">
        <v>24</v>
      </c>
      <c r="J228" s="8">
        <v>5</v>
      </c>
      <c r="K228" s="10">
        <v>5</v>
      </c>
      <c r="L228" s="10">
        <v>10</v>
      </c>
      <c r="M228" s="10">
        <v>5</v>
      </c>
      <c r="N228" s="30">
        <v>10</v>
      </c>
      <c r="O228" s="7">
        <f t="shared" si="45"/>
        <v>35</v>
      </c>
      <c r="P228" s="58">
        <v>43206</v>
      </c>
    </row>
    <row r="229" spans="1:16" x14ac:dyDescent="0.15">
      <c r="A229" s="16" t="s">
        <v>25</v>
      </c>
      <c r="B229" s="8"/>
      <c r="C229" s="10">
        <v>2</v>
      </c>
      <c r="D229" s="10"/>
      <c r="E229" s="10"/>
      <c r="F229" s="30">
        <v>5</v>
      </c>
      <c r="G229" s="7">
        <f t="shared" si="43"/>
        <v>7</v>
      </c>
      <c r="H229" s="58">
        <v>43202</v>
      </c>
      <c r="I229" s="16" t="s">
        <v>24</v>
      </c>
      <c r="J229" s="8"/>
      <c r="K229" s="10"/>
      <c r="L229" s="10">
        <v>10</v>
      </c>
      <c r="M229" s="10">
        <v>10</v>
      </c>
      <c r="N229" s="30">
        <v>10</v>
      </c>
      <c r="O229" s="7">
        <f t="shared" si="45"/>
        <v>30</v>
      </c>
      <c r="P229" s="58">
        <v>43209</v>
      </c>
    </row>
    <row r="230" spans="1:16" x14ac:dyDescent="0.15">
      <c r="A230" s="16" t="s">
        <v>25</v>
      </c>
      <c r="B230" s="8"/>
      <c r="C230" s="10">
        <v>1</v>
      </c>
      <c r="D230" s="10"/>
      <c r="E230" s="10"/>
      <c r="F230" s="30">
        <v>1</v>
      </c>
      <c r="G230" s="7">
        <f t="shared" si="43"/>
        <v>2</v>
      </c>
      <c r="H230" s="58">
        <v>43204</v>
      </c>
      <c r="I230" s="16" t="s">
        <v>24</v>
      </c>
      <c r="J230" s="8"/>
      <c r="K230" s="10">
        <v>30</v>
      </c>
      <c r="L230" s="10"/>
      <c r="M230" s="10">
        <v>5</v>
      </c>
      <c r="N230" s="30"/>
      <c r="O230" s="7">
        <f t="shared" si="45"/>
        <v>35</v>
      </c>
      <c r="P230" s="58">
        <v>43213</v>
      </c>
    </row>
    <row r="231" spans="1:16" x14ac:dyDescent="0.15">
      <c r="A231" s="50" t="s">
        <v>22</v>
      </c>
      <c r="B231" s="8"/>
      <c r="C231" s="10"/>
      <c r="D231" s="10">
        <v>10</v>
      </c>
      <c r="E231" s="10"/>
      <c r="F231" s="30"/>
      <c r="G231" s="7">
        <f t="shared" si="43"/>
        <v>10</v>
      </c>
      <c r="H231" s="58">
        <v>43209</v>
      </c>
      <c r="I231" s="16" t="s">
        <v>24</v>
      </c>
      <c r="J231" s="8">
        <v>10</v>
      </c>
      <c r="K231" s="10"/>
      <c r="L231" s="10"/>
      <c r="M231" s="10"/>
      <c r="N231" s="30">
        <v>10</v>
      </c>
      <c r="O231" s="7">
        <f t="shared" si="45"/>
        <v>20</v>
      </c>
      <c r="P231" s="58">
        <v>43229</v>
      </c>
    </row>
    <row r="232" spans="1:16" x14ac:dyDescent="0.15">
      <c r="A232" s="16" t="s">
        <v>25</v>
      </c>
      <c r="B232" s="8">
        <v>1</v>
      </c>
      <c r="C232" s="10">
        <v>1</v>
      </c>
      <c r="D232" s="10"/>
      <c r="E232" s="10">
        <v>3</v>
      </c>
      <c r="F232" s="30">
        <v>1</v>
      </c>
      <c r="G232" s="7">
        <f t="shared" si="43"/>
        <v>6</v>
      </c>
      <c r="H232" s="58">
        <v>43207</v>
      </c>
      <c r="I232" s="16"/>
      <c r="J232" s="8"/>
      <c r="K232" s="10"/>
      <c r="L232" s="10"/>
      <c r="M232" s="10"/>
      <c r="N232" s="30"/>
      <c r="O232" s="7">
        <f t="shared" si="45"/>
        <v>0</v>
      </c>
      <c r="P232" s="56"/>
    </row>
    <row r="233" spans="1:16" x14ac:dyDescent="0.15">
      <c r="A233" s="16" t="s">
        <v>110</v>
      </c>
      <c r="B233" s="8"/>
      <c r="C233" s="10"/>
      <c r="D233" s="10"/>
      <c r="E233" s="10">
        <v>6</v>
      </c>
      <c r="F233" s="30"/>
      <c r="G233" s="7">
        <f t="shared" si="43"/>
        <v>6</v>
      </c>
      <c r="H233" s="58">
        <v>43213</v>
      </c>
      <c r="I233" s="16"/>
      <c r="J233" s="8"/>
      <c r="K233" s="10"/>
      <c r="L233" s="10"/>
      <c r="M233" s="10"/>
      <c r="N233" s="30"/>
      <c r="O233" s="7">
        <f t="shared" si="45"/>
        <v>0</v>
      </c>
    </row>
    <row r="234" spans="1:16" x14ac:dyDescent="0.15">
      <c r="A234" s="50" t="s">
        <v>22</v>
      </c>
      <c r="B234" s="11"/>
      <c r="C234" s="12"/>
      <c r="D234" s="12">
        <v>10</v>
      </c>
      <c r="E234" s="12">
        <v>10</v>
      </c>
      <c r="F234" s="31">
        <v>10</v>
      </c>
      <c r="G234" s="7">
        <f t="shared" si="43"/>
        <v>30</v>
      </c>
      <c r="H234" s="58">
        <v>43213</v>
      </c>
      <c r="I234" s="16"/>
      <c r="J234" s="11"/>
      <c r="K234" s="12"/>
      <c r="L234" s="12"/>
      <c r="M234" s="12"/>
      <c r="N234" s="31"/>
      <c r="O234" s="7">
        <f t="shared" si="45"/>
        <v>0</v>
      </c>
    </row>
    <row r="235" spans="1:16" x14ac:dyDescent="0.15">
      <c r="A235" s="16" t="s">
        <v>25</v>
      </c>
      <c r="B235" s="8">
        <v>1</v>
      </c>
      <c r="C235" s="10">
        <v>5</v>
      </c>
      <c r="D235" s="10">
        <v>4</v>
      </c>
      <c r="E235" s="10">
        <v>1</v>
      </c>
      <c r="F235" s="30"/>
      <c r="G235" s="7">
        <f t="shared" si="43"/>
        <v>11</v>
      </c>
      <c r="H235" s="58">
        <v>43209</v>
      </c>
      <c r="I235" s="16"/>
      <c r="J235" s="8"/>
      <c r="K235" s="10"/>
      <c r="L235" s="10"/>
      <c r="M235" s="10"/>
      <c r="N235" s="30"/>
      <c r="O235" s="7">
        <f t="shared" si="45"/>
        <v>0</v>
      </c>
    </row>
    <row r="236" spans="1:16" x14ac:dyDescent="0.15">
      <c r="A236" s="16" t="s">
        <v>25</v>
      </c>
      <c r="B236" s="8"/>
      <c r="C236" s="10">
        <v>5</v>
      </c>
      <c r="D236" s="10">
        <v>3</v>
      </c>
      <c r="E236" s="10"/>
      <c r="F236" s="30">
        <v>1</v>
      </c>
      <c r="G236" s="7">
        <f t="shared" si="43"/>
        <v>9</v>
      </c>
      <c r="H236" s="58">
        <v>43211</v>
      </c>
      <c r="I236" s="14"/>
      <c r="J236" s="8"/>
      <c r="K236" s="10"/>
      <c r="L236" s="10"/>
      <c r="M236" s="10"/>
      <c r="N236" s="30"/>
      <c r="O236" s="7">
        <f t="shared" si="45"/>
        <v>0</v>
      </c>
    </row>
    <row r="237" spans="1:16" x14ac:dyDescent="0.15">
      <c r="A237" s="16" t="s">
        <v>692</v>
      </c>
      <c r="B237" s="8"/>
      <c r="C237" s="10">
        <v>1</v>
      </c>
      <c r="D237" s="10"/>
      <c r="E237" s="10">
        <v>1</v>
      </c>
      <c r="F237" s="30"/>
      <c r="G237" s="7">
        <f t="shared" si="43"/>
        <v>2</v>
      </c>
      <c r="H237" s="58">
        <v>43210</v>
      </c>
      <c r="I237" s="16"/>
      <c r="J237" s="8"/>
      <c r="K237" s="10"/>
      <c r="L237" s="10"/>
      <c r="M237" s="10"/>
      <c r="N237" s="30"/>
      <c r="O237" s="7">
        <f t="shared" si="45"/>
        <v>0</v>
      </c>
    </row>
    <row r="238" spans="1:16" x14ac:dyDescent="0.15">
      <c r="A238" s="50" t="s">
        <v>22</v>
      </c>
      <c r="B238" s="8"/>
      <c r="C238" s="10">
        <v>20</v>
      </c>
      <c r="D238" s="10"/>
      <c r="E238" s="10"/>
      <c r="F238" s="30"/>
      <c r="G238" s="7">
        <f t="shared" si="43"/>
        <v>20</v>
      </c>
      <c r="H238" s="58">
        <v>43216</v>
      </c>
      <c r="I238" s="16"/>
      <c r="J238" s="8"/>
      <c r="K238" s="10"/>
      <c r="L238" s="10"/>
      <c r="M238" s="10"/>
      <c r="N238" s="30"/>
      <c r="O238" s="7">
        <f t="shared" si="45"/>
        <v>0</v>
      </c>
    </row>
    <row r="239" spans="1:16" x14ac:dyDescent="0.15">
      <c r="A239" s="16" t="s">
        <v>25</v>
      </c>
      <c r="B239" s="8"/>
      <c r="C239" s="10"/>
      <c r="D239" s="10"/>
      <c r="E239" s="10">
        <v>1</v>
      </c>
      <c r="F239" s="30">
        <v>1</v>
      </c>
      <c r="G239" s="7">
        <f t="shared" si="43"/>
        <v>2</v>
      </c>
      <c r="H239" s="58">
        <v>43214</v>
      </c>
      <c r="I239" s="16"/>
      <c r="J239" s="8"/>
      <c r="K239" s="10"/>
      <c r="L239" s="10"/>
      <c r="M239" s="10"/>
      <c r="N239" s="30"/>
      <c r="O239" s="7">
        <f t="shared" si="45"/>
        <v>0</v>
      </c>
    </row>
    <row r="240" spans="1:16" x14ac:dyDescent="0.15">
      <c r="A240" s="16" t="s">
        <v>25</v>
      </c>
      <c r="B240" s="8"/>
      <c r="C240" s="10">
        <v>1</v>
      </c>
      <c r="D240" s="10"/>
      <c r="E240" s="10">
        <v>1</v>
      </c>
      <c r="F240" s="30">
        <v>1</v>
      </c>
      <c r="G240" s="7">
        <f t="shared" si="43"/>
        <v>3</v>
      </c>
      <c r="H240" s="58">
        <v>43215</v>
      </c>
      <c r="I240" s="16"/>
      <c r="J240" s="8"/>
      <c r="K240" s="10"/>
      <c r="L240" s="10"/>
      <c r="M240" s="10"/>
      <c r="N240" s="30"/>
      <c r="O240" s="7">
        <f t="shared" si="45"/>
        <v>0</v>
      </c>
    </row>
    <row r="241" spans="1:17" x14ac:dyDescent="0.15">
      <c r="A241" s="16" t="s">
        <v>694</v>
      </c>
      <c r="B241" s="8"/>
      <c r="C241" s="10">
        <v>-2</v>
      </c>
      <c r="D241" s="10">
        <v>-2</v>
      </c>
      <c r="E241" s="10">
        <v>-2</v>
      </c>
      <c r="F241" s="30">
        <v>-1</v>
      </c>
      <c r="G241" s="7">
        <f t="shared" si="43"/>
        <v>-7</v>
      </c>
      <c r="H241" s="58">
        <v>43215</v>
      </c>
      <c r="I241" s="20"/>
      <c r="J241" s="11"/>
      <c r="K241" s="12"/>
      <c r="L241" s="12"/>
      <c r="M241" s="12"/>
      <c r="N241" s="31"/>
      <c r="O241" s="7">
        <f t="shared" si="45"/>
        <v>0</v>
      </c>
      <c r="P241" s="58"/>
    </row>
    <row r="242" spans="1:17" x14ac:dyDescent="0.15">
      <c r="A242" s="16" t="s">
        <v>110</v>
      </c>
      <c r="B242" s="8"/>
      <c r="C242" s="10">
        <v>6</v>
      </c>
      <c r="D242" s="10"/>
      <c r="E242" s="10"/>
      <c r="F242" s="30"/>
      <c r="G242" s="7">
        <f t="shared" si="43"/>
        <v>6</v>
      </c>
      <c r="H242" s="58">
        <v>43229</v>
      </c>
      <c r="I242" s="20"/>
      <c r="J242" s="8"/>
      <c r="K242" s="10"/>
      <c r="L242" s="10"/>
      <c r="M242" s="10"/>
      <c r="N242" s="30"/>
      <c r="O242" s="7">
        <f t="shared" si="45"/>
        <v>0</v>
      </c>
      <c r="P242" s="36"/>
    </row>
    <row r="243" spans="1:17" x14ac:dyDescent="0.15">
      <c r="A243" s="16" t="s">
        <v>25</v>
      </c>
      <c r="B243" s="8"/>
      <c r="C243" s="10">
        <v>1</v>
      </c>
      <c r="D243" s="10"/>
      <c r="E243" s="10">
        <v>1</v>
      </c>
      <c r="F243" s="30"/>
      <c r="G243" s="7">
        <f>SUM(B243:F243)</f>
        <v>2</v>
      </c>
      <c r="H243" s="58">
        <v>43218</v>
      </c>
      <c r="I243" s="14"/>
      <c r="J243" s="8"/>
      <c r="K243" s="10"/>
      <c r="L243" s="10"/>
      <c r="M243" s="10"/>
      <c r="N243" s="30"/>
      <c r="O243" s="7">
        <f t="shared" si="45"/>
        <v>0</v>
      </c>
      <c r="P243" s="58"/>
      <c r="Q243" s="56"/>
    </row>
    <row r="244" spans="1:17" x14ac:dyDescent="0.15">
      <c r="A244" s="16" t="s">
        <v>696</v>
      </c>
      <c r="B244" s="8"/>
      <c r="C244" s="10">
        <v>-1</v>
      </c>
      <c r="D244" s="10"/>
      <c r="E244" s="10"/>
      <c r="F244" s="30"/>
      <c r="G244" s="7">
        <f>SUM(B244:F244)</f>
        <v>-1</v>
      </c>
      <c r="H244" s="58">
        <v>43216</v>
      </c>
      <c r="I244" s="14"/>
      <c r="J244" s="8"/>
      <c r="K244" s="10"/>
      <c r="L244" s="10"/>
      <c r="M244" s="10"/>
      <c r="N244" s="30"/>
      <c r="O244" s="7">
        <f t="shared" si="45"/>
        <v>0</v>
      </c>
      <c r="P244" s="58"/>
      <c r="Q244" s="56"/>
    </row>
    <row r="245" spans="1:17" x14ac:dyDescent="0.15">
      <c r="A245" s="39" t="s">
        <v>697</v>
      </c>
      <c r="B245" s="8"/>
      <c r="C245" s="10">
        <v>1</v>
      </c>
      <c r="D245" s="10"/>
      <c r="E245" s="10"/>
      <c r="F245" s="30"/>
      <c r="G245" s="7">
        <f t="shared" ref="G245:G250" si="48">SUM(B245:F245)</f>
        <v>1</v>
      </c>
      <c r="H245" s="58">
        <v>43216</v>
      </c>
      <c r="I245" s="14"/>
      <c r="J245" s="8"/>
      <c r="K245" s="10"/>
      <c r="L245" s="10"/>
      <c r="M245" s="10"/>
      <c r="N245" s="30"/>
      <c r="O245" s="7">
        <f t="shared" si="45"/>
        <v>0</v>
      </c>
      <c r="P245" s="58"/>
      <c r="Q245" s="56"/>
    </row>
    <row r="246" spans="1:17" x14ac:dyDescent="0.15">
      <c r="A246" s="14" t="s">
        <v>698</v>
      </c>
      <c r="B246" s="11">
        <v>1</v>
      </c>
      <c r="C246" s="12"/>
      <c r="D246" s="12">
        <v>2</v>
      </c>
      <c r="E246" s="12"/>
      <c r="F246" s="31"/>
      <c r="G246" s="7">
        <f t="shared" si="48"/>
        <v>3</v>
      </c>
      <c r="H246" s="58">
        <v>43224</v>
      </c>
      <c r="I246" s="14"/>
      <c r="J246" s="8"/>
      <c r="K246" s="10"/>
      <c r="L246" s="10"/>
      <c r="M246" s="10"/>
      <c r="N246" s="30"/>
      <c r="O246" s="7">
        <f t="shared" si="45"/>
        <v>0</v>
      </c>
      <c r="P246" s="58"/>
      <c r="Q246" s="56"/>
    </row>
    <row r="247" spans="1:17" x14ac:dyDescent="0.15">
      <c r="A247" s="16" t="s">
        <v>25</v>
      </c>
      <c r="B247" s="8"/>
      <c r="C247" s="10"/>
      <c r="D247" s="10">
        <v>1</v>
      </c>
      <c r="E247" s="10"/>
      <c r="F247" s="30"/>
      <c r="G247" s="7">
        <f t="shared" si="48"/>
        <v>1</v>
      </c>
      <c r="H247" s="58">
        <v>43222</v>
      </c>
      <c r="I247" s="14"/>
      <c r="J247" s="8"/>
      <c r="K247" s="10"/>
      <c r="L247" s="10"/>
      <c r="M247" s="10"/>
      <c r="N247" s="30"/>
      <c r="O247" s="7">
        <f t="shared" si="45"/>
        <v>0</v>
      </c>
      <c r="P247" s="56"/>
      <c r="Q247" s="56"/>
    </row>
    <row r="248" spans="1:17" x14ac:dyDescent="0.15">
      <c r="A248" s="16" t="s">
        <v>25</v>
      </c>
      <c r="B248" s="37">
        <v>2</v>
      </c>
      <c r="C248" s="35"/>
      <c r="D248" s="35">
        <v>1</v>
      </c>
      <c r="E248" s="35"/>
      <c r="F248" s="28">
        <v>1</v>
      </c>
      <c r="G248" s="7">
        <f t="shared" si="48"/>
        <v>4</v>
      </c>
      <c r="H248" s="58">
        <v>43228</v>
      </c>
      <c r="I248" s="14"/>
      <c r="J248" s="8"/>
      <c r="K248" s="10"/>
      <c r="L248" s="10"/>
      <c r="M248" s="10"/>
      <c r="N248" s="30"/>
      <c r="O248" s="7">
        <f t="shared" si="45"/>
        <v>0</v>
      </c>
      <c r="P248" s="58"/>
      <c r="Q248" s="56"/>
    </row>
    <row r="249" spans="1:17" x14ac:dyDescent="0.15">
      <c r="A249" s="50" t="s">
        <v>22</v>
      </c>
      <c r="B249" s="8">
        <v>10</v>
      </c>
      <c r="C249" s="10"/>
      <c r="D249" s="10"/>
      <c r="E249" s="10"/>
      <c r="F249" s="30">
        <v>10</v>
      </c>
      <c r="G249" s="9">
        <f t="shared" si="48"/>
        <v>20</v>
      </c>
      <c r="H249" s="58">
        <v>43234</v>
      </c>
      <c r="I249" s="141"/>
      <c r="J249" s="8"/>
      <c r="K249" s="10"/>
      <c r="L249" s="10"/>
      <c r="M249" s="10"/>
      <c r="N249" s="30"/>
      <c r="O249" s="7">
        <f t="shared" si="45"/>
        <v>0</v>
      </c>
      <c r="P249" s="56"/>
      <c r="Q249" s="56"/>
    </row>
    <row r="250" spans="1:17" ht="14.25" thickBot="1" x14ac:dyDescent="0.2">
      <c r="A250" s="16" t="s">
        <v>701</v>
      </c>
      <c r="B250" s="37">
        <v>-10</v>
      </c>
      <c r="C250" s="35"/>
      <c r="D250" s="35"/>
      <c r="E250" s="35"/>
      <c r="F250" s="28">
        <v>-10</v>
      </c>
      <c r="G250" s="7">
        <f t="shared" si="48"/>
        <v>-20</v>
      </c>
      <c r="H250" s="58">
        <v>43229</v>
      </c>
      <c r="I250" s="20"/>
      <c r="J250" s="11"/>
      <c r="K250" s="12"/>
      <c r="L250" s="12"/>
      <c r="M250" s="12"/>
      <c r="N250" s="31"/>
      <c r="O250" s="7">
        <f t="shared" si="45"/>
        <v>0</v>
      </c>
      <c r="P250" s="56"/>
      <c r="Q250" s="56"/>
    </row>
    <row r="251" spans="1:17" ht="14.25" thickBot="1" x14ac:dyDescent="0.2">
      <c r="A251" s="3" t="s">
        <v>11</v>
      </c>
      <c r="B251" s="23">
        <f>SUM(B225:B250)</f>
        <v>6</v>
      </c>
      <c r="C251" s="4">
        <f>SUM(C225:C250)</f>
        <v>46</v>
      </c>
      <c r="D251" s="4">
        <f>SUM(D225:D250)</f>
        <v>48</v>
      </c>
      <c r="E251" s="6">
        <f>SUM(E225:E250)</f>
        <v>41</v>
      </c>
      <c r="F251" s="32">
        <f>SUM(F225:F250)</f>
        <v>23</v>
      </c>
      <c r="G251" s="5">
        <f>SUM(B251:F251)</f>
        <v>164</v>
      </c>
      <c r="H251" s="56"/>
      <c r="I251" s="3" t="s">
        <v>11</v>
      </c>
      <c r="J251" s="23">
        <f>SUM(J225:J250)</f>
        <v>15</v>
      </c>
      <c r="K251" s="4">
        <f>SUM(K225:K250)</f>
        <v>45</v>
      </c>
      <c r="L251" s="4">
        <f>SUM(L225:L250)</f>
        <v>45</v>
      </c>
      <c r="M251" s="6">
        <f>SUM(M225:M250)</f>
        <v>45</v>
      </c>
      <c r="N251" s="32">
        <f>SUM(N225:N250)</f>
        <v>35</v>
      </c>
      <c r="O251" s="5">
        <f>SUM(J251:N251)</f>
        <v>185</v>
      </c>
    </row>
    <row r="252" spans="1:17" ht="14.25" thickBot="1" x14ac:dyDescent="0.2">
      <c r="A252" s="25" t="s">
        <v>12</v>
      </c>
      <c r="B252" s="63">
        <f>B224-B251</f>
        <v>12</v>
      </c>
      <c r="C252" s="26">
        <f t="shared" ref="C252:G252" si="49">C224-C251</f>
        <v>7</v>
      </c>
      <c r="D252" s="71">
        <f t="shared" si="49"/>
        <v>8</v>
      </c>
      <c r="E252" s="26">
        <f t="shared" si="49"/>
        <v>11</v>
      </c>
      <c r="F252" s="70">
        <f t="shared" si="49"/>
        <v>8</v>
      </c>
      <c r="G252" s="27">
        <f t="shared" si="49"/>
        <v>46</v>
      </c>
      <c r="H252" s="56"/>
      <c r="I252" s="25" t="s">
        <v>12</v>
      </c>
      <c r="J252" s="63">
        <f>J224-J251</f>
        <v>105</v>
      </c>
      <c r="K252" s="26">
        <f t="shared" ref="K252:O252" si="50">K224-K251</f>
        <v>69</v>
      </c>
      <c r="L252" s="71">
        <f t="shared" si="50"/>
        <v>124</v>
      </c>
      <c r="M252" s="26">
        <f t="shared" si="50"/>
        <v>163</v>
      </c>
      <c r="N252" s="70">
        <f t="shared" si="50"/>
        <v>98</v>
      </c>
      <c r="O252" s="27">
        <f t="shared" si="50"/>
        <v>559</v>
      </c>
    </row>
    <row r="253" spans="1:17" ht="21" x14ac:dyDescent="0.2">
      <c r="A253" s="83" t="s">
        <v>415</v>
      </c>
      <c r="B253" s="77"/>
      <c r="C253" s="77"/>
      <c r="D253" s="77"/>
      <c r="E253" s="77"/>
      <c r="F253" s="77"/>
      <c r="G253" s="77"/>
      <c r="H253" s="56"/>
      <c r="I253" s="83" t="s">
        <v>415</v>
      </c>
      <c r="J253" s="77"/>
      <c r="K253" s="77"/>
      <c r="L253" s="77"/>
      <c r="M253" s="77"/>
      <c r="N253" s="77"/>
      <c r="O253" s="77"/>
    </row>
    <row r="254" spans="1:17" ht="21.75" thickBot="1" x14ac:dyDescent="0.25">
      <c r="A254" s="83" t="s">
        <v>47</v>
      </c>
      <c r="B254" s="77"/>
      <c r="C254" s="77"/>
      <c r="D254" s="77"/>
      <c r="E254" s="84"/>
      <c r="F254" s="78" t="s">
        <v>53</v>
      </c>
      <c r="G254" s="77"/>
      <c r="H254" s="56"/>
      <c r="I254" s="83" t="s">
        <v>47</v>
      </c>
      <c r="J254" s="77"/>
      <c r="K254" s="77"/>
      <c r="L254" s="77"/>
      <c r="M254" s="84"/>
      <c r="N254" s="78" t="s">
        <v>54</v>
      </c>
      <c r="O254" s="77"/>
    </row>
    <row r="255" spans="1:17" ht="14.25" thickBot="1" x14ac:dyDescent="0.2">
      <c r="A255" s="13" t="s">
        <v>0</v>
      </c>
      <c r="B255" s="228" t="s">
        <v>49</v>
      </c>
      <c r="C255" s="229"/>
      <c r="D255" s="229"/>
      <c r="E255" s="229"/>
      <c r="F255" s="230"/>
      <c r="G255" s="231"/>
      <c r="H255" s="56"/>
      <c r="I255" s="13" t="s">
        <v>0</v>
      </c>
      <c r="J255" s="228" t="s">
        <v>49</v>
      </c>
      <c r="K255" s="229"/>
      <c r="L255" s="229"/>
      <c r="M255" s="229"/>
      <c r="N255" s="230"/>
      <c r="O255" s="231"/>
    </row>
    <row r="256" spans="1:17" ht="14.25" thickBot="1" x14ac:dyDescent="0.2">
      <c r="A256" s="3" t="s">
        <v>1</v>
      </c>
      <c r="B256" s="2" t="s">
        <v>42</v>
      </c>
      <c r="C256" s="21" t="s">
        <v>43</v>
      </c>
      <c r="D256" s="21" t="s">
        <v>44</v>
      </c>
      <c r="E256" s="24" t="s">
        <v>45</v>
      </c>
      <c r="F256" s="33" t="s">
        <v>46</v>
      </c>
      <c r="G256" s="34" t="s">
        <v>2</v>
      </c>
      <c r="H256" s="56"/>
      <c r="I256" s="3" t="s">
        <v>1</v>
      </c>
      <c r="J256" s="2" t="s">
        <v>42</v>
      </c>
      <c r="K256" s="21" t="s">
        <v>43</v>
      </c>
      <c r="L256" s="21" t="s">
        <v>44</v>
      </c>
      <c r="M256" s="24" t="s">
        <v>45</v>
      </c>
      <c r="N256" s="33" t="s">
        <v>46</v>
      </c>
      <c r="O256" s="3" t="s">
        <v>2</v>
      </c>
    </row>
    <row r="257" spans="1:17" ht="14.25" thickBot="1" x14ac:dyDescent="0.2">
      <c r="A257" s="72" t="s">
        <v>527</v>
      </c>
      <c r="B257" s="73">
        <f>B252</f>
        <v>12</v>
      </c>
      <c r="C257" s="73">
        <f t="shared" ref="C257:F257" si="51">C252</f>
        <v>7</v>
      </c>
      <c r="D257" s="73">
        <f t="shared" si="51"/>
        <v>8</v>
      </c>
      <c r="E257" s="73">
        <f t="shared" si="51"/>
        <v>11</v>
      </c>
      <c r="F257" s="73">
        <f t="shared" si="51"/>
        <v>8</v>
      </c>
      <c r="G257" s="76">
        <f t="shared" ref="G257:G284" si="52">SUM(B257:F257)</f>
        <v>46</v>
      </c>
      <c r="H257" s="56"/>
      <c r="I257" s="96" t="s">
        <v>12</v>
      </c>
      <c r="J257" s="95">
        <f>J252</f>
        <v>105</v>
      </c>
      <c r="K257" s="97">
        <f t="shared" ref="K257:N257" si="53">K252</f>
        <v>69</v>
      </c>
      <c r="L257" s="97">
        <f t="shared" si="53"/>
        <v>124</v>
      </c>
      <c r="M257" s="97">
        <f t="shared" si="53"/>
        <v>163</v>
      </c>
      <c r="N257" s="54">
        <f t="shared" si="53"/>
        <v>98</v>
      </c>
      <c r="O257" s="52">
        <f t="shared" ref="O257:O292" si="54">SUM(J257:N257)</f>
        <v>559</v>
      </c>
    </row>
    <row r="258" spans="1:17" x14ac:dyDescent="0.15">
      <c r="A258" s="15" t="s">
        <v>14</v>
      </c>
      <c r="B258" s="37"/>
      <c r="C258" s="35">
        <v>5</v>
      </c>
      <c r="D258" s="35">
        <v>5</v>
      </c>
      <c r="E258" s="35"/>
      <c r="F258" s="28"/>
      <c r="G258" s="7">
        <f t="shared" si="52"/>
        <v>10</v>
      </c>
      <c r="H258" s="58">
        <v>43231</v>
      </c>
      <c r="I258" s="15" t="s">
        <v>3</v>
      </c>
      <c r="J258" s="37"/>
      <c r="K258" s="35"/>
      <c r="L258" s="35"/>
      <c r="M258" s="35"/>
      <c r="N258" s="28"/>
      <c r="O258" s="7">
        <f t="shared" si="54"/>
        <v>0</v>
      </c>
    </row>
    <row r="259" spans="1:17" x14ac:dyDescent="0.15">
      <c r="A259" s="15" t="s">
        <v>17</v>
      </c>
      <c r="B259" s="8"/>
      <c r="C259" s="10">
        <v>2</v>
      </c>
      <c r="D259" s="10">
        <v>3</v>
      </c>
      <c r="E259" s="10">
        <v>2</v>
      </c>
      <c r="F259" s="28"/>
      <c r="G259" s="9">
        <f t="shared" si="52"/>
        <v>7</v>
      </c>
      <c r="H259" s="58">
        <v>43230</v>
      </c>
      <c r="I259" s="15" t="s">
        <v>4</v>
      </c>
      <c r="J259" s="8"/>
      <c r="K259" s="10"/>
      <c r="L259" s="10"/>
      <c r="M259" s="10"/>
      <c r="N259" s="28"/>
      <c r="O259" s="9">
        <f t="shared" si="54"/>
        <v>0</v>
      </c>
      <c r="P259" s="58"/>
      <c r="Q259" s="56"/>
    </row>
    <row r="260" spans="1:17" x14ac:dyDescent="0.15">
      <c r="A260" s="15" t="s">
        <v>19</v>
      </c>
      <c r="B260" s="8">
        <v>2</v>
      </c>
      <c r="C260" s="10">
        <v>1</v>
      </c>
      <c r="D260" s="10">
        <v>2</v>
      </c>
      <c r="E260" s="10">
        <v>2</v>
      </c>
      <c r="F260" s="28">
        <v>5</v>
      </c>
      <c r="G260" s="9">
        <f t="shared" si="52"/>
        <v>12</v>
      </c>
      <c r="H260" s="58">
        <v>43234</v>
      </c>
      <c r="I260" s="15" t="s">
        <v>5</v>
      </c>
      <c r="J260" s="8"/>
      <c r="K260" s="10"/>
      <c r="L260" s="10"/>
      <c r="M260" s="10"/>
      <c r="N260" s="28"/>
      <c r="O260" s="9">
        <f t="shared" si="54"/>
        <v>0</v>
      </c>
    </row>
    <row r="261" spans="1:17" x14ac:dyDescent="0.15">
      <c r="A261" s="15" t="s">
        <v>17</v>
      </c>
      <c r="B261" s="8"/>
      <c r="C261" s="10">
        <v>1</v>
      </c>
      <c r="D261" s="10">
        <v>1</v>
      </c>
      <c r="E261" s="10"/>
      <c r="F261" s="28"/>
      <c r="G261" s="9">
        <f t="shared" si="52"/>
        <v>2</v>
      </c>
      <c r="H261" s="58">
        <v>43238</v>
      </c>
      <c r="I261" s="15" t="s">
        <v>6</v>
      </c>
      <c r="J261" s="8"/>
      <c r="K261" s="10"/>
      <c r="L261" s="10"/>
      <c r="M261" s="10"/>
      <c r="N261" s="28"/>
      <c r="O261" s="9">
        <f t="shared" si="54"/>
        <v>0</v>
      </c>
    </row>
    <row r="262" spans="1:17" x14ac:dyDescent="0.15">
      <c r="A262" s="15" t="s">
        <v>6</v>
      </c>
      <c r="B262" s="11"/>
      <c r="C262" s="12">
        <v>5</v>
      </c>
      <c r="D262" s="12">
        <v>5</v>
      </c>
      <c r="E262" s="12"/>
      <c r="F262" s="31">
        <v>5</v>
      </c>
      <c r="G262" s="7">
        <f t="shared" si="52"/>
        <v>15</v>
      </c>
      <c r="H262" s="58">
        <v>43241</v>
      </c>
      <c r="I262" s="15" t="s">
        <v>84</v>
      </c>
      <c r="J262" s="11"/>
      <c r="K262" s="12"/>
      <c r="L262" s="12"/>
      <c r="M262" s="12"/>
      <c r="N262" s="31"/>
      <c r="O262" s="7">
        <f t="shared" si="54"/>
        <v>0</v>
      </c>
    </row>
    <row r="263" spans="1:17" x14ac:dyDescent="0.15">
      <c r="A263" s="15" t="s">
        <v>17</v>
      </c>
      <c r="B263" s="8"/>
      <c r="C263" s="10"/>
      <c r="D263" s="10">
        <v>2</v>
      </c>
      <c r="E263" s="10"/>
      <c r="F263" s="30"/>
      <c r="G263" s="7">
        <f t="shared" si="52"/>
        <v>2</v>
      </c>
      <c r="H263" s="58">
        <v>43250</v>
      </c>
      <c r="I263" s="15" t="s">
        <v>85</v>
      </c>
      <c r="J263" s="8"/>
      <c r="K263" s="10"/>
      <c r="L263" s="10"/>
      <c r="M263" s="10"/>
      <c r="N263" s="30"/>
      <c r="O263" s="7">
        <f t="shared" si="54"/>
        <v>0</v>
      </c>
    </row>
    <row r="264" spans="1:17" x14ac:dyDescent="0.15">
      <c r="A264" s="15" t="s">
        <v>85</v>
      </c>
      <c r="B264" s="8"/>
      <c r="C264" s="10"/>
      <c r="D264" s="10"/>
      <c r="E264" s="10">
        <v>10</v>
      </c>
      <c r="F264" s="30"/>
      <c r="G264" s="7">
        <f t="shared" si="52"/>
        <v>10</v>
      </c>
      <c r="H264" s="58">
        <v>43252</v>
      </c>
      <c r="I264" s="16" t="s">
        <v>88</v>
      </c>
      <c r="J264" s="8"/>
      <c r="K264" s="10"/>
      <c r="L264" s="10"/>
      <c r="M264" s="10"/>
      <c r="N264" s="30"/>
      <c r="O264" s="7">
        <f t="shared" si="54"/>
        <v>0</v>
      </c>
    </row>
    <row r="265" spans="1:17" ht="14.25" thickBot="1" x14ac:dyDescent="0.2">
      <c r="A265" s="15" t="s">
        <v>86</v>
      </c>
      <c r="B265" s="11">
        <v>5</v>
      </c>
      <c r="C265" s="100">
        <v>10</v>
      </c>
      <c r="D265" s="100"/>
      <c r="E265" s="100">
        <v>5</v>
      </c>
      <c r="F265" s="101"/>
      <c r="G265" s="102">
        <f t="shared" si="52"/>
        <v>20</v>
      </c>
      <c r="H265" s="58">
        <v>43253</v>
      </c>
      <c r="I265" s="15" t="s">
        <v>87</v>
      </c>
      <c r="J265" s="11"/>
      <c r="K265" s="100"/>
      <c r="L265" s="100"/>
      <c r="M265" s="100"/>
      <c r="N265" s="101"/>
      <c r="O265" s="102">
        <f t="shared" si="54"/>
        <v>0</v>
      </c>
    </row>
    <row r="266" spans="1:17" ht="14.25" thickBot="1" x14ac:dyDescent="0.2">
      <c r="A266" s="72" t="s">
        <v>7</v>
      </c>
      <c r="B266" s="73">
        <f>SUM(B257:B265)</f>
        <v>19</v>
      </c>
      <c r="C266" s="74">
        <f t="shared" ref="C266:F266" si="55">SUM(C257:C265)</f>
        <v>31</v>
      </c>
      <c r="D266" s="74">
        <f t="shared" si="55"/>
        <v>26</v>
      </c>
      <c r="E266" s="74">
        <f t="shared" si="55"/>
        <v>30</v>
      </c>
      <c r="F266" s="105">
        <f t="shared" si="55"/>
        <v>18</v>
      </c>
      <c r="G266" s="76">
        <f t="shared" si="52"/>
        <v>124</v>
      </c>
      <c r="H266" s="56"/>
      <c r="I266" s="72" t="s">
        <v>7</v>
      </c>
      <c r="J266" s="73">
        <f>SUM(J257:J265)</f>
        <v>105</v>
      </c>
      <c r="K266" s="74">
        <f t="shared" ref="K266:N266" si="56">SUM(K257:K265)</f>
        <v>69</v>
      </c>
      <c r="L266" s="74">
        <f t="shared" si="56"/>
        <v>124</v>
      </c>
      <c r="M266" s="74">
        <f t="shared" si="56"/>
        <v>163</v>
      </c>
      <c r="N266" s="105">
        <f t="shared" si="56"/>
        <v>98</v>
      </c>
      <c r="O266" s="76">
        <f t="shared" si="54"/>
        <v>559</v>
      </c>
    </row>
    <row r="267" spans="1:17" x14ac:dyDescent="0.15">
      <c r="A267" s="39" t="s">
        <v>29</v>
      </c>
      <c r="B267" s="37"/>
      <c r="C267" s="35"/>
      <c r="D267" s="35">
        <v>1</v>
      </c>
      <c r="E267" s="35">
        <v>1</v>
      </c>
      <c r="F267" s="28"/>
      <c r="G267" s="18">
        <f t="shared" si="52"/>
        <v>2</v>
      </c>
      <c r="H267" s="58">
        <v>43227</v>
      </c>
      <c r="I267" s="16" t="s">
        <v>702</v>
      </c>
      <c r="J267" s="37"/>
      <c r="K267" s="35">
        <v>5</v>
      </c>
      <c r="L267" s="35">
        <v>5</v>
      </c>
      <c r="M267" s="35"/>
      <c r="N267" s="28"/>
      <c r="O267" s="7">
        <f t="shared" si="54"/>
        <v>10</v>
      </c>
      <c r="P267" s="58">
        <v>43231</v>
      </c>
    </row>
    <row r="268" spans="1:17" x14ac:dyDescent="0.15">
      <c r="A268" s="16" t="s">
        <v>25</v>
      </c>
      <c r="B268" s="8">
        <v>1</v>
      </c>
      <c r="C268" s="10">
        <v>1</v>
      </c>
      <c r="D268" s="10">
        <v>1</v>
      </c>
      <c r="E268" s="10"/>
      <c r="F268" s="30">
        <v>1</v>
      </c>
      <c r="G268" s="7">
        <f t="shared" si="52"/>
        <v>4</v>
      </c>
      <c r="H268" s="58">
        <v>43230</v>
      </c>
      <c r="I268" s="16" t="s">
        <v>24</v>
      </c>
      <c r="J268" s="8"/>
      <c r="K268" s="10">
        <v>5</v>
      </c>
      <c r="L268" s="10">
        <v>5</v>
      </c>
      <c r="M268" s="10"/>
      <c r="N268" s="30">
        <v>5</v>
      </c>
      <c r="O268" s="7">
        <f t="shared" si="54"/>
        <v>15</v>
      </c>
      <c r="P268" s="58">
        <v>43241</v>
      </c>
    </row>
    <row r="269" spans="1:17" x14ac:dyDescent="0.15">
      <c r="A269" s="16" t="s">
        <v>25</v>
      </c>
      <c r="B269" s="8">
        <v>1</v>
      </c>
      <c r="C269" s="10"/>
      <c r="D269" s="10">
        <v>2</v>
      </c>
      <c r="E269" s="10">
        <v>1</v>
      </c>
      <c r="F269" s="30"/>
      <c r="G269" s="7">
        <f t="shared" si="52"/>
        <v>4</v>
      </c>
      <c r="H269" s="58">
        <v>43232</v>
      </c>
      <c r="I269" s="16" t="s">
        <v>24</v>
      </c>
      <c r="J269" s="8"/>
      <c r="K269" s="10"/>
      <c r="L269" s="10"/>
      <c r="M269" s="10">
        <v>10</v>
      </c>
      <c r="N269" s="30"/>
      <c r="O269" s="7">
        <f t="shared" si="54"/>
        <v>10</v>
      </c>
      <c r="P269" s="58">
        <v>43252</v>
      </c>
    </row>
    <row r="270" spans="1:17" x14ac:dyDescent="0.15">
      <c r="A270" s="16" t="s">
        <v>25</v>
      </c>
      <c r="B270" s="8"/>
      <c r="C270" s="10">
        <v>3</v>
      </c>
      <c r="D270" s="10">
        <v>1</v>
      </c>
      <c r="E270" s="10">
        <v>1</v>
      </c>
      <c r="F270" s="30">
        <v>2</v>
      </c>
      <c r="G270" s="7">
        <f t="shared" si="52"/>
        <v>7</v>
      </c>
      <c r="H270" s="58">
        <v>43235</v>
      </c>
      <c r="I270" s="16" t="s">
        <v>24</v>
      </c>
      <c r="J270" s="8">
        <v>5</v>
      </c>
      <c r="K270" s="10">
        <v>10</v>
      </c>
      <c r="L270" s="10"/>
      <c r="M270" s="10">
        <v>5</v>
      </c>
      <c r="N270" s="30"/>
      <c r="O270" s="7">
        <f t="shared" si="54"/>
        <v>20</v>
      </c>
      <c r="P270" s="58">
        <v>43253</v>
      </c>
      <c r="Q270" s="56"/>
    </row>
    <row r="271" spans="1:17" x14ac:dyDescent="0.15">
      <c r="A271" s="16" t="s">
        <v>110</v>
      </c>
      <c r="B271" s="8"/>
      <c r="C271" s="10"/>
      <c r="D271" s="10">
        <v>2</v>
      </c>
      <c r="E271" s="10"/>
      <c r="F271" s="30"/>
      <c r="G271" s="7">
        <f t="shared" si="52"/>
        <v>2</v>
      </c>
      <c r="H271" s="58">
        <v>43241</v>
      </c>
      <c r="I271" s="16"/>
      <c r="J271" s="8"/>
      <c r="K271" s="10"/>
      <c r="L271" s="10"/>
      <c r="M271" s="10"/>
      <c r="N271" s="30"/>
      <c r="O271" s="7">
        <f t="shared" si="54"/>
        <v>0</v>
      </c>
    </row>
    <row r="272" spans="1:17" x14ac:dyDescent="0.15">
      <c r="A272" s="16" t="s">
        <v>706</v>
      </c>
      <c r="B272" s="8"/>
      <c r="C272" s="10"/>
      <c r="D272" s="10">
        <v>1</v>
      </c>
      <c r="E272" s="10"/>
      <c r="F272" s="30">
        <v>1</v>
      </c>
      <c r="G272" s="7">
        <f t="shared" si="52"/>
        <v>2</v>
      </c>
      <c r="H272" s="58">
        <v>43234</v>
      </c>
      <c r="I272" s="16"/>
      <c r="J272" s="8"/>
      <c r="K272" s="10"/>
      <c r="L272" s="10"/>
      <c r="M272" s="10"/>
      <c r="N272" s="30"/>
      <c r="O272" s="7">
        <f t="shared" si="54"/>
        <v>0</v>
      </c>
    </row>
    <row r="273" spans="1:17" x14ac:dyDescent="0.15">
      <c r="A273" s="16" t="s">
        <v>25</v>
      </c>
      <c r="B273" s="8"/>
      <c r="C273" s="10"/>
      <c r="D273" s="10">
        <v>4</v>
      </c>
      <c r="E273" s="10"/>
      <c r="F273" s="30"/>
      <c r="G273" s="7">
        <f t="shared" si="52"/>
        <v>4</v>
      </c>
      <c r="H273" s="58">
        <v>43237</v>
      </c>
      <c r="I273" s="16"/>
      <c r="J273" s="8"/>
      <c r="K273" s="10"/>
      <c r="L273" s="10"/>
      <c r="M273" s="10"/>
      <c r="N273" s="30"/>
      <c r="O273" s="7">
        <f t="shared" si="54"/>
        <v>0</v>
      </c>
    </row>
    <row r="274" spans="1:17" x14ac:dyDescent="0.15">
      <c r="A274" s="14" t="s">
        <v>38</v>
      </c>
      <c r="B274" s="8"/>
      <c r="C274" s="10">
        <v>2</v>
      </c>
      <c r="D274" s="10">
        <v>2</v>
      </c>
      <c r="E274" s="10"/>
      <c r="F274" s="30"/>
      <c r="G274" s="7">
        <f t="shared" si="52"/>
        <v>4</v>
      </c>
      <c r="H274" s="58">
        <v>43238</v>
      </c>
      <c r="I274" s="16"/>
      <c r="J274" s="8"/>
      <c r="K274" s="10"/>
      <c r="L274" s="10"/>
      <c r="M274" s="10"/>
      <c r="N274" s="30"/>
      <c r="O274" s="7">
        <f t="shared" si="54"/>
        <v>0</v>
      </c>
    </row>
    <row r="275" spans="1:17" x14ac:dyDescent="0.15">
      <c r="A275" s="16" t="s">
        <v>25</v>
      </c>
      <c r="B275" s="8"/>
      <c r="C275" s="10">
        <v>2</v>
      </c>
      <c r="D275" s="10"/>
      <c r="E275" s="10"/>
      <c r="F275" s="30"/>
      <c r="G275" s="7">
        <f t="shared" si="52"/>
        <v>2</v>
      </c>
      <c r="H275" s="58">
        <v>43239</v>
      </c>
      <c r="I275" s="16"/>
      <c r="J275" s="8"/>
      <c r="K275" s="10"/>
      <c r="L275" s="10"/>
      <c r="M275" s="10"/>
      <c r="N275" s="30"/>
      <c r="O275" s="7">
        <f t="shared" si="54"/>
        <v>0</v>
      </c>
    </row>
    <row r="276" spans="1:17" x14ac:dyDescent="0.15">
      <c r="A276" s="16" t="s">
        <v>25</v>
      </c>
      <c r="B276" s="11"/>
      <c r="C276" s="12">
        <v>1</v>
      </c>
      <c r="D276" s="12"/>
      <c r="E276" s="12">
        <v>2</v>
      </c>
      <c r="F276" s="31"/>
      <c r="G276" s="7">
        <f t="shared" si="52"/>
        <v>3</v>
      </c>
      <c r="H276" s="58">
        <v>43242</v>
      </c>
      <c r="I276" s="16"/>
      <c r="J276" s="11"/>
      <c r="K276" s="12"/>
      <c r="L276" s="12"/>
      <c r="M276" s="12"/>
      <c r="N276" s="31"/>
      <c r="O276" s="7">
        <f t="shared" si="54"/>
        <v>0</v>
      </c>
    </row>
    <row r="277" spans="1:17" x14ac:dyDescent="0.15">
      <c r="A277" s="16" t="s">
        <v>25</v>
      </c>
      <c r="B277" s="8">
        <v>1</v>
      </c>
      <c r="C277" s="10">
        <v>1</v>
      </c>
      <c r="D277" s="10"/>
      <c r="E277" s="10"/>
      <c r="F277" s="30">
        <v>2</v>
      </c>
      <c r="G277" s="7">
        <f t="shared" si="52"/>
        <v>4</v>
      </c>
      <c r="H277" s="58">
        <v>43244</v>
      </c>
      <c r="I277" s="16"/>
      <c r="J277" s="8"/>
      <c r="K277" s="10"/>
      <c r="L277" s="10"/>
      <c r="M277" s="10"/>
      <c r="N277" s="30"/>
      <c r="O277" s="7">
        <f t="shared" si="54"/>
        <v>0</v>
      </c>
    </row>
    <row r="278" spans="1:17" x14ac:dyDescent="0.15">
      <c r="A278" s="16" t="s">
        <v>25</v>
      </c>
      <c r="B278" s="8"/>
      <c r="C278" s="10">
        <v>2</v>
      </c>
      <c r="D278" s="10">
        <v>1</v>
      </c>
      <c r="E278" s="10">
        <v>1</v>
      </c>
      <c r="F278" s="30"/>
      <c r="G278" s="7">
        <f t="shared" si="52"/>
        <v>4</v>
      </c>
      <c r="H278" s="58">
        <v>43246</v>
      </c>
      <c r="I278" s="14"/>
      <c r="J278" s="8"/>
      <c r="K278" s="10"/>
      <c r="L278" s="10"/>
      <c r="M278" s="10"/>
      <c r="N278" s="30"/>
      <c r="O278" s="7">
        <f t="shared" si="54"/>
        <v>0</v>
      </c>
    </row>
    <row r="279" spans="1:17" x14ac:dyDescent="0.15">
      <c r="A279" s="16" t="s">
        <v>29</v>
      </c>
      <c r="B279" s="8"/>
      <c r="C279" s="10"/>
      <c r="D279" s="10"/>
      <c r="E279" s="10">
        <v>1</v>
      </c>
      <c r="F279" s="30"/>
      <c r="G279" s="7">
        <f t="shared" si="52"/>
        <v>1</v>
      </c>
      <c r="H279" s="58">
        <v>43245</v>
      </c>
      <c r="I279" s="16"/>
      <c r="J279" s="8"/>
      <c r="K279" s="10"/>
      <c r="L279" s="10"/>
      <c r="M279" s="10"/>
      <c r="N279" s="30"/>
      <c r="O279" s="7">
        <f t="shared" si="54"/>
        <v>0</v>
      </c>
    </row>
    <row r="280" spans="1:17" x14ac:dyDescent="0.15">
      <c r="A280" s="16" t="s">
        <v>25</v>
      </c>
      <c r="B280" s="8">
        <v>1</v>
      </c>
      <c r="C280" s="10">
        <v>3</v>
      </c>
      <c r="D280" s="10"/>
      <c r="E280" s="10">
        <v>1</v>
      </c>
      <c r="F280" s="30"/>
      <c r="G280" s="7">
        <f t="shared" si="52"/>
        <v>5</v>
      </c>
      <c r="H280" s="58">
        <v>43249</v>
      </c>
      <c r="I280" s="16"/>
      <c r="J280" s="8"/>
      <c r="K280" s="10"/>
      <c r="L280" s="10"/>
      <c r="M280" s="10"/>
      <c r="N280" s="30"/>
      <c r="O280" s="7">
        <f t="shared" si="54"/>
        <v>0</v>
      </c>
    </row>
    <row r="281" spans="1:17" x14ac:dyDescent="0.15">
      <c r="A281" s="16" t="s">
        <v>25</v>
      </c>
      <c r="B281" s="8">
        <v>2</v>
      </c>
      <c r="C281" s="10"/>
      <c r="D281" s="10">
        <v>1</v>
      </c>
      <c r="E281" s="10">
        <v>1</v>
      </c>
      <c r="F281" s="30">
        <v>1</v>
      </c>
      <c r="G281" s="7">
        <f t="shared" si="52"/>
        <v>5</v>
      </c>
      <c r="H281" s="58">
        <v>43251</v>
      </c>
      <c r="I281" s="16"/>
      <c r="J281" s="8"/>
      <c r="K281" s="10"/>
      <c r="L281" s="10"/>
      <c r="M281" s="10"/>
      <c r="N281" s="30"/>
      <c r="O281" s="7">
        <f t="shared" si="54"/>
        <v>0</v>
      </c>
    </row>
    <row r="282" spans="1:17" x14ac:dyDescent="0.15">
      <c r="A282" s="50" t="s">
        <v>22</v>
      </c>
      <c r="B282" s="8"/>
      <c r="C282" s="10"/>
      <c r="D282" s="10"/>
      <c r="E282" s="10">
        <v>10</v>
      </c>
      <c r="F282" s="30"/>
      <c r="G282" s="7">
        <f t="shared" si="52"/>
        <v>10</v>
      </c>
      <c r="H282" s="58">
        <v>43255</v>
      </c>
      <c r="I282" s="16"/>
      <c r="J282" s="8"/>
      <c r="K282" s="10"/>
      <c r="L282" s="10"/>
      <c r="M282" s="10"/>
      <c r="N282" s="30"/>
      <c r="O282" s="7">
        <f t="shared" si="54"/>
        <v>0</v>
      </c>
    </row>
    <row r="283" spans="1:17" x14ac:dyDescent="0.15">
      <c r="A283" s="16" t="s">
        <v>25</v>
      </c>
      <c r="B283" s="8"/>
      <c r="C283" s="10">
        <v>4</v>
      </c>
      <c r="D283" s="10"/>
      <c r="E283" s="10"/>
      <c r="F283" s="30"/>
      <c r="G283" s="7">
        <f t="shared" si="52"/>
        <v>4</v>
      </c>
      <c r="H283" s="58">
        <v>43255</v>
      </c>
      <c r="I283" s="20"/>
      <c r="J283" s="11"/>
      <c r="K283" s="12"/>
      <c r="L283" s="12"/>
      <c r="M283" s="12"/>
      <c r="N283" s="31"/>
      <c r="O283" s="7">
        <f t="shared" si="54"/>
        <v>0</v>
      </c>
    </row>
    <row r="284" spans="1:17" x14ac:dyDescent="0.15">
      <c r="A284" s="16" t="s">
        <v>720</v>
      </c>
      <c r="B284" s="8"/>
      <c r="C284" s="10"/>
      <c r="D284" s="10">
        <v>2</v>
      </c>
      <c r="E284" s="10"/>
      <c r="F284" s="30"/>
      <c r="G284" s="7">
        <f t="shared" si="52"/>
        <v>2</v>
      </c>
      <c r="H284" s="58">
        <v>43259</v>
      </c>
      <c r="I284" s="20"/>
      <c r="J284" s="8"/>
      <c r="K284" s="10"/>
      <c r="L284" s="10"/>
      <c r="M284" s="10"/>
      <c r="N284" s="30"/>
      <c r="O284" s="7">
        <f t="shared" si="54"/>
        <v>0</v>
      </c>
    </row>
    <row r="285" spans="1:17" x14ac:dyDescent="0.15">
      <c r="A285" s="16" t="s">
        <v>25</v>
      </c>
      <c r="B285" s="8"/>
      <c r="C285" s="10"/>
      <c r="D285" s="10"/>
      <c r="E285" s="10"/>
      <c r="F285" s="30">
        <v>1</v>
      </c>
      <c r="G285" s="7">
        <f>SUM(B285:F285)</f>
        <v>1</v>
      </c>
      <c r="H285" s="58">
        <v>43257</v>
      </c>
      <c r="I285" s="141"/>
      <c r="J285" s="8"/>
      <c r="K285" s="10"/>
      <c r="L285" s="10"/>
      <c r="M285" s="10"/>
      <c r="N285" s="30"/>
      <c r="O285" s="7">
        <f t="shared" si="54"/>
        <v>0</v>
      </c>
      <c r="P285" s="58"/>
    </row>
    <row r="286" spans="1:17" x14ac:dyDescent="0.15">
      <c r="A286" s="16" t="s">
        <v>25</v>
      </c>
      <c r="B286" s="8"/>
      <c r="C286" s="10"/>
      <c r="D286" s="10">
        <v>2</v>
      </c>
      <c r="E286" s="10"/>
      <c r="F286" s="30"/>
      <c r="G286" s="7">
        <f>SUM(B286:F286)</f>
        <v>2</v>
      </c>
      <c r="H286" s="58">
        <v>43259</v>
      </c>
      <c r="I286" s="14"/>
      <c r="J286" s="8"/>
      <c r="K286" s="10"/>
      <c r="L286" s="10"/>
      <c r="M286" s="10"/>
      <c r="N286" s="30"/>
      <c r="O286" s="7">
        <f t="shared" si="54"/>
        <v>0</v>
      </c>
      <c r="P286" s="58"/>
    </row>
    <row r="287" spans="1:17" x14ac:dyDescent="0.15">
      <c r="A287" s="39" t="s">
        <v>725</v>
      </c>
      <c r="B287" s="8"/>
      <c r="C287" s="10">
        <v>-2</v>
      </c>
      <c r="D287" s="10">
        <v>-1</v>
      </c>
      <c r="E287" s="10">
        <v>-2</v>
      </c>
      <c r="F287" s="30"/>
      <c r="G287" s="7">
        <f t="shared" ref="G287:G292" si="57">SUM(B287:F287)</f>
        <v>-5</v>
      </c>
      <c r="H287" s="58">
        <v>43259</v>
      </c>
      <c r="I287" s="14"/>
      <c r="J287" s="8"/>
      <c r="K287" s="10"/>
      <c r="L287" s="10"/>
      <c r="M287" s="10"/>
      <c r="N287" s="30"/>
      <c r="O287" s="7">
        <f t="shared" si="54"/>
        <v>0</v>
      </c>
      <c r="P287" s="58"/>
      <c r="Q287" s="56"/>
    </row>
    <row r="288" spans="1:17" x14ac:dyDescent="0.15">
      <c r="A288" s="16" t="s">
        <v>25</v>
      </c>
      <c r="B288" s="11">
        <v>1</v>
      </c>
      <c r="C288" s="12"/>
      <c r="D288" s="12">
        <v>1</v>
      </c>
      <c r="E288" s="12">
        <v>1</v>
      </c>
      <c r="F288" s="31">
        <v>1</v>
      </c>
      <c r="G288" s="7">
        <f t="shared" si="57"/>
        <v>4</v>
      </c>
      <c r="H288" s="58">
        <v>43263</v>
      </c>
      <c r="I288" s="14"/>
      <c r="J288" s="8"/>
      <c r="K288" s="10"/>
      <c r="L288" s="10"/>
      <c r="M288" s="10"/>
      <c r="N288" s="30"/>
      <c r="O288" s="7">
        <f t="shared" si="54"/>
        <v>0</v>
      </c>
      <c r="P288" s="58"/>
      <c r="Q288" s="56"/>
    </row>
    <row r="289" spans="1:17" x14ac:dyDescent="0.15">
      <c r="A289" s="16" t="s">
        <v>110</v>
      </c>
      <c r="B289" s="8">
        <v>2</v>
      </c>
      <c r="C289" s="10"/>
      <c r="D289" s="10"/>
      <c r="E289" s="10"/>
      <c r="F289" s="30"/>
      <c r="G289" s="7">
        <f t="shared" si="57"/>
        <v>2</v>
      </c>
      <c r="H289" s="58">
        <v>43266</v>
      </c>
      <c r="I289" s="14"/>
      <c r="J289" s="8"/>
      <c r="K289" s="10"/>
      <c r="L289" s="10"/>
      <c r="M289" s="10"/>
      <c r="N289" s="30"/>
      <c r="O289" s="7">
        <f t="shared" si="54"/>
        <v>0</v>
      </c>
      <c r="P289" s="56"/>
      <c r="Q289" s="56"/>
    </row>
    <row r="290" spans="1:17" x14ac:dyDescent="0.15">
      <c r="A290" s="16" t="s">
        <v>727</v>
      </c>
      <c r="B290" s="37"/>
      <c r="C290" s="35"/>
      <c r="D290" s="35"/>
      <c r="E290" s="35"/>
      <c r="F290" s="28">
        <v>1</v>
      </c>
      <c r="G290" s="7">
        <f t="shared" si="57"/>
        <v>1</v>
      </c>
      <c r="H290" s="58">
        <v>43262</v>
      </c>
      <c r="I290" s="14"/>
      <c r="J290" s="8"/>
      <c r="K290" s="10"/>
      <c r="L290" s="10"/>
      <c r="M290" s="10"/>
      <c r="N290" s="30"/>
      <c r="O290" s="7">
        <f t="shared" si="54"/>
        <v>0</v>
      </c>
      <c r="P290" s="58"/>
      <c r="Q290" s="56"/>
    </row>
    <row r="291" spans="1:17" x14ac:dyDescent="0.15">
      <c r="A291" s="16" t="s">
        <v>29</v>
      </c>
      <c r="B291" s="8"/>
      <c r="C291" s="10"/>
      <c r="D291" s="10"/>
      <c r="E291" s="10">
        <v>1</v>
      </c>
      <c r="F291" s="30"/>
      <c r="G291" s="9">
        <f t="shared" si="57"/>
        <v>1</v>
      </c>
      <c r="H291" s="58">
        <v>43263</v>
      </c>
      <c r="I291" s="141"/>
      <c r="J291" s="8"/>
      <c r="K291" s="10"/>
      <c r="L291" s="10"/>
      <c r="M291" s="10"/>
      <c r="N291" s="30"/>
      <c r="O291" s="7">
        <f t="shared" si="54"/>
        <v>0</v>
      </c>
      <c r="P291" s="56"/>
      <c r="Q291" s="56"/>
    </row>
    <row r="292" spans="1:17" ht="14.25" thickBot="1" x14ac:dyDescent="0.2">
      <c r="A292" s="16" t="s">
        <v>25</v>
      </c>
      <c r="B292" s="37"/>
      <c r="C292" s="35"/>
      <c r="D292" s="35"/>
      <c r="E292" s="35"/>
      <c r="F292" s="28">
        <v>1</v>
      </c>
      <c r="G292" s="7">
        <f t="shared" si="57"/>
        <v>1</v>
      </c>
      <c r="H292" s="58">
        <v>43265</v>
      </c>
      <c r="I292" s="20"/>
      <c r="J292" s="11"/>
      <c r="K292" s="12"/>
      <c r="L292" s="12"/>
      <c r="M292" s="12"/>
      <c r="N292" s="31"/>
      <c r="O292" s="7">
        <f t="shared" si="54"/>
        <v>0</v>
      </c>
      <c r="P292" s="56"/>
      <c r="Q292" s="56"/>
    </row>
    <row r="293" spans="1:17" ht="14.25" thickBot="1" x14ac:dyDescent="0.2">
      <c r="A293" s="3" t="s">
        <v>11</v>
      </c>
      <c r="B293" s="23">
        <f>SUM(B267:B292)</f>
        <v>9</v>
      </c>
      <c r="C293" s="4">
        <f>SUM(C267:C292)</f>
        <v>17</v>
      </c>
      <c r="D293" s="4">
        <f>SUM(D267:D292)</f>
        <v>20</v>
      </c>
      <c r="E293" s="6">
        <f>SUM(E267:E292)</f>
        <v>19</v>
      </c>
      <c r="F293" s="32">
        <f>SUM(F267:F292)</f>
        <v>11</v>
      </c>
      <c r="G293" s="5">
        <f>SUM(B293:F293)</f>
        <v>76</v>
      </c>
      <c r="H293" s="56"/>
      <c r="I293" s="3" t="s">
        <v>11</v>
      </c>
      <c r="J293" s="23">
        <f>SUM(J267:J292)</f>
        <v>5</v>
      </c>
      <c r="K293" s="4">
        <f>SUM(K267:K292)</f>
        <v>20</v>
      </c>
      <c r="L293" s="4">
        <f>SUM(L267:L292)</f>
        <v>10</v>
      </c>
      <c r="M293" s="6">
        <f>SUM(M267:M292)</f>
        <v>15</v>
      </c>
      <c r="N293" s="32">
        <f>SUM(N267:N292)</f>
        <v>5</v>
      </c>
      <c r="O293" s="5">
        <f>SUM(J293:N293)</f>
        <v>55</v>
      </c>
    </row>
    <row r="294" spans="1:17" ht="14.25" thickBot="1" x14ac:dyDescent="0.2">
      <c r="A294" s="25" t="s">
        <v>12</v>
      </c>
      <c r="B294" s="63">
        <f>B266-B293</f>
        <v>10</v>
      </c>
      <c r="C294" s="26">
        <f t="shared" ref="C294:G294" si="58">C266-C293</f>
        <v>14</v>
      </c>
      <c r="D294" s="71">
        <f t="shared" si="58"/>
        <v>6</v>
      </c>
      <c r="E294" s="26">
        <f t="shared" si="58"/>
        <v>11</v>
      </c>
      <c r="F294" s="70">
        <f t="shared" si="58"/>
        <v>7</v>
      </c>
      <c r="G294" s="27">
        <f t="shared" si="58"/>
        <v>48</v>
      </c>
      <c r="H294" s="56"/>
      <c r="I294" s="25" t="s">
        <v>12</v>
      </c>
      <c r="J294" s="63">
        <f>J266-J293</f>
        <v>100</v>
      </c>
      <c r="K294" s="26">
        <f t="shared" ref="K294:O294" si="59">K266-K293</f>
        <v>49</v>
      </c>
      <c r="L294" s="71">
        <f t="shared" si="59"/>
        <v>114</v>
      </c>
      <c r="M294" s="26">
        <f t="shared" si="59"/>
        <v>148</v>
      </c>
      <c r="N294" s="70">
        <f t="shared" si="59"/>
        <v>93</v>
      </c>
      <c r="O294" s="27">
        <f t="shared" si="59"/>
        <v>504</v>
      </c>
    </row>
    <row r="295" spans="1:17" ht="21" x14ac:dyDescent="0.2">
      <c r="A295" s="83" t="s">
        <v>415</v>
      </c>
      <c r="B295" s="77"/>
      <c r="C295" s="77"/>
      <c r="D295" s="77"/>
      <c r="E295" s="77"/>
      <c r="F295" s="77"/>
      <c r="G295" s="77"/>
      <c r="H295" s="56"/>
      <c r="I295" s="83" t="s">
        <v>415</v>
      </c>
      <c r="J295" s="77"/>
      <c r="K295" s="77"/>
      <c r="L295" s="77"/>
      <c r="M295" s="77"/>
      <c r="N295" s="77"/>
      <c r="O295" s="77"/>
    </row>
    <row r="296" spans="1:17" ht="21.75" thickBot="1" x14ac:dyDescent="0.25">
      <c r="A296" s="83" t="s">
        <v>47</v>
      </c>
      <c r="B296" s="77"/>
      <c r="C296" s="77"/>
      <c r="D296" s="77"/>
      <c r="E296" s="84"/>
      <c r="F296" s="78" t="s">
        <v>53</v>
      </c>
      <c r="G296" s="77"/>
      <c r="H296" s="56"/>
      <c r="I296" s="83" t="s">
        <v>47</v>
      </c>
      <c r="J296" s="77"/>
      <c r="K296" s="77"/>
      <c r="L296" s="77"/>
      <c r="M296" s="84"/>
      <c r="N296" s="78" t="s">
        <v>54</v>
      </c>
      <c r="O296" s="77"/>
    </row>
    <row r="297" spans="1:17" ht="14.25" thickBot="1" x14ac:dyDescent="0.2">
      <c r="A297" s="13" t="s">
        <v>0</v>
      </c>
      <c r="B297" s="228" t="s">
        <v>49</v>
      </c>
      <c r="C297" s="229"/>
      <c r="D297" s="229"/>
      <c r="E297" s="229"/>
      <c r="F297" s="230"/>
      <c r="G297" s="231"/>
      <c r="H297" s="56"/>
      <c r="I297" s="13" t="s">
        <v>0</v>
      </c>
      <c r="J297" s="228" t="s">
        <v>49</v>
      </c>
      <c r="K297" s="229"/>
      <c r="L297" s="229"/>
      <c r="M297" s="229"/>
      <c r="N297" s="230"/>
      <c r="O297" s="231"/>
    </row>
    <row r="298" spans="1:17" ht="14.25" thickBot="1" x14ac:dyDescent="0.2">
      <c r="A298" s="3" t="s">
        <v>1</v>
      </c>
      <c r="B298" s="2" t="s">
        <v>42</v>
      </c>
      <c r="C298" s="21" t="s">
        <v>43</v>
      </c>
      <c r="D298" s="21" t="s">
        <v>44</v>
      </c>
      <c r="E298" s="24" t="s">
        <v>45</v>
      </c>
      <c r="F298" s="33" t="s">
        <v>46</v>
      </c>
      <c r="G298" s="34" t="s">
        <v>2</v>
      </c>
      <c r="H298" s="56"/>
      <c r="I298" s="3" t="s">
        <v>1</v>
      </c>
      <c r="J298" s="2" t="s">
        <v>42</v>
      </c>
      <c r="K298" s="21" t="s">
        <v>43</v>
      </c>
      <c r="L298" s="21" t="s">
        <v>44</v>
      </c>
      <c r="M298" s="24" t="s">
        <v>45</v>
      </c>
      <c r="N298" s="33" t="s">
        <v>46</v>
      </c>
      <c r="O298" s="3" t="s">
        <v>2</v>
      </c>
    </row>
    <row r="299" spans="1:17" ht="14.25" thickBot="1" x14ac:dyDescent="0.2">
      <c r="A299" s="72" t="s">
        <v>527</v>
      </c>
      <c r="B299" s="73">
        <f>B294</f>
        <v>10</v>
      </c>
      <c r="C299" s="73">
        <f t="shared" ref="C299:F299" si="60">C294</f>
        <v>14</v>
      </c>
      <c r="D299" s="73">
        <f t="shared" si="60"/>
        <v>6</v>
      </c>
      <c r="E299" s="73">
        <f t="shared" si="60"/>
        <v>11</v>
      </c>
      <c r="F299" s="73">
        <f t="shared" si="60"/>
        <v>7</v>
      </c>
      <c r="G299" s="76">
        <f t="shared" ref="G299:G326" si="61">SUM(B299:F299)</f>
        <v>48</v>
      </c>
      <c r="H299" s="56"/>
      <c r="I299" s="96" t="s">
        <v>12</v>
      </c>
      <c r="J299" s="95">
        <f>J294</f>
        <v>100</v>
      </c>
      <c r="K299" s="97">
        <f t="shared" ref="K299:N299" si="62">K294</f>
        <v>49</v>
      </c>
      <c r="L299" s="97">
        <f t="shared" si="62"/>
        <v>114</v>
      </c>
      <c r="M299" s="97">
        <f t="shared" si="62"/>
        <v>148</v>
      </c>
      <c r="N299" s="54">
        <f t="shared" si="62"/>
        <v>93</v>
      </c>
      <c r="O299" s="52">
        <f t="shared" ref="O299:O334" si="63">SUM(J299:N299)</f>
        <v>504</v>
      </c>
    </row>
    <row r="300" spans="1:17" x14ac:dyDescent="0.15">
      <c r="A300" s="15" t="s">
        <v>14</v>
      </c>
      <c r="B300" s="37"/>
      <c r="C300" s="35"/>
      <c r="D300" s="35">
        <v>5</v>
      </c>
      <c r="E300" s="35"/>
      <c r="F300" s="28">
        <v>5</v>
      </c>
      <c r="G300" s="7">
        <f t="shared" si="61"/>
        <v>10</v>
      </c>
      <c r="H300" s="58">
        <v>43266</v>
      </c>
      <c r="I300" s="15" t="s">
        <v>3</v>
      </c>
      <c r="J300" s="37"/>
      <c r="K300" s="35"/>
      <c r="L300" s="35"/>
      <c r="M300" s="35"/>
      <c r="N300" s="28"/>
      <c r="O300" s="7">
        <f t="shared" si="63"/>
        <v>0</v>
      </c>
      <c r="P300" s="58"/>
      <c r="Q300" s="56"/>
    </row>
    <row r="301" spans="1:17" x14ac:dyDescent="0.15">
      <c r="A301" s="15" t="s">
        <v>3</v>
      </c>
      <c r="B301" s="8"/>
      <c r="C301" s="10"/>
      <c r="D301" s="10">
        <v>5</v>
      </c>
      <c r="E301" s="10"/>
      <c r="F301" s="28"/>
      <c r="G301" s="9">
        <f t="shared" si="61"/>
        <v>5</v>
      </c>
      <c r="H301" s="58">
        <v>43269</v>
      </c>
      <c r="I301" s="15" t="s">
        <v>4</v>
      </c>
      <c r="J301" s="8"/>
      <c r="K301" s="10"/>
      <c r="L301" s="10"/>
      <c r="M301" s="10"/>
      <c r="N301" s="28"/>
      <c r="O301" s="9">
        <f t="shared" si="63"/>
        <v>0</v>
      </c>
      <c r="P301" s="58"/>
      <c r="Q301" s="56"/>
    </row>
    <row r="302" spans="1:17" x14ac:dyDescent="0.15">
      <c r="A302" s="15" t="s">
        <v>17</v>
      </c>
      <c r="B302" s="8">
        <v>2</v>
      </c>
      <c r="C302" s="10">
        <v>1</v>
      </c>
      <c r="D302" s="10">
        <v>1</v>
      </c>
      <c r="E302" s="10">
        <v>1</v>
      </c>
      <c r="F302" s="28"/>
      <c r="G302" s="9">
        <f t="shared" si="61"/>
        <v>5</v>
      </c>
      <c r="H302" s="58">
        <v>43271</v>
      </c>
      <c r="I302" s="15" t="s">
        <v>5</v>
      </c>
      <c r="J302" s="8"/>
      <c r="K302" s="10"/>
      <c r="L302" s="10"/>
      <c r="M302" s="10"/>
      <c r="N302" s="28"/>
      <c r="O302" s="9">
        <f t="shared" si="63"/>
        <v>0</v>
      </c>
      <c r="P302" s="56"/>
      <c r="Q302" s="56"/>
    </row>
    <row r="303" spans="1:17" x14ac:dyDescent="0.15">
      <c r="A303" s="15" t="s">
        <v>19</v>
      </c>
      <c r="B303" s="8"/>
      <c r="C303" s="10">
        <v>1</v>
      </c>
      <c r="D303" s="10">
        <v>4</v>
      </c>
      <c r="E303" s="10">
        <v>5</v>
      </c>
      <c r="F303" s="28">
        <v>2</v>
      </c>
      <c r="G303" s="9">
        <f t="shared" si="61"/>
        <v>12</v>
      </c>
      <c r="H303" s="58">
        <v>43273</v>
      </c>
      <c r="I303" s="15" t="s">
        <v>6</v>
      </c>
      <c r="J303" s="8"/>
      <c r="K303" s="10"/>
      <c r="L303" s="10"/>
      <c r="M303" s="10"/>
      <c r="N303" s="28"/>
      <c r="O303" s="9">
        <f t="shared" si="63"/>
        <v>0</v>
      </c>
    </row>
    <row r="304" spans="1:17" x14ac:dyDescent="0.15">
      <c r="A304" s="15" t="s">
        <v>6</v>
      </c>
      <c r="B304" s="11"/>
      <c r="C304" s="12"/>
      <c r="D304" s="12">
        <v>5</v>
      </c>
      <c r="E304" s="12"/>
      <c r="F304" s="31"/>
      <c r="G304" s="7">
        <f t="shared" si="61"/>
        <v>5</v>
      </c>
      <c r="H304" s="58">
        <v>43279</v>
      </c>
      <c r="I304" s="15" t="s">
        <v>84</v>
      </c>
      <c r="J304" s="11"/>
      <c r="K304" s="12"/>
      <c r="L304" s="12"/>
      <c r="M304" s="12"/>
      <c r="N304" s="31"/>
      <c r="O304" s="7">
        <f t="shared" si="63"/>
        <v>0</v>
      </c>
    </row>
    <row r="305" spans="1:17" x14ac:dyDescent="0.15">
      <c r="A305" s="15" t="s">
        <v>17</v>
      </c>
      <c r="B305" s="8"/>
      <c r="C305" s="10">
        <v>1</v>
      </c>
      <c r="D305" s="10"/>
      <c r="E305" s="10">
        <v>1</v>
      </c>
      <c r="F305" s="30">
        <v>1</v>
      </c>
      <c r="G305" s="7">
        <f t="shared" si="61"/>
        <v>3</v>
      </c>
      <c r="H305" s="58">
        <v>43279</v>
      </c>
      <c r="I305" s="15" t="s">
        <v>85</v>
      </c>
      <c r="J305" s="8"/>
      <c r="K305" s="10"/>
      <c r="L305" s="10"/>
      <c r="M305" s="10"/>
      <c r="N305" s="30"/>
      <c r="O305" s="7">
        <f t="shared" si="63"/>
        <v>0</v>
      </c>
    </row>
    <row r="306" spans="1:17" x14ac:dyDescent="0.15">
      <c r="A306" s="15" t="s">
        <v>85</v>
      </c>
      <c r="B306" s="8"/>
      <c r="C306" s="10"/>
      <c r="D306" s="10">
        <v>15</v>
      </c>
      <c r="E306" s="10"/>
      <c r="F306" s="30"/>
      <c r="G306" s="7">
        <f t="shared" si="61"/>
        <v>15</v>
      </c>
      <c r="H306" s="58">
        <v>43281</v>
      </c>
      <c r="I306" s="16" t="s">
        <v>88</v>
      </c>
      <c r="J306" s="8"/>
      <c r="K306" s="10"/>
      <c r="L306" s="10"/>
      <c r="M306" s="10"/>
      <c r="N306" s="30"/>
      <c r="O306" s="7">
        <f t="shared" si="63"/>
        <v>0</v>
      </c>
    </row>
    <row r="307" spans="1:17" ht="14.25" thickBot="1" x14ac:dyDescent="0.2">
      <c r="A307" s="15" t="s">
        <v>86</v>
      </c>
      <c r="B307" s="11"/>
      <c r="C307" s="100">
        <v>5</v>
      </c>
      <c r="D307" s="100"/>
      <c r="E307" s="100"/>
      <c r="F307" s="101">
        <v>10</v>
      </c>
      <c r="G307" s="102">
        <f t="shared" si="61"/>
        <v>15</v>
      </c>
      <c r="H307" s="58">
        <v>43287</v>
      </c>
      <c r="I307" s="15" t="s">
        <v>87</v>
      </c>
      <c r="J307" s="11"/>
      <c r="K307" s="100"/>
      <c r="L307" s="100"/>
      <c r="M307" s="100"/>
      <c r="N307" s="101"/>
      <c r="O307" s="102">
        <f t="shared" si="63"/>
        <v>0</v>
      </c>
    </row>
    <row r="308" spans="1:17" ht="14.25" thickBot="1" x14ac:dyDescent="0.2">
      <c r="A308" s="72" t="s">
        <v>7</v>
      </c>
      <c r="B308" s="73">
        <f>SUM(B299:B307)</f>
        <v>12</v>
      </c>
      <c r="C308" s="74">
        <f t="shared" ref="C308:F308" si="64">SUM(C299:C307)</f>
        <v>22</v>
      </c>
      <c r="D308" s="74">
        <f t="shared" si="64"/>
        <v>41</v>
      </c>
      <c r="E308" s="74">
        <f t="shared" si="64"/>
        <v>18</v>
      </c>
      <c r="F308" s="105">
        <f t="shared" si="64"/>
        <v>25</v>
      </c>
      <c r="G308" s="76">
        <f t="shared" si="61"/>
        <v>118</v>
      </c>
      <c r="H308" s="56"/>
      <c r="I308" s="72" t="s">
        <v>7</v>
      </c>
      <c r="J308" s="73">
        <f>SUM(J299:J307)</f>
        <v>100</v>
      </c>
      <c r="K308" s="74">
        <f t="shared" ref="K308:N308" si="65">SUM(K299:K307)</f>
        <v>49</v>
      </c>
      <c r="L308" s="74">
        <f t="shared" si="65"/>
        <v>114</v>
      </c>
      <c r="M308" s="74">
        <f t="shared" si="65"/>
        <v>148</v>
      </c>
      <c r="N308" s="105">
        <f t="shared" si="65"/>
        <v>93</v>
      </c>
      <c r="O308" s="76">
        <f t="shared" si="63"/>
        <v>504</v>
      </c>
    </row>
    <row r="309" spans="1:17" x14ac:dyDescent="0.15">
      <c r="A309" s="14" t="s">
        <v>30</v>
      </c>
      <c r="B309" s="37">
        <v>1</v>
      </c>
      <c r="C309" s="35">
        <v>1</v>
      </c>
      <c r="D309" s="35">
        <v>1</v>
      </c>
      <c r="E309" s="35">
        <v>1</v>
      </c>
      <c r="F309" s="28"/>
      <c r="G309" s="18">
        <f t="shared" si="61"/>
        <v>4</v>
      </c>
      <c r="H309" s="58">
        <v>43271</v>
      </c>
      <c r="I309" s="16" t="s">
        <v>24</v>
      </c>
      <c r="J309" s="37"/>
      <c r="K309" s="35"/>
      <c r="L309" s="35">
        <v>5</v>
      </c>
      <c r="M309" s="35"/>
      <c r="N309" s="28">
        <v>5</v>
      </c>
      <c r="O309" s="7">
        <f t="shared" si="63"/>
        <v>10</v>
      </c>
      <c r="P309" s="58">
        <v>43266</v>
      </c>
    </row>
    <row r="310" spans="1:17" x14ac:dyDescent="0.15">
      <c r="A310" s="16" t="s">
        <v>25</v>
      </c>
      <c r="B310" s="8"/>
      <c r="C310" s="10"/>
      <c r="D310" s="10">
        <v>5</v>
      </c>
      <c r="E310" s="10"/>
      <c r="F310" s="30"/>
      <c r="G310" s="7">
        <f t="shared" si="61"/>
        <v>5</v>
      </c>
      <c r="H310" s="58">
        <v>43267</v>
      </c>
      <c r="I310" s="16" t="s">
        <v>24</v>
      </c>
      <c r="J310" s="8"/>
      <c r="K310" s="10"/>
      <c r="L310" s="10">
        <v>5</v>
      </c>
      <c r="M310" s="10"/>
      <c r="N310" s="30"/>
      <c r="O310" s="7">
        <f t="shared" si="63"/>
        <v>5</v>
      </c>
      <c r="P310" s="58">
        <v>43269</v>
      </c>
      <c r="Q310" s="56"/>
    </row>
    <row r="311" spans="1:17" x14ac:dyDescent="0.15">
      <c r="A311" s="16" t="s">
        <v>25</v>
      </c>
      <c r="B311" s="8"/>
      <c r="C311" s="10"/>
      <c r="D311" s="10">
        <v>1</v>
      </c>
      <c r="E311" s="10"/>
      <c r="F311" s="30"/>
      <c r="G311" s="7">
        <f t="shared" si="61"/>
        <v>1</v>
      </c>
      <c r="H311" s="58">
        <v>43270</v>
      </c>
      <c r="I311" s="16" t="s">
        <v>24</v>
      </c>
      <c r="J311" s="8"/>
      <c r="K311" s="10"/>
      <c r="L311" s="10">
        <v>5</v>
      </c>
      <c r="M311" s="10"/>
      <c r="N311" s="30"/>
      <c r="O311" s="7">
        <f t="shared" si="63"/>
        <v>5</v>
      </c>
      <c r="P311" s="58">
        <v>43279</v>
      </c>
    </row>
    <row r="312" spans="1:17" x14ac:dyDescent="0.15">
      <c r="A312" s="16" t="s">
        <v>29</v>
      </c>
      <c r="B312" s="8"/>
      <c r="C312" s="10"/>
      <c r="D312" s="10"/>
      <c r="E312" s="10">
        <v>1</v>
      </c>
      <c r="F312" s="30"/>
      <c r="G312" s="7">
        <f t="shared" si="61"/>
        <v>1</v>
      </c>
      <c r="H312" s="58">
        <v>43269</v>
      </c>
      <c r="I312" s="16" t="s">
        <v>750</v>
      </c>
      <c r="J312" s="8"/>
      <c r="K312" s="10"/>
      <c r="L312" s="10">
        <v>15</v>
      </c>
      <c r="M312" s="10"/>
      <c r="N312" s="30"/>
      <c r="O312" s="7">
        <f t="shared" si="63"/>
        <v>15</v>
      </c>
      <c r="P312" s="58">
        <v>43281</v>
      </c>
    </row>
    <row r="313" spans="1:17" x14ac:dyDescent="0.15">
      <c r="A313" s="16" t="s">
        <v>25</v>
      </c>
      <c r="B313" s="8"/>
      <c r="C313" s="10"/>
      <c r="D313" s="10"/>
      <c r="E313" s="10"/>
      <c r="F313" s="30">
        <v>1</v>
      </c>
      <c r="G313" s="7">
        <f t="shared" si="61"/>
        <v>1</v>
      </c>
      <c r="H313" s="58">
        <v>43272</v>
      </c>
      <c r="I313" s="16" t="s">
        <v>24</v>
      </c>
      <c r="J313" s="8"/>
      <c r="K313" s="10">
        <v>5</v>
      </c>
      <c r="L313" s="10"/>
      <c r="M313" s="10"/>
      <c r="N313" s="30">
        <v>10</v>
      </c>
      <c r="O313" s="7">
        <f t="shared" si="63"/>
        <v>15</v>
      </c>
      <c r="P313" s="58">
        <v>43287</v>
      </c>
    </row>
    <row r="314" spans="1:17" x14ac:dyDescent="0.15">
      <c r="A314" s="16" t="s">
        <v>29</v>
      </c>
      <c r="B314" s="8"/>
      <c r="C314" s="10"/>
      <c r="D314" s="10">
        <v>1</v>
      </c>
      <c r="E314" s="10"/>
      <c r="F314" s="30"/>
      <c r="G314" s="7">
        <f t="shared" si="61"/>
        <v>1</v>
      </c>
      <c r="H314" s="58">
        <v>43272</v>
      </c>
      <c r="I314" s="16" t="s">
        <v>24</v>
      </c>
      <c r="J314" s="8">
        <v>10</v>
      </c>
      <c r="K314" s="10"/>
      <c r="L314" s="10"/>
      <c r="M314" s="10">
        <v>10</v>
      </c>
      <c r="N314" s="30"/>
      <c r="O314" s="7">
        <f t="shared" si="63"/>
        <v>20</v>
      </c>
      <c r="P314" s="58">
        <v>43290</v>
      </c>
      <c r="Q314" s="56"/>
    </row>
    <row r="315" spans="1:17" x14ac:dyDescent="0.15">
      <c r="A315" s="16" t="s">
        <v>25</v>
      </c>
      <c r="B315" s="8"/>
      <c r="C315" s="10">
        <v>1</v>
      </c>
      <c r="D315" s="10"/>
      <c r="E315" s="10"/>
      <c r="F315" s="30"/>
      <c r="G315" s="7">
        <f t="shared" si="61"/>
        <v>1</v>
      </c>
      <c r="H315" s="58">
        <v>43274</v>
      </c>
      <c r="I315" s="16"/>
      <c r="J315" s="8"/>
      <c r="K315" s="10"/>
      <c r="L315" s="10"/>
      <c r="M315" s="10"/>
      <c r="N315" s="30"/>
      <c r="O315" s="7">
        <f t="shared" si="63"/>
        <v>0</v>
      </c>
    </row>
    <row r="316" spans="1:17" x14ac:dyDescent="0.15">
      <c r="A316" s="16" t="s">
        <v>745</v>
      </c>
      <c r="B316" s="8">
        <v>3</v>
      </c>
      <c r="C316" s="10">
        <v>6</v>
      </c>
      <c r="D316" s="10">
        <v>5</v>
      </c>
      <c r="E316" s="10">
        <v>3</v>
      </c>
      <c r="F316" s="30">
        <v>2</v>
      </c>
      <c r="G316" s="7">
        <f t="shared" si="61"/>
        <v>19</v>
      </c>
      <c r="H316" s="58">
        <v>43278</v>
      </c>
      <c r="I316" s="16"/>
      <c r="J316" s="8"/>
      <c r="K316" s="10"/>
      <c r="L316" s="10"/>
      <c r="M316" s="10"/>
      <c r="N316" s="30"/>
      <c r="O316" s="7">
        <f t="shared" si="63"/>
        <v>0</v>
      </c>
    </row>
    <row r="317" spans="1:17" x14ac:dyDescent="0.15">
      <c r="A317" s="16" t="s">
        <v>25</v>
      </c>
      <c r="B317" s="8"/>
      <c r="C317" s="10"/>
      <c r="D317" s="10">
        <v>1</v>
      </c>
      <c r="E317" s="10"/>
      <c r="F317" s="30">
        <v>1</v>
      </c>
      <c r="G317" s="7">
        <f t="shared" ref="G317:G318" si="66">SUM(B317:F317)</f>
        <v>2</v>
      </c>
      <c r="H317" s="58">
        <v>43277</v>
      </c>
      <c r="I317" s="16"/>
      <c r="J317" s="8"/>
      <c r="K317" s="10"/>
      <c r="L317" s="10"/>
      <c r="M317" s="10"/>
      <c r="N317" s="30"/>
      <c r="O317" s="7">
        <f t="shared" si="63"/>
        <v>0</v>
      </c>
    </row>
    <row r="318" spans="1:17" x14ac:dyDescent="0.15">
      <c r="A318" s="14" t="s">
        <v>30</v>
      </c>
      <c r="B318" s="8"/>
      <c r="C318" s="10"/>
      <c r="D318" s="10">
        <v>1</v>
      </c>
      <c r="E318" s="10">
        <v>1</v>
      </c>
      <c r="F318" s="30"/>
      <c r="G318" s="7">
        <f t="shared" si="66"/>
        <v>2</v>
      </c>
      <c r="H318" s="58">
        <v>43279</v>
      </c>
      <c r="I318" s="16"/>
      <c r="J318" s="11"/>
      <c r="K318" s="12"/>
      <c r="L318" s="12"/>
      <c r="M318" s="12"/>
      <c r="N318" s="31"/>
      <c r="O318" s="7">
        <f t="shared" si="63"/>
        <v>0</v>
      </c>
    </row>
    <row r="319" spans="1:17" x14ac:dyDescent="0.15">
      <c r="A319" s="16" t="s">
        <v>25</v>
      </c>
      <c r="B319" s="8"/>
      <c r="C319" s="10">
        <v>1</v>
      </c>
      <c r="D319" s="10"/>
      <c r="E319" s="10">
        <v>1</v>
      </c>
      <c r="F319" s="30">
        <v>1</v>
      </c>
      <c r="G319" s="7">
        <f t="shared" si="61"/>
        <v>3</v>
      </c>
      <c r="H319" s="58">
        <v>43279</v>
      </c>
      <c r="I319" s="16"/>
      <c r="J319" s="8"/>
      <c r="K319" s="10"/>
      <c r="L319" s="10"/>
      <c r="M319" s="10"/>
      <c r="N319" s="30"/>
      <c r="O319" s="7">
        <f t="shared" si="63"/>
        <v>0</v>
      </c>
    </row>
    <row r="320" spans="1:17" x14ac:dyDescent="0.15">
      <c r="A320" s="50" t="s">
        <v>22</v>
      </c>
      <c r="B320" s="8"/>
      <c r="C320" s="10"/>
      <c r="D320" s="10">
        <v>10</v>
      </c>
      <c r="E320" s="10"/>
      <c r="F320" s="30"/>
      <c r="G320" s="7">
        <f t="shared" si="61"/>
        <v>10</v>
      </c>
      <c r="H320" s="58">
        <v>43286</v>
      </c>
      <c r="I320" s="14"/>
      <c r="J320" s="8"/>
      <c r="K320" s="10"/>
      <c r="L320" s="10"/>
      <c r="M320" s="10"/>
      <c r="N320" s="30"/>
      <c r="O320" s="7">
        <f t="shared" si="63"/>
        <v>0</v>
      </c>
    </row>
    <row r="321" spans="1:17" x14ac:dyDescent="0.15">
      <c r="A321" s="14" t="s">
        <v>30</v>
      </c>
      <c r="B321" s="8"/>
      <c r="C321" s="10"/>
      <c r="D321" s="10">
        <v>2</v>
      </c>
      <c r="E321" s="10"/>
      <c r="F321" s="30"/>
      <c r="G321" s="7">
        <f t="shared" si="61"/>
        <v>2</v>
      </c>
      <c r="H321" s="58">
        <v>43284</v>
      </c>
      <c r="I321" s="16"/>
      <c r="J321" s="8"/>
      <c r="K321" s="10"/>
      <c r="L321" s="10"/>
      <c r="M321" s="10"/>
      <c r="N321" s="30"/>
      <c r="O321" s="7">
        <f t="shared" si="63"/>
        <v>0</v>
      </c>
    </row>
    <row r="322" spans="1:17" x14ac:dyDescent="0.15">
      <c r="A322" s="16" t="s">
        <v>25</v>
      </c>
      <c r="B322" s="8"/>
      <c r="C322" s="10">
        <v>2</v>
      </c>
      <c r="D322" s="10"/>
      <c r="E322" s="10"/>
      <c r="F322" s="30"/>
      <c r="G322" s="7">
        <f t="shared" si="61"/>
        <v>2</v>
      </c>
      <c r="H322" s="58">
        <v>43284</v>
      </c>
      <c r="I322" s="16"/>
      <c r="J322" s="8"/>
      <c r="K322" s="10"/>
      <c r="L322" s="10"/>
      <c r="M322" s="10"/>
      <c r="N322" s="30"/>
      <c r="O322" s="7">
        <f t="shared" si="63"/>
        <v>0</v>
      </c>
    </row>
    <row r="323" spans="1:17" x14ac:dyDescent="0.15">
      <c r="A323" s="16" t="s">
        <v>751</v>
      </c>
      <c r="B323" s="8"/>
      <c r="C323" s="10">
        <v>1</v>
      </c>
      <c r="D323" s="10"/>
      <c r="E323" s="10"/>
      <c r="F323" s="30"/>
      <c r="G323" s="7">
        <f t="shared" si="61"/>
        <v>1</v>
      </c>
      <c r="H323" s="58">
        <v>43283</v>
      </c>
      <c r="I323" s="16"/>
      <c r="J323" s="8"/>
      <c r="K323" s="10"/>
      <c r="L323" s="10"/>
      <c r="M323" s="10"/>
      <c r="N323" s="30"/>
      <c r="O323" s="7">
        <f t="shared" si="63"/>
        <v>0</v>
      </c>
    </row>
    <row r="324" spans="1:17" x14ac:dyDescent="0.15">
      <c r="A324" s="50" t="s">
        <v>22</v>
      </c>
      <c r="B324" s="8"/>
      <c r="C324" s="10"/>
      <c r="D324" s="10"/>
      <c r="E324" s="10"/>
      <c r="F324" s="30">
        <v>10</v>
      </c>
      <c r="G324" s="7">
        <f t="shared" si="61"/>
        <v>10</v>
      </c>
      <c r="H324" s="58">
        <v>43290</v>
      </c>
      <c r="I324" s="16"/>
      <c r="J324" s="8"/>
      <c r="K324" s="10"/>
      <c r="L324" s="10"/>
      <c r="M324" s="10"/>
      <c r="N324" s="30"/>
      <c r="O324" s="7">
        <f t="shared" si="63"/>
        <v>0</v>
      </c>
    </row>
    <row r="325" spans="1:17" x14ac:dyDescent="0.15">
      <c r="A325" s="16" t="s">
        <v>752</v>
      </c>
      <c r="B325" s="8"/>
      <c r="C325" s="10"/>
      <c r="D325" s="10">
        <v>1</v>
      </c>
      <c r="E325" s="10"/>
      <c r="F325" s="30"/>
      <c r="G325" s="7">
        <f t="shared" si="61"/>
        <v>1</v>
      </c>
      <c r="H325" s="58">
        <v>43285</v>
      </c>
      <c r="I325" s="20"/>
      <c r="J325" s="11"/>
      <c r="K325" s="12"/>
      <c r="L325" s="12"/>
      <c r="M325" s="12"/>
      <c r="N325" s="31"/>
      <c r="O325" s="7">
        <f t="shared" si="63"/>
        <v>0</v>
      </c>
    </row>
    <row r="326" spans="1:17" x14ac:dyDescent="0.15">
      <c r="A326" s="16" t="s">
        <v>25</v>
      </c>
      <c r="B326" s="8"/>
      <c r="C326" s="10"/>
      <c r="D326" s="10">
        <v>2</v>
      </c>
      <c r="E326" s="10"/>
      <c r="F326" s="30"/>
      <c r="G326" s="7">
        <f t="shared" si="61"/>
        <v>2</v>
      </c>
      <c r="H326" s="58">
        <v>43286</v>
      </c>
      <c r="I326" s="14"/>
      <c r="J326" s="8"/>
      <c r="K326" s="10"/>
      <c r="L326" s="10"/>
      <c r="M326" s="10"/>
      <c r="N326" s="30"/>
      <c r="O326" s="7">
        <f t="shared" si="63"/>
        <v>0</v>
      </c>
      <c r="P326" s="58"/>
      <c r="Q326" s="56"/>
    </row>
    <row r="327" spans="1:17" x14ac:dyDescent="0.15">
      <c r="A327" s="14" t="s">
        <v>30</v>
      </c>
      <c r="B327" s="8"/>
      <c r="C327" s="10"/>
      <c r="D327" s="10"/>
      <c r="E327" s="10"/>
      <c r="F327" s="30">
        <v>1</v>
      </c>
      <c r="G327" s="7">
        <f>SUM(B327:F327)</f>
        <v>1</v>
      </c>
      <c r="H327" s="58">
        <v>43290</v>
      </c>
      <c r="I327" s="14"/>
      <c r="J327" s="8"/>
      <c r="K327" s="10"/>
      <c r="L327" s="10"/>
      <c r="M327" s="10"/>
      <c r="N327" s="30"/>
      <c r="O327" s="7">
        <f t="shared" si="63"/>
        <v>0</v>
      </c>
      <c r="P327" s="58"/>
      <c r="Q327" s="56"/>
    </row>
    <row r="328" spans="1:17" x14ac:dyDescent="0.15">
      <c r="A328" s="50" t="s">
        <v>22</v>
      </c>
      <c r="B328" s="8">
        <v>10</v>
      </c>
      <c r="C328" s="10"/>
      <c r="D328" s="10"/>
      <c r="E328" s="10">
        <v>10</v>
      </c>
      <c r="F328" s="30"/>
      <c r="G328" s="7">
        <f>SUM(B328:F328)</f>
        <v>20</v>
      </c>
      <c r="H328" s="58">
        <v>43294</v>
      </c>
      <c r="I328" s="14"/>
      <c r="J328" s="8"/>
      <c r="K328" s="10"/>
      <c r="L328" s="10"/>
      <c r="M328" s="10"/>
      <c r="N328" s="30"/>
      <c r="O328" s="7">
        <f t="shared" si="63"/>
        <v>0</v>
      </c>
      <c r="P328" s="56"/>
      <c r="Q328" s="56"/>
    </row>
    <row r="329" spans="1:17" x14ac:dyDescent="0.15">
      <c r="A329" s="39" t="s">
        <v>757</v>
      </c>
      <c r="B329" s="8">
        <v>-10</v>
      </c>
      <c r="C329" s="10"/>
      <c r="D329" s="10"/>
      <c r="E329" s="10">
        <v>-10</v>
      </c>
      <c r="F329" s="30"/>
      <c r="G329" s="7">
        <f t="shared" ref="G329:G334" si="67">SUM(B329:F329)</f>
        <v>-20</v>
      </c>
      <c r="H329" s="58">
        <v>43290</v>
      </c>
      <c r="I329" s="14"/>
      <c r="J329" s="8"/>
      <c r="K329" s="10"/>
      <c r="L329" s="10"/>
      <c r="M329" s="10"/>
      <c r="N329" s="30"/>
      <c r="O329" s="7">
        <f t="shared" si="63"/>
        <v>0</v>
      </c>
      <c r="P329" s="58"/>
      <c r="Q329" s="56"/>
    </row>
    <row r="330" spans="1:17" x14ac:dyDescent="0.15">
      <c r="A330" s="16" t="s">
        <v>25</v>
      </c>
      <c r="B330" s="11"/>
      <c r="C330" s="12">
        <v>1</v>
      </c>
      <c r="D330" s="12"/>
      <c r="E330" s="12"/>
      <c r="F330" s="31">
        <v>1</v>
      </c>
      <c r="G330" s="7">
        <f t="shared" si="67"/>
        <v>2</v>
      </c>
      <c r="H330" s="58">
        <v>43288</v>
      </c>
      <c r="I330" s="141"/>
      <c r="J330" s="8"/>
      <c r="K330" s="10"/>
      <c r="L330" s="10"/>
      <c r="M330" s="10"/>
      <c r="N330" s="30"/>
      <c r="O330" s="7">
        <f t="shared" si="63"/>
        <v>0</v>
      </c>
      <c r="P330" s="56"/>
      <c r="Q330" s="56"/>
    </row>
    <row r="331" spans="1:17" x14ac:dyDescent="0.15">
      <c r="A331" s="16" t="s">
        <v>25</v>
      </c>
      <c r="B331" s="8"/>
      <c r="C331" s="10">
        <v>1</v>
      </c>
      <c r="D331" s="10"/>
      <c r="E331" s="10"/>
      <c r="F331" s="30"/>
      <c r="G331" s="7">
        <f t="shared" si="67"/>
        <v>1</v>
      </c>
      <c r="H331" s="58">
        <v>43291</v>
      </c>
      <c r="I331" s="14"/>
      <c r="J331" s="8"/>
      <c r="K331" s="10"/>
      <c r="L331" s="10"/>
      <c r="M331" s="10"/>
      <c r="N331" s="30"/>
      <c r="O331" s="7">
        <f t="shared" ref="O331" si="68">SUM(J331:N331)</f>
        <v>0</v>
      </c>
      <c r="P331" s="58"/>
      <c r="Q331" s="56"/>
    </row>
    <row r="332" spans="1:17" x14ac:dyDescent="0.15">
      <c r="A332" s="15" t="s">
        <v>17</v>
      </c>
      <c r="B332" s="37"/>
      <c r="C332" s="35">
        <v>-1</v>
      </c>
      <c r="D332" s="35"/>
      <c r="E332" s="35"/>
      <c r="F332" s="28"/>
      <c r="G332" s="7">
        <f t="shared" si="67"/>
        <v>-1</v>
      </c>
      <c r="H332" s="58">
        <v>43290</v>
      </c>
      <c r="I332" s="141"/>
      <c r="J332" s="8"/>
      <c r="K332" s="10"/>
      <c r="L332" s="10"/>
      <c r="M332" s="10"/>
      <c r="N332" s="30"/>
      <c r="O332" s="7">
        <f t="shared" si="63"/>
        <v>0</v>
      </c>
      <c r="P332" s="58"/>
      <c r="Q332" s="56"/>
    </row>
    <row r="333" spans="1:17" x14ac:dyDescent="0.15">
      <c r="A333" s="16" t="s">
        <v>182</v>
      </c>
      <c r="B333" s="8"/>
      <c r="C333" s="10"/>
      <c r="D333" s="10"/>
      <c r="E333" s="10">
        <v>5</v>
      </c>
      <c r="F333" s="30"/>
      <c r="G333" s="9">
        <f t="shared" si="67"/>
        <v>5</v>
      </c>
      <c r="H333" s="58">
        <v>43292</v>
      </c>
      <c r="I333" s="141"/>
      <c r="J333" s="8"/>
      <c r="K333" s="10"/>
      <c r="L333" s="10"/>
      <c r="M333" s="10"/>
      <c r="N333" s="30"/>
      <c r="O333" s="7">
        <f t="shared" si="63"/>
        <v>0</v>
      </c>
      <c r="P333" s="56"/>
      <c r="Q333" s="56"/>
    </row>
    <row r="334" spans="1:17" ht="14.25" thickBot="1" x14ac:dyDescent="0.2">
      <c r="A334" s="16" t="s">
        <v>764</v>
      </c>
      <c r="B334" s="37"/>
      <c r="C334" s="35">
        <v>1</v>
      </c>
      <c r="D334" s="35"/>
      <c r="E334" s="35"/>
      <c r="F334" s="28"/>
      <c r="G334" s="7">
        <f t="shared" si="67"/>
        <v>1</v>
      </c>
      <c r="H334" s="58">
        <v>43292</v>
      </c>
      <c r="I334" s="20"/>
      <c r="J334" s="11"/>
      <c r="K334" s="12"/>
      <c r="L334" s="12"/>
      <c r="M334" s="12"/>
      <c r="N334" s="31"/>
      <c r="O334" s="7">
        <f t="shared" si="63"/>
        <v>0</v>
      </c>
      <c r="P334" s="56"/>
      <c r="Q334" s="56"/>
    </row>
    <row r="335" spans="1:17" ht="14.25" thickBot="1" x14ac:dyDescent="0.2">
      <c r="A335" s="3" t="s">
        <v>11</v>
      </c>
      <c r="B335" s="23">
        <f>SUM(B309:B334)</f>
        <v>4</v>
      </c>
      <c r="C335" s="4">
        <f>SUM(C309:C334)</f>
        <v>14</v>
      </c>
      <c r="D335" s="4">
        <f>SUM(D309:D334)</f>
        <v>30</v>
      </c>
      <c r="E335" s="6">
        <f>SUM(E309:E334)</f>
        <v>12</v>
      </c>
      <c r="F335" s="32">
        <f>SUM(F309:F334)</f>
        <v>17</v>
      </c>
      <c r="G335" s="5">
        <f>SUM(B335:F335)</f>
        <v>77</v>
      </c>
      <c r="H335" s="56"/>
      <c r="I335" s="3" t="s">
        <v>11</v>
      </c>
      <c r="J335" s="23">
        <f>SUM(J309:J334)</f>
        <v>10</v>
      </c>
      <c r="K335" s="4">
        <f>SUM(K309:K334)</f>
        <v>5</v>
      </c>
      <c r="L335" s="4">
        <f>SUM(L309:L334)</f>
        <v>30</v>
      </c>
      <c r="M335" s="6">
        <f>SUM(M309:M334)</f>
        <v>10</v>
      </c>
      <c r="N335" s="32">
        <f>SUM(N309:N334)</f>
        <v>15</v>
      </c>
      <c r="O335" s="5">
        <f>SUM(J335:N335)</f>
        <v>70</v>
      </c>
    </row>
    <row r="336" spans="1:17" ht="14.25" thickBot="1" x14ac:dyDescent="0.2">
      <c r="A336" s="25" t="s">
        <v>12</v>
      </c>
      <c r="B336" s="63">
        <f>B308-B335</f>
        <v>8</v>
      </c>
      <c r="C336" s="26">
        <f t="shared" ref="C336:G336" si="69">C308-C335</f>
        <v>8</v>
      </c>
      <c r="D336" s="71">
        <f t="shared" si="69"/>
        <v>11</v>
      </c>
      <c r="E336" s="26">
        <f t="shared" si="69"/>
        <v>6</v>
      </c>
      <c r="F336" s="70">
        <f t="shared" si="69"/>
        <v>8</v>
      </c>
      <c r="G336" s="27">
        <f t="shared" si="69"/>
        <v>41</v>
      </c>
      <c r="H336" s="56"/>
      <c r="I336" s="25" t="s">
        <v>12</v>
      </c>
      <c r="J336" s="63">
        <f>J308-J335</f>
        <v>90</v>
      </c>
      <c r="K336" s="26">
        <f t="shared" ref="K336:O336" si="70">K308-K335</f>
        <v>44</v>
      </c>
      <c r="L336" s="71">
        <f t="shared" si="70"/>
        <v>84</v>
      </c>
      <c r="M336" s="26">
        <f t="shared" si="70"/>
        <v>138</v>
      </c>
      <c r="N336" s="70">
        <f t="shared" si="70"/>
        <v>78</v>
      </c>
      <c r="O336" s="27">
        <f t="shared" si="70"/>
        <v>434</v>
      </c>
    </row>
    <row r="337" spans="1:16" ht="21" x14ac:dyDescent="0.2">
      <c r="A337" s="83" t="s">
        <v>415</v>
      </c>
      <c r="B337" s="77"/>
      <c r="C337" s="77"/>
      <c r="D337" s="77"/>
      <c r="E337" s="77"/>
      <c r="F337" s="77"/>
      <c r="G337" s="77"/>
      <c r="H337" s="56"/>
      <c r="I337" s="83" t="s">
        <v>415</v>
      </c>
      <c r="J337" s="77"/>
      <c r="K337" s="77"/>
      <c r="L337" s="77"/>
      <c r="M337" s="77"/>
      <c r="N337" s="77"/>
      <c r="O337" s="77"/>
    </row>
    <row r="338" spans="1:16" ht="21.75" thickBot="1" x14ac:dyDescent="0.25">
      <c r="A338" s="83" t="s">
        <v>47</v>
      </c>
      <c r="B338" s="77"/>
      <c r="C338" s="77"/>
      <c r="D338" s="77"/>
      <c r="E338" s="84"/>
      <c r="F338" s="78" t="s">
        <v>53</v>
      </c>
      <c r="G338" s="77"/>
      <c r="H338" s="56"/>
      <c r="I338" s="83" t="s">
        <v>47</v>
      </c>
      <c r="J338" s="77"/>
      <c r="K338" s="77"/>
      <c r="L338" s="77"/>
      <c r="M338" s="84"/>
      <c r="N338" s="78" t="s">
        <v>54</v>
      </c>
      <c r="O338" s="77"/>
    </row>
    <row r="339" spans="1:16" ht="14.25" thickBot="1" x14ac:dyDescent="0.2">
      <c r="A339" s="13" t="s">
        <v>0</v>
      </c>
      <c r="B339" s="228" t="s">
        <v>49</v>
      </c>
      <c r="C339" s="229"/>
      <c r="D339" s="229"/>
      <c r="E339" s="229"/>
      <c r="F339" s="230"/>
      <c r="G339" s="231"/>
      <c r="H339" s="56"/>
      <c r="I339" s="13" t="s">
        <v>0</v>
      </c>
      <c r="J339" s="228" t="s">
        <v>49</v>
      </c>
      <c r="K339" s="229"/>
      <c r="L339" s="229"/>
      <c r="M339" s="229"/>
      <c r="N339" s="230"/>
      <c r="O339" s="231"/>
    </row>
    <row r="340" spans="1:16" ht="14.25" thickBot="1" x14ac:dyDescent="0.2">
      <c r="A340" s="3" t="s">
        <v>1</v>
      </c>
      <c r="B340" s="2" t="s">
        <v>42</v>
      </c>
      <c r="C340" s="21" t="s">
        <v>43</v>
      </c>
      <c r="D340" s="21" t="s">
        <v>44</v>
      </c>
      <c r="E340" s="24" t="s">
        <v>45</v>
      </c>
      <c r="F340" s="33" t="s">
        <v>46</v>
      </c>
      <c r="G340" s="34" t="s">
        <v>2</v>
      </c>
      <c r="H340" s="56"/>
      <c r="I340" s="3" t="s">
        <v>1</v>
      </c>
      <c r="J340" s="2" t="s">
        <v>42</v>
      </c>
      <c r="K340" s="21" t="s">
        <v>43</v>
      </c>
      <c r="L340" s="21" t="s">
        <v>44</v>
      </c>
      <c r="M340" s="24" t="s">
        <v>45</v>
      </c>
      <c r="N340" s="33" t="s">
        <v>46</v>
      </c>
      <c r="O340" s="3" t="s">
        <v>2</v>
      </c>
    </row>
    <row r="341" spans="1:16" ht="14.25" thickBot="1" x14ac:dyDescent="0.2">
      <c r="A341" s="72" t="s">
        <v>527</v>
      </c>
      <c r="B341" s="73">
        <f>B336</f>
        <v>8</v>
      </c>
      <c r="C341" s="73">
        <f t="shared" ref="C341:F341" si="71">C336</f>
        <v>8</v>
      </c>
      <c r="D341" s="73">
        <f t="shared" si="71"/>
        <v>11</v>
      </c>
      <c r="E341" s="73">
        <f t="shared" si="71"/>
        <v>6</v>
      </c>
      <c r="F341" s="73">
        <f t="shared" si="71"/>
        <v>8</v>
      </c>
      <c r="G341" s="76">
        <f t="shared" ref="G341:G368" si="72">SUM(B341:F341)</f>
        <v>41</v>
      </c>
      <c r="H341" s="56"/>
      <c r="I341" s="96" t="s">
        <v>12</v>
      </c>
      <c r="J341" s="95">
        <f>J336</f>
        <v>90</v>
      </c>
      <c r="K341" s="97">
        <f t="shared" ref="K341:N341" si="73">K336</f>
        <v>44</v>
      </c>
      <c r="L341" s="97">
        <f t="shared" si="73"/>
        <v>84</v>
      </c>
      <c r="M341" s="97">
        <f t="shared" si="73"/>
        <v>138</v>
      </c>
      <c r="N341" s="54">
        <f t="shared" si="73"/>
        <v>78</v>
      </c>
      <c r="O341" s="52">
        <f t="shared" ref="O341:O376" si="74">SUM(J341:N341)</f>
        <v>434</v>
      </c>
    </row>
    <row r="342" spans="1:16" x14ac:dyDescent="0.15">
      <c r="A342" s="15" t="s">
        <v>14</v>
      </c>
      <c r="B342" s="37"/>
      <c r="C342" s="35"/>
      <c r="D342" s="35">
        <v>5</v>
      </c>
      <c r="E342" s="35">
        <v>5</v>
      </c>
      <c r="F342" s="28">
        <v>5</v>
      </c>
      <c r="G342" s="7">
        <f t="shared" si="72"/>
        <v>15</v>
      </c>
      <c r="H342" s="58">
        <v>43295</v>
      </c>
      <c r="I342" s="15" t="s">
        <v>3</v>
      </c>
      <c r="J342" s="37"/>
      <c r="K342" s="35">
        <v>50</v>
      </c>
      <c r="L342" s="35"/>
      <c r="M342" s="35"/>
      <c r="N342" s="28"/>
      <c r="O342" s="7">
        <f t="shared" si="74"/>
        <v>50</v>
      </c>
      <c r="P342" s="58">
        <v>43286</v>
      </c>
    </row>
    <row r="343" spans="1:16" x14ac:dyDescent="0.15">
      <c r="A343" s="15" t="s">
        <v>3</v>
      </c>
      <c r="B343" s="8"/>
      <c r="C343" s="10">
        <v>10</v>
      </c>
      <c r="D343" s="10"/>
      <c r="E343" s="10"/>
      <c r="F343" s="28"/>
      <c r="G343" s="9">
        <f t="shared" si="72"/>
        <v>10</v>
      </c>
      <c r="H343" s="58">
        <v>43298</v>
      </c>
      <c r="I343" s="15" t="s">
        <v>4</v>
      </c>
      <c r="J343" s="8">
        <v>110</v>
      </c>
      <c r="K343" s="10">
        <v>210</v>
      </c>
      <c r="L343" s="10">
        <v>180</v>
      </c>
      <c r="M343" s="10">
        <v>120</v>
      </c>
      <c r="N343" s="28">
        <v>130</v>
      </c>
      <c r="O343" s="9">
        <f t="shared" si="74"/>
        <v>750</v>
      </c>
      <c r="P343" s="58">
        <v>43300</v>
      </c>
    </row>
    <row r="344" spans="1:16" x14ac:dyDescent="0.15">
      <c r="A344" s="15" t="s">
        <v>4</v>
      </c>
      <c r="B344" s="8"/>
      <c r="C344" s="10"/>
      <c r="D344" s="10">
        <v>10</v>
      </c>
      <c r="E344" s="10">
        <v>5</v>
      </c>
      <c r="F344" s="28"/>
      <c r="G344" s="9">
        <f t="shared" si="72"/>
        <v>15</v>
      </c>
      <c r="H344" s="58">
        <v>43299</v>
      </c>
      <c r="I344" s="15" t="s">
        <v>5</v>
      </c>
      <c r="J344" s="8"/>
      <c r="K344" s="10"/>
      <c r="L344" s="10"/>
      <c r="M344" s="10"/>
      <c r="N344" s="28"/>
      <c r="O344" s="9">
        <f t="shared" si="74"/>
        <v>0</v>
      </c>
    </row>
    <row r="345" spans="1:16" x14ac:dyDescent="0.15">
      <c r="A345" s="15" t="s">
        <v>5</v>
      </c>
      <c r="B345" s="8"/>
      <c r="C345" s="10">
        <v>10</v>
      </c>
      <c r="D345" s="10"/>
      <c r="E345" s="10">
        <v>5</v>
      </c>
      <c r="F345" s="28"/>
      <c r="G345" s="9">
        <f t="shared" si="72"/>
        <v>15</v>
      </c>
      <c r="H345" s="58">
        <v>43301</v>
      </c>
      <c r="I345" s="15" t="s">
        <v>6</v>
      </c>
      <c r="J345" s="8"/>
      <c r="K345" s="10"/>
      <c r="L345" s="10"/>
      <c r="M345" s="10"/>
      <c r="N345" s="28"/>
      <c r="O345" s="9">
        <f t="shared" si="74"/>
        <v>0</v>
      </c>
    </row>
    <row r="346" spans="1:16" x14ac:dyDescent="0.15">
      <c r="A346" s="15" t="s">
        <v>175</v>
      </c>
      <c r="B346" s="11"/>
      <c r="C346" s="12"/>
      <c r="D346" s="12"/>
      <c r="E346" s="12">
        <v>1</v>
      </c>
      <c r="F346" s="31"/>
      <c r="G346" s="7">
        <f t="shared" si="72"/>
        <v>1</v>
      </c>
      <c r="H346" s="58">
        <v>43300</v>
      </c>
      <c r="I346" s="15" t="s">
        <v>84</v>
      </c>
      <c r="J346" s="11"/>
      <c r="K346" s="12"/>
      <c r="L346" s="12"/>
      <c r="M346" s="12"/>
      <c r="N346" s="31"/>
      <c r="O346" s="7">
        <f t="shared" si="74"/>
        <v>0</v>
      </c>
    </row>
    <row r="347" spans="1:16" x14ac:dyDescent="0.15">
      <c r="A347" s="15" t="s">
        <v>84</v>
      </c>
      <c r="B347" s="8">
        <v>5</v>
      </c>
      <c r="C347" s="10"/>
      <c r="D347" s="10">
        <v>5</v>
      </c>
      <c r="E347" s="10"/>
      <c r="F347" s="30">
        <v>5</v>
      </c>
      <c r="G347" s="7">
        <f t="shared" si="72"/>
        <v>15</v>
      </c>
      <c r="H347" s="58">
        <v>43302</v>
      </c>
      <c r="I347" s="15" t="s">
        <v>85</v>
      </c>
      <c r="J347" s="8"/>
      <c r="K347" s="10"/>
      <c r="L347" s="10"/>
      <c r="M347" s="10"/>
      <c r="N347" s="30"/>
      <c r="O347" s="7">
        <f t="shared" si="74"/>
        <v>0</v>
      </c>
    </row>
    <row r="348" spans="1:16" x14ac:dyDescent="0.15">
      <c r="A348" s="15" t="s">
        <v>19</v>
      </c>
      <c r="B348" s="8"/>
      <c r="C348" s="10"/>
      <c r="D348" s="10">
        <v>2</v>
      </c>
      <c r="E348" s="10">
        <v>1</v>
      </c>
      <c r="F348" s="30">
        <v>1</v>
      </c>
      <c r="G348" s="7">
        <f t="shared" si="72"/>
        <v>4</v>
      </c>
      <c r="H348" s="58">
        <v>43301</v>
      </c>
      <c r="I348" s="16" t="s">
        <v>88</v>
      </c>
      <c r="J348" s="8"/>
      <c r="K348" s="10"/>
      <c r="L348" s="10"/>
      <c r="M348" s="10"/>
      <c r="N348" s="30"/>
      <c r="O348" s="7">
        <f t="shared" si="74"/>
        <v>0</v>
      </c>
    </row>
    <row r="349" spans="1:16" ht="14.25" thickBot="1" x14ac:dyDescent="0.2">
      <c r="A349" s="15" t="s">
        <v>86</v>
      </c>
      <c r="B349" s="11"/>
      <c r="C349" s="100"/>
      <c r="D349" s="100"/>
      <c r="E349" s="100">
        <v>10</v>
      </c>
      <c r="F349" s="101">
        <v>10</v>
      </c>
      <c r="G349" s="102">
        <f t="shared" si="72"/>
        <v>20</v>
      </c>
      <c r="H349" s="58">
        <v>43305</v>
      </c>
      <c r="I349" s="15" t="s">
        <v>87</v>
      </c>
      <c r="J349" s="11"/>
      <c r="K349" s="100"/>
      <c r="L349" s="100"/>
      <c r="M349" s="100"/>
      <c r="N349" s="101"/>
      <c r="O349" s="102">
        <f t="shared" si="74"/>
        <v>0</v>
      </c>
    </row>
    <row r="350" spans="1:16" ht="14.25" thickBot="1" x14ac:dyDescent="0.2">
      <c r="A350" s="72" t="s">
        <v>7</v>
      </c>
      <c r="B350" s="73">
        <f>SUM(B341:B349)</f>
        <v>13</v>
      </c>
      <c r="C350" s="74">
        <f t="shared" ref="C350:F350" si="75">SUM(C341:C349)</f>
        <v>28</v>
      </c>
      <c r="D350" s="74">
        <f t="shared" si="75"/>
        <v>33</v>
      </c>
      <c r="E350" s="74">
        <f t="shared" si="75"/>
        <v>33</v>
      </c>
      <c r="F350" s="105">
        <f t="shared" si="75"/>
        <v>29</v>
      </c>
      <c r="G350" s="76">
        <f t="shared" si="72"/>
        <v>136</v>
      </c>
      <c r="H350" s="56"/>
      <c r="I350" s="72" t="s">
        <v>7</v>
      </c>
      <c r="J350" s="73">
        <f>SUM(J341:J349)</f>
        <v>200</v>
      </c>
      <c r="K350" s="74">
        <f t="shared" ref="K350:N350" si="76">SUM(K341:K349)</f>
        <v>304</v>
      </c>
      <c r="L350" s="74">
        <f t="shared" si="76"/>
        <v>264</v>
      </c>
      <c r="M350" s="74">
        <f t="shared" si="76"/>
        <v>258</v>
      </c>
      <c r="N350" s="105">
        <f t="shared" si="76"/>
        <v>208</v>
      </c>
      <c r="O350" s="76">
        <f t="shared" si="74"/>
        <v>1234</v>
      </c>
    </row>
    <row r="351" spans="1:16" x14ac:dyDescent="0.15">
      <c r="A351" s="16" t="s">
        <v>25</v>
      </c>
      <c r="B351" s="37"/>
      <c r="C351" s="35"/>
      <c r="D351" s="35">
        <v>2</v>
      </c>
      <c r="E351" s="35">
        <v>1</v>
      </c>
      <c r="F351" s="28">
        <v>1</v>
      </c>
      <c r="G351" s="18">
        <f t="shared" si="72"/>
        <v>4</v>
      </c>
      <c r="H351" s="58">
        <v>43293</v>
      </c>
      <c r="I351" s="16" t="s">
        <v>767</v>
      </c>
      <c r="J351" s="37"/>
      <c r="K351" s="35"/>
      <c r="L351" s="35">
        <v>5</v>
      </c>
      <c r="M351" s="35">
        <v>5</v>
      </c>
      <c r="N351" s="28">
        <v>5</v>
      </c>
      <c r="O351" s="7">
        <f t="shared" si="74"/>
        <v>15</v>
      </c>
      <c r="P351" s="58">
        <v>43295</v>
      </c>
    </row>
    <row r="352" spans="1:16" x14ac:dyDescent="0.15">
      <c r="A352" s="14" t="s">
        <v>30</v>
      </c>
      <c r="B352" s="8"/>
      <c r="C352" s="10"/>
      <c r="D352" s="10"/>
      <c r="E352" s="10">
        <v>1</v>
      </c>
      <c r="F352" s="30"/>
      <c r="G352" s="7">
        <f t="shared" si="72"/>
        <v>1</v>
      </c>
      <c r="H352" s="58">
        <v>43298</v>
      </c>
      <c r="I352" s="16" t="s">
        <v>769</v>
      </c>
      <c r="J352" s="8"/>
      <c r="K352" s="10">
        <v>10</v>
      </c>
      <c r="L352" s="10"/>
      <c r="M352" s="10"/>
      <c r="N352" s="30"/>
      <c r="O352" s="7">
        <f t="shared" si="74"/>
        <v>10</v>
      </c>
      <c r="P352" s="58">
        <v>43298</v>
      </c>
    </row>
    <row r="353" spans="1:16" x14ac:dyDescent="0.15">
      <c r="A353" s="16" t="s">
        <v>182</v>
      </c>
      <c r="B353" s="8"/>
      <c r="C353" s="10"/>
      <c r="D353" s="10">
        <v>2</v>
      </c>
      <c r="E353" s="10"/>
      <c r="F353" s="30"/>
      <c r="G353" s="7">
        <f t="shared" si="72"/>
        <v>2</v>
      </c>
      <c r="H353" s="58">
        <v>43298</v>
      </c>
      <c r="I353" s="16" t="s">
        <v>24</v>
      </c>
      <c r="J353" s="8"/>
      <c r="K353" s="10"/>
      <c r="L353" s="10">
        <v>10</v>
      </c>
      <c r="M353" s="10">
        <v>5</v>
      </c>
      <c r="N353" s="30"/>
      <c r="O353" s="7">
        <f t="shared" si="74"/>
        <v>15</v>
      </c>
      <c r="P353" s="58">
        <v>43299</v>
      </c>
    </row>
    <row r="354" spans="1:16" x14ac:dyDescent="0.15">
      <c r="A354" s="16" t="s">
        <v>110</v>
      </c>
      <c r="B354" s="8"/>
      <c r="C354" s="10"/>
      <c r="D354" s="10">
        <v>2</v>
      </c>
      <c r="E354" s="10"/>
      <c r="F354" s="30"/>
      <c r="G354" s="7">
        <f t="shared" si="72"/>
        <v>2</v>
      </c>
      <c r="H354" s="58">
        <v>43301</v>
      </c>
      <c r="I354" s="16" t="s">
        <v>24</v>
      </c>
      <c r="J354" s="8"/>
      <c r="K354" s="10">
        <v>10</v>
      </c>
      <c r="L354" s="10"/>
      <c r="M354" s="10">
        <v>5</v>
      </c>
      <c r="N354" s="30"/>
      <c r="O354" s="7">
        <f t="shared" si="74"/>
        <v>15</v>
      </c>
      <c r="P354" s="58">
        <v>43301</v>
      </c>
    </row>
    <row r="355" spans="1:16" x14ac:dyDescent="0.15">
      <c r="A355" s="16" t="s">
        <v>25</v>
      </c>
      <c r="B355" s="8"/>
      <c r="C355" s="10"/>
      <c r="D355" s="10"/>
      <c r="E355" s="10">
        <v>2</v>
      </c>
      <c r="F355" s="30"/>
      <c r="G355" s="7">
        <f t="shared" si="72"/>
        <v>2</v>
      </c>
      <c r="H355" s="58">
        <v>43295</v>
      </c>
      <c r="I355" s="16" t="s">
        <v>743</v>
      </c>
      <c r="J355" s="8">
        <v>5</v>
      </c>
      <c r="K355" s="10"/>
      <c r="L355" s="10">
        <v>5</v>
      </c>
      <c r="M355" s="10"/>
      <c r="N355" s="30">
        <v>5</v>
      </c>
      <c r="O355" s="7">
        <f t="shared" si="74"/>
        <v>15</v>
      </c>
      <c r="P355" s="58">
        <v>43302</v>
      </c>
    </row>
    <row r="356" spans="1:16" x14ac:dyDescent="0.15">
      <c r="A356" s="16" t="s">
        <v>182</v>
      </c>
      <c r="B356" s="8"/>
      <c r="C356" s="10">
        <v>10</v>
      </c>
      <c r="D356" s="10">
        <v>5</v>
      </c>
      <c r="E356" s="10"/>
      <c r="F356" s="30"/>
      <c r="G356" s="7">
        <f t="shared" si="72"/>
        <v>15</v>
      </c>
      <c r="H356" s="58">
        <v>43299</v>
      </c>
      <c r="I356" s="16" t="s">
        <v>24</v>
      </c>
      <c r="J356" s="8"/>
      <c r="K356" s="10"/>
      <c r="L356" s="10"/>
      <c r="M356" s="10">
        <v>10</v>
      </c>
      <c r="N356" s="30">
        <v>10</v>
      </c>
      <c r="O356" s="7">
        <f t="shared" si="74"/>
        <v>20</v>
      </c>
      <c r="P356" s="58">
        <v>43305</v>
      </c>
    </row>
    <row r="357" spans="1:16" x14ac:dyDescent="0.15">
      <c r="A357" s="16" t="s">
        <v>25</v>
      </c>
      <c r="B357" s="8"/>
      <c r="C357" s="10"/>
      <c r="D357" s="10">
        <v>3</v>
      </c>
      <c r="E357" s="10">
        <v>2</v>
      </c>
      <c r="F357" s="30"/>
      <c r="G357" s="7">
        <f t="shared" si="72"/>
        <v>5</v>
      </c>
      <c r="H357" s="58">
        <v>43299</v>
      </c>
      <c r="I357" s="16" t="s">
        <v>24</v>
      </c>
      <c r="J357" s="8"/>
      <c r="K357" s="10">
        <v>15</v>
      </c>
      <c r="L357" s="10">
        <v>5</v>
      </c>
      <c r="M357" s="10"/>
      <c r="N357" s="30"/>
      <c r="O357" s="7">
        <f t="shared" si="74"/>
        <v>20</v>
      </c>
      <c r="P357" s="58">
        <v>43307</v>
      </c>
    </row>
    <row r="358" spans="1:16" x14ac:dyDescent="0.15">
      <c r="A358" s="16" t="s">
        <v>182</v>
      </c>
      <c r="B358" s="8"/>
      <c r="C358" s="10">
        <v>5</v>
      </c>
      <c r="D358" s="10"/>
      <c r="E358" s="10">
        <v>2</v>
      </c>
      <c r="F358" s="30">
        <v>2</v>
      </c>
      <c r="G358" s="7">
        <f t="shared" si="72"/>
        <v>9</v>
      </c>
      <c r="H358" s="58">
        <v>43301</v>
      </c>
      <c r="I358" s="16" t="s">
        <v>110</v>
      </c>
      <c r="J358" s="8"/>
      <c r="K358" s="10"/>
      <c r="L358" s="10"/>
      <c r="M358" s="10"/>
      <c r="N358" s="30">
        <v>2</v>
      </c>
      <c r="O358" s="7">
        <f t="shared" si="74"/>
        <v>2</v>
      </c>
      <c r="P358" s="58">
        <v>43315</v>
      </c>
    </row>
    <row r="359" spans="1:16" x14ac:dyDescent="0.15">
      <c r="A359" s="16" t="s">
        <v>25</v>
      </c>
      <c r="B359" s="8"/>
      <c r="C359" s="10">
        <v>1</v>
      </c>
      <c r="D359" s="10">
        <v>4</v>
      </c>
      <c r="E359" s="10">
        <v>1</v>
      </c>
      <c r="F359" s="30">
        <v>1</v>
      </c>
      <c r="G359" s="7">
        <f t="shared" si="72"/>
        <v>7</v>
      </c>
      <c r="H359" s="58">
        <v>43301</v>
      </c>
      <c r="I359" s="16"/>
      <c r="J359" s="8"/>
      <c r="K359" s="10"/>
      <c r="L359" s="10"/>
      <c r="M359" s="10"/>
      <c r="N359" s="30"/>
      <c r="O359" s="7">
        <f t="shared" si="74"/>
        <v>0</v>
      </c>
    </row>
    <row r="360" spans="1:16" x14ac:dyDescent="0.15">
      <c r="A360" s="16" t="s">
        <v>182</v>
      </c>
      <c r="B360" s="8"/>
      <c r="C360" s="10"/>
      <c r="D360" s="10">
        <v>1</v>
      </c>
      <c r="E360" s="10"/>
      <c r="F360" s="30"/>
      <c r="G360" s="7">
        <f t="shared" si="72"/>
        <v>1</v>
      </c>
      <c r="H360" s="58">
        <v>43305</v>
      </c>
      <c r="I360" s="16"/>
      <c r="J360" s="11"/>
      <c r="K360" s="12"/>
      <c r="L360" s="12"/>
      <c r="M360" s="12"/>
      <c r="N360" s="31"/>
      <c r="O360" s="7">
        <f t="shared" si="74"/>
        <v>0</v>
      </c>
    </row>
    <row r="361" spans="1:16" x14ac:dyDescent="0.15">
      <c r="A361" s="16" t="s">
        <v>25</v>
      </c>
      <c r="B361" s="8"/>
      <c r="C361" s="10">
        <v>1</v>
      </c>
      <c r="D361" s="10">
        <v>1</v>
      </c>
      <c r="E361" s="10">
        <v>3</v>
      </c>
      <c r="F361" s="30"/>
      <c r="G361" s="7">
        <f t="shared" si="72"/>
        <v>5</v>
      </c>
      <c r="H361" s="58">
        <v>43305</v>
      </c>
      <c r="I361" s="16"/>
      <c r="J361" s="8"/>
      <c r="K361" s="10"/>
      <c r="L361" s="10"/>
      <c r="M361" s="10"/>
      <c r="N361" s="30"/>
      <c r="O361" s="7">
        <f t="shared" si="74"/>
        <v>0</v>
      </c>
    </row>
    <row r="362" spans="1:16" x14ac:dyDescent="0.15">
      <c r="A362" s="50" t="s">
        <v>22</v>
      </c>
      <c r="B362" s="8"/>
      <c r="C362" s="10"/>
      <c r="D362" s="10"/>
      <c r="E362" s="10">
        <v>10</v>
      </c>
      <c r="F362" s="30">
        <v>10</v>
      </c>
      <c r="G362" s="7">
        <f t="shared" si="72"/>
        <v>20</v>
      </c>
      <c r="H362" s="58">
        <v>43308</v>
      </c>
      <c r="I362" s="14"/>
      <c r="J362" s="8"/>
      <c r="K362" s="10"/>
      <c r="L362" s="10"/>
      <c r="M362" s="10"/>
      <c r="N362" s="30"/>
      <c r="O362" s="7">
        <f t="shared" si="74"/>
        <v>0</v>
      </c>
    </row>
    <row r="363" spans="1:16" x14ac:dyDescent="0.15">
      <c r="A363" s="16" t="s">
        <v>182</v>
      </c>
      <c r="B363" s="8"/>
      <c r="C363" s="10"/>
      <c r="D363" s="10">
        <v>5</v>
      </c>
      <c r="E363" s="10"/>
      <c r="F363" s="30">
        <v>3</v>
      </c>
      <c r="G363" s="7">
        <f t="shared" si="72"/>
        <v>8</v>
      </c>
      <c r="H363" s="58">
        <v>43307</v>
      </c>
      <c r="I363" s="16"/>
      <c r="J363" s="8"/>
      <c r="K363" s="10"/>
      <c r="L363" s="10"/>
      <c r="M363" s="10"/>
      <c r="N363" s="30"/>
      <c r="O363" s="7">
        <f t="shared" si="74"/>
        <v>0</v>
      </c>
    </row>
    <row r="364" spans="1:16" x14ac:dyDescent="0.15">
      <c r="A364" s="16" t="s">
        <v>182</v>
      </c>
      <c r="B364" s="8"/>
      <c r="C364" s="10">
        <v>3</v>
      </c>
      <c r="D364" s="10"/>
      <c r="E364" s="10"/>
      <c r="F364" s="30">
        <v>2</v>
      </c>
      <c r="G364" s="7">
        <f t="shared" si="72"/>
        <v>5</v>
      </c>
      <c r="H364" s="58">
        <v>43307</v>
      </c>
      <c r="I364" s="16"/>
      <c r="J364" s="8"/>
      <c r="K364" s="10"/>
      <c r="L364" s="10"/>
      <c r="M364" s="10"/>
      <c r="N364" s="30"/>
      <c r="O364" s="7">
        <f t="shared" si="74"/>
        <v>0</v>
      </c>
    </row>
    <row r="365" spans="1:16" x14ac:dyDescent="0.15">
      <c r="A365" s="50" t="s">
        <v>22</v>
      </c>
      <c r="B365" s="8"/>
      <c r="C365" s="10">
        <v>10</v>
      </c>
      <c r="D365" s="10"/>
      <c r="E365" s="10"/>
      <c r="F365" s="30"/>
      <c r="G365" s="7">
        <f t="shared" si="72"/>
        <v>10</v>
      </c>
      <c r="H365" s="58">
        <v>43311</v>
      </c>
      <c r="I365" s="16"/>
      <c r="J365" s="8"/>
      <c r="K365" s="10"/>
      <c r="L365" s="10"/>
      <c r="M365" s="10"/>
      <c r="N365" s="30"/>
      <c r="O365" s="7">
        <f t="shared" si="74"/>
        <v>0</v>
      </c>
      <c r="P365" s="56"/>
    </row>
    <row r="366" spans="1:16" x14ac:dyDescent="0.15">
      <c r="A366" s="50" t="s">
        <v>778</v>
      </c>
      <c r="B366" s="8"/>
      <c r="C366" s="10">
        <v>-15</v>
      </c>
      <c r="D366" s="10">
        <v>-5</v>
      </c>
      <c r="E366" s="10"/>
      <c r="F366" s="30"/>
      <c r="G366" s="7">
        <f t="shared" si="72"/>
        <v>-20</v>
      </c>
      <c r="H366" s="58">
        <v>43307</v>
      </c>
      <c r="I366" s="16"/>
      <c r="J366" s="8"/>
      <c r="K366" s="10"/>
      <c r="L366" s="10"/>
      <c r="M366" s="10"/>
      <c r="N366" s="30"/>
      <c r="O366" s="7">
        <f t="shared" si="74"/>
        <v>0</v>
      </c>
      <c r="P366" s="56"/>
    </row>
    <row r="367" spans="1:16" x14ac:dyDescent="0.15">
      <c r="A367" s="16" t="s">
        <v>25</v>
      </c>
      <c r="B367" s="8"/>
      <c r="C367" s="10">
        <v>2</v>
      </c>
      <c r="D367" s="10"/>
      <c r="E367" s="10">
        <v>1</v>
      </c>
      <c r="F367" s="30"/>
      <c r="G367" s="7">
        <f t="shared" si="72"/>
        <v>3</v>
      </c>
      <c r="H367" s="58">
        <v>43307</v>
      </c>
      <c r="I367" s="20"/>
      <c r="J367" s="11"/>
      <c r="K367" s="12"/>
      <c r="L367" s="12"/>
      <c r="M367" s="12"/>
      <c r="N367" s="31"/>
      <c r="O367" s="7">
        <f t="shared" si="74"/>
        <v>0</v>
      </c>
      <c r="P367" s="56"/>
    </row>
    <row r="368" spans="1:16" x14ac:dyDescent="0.15">
      <c r="A368" s="14" t="s">
        <v>30</v>
      </c>
      <c r="B368" s="8"/>
      <c r="C368" s="10"/>
      <c r="D368" s="10"/>
      <c r="E368" s="10"/>
      <c r="F368" s="30">
        <v>1</v>
      </c>
      <c r="G368" s="7">
        <f t="shared" si="72"/>
        <v>1</v>
      </c>
      <c r="H368" s="58">
        <v>43307</v>
      </c>
      <c r="I368" s="14"/>
      <c r="J368" s="8"/>
      <c r="K368" s="10"/>
      <c r="L368" s="10"/>
      <c r="M368" s="10"/>
      <c r="N368" s="30"/>
      <c r="O368" s="7">
        <f t="shared" si="74"/>
        <v>0</v>
      </c>
      <c r="P368" s="58"/>
    </row>
    <row r="369" spans="1:16" x14ac:dyDescent="0.15">
      <c r="A369" s="14" t="s">
        <v>34</v>
      </c>
      <c r="B369" s="8"/>
      <c r="C369" s="10"/>
      <c r="D369" s="10">
        <v>-1</v>
      </c>
      <c r="E369" s="10"/>
      <c r="F369" s="30"/>
      <c r="G369" s="7">
        <f>SUM(B369:F369)</f>
        <v>-1</v>
      </c>
      <c r="H369" s="58">
        <v>43307</v>
      </c>
      <c r="I369" s="14"/>
      <c r="J369" s="8"/>
      <c r="K369" s="10"/>
      <c r="L369" s="10"/>
      <c r="M369" s="10"/>
      <c r="N369" s="30"/>
      <c r="O369" s="7">
        <f t="shared" si="74"/>
        <v>0</v>
      </c>
      <c r="P369" s="58"/>
    </row>
    <row r="370" spans="1:16" x14ac:dyDescent="0.15">
      <c r="A370" s="50" t="s">
        <v>780</v>
      </c>
      <c r="B370" s="8"/>
      <c r="C370" s="10"/>
      <c r="D370" s="10"/>
      <c r="E370" s="10">
        <v>1</v>
      </c>
      <c r="F370" s="30"/>
      <c r="G370" s="7">
        <f>SUM(B370:F370)</f>
        <v>1</v>
      </c>
      <c r="H370" s="58">
        <v>43307</v>
      </c>
      <c r="I370" s="14"/>
      <c r="J370" s="8"/>
      <c r="K370" s="10"/>
      <c r="L370" s="10"/>
      <c r="M370" s="10"/>
      <c r="N370" s="30"/>
      <c r="O370" s="7">
        <f t="shared" si="74"/>
        <v>0</v>
      </c>
      <c r="P370" s="56"/>
    </row>
    <row r="371" spans="1:16" x14ac:dyDescent="0.15">
      <c r="A371" s="16" t="s">
        <v>25</v>
      </c>
      <c r="B371" s="8"/>
      <c r="C371" s="10">
        <v>1</v>
      </c>
      <c r="D371" s="10"/>
      <c r="E371" s="10">
        <v>2</v>
      </c>
      <c r="F371" s="30"/>
      <c r="G371" s="7">
        <f t="shared" ref="G371:G376" si="77">SUM(B371:F371)</f>
        <v>3</v>
      </c>
      <c r="H371" s="58">
        <v>43312</v>
      </c>
      <c r="I371" s="14"/>
      <c r="J371" s="8"/>
      <c r="K371" s="10"/>
      <c r="L371" s="10"/>
      <c r="M371" s="10"/>
      <c r="N371" s="30"/>
      <c r="O371" s="7">
        <f t="shared" si="74"/>
        <v>0</v>
      </c>
      <c r="P371" s="58"/>
    </row>
    <row r="372" spans="1:16" x14ac:dyDescent="0.15">
      <c r="A372" s="15" t="s">
        <v>175</v>
      </c>
      <c r="B372" s="11"/>
      <c r="C372" s="12">
        <v>-1</v>
      </c>
      <c r="D372" s="12">
        <v>-1</v>
      </c>
      <c r="E372" s="12"/>
      <c r="F372" s="31"/>
      <c r="G372" s="7">
        <f t="shared" si="77"/>
        <v>-2</v>
      </c>
      <c r="H372" s="58">
        <v>43311</v>
      </c>
      <c r="I372" s="141"/>
      <c r="J372" s="8"/>
      <c r="K372" s="10"/>
      <c r="L372" s="10"/>
      <c r="M372" s="10"/>
      <c r="N372" s="30"/>
      <c r="O372" s="7">
        <f t="shared" si="74"/>
        <v>0</v>
      </c>
      <c r="P372" s="56"/>
    </row>
    <row r="373" spans="1:16" x14ac:dyDescent="0.15">
      <c r="A373" s="16" t="s">
        <v>182</v>
      </c>
      <c r="B373" s="8"/>
      <c r="C373" s="10"/>
      <c r="D373" s="10"/>
      <c r="E373" s="10"/>
      <c r="F373" s="30">
        <v>2</v>
      </c>
      <c r="G373" s="7">
        <f t="shared" si="77"/>
        <v>2</v>
      </c>
      <c r="H373" s="58">
        <v>43319</v>
      </c>
      <c r="I373" s="14"/>
      <c r="J373" s="8"/>
      <c r="K373" s="10"/>
      <c r="L373" s="10"/>
      <c r="M373" s="10"/>
      <c r="N373" s="30"/>
      <c r="O373" s="7">
        <f t="shared" si="74"/>
        <v>0</v>
      </c>
      <c r="P373" s="58"/>
    </row>
    <row r="374" spans="1:16" x14ac:dyDescent="0.15">
      <c r="A374" s="15" t="s">
        <v>791</v>
      </c>
      <c r="B374" s="37"/>
      <c r="C374" s="35"/>
      <c r="D374" s="35">
        <v>1</v>
      </c>
      <c r="E374" s="35"/>
      <c r="F374" s="28"/>
      <c r="G374" s="7">
        <f t="shared" si="77"/>
        <v>1</v>
      </c>
      <c r="H374" s="58">
        <v>43311</v>
      </c>
      <c r="I374" s="141"/>
      <c r="J374" s="8"/>
      <c r="K374" s="10"/>
      <c r="L374" s="10"/>
      <c r="M374" s="10"/>
      <c r="N374" s="30"/>
      <c r="O374" s="7">
        <f t="shared" si="74"/>
        <v>0</v>
      </c>
      <c r="P374" s="58"/>
    </row>
    <row r="375" spans="1:16" x14ac:dyDescent="0.15">
      <c r="A375" s="16" t="s">
        <v>25</v>
      </c>
      <c r="B375" s="8"/>
      <c r="C375" s="10"/>
      <c r="D375" s="10"/>
      <c r="E375" s="10">
        <v>1</v>
      </c>
      <c r="F375" s="30"/>
      <c r="G375" s="9">
        <f t="shared" si="77"/>
        <v>1</v>
      </c>
      <c r="H375" s="58">
        <v>43314</v>
      </c>
      <c r="I375" s="141"/>
      <c r="J375" s="8"/>
      <c r="K375" s="10"/>
      <c r="L375" s="10"/>
      <c r="M375" s="10"/>
      <c r="N375" s="30"/>
      <c r="O375" s="7">
        <f t="shared" si="74"/>
        <v>0</v>
      </c>
      <c r="P375" s="56"/>
    </row>
    <row r="376" spans="1:16" ht="14.25" thickBot="1" x14ac:dyDescent="0.2">
      <c r="A376" s="15" t="s">
        <v>787</v>
      </c>
      <c r="B376" s="37"/>
      <c r="C376" s="35">
        <v>-1</v>
      </c>
      <c r="D376" s="35">
        <v>-1</v>
      </c>
      <c r="E376" s="35"/>
      <c r="F376" s="28"/>
      <c r="G376" s="7">
        <f t="shared" si="77"/>
        <v>-2</v>
      </c>
      <c r="H376" s="58">
        <v>43313</v>
      </c>
      <c r="I376" s="141"/>
      <c r="J376" s="11"/>
      <c r="K376" s="12"/>
      <c r="L376" s="12"/>
      <c r="M376" s="12"/>
      <c r="N376" s="31"/>
      <c r="O376" s="7">
        <f t="shared" si="74"/>
        <v>0</v>
      </c>
      <c r="P376" s="56"/>
    </row>
    <row r="377" spans="1:16" ht="14.25" thickBot="1" x14ac:dyDescent="0.2">
      <c r="A377" s="3" t="s">
        <v>11</v>
      </c>
      <c r="B377" s="23">
        <f>SUM(B351:B376)</f>
        <v>0</v>
      </c>
      <c r="C377" s="4">
        <f>SUM(C351:C376)</f>
        <v>16</v>
      </c>
      <c r="D377" s="4">
        <f>SUM(D351:D376)</f>
        <v>18</v>
      </c>
      <c r="E377" s="6">
        <f>SUM(E351:E376)</f>
        <v>27</v>
      </c>
      <c r="F377" s="32">
        <f>SUM(F351:F376)</f>
        <v>22</v>
      </c>
      <c r="G377" s="5">
        <f>SUM(B377:F377)</f>
        <v>83</v>
      </c>
      <c r="H377" s="56"/>
      <c r="I377" s="3" t="s">
        <v>11</v>
      </c>
      <c r="J377" s="23">
        <f>SUM(J351:J376)</f>
        <v>5</v>
      </c>
      <c r="K377" s="4">
        <f>SUM(K351:K376)</f>
        <v>35</v>
      </c>
      <c r="L377" s="4">
        <f>SUM(L351:L376)</f>
        <v>25</v>
      </c>
      <c r="M377" s="6">
        <f>SUM(M351:M376)</f>
        <v>25</v>
      </c>
      <c r="N377" s="32">
        <f>SUM(N351:N376)</f>
        <v>22</v>
      </c>
      <c r="O377" s="5">
        <f>SUM(J377:N377)</f>
        <v>112</v>
      </c>
    </row>
    <row r="378" spans="1:16" ht="14.25" thickBot="1" x14ac:dyDescent="0.2">
      <c r="A378" s="25" t="s">
        <v>12</v>
      </c>
      <c r="B378" s="63">
        <f>B350-B377</f>
        <v>13</v>
      </c>
      <c r="C378" s="26">
        <f t="shared" ref="C378:G378" si="78">C350-C377</f>
        <v>12</v>
      </c>
      <c r="D378" s="71">
        <f t="shared" si="78"/>
        <v>15</v>
      </c>
      <c r="E378" s="26">
        <f t="shared" si="78"/>
        <v>6</v>
      </c>
      <c r="F378" s="70">
        <f t="shared" si="78"/>
        <v>7</v>
      </c>
      <c r="G378" s="27">
        <f t="shared" si="78"/>
        <v>53</v>
      </c>
      <c r="H378" s="56"/>
      <c r="I378" s="25" t="s">
        <v>12</v>
      </c>
      <c r="J378" s="63">
        <f>J350-J377</f>
        <v>195</v>
      </c>
      <c r="K378" s="26">
        <f t="shared" ref="K378:O378" si="79">K350-K377</f>
        <v>269</v>
      </c>
      <c r="L378" s="71">
        <f t="shared" si="79"/>
        <v>239</v>
      </c>
      <c r="M378" s="26">
        <f t="shared" si="79"/>
        <v>233</v>
      </c>
      <c r="N378" s="70">
        <f t="shared" si="79"/>
        <v>186</v>
      </c>
      <c r="O378" s="27">
        <f t="shared" si="79"/>
        <v>1122</v>
      </c>
    </row>
    <row r="379" spans="1:16" ht="21" x14ac:dyDescent="0.2">
      <c r="A379" s="83" t="s">
        <v>415</v>
      </c>
      <c r="B379" s="77"/>
      <c r="C379" s="77"/>
      <c r="D379" s="77"/>
      <c r="E379" s="77"/>
      <c r="F379" s="77"/>
      <c r="G379" s="77"/>
      <c r="H379" s="56"/>
      <c r="I379" s="83" t="s">
        <v>415</v>
      </c>
      <c r="J379" s="77"/>
      <c r="K379" s="77"/>
      <c r="L379" s="77"/>
      <c r="M379" s="77"/>
      <c r="N379" s="77"/>
      <c r="O379" s="77"/>
    </row>
    <row r="380" spans="1:16" ht="21.75" thickBot="1" x14ac:dyDescent="0.25">
      <c r="A380" s="83" t="s">
        <v>47</v>
      </c>
      <c r="B380" s="77"/>
      <c r="C380" s="77"/>
      <c r="D380" s="77"/>
      <c r="E380" s="84"/>
      <c r="F380" s="78" t="s">
        <v>53</v>
      </c>
      <c r="G380" s="77"/>
      <c r="H380" s="56"/>
      <c r="I380" s="83" t="s">
        <v>47</v>
      </c>
      <c r="J380" s="77"/>
      <c r="K380" s="77"/>
      <c r="L380" s="77"/>
      <c r="M380" s="84"/>
      <c r="N380" s="78" t="s">
        <v>54</v>
      </c>
      <c r="O380" s="77"/>
    </row>
    <row r="381" spans="1:16" ht="14.25" thickBot="1" x14ac:dyDescent="0.2">
      <c r="A381" s="13" t="s">
        <v>0</v>
      </c>
      <c r="B381" s="228" t="s">
        <v>49</v>
      </c>
      <c r="C381" s="229"/>
      <c r="D381" s="229"/>
      <c r="E381" s="229"/>
      <c r="F381" s="230"/>
      <c r="G381" s="231"/>
      <c r="H381" s="56"/>
      <c r="I381" s="13" t="s">
        <v>0</v>
      </c>
      <c r="J381" s="228" t="s">
        <v>49</v>
      </c>
      <c r="K381" s="229"/>
      <c r="L381" s="229"/>
      <c r="M381" s="229"/>
      <c r="N381" s="230"/>
      <c r="O381" s="231"/>
    </row>
    <row r="382" spans="1:16" ht="14.25" thickBot="1" x14ac:dyDescent="0.2">
      <c r="A382" s="3" t="s">
        <v>1</v>
      </c>
      <c r="B382" s="2" t="s">
        <v>42</v>
      </c>
      <c r="C382" s="21" t="s">
        <v>43</v>
      </c>
      <c r="D382" s="21" t="s">
        <v>44</v>
      </c>
      <c r="E382" s="24" t="s">
        <v>45</v>
      </c>
      <c r="F382" s="33" t="s">
        <v>46</v>
      </c>
      <c r="G382" s="34" t="s">
        <v>2</v>
      </c>
      <c r="H382" s="56"/>
      <c r="I382" s="3" t="s">
        <v>1</v>
      </c>
      <c r="J382" s="2" t="s">
        <v>42</v>
      </c>
      <c r="K382" s="21" t="s">
        <v>43</v>
      </c>
      <c r="L382" s="21" t="s">
        <v>44</v>
      </c>
      <c r="M382" s="24" t="s">
        <v>45</v>
      </c>
      <c r="N382" s="33" t="s">
        <v>46</v>
      </c>
      <c r="O382" s="3" t="s">
        <v>2</v>
      </c>
    </row>
    <row r="383" spans="1:16" ht="14.25" thickBot="1" x14ac:dyDescent="0.2">
      <c r="A383" s="72" t="s">
        <v>527</v>
      </c>
      <c r="B383" s="73">
        <f>B378</f>
        <v>13</v>
      </c>
      <c r="C383" s="73">
        <f t="shared" ref="C383:F383" si="80">C378</f>
        <v>12</v>
      </c>
      <c r="D383" s="73">
        <f t="shared" si="80"/>
        <v>15</v>
      </c>
      <c r="E383" s="73">
        <f t="shared" si="80"/>
        <v>6</v>
      </c>
      <c r="F383" s="73">
        <f t="shared" si="80"/>
        <v>7</v>
      </c>
      <c r="G383" s="76">
        <f t="shared" ref="G383:G410" si="81">SUM(B383:F383)</f>
        <v>53</v>
      </c>
      <c r="H383" s="56"/>
      <c r="I383" s="96" t="s">
        <v>12</v>
      </c>
      <c r="J383" s="95">
        <f>J378</f>
        <v>195</v>
      </c>
      <c r="K383" s="97">
        <f t="shared" ref="K383:N383" si="82">K378</f>
        <v>269</v>
      </c>
      <c r="L383" s="97">
        <f t="shared" si="82"/>
        <v>239</v>
      </c>
      <c r="M383" s="97">
        <f t="shared" si="82"/>
        <v>233</v>
      </c>
      <c r="N383" s="54">
        <f t="shared" si="82"/>
        <v>186</v>
      </c>
      <c r="O383" s="52">
        <f t="shared" ref="O383:O418" si="83">SUM(J383:N383)</f>
        <v>1122</v>
      </c>
    </row>
    <row r="384" spans="1:16" x14ac:dyDescent="0.15">
      <c r="A384" s="15" t="s">
        <v>14</v>
      </c>
      <c r="B384" s="37"/>
      <c r="C384" s="35"/>
      <c r="D384" s="35"/>
      <c r="E384" s="35">
        <v>5</v>
      </c>
      <c r="F384" s="28">
        <v>5</v>
      </c>
      <c r="G384" s="7">
        <f t="shared" si="81"/>
        <v>10</v>
      </c>
      <c r="H384" s="58">
        <v>43316</v>
      </c>
      <c r="I384" s="15" t="s">
        <v>3</v>
      </c>
      <c r="J384" s="37"/>
      <c r="K384" s="35"/>
      <c r="L384" s="35"/>
      <c r="M384" s="35"/>
      <c r="N384" s="28"/>
      <c r="O384" s="7">
        <f t="shared" si="83"/>
        <v>0</v>
      </c>
      <c r="P384" s="58"/>
    </row>
    <row r="385" spans="1:17" x14ac:dyDescent="0.15">
      <c r="A385" s="134" t="s">
        <v>789</v>
      </c>
      <c r="B385" s="8"/>
      <c r="C385" s="10">
        <v>1</v>
      </c>
      <c r="D385" s="10"/>
      <c r="E385" s="10"/>
      <c r="F385" s="28"/>
      <c r="G385" s="9">
        <f t="shared" si="81"/>
        <v>1</v>
      </c>
      <c r="H385" s="58">
        <v>43314</v>
      </c>
      <c r="I385" s="15" t="s">
        <v>4</v>
      </c>
      <c r="J385" s="8"/>
      <c r="K385" s="10"/>
      <c r="L385" s="10"/>
      <c r="M385" s="10"/>
      <c r="N385" s="28"/>
      <c r="O385" s="9">
        <f t="shared" si="83"/>
        <v>0</v>
      </c>
      <c r="P385" s="58"/>
    </row>
    <row r="386" spans="1:17" x14ac:dyDescent="0.15">
      <c r="A386" s="15" t="s">
        <v>17</v>
      </c>
      <c r="B386" s="8"/>
      <c r="C386" s="10">
        <v>2</v>
      </c>
      <c r="D386" s="10">
        <v>3</v>
      </c>
      <c r="E386" s="10">
        <v>1</v>
      </c>
      <c r="F386" s="28"/>
      <c r="G386" s="9">
        <f t="shared" si="81"/>
        <v>6</v>
      </c>
      <c r="H386" s="58">
        <v>43321</v>
      </c>
      <c r="I386" s="15" t="s">
        <v>5</v>
      </c>
      <c r="J386" s="8"/>
      <c r="K386" s="10"/>
      <c r="L386" s="10"/>
      <c r="M386" s="10"/>
      <c r="N386" s="28"/>
      <c r="O386" s="9">
        <f t="shared" si="83"/>
        <v>0</v>
      </c>
    </row>
    <row r="387" spans="1:17" x14ac:dyDescent="0.15">
      <c r="A387" s="15" t="s">
        <v>5</v>
      </c>
      <c r="B387" s="8">
        <v>5</v>
      </c>
      <c r="C387" s="10">
        <v>5</v>
      </c>
      <c r="D387" s="10"/>
      <c r="E387" s="10">
        <v>5</v>
      </c>
      <c r="F387" s="28">
        <v>5</v>
      </c>
      <c r="G387" s="9">
        <f t="shared" si="81"/>
        <v>20</v>
      </c>
      <c r="H387" s="58">
        <v>43333</v>
      </c>
      <c r="I387" s="15" t="s">
        <v>6</v>
      </c>
      <c r="J387" s="8"/>
      <c r="K387" s="10"/>
      <c r="L387" s="10"/>
      <c r="M387" s="10"/>
      <c r="N387" s="28"/>
      <c r="O387" s="9">
        <f t="shared" si="83"/>
        <v>0</v>
      </c>
    </row>
    <row r="388" spans="1:17" x14ac:dyDescent="0.15">
      <c r="A388" s="15" t="s">
        <v>6</v>
      </c>
      <c r="B388" s="11"/>
      <c r="C388" s="12">
        <v>10</v>
      </c>
      <c r="D388" s="12"/>
      <c r="E388" s="12">
        <v>10</v>
      </c>
      <c r="F388" s="31"/>
      <c r="G388" s="7">
        <f t="shared" si="81"/>
        <v>20</v>
      </c>
      <c r="H388" s="58">
        <v>43333</v>
      </c>
      <c r="I388" s="15" t="s">
        <v>84</v>
      </c>
      <c r="J388" s="11"/>
      <c r="K388" s="12"/>
      <c r="L388" s="12"/>
      <c r="M388" s="12"/>
      <c r="N388" s="31"/>
      <c r="O388" s="7">
        <f t="shared" si="83"/>
        <v>0</v>
      </c>
    </row>
    <row r="389" spans="1:17" x14ac:dyDescent="0.15">
      <c r="A389" s="15" t="s">
        <v>19</v>
      </c>
      <c r="B389" s="8">
        <v>2</v>
      </c>
      <c r="C389" s="10">
        <v>4</v>
      </c>
      <c r="D389" s="10">
        <v>5</v>
      </c>
      <c r="E389" s="10">
        <v>6</v>
      </c>
      <c r="F389" s="30">
        <v>4</v>
      </c>
      <c r="G389" s="7">
        <f t="shared" si="81"/>
        <v>21</v>
      </c>
      <c r="H389" s="58">
        <v>43333</v>
      </c>
      <c r="I389" s="15" t="s">
        <v>85</v>
      </c>
      <c r="J389" s="8"/>
      <c r="K389" s="10"/>
      <c r="L389" s="10"/>
      <c r="M389" s="10"/>
      <c r="N389" s="30"/>
      <c r="O389" s="7">
        <f t="shared" si="83"/>
        <v>0</v>
      </c>
    </row>
    <row r="390" spans="1:17" x14ac:dyDescent="0.15">
      <c r="A390" s="15" t="s">
        <v>84</v>
      </c>
      <c r="B390" s="8">
        <v>10</v>
      </c>
      <c r="C390" s="10">
        <v>10</v>
      </c>
      <c r="D390" s="10"/>
      <c r="E390" s="10">
        <v>5</v>
      </c>
      <c r="F390" s="30"/>
      <c r="G390" s="7">
        <f t="shared" ref="G390" si="84">SUM(B390:F390)</f>
        <v>25</v>
      </c>
      <c r="H390" s="58">
        <v>43336</v>
      </c>
      <c r="I390" s="16" t="s">
        <v>88</v>
      </c>
      <c r="J390" s="8"/>
      <c r="K390" s="10"/>
      <c r="L390" s="10"/>
      <c r="M390" s="10"/>
      <c r="N390" s="30"/>
      <c r="O390" s="7">
        <f t="shared" si="83"/>
        <v>0</v>
      </c>
    </row>
    <row r="391" spans="1:17" ht="14.25" thickBot="1" x14ac:dyDescent="0.2">
      <c r="A391" s="15" t="s">
        <v>86</v>
      </c>
      <c r="B391" s="11"/>
      <c r="C391" s="100">
        <v>5</v>
      </c>
      <c r="D391" s="100"/>
      <c r="E391" s="100"/>
      <c r="F391" s="101">
        <v>5</v>
      </c>
      <c r="G391" s="102">
        <f t="shared" si="81"/>
        <v>10</v>
      </c>
      <c r="H391" s="58">
        <v>43341</v>
      </c>
      <c r="I391" s="15" t="s">
        <v>87</v>
      </c>
      <c r="J391" s="11"/>
      <c r="K391" s="100"/>
      <c r="L391" s="100"/>
      <c r="M391" s="100"/>
      <c r="N391" s="101"/>
      <c r="O391" s="102">
        <f t="shared" si="83"/>
        <v>0</v>
      </c>
    </row>
    <row r="392" spans="1:17" ht="14.25" thickBot="1" x14ac:dyDescent="0.2">
      <c r="A392" s="72" t="s">
        <v>7</v>
      </c>
      <c r="B392" s="73">
        <f>SUM(B383:B391)</f>
        <v>30</v>
      </c>
      <c r="C392" s="74">
        <f t="shared" ref="C392:F392" si="85">SUM(C383:C391)</f>
        <v>49</v>
      </c>
      <c r="D392" s="74">
        <f t="shared" si="85"/>
        <v>23</v>
      </c>
      <c r="E392" s="74">
        <f t="shared" si="85"/>
        <v>38</v>
      </c>
      <c r="F392" s="105">
        <f t="shared" si="85"/>
        <v>26</v>
      </c>
      <c r="G392" s="76">
        <f t="shared" si="81"/>
        <v>166</v>
      </c>
      <c r="H392" s="56"/>
      <c r="I392" s="72" t="s">
        <v>7</v>
      </c>
      <c r="J392" s="73">
        <f>SUM(J383:J391)</f>
        <v>195</v>
      </c>
      <c r="K392" s="74">
        <f t="shared" ref="K392:N392" si="86">SUM(K383:K391)</f>
        <v>269</v>
      </c>
      <c r="L392" s="74">
        <f t="shared" si="86"/>
        <v>239</v>
      </c>
      <c r="M392" s="74">
        <f t="shared" si="86"/>
        <v>233</v>
      </c>
      <c r="N392" s="105">
        <f t="shared" si="86"/>
        <v>186</v>
      </c>
      <c r="O392" s="76">
        <f t="shared" si="83"/>
        <v>1122</v>
      </c>
    </row>
    <row r="393" spans="1:17" x14ac:dyDescent="0.15">
      <c r="A393" s="16" t="s">
        <v>182</v>
      </c>
      <c r="B393" s="37"/>
      <c r="C393" s="35"/>
      <c r="D393" s="35"/>
      <c r="E393" s="35"/>
      <c r="F393" s="28">
        <v>1</v>
      </c>
      <c r="G393" s="18">
        <f t="shared" si="81"/>
        <v>1</v>
      </c>
      <c r="H393" s="58">
        <v>43319</v>
      </c>
      <c r="I393" s="16" t="s">
        <v>788</v>
      </c>
      <c r="J393" s="37"/>
      <c r="K393" s="35"/>
      <c r="L393" s="35"/>
      <c r="M393" s="35">
        <v>5</v>
      </c>
      <c r="N393" s="28">
        <v>5</v>
      </c>
      <c r="O393" s="7">
        <f t="shared" si="83"/>
        <v>10</v>
      </c>
      <c r="P393" s="58">
        <v>43316</v>
      </c>
    </row>
    <row r="394" spans="1:17" x14ac:dyDescent="0.15">
      <c r="A394" s="16" t="s">
        <v>182</v>
      </c>
      <c r="B394" s="8">
        <v>5</v>
      </c>
      <c r="C394" s="10"/>
      <c r="D394" s="10"/>
      <c r="E394" s="10"/>
      <c r="F394" s="30"/>
      <c r="G394" s="7">
        <f t="shared" si="81"/>
        <v>5</v>
      </c>
      <c r="H394" s="58">
        <v>43321</v>
      </c>
      <c r="I394" s="16" t="s">
        <v>110</v>
      </c>
      <c r="J394" s="8"/>
      <c r="K394" s="10"/>
      <c r="L394" s="10"/>
      <c r="M394" s="10">
        <v>3</v>
      </c>
      <c r="N394" s="30">
        <v>3</v>
      </c>
      <c r="O394" s="7">
        <f t="shared" si="83"/>
        <v>6</v>
      </c>
      <c r="P394" s="58">
        <v>43322</v>
      </c>
    </row>
    <row r="395" spans="1:17" x14ac:dyDescent="0.15">
      <c r="A395" s="16" t="s">
        <v>796</v>
      </c>
      <c r="B395" s="8"/>
      <c r="C395" s="10">
        <v>1</v>
      </c>
      <c r="D395" s="10">
        <v>1</v>
      </c>
      <c r="E395" s="10"/>
      <c r="F395" s="30"/>
      <c r="G395" s="7">
        <f t="shared" si="81"/>
        <v>2</v>
      </c>
      <c r="H395" s="58">
        <v>43318</v>
      </c>
      <c r="I395" s="16" t="s">
        <v>811</v>
      </c>
      <c r="J395" s="8">
        <v>5</v>
      </c>
      <c r="K395" s="10">
        <v>5</v>
      </c>
      <c r="L395" s="10"/>
      <c r="M395" s="10">
        <v>5</v>
      </c>
      <c r="N395" s="30">
        <v>5</v>
      </c>
      <c r="O395" s="7">
        <f t="shared" si="83"/>
        <v>20</v>
      </c>
      <c r="P395" s="58">
        <v>43333</v>
      </c>
    </row>
    <row r="396" spans="1:17" x14ac:dyDescent="0.15">
      <c r="A396" s="16" t="s">
        <v>29</v>
      </c>
      <c r="B396" s="8"/>
      <c r="C396" s="10"/>
      <c r="D396" s="10">
        <v>1</v>
      </c>
      <c r="E396" s="10">
        <v>1</v>
      </c>
      <c r="F396" s="30"/>
      <c r="G396" s="7">
        <f t="shared" si="81"/>
        <v>2</v>
      </c>
      <c r="H396" s="58">
        <v>43319</v>
      </c>
      <c r="I396" s="16" t="s">
        <v>24</v>
      </c>
      <c r="J396" s="8"/>
      <c r="K396" s="10">
        <v>10</v>
      </c>
      <c r="L396" s="10"/>
      <c r="M396" s="10">
        <v>10</v>
      </c>
      <c r="N396" s="30"/>
      <c r="O396" s="7">
        <f t="shared" si="83"/>
        <v>20</v>
      </c>
      <c r="P396" s="58">
        <v>43333</v>
      </c>
    </row>
    <row r="397" spans="1:17" x14ac:dyDescent="0.15">
      <c r="A397" s="16" t="s">
        <v>182</v>
      </c>
      <c r="B397" s="8"/>
      <c r="C397" s="10"/>
      <c r="D397" s="10"/>
      <c r="E397" s="10"/>
      <c r="F397" s="30">
        <v>2</v>
      </c>
      <c r="G397" s="7">
        <f t="shared" ref="G397:G399" si="87">SUM(B397:F397)</f>
        <v>2</v>
      </c>
      <c r="H397" s="58">
        <v>43321</v>
      </c>
      <c r="I397" s="16" t="s">
        <v>24</v>
      </c>
      <c r="J397" s="8">
        <v>10</v>
      </c>
      <c r="K397" s="10">
        <v>10</v>
      </c>
      <c r="L397" s="10"/>
      <c r="M397" s="10">
        <v>5</v>
      </c>
      <c r="N397" s="30"/>
      <c r="O397" s="7">
        <f t="shared" si="83"/>
        <v>25</v>
      </c>
      <c r="P397" s="58">
        <v>43336</v>
      </c>
    </row>
    <row r="398" spans="1:17" x14ac:dyDescent="0.15">
      <c r="A398" s="16" t="s">
        <v>25</v>
      </c>
      <c r="B398" s="8"/>
      <c r="C398" s="10"/>
      <c r="D398" s="10"/>
      <c r="E398" s="10">
        <v>1</v>
      </c>
      <c r="F398" s="30"/>
      <c r="G398" s="7">
        <f t="shared" si="87"/>
        <v>1</v>
      </c>
      <c r="H398" s="58">
        <v>43321</v>
      </c>
      <c r="I398" s="16" t="s">
        <v>24</v>
      </c>
      <c r="J398" s="8"/>
      <c r="K398" s="10">
        <v>5</v>
      </c>
      <c r="L398" s="10"/>
      <c r="M398" s="10"/>
      <c r="N398" s="30">
        <v>5</v>
      </c>
      <c r="O398" s="7">
        <f t="shared" si="83"/>
        <v>10</v>
      </c>
      <c r="P398" s="58">
        <v>43341</v>
      </c>
      <c r="Q398" s="56"/>
    </row>
    <row r="399" spans="1:17" x14ac:dyDescent="0.15">
      <c r="A399" s="16" t="s">
        <v>799</v>
      </c>
      <c r="B399" s="8"/>
      <c r="C399" s="10"/>
      <c r="D399" s="10"/>
      <c r="E399" s="10">
        <v>1</v>
      </c>
      <c r="F399" s="30"/>
      <c r="G399" s="7">
        <f t="shared" si="87"/>
        <v>1</v>
      </c>
      <c r="H399" s="58">
        <v>43320</v>
      </c>
      <c r="I399" s="16"/>
      <c r="J399" s="8"/>
      <c r="K399" s="10"/>
      <c r="L399" s="10"/>
      <c r="M399" s="10"/>
      <c r="N399" s="30"/>
      <c r="O399" s="7">
        <f t="shared" si="83"/>
        <v>0</v>
      </c>
      <c r="P399" s="58"/>
      <c r="Q399" s="56"/>
    </row>
    <row r="400" spans="1:17" x14ac:dyDescent="0.15">
      <c r="A400" s="16" t="s">
        <v>485</v>
      </c>
      <c r="B400" s="8"/>
      <c r="C400" s="10"/>
      <c r="D400" s="10">
        <v>-1</v>
      </c>
      <c r="E400" s="10">
        <v>1</v>
      </c>
      <c r="F400" s="30"/>
      <c r="G400" s="7">
        <f t="shared" si="81"/>
        <v>0</v>
      </c>
      <c r="H400" s="58">
        <v>43321</v>
      </c>
      <c r="I400" s="16"/>
      <c r="J400" s="8"/>
      <c r="K400" s="10"/>
      <c r="L400" s="10"/>
      <c r="M400" s="10"/>
      <c r="N400" s="30"/>
      <c r="O400" s="7">
        <f t="shared" si="83"/>
        <v>0</v>
      </c>
      <c r="P400" s="58"/>
      <c r="Q400" s="56"/>
    </row>
    <row r="401" spans="1:17" x14ac:dyDescent="0.15">
      <c r="A401" s="16" t="s">
        <v>25</v>
      </c>
      <c r="B401" s="8"/>
      <c r="C401" s="10"/>
      <c r="D401" s="10">
        <v>1</v>
      </c>
      <c r="E401" s="10"/>
      <c r="F401" s="30">
        <v>1</v>
      </c>
      <c r="G401" s="7">
        <f t="shared" si="81"/>
        <v>2</v>
      </c>
      <c r="H401" s="58">
        <v>43323</v>
      </c>
      <c r="I401" s="16"/>
      <c r="J401" s="8"/>
      <c r="K401" s="10"/>
      <c r="L401" s="10"/>
      <c r="M401" s="10"/>
      <c r="N401" s="30"/>
      <c r="O401" s="7">
        <f t="shared" si="83"/>
        <v>0</v>
      </c>
      <c r="P401" s="56"/>
      <c r="Q401" s="56"/>
    </row>
    <row r="402" spans="1:17" x14ac:dyDescent="0.15">
      <c r="A402" s="16" t="s">
        <v>800</v>
      </c>
      <c r="B402" s="8"/>
      <c r="C402" s="10"/>
      <c r="D402" s="10">
        <v>-1</v>
      </c>
      <c r="E402" s="10"/>
      <c r="F402" s="30"/>
      <c r="G402" s="7">
        <f t="shared" si="81"/>
        <v>-1</v>
      </c>
      <c r="H402" s="58">
        <v>43322</v>
      </c>
      <c r="I402" s="16"/>
      <c r="J402" s="11"/>
      <c r="K402" s="12"/>
      <c r="L402" s="12"/>
      <c r="M402" s="12"/>
      <c r="N402" s="31"/>
      <c r="O402" s="7">
        <f t="shared" si="83"/>
        <v>0</v>
      </c>
    </row>
    <row r="403" spans="1:17" x14ac:dyDescent="0.15">
      <c r="A403" s="16" t="s">
        <v>25</v>
      </c>
      <c r="B403" s="8">
        <v>1</v>
      </c>
      <c r="C403" s="10">
        <v>2</v>
      </c>
      <c r="D403" s="10"/>
      <c r="E403" s="10">
        <v>1</v>
      </c>
      <c r="F403" s="30">
        <v>2</v>
      </c>
      <c r="G403" s="7">
        <f t="shared" si="81"/>
        <v>6</v>
      </c>
      <c r="H403" s="58">
        <v>43330</v>
      </c>
      <c r="I403" s="16"/>
      <c r="J403" s="8"/>
      <c r="K403" s="10"/>
      <c r="L403" s="10"/>
      <c r="M403" s="10"/>
      <c r="N403" s="30"/>
      <c r="O403" s="7">
        <f t="shared" si="83"/>
        <v>0</v>
      </c>
    </row>
    <row r="404" spans="1:17" x14ac:dyDescent="0.15">
      <c r="A404" s="16" t="s">
        <v>182</v>
      </c>
      <c r="B404" s="8"/>
      <c r="C404" s="10">
        <v>2</v>
      </c>
      <c r="D404" s="10"/>
      <c r="E404" s="10">
        <v>1</v>
      </c>
      <c r="F404" s="30">
        <v>1</v>
      </c>
      <c r="G404" s="7">
        <f t="shared" si="81"/>
        <v>4</v>
      </c>
      <c r="H404" s="58">
        <v>43332</v>
      </c>
      <c r="I404" s="14"/>
      <c r="J404" s="8"/>
      <c r="K404" s="10"/>
      <c r="L404" s="10"/>
      <c r="M404" s="10"/>
      <c r="N404" s="30"/>
      <c r="O404" s="7">
        <f t="shared" si="83"/>
        <v>0</v>
      </c>
    </row>
    <row r="405" spans="1:17" x14ac:dyDescent="0.15">
      <c r="A405" s="16" t="s">
        <v>110</v>
      </c>
      <c r="B405" s="8"/>
      <c r="C405" s="10"/>
      <c r="D405" s="10"/>
      <c r="E405" s="10">
        <v>2</v>
      </c>
      <c r="F405" s="30"/>
      <c r="G405" s="7">
        <f t="shared" si="81"/>
        <v>2</v>
      </c>
      <c r="H405" s="58">
        <v>43332</v>
      </c>
      <c r="I405" s="16"/>
      <c r="J405" s="8"/>
      <c r="K405" s="10"/>
      <c r="L405" s="10"/>
      <c r="M405" s="10"/>
      <c r="N405" s="30"/>
      <c r="O405" s="7">
        <f t="shared" si="83"/>
        <v>0</v>
      </c>
    </row>
    <row r="406" spans="1:17" x14ac:dyDescent="0.15">
      <c r="A406" s="16" t="s">
        <v>25</v>
      </c>
      <c r="B406" s="8">
        <v>3</v>
      </c>
      <c r="C406" s="10">
        <v>4</v>
      </c>
      <c r="D406" s="10">
        <v>2</v>
      </c>
      <c r="E406" s="10">
        <v>2</v>
      </c>
      <c r="F406" s="30"/>
      <c r="G406" s="7">
        <f t="shared" si="81"/>
        <v>11</v>
      </c>
      <c r="H406" s="58">
        <v>43333</v>
      </c>
      <c r="I406" s="16"/>
      <c r="J406" s="8"/>
      <c r="K406" s="10"/>
      <c r="L406" s="10"/>
      <c r="M406" s="10"/>
      <c r="N406" s="30"/>
      <c r="O406" s="7">
        <f t="shared" si="83"/>
        <v>0</v>
      </c>
    </row>
    <row r="407" spans="1:17" x14ac:dyDescent="0.15">
      <c r="A407" s="16" t="s">
        <v>182</v>
      </c>
      <c r="B407" s="8"/>
      <c r="C407" s="10">
        <v>12</v>
      </c>
      <c r="D407" s="10"/>
      <c r="E407" s="10">
        <v>6</v>
      </c>
      <c r="F407" s="30"/>
      <c r="G407" s="7">
        <f t="shared" si="81"/>
        <v>18</v>
      </c>
      <c r="H407" s="58">
        <v>43334</v>
      </c>
      <c r="I407" s="16"/>
      <c r="J407" s="8"/>
      <c r="K407" s="10"/>
      <c r="L407" s="10"/>
      <c r="M407" s="10"/>
      <c r="N407" s="30"/>
      <c r="O407" s="7">
        <f t="shared" si="83"/>
        <v>0</v>
      </c>
    </row>
    <row r="408" spans="1:17" x14ac:dyDescent="0.15">
      <c r="A408" s="16" t="s">
        <v>25</v>
      </c>
      <c r="B408" s="8">
        <v>1</v>
      </c>
      <c r="C408" s="10"/>
      <c r="D408" s="10"/>
      <c r="E408" s="10">
        <v>1</v>
      </c>
      <c r="F408" s="30"/>
      <c r="G408" s="7">
        <f t="shared" si="81"/>
        <v>2</v>
      </c>
      <c r="H408" s="58">
        <v>43335</v>
      </c>
      <c r="I408" s="16"/>
      <c r="J408" s="8"/>
      <c r="K408" s="10"/>
      <c r="L408" s="10"/>
      <c r="M408" s="10"/>
      <c r="N408" s="30"/>
      <c r="O408" s="7">
        <f t="shared" si="83"/>
        <v>0</v>
      </c>
      <c r="P408" s="56"/>
      <c r="Q408" s="56"/>
    </row>
    <row r="409" spans="1:17" x14ac:dyDescent="0.15">
      <c r="A409" s="16" t="s">
        <v>182</v>
      </c>
      <c r="B409" s="8">
        <v>5</v>
      </c>
      <c r="C409" s="10">
        <v>8</v>
      </c>
      <c r="D409" s="10"/>
      <c r="E409" s="10">
        <v>1</v>
      </c>
      <c r="F409" s="30"/>
      <c r="G409" s="7">
        <f t="shared" si="81"/>
        <v>14</v>
      </c>
      <c r="H409" s="58">
        <v>43336</v>
      </c>
      <c r="I409" s="20"/>
      <c r="J409" s="11"/>
      <c r="K409" s="12"/>
      <c r="L409" s="12"/>
      <c r="M409" s="12"/>
      <c r="N409" s="31"/>
      <c r="O409" s="7">
        <f t="shared" si="83"/>
        <v>0</v>
      </c>
      <c r="P409" s="56"/>
      <c r="Q409" s="56"/>
    </row>
    <row r="410" spans="1:17" x14ac:dyDescent="0.15">
      <c r="A410" s="16" t="s">
        <v>182</v>
      </c>
      <c r="B410" s="8">
        <v>5</v>
      </c>
      <c r="C410" s="10">
        <v>5</v>
      </c>
      <c r="D410" s="10">
        <v>3</v>
      </c>
      <c r="E410" s="10">
        <v>2</v>
      </c>
      <c r="F410" s="30">
        <v>3</v>
      </c>
      <c r="G410" s="7">
        <f t="shared" si="81"/>
        <v>18</v>
      </c>
      <c r="H410" s="58">
        <v>43339</v>
      </c>
      <c r="I410" s="14"/>
      <c r="J410" s="8"/>
      <c r="K410" s="10"/>
      <c r="L410" s="10"/>
      <c r="M410" s="10"/>
      <c r="N410" s="30"/>
      <c r="O410" s="7">
        <f t="shared" si="83"/>
        <v>0</v>
      </c>
      <c r="P410" s="58"/>
      <c r="Q410" s="56"/>
    </row>
    <row r="411" spans="1:17" x14ac:dyDescent="0.15">
      <c r="A411" s="16" t="s">
        <v>25</v>
      </c>
      <c r="B411" s="8"/>
      <c r="C411" s="10"/>
      <c r="D411" s="10"/>
      <c r="E411" s="10"/>
      <c r="F411" s="30">
        <v>2</v>
      </c>
      <c r="G411" s="7">
        <f>SUM(B411:F411)</f>
        <v>2</v>
      </c>
      <c r="H411" s="58">
        <v>43337</v>
      </c>
      <c r="I411" s="39"/>
      <c r="J411" s="8"/>
      <c r="K411" s="10"/>
      <c r="L411" s="10"/>
      <c r="M411" s="10"/>
      <c r="N411" s="30"/>
      <c r="O411" s="7">
        <f t="shared" si="83"/>
        <v>0</v>
      </c>
      <c r="P411" s="58"/>
      <c r="Q411" s="56"/>
    </row>
    <row r="412" spans="1:17" x14ac:dyDescent="0.15">
      <c r="A412" s="16" t="s">
        <v>182</v>
      </c>
      <c r="B412" s="8"/>
      <c r="C412" s="10">
        <v>3</v>
      </c>
      <c r="D412" s="10">
        <v>3</v>
      </c>
      <c r="E412" s="10"/>
      <c r="F412" s="30">
        <v>2</v>
      </c>
      <c r="G412" s="7">
        <f>SUM(B412:F412)</f>
        <v>8</v>
      </c>
      <c r="H412" s="58">
        <v>43341</v>
      </c>
      <c r="I412" s="14"/>
      <c r="J412" s="8"/>
      <c r="K412" s="10"/>
      <c r="L412" s="10"/>
      <c r="M412" s="10"/>
      <c r="N412" s="30"/>
      <c r="O412" s="7">
        <f t="shared" si="83"/>
        <v>0</v>
      </c>
      <c r="P412" s="56"/>
      <c r="Q412" s="56"/>
    </row>
    <row r="413" spans="1:17" x14ac:dyDescent="0.15">
      <c r="A413" s="16" t="s">
        <v>814</v>
      </c>
      <c r="B413" s="8"/>
      <c r="C413" s="10"/>
      <c r="D413" s="10">
        <v>1</v>
      </c>
      <c r="E413" s="10"/>
      <c r="F413" s="30"/>
      <c r="G413" s="7">
        <f t="shared" ref="G413:G418" si="88">SUM(B413:F413)</f>
        <v>1</v>
      </c>
      <c r="H413" s="58">
        <v>43339</v>
      </c>
      <c r="I413" s="14"/>
      <c r="J413" s="8"/>
      <c r="K413" s="10"/>
      <c r="L413" s="10"/>
      <c r="M413" s="10"/>
      <c r="N413" s="30"/>
      <c r="O413" s="7">
        <f t="shared" ref="O413:O414" si="89">SUM(J413:N413)</f>
        <v>0</v>
      </c>
      <c r="P413" s="58"/>
      <c r="Q413" s="56"/>
    </row>
    <row r="414" spans="1:17" x14ac:dyDescent="0.15">
      <c r="A414" s="16" t="s">
        <v>182</v>
      </c>
      <c r="B414" s="11"/>
      <c r="C414" s="12">
        <v>3</v>
      </c>
      <c r="D414" s="12">
        <v>3</v>
      </c>
      <c r="E414" s="12"/>
      <c r="F414" s="31"/>
      <c r="G414" s="7">
        <f t="shared" si="88"/>
        <v>6</v>
      </c>
      <c r="H414" s="58">
        <v>43341</v>
      </c>
      <c r="I414" s="141"/>
      <c r="J414" s="8"/>
      <c r="K414" s="10"/>
      <c r="L414" s="10"/>
      <c r="M414" s="10"/>
      <c r="N414" s="30"/>
      <c r="O414" s="7">
        <f t="shared" si="89"/>
        <v>0</v>
      </c>
      <c r="P414" s="58"/>
      <c r="Q414" s="56"/>
    </row>
    <row r="415" spans="1:17" x14ac:dyDescent="0.15">
      <c r="A415" s="16" t="s">
        <v>29</v>
      </c>
      <c r="B415" s="8"/>
      <c r="C415" s="10"/>
      <c r="D415" s="10"/>
      <c r="E415" s="10"/>
      <c r="F415" s="30">
        <v>2</v>
      </c>
      <c r="G415" s="7">
        <f t="shared" si="88"/>
        <v>2</v>
      </c>
      <c r="H415" s="58">
        <v>43340</v>
      </c>
      <c r="I415" s="14"/>
      <c r="J415" s="8"/>
      <c r="K415" s="10"/>
      <c r="L415" s="10"/>
      <c r="M415" s="10"/>
      <c r="N415" s="30"/>
      <c r="O415" s="7">
        <f t="shared" si="83"/>
        <v>0</v>
      </c>
      <c r="P415" s="58"/>
      <c r="Q415" s="56"/>
    </row>
    <row r="416" spans="1:17" x14ac:dyDescent="0.15">
      <c r="A416" s="15" t="s">
        <v>817</v>
      </c>
      <c r="B416" s="37"/>
      <c r="C416" s="35">
        <v>-1</v>
      </c>
      <c r="D416" s="35">
        <v>-1</v>
      </c>
      <c r="E416" s="35">
        <v>-1</v>
      </c>
      <c r="F416" s="28"/>
      <c r="G416" s="7">
        <f t="shared" si="88"/>
        <v>-3</v>
      </c>
      <c r="H416" s="58">
        <v>43341</v>
      </c>
      <c r="I416" s="14"/>
      <c r="J416" s="8"/>
      <c r="K416" s="10"/>
      <c r="L416" s="10"/>
      <c r="M416" s="10"/>
      <c r="N416" s="30"/>
      <c r="O416" s="7">
        <f t="shared" ref="O416" si="90">SUM(J416:N416)</f>
        <v>0</v>
      </c>
      <c r="P416" s="58"/>
      <c r="Q416" s="56"/>
    </row>
    <row r="417" spans="1:17" x14ac:dyDescent="0.15">
      <c r="A417" s="16" t="s">
        <v>182</v>
      </c>
      <c r="B417" s="8"/>
      <c r="C417" s="10">
        <v>3</v>
      </c>
      <c r="D417" s="10">
        <v>2</v>
      </c>
      <c r="E417" s="10"/>
      <c r="F417" s="30">
        <v>2</v>
      </c>
      <c r="G417" s="9">
        <f t="shared" si="88"/>
        <v>7</v>
      </c>
      <c r="H417" s="58">
        <v>43343</v>
      </c>
      <c r="I417" s="141"/>
      <c r="J417" s="8"/>
      <c r="K417" s="10"/>
      <c r="L417" s="10"/>
      <c r="M417" s="10"/>
      <c r="N417" s="30"/>
      <c r="O417" s="7">
        <f t="shared" si="83"/>
        <v>0</v>
      </c>
      <c r="P417" s="56"/>
      <c r="Q417" s="56"/>
    </row>
    <row r="418" spans="1:17" ht="14.25" thickBot="1" x14ac:dyDescent="0.2">
      <c r="A418" s="16" t="s">
        <v>25</v>
      </c>
      <c r="B418" s="37"/>
      <c r="C418" s="35"/>
      <c r="D418" s="35">
        <v>1</v>
      </c>
      <c r="E418" s="35"/>
      <c r="F418" s="28"/>
      <c r="G418" s="7">
        <f t="shared" si="88"/>
        <v>1</v>
      </c>
      <c r="H418" s="58">
        <v>43343</v>
      </c>
      <c r="I418" s="141"/>
      <c r="J418" s="11"/>
      <c r="K418" s="12"/>
      <c r="L418" s="12"/>
      <c r="M418" s="12"/>
      <c r="N418" s="31"/>
      <c r="O418" s="7">
        <f t="shared" si="83"/>
        <v>0</v>
      </c>
      <c r="P418" s="56"/>
      <c r="Q418" s="56"/>
    </row>
    <row r="419" spans="1:17" ht="14.25" thickBot="1" x14ac:dyDescent="0.2">
      <c r="A419" s="3" t="s">
        <v>11</v>
      </c>
      <c r="B419" s="23">
        <f>SUM(B393:B418)</f>
        <v>20</v>
      </c>
      <c r="C419" s="4">
        <f>SUM(C393:C418)</f>
        <v>42</v>
      </c>
      <c r="D419" s="4">
        <f>SUM(D393:D418)</f>
        <v>15</v>
      </c>
      <c r="E419" s="6">
        <f>SUM(E393:E418)</f>
        <v>19</v>
      </c>
      <c r="F419" s="32">
        <f>SUM(F393:F418)</f>
        <v>18</v>
      </c>
      <c r="G419" s="5">
        <f>SUM(B419:F419)</f>
        <v>114</v>
      </c>
      <c r="H419" s="56"/>
      <c r="I419" s="3" t="s">
        <v>11</v>
      </c>
      <c r="J419" s="23">
        <f>SUM(J393:J418)</f>
        <v>15</v>
      </c>
      <c r="K419" s="4">
        <f>SUM(K393:K418)</f>
        <v>30</v>
      </c>
      <c r="L419" s="4">
        <f>SUM(L393:L418)</f>
        <v>0</v>
      </c>
      <c r="M419" s="6">
        <f>SUM(M393:M418)</f>
        <v>28</v>
      </c>
      <c r="N419" s="32">
        <f>SUM(N393:N418)</f>
        <v>18</v>
      </c>
      <c r="O419" s="5">
        <f>SUM(J419:N419)</f>
        <v>91</v>
      </c>
    </row>
    <row r="420" spans="1:17" ht="14.25" thickBot="1" x14ac:dyDescent="0.2">
      <c r="A420" s="25" t="s">
        <v>12</v>
      </c>
      <c r="B420" s="63">
        <f>B392-B419</f>
        <v>10</v>
      </c>
      <c r="C420" s="26">
        <f t="shared" ref="C420:G420" si="91">C392-C419</f>
        <v>7</v>
      </c>
      <c r="D420" s="71">
        <f t="shared" si="91"/>
        <v>8</v>
      </c>
      <c r="E420" s="26">
        <f t="shared" si="91"/>
        <v>19</v>
      </c>
      <c r="F420" s="70">
        <f t="shared" si="91"/>
        <v>8</v>
      </c>
      <c r="G420" s="27">
        <f t="shared" si="91"/>
        <v>52</v>
      </c>
      <c r="H420" s="56"/>
      <c r="I420" s="25" t="s">
        <v>12</v>
      </c>
      <c r="J420" s="63">
        <f>J392-J419</f>
        <v>180</v>
      </c>
      <c r="K420" s="26">
        <f t="shared" ref="K420:O420" si="92">K392-K419</f>
        <v>239</v>
      </c>
      <c r="L420" s="71">
        <f t="shared" si="92"/>
        <v>239</v>
      </c>
      <c r="M420" s="26">
        <f t="shared" si="92"/>
        <v>205</v>
      </c>
      <c r="N420" s="70">
        <f>N392-N419</f>
        <v>168</v>
      </c>
      <c r="O420" s="27">
        <f t="shared" si="92"/>
        <v>1031</v>
      </c>
    </row>
    <row r="421" spans="1:17" ht="21" x14ac:dyDescent="0.2">
      <c r="A421" s="83" t="s">
        <v>415</v>
      </c>
      <c r="B421" s="77"/>
      <c r="C421" s="77"/>
      <c r="D421" s="77"/>
      <c r="E421" s="77"/>
      <c r="F421" s="77"/>
      <c r="G421" s="77"/>
      <c r="H421" s="56"/>
      <c r="I421" s="83" t="s">
        <v>415</v>
      </c>
      <c r="J421" s="77"/>
      <c r="K421" s="77"/>
      <c r="L421" s="77"/>
      <c r="M421" s="77"/>
      <c r="N421" s="77"/>
      <c r="O421" s="77"/>
    </row>
    <row r="422" spans="1:17" ht="21.75" thickBot="1" x14ac:dyDescent="0.25">
      <c r="A422" s="83" t="s">
        <v>47</v>
      </c>
      <c r="B422" s="77"/>
      <c r="C422" s="77"/>
      <c r="D422" s="77"/>
      <c r="E422" s="84"/>
      <c r="F422" s="78" t="s">
        <v>53</v>
      </c>
      <c r="G422" s="77"/>
      <c r="H422" s="56"/>
      <c r="I422" s="83" t="s">
        <v>47</v>
      </c>
      <c r="J422" s="77"/>
      <c r="K422" s="77"/>
      <c r="L422" s="77"/>
      <c r="M422" s="84"/>
      <c r="N422" s="78" t="s">
        <v>54</v>
      </c>
      <c r="O422" s="77"/>
    </row>
    <row r="423" spans="1:17" ht="14.25" thickBot="1" x14ac:dyDescent="0.2">
      <c r="A423" s="13" t="s">
        <v>0</v>
      </c>
      <c r="B423" s="228" t="s">
        <v>49</v>
      </c>
      <c r="C423" s="229"/>
      <c r="D423" s="229"/>
      <c r="E423" s="229"/>
      <c r="F423" s="230"/>
      <c r="G423" s="231"/>
      <c r="H423" s="56"/>
      <c r="I423" s="13" t="s">
        <v>0</v>
      </c>
      <c r="J423" s="228" t="s">
        <v>49</v>
      </c>
      <c r="K423" s="229"/>
      <c r="L423" s="229"/>
      <c r="M423" s="229"/>
      <c r="N423" s="230"/>
      <c r="O423" s="231"/>
    </row>
    <row r="424" spans="1:17" ht="14.25" thickBot="1" x14ac:dyDescent="0.2">
      <c r="A424" s="3" t="s">
        <v>1</v>
      </c>
      <c r="B424" s="2" t="s">
        <v>42</v>
      </c>
      <c r="C424" s="21" t="s">
        <v>43</v>
      </c>
      <c r="D424" s="21" t="s">
        <v>44</v>
      </c>
      <c r="E424" s="24" t="s">
        <v>45</v>
      </c>
      <c r="F424" s="33" t="s">
        <v>46</v>
      </c>
      <c r="G424" s="34" t="s">
        <v>2</v>
      </c>
      <c r="H424" s="56"/>
      <c r="I424" s="3" t="s">
        <v>1</v>
      </c>
      <c r="J424" s="2" t="s">
        <v>42</v>
      </c>
      <c r="K424" s="21" t="s">
        <v>43</v>
      </c>
      <c r="L424" s="21" t="s">
        <v>44</v>
      </c>
      <c r="M424" s="24" t="s">
        <v>45</v>
      </c>
      <c r="N424" s="33" t="s">
        <v>46</v>
      </c>
      <c r="O424" s="3" t="s">
        <v>2</v>
      </c>
    </row>
    <row r="425" spans="1:17" ht="14.25" thickBot="1" x14ac:dyDescent="0.2">
      <c r="A425" s="72" t="s">
        <v>527</v>
      </c>
      <c r="B425" s="73">
        <f>B420</f>
        <v>10</v>
      </c>
      <c r="C425" s="73">
        <f t="shared" ref="C425:F425" si="93">C420</f>
        <v>7</v>
      </c>
      <c r="D425" s="73">
        <f t="shared" si="93"/>
        <v>8</v>
      </c>
      <c r="E425" s="73">
        <f t="shared" si="93"/>
        <v>19</v>
      </c>
      <c r="F425" s="73">
        <f t="shared" si="93"/>
        <v>8</v>
      </c>
      <c r="G425" s="76">
        <f t="shared" ref="G425:G452" si="94">SUM(B425:F425)</f>
        <v>52</v>
      </c>
      <c r="H425" s="56"/>
      <c r="I425" s="96" t="s">
        <v>12</v>
      </c>
      <c r="J425" s="95">
        <f>J420</f>
        <v>180</v>
      </c>
      <c r="K425" s="97">
        <f t="shared" ref="K425:N425" si="95">K420</f>
        <v>239</v>
      </c>
      <c r="L425" s="97">
        <f t="shared" si="95"/>
        <v>239</v>
      </c>
      <c r="M425" s="97">
        <f t="shared" si="95"/>
        <v>205</v>
      </c>
      <c r="N425" s="54">
        <f t="shared" si="95"/>
        <v>168</v>
      </c>
      <c r="O425" s="52">
        <f t="shared" ref="O425:O456" si="96">SUM(J425:N425)</f>
        <v>1031</v>
      </c>
    </row>
    <row r="426" spans="1:17" x14ac:dyDescent="0.15">
      <c r="A426" s="15" t="s">
        <v>14</v>
      </c>
      <c r="B426" s="37"/>
      <c r="C426" s="35"/>
      <c r="D426" s="35">
        <v>10</v>
      </c>
      <c r="E426" s="35"/>
      <c r="F426" s="28"/>
      <c r="G426" s="7">
        <f t="shared" si="94"/>
        <v>10</v>
      </c>
      <c r="H426" s="58">
        <v>43344</v>
      </c>
      <c r="I426" s="15" t="s">
        <v>3</v>
      </c>
      <c r="J426" s="37"/>
      <c r="K426" s="35"/>
      <c r="L426" s="35"/>
      <c r="M426" s="35"/>
      <c r="N426" s="28"/>
      <c r="O426" s="7">
        <f t="shared" si="96"/>
        <v>0</v>
      </c>
      <c r="P426" s="58"/>
    </row>
    <row r="427" spans="1:17" x14ac:dyDescent="0.15">
      <c r="A427" s="15" t="s">
        <v>3</v>
      </c>
      <c r="B427" s="8"/>
      <c r="C427" s="10">
        <v>5</v>
      </c>
      <c r="D427" s="10">
        <v>5</v>
      </c>
      <c r="E427" s="10">
        <v>5</v>
      </c>
      <c r="F427" s="28">
        <v>10</v>
      </c>
      <c r="G427" s="9">
        <f t="shared" si="94"/>
        <v>25</v>
      </c>
      <c r="H427" s="58">
        <v>43347</v>
      </c>
      <c r="I427" s="15" t="s">
        <v>4</v>
      </c>
      <c r="J427" s="8"/>
      <c r="K427" s="10"/>
      <c r="L427" s="10"/>
      <c r="M427" s="10"/>
      <c r="N427" s="28"/>
      <c r="O427" s="9">
        <f t="shared" si="96"/>
        <v>0</v>
      </c>
      <c r="P427" s="58"/>
    </row>
    <row r="428" spans="1:17" x14ac:dyDescent="0.15">
      <c r="A428" s="15" t="s">
        <v>4</v>
      </c>
      <c r="B428" s="8">
        <v>5</v>
      </c>
      <c r="C428" s="10"/>
      <c r="D428" s="10"/>
      <c r="E428" s="10">
        <v>5</v>
      </c>
      <c r="F428" s="28">
        <v>10</v>
      </c>
      <c r="G428" s="9">
        <f t="shared" si="94"/>
        <v>20</v>
      </c>
      <c r="H428" s="58">
        <v>43349</v>
      </c>
      <c r="I428" s="15" t="s">
        <v>5</v>
      </c>
      <c r="J428" s="8"/>
      <c r="K428" s="10"/>
      <c r="L428" s="10"/>
      <c r="M428" s="10"/>
      <c r="N428" s="28"/>
      <c r="O428" s="9">
        <f t="shared" si="96"/>
        <v>0</v>
      </c>
    </row>
    <row r="429" spans="1:17" x14ac:dyDescent="0.15">
      <c r="A429" s="15" t="s">
        <v>5</v>
      </c>
      <c r="B429" s="8"/>
      <c r="C429" s="10"/>
      <c r="D429" s="10"/>
      <c r="E429" s="10"/>
      <c r="F429" s="28">
        <v>5</v>
      </c>
      <c r="G429" s="9">
        <f t="shared" si="94"/>
        <v>5</v>
      </c>
      <c r="H429" s="58">
        <v>43351</v>
      </c>
      <c r="I429" s="15" t="s">
        <v>6</v>
      </c>
      <c r="J429" s="8"/>
      <c r="K429" s="10"/>
      <c r="L429" s="10"/>
      <c r="M429" s="10"/>
      <c r="N429" s="28"/>
      <c r="O429" s="9">
        <f t="shared" si="96"/>
        <v>0</v>
      </c>
    </row>
    <row r="430" spans="1:17" x14ac:dyDescent="0.15">
      <c r="A430" s="15" t="s">
        <v>830</v>
      </c>
      <c r="B430" s="11">
        <v>1</v>
      </c>
      <c r="C430" s="12"/>
      <c r="D430" s="12"/>
      <c r="E430" s="12"/>
      <c r="F430" s="31"/>
      <c r="G430" s="7">
        <f t="shared" si="94"/>
        <v>1</v>
      </c>
      <c r="H430" s="58">
        <v>43353</v>
      </c>
      <c r="I430" s="15" t="s">
        <v>84</v>
      </c>
      <c r="J430" s="11"/>
      <c r="K430" s="12"/>
      <c r="L430" s="12"/>
      <c r="M430" s="12"/>
      <c r="N430" s="31"/>
      <c r="O430" s="7">
        <f t="shared" si="96"/>
        <v>0</v>
      </c>
    </row>
    <row r="431" spans="1:17" x14ac:dyDescent="0.15">
      <c r="A431" s="15" t="s">
        <v>84</v>
      </c>
      <c r="B431" s="8"/>
      <c r="C431" s="10">
        <v>5</v>
      </c>
      <c r="D431" s="10"/>
      <c r="E431" s="10">
        <v>5</v>
      </c>
      <c r="F431" s="30">
        <v>5</v>
      </c>
      <c r="G431" s="7">
        <f t="shared" si="94"/>
        <v>15</v>
      </c>
      <c r="H431" s="58">
        <v>43355</v>
      </c>
      <c r="I431" s="15" t="s">
        <v>85</v>
      </c>
      <c r="J431" s="8"/>
      <c r="K431" s="10"/>
      <c r="L431" s="10"/>
      <c r="M431" s="10"/>
      <c r="N431" s="30"/>
      <c r="O431" s="7">
        <f t="shared" si="96"/>
        <v>0</v>
      </c>
    </row>
    <row r="432" spans="1:17" x14ac:dyDescent="0.15">
      <c r="A432" s="15" t="s">
        <v>17</v>
      </c>
      <c r="B432" s="8"/>
      <c r="C432" s="10">
        <v>1</v>
      </c>
      <c r="D432" s="10">
        <v>4</v>
      </c>
      <c r="E432" s="10"/>
      <c r="F432" s="30"/>
      <c r="G432" s="7">
        <f t="shared" si="94"/>
        <v>5</v>
      </c>
      <c r="H432" s="58">
        <v>43357</v>
      </c>
      <c r="I432" s="16" t="s">
        <v>88</v>
      </c>
      <c r="J432" s="8"/>
      <c r="K432" s="10"/>
      <c r="L432" s="10"/>
      <c r="M432" s="10"/>
      <c r="N432" s="30"/>
      <c r="O432" s="7">
        <f t="shared" si="96"/>
        <v>0</v>
      </c>
    </row>
    <row r="433" spans="1:16" ht="14.25" thickBot="1" x14ac:dyDescent="0.2">
      <c r="A433" s="15" t="s">
        <v>86</v>
      </c>
      <c r="B433" s="11"/>
      <c r="C433" s="100">
        <v>10</v>
      </c>
      <c r="D433" s="100"/>
      <c r="E433" s="100">
        <v>5</v>
      </c>
      <c r="F433" s="101">
        <v>5</v>
      </c>
      <c r="G433" s="102">
        <f t="shared" si="94"/>
        <v>20</v>
      </c>
      <c r="H433" s="58">
        <v>43362</v>
      </c>
      <c r="I433" s="15" t="s">
        <v>87</v>
      </c>
      <c r="J433" s="11"/>
      <c r="K433" s="100"/>
      <c r="L433" s="100"/>
      <c r="M433" s="100"/>
      <c r="N433" s="101"/>
      <c r="O433" s="102">
        <f t="shared" si="96"/>
        <v>0</v>
      </c>
    </row>
    <row r="434" spans="1:16" ht="14.25" thickBot="1" x14ac:dyDescent="0.2">
      <c r="A434" s="72" t="s">
        <v>7</v>
      </c>
      <c r="B434" s="73">
        <f>SUM(B425:B433)</f>
        <v>16</v>
      </c>
      <c r="C434" s="74">
        <f t="shared" ref="C434:F434" si="97">SUM(C425:C433)</f>
        <v>28</v>
      </c>
      <c r="D434" s="74">
        <f t="shared" si="97"/>
        <v>27</v>
      </c>
      <c r="E434" s="74">
        <f t="shared" si="97"/>
        <v>39</v>
      </c>
      <c r="F434" s="105">
        <f t="shared" si="97"/>
        <v>43</v>
      </c>
      <c r="G434" s="76">
        <f t="shared" si="94"/>
        <v>153</v>
      </c>
      <c r="H434" s="56"/>
      <c r="I434" s="72" t="s">
        <v>7</v>
      </c>
      <c r="J434" s="73">
        <f>SUM(J425:J433)</f>
        <v>180</v>
      </c>
      <c r="K434" s="74">
        <f t="shared" ref="K434:N434" si="98">SUM(K425:K433)</f>
        <v>239</v>
      </c>
      <c r="L434" s="74">
        <f t="shared" si="98"/>
        <v>239</v>
      </c>
      <c r="M434" s="74">
        <f t="shared" si="98"/>
        <v>205</v>
      </c>
      <c r="N434" s="105">
        <f t="shared" si="98"/>
        <v>168</v>
      </c>
      <c r="O434" s="76">
        <f t="shared" si="96"/>
        <v>1031</v>
      </c>
    </row>
    <row r="435" spans="1:16" x14ac:dyDescent="0.15">
      <c r="A435" s="16" t="s">
        <v>820</v>
      </c>
      <c r="B435" s="37"/>
      <c r="C435" s="35"/>
      <c r="D435" s="35">
        <v>10</v>
      </c>
      <c r="E435" s="35">
        <v>10</v>
      </c>
      <c r="F435" s="28"/>
      <c r="G435" s="18">
        <f t="shared" si="94"/>
        <v>20</v>
      </c>
      <c r="H435" s="58">
        <v>43347</v>
      </c>
      <c r="I435" s="16" t="s">
        <v>743</v>
      </c>
      <c r="J435" s="37"/>
      <c r="K435" s="35"/>
      <c r="L435" s="35">
        <v>10</v>
      </c>
      <c r="M435" s="35"/>
      <c r="N435" s="28"/>
      <c r="O435" s="7">
        <f t="shared" si="96"/>
        <v>10</v>
      </c>
      <c r="P435" s="58">
        <v>43344</v>
      </c>
    </row>
    <row r="436" spans="1:16" x14ac:dyDescent="0.15">
      <c r="A436" s="16" t="s">
        <v>182</v>
      </c>
      <c r="B436" s="8"/>
      <c r="C436" s="10"/>
      <c r="D436" s="10"/>
      <c r="E436" s="10"/>
      <c r="F436" s="30">
        <v>2</v>
      </c>
      <c r="G436" s="7">
        <f t="shared" si="94"/>
        <v>2</v>
      </c>
      <c r="H436" s="58">
        <v>43347</v>
      </c>
      <c r="I436" s="16" t="s">
        <v>110</v>
      </c>
      <c r="J436" s="8"/>
      <c r="K436" s="10"/>
      <c r="L436" s="10"/>
      <c r="M436" s="10">
        <v>3</v>
      </c>
      <c r="N436" s="30"/>
      <c r="O436" s="7">
        <f t="shared" si="96"/>
        <v>3</v>
      </c>
      <c r="P436" s="58">
        <v>43350</v>
      </c>
    </row>
    <row r="437" spans="1:16" x14ac:dyDescent="0.15">
      <c r="A437" s="16" t="s">
        <v>25</v>
      </c>
      <c r="B437" s="8"/>
      <c r="C437" s="10"/>
      <c r="D437" s="10">
        <v>1</v>
      </c>
      <c r="E437" s="10">
        <v>1</v>
      </c>
      <c r="F437" s="30">
        <v>5</v>
      </c>
      <c r="G437" s="7">
        <f t="shared" si="94"/>
        <v>7</v>
      </c>
      <c r="H437" s="58">
        <v>43347</v>
      </c>
      <c r="I437" s="16" t="s">
        <v>822</v>
      </c>
      <c r="J437" s="8"/>
      <c r="K437" s="10">
        <v>5</v>
      </c>
      <c r="L437" s="10">
        <v>5</v>
      </c>
      <c r="M437" s="10">
        <v>5</v>
      </c>
      <c r="N437" s="30">
        <v>10</v>
      </c>
      <c r="O437" s="7">
        <f t="shared" si="96"/>
        <v>25</v>
      </c>
      <c r="P437" s="58">
        <v>43347</v>
      </c>
    </row>
    <row r="438" spans="1:16" x14ac:dyDescent="0.15">
      <c r="A438" s="16" t="s">
        <v>182</v>
      </c>
      <c r="B438" s="8">
        <v>3</v>
      </c>
      <c r="C438" s="10"/>
      <c r="D438" s="10"/>
      <c r="E438" s="10">
        <v>3</v>
      </c>
      <c r="F438" s="30">
        <v>3</v>
      </c>
      <c r="G438" s="7">
        <f t="shared" si="94"/>
        <v>9</v>
      </c>
      <c r="H438" s="58">
        <v>43348</v>
      </c>
      <c r="I438" s="16" t="s">
        <v>24</v>
      </c>
      <c r="J438" s="8">
        <v>5</v>
      </c>
      <c r="K438" s="10"/>
      <c r="L438" s="10"/>
      <c r="M438" s="10">
        <v>5</v>
      </c>
      <c r="N438" s="30">
        <v>10</v>
      </c>
      <c r="O438" s="7">
        <f t="shared" si="96"/>
        <v>20</v>
      </c>
      <c r="P438" s="58">
        <v>43349</v>
      </c>
    </row>
    <row r="439" spans="1:16" x14ac:dyDescent="0.15">
      <c r="A439" s="16" t="s">
        <v>823</v>
      </c>
      <c r="B439" s="8"/>
      <c r="C439" s="10"/>
      <c r="D439" s="10"/>
      <c r="E439" s="10">
        <v>1</v>
      </c>
      <c r="F439" s="30"/>
      <c r="G439" s="7">
        <f t="shared" si="94"/>
        <v>1</v>
      </c>
      <c r="H439" s="58">
        <v>43347</v>
      </c>
      <c r="I439" s="16" t="s">
        <v>743</v>
      </c>
      <c r="J439" s="8"/>
      <c r="K439" s="10"/>
      <c r="L439" s="10"/>
      <c r="M439" s="10"/>
      <c r="N439" s="30">
        <v>5</v>
      </c>
      <c r="O439" s="7">
        <f t="shared" si="96"/>
        <v>5</v>
      </c>
      <c r="P439" s="58">
        <v>43351</v>
      </c>
    </row>
    <row r="440" spans="1:16" x14ac:dyDescent="0.15">
      <c r="A440" s="16" t="s">
        <v>825</v>
      </c>
      <c r="B440" s="8"/>
      <c r="C440" s="10"/>
      <c r="D440" s="10"/>
      <c r="E440" s="10">
        <v>3</v>
      </c>
      <c r="F440" s="30"/>
      <c r="G440" s="7">
        <f t="shared" si="94"/>
        <v>3</v>
      </c>
      <c r="H440" s="58">
        <v>43354</v>
      </c>
      <c r="I440" s="16" t="s">
        <v>24</v>
      </c>
      <c r="J440" s="8"/>
      <c r="K440" s="10">
        <v>5</v>
      </c>
      <c r="L440" s="10"/>
      <c r="M440" s="10">
        <v>5</v>
      </c>
      <c r="N440" s="30">
        <v>5</v>
      </c>
      <c r="O440" s="7">
        <f t="shared" si="96"/>
        <v>15</v>
      </c>
      <c r="P440" s="58">
        <v>43355</v>
      </c>
    </row>
    <row r="441" spans="1:16" x14ac:dyDescent="0.15">
      <c r="A441" s="16" t="s">
        <v>22</v>
      </c>
      <c r="B441" s="8"/>
      <c r="C441" s="10"/>
      <c r="D441" s="10"/>
      <c r="E441" s="10"/>
      <c r="F441" s="30">
        <v>10</v>
      </c>
      <c r="G441" s="7">
        <f t="shared" si="94"/>
        <v>10</v>
      </c>
      <c r="H441" s="58">
        <v>43353</v>
      </c>
      <c r="I441" s="16" t="s">
        <v>24</v>
      </c>
      <c r="J441" s="8"/>
      <c r="K441" s="10">
        <v>10</v>
      </c>
      <c r="L441" s="10"/>
      <c r="M441" s="10">
        <v>5</v>
      </c>
      <c r="N441" s="30">
        <v>5</v>
      </c>
      <c r="O441" s="7">
        <f t="shared" si="96"/>
        <v>20</v>
      </c>
      <c r="P441" s="58">
        <v>43362</v>
      </c>
    </row>
    <row r="442" spans="1:16" x14ac:dyDescent="0.15">
      <c r="A442" s="16" t="s">
        <v>25</v>
      </c>
      <c r="B442" s="8"/>
      <c r="C442" s="10">
        <v>1</v>
      </c>
      <c r="D442" s="10"/>
      <c r="E442" s="10">
        <v>2</v>
      </c>
      <c r="F442" s="30">
        <v>2</v>
      </c>
      <c r="G442" s="7">
        <f t="shared" si="94"/>
        <v>5</v>
      </c>
      <c r="H442" s="58">
        <v>43349</v>
      </c>
      <c r="I442" s="16" t="s">
        <v>24</v>
      </c>
      <c r="J442" s="8">
        <v>10</v>
      </c>
      <c r="K442" s="10"/>
      <c r="L442" s="10"/>
      <c r="M442" s="10">
        <v>10</v>
      </c>
      <c r="N442" s="30"/>
      <c r="O442" s="7">
        <f t="shared" si="96"/>
        <v>20</v>
      </c>
      <c r="P442" s="58">
        <v>43363</v>
      </c>
    </row>
    <row r="443" spans="1:16" x14ac:dyDescent="0.15">
      <c r="A443" s="16" t="s">
        <v>827</v>
      </c>
      <c r="B443" s="8"/>
      <c r="C443" s="10">
        <v>1</v>
      </c>
      <c r="D443" s="10"/>
      <c r="E443" s="10"/>
      <c r="F443" s="30"/>
      <c r="G443" s="7">
        <f t="shared" si="94"/>
        <v>1</v>
      </c>
      <c r="H443" s="58">
        <v>43348</v>
      </c>
      <c r="I443" s="16" t="s">
        <v>24</v>
      </c>
      <c r="J443" s="8"/>
      <c r="K443" s="10"/>
      <c r="L443" s="10">
        <v>10</v>
      </c>
      <c r="M443" s="10"/>
      <c r="N443" s="30">
        <v>20</v>
      </c>
      <c r="O443" s="7">
        <f t="shared" si="96"/>
        <v>30</v>
      </c>
      <c r="P443" s="58">
        <v>43371</v>
      </c>
    </row>
    <row r="444" spans="1:16" x14ac:dyDescent="0.15">
      <c r="A444" s="16" t="s">
        <v>25</v>
      </c>
      <c r="B444" s="8"/>
      <c r="C444" s="10">
        <v>2</v>
      </c>
      <c r="D444" s="10">
        <v>2</v>
      </c>
      <c r="E444" s="10"/>
      <c r="F444" s="30"/>
      <c r="G444" s="7">
        <f t="shared" si="94"/>
        <v>4</v>
      </c>
      <c r="H444" s="58">
        <v>43351</v>
      </c>
      <c r="I444" s="16"/>
      <c r="J444" s="11"/>
      <c r="K444" s="12"/>
      <c r="L444" s="12"/>
      <c r="M444" s="12"/>
      <c r="N444" s="31"/>
      <c r="O444" s="7">
        <f t="shared" si="96"/>
        <v>0</v>
      </c>
    </row>
    <row r="445" spans="1:16" x14ac:dyDescent="0.15">
      <c r="A445" s="16" t="s">
        <v>25</v>
      </c>
      <c r="B445" s="8"/>
      <c r="C445" s="10">
        <v>1</v>
      </c>
      <c r="D445" s="10"/>
      <c r="E445" s="10"/>
      <c r="F445" s="30"/>
      <c r="G445" s="7">
        <f t="shared" si="94"/>
        <v>1</v>
      </c>
      <c r="H445" s="58">
        <v>43354</v>
      </c>
      <c r="I445" s="16"/>
      <c r="J445" s="8"/>
      <c r="K445" s="10"/>
      <c r="L445" s="10"/>
      <c r="M445" s="10"/>
      <c r="N445" s="30"/>
      <c r="O445" s="7">
        <f t="shared" si="96"/>
        <v>0</v>
      </c>
    </row>
    <row r="446" spans="1:16" x14ac:dyDescent="0.15">
      <c r="A446" s="16" t="s">
        <v>182</v>
      </c>
      <c r="B446" s="8"/>
      <c r="C446" s="10"/>
      <c r="D446" s="10"/>
      <c r="E446" s="10">
        <v>2</v>
      </c>
      <c r="F446" s="30">
        <v>3</v>
      </c>
      <c r="G446" s="7">
        <f t="shared" si="94"/>
        <v>5</v>
      </c>
      <c r="H446" s="58">
        <v>43355</v>
      </c>
      <c r="I446" s="14"/>
      <c r="J446" s="8"/>
      <c r="K446" s="10"/>
      <c r="L446" s="10"/>
      <c r="M446" s="10"/>
      <c r="N446" s="30"/>
      <c r="O446" s="7">
        <f t="shared" si="96"/>
        <v>0</v>
      </c>
    </row>
    <row r="447" spans="1:16" x14ac:dyDescent="0.15">
      <c r="A447" s="16" t="s">
        <v>831</v>
      </c>
      <c r="B447" s="8"/>
      <c r="C447" s="10"/>
      <c r="D447" s="10"/>
      <c r="E447" s="10">
        <v>-1</v>
      </c>
      <c r="F447" s="30">
        <v>1</v>
      </c>
      <c r="G447" s="7">
        <f t="shared" si="94"/>
        <v>0</v>
      </c>
      <c r="H447" s="58">
        <v>43354</v>
      </c>
      <c r="I447" s="16"/>
      <c r="J447" s="8"/>
      <c r="K447" s="10"/>
      <c r="L447" s="10"/>
      <c r="M447" s="10"/>
      <c r="N447" s="30"/>
      <c r="O447" s="7">
        <f t="shared" si="96"/>
        <v>0</v>
      </c>
    </row>
    <row r="448" spans="1:16" x14ac:dyDescent="0.15">
      <c r="A448" s="16" t="s">
        <v>832</v>
      </c>
      <c r="B448" s="8"/>
      <c r="C448" s="10"/>
      <c r="D448" s="10"/>
      <c r="E448" s="10"/>
      <c r="F448" s="30">
        <v>1</v>
      </c>
      <c r="G448" s="7">
        <f t="shared" si="94"/>
        <v>1</v>
      </c>
      <c r="H448" s="58">
        <v>43354</v>
      </c>
      <c r="I448" s="16"/>
      <c r="J448" s="8"/>
      <c r="K448" s="10"/>
      <c r="L448" s="10"/>
      <c r="M448" s="10"/>
      <c r="N448" s="30"/>
      <c r="O448" s="7">
        <f t="shared" si="96"/>
        <v>0</v>
      </c>
    </row>
    <row r="449" spans="1:16" x14ac:dyDescent="0.15">
      <c r="A449" s="16" t="s">
        <v>25</v>
      </c>
      <c r="B449" s="8"/>
      <c r="C449" s="10"/>
      <c r="D449" s="10"/>
      <c r="E449" s="10"/>
      <c r="F449" s="30">
        <v>1</v>
      </c>
      <c r="G449" s="7">
        <f t="shared" si="94"/>
        <v>1</v>
      </c>
      <c r="H449" s="58">
        <v>43356</v>
      </c>
      <c r="I449" s="16"/>
      <c r="J449" s="8"/>
      <c r="K449" s="10"/>
      <c r="L449" s="10"/>
      <c r="M449" s="10"/>
      <c r="N449" s="30"/>
      <c r="O449" s="7">
        <f t="shared" si="96"/>
        <v>0</v>
      </c>
    </row>
    <row r="450" spans="1:16" x14ac:dyDescent="0.15">
      <c r="A450" s="16" t="s">
        <v>182</v>
      </c>
      <c r="B450" s="8"/>
      <c r="C450" s="10"/>
      <c r="D450" s="10"/>
      <c r="E450" s="10">
        <v>3</v>
      </c>
      <c r="F450" s="30"/>
      <c r="G450" s="7">
        <f t="shared" si="94"/>
        <v>3</v>
      </c>
      <c r="H450" s="58">
        <v>43357</v>
      </c>
      <c r="I450" s="16"/>
      <c r="J450" s="8"/>
      <c r="K450" s="10"/>
      <c r="L450" s="10"/>
      <c r="M450" s="10"/>
      <c r="N450" s="30"/>
      <c r="O450" s="7">
        <f t="shared" si="96"/>
        <v>0</v>
      </c>
      <c r="P450" s="56"/>
    </row>
    <row r="451" spans="1:16" x14ac:dyDescent="0.15">
      <c r="A451" s="16" t="s">
        <v>182</v>
      </c>
      <c r="B451" s="8">
        <v>3</v>
      </c>
      <c r="C451" s="10"/>
      <c r="D451" s="10"/>
      <c r="E451" s="10">
        <v>2</v>
      </c>
      <c r="F451" s="30"/>
      <c r="G451" s="7">
        <f t="shared" si="94"/>
        <v>5</v>
      </c>
      <c r="H451" s="58">
        <v>43357</v>
      </c>
      <c r="I451" s="20"/>
      <c r="J451" s="11"/>
      <c r="K451" s="12"/>
      <c r="L451" s="12"/>
      <c r="M451" s="12"/>
      <c r="N451" s="31"/>
      <c r="O451" s="7">
        <f t="shared" si="96"/>
        <v>0</v>
      </c>
      <c r="P451" s="56"/>
    </row>
    <row r="452" spans="1:16" x14ac:dyDescent="0.15">
      <c r="A452" s="16" t="s">
        <v>25</v>
      </c>
      <c r="B452" s="8"/>
      <c r="C452" s="10"/>
      <c r="D452" s="10"/>
      <c r="E452" s="10"/>
      <c r="F452" s="30">
        <v>1</v>
      </c>
      <c r="G452" s="7">
        <f t="shared" si="94"/>
        <v>1</v>
      </c>
      <c r="H452" s="58">
        <v>43358</v>
      </c>
      <c r="I452" s="14"/>
      <c r="J452" s="8"/>
      <c r="K452" s="10"/>
      <c r="L452" s="10"/>
      <c r="M452" s="10"/>
      <c r="N452" s="30"/>
      <c r="O452" s="7">
        <f t="shared" si="96"/>
        <v>0</v>
      </c>
      <c r="P452" s="58"/>
    </row>
    <row r="453" spans="1:16" x14ac:dyDescent="0.15">
      <c r="A453" s="16" t="s">
        <v>22</v>
      </c>
      <c r="B453" s="8"/>
      <c r="C453" s="10">
        <v>10</v>
      </c>
      <c r="D453" s="10"/>
      <c r="E453" s="10"/>
      <c r="F453" s="30"/>
      <c r="G453" s="7">
        <f>SUM(B453:F453)</f>
        <v>10</v>
      </c>
      <c r="H453" s="58">
        <v>43364</v>
      </c>
      <c r="I453" s="20"/>
      <c r="J453" s="11"/>
      <c r="K453" s="12"/>
      <c r="L453" s="12"/>
      <c r="M453" s="12"/>
      <c r="N453" s="31"/>
      <c r="O453" s="7">
        <f t="shared" ref="O453" si="99">SUM(J453:N453)</f>
        <v>0</v>
      </c>
      <c r="P453" s="56"/>
    </row>
    <row r="454" spans="1:16" x14ac:dyDescent="0.15">
      <c r="A454" s="16" t="s">
        <v>25</v>
      </c>
      <c r="B454" s="8"/>
      <c r="C454" s="10"/>
      <c r="D454" s="10">
        <v>1</v>
      </c>
      <c r="E454" s="10"/>
      <c r="F454" s="30"/>
      <c r="G454" s="7">
        <f>SUM(B454:F454)</f>
        <v>1</v>
      </c>
      <c r="H454" s="58">
        <v>43363</v>
      </c>
      <c r="I454" s="14"/>
      <c r="J454" s="8"/>
      <c r="K454" s="10"/>
      <c r="L454" s="10"/>
      <c r="M454" s="10"/>
      <c r="N454" s="30"/>
      <c r="O454" s="7">
        <f t="shared" si="96"/>
        <v>0</v>
      </c>
      <c r="P454" s="56"/>
    </row>
    <row r="455" spans="1:16" x14ac:dyDescent="0.15">
      <c r="A455" s="16" t="s">
        <v>22</v>
      </c>
      <c r="B455" s="8">
        <v>10</v>
      </c>
      <c r="C455" s="10"/>
      <c r="D455" s="10"/>
      <c r="E455" s="10">
        <v>10</v>
      </c>
      <c r="F455" s="30"/>
      <c r="G455" s="7">
        <f t="shared" ref="G455:G460" si="100">SUM(B455:F455)</f>
        <v>20</v>
      </c>
      <c r="H455" s="58">
        <v>43368</v>
      </c>
      <c r="I455" s="14"/>
      <c r="J455" s="8"/>
      <c r="K455" s="10"/>
      <c r="L455" s="10"/>
      <c r="M455" s="10"/>
      <c r="N455" s="30"/>
      <c r="O455" s="7">
        <f t="shared" si="96"/>
        <v>0</v>
      </c>
      <c r="P455" s="58"/>
    </row>
    <row r="456" spans="1:16" x14ac:dyDescent="0.15">
      <c r="A456" s="16" t="s">
        <v>840</v>
      </c>
      <c r="B456" s="11">
        <v>-10</v>
      </c>
      <c r="C456" s="12"/>
      <c r="D456" s="12"/>
      <c r="E456" s="12">
        <v>-10</v>
      </c>
      <c r="F456" s="31"/>
      <c r="G456" s="7">
        <f t="shared" si="100"/>
        <v>-20</v>
      </c>
      <c r="H456" s="58">
        <v>43363</v>
      </c>
      <c r="I456" s="20"/>
      <c r="J456" s="11"/>
      <c r="K456" s="12"/>
      <c r="L456" s="12"/>
      <c r="M456" s="12"/>
      <c r="N456" s="31"/>
      <c r="O456" s="7">
        <f t="shared" si="96"/>
        <v>0</v>
      </c>
      <c r="P456" s="56"/>
    </row>
    <row r="457" spans="1:16" x14ac:dyDescent="0.15">
      <c r="A457" s="16" t="s">
        <v>25</v>
      </c>
      <c r="B457" s="8"/>
      <c r="C457" s="10"/>
      <c r="D457" s="10">
        <v>1</v>
      </c>
      <c r="E457" s="10"/>
      <c r="F457" s="30"/>
      <c r="G457" s="7">
        <f t="shared" si="100"/>
        <v>1</v>
      </c>
      <c r="H457" s="58">
        <v>43369</v>
      </c>
      <c r="I457" s="14"/>
      <c r="J457" s="8"/>
      <c r="K457" s="10"/>
      <c r="L457" s="10"/>
      <c r="M457" s="10"/>
      <c r="N457" s="30"/>
      <c r="O457" s="7">
        <f t="shared" ref="O457" si="101">SUM(J457:N457)</f>
        <v>0</v>
      </c>
      <c r="P457" s="58"/>
    </row>
    <row r="458" spans="1:16" x14ac:dyDescent="0.15">
      <c r="A458" s="16" t="s">
        <v>25</v>
      </c>
      <c r="B458" s="37"/>
      <c r="C458" s="35"/>
      <c r="D458" s="35"/>
      <c r="E458" s="35">
        <v>1</v>
      </c>
      <c r="F458" s="28"/>
      <c r="G458" s="7">
        <f t="shared" si="100"/>
        <v>1</v>
      </c>
      <c r="H458" s="58">
        <v>43371</v>
      </c>
      <c r="I458" s="14"/>
      <c r="J458" s="8"/>
      <c r="K458" s="10"/>
      <c r="L458" s="10"/>
      <c r="M458" s="10"/>
      <c r="N458" s="30"/>
      <c r="O458" s="7">
        <f t="shared" ref="O458" si="102">SUM(J458:N458)</f>
        <v>0</v>
      </c>
      <c r="P458" s="58"/>
    </row>
    <row r="459" spans="1:16" x14ac:dyDescent="0.15">
      <c r="A459" s="16" t="s">
        <v>22</v>
      </c>
      <c r="B459" s="8"/>
      <c r="C459" s="10"/>
      <c r="D459" s="10">
        <v>10</v>
      </c>
      <c r="E459" s="10"/>
      <c r="F459" s="30">
        <v>20</v>
      </c>
      <c r="G459" s="9">
        <f t="shared" si="100"/>
        <v>30</v>
      </c>
      <c r="H459" s="58">
        <v>43375</v>
      </c>
      <c r="I459" s="14"/>
      <c r="J459" s="8"/>
      <c r="K459" s="10"/>
      <c r="L459" s="10"/>
      <c r="M459" s="10"/>
      <c r="N459" s="30"/>
      <c r="O459" s="7">
        <f t="shared" ref="O459" si="103">SUM(J459:N459)</f>
        <v>0</v>
      </c>
      <c r="P459" s="58"/>
    </row>
    <row r="460" spans="1:16" ht="14.25" thickBot="1" x14ac:dyDescent="0.2">
      <c r="A460" s="15" t="s">
        <v>843</v>
      </c>
      <c r="B460" s="37"/>
      <c r="C460" s="35"/>
      <c r="D460" s="35">
        <v>-10</v>
      </c>
      <c r="E460" s="35"/>
      <c r="F460" s="28">
        <v>-20</v>
      </c>
      <c r="G460" s="7">
        <f t="shared" si="100"/>
        <v>-30</v>
      </c>
      <c r="H460" s="58">
        <v>43371</v>
      </c>
      <c r="I460" s="14"/>
      <c r="J460" s="8"/>
      <c r="K460" s="10"/>
      <c r="L460" s="10"/>
      <c r="M460" s="10"/>
      <c r="N460" s="30"/>
      <c r="O460" s="7">
        <f t="shared" ref="O460" si="104">SUM(J460:N460)</f>
        <v>0</v>
      </c>
      <c r="P460" s="58"/>
    </row>
    <row r="461" spans="1:16" ht="14.25" thickBot="1" x14ac:dyDescent="0.2">
      <c r="A461" s="3" t="s">
        <v>11</v>
      </c>
      <c r="B461" s="23">
        <f>SUM(B435:B460)</f>
        <v>6</v>
      </c>
      <c r="C461" s="4">
        <f>SUM(C435:C460)</f>
        <v>15</v>
      </c>
      <c r="D461" s="4">
        <f>SUM(D435:D460)</f>
        <v>15</v>
      </c>
      <c r="E461" s="6">
        <f>SUM(E435:E460)</f>
        <v>27</v>
      </c>
      <c r="F461" s="32">
        <f>SUM(F435:F460)</f>
        <v>29</v>
      </c>
      <c r="G461" s="5">
        <f>SUM(B461:F461)</f>
        <v>92</v>
      </c>
      <c r="H461" s="56"/>
      <c r="I461" s="3" t="s">
        <v>11</v>
      </c>
      <c r="J461" s="23">
        <f>SUM(J435:J460)</f>
        <v>15</v>
      </c>
      <c r="K461" s="4">
        <f>SUM(K435:K460)</f>
        <v>20</v>
      </c>
      <c r="L461" s="4">
        <f>SUM(L435:L460)</f>
        <v>25</v>
      </c>
      <c r="M461" s="6">
        <f>SUM(M435:M460)</f>
        <v>33</v>
      </c>
      <c r="N461" s="32">
        <f>SUM(N435:N460)</f>
        <v>55</v>
      </c>
      <c r="O461" s="5">
        <f>SUM(J461:N461)</f>
        <v>148</v>
      </c>
    </row>
    <row r="462" spans="1:16" ht="14.25" thickBot="1" x14ac:dyDescent="0.2">
      <c r="A462" s="25" t="s">
        <v>12</v>
      </c>
      <c r="B462" s="63">
        <f>B434-B461</f>
        <v>10</v>
      </c>
      <c r="C462" s="26">
        <f t="shared" ref="C462:G462" si="105">C434-C461</f>
        <v>13</v>
      </c>
      <c r="D462" s="71">
        <f t="shared" si="105"/>
        <v>12</v>
      </c>
      <c r="E462" s="26">
        <f t="shared" si="105"/>
        <v>12</v>
      </c>
      <c r="F462" s="70">
        <f t="shared" si="105"/>
        <v>14</v>
      </c>
      <c r="G462" s="27">
        <f t="shared" si="105"/>
        <v>61</v>
      </c>
      <c r="H462" s="56"/>
      <c r="I462" s="25" t="s">
        <v>12</v>
      </c>
      <c r="J462" s="63">
        <f>J434-J461</f>
        <v>165</v>
      </c>
      <c r="K462" s="26">
        <f t="shared" ref="K462:M462" si="106">K434-K461</f>
        <v>219</v>
      </c>
      <c r="L462" s="71">
        <f t="shared" si="106"/>
        <v>214</v>
      </c>
      <c r="M462" s="26">
        <f t="shared" si="106"/>
        <v>172</v>
      </c>
      <c r="N462" s="70">
        <f>N434-N461</f>
        <v>113</v>
      </c>
      <c r="O462" s="27">
        <f t="shared" ref="O462" si="107">O434-O461</f>
        <v>883</v>
      </c>
    </row>
    <row r="463" spans="1:16" ht="21" x14ac:dyDescent="0.2">
      <c r="A463" s="83" t="s">
        <v>415</v>
      </c>
      <c r="B463" s="77"/>
      <c r="C463" s="77"/>
      <c r="D463" s="77"/>
      <c r="E463" s="77"/>
      <c r="F463" s="77"/>
      <c r="G463" s="77"/>
      <c r="H463" s="56"/>
      <c r="I463" s="83" t="s">
        <v>415</v>
      </c>
      <c r="J463" s="77"/>
      <c r="K463" s="77"/>
      <c r="L463" s="77"/>
      <c r="M463" s="77"/>
      <c r="N463" s="77"/>
      <c r="O463" s="77"/>
    </row>
    <row r="464" spans="1:16" ht="21.75" thickBot="1" x14ac:dyDescent="0.25">
      <c r="A464" s="83" t="s">
        <v>47</v>
      </c>
      <c r="B464" s="77"/>
      <c r="C464" s="77"/>
      <c r="D464" s="77"/>
      <c r="E464" s="84"/>
      <c r="F464" s="78" t="s">
        <v>53</v>
      </c>
      <c r="G464" s="77"/>
      <c r="H464" s="56"/>
      <c r="I464" s="83" t="s">
        <v>47</v>
      </c>
      <c r="J464" s="77"/>
      <c r="K464" s="77"/>
      <c r="L464" s="77"/>
      <c r="M464" s="84"/>
      <c r="N464" s="78" t="s">
        <v>54</v>
      </c>
      <c r="O464" s="77"/>
    </row>
    <row r="465" spans="1:16" ht="14.25" thickBot="1" x14ac:dyDescent="0.2">
      <c r="A465" s="13" t="s">
        <v>0</v>
      </c>
      <c r="B465" s="228" t="s">
        <v>49</v>
      </c>
      <c r="C465" s="229"/>
      <c r="D465" s="229"/>
      <c r="E465" s="229"/>
      <c r="F465" s="230"/>
      <c r="G465" s="231"/>
      <c r="H465" s="56"/>
      <c r="I465" s="13" t="s">
        <v>0</v>
      </c>
      <c r="J465" s="228" t="s">
        <v>49</v>
      </c>
      <c r="K465" s="229"/>
      <c r="L465" s="229"/>
      <c r="M465" s="229"/>
      <c r="N465" s="230"/>
      <c r="O465" s="231"/>
    </row>
    <row r="466" spans="1:16" ht="14.25" thickBot="1" x14ac:dyDescent="0.2">
      <c r="A466" s="3" t="s">
        <v>1</v>
      </c>
      <c r="B466" s="2" t="s">
        <v>42</v>
      </c>
      <c r="C466" s="21" t="s">
        <v>43</v>
      </c>
      <c r="D466" s="21" t="s">
        <v>44</v>
      </c>
      <c r="E466" s="24" t="s">
        <v>45</v>
      </c>
      <c r="F466" s="33" t="s">
        <v>46</v>
      </c>
      <c r="G466" s="34" t="s">
        <v>2</v>
      </c>
      <c r="H466" s="56"/>
      <c r="I466" s="3" t="s">
        <v>1</v>
      </c>
      <c r="J466" s="2" t="s">
        <v>42</v>
      </c>
      <c r="K466" s="21" t="s">
        <v>43</v>
      </c>
      <c r="L466" s="21" t="s">
        <v>44</v>
      </c>
      <c r="M466" s="24" t="s">
        <v>45</v>
      </c>
      <c r="N466" s="33" t="s">
        <v>46</v>
      </c>
      <c r="O466" s="3" t="s">
        <v>2</v>
      </c>
    </row>
    <row r="467" spans="1:16" ht="14.25" thickBot="1" x14ac:dyDescent="0.2">
      <c r="A467" s="72" t="s">
        <v>527</v>
      </c>
      <c r="B467" s="73">
        <f>B462</f>
        <v>10</v>
      </c>
      <c r="C467" s="73">
        <f t="shared" ref="C467:F467" si="108">C462</f>
        <v>13</v>
      </c>
      <c r="D467" s="73">
        <f t="shared" si="108"/>
        <v>12</v>
      </c>
      <c r="E467" s="73">
        <f t="shared" si="108"/>
        <v>12</v>
      </c>
      <c r="F467" s="73">
        <f t="shared" si="108"/>
        <v>14</v>
      </c>
      <c r="G467" s="76">
        <f t="shared" ref="G467:G494" si="109">SUM(B467:F467)</f>
        <v>61</v>
      </c>
      <c r="H467" s="56"/>
      <c r="I467" s="96" t="s">
        <v>12</v>
      </c>
      <c r="J467" s="95">
        <f>J462</f>
        <v>165</v>
      </c>
      <c r="K467" s="97">
        <f t="shared" ref="K467:N467" si="110">K462</f>
        <v>219</v>
      </c>
      <c r="L467" s="97">
        <f t="shared" si="110"/>
        <v>214</v>
      </c>
      <c r="M467" s="97">
        <f t="shared" si="110"/>
        <v>172</v>
      </c>
      <c r="N467" s="54">
        <f t="shared" si="110"/>
        <v>113</v>
      </c>
      <c r="O467" s="52">
        <f t="shared" ref="O467:O499" si="111">SUM(J467:N467)</f>
        <v>883</v>
      </c>
    </row>
    <row r="468" spans="1:16" x14ac:dyDescent="0.15">
      <c r="A468" s="15" t="s">
        <v>17</v>
      </c>
      <c r="B468" s="37"/>
      <c r="C468" s="35"/>
      <c r="D468" s="35">
        <v>2</v>
      </c>
      <c r="E468" s="35"/>
      <c r="F468" s="28"/>
      <c r="G468" s="7">
        <f t="shared" si="109"/>
        <v>2</v>
      </c>
      <c r="H468" s="58">
        <v>43370</v>
      </c>
      <c r="I468" s="15" t="s">
        <v>3</v>
      </c>
      <c r="J468" s="37"/>
      <c r="K468" s="35"/>
      <c r="L468" s="35"/>
      <c r="M468" s="35"/>
      <c r="N468" s="28"/>
      <c r="O468" s="7">
        <f t="shared" si="111"/>
        <v>0</v>
      </c>
      <c r="P468" s="58"/>
    </row>
    <row r="469" spans="1:16" x14ac:dyDescent="0.15">
      <c r="A469" s="15" t="s">
        <v>19</v>
      </c>
      <c r="B469" s="8">
        <v>1</v>
      </c>
      <c r="C469" s="10"/>
      <c r="D469" s="10">
        <v>3</v>
      </c>
      <c r="E469" s="10">
        <v>4</v>
      </c>
      <c r="F469" s="28">
        <v>3</v>
      </c>
      <c r="G469" s="9">
        <f t="shared" si="109"/>
        <v>11</v>
      </c>
      <c r="H469" s="58">
        <v>43370</v>
      </c>
      <c r="I469" s="15" t="s">
        <v>4</v>
      </c>
      <c r="J469" s="8"/>
      <c r="K469" s="10"/>
      <c r="L469" s="10"/>
      <c r="M469" s="10"/>
      <c r="N469" s="28"/>
      <c r="O469" s="9">
        <f t="shared" si="111"/>
        <v>0</v>
      </c>
      <c r="P469" s="58"/>
    </row>
    <row r="470" spans="1:16" x14ac:dyDescent="0.15">
      <c r="A470" s="15" t="s">
        <v>324</v>
      </c>
      <c r="B470" s="8"/>
      <c r="C470" s="10">
        <v>1</v>
      </c>
      <c r="D470" s="10"/>
      <c r="E470" s="10"/>
      <c r="F470" s="28"/>
      <c r="G470" s="9">
        <f t="shared" si="109"/>
        <v>1</v>
      </c>
      <c r="H470" s="58">
        <v>43375</v>
      </c>
      <c r="I470" s="15" t="s">
        <v>5</v>
      </c>
      <c r="J470" s="8"/>
      <c r="K470" s="10"/>
      <c r="L470" s="10"/>
      <c r="M470" s="10"/>
      <c r="N470" s="28"/>
      <c r="O470" s="9">
        <f t="shared" si="111"/>
        <v>0</v>
      </c>
    </row>
    <row r="471" spans="1:16" x14ac:dyDescent="0.15">
      <c r="A471" s="15" t="s">
        <v>17</v>
      </c>
      <c r="B471" s="8"/>
      <c r="C471" s="10">
        <v>1</v>
      </c>
      <c r="D471" s="10"/>
      <c r="E471" s="10"/>
      <c r="F471" s="28"/>
      <c r="G471" s="9">
        <f t="shared" si="109"/>
        <v>1</v>
      </c>
      <c r="H471" s="58">
        <v>43390</v>
      </c>
      <c r="I471" s="15" t="s">
        <v>6</v>
      </c>
      <c r="J471" s="8"/>
      <c r="K471" s="10"/>
      <c r="L471" s="10"/>
      <c r="M471" s="10"/>
      <c r="N471" s="28"/>
      <c r="O471" s="9">
        <f t="shared" si="111"/>
        <v>0</v>
      </c>
    </row>
    <row r="472" spans="1:16" x14ac:dyDescent="0.15">
      <c r="A472" s="15" t="s">
        <v>19</v>
      </c>
      <c r="B472" s="11"/>
      <c r="C472" s="12"/>
      <c r="D472" s="12">
        <v>1</v>
      </c>
      <c r="E472" s="12">
        <v>4</v>
      </c>
      <c r="F472" s="31">
        <v>3</v>
      </c>
      <c r="G472" s="7">
        <f t="shared" si="109"/>
        <v>8</v>
      </c>
      <c r="H472" s="58">
        <v>43395</v>
      </c>
      <c r="I472" s="15" t="s">
        <v>84</v>
      </c>
      <c r="J472" s="11"/>
      <c r="K472" s="12"/>
      <c r="L472" s="12"/>
      <c r="M472" s="12"/>
      <c r="N472" s="31"/>
      <c r="O472" s="7">
        <f t="shared" si="111"/>
        <v>0</v>
      </c>
    </row>
    <row r="473" spans="1:16" x14ac:dyDescent="0.15">
      <c r="A473" s="15" t="s">
        <v>17</v>
      </c>
      <c r="B473" s="8"/>
      <c r="C473" s="10"/>
      <c r="D473" s="10">
        <v>2</v>
      </c>
      <c r="E473" s="10"/>
      <c r="F473" s="30"/>
      <c r="G473" s="7">
        <f t="shared" si="109"/>
        <v>2</v>
      </c>
      <c r="H473" s="58">
        <v>43399</v>
      </c>
      <c r="I473" s="15" t="s">
        <v>85</v>
      </c>
      <c r="J473" s="8"/>
      <c r="K473" s="10"/>
      <c r="L473" s="10"/>
      <c r="M473" s="10"/>
      <c r="N473" s="30"/>
      <c r="O473" s="7">
        <f t="shared" si="111"/>
        <v>0</v>
      </c>
    </row>
    <row r="474" spans="1:16" x14ac:dyDescent="0.15">
      <c r="A474" s="15" t="s">
        <v>84</v>
      </c>
      <c r="B474" s="8">
        <v>5</v>
      </c>
      <c r="C474" s="10"/>
      <c r="D474" s="10"/>
      <c r="E474" s="10">
        <v>5</v>
      </c>
      <c r="F474" s="30"/>
      <c r="G474" s="7">
        <f t="shared" si="109"/>
        <v>10</v>
      </c>
      <c r="H474" s="58">
        <v>43405</v>
      </c>
      <c r="I474" s="16" t="s">
        <v>88</v>
      </c>
      <c r="J474" s="8"/>
      <c r="K474" s="10"/>
      <c r="L474" s="10"/>
      <c r="M474" s="10"/>
      <c r="N474" s="30"/>
      <c r="O474" s="7">
        <f t="shared" si="111"/>
        <v>0</v>
      </c>
    </row>
    <row r="475" spans="1:16" ht="14.25" thickBot="1" x14ac:dyDescent="0.2">
      <c r="A475" s="15" t="s">
        <v>86</v>
      </c>
      <c r="B475" s="11"/>
      <c r="C475" s="100"/>
      <c r="D475" s="100"/>
      <c r="E475" s="100"/>
      <c r="F475" s="101"/>
      <c r="G475" s="102">
        <f t="shared" si="109"/>
        <v>0</v>
      </c>
      <c r="H475" s="58"/>
      <c r="I475" s="15" t="s">
        <v>87</v>
      </c>
      <c r="J475" s="11"/>
      <c r="K475" s="100"/>
      <c r="L475" s="100"/>
      <c r="M475" s="100"/>
      <c r="N475" s="101"/>
      <c r="O475" s="102">
        <f t="shared" si="111"/>
        <v>0</v>
      </c>
    </row>
    <row r="476" spans="1:16" ht="14.25" thickBot="1" x14ac:dyDescent="0.2">
      <c r="A476" s="72" t="s">
        <v>7</v>
      </c>
      <c r="B476" s="73">
        <f>SUM(B467:B475)</f>
        <v>16</v>
      </c>
      <c r="C476" s="74">
        <f t="shared" ref="C476:F476" si="112">SUM(C467:C475)</f>
        <v>15</v>
      </c>
      <c r="D476" s="74">
        <f t="shared" si="112"/>
        <v>20</v>
      </c>
      <c r="E476" s="74">
        <f t="shared" si="112"/>
        <v>25</v>
      </c>
      <c r="F476" s="105">
        <f t="shared" si="112"/>
        <v>20</v>
      </c>
      <c r="G476" s="76">
        <f t="shared" si="109"/>
        <v>96</v>
      </c>
      <c r="H476" s="56"/>
      <c r="I476" s="72" t="s">
        <v>7</v>
      </c>
      <c r="J476" s="73">
        <f>SUM(J467:J475)</f>
        <v>165</v>
      </c>
      <c r="K476" s="74">
        <f t="shared" ref="K476:N476" si="113">SUM(K467:K475)</f>
        <v>219</v>
      </c>
      <c r="L476" s="74">
        <f t="shared" si="113"/>
        <v>214</v>
      </c>
      <c r="M476" s="74">
        <f t="shared" si="113"/>
        <v>172</v>
      </c>
      <c r="N476" s="105">
        <f t="shared" si="113"/>
        <v>113</v>
      </c>
      <c r="O476" s="76">
        <f t="shared" si="111"/>
        <v>883</v>
      </c>
    </row>
    <row r="477" spans="1:16" x14ac:dyDescent="0.15">
      <c r="A477" s="16" t="s">
        <v>182</v>
      </c>
      <c r="B477" s="37"/>
      <c r="C477" s="35"/>
      <c r="D477" s="35"/>
      <c r="E477" s="35"/>
      <c r="F477" s="28">
        <v>2</v>
      </c>
      <c r="G477" s="18">
        <f t="shared" si="109"/>
        <v>2</v>
      </c>
      <c r="H477" s="58">
        <v>43374</v>
      </c>
      <c r="I477" s="16" t="s">
        <v>844</v>
      </c>
      <c r="J477" s="37"/>
      <c r="K477" s="35"/>
      <c r="L477" s="35">
        <v>2</v>
      </c>
      <c r="M477" s="35"/>
      <c r="N477" s="28"/>
      <c r="O477" s="7">
        <f t="shared" si="111"/>
        <v>2</v>
      </c>
      <c r="P477" s="58">
        <v>43378</v>
      </c>
    </row>
    <row r="478" spans="1:16" x14ac:dyDescent="0.15">
      <c r="A478" s="16" t="s">
        <v>25</v>
      </c>
      <c r="B478" s="8"/>
      <c r="C478" s="10">
        <v>1</v>
      </c>
      <c r="D478" s="10"/>
      <c r="E478" s="10"/>
      <c r="F478" s="30"/>
      <c r="G478" s="7">
        <f t="shared" si="109"/>
        <v>1</v>
      </c>
      <c r="H478" s="58">
        <v>43377</v>
      </c>
      <c r="I478" s="16" t="s">
        <v>110</v>
      </c>
      <c r="J478" s="8"/>
      <c r="K478" s="10"/>
      <c r="L478" s="10">
        <v>2</v>
      </c>
      <c r="M478" s="10"/>
      <c r="N478" s="30"/>
      <c r="O478" s="7">
        <f t="shared" si="111"/>
        <v>2</v>
      </c>
      <c r="P478" s="58">
        <v>43383</v>
      </c>
    </row>
    <row r="479" spans="1:16" x14ac:dyDescent="0.15">
      <c r="A479" s="16" t="s">
        <v>182</v>
      </c>
      <c r="B479" s="8"/>
      <c r="C479" s="10"/>
      <c r="D479" s="10"/>
      <c r="E479" s="10"/>
      <c r="F479" s="30">
        <v>2</v>
      </c>
      <c r="G479" s="7">
        <f t="shared" si="109"/>
        <v>2</v>
      </c>
      <c r="H479" s="58">
        <v>43378</v>
      </c>
      <c r="I479" s="16" t="s">
        <v>110</v>
      </c>
      <c r="J479" s="8"/>
      <c r="K479" s="10">
        <v>2</v>
      </c>
      <c r="L479" s="10"/>
      <c r="M479" s="10"/>
      <c r="N479" s="30"/>
      <c r="O479" s="7">
        <f t="shared" si="111"/>
        <v>2</v>
      </c>
      <c r="P479" s="58">
        <v>43389</v>
      </c>
    </row>
    <row r="480" spans="1:16" x14ac:dyDescent="0.15">
      <c r="A480" s="16" t="s">
        <v>25</v>
      </c>
      <c r="B480" s="8">
        <v>1</v>
      </c>
      <c r="C480" s="10">
        <v>1</v>
      </c>
      <c r="D480" s="10">
        <v>1</v>
      </c>
      <c r="E480" s="10">
        <v>2</v>
      </c>
      <c r="F480" s="30"/>
      <c r="G480" s="7">
        <f t="shared" si="109"/>
        <v>5</v>
      </c>
      <c r="H480" s="58">
        <v>43379</v>
      </c>
      <c r="I480" s="16" t="s">
        <v>110</v>
      </c>
      <c r="J480" s="8"/>
      <c r="K480" s="10"/>
      <c r="L480" s="10"/>
      <c r="M480" s="10"/>
      <c r="N480" s="30">
        <v>2</v>
      </c>
      <c r="O480" s="7">
        <f t="shared" si="111"/>
        <v>2</v>
      </c>
      <c r="P480" s="58">
        <v>43395</v>
      </c>
    </row>
    <row r="481" spans="1:17" x14ac:dyDescent="0.15">
      <c r="A481" s="16" t="s">
        <v>29</v>
      </c>
      <c r="B481" s="8">
        <v>1</v>
      </c>
      <c r="C481" s="10"/>
      <c r="D481" s="10"/>
      <c r="E481" s="10"/>
      <c r="F481" s="30"/>
      <c r="G481" s="7">
        <f t="shared" si="109"/>
        <v>1</v>
      </c>
      <c r="H481" s="58">
        <v>43378</v>
      </c>
      <c r="I481" s="16" t="s">
        <v>110</v>
      </c>
      <c r="J481" s="8"/>
      <c r="K481" s="10"/>
      <c r="L481" s="10"/>
      <c r="M481" s="10"/>
      <c r="N481" s="30">
        <v>2</v>
      </c>
      <c r="O481" s="7">
        <f t="shared" si="111"/>
        <v>2</v>
      </c>
      <c r="P481" s="58">
        <v>43406</v>
      </c>
    </row>
    <row r="482" spans="1:17" x14ac:dyDescent="0.15">
      <c r="A482" s="16" t="s">
        <v>25</v>
      </c>
      <c r="B482" s="8"/>
      <c r="C482" s="10"/>
      <c r="D482" s="10">
        <v>1</v>
      </c>
      <c r="E482" s="10"/>
      <c r="F482" s="30"/>
      <c r="G482" s="7">
        <f t="shared" si="109"/>
        <v>1</v>
      </c>
      <c r="H482" s="58">
        <v>43383</v>
      </c>
      <c r="I482" s="16" t="s">
        <v>864</v>
      </c>
      <c r="J482" s="8">
        <v>5</v>
      </c>
      <c r="K482" s="10"/>
      <c r="L482" s="10"/>
      <c r="M482" s="10">
        <v>5</v>
      </c>
      <c r="N482" s="30"/>
      <c r="O482" s="7">
        <f t="shared" si="111"/>
        <v>10</v>
      </c>
      <c r="P482" s="58">
        <v>43405</v>
      </c>
      <c r="Q482" s="56"/>
    </row>
    <row r="483" spans="1:17" x14ac:dyDescent="0.15">
      <c r="A483" s="16" t="s">
        <v>29</v>
      </c>
      <c r="B483" s="8"/>
      <c r="C483" s="10"/>
      <c r="D483" s="10">
        <v>1</v>
      </c>
      <c r="E483" s="10"/>
      <c r="F483" s="30"/>
      <c r="G483" s="7">
        <f t="shared" si="109"/>
        <v>1</v>
      </c>
      <c r="H483" s="58">
        <v>43382</v>
      </c>
      <c r="I483" s="16"/>
      <c r="J483" s="8"/>
      <c r="K483" s="10"/>
      <c r="L483" s="10"/>
      <c r="M483" s="10"/>
      <c r="N483" s="30"/>
      <c r="O483" s="7">
        <f t="shared" si="111"/>
        <v>0</v>
      </c>
      <c r="P483" s="58"/>
      <c r="Q483" s="56"/>
    </row>
    <row r="484" spans="1:17" x14ac:dyDescent="0.15">
      <c r="A484" s="16" t="s">
        <v>25</v>
      </c>
      <c r="B484" s="8"/>
      <c r="C484" s="10"/>
      <c r="D484" s="10"/>
      <c r="E484" s="10"/>
      <c r="F484" s="30">
        <v>1</v>
      </c>
      <c r="G484" s="7">
        <f t="shared" si="109"/>
        <v>1</v>
      </c>
      <c r="H484" s="58">
        <v>43385</v>
      </c>
      <c r="I484" s="16"/>
      <c r="J484" s="8"/>
      <c r="K484" s="10"/>
      <c r="L484" s="10"/>
      <c r="M484" s="10"/>
      <c r="N484" s="30"/>
      <c r="O484" s="7">
        <f t="shared" si="111"/>
        <v>0</v>
      </c>
      <c r="P484" s="58"/>
    </row>
    <row r="485" spans="1:17" x14ac:dyDescent="0.15">
      <c r="A485" s="16" t="s">
        <v>25</v>
      </c>
      <c r="B485" s="8"/>
      <c r="C485" s="10"/>
      <c r="D485" s="10">
        <v>2</v>
      </c>
      <c r="E485" s="10"/>
      <c r="F485" s="30"/>
      <c r="G485" s="7">
        <f t="shared" si="109"/>
        <v>2</v>
      </c>
      <c r="H485" s="58">
        <v>43386</v>
      </c>
      <c r="I485" s="16"/>
      <c r="J485" s="8"/>
      <c r="K485" s="10"/>
      <c r="L485" s="10"/>
      <c r="M485" s="10"/>
      <c r="N485" s="30"/>
      <c r="O485" s="7">
        <f t="shared" si="111"/>
        <v>0</v>
      </c>
      <c r="P485" s="56"/>
    </row>
    <row r="486" spans="1:17" x14ac:dyDescent="0.15">
      <c r="A486" s="16" t="s">
        <v>25</v>
      </c>
      <c r="B486" s="8">
        <v>1</v>
      </c>
      <c r="C486" s="10"/>
      <c r="D486" s="10"/>
      <c r="E486" s="10"/>
      <c r="F486" s="30"/>
      <c r="G486" s="7">
        <f t="shared" si="109"/>
        <v>1</v>
      </c>
      <c r="H486" s="58">
        <v>43389</v>
      </c>
      <c r="I486" s="16"/>
      <c r="J486" s="11"/>
      <c r="K486" s="12"/>
      <c r="L486" s="12"/>
      <c r="M486" s="12"/>
      <c r="N486" s="31"/>
      <c r="O486" s="7">
        <f t="shared" si="111"/>
        <v>0</v>
      </c>
    </row>
    <row r="487" spans="1:17" x14ac:dyDescent="0.15">
      <c r="A487" s="16" t="s">
        <v>117</v>
      </c>
      <c r="B487" s="8"/>
      <c r="C487" s="10"/>
      <c r="D487" s="10"/>
      <c r="E487" s="10">
        <v>1</v>
      </c>
      <c r="F487" s="30"/>
      <c r="G487" s="7">
        <f t="shared" si="109"/>
        <v>1</v>
      </c>
      <c r="H487" s="58">
        <v>43389</v>
      </c>
      <c r="I487" s="16"/>
      <c r="J487" s="8"/>
      <c r="K487" s="10"/>
      <c r="L487" s="10"/>
      <c r="M487" s="10"/>
      <c r="N487" s="30"/>
      <c r="O487" s="7">
        <f t="shared" si="111"/>
        <v>0</v>
      </c>
    </row>
    <row r="488" spans="1:17" x14ac:dyDescent="0.15">
      <c r="A488" s="16" t="s">
        <v>29</v>
      </c>
      <c r="B488" s="8"/>
      <c r="C488" s="10"/>
      <c r="D488" s="10"/>
      <c r="E488" s="10">
        <v>1</v>
      </c>
      <c r="F488" s="30"/>
      <c r="G488" s="7">
        <f t="shared" si="109"/>
        <v>1</v>
      </c>
      <c r="H488" s="58">
        <v>43388</v>
      </c>
      <c r="I488" s="14"/>
      <c r="J488" s="8"/>
      <c r="K488" s="10"/>
      <c r="L488" s="10"/>
      <c r="M488" s="10"/>
      <c r="N488" s="30"/>
      <c r="O488" s="7">
        <f t="shared" si="111"/>
        <v>0</v>
      </c>
    </row>
    <row r="489" spans="1:17" x14ac:dyDescent="0.15">
      <c r="A489" s="16" t="s">
        <v>117</v>
      </c>
      <c r="B489" s="8"/>
      <c r="C489" s="10"/>
      <c r="D489" s="10">
        <v>1</v>
      </c>
      <c r="E489" s="10"/>
      <c r="F489" s="30"/>
      <c r="G489" s="7">
        <f t="shared" si="109"/>
        <v>1</v>
      </c>
      <c r="H489" s="58">
        <v>43390</v>
      </c>
      <c r="I489" s="16"/>
      <c r="J489" s="8"/>
      <c r="K489" s="10"/>
      <c r="L489" s="10"/>
      <c r="M489" s="10"/>
      <c r="N489" s="30"/>
      <c r="O489" s="7">
        <f t="shared" si="111"/>
        <v>0</v>
      </c>
    </row>
    <row r="490" spans="1:17" x14ac:dyDescent="0.15">
      <c r="A490" s="16" t="s">
        <v>25</v>
      </c>
      <c r="B490" s="8"/>
      <c r="C490" s="10">
        <v>1</v>
      </c>
      <c r="D490" s="10"/>
      <c r="E490" s="10"/>
      <c r="F490" s="30"/>
      <c r="G490" s="7">
        <f t="shared" si="109"/>
        <v>1</v>
      </c>
      <c r="H490" s="58">
        <v>43391</v>
      </c>
      <c r="I490" s="16"/>
      <c r="J490" s="8"/>
      <c r="K490" s="10"/>
      <c r="L490" s="10"/>
      <c r="M490" s="10"/>
      <c r="N490" s="30"/>
      <c r="O490" s="7">
        <f t="shared" si="111"/>
        <v>0</v>
      </c>
      <c r="P490" s="56"/>
      <c r="Q490" s="56"/>
    </row>
    <row r="491" spans="1:17" x14ac:dyDescent="0.15">
      <c r="A491" s="16" t="s">
        <v>182</v>
      </c>
      <c r="B491" s="8"/>
      <c r="C491" s="10"/>
      <c r="D491" s="10"/>
      <c r="E491" s="10"/>
      <c r="F491" s="30">
        <v>1</v>
      </c>
      <c r="G491" s="7">
        <f t="shared" si="109"/>
        <v>1</v>
      </c>
      <c r="H491" s="58">
        <v>43391</v>
      </c>
      <c r="I491" s="16"/>
      <c r="J491" s="8"/>
      <c r="K491" s="10"/>
      <c r="L491" s="10"/>
      <c r="M491" s="10"/>
      <c r="N491" s="30"/>
      <c r="O491" s="7">
        <f t="shared" si="111"/>
        <v>0</v>
      </c>
      <c r="P491" s="56"/>
      <c r="Q491" s="56"/>
    </row>
    <row r="492" spans="1:17" x14ac:dyDescent="0.15">
      <c r="A492" s="16" t="s">
        <v>182</v>
      </c>
      <c r="B492" s="8"/>
      <c r="C492" s="10"/>
      <c r="D492" s="10"/>
      <c r="E492" s="10">
        <v>1</v>
      </c>
      <c r="F492" s="30">
        <v>1</v>
      </c>
      <c r="G492" s="7">
        <f t="shared" si="109"/>
        <v>2</v>
      </c>
      <c r="H492" s="58">
        <v>43395</v>
      </c>
      <c r="I492" s="14"/>
      <c r="J492" s="8"/>
      <c r="K492" s="10"/>
      <c r="L492" s="10"/>
      <c r="M492" s="10"/>
      <c r="N492" s="30"/>
      <c r="O492" s="7">
        <f t="shared" si="111"/>
        <v>0</v>
      </c>
      <c r="P492" s="56"/>
      <c r="Q492" s="56"/>
    </row>
    <row r="493" spans="1:17" x14ac:dyDescent="0.15">
      <c r="A493" s="16" t="s">
        <v>25</v>
      </c>
      <c r="B493" s="8"/>
      <c r="C493" s="10">
        <v>1</v>
      </c>
      <c r="D493" s="10"/>
      <c r="E493" s="10"/>
      <c r="F493" s="30"/>
      <c r="G493" s="7">
        <f t="shared" si="109"/>
        <v>1</v>
      </c>
      <c r="H493" s="58">
        <v>43395</v>
      </c>
      <c r="I493" s="16"/>
      <c r="J493" s="11"/>
      <c r="K493" s="12"/>
      <c r="L493" s="12"/>
      <c r="M493" s="12"/>
      <c r="N493" s="31"/>
      <c r="O493" s="7">
        <f t="shared" si="111"/>
        <v>0</v>
      </c>
      <c r="P493" s="56"/>
      <c r="Q493" s="56"/>
    </row>
    <row r="494" spans="1:17" x14ac:dyDescent="0.15">
      <c r="A494" s="39" t="s">
        <v>860</v>
      </c>
      <c r="B494" s="8">
        <v>1</v>
      </c>
      <c r="C494" s="10">
        <v>1</v>
      </c>
      <c r="D494" s="10">
        <v>1</v>
      </c>
      <c r="E494" s="10">
        <v>1</v>
      </c>
      <c r="F494" s="30">
        <v>1</v>
      </c>
      <c r="G494" s="7">
        <f t="shared" si="109"/>
        <v>5</v>
      </c>
      <c r="H494" s="58">
        <v>43398</v>
      </c>
      <c r="I494" s="14"/>
      <c r="J494" s="8"/>
      <c r="K494" s="10"/>
      <c r="L494" s="10"/>
      <c r="M494" s="10"/>
      <c r="N494" s="30"/>
      <c r="O494" s="7">
        <f t="shared" si="111"/>
        <v>0</v>
      </c>
      <c r="P494" s="58"/>
      <c r="Q494" s="56"/>
    </row>
    <row r="495" spans="1:17" x14ac:dyDescent="0.15">
      <c r="A495" s="16" t="s">
        <v>29</v>
      </c>
      <c r="B495" s="8"/>
      <c r="C495" s="10"/>
      <c r="D495" s="10"/>
      <c r="E495" s="10">
        <v>1</v>
      </c>
      <c r="F495" s="30"/>
      <c r="G495" s="7">
        <f>SUM(B495:F495)</f>
        <v>1</v>
      </c>
      <c r="H495" s="58">
        <v>43395</v>
      </c>
      <c r="I495" s="20"/>
      <c r="J495" s="8"/>
      <c r="K495" s="10"/>
      <c r="L495" s="10"/>
      <c r="M495" s="10"/>
      <c r="N495" s="30"/>
      <c r="O495" s="7">
        <f t="shared" si="111"/>
        <v>0</v>
      </c>
      <c r="P495" s="58"/>
      <c r="Q495" s="56"/>
    </row>
    <row r="496" spans="1:17" x14ac:dyDescent="0.15">
      <c r="A496" s="16" t="s">
        <v>182</v>
      </c>
      <c r="B496" s="8"/>
      <c r="C496" s="10"/>
      <c r="D496" s="10"/>
      <c r="E496" s="10">
        <v>1</v>
      </c>
      <c r="F496" s="30"/>
      <c r="G496" s="7">
        <f>SUM(B496:F496)</f>
        <v>1</v>
      </c>
      <c r="H496" s="58">
        <v>43399</v>
      </c>
      <c r="I496" s="14"/>
      <c r="J496" s="8"/>
      <c r="K496" s="10"/>
      <c r="L496" s="10"/>
      <c r="M496" s="10"/>
      <c r="N496" s="30"/>
      <c r="O496" s="7">
        <f t="shared" si="111"/>
        <v>0</v>
      </c>
      <c r="P496" s="56"/>
      <c r="Q496" s="56"/>
    </row>
    <row r="497" spans="1:17" x14ac:dyDescent="0.15">
      <c r="A497" s="16" t="s">
        <v>25</v>
      </c>
      <c r="B497" s="8"/>
      <c r="C497" s="10"/>
      <c r="D497" s="10"/>
      <c r="E497" s="10">
        <v>1</v>
      </c>
      <c r="F497" s="30"/>
      <c r="G497" s="7">
        <f>SUM(B497:F497)</f>
        <v>1</v>
      </c>
      <c r="H497" s="58">
        <v>43399</v>
      </c>
      <c r="I497" s="14"/>
      <c r="J497" s="8"/>
      <c r="K497" s="10"/>
      <c r="L497" s="10"/>
      <c r="M497" s="10"/>
      <c r="N497" s="30"/>
      <c r="O497" s="7">
        <f t="shared" si="111"/>
        <v>0</v>
      </c>
      <c r="P497" s="58"/>
      <c r="Q497" s="56"/>
    </row>
    <row r="498" spans="1:17" x14ac:dyDescent="0.15">
      <c r="A498" s="16" t="s">
        <v>182</v>
      </c>
      <c r="B498" s="8"/>
      <c r="C498" s="10"/>
      <c r="D498" s="10">
        <v>1</v>
      </c>
      <c r="E498" s="10">
        <v>3</v>
      </c>
      <c r="F498" s="30"/>
      <c r="G498" s="7">
        <f t="shared" ref="G498" si="114">SUM(B498:F498)</f>
        <v>4</v>
      </c>
      <c r="H498" s="58">
        <v>43403</v>
      </c>
      <c r="I498" s="14"/>
      <c r="J498" s="11"/>
      <c r="K498" s="12"/>
      <c r="L498" s="12"/>
      <c r="M498" s="12"/>
      <c r="N498" s="31"/>
      <c r="O498" s="7">
        <f t="shared" si="111"/>
        <v>0</v>
      </c>
      <c r="P498" s="56"/>
      <c r="Q498" s="56"/>
    </row>
    <row r="499" spans="1:17" x14ac:dyDescent="0.15">
      <c r="A499" s="16" t="s">
        <v>25</v>
      </c>
      <c r="B499" s="8"/>
      <c r="C499" s="10">
        <v>1</v>
      </c>
      <c r="D499" s="10"/>
      <c r="E499" s="10"/>
      <c r="F499" s="30"/>
      <c r="G499" s="7">
        <f t="shared" ref="G499:G502" si="115">SUM(B499:F499)</f>
        <v>1</v>
      </c>
      <c r="H499" s="58">
        <v>43403</v>
      </c>
      <c r="I499" s="16"/>
      <c r="J499" s="8"/>
      <c r="K499" s="10"/>
      <c r="L499" s="10"/>
      <c r="M499" s="10"/>
      <c r="N499" s="30"/>
      <c r="O499" s="7">
        <f t="shared" si="111"/>
        <v>0</v>
      </c>
      <c r="P499" s="56"/>
      <c r="Q499" s="56"/>
    </row>
    <row r="500" spans="1:17" x14ac:dyDescent="0.15">
      <c r="A500" s="16" t="s">
        <v>182</v>
      </c>
      <c r="B500" s="37"/>
      <c r="C500" s="35"/>
      <c r="D500" s="35">
        <v>2</v>
      </c>
      <c r="E500" s="35"/>
      <c r="F500" s="28"/>
      <c r="G500" s="7">
        <f t="shared" si="115"/>
        <v>2</v>
      </c>
      <c r="H500" s="58">
        <v>43404</v>
      </c>
      <c r="I500" s="141"/>
      <c r="J500" s="8"/>
      <c r="K500" s="10"/>
      <c r="L500" s="10"/>
      <c r="M500" s="10"/>
      <c r="N500" s="30"/>
      <c r="O500" s="7">
        <f t="shared" ref="O500:O502" si="116">SUM(J500:N500)</f>
        <v>0</v>
      </c>
      <c r="P500" s="56"/>
      <c r="Q500" s="56"/>
    </row>
    <row r="501" spans="1:17" x14ac:dyDescent="0.15">
      <c r="A501" s="16" t="s">
        <v>182</v>
      </c>
      <c r="B501" s="8"/>
      <c r="C501" s="10"/>
      <c r="D501" s="10"/>
      <c r="E501" s="10"/>
      <c r="F501" s="30">
        <v>2</v>
      </c>
      <c r="G501" s="9">
        <f t="shared" si="115"/>
        <v>2</v>
      </c>
      <c r="H501" s="58">
        <v>43406</v>
      </c>
      <c r="I501" s="141"/>
      <c r="J501" s="11"/>
      <c r="K501" s="12"/>
      <c r="L501" s="12"/>
      <c r="M501" s="12"/>
      <c r="N501" s="31"/>
      <c r="O501" s="7">
        <f t="shared" si="116"/>
        <v>0</v>
      </c>
      <c r="P501" s="56"/>
      <c r="Q501" s="56"/>
    </row>
    <row r="502" spans="1:17" ht="14.25" thickBot="1" x14ac:dyDescent="0.2">
      <c r="A502" s="16" t="s">
        <v>25</v>
      </c>
      <c r="B502" s="37"/>
      <c r="C502" s="35"/>
      <c r="D502" s="35"/>
      <c r="E502" s="35">
        <v>1</v>
      </c>
      <c r="F502" s="28"/>
      <c r="G502" s="7">
        <f t="shared" si="115"/>
        <v>1</v>
      </c>
      <c r="H502" s="58">
        <v>43406</v>
      </c>
      <c r="I502" s="39"/>
      <c r="J502" s="8"/>
      <c r="K502" s="10"/>
      <c r="L502" s="10"/>
      <c r="M502" s="10"/>
      <c r="N502" s="30"/>
      <c r="O502" s="7">
        <f t="shared" si="116"/>
        <v>0</v>
      </c>
      <c r="P502" s="58"/>
      <c r="Q502" s="56"/>
    </row>
    <row r="503" spans="1:17" ht="14.25" thickBot="1" x14ac:dyDescent="0.2">
      <c r="A503" s="3" t="s">
        <v>11</v>
      </c>
      <c r="B503" s="23">
        <f>SUM(B477:B502)</f>
        <v>4</v>
      </c>
      <c r="C503" s="4">
        <f>SUM(C477:C502)</f>
        <v>6</v>
      </c>
      <c r="D503" s="4">
        <f>SUM(D477:D502)</f>
        <v>10</v>
      </c>
      <c r="E503" s="6">
        <f>SUM(E477:E502)</f>
        <v>13</v>
      </c>
      <c r="F503" s="32">
        <f>SUM(F477:F502)</f>
        <v>10</v>
      </c>
      <c r="G503" s="5">
        <f>SUM(B503:F503)</f>
        <v>43</v>
      </c>
      <c r="H503" s="56"/>
      <c r="I503" s="3" t="s">
        <v>11</v>
      </c>
      <c r="J503" s="23">
        <f>SUM(J477:J502)</f>
        <v>5</v>
      </c>
      <c r="K503" s="4">
        <f>SUM(K477:K502)</f>
        <v>2</v>
      </c>
      <c r="L503" s="4">
        <f>SUM(L477:L502)</f>
        <v>4</v>
      </c>
      <c r="M503" s="6">
        <f>SUM(M477:M502)</f>
        <v>5</v>
      </c>
      <c r="N503" s="32">
        <f>SUM(N477:N502)</f>
        <v>4</v>
      </c>
      <c r="O503" s="5">
        <f>SUM(J503:N503)</f>
        <v>20</v>
      </c>
    </row>
    <row r="504" spans="1:17" ht="14.25" thickBot="1" x14ac:dyDescent="0.2">
      <c r="A504" s="25" t="s">
        <v>12</v>
      </c>
      <c r="B504" s="63">
        <f>B476-B503</f>
        <v>12</v>
      </c>
      <c r="C504" s="26">
        <f t="shared" ref="C504:G504" si="117">C476-C503</f>
        <v>9</v>
      </c>
      <c r="D504" s="71">
        <f t="shared" si="117"/>
        <v>10</v>
      </c>
      <c r="E504" s="26">
        <f t="shared" si="117"/>
        <v>12</v>
      </c>
      <c r="F504" s="70">
        <f t="shared" si="117"/>
        <v>10</v>
      </c>
      <c r="G504" s="27">
        <f t="shared" si="117"/>
        <v>53</v>
      </c>
      <c r="H504" s="56"/>
      <c r="I504" s="25" t="s">
        <v>12</v>
      </c>
      <c r="J504" s="63">
        <f>J476-J503</f>
        <v>160</v>
      </c>
      <c r="K504" s="26">
        <f t="shared" ref="K504:M504" si="118">K476-K503</f>
        <v>217</v>
      </c>
      <c r="L504" s="71">
        <f t="shared" si="118"/>
        <v>210</v>
      </c>
      <c r="M504" s="26">
        <f t="shared" si="118"/>
        <v>167</v>
      </c>
      <c r="N504" s="70">
        <f>N476-N503</f>
        <v>109</v>
      </c>
      <c r="O504" s="27">
        <f t="shared" ref="O504" si="119">O476-O503</f>
        <v>863</v>
      </c>
    </row>
    <row r="505" spans="1:17" ht="21" x14ac:dyDescent="0.2">
      <c r="A505" s="83" t="s">
        <v>415</v>
      </c>
      <c r="B505" s="77"/>
      <c r="C505" s="77"/>
      <c r="D505" s="77"/>
      <c r="E505" s="77"/>
      <c r="F505" s="77"/>
      <c r="G505" s="77"/>
      <c r="H505" s="56"/>
      <c r="I505" s="83" t="s">
        <v>415</v>
      </c>
      <c r="J505" s="77"/>
      <c r="K505" s="77"/>
      <c r="L505" s="77"/>
      <c r="M505" s="77"/>
      <c r="N505" s="77"/>
      <c r="O505" s="77"/>
    </row>
    <row r="506" spans="1:17" ht="21.75" thickBot="1" x14ac:dyDescent="0.25">
      <c r="A506" s="83" t="s">
        <v>47</v>
      </c>
      <c r="B506" s="77"/>
      <c r="C506" s="77"/>
      <c r="D506" s="77"/>
      <c r="E506" s="84"/>
      <c r="F506" s="78" t="s">
        <v>53</v>
      </c>
      <c r="G506" s="77"/>
      <c r="H506" s="56"/>
      <c r="I506" s="83" t="s">
        <v>47</v>
      </c>
      <c r="J506" s="77"/>
      <c r="K506" s="77"/>
      <c r="L506" s="77"/>
      <c r="M506" s="84"/>
      <c r="N506" s="78" t="s">
        <v>54</v>
      </c>
      <c r="O506" s="77"/>
    </row>
    <row r="507" spans="1:17" ht="14.25" thickBot="1" x14ac:dyDescent="0.2">
      <c r="A507" s="13" t="s">
        <v>0</v>
      </c>
      <c r="B507" s="228" t="s">
        <v>49</v>
      </c>
      <c r="C507" s="229"/>
      <c r="D507" s="229"/>
      <c r="E507" s="229"/>
      <c r="F507" s="230"/>
      <c r="G507" s="231"/>
      <c r="H507" s="56"/>
      <c r="I507" s="13" t="s">
        <v>0</v>
      </c>
      <c r="J507" s="228" t="s">
        <v>49</v>
      </c>
      <c r="K507" s="229"/>
      <c r="L507" s="229"/>
      <c r="M507" s="229"/>
      <c r="N507" s="230"/>
      <c r="O507" s="231"/>
    </row>
    <row r="508" spans="1:17" ht="14.25" thickBot="1" x14ac:dyDescent="0.2">
      <c r="A508" s="3" t="s">
        <v>1</v>
      </c>
      <c r="B508" s="2" t="s">
        <v>42</v>
      </c>
      <c r="C508" s="21" t="s">
        <v>43</v>
      </c>
      <c r="D508" s="21" t="s">
        <v>44</v>
      </c>
      <c r="E508" s="24" t="s">
        <v>45</v>
      </c>
      <c r="F508" s="33" t="s">
        <v>46</v>
      </c>
      <c r="G508" s="34" t="s">
        <v>2</v>
      </c>
      <c r="H508" s="56"/>
      <c r="I508" s="3" t="s">
        <v>1</v>
      </c>
      <c r="J508" s="2" t="s">
        <v>42</v>
      </c>
      <c r="K508" s="21" t="s">
        <v>43</v>
      </c>
      <c r="L508" s="21" t="s">
        <v>44</v>
      </c>
      <c r="M508" s="24" t="s">
        <v>45</v>
      </c>
      <c r="N508" s="33" t="s">
        <v>46</v>
      </c>
      <c r="O508" s="3" t="s">
        <v>2</v>
      </c>
    </row>
    <row r="509" spans="1:17" ht="14.25" thickBot="1" x14ac:dyDescent="0.2">
      <c r="A509" s="72" t="s">
        <v>527</v>
      </c>
      <c r="B509" s="73">
        <f>B504</f>
        <v>12</v>
      </c>
      <c r="C509" s="73">
        <f t="shared" ref="C509:F509" si="120">C504</f>
        <v>9</v>
      </c>
      <c r="D509" s="73">
        <f t="shared" si="120"/>
        <v>10</v>
      </c>
      <c r="E509" s="73">
        <f t="shared" si="120"/>
        <v>12</v>
      </c>
      <c r="F509" s="73">
        <f t="shared" si="120"/>
        <v>10</v>
      </c>
      <c r="G509" s="76">
        <f t="shared" ref="G509:G536" si="121">SUM(B509:F509)</f>
        <v>53</v>
      </c>
      <c r="H509" s="56"/>
      <c r="I509" s="96" t="s">
        <v>12</v>
      </c>
      <c r="J509" s="95">
        <f>J504</f>
        <v>160</v>
      </c>
      <c r="K509" s="97">
        <f t="shared" ref="K509:N509" si="122">K504</f>
        <v>217</v>
      </c>
      <c r="L509" s="97">
        <f t="shared" si="122"/>
        <v>210</v>
      </c>
      <c r="M509" s="97">
        <f t="shared" si="122"/>
        <v>167</v>
      </c>
      <c r="N509" s="54">
        <f t="shared" si="122"/>
        <v>109</v>
      </c>
      <c r="O509" s="52">
        <f t="shared" ref="O509:O544" si="123">SUM(J509:N509)</f>
        <v>863</v>
      </c>
    </row>
    <row r="510" spans="1:17" x14ac:dyDescent="0.15">
      <c r="A510" s="15" t="s">
        <v>14</v>
      </c>
      <c r="B510" s="37"/>
      <c r="C510" s="35">
        <v>15</v>
      </c>
      <c r="D510" s="35">
        <v>5</v>
      </c>
      <c r="E510" s="35">
        <v>5</v>
      </c>
      <c r="F510" s="28">
        <v>5</v>
      </c>
      <c r="G510" s="7">
        <f t="shared" si="121"/>
        <v>30</v>
      </c>
      <c r="H510" s="58">
        <v>43409</v>
      </c>
      <c r="I510" s="15" t="s">
        <v>3</v>
      </c>
      <c r="J510" s="37"/>
      <c r="K510" s="35"/>
      <c r="L510" s="35"/>
      <c r="M510" s="35"/>
      <c r="N510" s="28"/>
      <c r="O510" s="7">
        <f t="shared" si="123"/>
        <v>0</v>
      </c>
    </row>
    <row r="511" spans="1:17" x14ac:dyDescent="0.15">
      <c r="A511" s="19" t="s">
        <v>867</v>
      </c>
      <c r="B511" s="8"/>
      <c r="C511" s="10">
        <v>1</v>
      </c>
      <c r="D511" s="10"/>
      <c r="E511" s="10"/>
      <c r="F511" s="28"/>
      <c r="G511" s="9">
        <f t="shared" si="121"/>
        <v>1</v>
      </c>
      <c r="H511" s="58">
        <v>43409</v>
      </c>
      <c r="I511" s="15" t="s">
        <v>4</v>
      </c>
      <c r="J511" s="8"/>
      <c r="K511" s="10"/>
      <c r="L511" s="10"/>
      <c r="M511" s="10"/>
      <c r="N511" s="28"/>
      <c r="O511" s="9">
        <f t="shared" si="123"/>
        <v>0</v>
      </c>
      <c r="P511" s="56"/>
    </row>
    <row r="512" spans="1:17" x14ac:dyDescent="0.15">
      <c r="A512" s="15" t="s">
        <v>17</v>
      </c>
      <c r="B512" s="8">
        <v>1</v>
      </c>
      <c r="C512" s="10"/>
      <c r="D512" s="10"/>
      <c r="E512" s="10">
        <v>1</v>
      </c>
      <c r="F512" s="28"/>
      <c r="G512" s="9">
        <f t="shared" si="121"/>
        <v>2</v>
      </c>
      <c r="H512" s="58">
        <v>43420</v>
      </c>
      <c r="I512" s="15" t="s">
        <v>5</v>
      </c>
      <c r="J512" s="8"/>
      <c r="K512" s="10"/>
      <c r="L512" s="10"/>
      <c r="M512" s="10"/>
      <c r="N512" s="28"/>
      <c r="O512" s="9">
        <f t="shared" si="123"/>
        <v>0</v>
      </c>
      <c r="P512" s="56"/>
    </row>
    <row r="513" spans="1:17" x14ac:dyDescent="0.15">
      <c r="A513" s="15" t="s">
        <v>5</v>
      </c>
      <c r="B513" s="8"/>
      <c r="C513" s="10">
        <v>5</v>
      </c>
      <c r="D513" s="10"/>
      <c r="E513" s="10"/>
      <c r="F513" s="28"/>
      <c r="G513" s="9">
        <f t="shared" si="121"/>
        <v>5</v>
      </c>
      <c r="H513" s="58">
        <v>43421</v>
      </c>
      <c r="I513" s="15" t="s">
        <v>6</v>
      </c>
      <c r="J513" s="8"/>
      <c r="K513" s="10"/>
      <c r="L513" s="10"/>
      <c r="M513" s="10"/>
      <c r="N513" s="28"/>
      <c r="O513" s="9">
        <f t="shared" si="123"/>
        <v>0</v>
      </c>
      <c r="P513" s="56"/>
    </row>
    <row r="514" spans="1:17" x14ac:dyDescent="0.15">
      <c r="A514" s="15" t="s">
        <v>6</v>
      </c>
      <c r="B514" s="11"/>
      <c r="C514" s="12">
        <v>5</v>
      </c>
      <c r="D514" s="12">
        <v>5</v>
      </c>
      <c r="E514" s="12"/>
      <c r="F514" s="31"/>
      <c r="G514" s="7">
        <f t="shared" si="121"/>
        <v>10</v>
      </c>
      <c r="H514" s="58">
        <v>43425</v>
      </c>
      <c r="I514" s="15" t="s">
        <v>84</v>
      </c>
      <c r="J514" s="11"/>
      <c r="K514" s="12"/>
      <c r="L514" s="12"/>
      <c r="M514" s="12"/>
      <c r="N514" s="31"/>
      <c r="O514" s="7">
        <f t="shared" si="123"/>
        <v>0</v>
      </c>
    </row>
    <row r="515" spans="1:17" x14ac:dyDescent="0.15">
      <c r="A515" s="15" t="s">
        <v>17</v>
      </c>
      <c r="B515" s="8"/>
      <c r="C515" s="10"/>
      <c r="D515" s="10"/>
      <c r="E515" s="10"/>
      <c r="F515" s="30">
        <v>1</v>
      </c>
      <c r="G515" s="7">
        <f t="shared" si="121"/>
        <v>1</v>
      </c>
      <c r="H515" s="58">
        <v>43433</v>
      </c>
      <c r="I515" s="15" t="s">
        <v>85</v>
      </c>
      <c r="J515" s="8"/>
      <c r="K515" s="10"/>
      <c r="L515" s="10"/>
      <c r="M515" s="10"/>
      <c r="N515" s="30"/>
      <c r="O515" s="7">
        <f t="shared" si="123"/>
        <v>0</v>
      </c>
    </row>
    <row r="516" spans="1:17" x14ac:dyDescent="0.15">
      <c r="A516" s="15" t="s">
        <v>84</v>
      </c>
      <c r="B516" s="8"/>
      <c r="C516" s="10"/>
      <c r="D516" s="10">
        <v>5</v>
      </c>
      <c r="E516" s="10"/>
      <c r="F516" s="30">
        <v>5</v>
      </c>
      <c r="G516" s="7">
        <f t="shared" si="121"/>
        <v>10</v>
      </c>
      <c r="H516" s="58">
        <v>43434</v>
      </c>
      <c r="I516" s="16" t="s">
        <v>88</v>
      </c>
      <c r="J516" s="8"/>
      <c r="K516" s="10"/>
      <c r="L516" s="10"/>
      <c r="M516" s="10"/>
      <c r="N516" s="30"/>
      <c r="O516" s="7">
        <f t="shared" si="123"/>
        <v>0</v>
      </c>
    </row>
    <row r="517" spans="1:17" ht="14.25" thickBot="1" x14ac:dyDescent="0.2">
      <c r="A517" s="15" t="s">
        <v>86</v>
      </c>
      <c r="B517" s="11"/>
      <c r="C517" s="100">
        <v>10</v>
      </c>
      <c r="D517" s="100">
        <v>5</v>
      </c>
      <c r="E517" s="100"/>
      <c r="F517" s="101"/>
      <c r="G517" s="102">
        <f t="shared" si="121"/>
        <v>15</v>
      </c>
      <c r="H517" s="58">
        <v>43437</v>
      </c>
      <c r="I517" s="15" t="s">
        <v>87</v>
      </c>
      <c r="J517" s="11"/>
      <c r="K517" s="100"/>
      <c r="L517" s="100"/>
      <c r="M517" s="100"/>
      <c r="N517" s="101"/>
      <c r="O517" s="102">
        <f t="shared" si="123"/>
        <v>0</v>
      </c>
    </row>
    <row r="518" spans="1:17" ht="14.25" thickBot="1" x14ac:dyDescent="0.2">
      <c r="A518" s="72" t="s">
        <v>7</v>
      </c>
      <c r="B518" s="73">
        <f>SUM(B509:B517)</f>
        <v>13</v>
      </c>
      <c r="C518" s="74">
        <f t="shared" ref="C518:F518" si="124">SUM(C509:C517)</f>
        <v>45</v>
      </c>
      <c r="D518" s="74">
        <f t="shared" si="124"/>
        <v>30</v>
      </c>
      <c r="E518" s="74">
        <f t="shared" si="124"/>
        <v>18</v>
      </c>
      <c r="F518" s="105">
        <f t="shared" si="124"/>
        <v>21</v>
      </c>
      <c r="G518" s="76">
        <f t="shared" si="121"/>
        <v>127</v>
      </c>
      <c r="H518" s="56"/>
      <c r="I518" s="72" t="s">
        <v>7</v>
      </c>
      <c r="J518" s="73">
        <f>SUM(J509:J517)</f>
        <v>160</v>
      </c>
      <c r="K518" s="74">
        <f t="shared" ref="K518:N518" si="125">SUM(K509:K517)</f>
        <v>217</v>
      </c>
      <c r="L518" s="74">
        <f t="shared" si="125"/>
        <v>210</v>
      </c>
      <c r="M518" s="74">
        <f t="shared" si="125"/>
        <v>167</v>
      </c>
      <c r="N518" s="105">
        <f t="shared" si="125"/>
        <v>109</v>
      </c>
      <c r="O518" s="76">
        <f t="shared" si="123"/>
        <v>863</v>
      </c>
    </row>
    <row r="519" spans="1:17" x14ac:dyDescent="0.15">
      <c r="A519" s="16" t="s">
        <v>29</v>
      </c>
      <c r="B519" s="37"/>
      <c r="C519" s="35"/>
      <c r="D519" s="35"/>
      <c r="E519" s="35"/>
      <c r="F519" s="28">
        <v>1</v>
      </c>
      <c r="G519" s="18">
        <f t="shared" si="121"/>
        <v>1</v>
      </c>
      <c r="H519" s="58">
        <v>43405</v>
      </c>
      <c r="I519" s="16" t="s">
        <v>24</v>
      </c>
      <c r="J519" s="37"/>
      <c r="K519" s="35">
        <v>15</v>
      </c>
      <c r="L519" s="35">
        <v>5</v>
      </c>
      <c r="M519" s="35">
        <v>5</v>
      </c>
      <c r="N519" s="28">
        <v>5</v>
      </c>
      <c r="O519" s="7">
        <f t="shared" si="123"/>
        <v>30</v>
      </c>
      <c r="P519" s="58">
        <v>43409</v>
      </c>
      <c r="Q519" s="56"/>
    </row>
    <row r="520" spans="1:17" x14ac:dyDescent="0.15">
      <c r="A520" s="16" t="s">
        <v>22</v>
      </c>
      <c r="B520" s="8"/>
      <c r="C520" s="10">
        <v>10</v>
      </c>
      <c r="D520" s="10"/>
      <c r="E520" s="10"/>
      <c r="F520" s="30"/>
      <c r="G520" s="7">
        <f t="shared" si="121"/>
        <v>10</v>
      </c>
      <c r="H520" s="58">
        <v>43412</v>
      </c>
      <c r="I520" s="16" t="s">
        <v>110</v>
      </c>
      <c r="J520" s="8"/>
      <c r="K520" s="10"/>
      <c r="L520" s="10"/>
      <c r="M520" s="10">
        <v>2</v>
      </c>
      <c r="N520" s="30"/>
      <c r="O520" s="7">
        <f t="shared" si="123"/>
        <v>2</v>
      </c>
      <c r="P520" s="58">
        <v>43413</v>
      </c>
      <c r="Q520" s="56"/>
    </row>
    <row r="521" spans="1:17" x14ac:dyDescent="0.15">
      <c r="A521" s="16" t="s">
        <v>117</v>
      </c>
      <c r="B521" s="8"/>
      <c r="C521" s="10">
        <v>1</v>
      </c>
      <c r="D521" s="10"/>
      <c r="E521" s="10"/>
      <c r="F521" s="30"/>
      <c r="G521" s="7">
        <f t="shared" si="121"/>
        <v>1</v>
      </c>
      <c r="H521" s="58">
        <v>43409</v>
      </c>
      <c r="I521" s="16" t="s">
        <v>24</v>
      </c>
      <c r="J521" s="8"/>
      <c r="K521" s="10">
        <v>5</v>
      </c>
      <c r="L521" s="10"/>
      <c r="M521" s="10"/>
      <c r="N521" s="30"/>
      <c r="O521" s="7">
        <f t="shared" si="123"/>
        <v>5</v>
      </c>
      <c r="P521" s="58">
        <v>43421</v>
      </c>
      <c r="Q521" s="56"/>
    </row>
    <row r="522" spans="1:17" x14ac:dyDescent="0.15">
      <c r="A522" s="39" t="s">
        <v>866</v>
      </c>
      <c r="B522" s="8"/>
      <c r="C522" s="10">
        <v>7</v>
      </c>
      <c r="D522" s="10">
        <v>6</v>
      </c>
      <c r="E522" s="10"/>
      <c r="F522" s="30">
        <v>1</v>
      </c>
      <c r="G522" s="7">
        <f t="shared" si="121"/>
        <v>14</v>
      </c>
      <c r="H522" s="58">
        <v>43411</v>
      </c>
      <c r="I522" s="16" t="s">
        <v>24</v>
      </c>
      <c r="J522" s="8"/>
      <c r="K522" s="10">
        <v>5</v>
      </c>
      <c r="L522" s="10">
        <v>5</v>
      </c>
      <c r="M522" s="10"/>
      <c r="N522" s="30"/>
      <c r="O522" s="7">
        <f t="shared" si="123"/>
        <v>10</v>
      </c>
      <c r="P522" s="58">
        <v>43425</v>
      </c>
      <c r="Q522" s="56"/>
    </row>
    <row r="523" spans="1:17" x14ac:dyDescent="0.15">
      <c r="A523" s="16" t="s">
        <v>182</v>
      </c>
      <c r="B523" s="8">
        <v>2</v>
      </c>
      <c r="C523" s="10"/>
      <c r="D523" s="10"/>
      <c r="E523" s="10"/>
      <c r="F523" s="30">
        <v>2</v>
      </c>
      <c r="G523" s="7">
        <f t="shared" si="121"/>
        <v>4</v>
      </c>
      <c r="H523" s="58">
        <v>43411</v>
      </c>
      <c r="I523" s="16" t="s">
        <v>883</v>
      </c>
      <c r="J523" s="8"/>
      <c r="K523" s="10"/>
      <c r="L523" s="10">
        <v>10</v>
      </c>
      <c r="M523" s="10"/>
      <c r="N523" s="30"/>
      <c r="O523" s="7">
        <f t="shared" si="123"/>
        <v>10</v>
      </c>
      <c r="P523" s="58">
        <v>43433</v>
      </c>
      <c r="Q523" s="56"/>
    </row>
    <row r="524" spans="1:17" x14ac:dyDescent="0.15">
      <c r="A524" s="16" t="s">
        <v>868</v>
      </c>
      <c r="B524" s="8"/>
      <c r="C524" s="10"/>
      <c r="D524" s="10">
        <v>1</v>
      </c>
      <c r="E524" s="10"/>
      <c r="F524" s="30"/>
      <c r="G524" s="7">
        <f t="shared" si="121"/>
        <v>1</v>
      </c>
      <c r="H524" s="58">
        <v>43411</v>
      </c>
      <c r="I524" s="16" t="s">
        <v>24</v>
      </c>
      <c r="J524" s="8"/>
      <c r="K524" s="10"/>
      <c r="L524" s="10">
        <v>5</v>
      </c>
      <c r="M524" s="10"/>
      <c r="N524" s="30">
        <v>5</v>
      </c>
      <c r="O524" s="7">
        <f t="shared" si="123"/>
        <v>10</v>
      </c>
      <c r="P524" s="58">
        <v>43434</v>
      </c>
      <c r="Q524" s="56"/>
    </row>
    <row r="525" spans="1:17" x14ac:dyDescent="0.15">
      <c r="A525" s="16" t="s">
        <v>25</v>
      </c>
      <c r="B525" s="8"/>
      <c r="C525" s="10"/>
      <c r="D525" s="10">
        <v>1</v>
      </c>
      <c r="E525" s="10"/>
      <c r="F525" s="30"/>
      <c r="G525" s="7">
        <f t="shared" si="121"/>
        <v>1</v>
      </c>
      <c r="H525" s="58">
        <v>43414</v>
      </c>
      <c r="I525" s="16" t="s">
        <v>24</v>
      </c>
      <c r="J525" s="8"/>
      <c r="K525" s="10">
        <v>10</v>
      </c>
      <c r="L525" s="10">
        <v>5</v>
      </c>
      <c r="M525" s="10"/>
      <c r="N525" s="30"/>
      <c r="O525" s="7">
        <f t="shared" si="123"/>
        <v>15</v>
      </c>
      <c r="P525" s="58">
        <v>43437</v>
      </c>
      <c r="Q525" s="56"/>
    </row>
    <row r="526" spans="1:17" x14ac:dyDescent="0.15">
      <c r="A526" s="16" t="s">
        <v>870</v>
      </c>
      <c r="B526" s="8"/>
      <c r="C526" s="10">
        <v>1</v>
      </c>
      <c r="D526" s="10"/>
      <c r="E526" s="10"/>
      <c r="F526" s="30"/>
      <c r="G526" s="7">
        <f t="shared" si="121"/>
        <v>1</v>
      </c>
      <c r="H526" s="58">
        <v>43417</v>
      </c>
      <c r="I526" s="16"/>
      <c r="J526" s="8"/>
      <c r="K526" s="10"/>
      <c r="L526" s="10"/>
      <c r="M526" s="10"/>
      <c r="N526" s="30"/>
      <c r="O526" s="7">
        <f t="shared" si="123"/>
        <v>0</v>
      </c>
      <c r="P526" s="56"/>
      <c r="Q526" s="56"/>
    </row>
    <row r="527" spans="1:17" x14ac:dyDescent="0.15">
      <c r="A527" s="16" t="s">
        <v>25</v>
      </c>
      <c r="B527" s="8"/>
      <c r="C527" s="10">
        <v>1</v>
      </c>
      <c r="D527" s="10"/>
      <c r="E527" s="10"/>
      <c r="F527" s="30"/>
      <c r="G527" s="7">
        <f t="shared" si="121"/>
        <v>1</v>
      </c>
      <c r="H527" s="58">
        <v>43417</v>
      </c>
      <c r="I527" s="16"/>
      <c r="J527" s="8"/>
      <c r="K527" s="10"/>
      <c r="L527" s="10"/>
      <c r="M527" s="10"/>
      <c r="N527" s="30"/>
      <c r="O527" s="7">
        <f t="shared" si="123"/>
        <v>0</v>
      </c>
      <c r="P527" s="56"/>
      <c r="Q527" s="56"/>
    </row>
    <row r="528" spans="1:17" x14ac:dyDescent="0.15">
      <c r="A528" s="16" t="s">
        <v>117</v>
      </c>
      <c r="B528" s="8"/>
      <c r="C528" s="10"/>
      <c r="D528" s="10"/>
      <c r="E528" s="10"/>
      <c r="F528" s="30">
        <v>1</v>
      </c>
      <c r="G528" s="7">
        <f t="shared" si="121"/>
        <v>1</v>
      </c>
      <c r="H528" s="58">
        <v>43417</v>
      </c>
      <c r="I528" s="16"/>
      <c r="J528" s="11"/>
      <c r="K528" s="12"/>
      <c r="L528" s="12"/>
      <c r="M528" s="12"/>
      <c r="N528" s="31"/>
      <c r="O528" s="7">
        <f t="shared" si="123"/>
        <v>0</v>
      </c>
      <c r="P528" s="56"/>
      <c r="Q528" s="56"/>
    </row>
    <row r="529" spans="1:17" x14ac:dyDescent="0.15">
      <c r="A529" s="16" t="s">
        <v>29</v>
      </c>
      <c r="B529" s="8"/>
      <c r="C529" s="10"/>
      <c r="D529" s="10"/>
      <c r="E529" s="10">
        <v>1</v>
      </c>
      <c r="F529" s="30"/>
      <c r="G529" s="7">
        <f t="shared" si="121"/>
        <v>1</v>
      </c>
      <c r="H529" s="58">
        <v>43416</v>
      </c>
      <c r="I529" s="16"/>
      <c r="J529" s="8"/>
      <c r="K529" s="10"/>
      <c r="L529" s="10"/>
      <c r="M529" s="10"/>
      <c r="N529" s="30"/>
      <c r="O529" s="7">
        <f t="shared" si="123"/>
        <v>0</v>
      </c>
      <c r="P529" s="56"/>
      <c r="Q529" s="56"/>
    </row>
    <row r="530" spans="1:17" x14ac:dyDescent="0.15">
      <c r="A530" s="16" t="s">
        <v>25</v>
      </c>
      <c r="B530" s="8"/>
      <c r="C530" s="10"/>
      <c r="D530" s="10"/>
      <c r="E530" s="10"/>
      <c r="F530" s="30">
        <v>1</v>
      </c>
      <c r="G530" s="7">
        <f t="shared" si="121"/>
        <v>1</v>
      </c>
      <c r="H530" s="58">
        <v>43420</v>
      </c>
      <c r="I530" s="14"/>
      <c r="J530" s="8"/>
      <c r="K530" s="10"/>
      <c r="L530" s="10"/>
      <c r="M530" s="10"/>
      <c r="N530" s="30"/>
      <c r="O530" s="7">
        <f t="shared" si="123"/>
        <v>0</v>
      </c>
      <c r="P530" s="56"/>
      <c r="Q530" s="56"/>
    </row>
    <row r="531" spans="1:17" x14ac:dyDescent="0.15">
      <c r="A531" s="16" t="s">
        <v>25</v>
      </c>
      <c r="B531" s="8"/>
      <c r="C531" s="10">
        <v>1</v>
      </c>
      <c r="D531" s="10"/>
      <c r="E531" s="10"/>
      <c r="F531" s="30"/>
      <c r="G531" s="7">
        <f t="shared" si="121"/>
        <v>1</v>
      </c>
      <c r="H531" s="58">
        <v>43421</v>
      </c>
      <c r="I531" s="16"/>
      <c r="J531" s="8"/>
      <c r="K531" s="10"/>
      <c r="L531" s="10"/>
      <c r="M531" s="10"/>
      <c r="N531" s="30"/>
      <c r="O531" s="7">
        <f t="shared" si="123"/>
        <v>0</v>
      </c>
      <c r="P531" s="56"/>
      <c r="Q531" s="56"/>
    </row>
    <row r="532" spans="1:17" x14ac:dyDescent="0.15">
      <c r="A532" s="16" t="s">
        <v>25</v>
      </c>
      <c r="B532" s="8">
        <v>1</v>
      </c>
      <c r="C532" s="10">
        <v>5</v>
      </c>
      <c r="D532" s="10">
        <v>1</v>
      </c>
      <c r="E532" s="10"/>
      <c r="F532" s="30"/>
      <c r="G532" s="7">
        <f t="shared" si="121"/>
        <v>7</v>
      </c>
      <c r="H532" s="58">
        <v>43424</v>
      </c>
      <c r="I532" s="14"/>
      <c r="J532" s="8"/>
      <c r="K532" s="10"/>
      <c r="L532" s="10"/>
      <c r="M532" s="10"/>
      <c r="N532" s="30"/>
      <c r="O532" s="7">
        <f t="shared" si="123"/>
        <v>0</v>
      </c>
      <c r="P532" s="56"/>
      <c r="Q532" s="56"/>
    </row>
    <row r="533" spans="1:17" x14ac:dyDescent="0.15">
      <c r="A533" s="16" t="s">
        <v>25</v>
      </c>
      <c r="B533" s="8"/>
      <c r="C533" s="10"/>
      <c r="D533" s="10"/>
      <c r="E533" s="10">
        <v>2</v>
      </c>
      <c r="F533" s="30"/>
      <c r="G533" s="7">
        <f t="shared" si="121"/>
        <v>2</v>
      </c>
      <c r="H533" s="58">
        <v>43425</v>
      </c>
      <c r="I533" s="16"/>
      <c r="J533" s="11"/>
      <c r="K533" s="12"/>
      <c r="L533" s="12"/>
      <c r="M533" s="12"/>
      <c r="N533" s="31"/>
      <c r="O533" s="7">
        <f t="shared" si="123"/>
        <v>0</v>
      </c>
      <c r="P533" s="56"/>
      <c r="Q533" s="56"/>
    </row>
    <row r="534" spans="1:17" x14ac:dyDescent="0.15">
      <c r="A534" s="16" t="s">
        <v>25</v>
      </c>
      <c r="B534" s="8"/>
      <c r="C534" s="10"/>
      <c r="D534" s="10"/>
      <c r="E534" s="10"/>
      <c r="F534" s="30">
        <v>1</v>
      </c>
      <c r="G534" s="7">
        <f t="shared" si="121"/>
        <v>1</v>
      </c>
      <c r="H534" s="58">
        <v>43428</v>
      </c>
      <c r="I534" s="14"/>
      <c r="J534" s="8"/>
      <c r="K534" s="10"/>
      <c r="L534" s="10"/>
      <c r="M534" s="10"/>
      <c r="N534" s="30"/>
      <c r="O534" s="7">
        <f t="shared" si="123"/>
        <v>0</v>
      </c>
      <c r="P534" s="58"/>
      <c r="Q534" s="56"/>
    </row>
    <row r="535" spans="1:17" x14ac:dyDescent="0.15">
      <c r="A535" s="16" t="s">
        <v>25</v>
      </c>
      <c r="B535" s="8"/>
      <c r="C535" s="10"/>
      <c r="D535" s="10">
        <v>2</v>
      </c>
      <c r="E535" s="10"/>
      <c r="F535" s="30"/>
      <c r="G535" s="7">
        <f t="shared" si="121"/>
        <v>2</v>
      </c>
      <c r="H535" s="58">
        <v>43431</v>
      </c>
      <c r="I535" s="20"/>
      <c r="J535" s="8"/>
      <c r="K535" s="10"/>
      <c r="L535" s="10"/>
      <c r="M535" s="10"/>
      <c r="N535" s="30"/>
      <c r="O535" s="7">
        <f t="shared" si="123"/>
        <v>0</v>
      </c>
      <c r="P535" s="58"/>
      <c r="Q535" s="56"/>
    </row>
    <row r="536" spans="1:17" x14ac:dyDescent="0.15">
      <c r="A536" s="16" t="s">
        <v>182</v>
      </c>
      <c r="B536" s="8"/>
      <c r="C536" s="10"/>
      <c r="D536" s="10"/>
      <c r="E536" s="10"/>
      <c r="F536" s="30">
        <v>1</v>
      </c>
      <c r="G536" s="7">
        <f t="shared" si="121"/>
        <v>1</v>
      </c>
      <c r="H536" s="58">
        <v>43432</v>
      </c>
      <c r="I536" s="14"/>
      <c r="J536" s="8"/>
      <c r="K536" s="10"/>
      <c r="L536" s="10"/>
      <c r="M536" s="10"/>
      <c r="N536" s="30"/>
      <c r="O536" s="7">
        <f t="shared" si="123"/>
        <v>0</v>
      </c>
      <c r="P536" s="56"/>
      <c r="Q536" s="56"/>
    </row>
    <row r="537" spans="1:17" x14ac:dyDescent="0.15">
      <c r="A537" s="16" t="s">
        <v>29</v>
      </c>
      <c r="B537" s="8">
        <v>1</v>
      </c>
      <c r="C537" s="10"/>
      <c r="D537" s="10"/>
      <c r="E537" s="10"/>
      <c r="F537" s="30">
        <v>1</v>
      </c>
      <c r="G537" s="7">
        <f>SUM(B537:F537)</f>
        <v>2</v>
      </c>
      <c r="H537" s="58">
        <v>43430</v>
      </c>
      <c r="I537" s="14"/>
      <c r="J537" s="8"/>
      <c r="K537" s="10"/>
      <c r="L537" s="10"/>
      <c r="M537" s="10"/>
      <c r="N537" s="30"/>
      <c r="O537" s="7">
        <f t="shared" si="123"/>
        <v>0</v>
      </c>
      <c r="P537" s="58"/>
      <c r="Q537" s="56"/>
    </row>
    <row r="538" spans="1:17" x14ac:dyDescent="0.15">
      <c r="A538" s="16" t="s">
        <v>25</v>
      </c>
      <c r="B538" s="8"/>
      <c r="C538" s="10">
        <v>1</v>
      </c>
      <c r="D538" s="10">
        <v>2</v>
      </c>
      <c r="E538" s="10"/>
      <c r="F538" s="30">
        <v>1</v>
      </c>
      <c r="G538" s="7">
        <f>SUM(B538:F538)</f>
        <v>4</v>
      </c>
      <c r="H538" s="58">
        <v>43432</v>
      </c>
      <c r="I538" s="14"/>
      <c r="J538" s="11"/>
      <c r="K538" s="12"/>
      <c r="L538" s="12"/>
      <c r="M538" s="12"/>
      <c r="N538" s="31"/>
      <c r="O538" s="7">
        <f t="shared" si="123"/>
        <v>0</v>
      </c>
      <c r="P538" s="56"/>
      <c r="Q538" s="56"/>
    </row>
    <row r="539" spans="1:17" x14ac:dyDescent="0.15">
      <c r="A539" s="16" t="s">
        <v>25</v>
      </c>
      <c r="B539" s="8">
        <v>1</v>
      </c>
      <c r="C539" s="10"/>
      <c r="D539" s="10"/>
      <c r="E539" s="10"/>
      <c r="F539" s="30"/>
      <c r="G539" s="7">
        <f t="shared" ref="G539:G544" si="126">SUM(B539:F539)</f>
        <v>1</v>
      </c>
      <c r="H539" s="58">
        <v>43433</v>
      </c>
      <c r="I539" s="16"/>
      <c r="J539" s="8"/>
      <c r="K539" s="10"/>
      <c r="L539" s="10"/>
      <c r="M539" s="10"/>
      <c r="N539" s="30"/>
      <c r="O539" s="7">
        <f t="shared" si="123"/>
        <v>0</v>
      </c>
      <c r="P539" s="56"/>
      <c r="Q539" s="56"/>
    </row>
    <row r="540" spans="1:17" x14ac:dyDescent="0.15">
      <c r="A540" s="16" t="s">
        <v>25</v>
      </c>
      <c r="B540" s="11"/>
      <c r="C540" s="12"/>
      <c r="D540" s="12">
        <v>1</v>
      </c>
      <c r="E540" s="12"/>
      <c r="F540" s="31">
        <v>2</v>
      </c>
      <c r="G540" s="7">
        <f t="shared" si="126"/>
        <v>3</v>
      </c>
      <c r="H540" s="58">
        <v>43434</v>
      </c>
      <c r="I540" s="141"/>
      <c r="J540" s="8"/>
      <c r="K540" s="10"/>
      <c r="L540" s="10"/>
      <c r="M540" s="10"/>
      <c r="N540" s="30"/>
      <c r="O540" s="7">
        <f t="shared" si="123"/>
        <v>0</v>
      </c>
      <c r="P540" s="56"/>
      <c r="Q540" s="56"/>
    </row>
    <row r="541" spans="1:17" x14ac:dyDescent="0.15">
      <c r="A541" s="16" t="s">
        <v>886</v>
      </c>
      <c r="B541" s="8"/>
      <c r="C541" s="10"/>
      <c r="D541" s="10">
        <v>1</v>
      </c>
      <c r="E541" s="10"/>
      <c r="F541" s="30"/>
      <c r="G541" s="7">
        <f t="shared" si="126"/>
        <v>1</v>
      </c>
      <c r="H541" s="58">
        <v>43434</v>
      </c>
      <c r="I541" s="20"/>
      <c r="J541" s="11"/>
      <c r="K541" s="12"/>
      <c r="L541" s="12"/>
      <c r="M541" s="12"/>
      <c r="N541" s="31"/>
      <c r="O541" s="7">
        <f t="shared" si="123"/>
        <v>0</v>
      </c>
      <c r="P541" s="56"/>
      <c r="Q541" s="56"/>
    </row>
    <row r="542" spans="1:17" x14ac:dyDescent="0.15">
      <c r="A542" s="16" t="s">
        <v>25</v>
      </c>
      <c r="B542" s="37"/>
      <c r="C542" s="35">
        <v>3</v>
      </c>
      <c r="D542" s="35"/>
      <c r="E542" s="35">
        <v>2</v>
      </c>
      <c r="F542" s="28"/>
      <c r="G542" s="7">
        <f t="shared" si="126"/>
        <v>5</v>
      </c>
      <c r="H542" s="58">
        <v>43435</v>
      </c>
      <c r="I542" s="39"/>
      <c r="J542" s="8"/>
      <c r="K542" s="10"/>
      <c r="L542" s="10"/>
      <c r="M542" s="10"/>
      <c r="N542" s="30"/>
      <c r="O542" s="7">
        <f t="shared" si="123"/>
        <v>0</v>
      </c>
      <c r="P542" s="58"/>
      <c r="Q542" s="56"/>
    </row>
    <row r="543" spans="1:17" x14ac:dyDescent="0.15">
      <c r="A543" s="16" t="s">
        <v>25</v>
      </c>
      <c r="B543" s="8">
        <v>1</v>
      </c>
      <c r="C543" s="10">
        <v>1</v>
      </c>
      <c r="D543" s="10"/>
      <c r="E543" s="10"/>
      <c r="F543" s="30"/>
      <c r="G543" s="9">
        <f t="shared" si="126"/>
        <v>2</v>
      </c>
      <c r="H543" s="58">
        <v>43438</v>
      </c>
      <c r="I543" s="141"/>
      <c r="J543" s="11"/>
      <c r="K543" s="12"/>
      <c r="L543" s="12"/>
      <c r="M543" s="12"/>
      <c r="N543" s="31"/>
      <c r="O543" s="7">
        <f t="shared" si="123"/>
        <v>0</v>
      </c>
      <c r="P543" s="56"/>
      <c r="Q543" s="56"/>
    </row>
    <row r="544" spans="1:17" ht="14.25" thickBot="1" x14ac:dyDescent="0.2">
      <c r="A544" s="15" t="s">
        <v>890</v>
      </c>
      <c r="B544" s="37">
        <v>-1</v>
      </c>
      <c r="C544" s="35"/>
      <c r="D544" s="35"/>
      <c r="E544" s="35"/>
      <c r="F544" s="28"/>
      <c r="G544" s="7">
        <f t="shared" si="126"/>
        <v>-1</v>
      </c>
      <c r="H544" s="58">
        <v>43437</v>
      </c>
      <c r="I544" s="39"/>
      <c r="J544" s="8"/>
      <c r="K544" s="10"/>
      <c r="L544" s="10"/>
      <c r="M544" s="10"/>
      <c r="N544" s="30"/>
      <c r="O544" s="7">
        <f t="shared" si="123"/>
        <v>0</v>
      </c>
      <c r="P544" s="56"/>
      <c r="Q544" s="56"/>
    </row>
    <row r="545" spans="1:16" ht="14.25" thickBot="1" x14ac:dyDescent="0.2">
      <c r="A545" s="3" t="s">
        <v>11</v>
      </c>
      <c r="B545" s="23">
        <f>SUM(B519:B544)</f>
        <v>5</v>
      </c>
      <c r="C545" s="4">
        <f>SUM(C519:C544)</f>
        <v>31</v>
      </c>
      <c r="D545" s="4">
        <f>SUM(D519:D544)</f>
        <v>15</v>
      </c>
      <c r="E545" s="6">
        <f>SUM(E519:E544)</f>
        <v>5</v>
      </c>
      <c r="F545" s="32">
        <f>SUM(F519:F544)</f>
        <v>12</v>
      </c>
      <c r="G545" s="5">
        <f>SUM(B545:F545)</f>
        <v>68</v>
      </c>
      <c r="H545" s="56"/>
      <c r="I545" s="3" t="s">
        <v>11</v>
      </c>
      <c r="J545" s="23">
        <f>SUM(J519:J544)</f>
        <v>0</v>
      </c>
      <c r="K545" s="4">
        <f>SUM(K519:K544)</f>
        <v>35</v>
      </c>
      <c r="L545" s="4">
        <f>SUM(L519:L544)</f>
        <v>30</v>
      </c>
      <c r="M545" s="6">
        <f>SUM(M519:M544)</f>
        <v>7</v>
      </c>
      <c r="N545" s="32">
        <f>SUM(N519:N544)</f>
        <v>10</v>
      </c>
      <c r="O545" s="5">
        <f>SUM(J545:N545)</f>
        <v>82</v>
      </c>
    </row>
    <row r="546" spans="1:16" ht="14.25" thickBot="1" x14ac:dyDescent="0.2">
      <c r="A546" s="25" t="s">
        <v>12</v>
      </c>
      <c r="B546" s="63">
        <f>B518-B545</f>
        <v>8</v>
      </c>
      <c r="C546" s="26">
        <f t="shared" ref="C546:G546" si="127">C518-C545</f>
        <v>14</v>
      </c>
      <c r="D546" s="71">
        <f t="shared" si="127"/>
        <v>15</v>
      </c>
      <c r="E546" s="26">
        <f t="shared" si="127"/>
        <v>13</v>
      </c>
      <c r="F546" s="70">
        <f t="shared" si="127"/>
        <v>9</v>
      </c>
      <c r="G546" s="27">
        <f t="shared" si="127"/>
        <v>59</v>
      </c>
      <c r="H546" s="56"/>
      <c r="I546" s="25" t="s">
        <v>12</v>
      </c>
      <c r="J546" s="63">
        <f>J518-J545</f>
        <v>160</v>
      </c>
      <c r="K546" s="26">
        <f t="shared" ref="K546:M546" si="128">K518-K545</f>
        <v>182</v>
      </c>
      <c r="L546" s="71">
        <f t="shared" si="128"/>
        <v>180</v>
      </c>
      <c r="M546" s="26">
        <f t="shared" si="128"/>
        <v>160</v>
      </c>
      <c r="N546" s="70">
        <f>N518-N545</f>
        <v>99</v>
      </c>
      <c r="O546" s="27">
        <f t="shared" ref="O546" si="129">O518-O545</f>
        <v>781</v>
      </c>
    </row>
    <row r="547" spans="1:16" ht="21" x14ac:dyDescent="0.2">
      <c r="A547" s="83" t="s">
        <v>415</v>
      </c>
      <c r="B547" s="77"/>
      <c r="C547" s="77"/>
      <c r="D547" s="77"/>
      <c r="E547" s="77"/>
      <c r="F547" s="77"/>
      <c r="G547" s="77"/>
      <c r="H547" s="56"/>
      <c r="I547" s="83" t="s">
        <v>415</v>
      </c>
      <c r="J547" s="77"/>
      <c r="K547" s="77"/>
      <c r="L547" s="77"/>
      <c r="M547" s="77"/>
      <c r="N547" s="77"/>
      <c r="O547" s="77"/>
    </row>
    <row r="548" spans="1:16" ht="21.75" thickBot="1" x14ac:dyDescent="0.25">
      <c r="A548" s="83" t="s">
        <v>47</v>
      </c>
      <c r="B548" s="77"/>
      <c r="C548" s="77"/>
      <c r="D548" s="77"/>
      <c r="E548" s="84"/>
      <c r="F548" s="78" t="s">
        <v>53</v>
      </c>
      <c r="G548" s="77"/>
      <c r="H548" s="56"/>
      <c r="I548" s="83" t="s">
        <v>47</v>
      </c>
      <c r="J548" s="77"/>
      <c r="K548" s="77"/>
      <c r="L548" s="77"/>
      <c r="M548" s="84"/>
      <c r="N548" s="78" t="s">
        <v>54</v>
      </c>
      <c r="O548" s="77"/>
    </row>
    <row r="549" spans="1:16" ht="14.25" thickBot="1" x14ac:dyDescent="0.2">
      <c r="A549" s="13" t="s">
        <v>0</v>
      </c>
      <c r="B549" s="228" t="s">
        <v>49</v>
      </c>
      <c r="C549" s="229"/>
      <c r="D549" s="229"/>
      <c r="E549" s="229"/>
      <c r="F549" s="230"/>
      <c r="G549" s="231"/>
      <c r="H549" s="56"/>
      <c r="I549" s="13" t="s">
        <v>0</v>
      </c>
      <c r="J549" s="228" t="s">
        <v>49</v>
      </c>
      <c r="K549" s="229"/>
      <c r="L549" s="229"/>
      <c r="M549" s="229"/>
      <c r="N549" s="230"/>
      <c r="O549" s="231"/>
    </row>
    <row r="550" spans="1:16" ht="14.25" thickBot="1" x14ac:dyDescent="0.2">
      <c r="A550" s="3" t="s">
        <v>1</v>
      </c>
      <c r="B550" s="2" t="s">
        <v>42</v>
      </c>
      <c r="C550" s="21" t="s">
        <v>43</v>
      </c>
      <c r="D550" s="21" t="s">
        <v>44</v>
      </c>
      <c r="E550" s="24" t="s">
        <v>45</v>
      </c>
      <c r="F550" s="33" t="s">
        <v>46</v>
      </c>
      <c r="G550" s="34" t="s">
        <v>2</v>
      </c>
      <c r="H550" s="56"/>
      <c r="I550" s="3" t="s">
        <v>1</v>
      </c>
      <c r="J550" s="2" t="s">
        <v>42</v>
      </c>
      <c r="K550" s="21" t="s">
        <v>43</v>
      </c>
      <c r="L550" s="21" t="s">
        <v>44</v>
      </c>
      <c r="M550" s="24" t="s">
        <v>45</v>
      </c>
      <c r="N550" s="33" t="s">
        <v>46</v>
      </c>
      <c r="O550" s="3" t="s">
        <v>2</v>
      </c>
    </row>
    <row r="551" spans="1:16" ht="14.25" thickBot="1" x14ac:dyDescent="0.2">
      <c r="A551" s="72" t="s">
        <v>527</v>
      </c>
      <c r="B551" s="73">
        <f>B546</f>
        <v>8</v>
      </c>
      <c r="C551" s="73">
        <f t="shared" ref="C551:F551" si="130">C546</f>
        <v>14</v>
      </c>
      <c r="D551" s="73">
        <f t="shared" si="130"/>
        <v>15</v>
      </c>
      <c r="E551" s="73">
        <f t="shared" si="130"/>
        <v>13</v>
      </c>
      <c r="F551" s="73">
        <f t="shared" si="130"/>
        <v>9</v>
      </c>
      <c r="G551" s="76">
        <f t="shared" ref="G551:G578" si="131">SUM(B551:F551)</f>
        <v>59</v>
      </c>
      <c r="H551" s="56"/>
      <c r="I551" s="96" t="s">
        <v>12</v>
      </c>
      <c r="J551" s="95">
        <f>J546</f>
        <v>160</v>
      </c>
      <c r="K551" s="97">
        <f t="shared" ref="K551:N551" si="132">K546</f>
        <v>182</v>
      </c>
      <c r="L551" s="97">
        <f t="shared" si="132"/>
        <v>180</v>
      </c>
      <c r="M551" s="97">
        <f t="shared" si="132"/>
        <v>160</v>
      </c>
      <c r="N551" s="54">
        <f t="shared" si="132"/>
        <v>99</v>
      </c>
      <c r="O551" s="52">
        <f t="shared" ref="O551:O586" si="133">SUM(J551:N551)</f>
        <v>781</v>
      </c>
    </row>
    <row r="552" spans="1:16" x14ac:dyDescent="0.15">
      <c r="A552" s="15" t="s">
        <v>17</v>
      </c>
      <c r="B552" s="37"/>
      <c r="C552" s="35">
        <v>2</v>
      </c>
      <c r="D552" s="35">
        <v>1</v>
      </c>
      <c r="E552" s="35"/>
      <c r="F552" s="28"/>
      <c r="G552" s="7">
        <f t="shared" si="131"/>
        <v>3</v>
      </c>
      <c r="H552" s="58">
        <v>43441</v>
      </c>
      <c r="I552" s="15" t="s">
        <v>3</v>
      </c>
      <c r="J552" s="37"/>
      <c r="K552" s="35"/>
      <c r="L552" s="35"/>
      <c r="M552" s="35"/>
      <c r="N552" s="28"/>
      <c r="O552" s="7">
        <f t="shared" si="133"/>
        <v>0</v>
      </c>
    </row>
    <row r="553" spans="1:16" x14ac:dyDescent="0.15">
      <c r="A553" s="15" t="s">
        <v>3</v>
      </c>
      <c r="B553" s="8"/>
      <c r="C553" s="10"/>
      <c r="D553" s="10"/>
      <c r="E553" s="10"/>
      <c r="F553" s="28">
        <v>5</v>
      </c>
      <c r="G553" s="9">
        <f t="shared" si="131"/>
        <v>5</v>
      </c>
      <c r="H553" s="58">
        <v>43448</v>
      </c>
      <c r="I553" s="15" t="s">
        <v>4</v>
      </c>
      <c r="J553" s="8"/>
      <c r="K553" s="10"/>
      <c r="L553" s="10"/>
      <c r="M553" s="10"/>
      <c r="N553" s="28"/>
      <c r="O553" s="9">
        <f t="shared" si="133"/>
        <v>0</v>
      </c>
      <c r="P553" s="58"/>
    </row>
    <row r="554" spans="1:16" x14ac:dyDescent="0.15">
      <c r="A554" s="15" t="s">
        <v>4</v>
      </c>
      <c r="B554" s="8">
        <v>5</v>
      </c>
      <c r="C554" s="10"/>
      <c r="D554" s="10"/>
      <c r="E554" s="10"/>
      <c r="F554" s="28"/>
      <c r="G554" s="9">
        <f t="shared" si="131"/>
        <v>5</v>
      </c>
      <c r="H554" s="58">
        <v>43453</v>
      </c>
      <c r="I554" s="15" t="s">
        <v>5</v>
      </c>
      <c r="J554" s="8"/>
      <c r="K554" s="10"/>
      <c r="L554" s="10"/>
      <c r="M554" s="10"/>
      <c r="N554" s="28"/>
      <c r="O554" s="9">
        <f t="shared" si="133"/>
        <v>0</v>
      </c>
    </row>
    <row r="555" spans="1:16" x14ac:dyDescent="0.15">
      <c r="A555" s="15" t="s">
        <v>17</v>
      </c>
      <c r="B555" s="8"/>
      <c r="C555" s="10"/>
      <c r="D555" s="10">
        <v>1</v>
      </c>
      <c r="E555" s="10"/>
      <c r="F555" s="28">
        <v>3</v>
      </c>
      <c r="G555" s="9">
        <f t="shared" si="131"/>
        <v>4</v>
      </c>
      <c r="H555" s="58">
        <v>43453</v>
      </c>
      <c r="I555" s="15" t="s">
        <v>6</v>
      </c>
      <c r="J555" s="8"/>
      <c r="K555" s="10"/>
      <c r="L555" s="10"/>
      <c r="M555" s="10"/>
      <c r="N555" s="28"/>
      <c r="O555" s="9">
        <f t="shared" si="133"/>
        <v>0</v>
      </c>
    </row>
    <row r="556" spans="1:16" x14ac:dyDescent="0.15">
      <c r="A556" s="15" t="s">
        <v>17</v>
      </c>
      <c r="B556" s="11"/>
      <c r="C556" s="12">
        <v>2</v>
      </c>
      <c r="D556" s="12"/>
      <c r="E556" s="12"/>
      <c r="F556" s="31"/>
      <c r="G556" s="7">
        <f t="shared" si="131"/>
        <v>2</v>
      </c>
      <c r="H556" s="58">
        <v>43461</v>
      </c>
      <c r="I556" s="15" t="s">
        <v>84</v>
      </c>
      <c r="J556" s="11"/>
      <c r="K556" s="12"/>
      <c r="L556" s="12"/>
      <c r="M556" s="12"/>
      <c r="N556" s="31"/>
      <c r="O556" s="7">
        <f t="shared" si="133"/>
        <v>0</v>
      </c>
    </row>
    <row r="557" spans="1:16" x14ac:dyDescent="0.15">
      <c r="A557" s="15" t="s">
        <v>19</v>
      </c>
      <c r="B557" s="8"/>
      <c r="C557" s="10">
        <v>3</v>
      </c>
      <c r="D557" s="10">
        <v>1</v>
      </c>
      <c r="E557" s="10"/>
      <c r="F557" s="30"/>
      <c r="G557" s="7">
        <f t="shared" si="131"/>
        <v>4</v>
      </c>
      <c r="H557" s="58">
        <v>43480</v>
      </c>
      <c r="I557" s="15" t="s">
        <v>85</v>
      </c>
      <c r="J557" s="8"/>
      <c r="K557" s="10"/>
      <c r="L557" s="10"/>
      <c r="M557" s="10"/>
      <c r="N557" s="30"/>
      <c r="O557" s="7">
        <f t="shared" si="133"/>
        <v>0</v>
      </c>
    </row>
    <row r="558" spans="1:16" x14ac:dyDescent="0.15">
      <c r="A558" s="15" t="s">
        <v>17</v>
      </c>
      <c r="B558" s="8">
        <v>1</v>
      </c>
      <c r="C558" s="10">
        <v>2</v>
      </c>
      <c r="D558" s="10"/>
      <c r="E558" s="10"/>
      <c r="F558" s="30"/>
      <c r="G558" s="7">
        <f t="shared" si="131"/>
        <v>3</v>
      </c>
      <c r="H558" s="58">
        <v>43482</v>
      </c>
      <c r="I558" s="16" t="s">
        <v>88</v>
      </c>
      <c r="J558" s="8"/>
      <c r="K558" s="10"/>
      <c r="L558" s="10"/>
      <c r="M558" s="10"/>
      <c r="N558" s="30"/>
      <c r="O558" s="7">
        <f t="shared" si="133"/>
        <v>0</v>
      </c>
    </row>
    <row r="559" spans="1:16" ht="14.25" thickBot="1" x14ac:dyDescent="0.2">
      <c r="A559" s="15" t="s">
        <v>322</v>
      </c>
      <c r="B559" s="11"/>
      <c r="C559" s="100">
        <v>7</v>
      </c>
      <c r="D559" s="100">
        <v>3</v>
      </c>
      <c r="E559" s="100">
        <v>2</v>
      </c>
      <c r="F559" s="101"/>
      <c r="G559" s="102">
        <f t="shared" si="131"/>
        <v>12</v>
      </c>
      <c r="H559" s="58">
        <v>43483</v>
      </c>
      <c r="I559" s="15" t="s">
        <v>87</v>
      </c>
      <c r="J559" s="11"/>
      <c r="K559" s="100"/>
      <c r="L559" s="100"/>
      <c r="M559" s="100"/>
      <c r="N559" s="101"/>
      <c r="O559" s="102">
        <f t="shared" si="133"/>
        <v>0</v>
      </c>
    </row>
    <row r="560" spans="1:16" ht="14.25" thickBot="1" x14ac:dyDescent="0.2">
      <c r="A560" s="72" t="s">
        <v>7</v>
      </c>
      <c r="B560" s="73">
        <f>SUM(B551:B559)</f>
        <v>14</v>
      </c>
      <c r="C560" s="74">
        <f t="shared" ref="C560:F560" si="134">SUM(C551:C559)</f>
        <v>30</v>
      </c>
      <c r="D560" s="74">
        <f t="shared" si="134"/>
        <v>21</v>
      </c>
      <c r="E560" s="74">
        <f t="shared" si="134"/>
        <v>15</v>
      </c>
      <c r="F560" s="105">
        <f t="shared" si="134"/>
        <v>17</v>
      </c>
      <c r="G560" s="76">
        <f t="shared" si="131"/>
        <v>97</v>
      </c>
      <c r="H560" s="56"/>
      <c r="I560" s="72" t="s">
        <v>7</v>
      </c>
      <c r="J560" s="73">
        <f>SUM(J551:J559)</f>
        <v>160</v>
      </c>
      <c r="K560" s="74">
        <f t="shared" ref="K560:N560" si="135">SUM(K551:K559)</f>
        <v>182</v>
      </c>
      <c r="L560" s="74">
        <f t="shared" si="135"/>
        <v>180</v>
      </c>
      <c r="M560" s="74">
        <f t="shared" si="135"/>
        <v>160</v>
      </c>
      <c r="N560" s="105">
        <f t="shared" si="135"/>
        <v>99</v>
      </c>
      <c r="O560" s="76">
        <f t="shared" si="133"/>
        <v>781</v>
      </c>
    </row>
    <row r="561" spans="1:17" x14ac:dyDescent="0.15">
      <c r="A561" s="16" t="s">
        <v>25</v>
      </c>
      <c r="B561" s="37"/>
      <c r="C561" s="35">
        <v>1</v>
      </c>
      <c r="D561" s="35"/>
      <c r="E561" s="35"/>
      <c r="F561" s="28"/>
      <c r="G561" s="18">
        <f t="shared" si="131"/>
        <v>1</v>
      </c>
      <c r="H561" s="58">
        <v>43439</v>
      </c>
      <c r="I561" s="16" t="s">
        <v>22</v>
      </c>
      <c r="J561" s="37"/>
      <c r="K561" s="35">
        <v>10</v>
      </c>
      <c r="L561" s="35"/>
      <c r="M561" s="35"/>
      <c r="N561" s="28"/>
      <c r="O561" s="7">
        <f t="shared" si="133"/>
        <v>10</v>
      </c>
      <c r="P561" s="58">
        <v>43447</v>
      </c>
    </row>
    <row r="562" spans="1:17" x14ac:dyDescent="0.15">
      <c r="A562" s="16" t="s">
        <v>25</v>
      </c>
      <c r="B562" s="8">
        <v>2</v>
      </c>
      <c r="C562" s="10"/>
      <c r="D562" s="10"/>
      <c r="E562" s="10">
        <v>1</v>
      </c>
      <c r="F562" s="30"/>
      <c r="G562" s="7">
        <f t="shared" si="131"/>
        <v>3</v>
      </c>
      <c r="H562" s="58">
        <v>43441</v>
      </c>
      <c r="I562" s="16" t="s">
        <v>894</v>
      </c>
      <c r="J562" s="8"/>
      <c r="K562" s="10"/>
      <c r="L562" s="10"/>
      <c r="M562" s="10"/>
      <c r="N562" s="30">
        <v>5</v>
      </c>
      <c r="O562" s="7">
        <f t="shared" si="133"/>
        <v>5</v>
      </c>
      <c r="P562" s="58">
        <v>43448</v>
      </c>
    </row>
    <row r="563" spans="1:17" x14ac:dyDescent="0.15">
      <c r="A563" s="16" t="s">
        <v>25</v>
      </c>
      <c r="B563" s="8"/>
      <c r="C563" s="10"/>
      <c r="D563" s="10">
        <v>4</v>
      </c>
      <c r="E563" s="10"/>
      <c r="F563" s="30">
        <v>2</v>
      </c>
      <c r="G563" s="7">
        <f t="shared" si="131"/>
        <v>6</v>
      </c>
      <c r="H563" s="58">
        <v>43445</v>
      </c>
      <c r="I563" s="16" t="s">
        <v>110</v>
      </c>
      <c r="J563" s="8"/>
      <c r="K563" s="10"/>
      <c r="L563" s="10"/>
      <c r="M563" s="10"/>
      <c r="N563" s="30">
        <v>2</v>
      </c>
      <c r="O563" s="7">
        <f t="shared" si="133"/>
        <v>2</v>
      </c>
      <c r="P563" s="58">
        <v>43454</v>
      </c>
    </row>
    <row r="564" spans="1:17" x14ac:dyDescent="0.15">
      <c r="A564" s="16" t="s">
        <v>25</v>
      </c>
      <c r="B564" s="8"/>
      <c r="C564" s="10"/>
      <c r="D564" s="10">
        <v>1</v>
      </c>
      <c r="E564" s="10"/>
      <c r="F564" s="30"/>
      <c r="G564" s="7">
        <f t="shared" si="131"/>
        <v>1</v>
      </c>
      <c r="H564" s="58">
        <v>43446</v>
      </c>
      <c r="I564" s="16" t="s">
        <v>24</v>
      </c>
      <c r="J564" s="8">
        <v>5</v>
      </c>
      <c r="K564" s="10"/>
      <c r="L564" s="10"/>
      <c r="M564" s="10"/>
      <c r="N564" s="30"/>
      <c r="O564" s="7">
        <f t="shared" si="133"/>
        <v>5</v>
      </c>
      <c r="P564" s="58">
        <v>43453</v>
      </c>
      <c r="Q564" s="56"/>
    </row>
    <row r="565" spans="1:17" x14ac:dyDescent="0.15">
      <c r="A565" s="16" t="s">
        <v>893</v>
      </c>
      <c r="B565" s="8"/>
      <c r="C565" s="10"/>
      <c r="D565" s="10"/>
      <c r="E565" s="10">
        <v>1</v>
      </c>
      <c r="F565" s="30"/>
      <c r="G565" s="7">
        <f t="shared" si="131"/>
        <v>1</v>
      </c>
      <c r="H565" s="58">
        <v>43446</v>
      </c>
      <c r="I565" s="16" t="s">
        <v>902</v>
      </c>
      <c r="J565" s="8"/>
      <c r="K565" s="10">
        <v>2</v>
      </c>
      <c r="L565" s="10"/>
      <c r="M565" s="10"/>
      <c r="N565" s="30"/>
      <c r="O565" s="7">
        <f t="shared" si="133"/>
        <v>2</v>
      </c>
      <c r="P565" s="58">
        <v>43475</v>
      </c>
    </row>
    <row r="566" spans="1:17" x14ac:dyDescent="0.15">
      <c r="A566" s="16" t="s">
        <v>25</v>
      </c>
      <c r="B566" s="8"/>
      <c r="C566" s="10">
        <v>1</v>
      </c>
      <c r="D566" s="10"/>
      <c r="E566" s="10"/>
      <c r="F566" s="30">
        <v>1</v>
      </c>
      <c r="G566" s="7">
        <f t="shared" si="131"/>
        <v>2</v>
      </c>
      <c r="H566" s="58">
        <v>43447</v>
      </c>
      <c r="I566" s="16" t="s">
        <v>25</v>
      </c>
      <c r="J566" s="8"/>
      <c r="K566" s="10">
        <v>1</v>
      </c>
      <c r="L566" s="10"/>
      <c r="M566" s="10">
        <v>1</v>
      </c>
      <c r="N566" s="30"/>
      <c r="O566" s="7">
        <f t="shared" si="133"/>
        <v>2</v>
      </c>
      <c r="P566" s="58">
        <v>43484</v>
      </c>
    </row>
    <row r="567" spans="1:17" x14ac:dyDescent="0.15">
      <c r="A567" s="16" t="s">
        <v>25</v>
      </c>
      <c r="B567" s="8"/>
      <c r="C567" s="10">
        <v>2</v>
      </c>
      <c r="D567" s="10"/>
      <c r="E567" s="10"/>
      <c r="F567" s="30"/>
      <c r="G567" s="7">
        <f t="shared" si="131"/>
        <v>2</v>
      </c>
      <c r="H567" s="58">
        <v>43448</v>
      </c>
      <c r="I567" s="16" t="s">
        <v>22</v>
      </c>
      <c r="J567" s="8"/>
      <c r="K567" s="10"/>
      <c r="L567" s="10"/>
      <c r="M567" s="10"/>
      <c r="N567" s="30">
        <v>10</v>
      </c>
      <c r="O567" s="7">
        <f t="shared" si="133"/>
        <v>10</v>
      </c>
      <c r="P567" s="58">
        <v>43493</v>
      </c>
    </row>
    <row r="568" spans="1:17" x14ac:dyDescent="0.15">
      <c r="A568" s="16" t="s">
        <v>25</v>
      </c>
      <c r="B568" s="8">
        <v>1</v>
      </c>
      <c r="C568" s="10"/>
      <c r="D568" s="10"/>
      <c r="E568" s="10"/>
      <c r="F568" s="30"/>
      <c r="G568" s="7">
        <f t="shared" si="131"/>
        <v>1</v>
      </c>
      <c r="H568" s="58">
        <v>43451</v>
      </c>
      <c r="I568" s="16" t="s">
        <v>25</v>
      </c>
      <c r="J568" s="8"/>
      <c r="K568" s="10">
        <v>1</v>
      </c>
      <c r="L568" s="10"/>
      <c r="M568" s="10"/>
      <c r="N568" s="30">
        <v>1</v>
      </c>
      <c r="O568" s="7">
        <f t="shared" si="133"/>
        <v>2</v>
      </c>
      <c r="P568" s="58">
        <v>43488</v>
      </c>
    </row>
    <row r="569" spans="1:17" x14ac:dyDescent="0.15">
      <c r="A569" s="16" t="s">
        <v>25</v>
      </c>
      <c r="B569" s="8">
        <v>1</v>
      </c>
      <c r="C569" s="10">
        <v>1</v>
      </c>
      <c r="D569" s="10"/>
      <c r="E569" s="10"/>
      <c r="F569" s="30">
        <v>1</v>
      </c>
      <c r="G569" s="7">
        <f t="shared" si="131"/>
        <v>3</v>
      </c>
      <c r="H569" s="58">
        <v>43452</v>
      </c>
      <c r="I569" s="16" t="s">
        <v>110</v>
      </c>
      <c r="J569" s="8"/>
      <c r="K569" s="10">
        <v>2</v>
      </c>
      <c r="L569" s="10"/>
      <c r="M569" s="10">
        <v>2</v>
      </c>
      <c r="N569" s="30"/>
      <c r="O569" s="7">
        <f t="shared" si="133"/>
        <v>4</v>
      </c>
      <c r="P569" s="58">
        <v>43495</v>
      </c>
    </row>
    <row r="570" spans="1:17" x14ac:dyDescent="0.15">
      <c r="A570" s="16" t="s">
        <v>25</v>
      </c>
      <c r="B570" s="8"/>
      <c r="C570" s="10"/>
      <c r="D570" s="10"/>
      <c r="E570" s="10">
        <v>1</v>
      </c>
      <c r="F570" s="30"/>
      <c r="G570" s="7">
        <f t="shared" si="131"/>
        <v>1</v>
      </c>
      <c r="H570" s="58">
        <v>43453</v>
      </c>
      <c r="I570" s="16" t="s">
        <v>22</v>
      </c>
      <c r="J570" s="11">
        <v>10</v>
      </c>
      <c r="K570" s="12"/>
      <c r="L570" s="12"/>
      <c r="M570" s="12">
        <v>10</v>
      </c>
      <c r="N570" s="31"/>
      <c r="O570" s="7">
        <f t="shared" si="133"/>
        <v>20</v>
      </c>
      <c r="P570" s="58">
        <v>43497</v>
      </c>
    </row>
    <row r="571" spans="1:17" x14ac:dyDescent="0.15">
      <c r="A571" s="16" t="s">
        <v>25</v>
      </c>
      <c r="B571" s="8">
        <v>2</v>
      </c>
      <c r="C571" s="10"/>
      <c r="D571" s="10"/>
      <c r="E571" s="10">
        <v>1</v>
      </c>
      <c r="F571" s="30"/>
      <c r="G571" s="7">
        <f t="shared" si="131"/>
        <v>3</v>
      </c>
      <c r="H571" s="58">
        <v>43456</v>
      </c>
      <c r="I571" s="16" t="s">
        <v>25</v>
      </c>
      <c r="J571" s="8">
        <v>1</v>
      </c>
      <c r="K571" s="10"/>
      <c r="L571" s="10">
        <v>1</v>
      </c>
      <c r="M571" s="10">
        <v>1</v>
      </c>
      <c r="N571" s="30"/>
      <c r="O571" s="7">
        <f t="shared" si="133"/>
        <v>3</v>
      </c>
      <c r="P571" s="58">
        <v>43494</v>
      </c>
    </row>
    <row r="572" spans="1:17" x14ac:dyDescent="0.15">
      <c r="A572" s="16" t="s">
        <v>25</v>
      </c>
      <c r="B572" s="8"/>
      <c r="C572" s="10">
        <v>1</v>
      </c>
      <c r="D572" s="10"/>
      <c r="E572" s="10"/>
      <c r="F572" s="30"/>
      <c r="G572" s="7">
        <f t="shared" si="131"/>
        <v>1</v>
      </c>
      <c r="H572" s="58">
        <v>43460</v>
      </c>
      <c r="I572" s="16" t="s">
        <v>22</v>
      </c>
      <c r="J572" s="8"/>
      <c r="K572" s="10"/>
      <c r="L572" s="10">
        <v>10</v>
      </c>
      <c r="M572" s="10"/>
      <c r="N572" s="30"/>
      <c r="O572" s="7">
        <f t="shared" si="133"/>
        <v>10</v>
      </c>
      <c r="P572" s="58">
        <v>43508</v>
      </c>
    </row>
    <row r="573" spans="1:17" x14ac:dyDescent="0.15">
      <c r="A573" s="16" t="s">
        <v>25</v>
      </c>
      <c r="B573" s="8"/>
      <c r="C573" s="10"/>
      <c r="D573" s="10">
        <v>1</v>
      </c>
      <c r="E573" s="10"/>
      <c r="F573" s="30"/>
      <c r="G573" s="7">
        <f t="shared" si="131"/>
        <v>1</v>
      </c>
      <c r="H573" s="58">
        <v>43105</v>
      </c>
      <c r="I573" s="16" t="s">
        <v>25</v>
      </c>
      <c r="J573" s="8"/>
      <c r="K573" s="10"/>
      <c r="L573" s="10">
        <v>1</v>
      </c>
      <c r="M573" s="10"/>
      <c r="N573" s="30"/>
      <c r="O573" s="7">
        <f t="shared" si="133"/>
        <v>1</v>
      </c>
      <c r="P573" s="58">
        <v>43509</v>
      </c>
    </row>
    <row r="574" spans="1:17" x14ac:dyDescent="0.15">
      <c r="A574" s="16" t="s">
        <v>29</v>
      </c>
      <c r="B574" s="8"/>
      <c r="C574" s="10"/>
      <c r="D574" s="10"/>
      <c r="E574" s="10"/>
      <c r="F574" s="30">
        <v>1</v>
      </c>
      <c r="G574" s="7">
        <f t="shared" si="131"/>
        <v>1</v>
      </c>
      <c r="H574" s="58">
        <v>43470</v>
      </c>
      <c r="I574" s="16" t="s">
        <v>22</v>
      </c>
      <c r="J574" s="8"/>
      <c r="K574" s="10"/>
      <c r="L574" s="10"/>
      <c r="M574" s="10">
        <v>10</v>
      </c>
      <c r="N574" s="30"/>
      <c r="O574" s="7">
        <f t="shared" si="133"/>
        <v>10</v>
      </c>
      <c r="P574" s="58">
        <v>43517</v>
      </c>
      <c r="Q574" s="56"/>
    </row>
    <row r="575" spans="1:17" x14ac:dyDescent="0.15">
      <c r="A575" s="16" t="s">
        <v>117</v>
      </c>
      <c r="B575" s="8"/>
      <c r="C575" s="10"/>
      <c r="D575" s="10"/>
      <c r="E575" s="10">
        <v>1</v>
      </c>
      <c r="F575" s="30"/>
      <c r="G575" s="7">
        <f t="shared" si="131"/>
        <v>1</v>
      </c>
      <c r="H575" s="58">
        <v>43481</v>
      </c>
      <c r="I575" s="14" t="s">
        <v>10</v>
      </c>
      <c r="J575" s="8"/>
      <c r="K575" s="10"/>
      <c r="L575" s="10">
        <v>1</v>
      </c>
      <c r="M575" s="10"/>
      <c r="N575" s="30"/>
      <c r="O575" s="7">
        <f t="shared" si="133"/>
        <v>1</v>
      </c>
      <c r="P575" s="58">
        <v>43512</v>
      </c>
      <c r="Q575" s="56"/>
    </row>
    <row r="576" spans="1:17" x14ac:dyDescent="0.15">
      <c r="A576" s="16" t="s">
        <v>25</v>
      </c>
      <c r="B576" s="8">
        <v>1</v>
      </c>
      <c r="C576" s="10"/>
      <c r="D576" s="10"/>
      <c r="E576" s="10"/>
      <c r="F576" s="30"/>
      <c r="G576" s="7">
        <f t="shared" si="131"/>
        <v>1</v>
      </c>
      <c r="H576" s="58">
        <v>43490</v>
      </c>
      <c r="I576" s="16" t="s">
        <v>110</v>
      </c>
      <c r="J576" s="11"/>
      <c r="K576" s="12"/>
      <c r="L576" s="12">
        <v>1</v>
      </c>
      <c r="M576" s="12"/>
      <c r="N576" s="31"/>
      <c r="O576" s="7">
        <f t="shared" si="133"/>
        <v>1</v>
      </c>
      <c r="P576" s="58">
        <v>43522</v>
      </c>
      <c r="Q576" s="56"/>
    </row>
    <row r="577" spans="1:17" x14ac:dyDescent="0.15">
      <c r="A577" s="16" t="s">
        <v>911</v>
      </c>
      <c r="B577" s="8"/>
      <c r="C577" s="10"/>
      <c r="D577" s="10"/>
      <c r="E577" s="10">
        <v>-1</v>
      </c>
      <c r="F577" s="30"/>
      <c r="G577" s="7">
        <f t="shared" si="131"/>
        <v>-1</v>
      </c>
      <c r="H577" s="58">
        <v>43495</v>
      </c>
      <c r="I577" s="14" t="s">
        <v>931</v>
      </c>
      <c r="J577" s="8">
        <v>5</v>
      </c>
      <c r="K577" s="10"/>
      <c r="L577" s="10"/>
      <c r="M577" s="10"/>
      <c r="N577" s="30"/>
      <c r="O577" s="7">
        <f t="shared" si="133"/>
        <v>5</v>
      </c>
      <c r="P577" s="58">
        <v>43518</v>
      </c>
      <c r="Q577" s="56"/>
    </row>
    <row r="578" spans="1:17" x14ac:dyDescent="0.15">
      <c r="A578" s="16" t="s">
        <v>117</v>
      </c>
      <c r="B578" s="8"/>
      <c r="C578" s="10"/>
      <c r="D578" s="10">
        <v>1</v>
      </c>
      <c r="E578" s="10"/>
      <c r="F578" s="30"/>
      <c r="G578" s="7">
        <f t="shared" si="131"/>
        <v>1</v>
      </c>
      <c r="H578" s="58">
        <v>43498</v>
      </c>
      <c r="I578" s="14"/>
      <c r="J578" s="8"/>
      <c r="K578" s="10"/>
      <c r="L578" s="10"/>
      <c r="M578" s="10"/>
      <c r="N578" s="30"/>
      <c r="O578" s="7">
        <f t="shared" ref="O578:O580" si="136">SUM(J578:N578)</f>
        <v>0</v>
      </c>
      <c r="P578" s="56"/>
      <c r="Q578" s="56"/>
    </row>
    <row r="579" spans="1:17" x14ac:dyDescent="0.15">
      <c r="A579" s="16" t="s">
        <v>922</v>
      </c>
      <c r="B579" s="8">
        <v>-1</v>
      </c>
      <c r="C579" s="10"/>
      <c r="D579" s="10"/>
      <c r="E579" s="10"/>
      <c r="F579" s="30"/>
      <c r="G579" s="7">
        <f>SUM(B579:F579)</f>
        <v>-1</v>
      </c>
      <c r="H579" s="58">
        <v>43498</v>
      </c>
      <c r="I579" s="16"/>
      <c r="J579" s="11"/>
      <c r="K579" s="12"/>
      <c r="L579" s="12"/>
      <c r="M579" s="12"/>
      <c r="N579" s="31"/>
      <c r="O579" s="7">
        <f t="shared" si="136"/>
        <v>0</v>
      </c>
      <c r="P579" s="56"/>
      <c r="Q579" s="56"/>
    </row>
    <row r="580" spans="1:17" x14ac:dyDescent="0.15">
      <c r="A580" s="16" t="s">
        <v>25</v>
      </c>
      <c r="B580" s="8"/>
      <c r="C580" s="10"/>
      <c r="D580" s="10"/>
      <c r="E580" s="10">
        <v>1</v>
      </c>
      <c r="F580" s="30"/>
      <c r="G580" s="7">
        <f>SUM(B580:F580)</f>
        <v>1</v>
      </c>
      <c r="H580" s="58">
        <v>43501</v>
      </c>
      <c r="I580" s="16"/>
      <c r="J580" s="11"/>
      <c r="K580" s="12"/>
      <c r="L580" s="12"/>
      <c r="M580" s="12"/>
      <c r="N580" s="31"/>
      <c r="O580" s="7">
        <f t="shared" si="136"/>
        <v>0</v>
      </c>
      <c r="P580" s="58"/>
      <c r="Q580" s="56"/>
    </row>
    <row r="581" spans="1:17" x14ac:dyDescent="0.15">
      <c r="A581" s="16" t="s">
        <v>25</v>
      </c>
      <c r="B581" s="8"/>
      <c r="C581" s="10">
        <v>1</v>
      </c>
      <c r="D581" s="10"/>
      <c r="E581" s="10"/>
      <c r="F581" s="30"/>
      <c r="G581" s="7">
        <f t="shared" ref="G581:G586" si="137">SUM(B581:F581)</f>
        <v>1</v>
      </c>
      <c r="H581" s="58">
        <v>43504</v>
      </c>
      <c r="I581" s="14"/>
      <c r="J581" s="11"/>
      <c r="K581" s="12"/>
      <c r="L581" s="12"/>
      <c r="M581" s="12"/>
      <c r="N581" s="31"/>
      <c r="O581" s="7">
        <f t="shared" si="133"/>
        <v>0</v>
      </c>
      <c r="P581" s="56"/>
      <c r="Q581" s="56"/>
    </row>
    <row r="582" spans="1:17" x14ac:dyDescent="0.15">
      <c r="A582" s="16" t="s">
        <v>117</v>
      </c>
      <c r="B582" s="11"/>
      <c r="C582" s="12"/>
      <c r="D582" s="12"/>
      <c r="E582" s="12">
        <v>1</v>
      </c>
      <c r="F582" s="31"/>
      <c r="G582" s="7">
        <f t="shared" si="137"/>
        <v>1</v>
      </c>
      <c r="H582" s="58">
        <v>43504</v>
      </c>
      <c r="I582" s="39"/>
      <c r="J582" s="8"/>
      <c r="K582" s="10"/>
      <c r="L582" s="10"/>
      <c r="M582" s="10"/>
      <c r="N582" s="30"/>
      <c r="O582" s="7">
        <f t="shared" si="133"/>
        <v>0</v>
      </c>
      <c r="P582" s="56"/>
      <c r="Q582" s="56"/>
    </row>
    <row r="583" spans="1:17" x14ac:dyDescent="0.15">
      <c r="A583" s="16" t="s">
        <v>924</v>
      </c>
      <c r="B583" s="8"/>
      <c r="C583" s="10"/>
      <c r="D583" s="10"/>
      <c r="E583" s="10"/>
      <c r="F583" s="30">
        <v>1</v>
      </c>
      <c r="G583" s="7">
        <f t="shared" si="137"/>
        <v>1</v>
      </c>
      <c r="H583" s="58">
        <v>43508</v>
      </c>
      <c r="I583" s="20"/>
      <c r="J583" s="8"/>
      <c r="K583" s="10"/>
      <c r="L583" s="10"/>
      <c r="M583" s="10"/>
      <c r="N583" s="30"/>
      <c r="O583" s="7">
        <f t="shared" si="133"/>
        <v>0</v>
      </c>
      <c r="P583" s="56"/>
      <c r="Q583" s="56"/>
    </row>
    <row r="584" spans="1:17" x14ac:dyDescent="0.15">
      <c r="A584" s="15" t="s">
        <v>17</v>
      </c>
      <c r="B584" s="37"/>
      <c r="C584" s="35"/>
      <c r="D584" s="35">
        <v>-1</v>
      </c>
      <c r="E584" s="35"/>
      <c r="F584" s="28"/>
      <c r="G584" s="7">
        <f t="shared" si="137"/>
        <v>-1</v>
      </c>
      <c r="H584" s="58">
        <v>43511</v>
      </c>
      <c r="I584" s="14"/>
      <c r="J584" s="8"/>
      <c r="K584" s="10"/>
      <c r="L584" s="10"/>
      <c r="M584" s="10"/>
      <c r="N584" s="30"/>
      <c r="O584" s="7">
        <f t="shared" si="133"/>
        <v>0</v>
      </c>
      <c r="P584" s="56"/>
      <c r="Q584" s="56"/>
    </row>
    <row r="585" spans="1:17" x14ac:dyDescent="0.15">
      <c r="A585" s="16" t="s">
        <v>930</v>
      </c>
      <c r="B585" s="8">
        <v>3</v>
      </c>
      <c r="C585" s="10">
        <v>3</v>
      </c>
      <c r="D585" s="10">
        <v>3</v>
      </c>
      <c r="E585" s="10">
        <v>3</v>
      </c>
      <c r="F585" s="30">
        <v>3</v>
      </c>
      <c r="G585" s="9">
        <f t="shared" si="137"/>
        <v>15</v>
      </c>
      <c r="H585" s="58">
        <v>43518</v>
      </c>
      <c r="I585" s="14"/>
      <c r="J585" s="8"/>
      <c r="K585" s="10"/>
      <c r="L585" s="10"/>
      <c r="M585" s="10"/>
      <c r="N585" s="30"/>
      <c r="O585" s="7">
        <f t="shared" ref="O585" si="138">SUM(J585:N585)</f>
        <v>0</v>
      </c>
      <c r="P585" s="58"/>
      <c r="Q585" s="56"/>
    </row>
    <row r="586" spans="1:17" ht="14.25" thickBot="1" x14ac:dyDescent="0.2">
      <c r="A586" s="15" t="s">
        <v>932</v>
      </c>
      <c r="B586" s="37">
        <v>-5</v>
      </c>
      <c r="C586" s="35"/>
      <c r="D586" s="35"/>
      <c r="E586" s="35"/>
      <c r="F586" s="28"/>
      <c r="G586" s="7">
        <f t="shared" si="137"/>
        <v>-5</v>
      </c>
      <c r="H586" s="58">
        <v>43518</v>
      </c>
      <c r="I586" s="39"/>
      <c r="J586" s="8"/>
      <c r="K586" s="10"/>
      <c r="L586" s="10"/>
      <c r="M586" s="10"/>
      <c r="N586" s="30"/>
      <c r="O586" s="7">
        <f t="shared" si="133"/>
        <v>0</v>
      </c>
      <c r="P586" s="56"/>
      <c r="Q586" s="56"/>
    </row>
    <row r="587" spans="1:17" ht="14.25" thickBot="1" x14ac:dyDescent="0.2">
      <c r="A587" s="3" t="s">
        <v>11</v>
      </c>
      <c r="B587" s="23">
        <f>SUM(B561:B586)</f>
        <v>4</v>
      </c>
      <c r="C587" s="4">
        <f>SUM(C561:C586)</f>
        <v>10</v>
      </c>
      <c r="D587" s="4">
        <f>SUM(D561:D586)</f>
        <v>9</v>
      </c>
      <c r="E587" s="6">
        <f>SUM(E561:E586)</f>
        <v>9</v>
      </c>
      <c r="F587" s="32">
        <f>SUM(F561:F586)</f>
        <v>9</v>
      </c>
      <c r="G587" s="5">
        <f>SUM(B587:F587)</f>
        <v>41</v>
      </c>
      <c r="H587" s="56"/>
      <c r="I587" s="3" t="s">
        <v>11</v>
      </c>
      <c r="J587" s="23">
        <f>SUM(J561:J586)</f>
        <v>21</v>
      </c>
      <c r="K587" s="4">
        <f>SUM(K561:K586)</f>
        <v>16</v>
      </c>
      <c r="L587" s="4">
        <f>SUM(L561:L586)</f>
        <v>14</v>
      </c>
      <c r="M587" s="6">
        <f>SUM(M561:M586)</f>
        <v>24</v>
      </c>
      <c r="N587" s="32">
        <f>SUM(N561:N586)</f>
        <v>18</v>
      </c>
      <c r="O587" s="5">
        <f>SUM(J587:N587)</f>
        <v>93</v>
      </c>
    </row>
    <row r="588" spans="1:17" ht="14.25" thickBot="1" x14ac:dyDescent="0.2">
      <c r="A588" s="25" t="s">
        <v>12</v>
      </c>
      <c r="B588" s="63">
        <f>B560-B587</f>
        <v>10</v>
      </c>
      <c r="C588" s="26">
        <f t="shared" ref="C588:G588" si="139">C560-C587</f>
        <v>20</v>
      </c>
      <c r="D588" s="71">
        <f t="shared" si="139"/>
        <v>12</v>
      </c>
      <c r="E588" s="26">
        <f t="shared" si="139"/>
        <v>6</v>
      </c>
      <c r="F588" s="70">
        <f t="shared" si="139"/>
        <v>8</v>
      </c>
      <c r="G588" s="27">
        <f t="shared" si="139"/>
        <v>56</v>
      </c>
      <c r="H588" s="56"/>
      <c r="I588" s="25" t="s">
        <v>12</v>
      </c>
      <c r="J588" s="63">
        <f>J560-J587</f>
        <v>139</v>
      </c>
      <c r="K588" s="26">
        <f t="shared" ref="K588:M588" si="140">K560-K587</f>
        <v>166</v>
      </c>
      <c r="L588" s="71">
        <f t="shared" si="140"/>
        <v>166</v>
      </c>
      <c r="M588" s="26">
        <f t="shared" si="140"/>
        <v>136</v>
      </c>
      <c r="N588" s="70">
        <f>N560-N587</f>
        <v>81</v>
      </c>
      <c r="O588" s="27">
        <f t="shared" ref="O588" si="141">O560-O587</f>
        <v>688</v>
      </c>
    </row>
    <row r="589" spans="1:17" ht="21" x14ac:dyDescent="0.2">
      <c r="A589" s="83" t="s">
        <v>415</v>
      </c>
      <c r="B589" s="77"/>
      <c r="C589" s="77"/>
      <c r="D589" s="77"/>
      <c r="E589" s="77"/>
      <c r="F589" s="77"/>
      <c r="G589" s="77"/>
      <c r="H589" s="56"/>
      <c r="I589" s="83" t="s">
        <v>415</v>
      </c>
      <c r="J589" s="77"/>
      <c r="K589" s="77"/>
      <c r="L589" s="77"/>
      <c r="M589" s="77"/>
      <c r="N589" s="77"/>
      <c r="O589" s="77"/>
    </row>
    <row r="590" spans="1:17" ht="21.75" thickBot="1" x14ac:dyDescent="0.25">
      <c r="A590" s="83" t="s">
        <v>47</v>
      </c>
      <c r="B590" s="77"/>
      <c r="C590" s="77"/>
      <c r="D590" s="77"/>
      <c r="E590" s="84"/>
      <c r="F590" s="78" t="s">
        <v>53</v>
      </c>
      <c r="G590" s="77"/>
      <c r="H590" s="56"/>
      <c r="I590" s="83" t="s">
        <v>47</v>
      </c>
      <c r="J590" s="77"/>
      <c r="K590" s="77"/>
      <c r="L590" s="77"/>
      <c r="M590" s="84"/>
      <c r="N590" s="78" t="s">
        <v>54</v>
      </c>
      <c r="O590" s="77"/>
    </row>
    <row r="591" spans="1:17" ht="14.25" thickBot="1" x14ac:dyDescent="0.2">
      <c r="A591" s="13" t="s">
        <v>0</v>
      </c>
      <c r="B591" s="228" t="s">
        <v>49</v>
      </c>
      <c r="C591" s="229"/>
      <c r="D591" s="229"/>
      <c r="E591" s="229"/>
      <c r="F591" s="230"/>
      <c r="G591" s="231"/>
      <c r="H591" s="56"/>
      <c r="I591" s="13" t="s">
        <v>0</v>
      </c>
      <c r="J591" s="228" t="s">
        <v>49</v>
      </c>
      <c r="K591" s="229"/>
      <c r="L591" s="229"/>
      <c r="M591" s="229"/>
      <c r="N591" s="230"/>
      <c r="O591" s="231"/>
    </row>
    <row r="592" spans="1:17" ht="14.25" thickBot="1" x14ac:dyDescent="0.2">
      <c r="A592" s="3" t="s">
        <v>1</v>
      </c>
      <c r="B592" s="2" t="s">
        <v>42</v>
      </c>
      <c r="C592" s="21" t="s">
        <v>43</v>
      </c>
      <c r="D592" s="21" t="s">
        <v>44</v>
      </c>
      <c r="E592" s="24" t="s">
        <v>45</v>
      </c>
      <c r="F592" s="33" t="s">
        <v>46</v>
      </c>
      <c r="G592" s="34" t="s">
        <v>2</v>
      </c>
      <c r="H592" s="56"/>
      <c r="I592" s="3" t="s">
        <v>1</v>
      </c>
      <c r="J592" s="2" t="s">
        <v>42</v>
      </c>
      <c r="K592" s="21" t="s">
        <v>43</v>
      </c>
      <c r="L592" s="21" t="s">
        <v>44</v>
      </c>
      <c r="M592" s="24" t="s">
        <v>45</v>
      </c>
      <c r="N592" s="33" t="s">
        <v>46</v>
      </c>
      <c r="O592" s="3" t="s">
        <v>2</v>
      </c>
    </row>
    <row r="593" spans="1:16" ht="14.25" thickBot="1" x14ac:dyDescent="0.2">
      <c r="A593" s="72" t="s">
        <v>527</v>
      </c>
      <c r="B593" s="73">
        <f>B588</f>
        <v>10</v>
      </c>
      <c r="C593" s="73">
        <f t="shared" ref="C593:F593" si="142">C588</f>
        <v>20</v>
      </c>
      <c r="D593" s="73">
        <f t="shared" si="142"/>
        <v>12</v>
      </c>
      <c r="E593" s="73">
        <f t="shared" si="142"/>
        <v>6</v>
      </c>
      <c r="F593" s="73">
        <f t="shared" si="142"/>
        <v>8</v>
      </c>
      <c r="G593" s="76">
        <f t="shared" ref="G593:G620" si="143">SUM(B593:F593)</f>
        <v>56</v>
      </c>
      <c r="H593" s="56"/>
      <c r="I593" s="96" t="s">
        <v>12</v>
      </c>
      <c r="J593" s="95">
        <f>J588</f>
        <v>139</v>
      </c>
      <c r="K593" s="97">
        <f t="shared" ref="K593:N593" si="144">K588</f>
        <v>166</v>
      </c>
      <c r="L593" s="97">
        <f t="shared" si="144"/>
        <v>166</v>
      </c>
      <c r="M593" s="97">
        <f t="shared" si="144"/>
        <v>136</v>
      </c>
      <c r="N593" s="54">
        <f t="shared" si="144"/>
        <v>81</v>
      </c>
      <c r="O593" s="52">
        <f t="shared" ref="O593:O625" si="145">SUM(J593:N593)</f>
        <v>688</v>
      </c>
    </row>
    <row r="594" spans="1:16" x14ac:dyDescent="0.15">
      <c r="A594" s="15" t="s">
        <v>19</v>
      </c>
      <c r="B594" s="37"/>
      <c r="C594" s="35">
        <v>1</v>
      </c>
      <c r="D594" s="35">
        <v>1</v>
      </c>
      <c r="E594" s="35">
        <v>2</v>
      </c>
      <c r="F594" s="28">
        <v>2</v>
      </c>
      <c r="G594" s="7">
        <f t="shared" si="143"/>
        <v>6</v>
      </c>
      <c r="H594" s="58">
        <v>43517</v>
      </c>
      <c r="I594" s="15" t="s">
        <v>3</v>
      </c>
      <c r="J594" s="37"/>
      <c r="K594" s="35"/>
      <c r="L594" s="35"/>
      <c r="M594" s="35"/>
      <c r="N594" s="28"/>
      <c r="O594" s="7">
        <f t="shared" si="145"/>
        <v>0</v>
      </c>
    </row>
    <row r="595" spans="1:16" x14ac:dyDescent="0.15">
      <c r="A595" s="15" t="s">
        <v>17</v>
      </c>
      <c r="B595" s="8"/>
      <c r="C595" s="10">
        <v>1</v>
      </c>
      <c r="D595" s="10"/>
      <c r="E595" s="10"/>
      <c r="F595" s="28"/>
      <c r="G595" s="9">
        <f t="shared" si="143"/>
        <v>1</v>
      </c>
      <c r="H595" s="58">
        <v>43532</v>
      </c>
      <c r="I595" s="15" t="s">
        <v>4</v>
      </c>
      <c r="J595" s="8">
        <v>100</v>
      </c>
      <c r="K595" s="10">
        <v>149</v>
      </c>
      <c r="L595" s="10">
        <v>100</v>
      </c>
      <c r="M595" s="10">
        <v>118</v>
      </c>
      <c r="N595" s="28">
        <v>150</v>
      </c>
      <c r="O595" s="9">
        <f t="shared" si="145"/>
        <v>617</v>
      </c>
      <c r="P595" s="58">
        <v>43525</v>
      </c>
    </row>
    <row r="596" spans="1:16" x14ac:dyDescent="0.15">
      <c r="A596" s="15" t="s">
        <v>4</v>
      </c>
      <c r="B596" s="8"/>
      <c r="C596" s="10"/>
      <c r="D596" s="10"/>
      <c r="E596" s="10">
        <v>5</v>
      </c>
      <c r="F596" s="28">
        <v>5</v>
      </c>
      <c r="G596" s="9">
        <f t="shared" si="143"/>
        <v>10</v>
      </c>
      <c r="H596" s="58">
        <v>43537</v>
      </c>
      <c r="I596" s="15" t="s">
        <v>5</v>
      </c>
      <c r="J596" s="8"/>
      <c r="K596" s="10"/>
      <c r="L596" s="10"/>
      <c r="M596" s="10"/>
      <c r="N596" s="28"/>
      <c r="O596" s="9">
        <f t="shared" si="145"/>
        <v>0</v>
      </c>
    </row>
    <row r="597" spans="1:16" x14ac:dyDescent="0.15">
      <c r="A597" s="15" t="s">
        <v>616</v>
      </c>
      <c r="B597" s="8"/>
      <c r="C597" s="10"/>
      <c r="D597" s="10"/>
      <c r="E597" s="10">
        <v>1</v>
      </c>
      <c r="F597" s="28"/>
      <c r="G597" s="9">
        <f t="shared" si="143"/>
        <v>1</v>
      </c>
      <c r="H597" s="58">
        <v>43537</v>
      </c>
      <c r="I597" s="15" t="s">
        <v>6</v>
      </c>
      <c r="J597" s="8"/>
      <c r="K597" s="10"/>
      <c r="L597" s="10"/>
      <c r="M597" s="10"/>
      <c r="N597" s="28"/>
      <c r="O597" s="9">
        <f t="shared" si="145"/>
        <v>0</v>
      </c>
    </row>
    <row r="598" spans="1:16" x14ac:dyDescent="0.15">
      <c r="A598" s="15" t="s">
        <v>685</v>
      </c>
      <c r="B598" s="11">
        <v>2</v>
      </c>
      <c r="C598" s="12"/>
      <c r="D598" s="12"/>
      <c r="E598" s="12">
        <v>1</v>
      </c>
      <c r="F598" s="31"/>
      <c r="G598" s="7">
        <f t="shared" si="143"/>
        <v>3</v>
      </c>
      <c r="H598" s="58">
        <v>43543</v>
      </c>
      <c r="I598" s="15" t="s">
        <v>84</v>
      </c>
      <c r="J598" s="11"/>
      <c r="K598" s="12"/>
      <c r="L598" s="12"/>
      <c r="M598" s="12"/>
      <c r="N598" s="31"/>
      <c r="O598" s="7">
        <f t="shared" si="145"/>
        <v>0</v>
      </c>
    </row>
    <row r="599" spans="1:16" x14ac:dyDescent="0.15">
      <c r="A599" s="15" t="s">
        <v>84</v>
      </c>
      <c r="B599" s="8"/>
      <c r="C599" s="10"/>
      <c r="D599" s="10">
        <v>5</v>
      </c>
      <c r="E599" s="10"/>
      <c r="F599" s="30"/>
      <c r="G599" s="7">
        <f t="shared" si="143"/>
        <v>5</v>
      </c>
      <c r="H599" s="58">
        <v>43552</v>
      </c>
      <c r="I599" s="15" t="s">
        <v>85</v>
      </c>
      <c r="J599" s="8"/>
      <c r="K599" s="10"/>
      <c r="L599" s="10"/>
      <c r="M599" s="10"/>
      <c r="N599" s="30"/>
      <c r="O599" s="7">
        <f t="shared" si="145"/>
        <v>0</v>
      </c>
    </row>
    <row r="600" spans="1:16" x14ac:dyDescent="0.15">
      <c r="A600" s="15" t="s">
        <v>19</v>
      </c>
      <c r="B600" s="8">
        <v>1</v>
      </c>
      <c r="C600" s="10">
        <v>2</v>
      </c>
      <c r="D600" s="10">
        <v>3</v>
      </c>
      <c r="E600" s="10">
        <v>3</v>
      </c>
      <c r="F600" s="30">
        <v>3</v>
      </c>
      <c r="G600" s="7">
        <f t="shared" si="143"/>
        <v>12</v>
      </c>
      <c r="H600" s="58">
        <v>43553</v>
      </c>
      <c r="I600" s="16" t="s">
        <v>88</v>
      </c>
      <c r="J600" s="8"/>
      <c r="K600" s="10"/>
      <c r="L600" s="10"/>
      <c r="M600" s="10"/>
      <c r="N600" s="30"/>
      <c r="O600" s="7">
        <f t="shared" si="145"/>
        <v>0</v>
      </c>
    </row>
    <row r="601" spans="1:16" ht="14.25" thickBot="1" x14ac:dyDescent="0.2">
      <c r="A601" s="15" t="s">
        <v>271</v>
      </c>
      <c r="B601" s="11">
        <v>1</v>
      </c>
      <c r="C601" s="100">
        <v>1</v>
      </c>
      <c r="D601" s="100"/>
      <c r="E601" s="100"/>
      <c r="F601" s="101"/>
      <c r="G601" s="102">
        <f t="shared" si="143"/>
        <v>2</v>
      </c>
      <c r="H601" s="58">
        <v>43565</v>
      </c>
      <c r="I601" s="15" t="s">
        <v>87</v>
      </c>
      <c r="J601" s="11"/>
      <c r="K601" s="100"/>
      <c r="L601" s="100"/>
      <c r="M601" s="100"/>
      <c r="N601" s="101"/>
      <c r="O601" s="102">
        <f t="shared" si="145"/>
        <v>0</v>
      </c>
    </row>
    <row r="602" spans="1:16" ht="14.25" thickBot="1" x14ac:dyDescent="0.2">
      <c r="A602" s="72" t="s">
        <v>7</v>
      </c>
      <c r="B602" s="73">
        <f>SUM(B593:B601)</f>
        <v>14</v>
      </c>
      <c r="C602" s="74">
        <f t="shared" ref="C602:F602" si="146">SUM(C593:C601)</f>
        <v>25</v>
      </c>
      <c r="D602" s="74">
        <f t="shared" si="146"/>
        <v>21</v>
      </c>
      <c r="E602" s="74">
        <f t="shared" si="146"/>
        <v>18</v>
      </c>
      <c r="F602" s="105">
        <f t="shared" si="146"/>
        <v>18</v>
      </c>
      <c r="G602" s="76">
        <f t="shared" si="143"/>
        <v>96</v>
      </c>
      <c r="H602" s="56"/>
      <c r="I602" s="72" t="s">
        <v>7</v>
      </c>
      <c r="J602" s="73">
        <f>SUM(J593:J601)</f>
        <v>239</v>
      </c>
      <c r="K602" s="74">
        <f t="shared" ref="K602:N602" si="147">SUM(K593:K601)</f>
        <v>315</v>
      </c>
      <c r="L602" s="74">
        <f t="shared" si="147"/>
        <v>266</v>
      </c>
      <c r="M602" s="74">
        <f t="shared" si="147"/>
        <v>254</v>
      </c>
      <c r="N602" s="105">
        <f t="shared" si="147"/>
        <v>231</v>
      </c>
      <c r="O602" s="76">
        <f t="shared" si="145"/>
        <v>1305</v>
      </c>
    </row>
    <row r="603" spans="1:16" x14ac:dyDescent="0.15">
      <c r="A603" s="16" t="s">
        <v>29</v>
      </c>
      <c r="B603" s="37"/>
      <c r="C603" s="35">
        <v>1</v>
      </c>
      <c r="D603" s="35"/>
      <c r="E603" s="35"/>
      <c r="F603" s="28"/>
      <c r="G603" s="18">
        <f t="shared" si="143"/>
        <v>1</v>
      </c>
      <c r="H603" s="58">
        <v>43517</v>
      </c>
      <c r="I603" s="16" t="s">
        <v>22</v>
      </c>
      <c r="J603" s="37"/>
      <c r="K603" s="35"/>
      <c r="L603" s="35">
        <v>10</v>
      </c>
      <c r="M603" s="35"/>
      <c r="N603" s="28"/>
      <c r="O603" s="7">
        <f t="shared" si="145"/>
        <v>10</v>
      </c>
      <c r="P603" s="58">
        <v>43537</v>
      </c>
    </row>
    <row r="604" spans="1:16" x14ac:dyDescent="0.15">
      <c r="A604" s="16" t="s">
        <v>117</v>
      </c>
      <c r="B604" s="8"/>
      <c r="C604" s="10"/>
      <c r="D604" s="10"/>
      <c r="E604" s="10">
        <v>1</v>
      </c>
      <c r="F604" s="30"/>
      <c r="G604" s="7">
        <f t="shared" si="143"/>
        <v>1</v>
      </c>
      <c r="H604" s="58">
        <v>43519</v>
      </c>
      <c r="I604" s="16" t="s">
        <v>110</v>
      </c>
      <c r="J604" s="8"/>
      <c r="K604" s="10"/>
      <c r="L604" s="10"/>
      <c r="M604" s="10"/>
      <c r="N604" s="30">
        <v>2</v>
      </c>
      <c r="O604" s="7">
        <f t="shared" si="145"/>
        <v>2</v>
      </c>
      <c r="P604" s="58">
        <v>43539</v>
      </c>
    </row>
    <row r="605" spans="1:16" x14ac:dyDescent="0.15">
      <c r="A605" s="16" t="s">
        <v>25</v>
      </c>
      <c r="B605" s="8"/>
      <c r="C605" s="10">
        <v>1</v>
      </c>
      <c r="D605" s="10"/>
      <c r="E605" s="10"/>
      <c r="F605" s="30">
        <v>1</v>
      </c>
      <c r="G605" s="7">
        <f t="shared" si="143"/>
        <v>2</v>
      </c>
      <c r="H605" s="58">
        <v>43524</v>
      </c>
      <c r="I605" s="16" t="s">
        <v>943</v>
      </c>
      <c r="J605" s="8"/>
      <c r="K605" s="10"/>
      <c r="L605" s="10"/>
      <c r="M605" s="10">
        <v>5</v>
      </c>
      <c r="N605" s="30">
        <v>5</v>
      </c>
      <c r="O605" s="7">
        <f t="shared" si="145"/>
        <v>10</v>
      </c>
      <c r="P605" s="58">
        <v>43537</v>
      </c>
    </row>
    <row r="606" spans="1:16" x14ac:dyDescent="0.15">
      <c r="A606" s="169" t="s">
        <v>935</v>
      </c>
      <c r="B606" s="8"/>
      <c r="C606" s="10">
        <v>1</v>
      </c>
      <c r="D606" s="10">
        <v>1</v>
      </c>
      <c r="E606" s="10"/>
      <c r="F606" s="30"/>
      <c r="G606" s="7">
        <f t="shared" si="143"/>
        <v>2</v>
      </c>
      <c r="H606" s="58">
        <v>43524</v>
      </c>
      <c r="I606" s="16" t="s">
        <v>22</v>
      </c>
      <c r="J606" s="8"/>
      <c r="K606" s="10"/>
      <c r="L606" s="10"/>
      <c r="M606" s="10"/>
      <c r="N606" s="30">
        <v>10</v>
      </c>
      <c r="O606" s="7">
        <f t="shared" si="145"/>
        <v>10</v>
      </c>
      <c r="P606" s="58">
        <v>43546</v>
      </c>
    </row>
    <row r="607" spans="1:16" x14ac:dyDescent="0.15">
      <c r="A607" s="16" t="s">
        <v>25</v>
      </c>
      <c r="B607" s="8"/>
      <c r="C607" s="10">
        <v>3</v>
      </c>
      <c r="D607" s="10"/>
      <c r="E607" s="10"/>
      <c r="F607" s="30"/>
      <c r="G607" s="7">
        <f t="shared" si="143"/>
        <v>3</v>
      </c>
      <c r="H607" s="58">
        <v>43529</v>
      </c>
      <c r="I607" s="16" t="s">
        <v>110</v>
      </c>
      <c r="J607" s="8"/>
      <c r="K607" s="10"/>
      <c r="L607" s="10"/>
      <c r="M607" s="10">
        <v>1</v>
      </c>
      <c r="N607" s="30">
        <v>1</v>
      </c>
      <c r="O607" s="7">
        <f t="shared" si="145"/>
        <v>2</v>
      </c>
      <c r="P607" s="58">
        <v>43546</v>
      </c>
    </row>
    <row r="608" spans="1:16" x14ac:dyDescent="0.15">
      <c r="A608" s="16" t="s">
        <v>940</v>
      </c>
      <c r="B608" s="8"/>
      <c r="C608" s="10"/>
      <c r="D608" s="10"/>
      <c r="E608" s="10"/>
      <c r="F608" s="30">
        <v>1</v>
      </c>
      <c r="G608" s="7">
        <f t="shared" si="143"/>
        <v>1</v>
      </c>
      <c r="H608" s="58">
        <v>43529</v>
      </c>
      <c r="I608" s="16" t="s">
        <v>949</v>
      </c>
      <c r="J608" s="8">
        <v>1</v>
      </c>
      <c r="K608" s="10">
        <v>1</v>
      </c>
      <c r="L608" s="10">
        <v>1</v>
      </c>
      <c r="M608" s="10">
        <v>1</v>
      </c>
      <c r="N608" s="30">
        <v>1</v>
      </c>
      <c r="O608" s="7">
        <f t="shared" si="145"/>
        <v>5</v>
      </c>
      <c r="P608" s="58">
        <v>43544</v>
      </c>
    </row>
    <row r="609" spans="1:17" x14ac:dyDescent="0.15">
      <c r="A609" s="16" t="s">
        <v>25</v>
      </c>
      <c r="B609" s="8"/>
      <c r="C609" s="10"/>
      <c r="D609" s="10">
        <v>1</v>
      </c>
      <c r="E609" s="10"/>
      <c r="F609" s="30"/>
      <c r="G609" s="7">
        <f t="shared" si="143"/>
        <v>1</v>
      </c>
      <c r="H609" s="58">
        <v>43531</v>
      </c>
      <c r="I609" s="16" t="s">
        <v>25</v>
      </c>
      <c r="J609" s="8"/>
      <c r="K609" s="10">
        <v>2</v>
      </c>
      <c r="L609" s="10"/>
      <c r="M609" s="10"/>
      <c r="N609" s="30"/>
      <c r="O609" s="7">
        <f t="shared" si="145"/>
        <v>2</v>
      </c>
      <c r="P609" s="58">
        <v>43547</v>
      </c>
    </row>
    <row r="610" spans="1:17" x14ac:dyDescent="0.15">
      <c r="A610" s="16" t="s">
        <v>942</v>
      </c>
      <c r="B610" s="8"/>
      <c r="C610" s="10">
        <v>1</v>
      </c>
      <c r="D610" s="10"/>
      <c r="E610" s="10"/>
      <c r="F610" s="30"/>
      <c r="G610" s="7">
        <f t="shared" si="143"/>
        <v>1</v>
      </c>
      <c r="H610" s="58">
        <v>43530</v>
      </c>
      <c r="I610" s="16" t="s">
        <v>25</v>
      </c>
      <c r="J610" s="8"/>
      <c r="K610" s="10"/>
      <c r="L610" s="10"/>
      <c r="M610" s="10">
        <v>1</v>
      </c>
      <c r="N610" s="30"/>
      <c r="O610" s="7">
        <f t="shared" si="145"/>
        <v>1</v>
      </c>
      <c r="P610" s="58">
        <v>43550</v>
      </c>
    </row>
    <row r="611" spans="1:17" x14ac:dyDescent="0.15">
      <c r="A611" s="16" t="s">
        <v>25</v>
      </c>
      <c r="B611" s="8"/>
      <c r="C611" s="10"/>
      <c r="D611" s="10"/>
      <c r="E611" s="10">
        <v>1</v>
      </c>
      <c r="F611" s="30"/>
      <c r="G611" s="7">
        <f t="shared" si="143"/>
        <v>1</v>
      </c>
      <c r="H611" s="58">
        <v>43532</v>
      </c>
      <c r="I611" s="16" t="s">
        <v>986</v>
      </c>
      <c r="J611" s="8">
        <v>6</v>
      </c>
      <c r="K611" s="10">
        <v>10</v>
      </c>
      <c r="L611" s="10">
        <v>5</v>
      </c>
      <c r="M611" s="10">
        <v>5</v>
      </c>
      <c r="N611" s="30"/>
      <c r="O611" s="7">
        <f t="shared" si="145"/>
        <v>26</v>
      </c>
      <c r="P611" s="58">
        <v>43556</v>
      </c>
    </row>
    <row r="612" spans="1:17" x14ac:dyDescent="0.15">
      <c r="A612" s="16" t="s">
        <v>29</v>
      </c>
      <c r="B612" s="8"/>
      <c r="C612" s="10"/>
      <c r="D612" s="10"/>
      <c r="E612" s="10">
        <v>1</v>
      </c>
      <c r="F612" s="30">
        <v>1</v>
      </c>
      <c r="G612" s="7">
        <f t="shared" si="143"/>
        <v>2</v>
      </c>
      <c r="H612" s="58">
        <v>43531</v>
      </c>
      <c r="I612" s="16" t="s">
        <v>24</v>
      </c>
      <c r="J612" s="11"/>
      <c r="K612" s="12"/>
      <c r="L612" s="12">
        <v>5</v>
      </c>
      <c r="M612" s="12"/>
      <c r="N612" s="31"/>
      <c r="O612" s="7">
        <f t="shared" si="145"/>
        <v>5</v>
      </c>
      <c r="P612" s="58">
        <v>43552</v>
      </c>
    </row>
    <row r="613" spans="1:17" x14ac:dyDescent="0.15">
      <c r="A613" s="16" t="s">
        <v>29</v>
      </c>
      <c r="B613" s="8"/>
      <c r="C613" s="10"/>
      <c r="D613" s="10">
        <v>1</v>
      </c>
      <c r="E613" s="10"/>
      <c r="F613" s="30"/>
      <c r="G613" s="7">
        <f t="shared" si="143"/>
        <v>1</v>
      </c>
      <c r="H613" s="58">
        <v>43535</v>
      </c>
      <c r="I613" s="16" t="s">
        <v>22</v>
      </c>
      <c r="J613" s="8"/>
      <c r="K613" s="10">
        <v>10</v>
      </c>
      <c r="L613" s="10"/>
      <c r="M613" s="10"/>
      <c r="N613" s="30"/>
      <c r="O613" s="7">
        <f t="shared" si="145"/>
        <v>10</v>
      </c>
      <c r="P613" s="58">
        <v>43563</v>
      </c>
    </row>
    <row r="614" spans="1:17" x14ac:dyDescent="0.15">
      <c r="A614" s="16" t="s">
        <v>29</v>
      </c>
      <c r="B614" s="8"/>
      <c r="C614" s="10">
        <v>1</v>
      </c>
      <c r="D614" s="10">
        <v>2</v>
      </c>
      <c r="E614" s="10"/>
      <c r="F614" s="30"/>
      <c r="G614" s="7">
        <f t="shared" si="143"/>
        <v>3</v>
      </c>
      <c r="H614" s="58">
        <v>43549</v>
      </c>
      <c r="I614" s="16" t="s">
        <v>22</v>
      </c>
      <c r="J614" s="8"/>
      <c r="K614" s="10"/>
      <c r="L614" s="10"/>
      <c r="M614" s="10"/>
      <c r="N614" s="30">
        <v>10</v>
      </c>
      <c r="O614" s="7">
        <f t="shared" si="145"/>
        <v>10</v>
      </c>
      <c r="P614" s="58">
        <v>43570</v>
      </c>
    </row>
    <row r="615" spans="1:17" x14ac:dyDescent="0.15">
      <c r="A615" s="16" t="s">
        <v>25</v>
      </c>
      <c r="B615" s="8"/>
      <c r="C615" s="10"/>
      <c r="D615" s="10">
        <v>2</v>
      </c>
      <c r="E615" s="10"/>
      <c r="F615" s="30"/>
      <c r="G615" s="7">
        <f t="shared" si="143"/>
        <v>2</v>
      </c>
      <c r="H615" s="58">
        <v>43551</v>
      </c>
      <c r="I615" s="16"/>
      <c r="J615" s="8"/>
      <c r="K615" s="10"/>
      <c r="L615" s="10"/>
      <c r="M615" s="10"/>
      <c r="N615" s="30"/>
      <c r="O615" s="7">
        <f t="shared" si="145"/>
        <v>0</v>
      </c>
    </row>
    <row r="616" spans="1:17" x14ac:dyDescent="0.15">
      <c r="A616" s="16" t="s">
        <v>25</v>
      </c>
      <c r="B616" s="8"/>
      <c r="C616" s="10"/>
      <c r="D616" s="10"/>
      <c r="E616" s="10">
        <v>1</v>
      </c>
      <c r="F616" s="30"/>
      <c r="G616" s="7">
        <f t="shared" si="143"/>
        <v>1</v>
      </c>
      <c r="H616" s="58">
        <v>43552</v>
      </c>
      <c r="I616" s="14"/>
      <c r="J616" s="8"/>
      <c r="K616" s="10"/>
      <c r="L616" s="10"/>
      <c r="M616" s="10"/>
      <c r="N616" s="30"/>
      <c r="O616" s="7">
        <f t="shared" si="145"/>
        <v>0</v>
      </c>
      <c r="P616" s="56"/>
    </row>
    <row r="617" spans="1:17" x14ac:dyDescent="0.15">
      <c r="A617" s="16" t="s">
        <v>955</v>
      </c>
      <c r="B617" s="8"/>
      <c r="C617" s="10">
        <v>3</v>
      </c>
      <c r="D617" s="10"/>
      <c r="E617" s="10"/>
      <c r="F617" s="30"/>
      <c r="G617" s="7">
        <f t="shared" si="143"/>
        <v>3</v>
      </c>
      <c r="H617" s="58">
        <v>43557</v>
      </c>
      <c r="I617" s="14"/>
      <c r="J617" s="8"/>
      <c r="K617" s="10"/>
      <c r="L617" s="10"/>
      <c r="M617" s="10"/>
      <c r="N617" s="30"/>
      <c r="O617" s="7">
        <f t="shared" si="145"/>
        <v>0</v>
      </c>
      <c r="P617" s="56"/>
    </row>
    <row r="618" spans="1:17" x14ac:dyDescent="0.15">
      <c r="A618" s="16" t="s">
        <v>25</v>
      </c>
      <c r="B618" s="8"/>
      <c r="C618" s="10"/>
      <c r="D618" s="10">
        <v>1</v>
      </c>
      <c r="E618" s="10"/>
      <c r="F618" s="30"/>
      <c r="G618" s="7">
        <f t="shared" si="143"/>
        <v>1</v>
      </c>
      <c r="H618" s="58">
        <v>43557</v>
      </c>
      <c r="I618" s="16"/>
      <c r="J618" s="11"/>
      <c r="K618" s="12"/>
      <c r="L618" s="12"/>
      <c r="M618" s="12"/>
      <c r="N618" s="31"/>
      <c r="O618" s="7">
        <f t="shared" si="145"/>
        <v>0</v>
      </c>
      <c r="P618" s="58"/>
      <c r="Q618" s="56"/>
    </row>
    <row r="619" spans="1:17" x14ac:dyDescent="0.15">
      <c r="A619" s="16" t="s">
        <v>25</v>
      </c>
      <c r="B619" s="8">
        <v>1</v>
      </c>
      <c r="C619" s="10"/>
      <c r="D619" s="10"/>
      <c r="E619" s="10"/>
      <c r="F619" s="30"/>
      <c r="G619" s="7">
        <f t="shared" si="143"/>
        <v>1</v>
      </c>
      <c r="H619" s="58">
        <v>43558</v>
      </c>
      <c r="I619" s="16"/>
      <c r="J619" s="11"/>
      <c r="K619" s="12"/>
      <c r="L619" s="12"/>
      <c r="M619" s="12"/>
      <c r="N619" s="31"/>
      <c r="O619" s="7">
        <f t="shared" si="145"/>
        <v>0</v>
      </c>
      <c r="P619" s="58"/>
      <c r="Q619" s="56"/>
    </row>
    <row r="620" spans="1:17" x14ac:dyDescent="0.15">
      <c r="A620" s="16" t="s">
        <v>25</v>
      </c>
      <c r="B620" s="8"/>
      <c r="C620" s="10"/>
      <c r="D620" s="10"/>
      <c r="E620" s="10"/>
      <c r="F620" s="30">
        <v>1</v>
      </c>
      <c r="G620" s="7">
        <f t="shared" si="143"/>
        <v>1</v>
      </c>
      <c r="H620" s="58">
        <v>43559</v>
      </c>
      <c r="I620" s="16"/>
      <c r="J620" s="11"/>
      <c r="K620" s="12"/>
      <c r="L620" s="12"/>
      <c r="M620" s="12"/>
      <c r="N620" s="31"/>
      <c r="O620" s="7">
        <f t="shared" si="145"/>
        <v>0</v>
      </c>
      <c r="P620" s="56"/>
      <c r="Q620" s="56"/>
    </row>
    <row r="621" spans="1:17" x14ac:dyDescent="0.15">
      <c r="A621" s="16" t="s">
        <v>215</v>
      </c>
      <c r="B621" s="8">
        <v>2</v>
      </c>
      <c r="C621" s="10">
        <v>2</v>
      </c>
      <c r="D621" s="10">
        <v>1</v>
      </c>
      <c r="E621" s="10"/>
      <c r="F621" s="30"/>
      <c r="G621" s="7">
        <f>SUM(B621:F621)</f>
        <v>5</v>
      </c>
      <c r="H621" s="58">
        <v>43559</v>
      </c>
      <c r="I621" s="16"/>
      <c r="J621" s="11"/>
      <c r="K621" s="12"/>
      <c r="L621" s="12"/>
      <c r="M621" s="12"/>
      <c r="N621" s="31"/>
      <c r="O621" s="7">
        <f t="shared" si="145"/>
        <v>0</v>
      </c>
      <c r="P621" s="56"/>
      <c r="Q621" s="56"/>
    </row>
    <row r="622" spans="1:17" x14ac:dyDescent="0.15">
      <c r="A622" s="16" t="s">
        <v>25</v>
      </c>
      <c r="B622" s="8"/>
      <c r="C622" s="10"/>
      <c r="D622" s="10">
        <v>1</v>
      </c>
      <c r="E622" s="10"/>
      <c r="F622" s="30"/>
      <c r="G622" s="7">
        <f>SUM(B622:F622)</f>
        <v>1</v>
      </c>
      <c r="H622" s="58">
        <v>43561</v>
      </c>
      <c r="I622" s="16"/>
      <c r="J622" s="11"/>
      <c r="K622" s="12"/>
      <c r="L622" s="12"/>
      <c r="M622" s="12"/>
      <c r="N622" s="31"/>
      <c r="O622" s="7">
        <f t="shared" si="145"/>
        <v>0</v>
      </c>
      <c r="P622" s="58"/>
      <c r="Q622" s="56"/>
    </row>
    <row r="623" spans="1:17" x14ac:dyDescent="0.15">
      <c r="A623" s="16" t="s">
        <v>29</v>
      </c>
      <c r="B623" s="8"/>
      <c r="C623" s="10"/>
      <c r="D623" s="10"/>
      <c r="E623" s="10">
        <v>1</v>
      </c>
      <c r="F623" s="30"/>
      <c r="G623" s="7">
        <f t="shared" ref="G623:G628" si="148">SUM(B623:F623)</f>
        <v>1</v>
      </c>
      <c r="H623" s="58">
        <v>43560</v>
      </c>
      <c r="I623" s="39"/>
      <c r="J623" s="11"/>
      <c r="K623" s="12"/>
      <c r="L623" s="12"/>
      <c r="M623" s="12"/>
      <c r="N623" s="31"/>
      <c r="O623" s="7">
        <f t="shared" si="145"/>
        <v>0</v>
      </c>
      <c r="P623" s="56"/>
      <c r="Q623" s="56"/>
    </row>
    <row r="624" spans="1:17" x14ac:dyDescent="0.15">
      <c r="A624" s="16" t="s">
        <v>25</v>
      </c>
      <c r="B624" s="11"/>
      <c r="C624" s="12"/>
      <c r="D624" s="12">
        <v>1</v>
      </c>
      <c r="E624" s="12"/>
      <c r="F624" s="31">
        <v>1</v>
      </c>
      <c r="G624" s="7">
        <f t="shared" si="148"/>
        <v>2</v>
      </c>
      <c r="H624" s="58">
        <v>43563</v>
      </c>
      <c r="I624" s="16"/>
      <c r="J624" s="11"/>
      <c r="K624" s="12"/>
      <c r="L624" s="12"/>
      <c r="M624" s="12"/>
      <c r="N624" s="31"/>
      <c r="O624" s="7">
        <f t="shared" si="145"/>
        <v>0</v>
      </c>
      <c r="P624" s="58"/>
    </row>
    <row r="625" spans="1:16" x14ac:dyDescent="0.15">
      <c r="A625" s="16" t="s">
        <v>969</v>
      </c>
      <c r="B625" s="8">
        <v>1</v>
      </c>
      <c r="C625" s="10"/>
      <c r="D625" s="10"/>
      <c r="E625" s="10"/>
      <c r="F625" s="30"/>
      <c r="G625" s="7">
        <f t="shared" si="148"/>
        <v>1</v>
      </c>
      <c r="H625" s="58">
        <v>43564</v>
      </c>
      <c r="I625" s="14"/>
      <c r="J625" s="8"/>
      <c r="K625" s="10"/>
      <c r="L625" s="10"/>
      <c r="M625" s="10"/>
      <c r="N625" s="30"/>
      <c r="O625" s="7">
        <f t="shared" si="145"/>
        <v>0</v>
      </c>
      <c r="P625" s="56"/>
    </row>
    <row r="626" spans="1:16" x14ac:dyDescent="0.15">
      <c r="A626" s="16" t="s">
        <v>29</v>
      </c>
      <c r="B626" s="37"/>
      <c r="C626" s="35">
        <v>1</v>
      </c>
      <c r="D626" s="35"/>
      <c r="E626" s="35"/>
      <c r="F626" s="28"/>
      <c r="G626" s="7">
        <f t="shared" si="148"/>
        <v>1</v>
      </c>
      <c r="H626" s="58">
        <v>43563</v>
      </c>
      <c r="I626" s="39" t="s">
        <v>920</v>
      </c>
      <c r="J626" s="8"/>
      <c r="K626" s="10"/>
      <c r="L626" s="10"/>
      <c r="M626" s="10"/>
      <c r="N626" s="30"/>
      <c r="O626" s="7">
        <f t="shared" ref="O626:O627" si="149">SUM(J626:N626)</f>
        <v>0</v>
      </c>
      <c r="P626" s="56" t="s">
        <v>919</v>
      </c>
    </row>
    <row r="627" spans="1:16" x14ac:dyDescent="0.15">
      <c r="A627" s="16" t="s">
        <v>25</v>
      </c>
      <c r="B627" s="8">
        <v>1</v>
      </c>
      <c r="C627" s="10"/>
      <c r="D627" s="10"/>
      <c r="E627" s="10"/>
      <c r="F627" s="30"/>
      <c r="G627" s="9">
        <f t="shared" si="148"/>
        <v>1</v>
      </c>
      <c r="H627" s="58">
        <v>43566</v>
      </c>
      <c r="I627" s="39" t="s">
        <v>927</v>
      </c>
      <c r="J627" s="8"/>
      <c r="K627" s="10"/>
      <c r="L627" s="10"/>
      <c r="M627" s="10"/>
      <c r="N627" s="30"/>
      <c r="O627" s="7">
        <f t="shared" si="149"/>
        <v>0</v>
      </c>
      <c r="P627" s="56" t="s">
        <v>926</v>
      </c>
    </row>
    <row r="628" spans="1:16" ht="14.25" thickBot="1" x14ac:dyDescent="0.2">
      <c r="A628" s="16" t="s">
        <v>215</v>
      </c>
      <c r="B628" s="37"/>
      <c r="C628" s="35"/>
      <c r="D628" s="35"/>
      <c r="E628" s="35"/>
      <c r="F628" s="28">
        <v>1</v>
      </c>
      <c r="G628" s="7">
        <f t="shared" si="148"/>
        <v>1</v>
      </c>
      <c r="H628" s="58">
        <v>43567</v>
      </c>
      <c r="I628" s="16" t="s">
        <v>30</v>
      </c>
      <c r="J628" s="11"/>
      <c r="K628" s="12"/>
      <c r="L628" s="12"/>
      <c r="M628" s="12"/>
      <c r="N628" s="31"/>
      <c r="O628" s="7">
        <f t="shared" ref="O628" si="150">SUM(J628:N628)</f>
        <v>0</v>
      </c>
      <c r="P628" s="171">
        <v>43525</v>
      </c>
    </row>
    <row r="629" spans="1:16" ht="14.25" thickBot="1" x14ac:dyDescent="0.2">
      <c r="A629" s="3" t="s">
        <v>11</v>
      </c>
      <c r="B629" s="23">
        <f>SUM(B603:B628)</f>
        <v>5</v>
      </c>
      <c r="C629" s="4">
        <f>SUM(C603:C628)</f>
        <v>14</v>
      </c>
      <c r="D629" s="4">
        <f>SUM(D603:D628)</f>
        <v>11</v>
      </c>
      <c r="E629" s="6">
        <f>SUM(E603:E628)</f>
        <v>5</v>
      </c>
      <c r="F629" s="32">
        <f>SUM(F603:F628)</f>
        <v>6</v>
      </c>
      <c r="G629" s="5">
        <f>SUM(B629:F629)</f>
        <v>41</v>
      </c>
      <c r="H629" s="56"/>
      <c r="I629" s="3" t="s">
        <v>11</v>
      </c>
      <c r="J629" s="23">
        <f>SUM(J603:J628)</f>
        <v>7</v>
      </c>
      <c r="K629" s="4">
        <f>SUM(K603:K628)</f>
        <v>23</v>
      </c>
      <c r="L629" s="4">
        <f>SUM(L603:L628)</f>
        <v>21</v>
      </c>
      <c r="M629" s="6">
        <f>SUM(M603:M628)</f>
        <v>13</v>
      </c>
      <c r="N629" s="32">
        <f>SUM(N603:N628)</f>
        <v>29</v>
      </c>
      <c r="O629" s="5">
        <f>SUM(J629:N629)</f>
        <v>93</v>
      </c>
    </row>
    <row r="630" spans="1:16" ht="14.25" thickBot="1" x14ac:dyDescent="0.2">
      <c r="A630" s="25" t="s">
        <v>12</v>
      </c>
      <c r="B630" s="63">
        <f>B602-B629</f>
        <v>9</v>
      </c>
      <c r="C630" s="26">
        <f t="shared" ref="C630:G630" si="151">C602-C629</f>
        <v>11</v>
      </c>
      <c r="D630" s="71">
        <f t="shared" si="151"/>
        <v>10</v>
      </c>
      <c r="E630" s="26">
        <f t="shared" si="151"/>
        <v>13</v>
      </c>
      <c r="F630" s="70">
        <f t="shared" si="151"/>
        <v>12</v>
      </c>
      <c r="G630" s="27">
        <f t="shared" si="151"/>
        <v>55</v>
      </c>
      <c r="H630" s="56"/>
      <c r="I630" s="25" t="s">
        <v>12</v>
      </c>
      <c r="J630" s="63">
        <f>J602-J629</f>
        <v>232</v>
      </c>
      <c r="K630" s="26">
        <f t="shared" ref="K630:M630" si="152">K602-K629</f>
        <v>292</v>
      </c>
      <c r="L630" s="71">
        <f t="shared" si="152"/>
        <v>245</v>
      </c>
      <c r="M630" s="26">
        <f t="shared" si="152"/>
        <v>241</v>
      </c>
      <c r="N630" s="70">
        <f>N602-N629</f>
        <v>202</v>
      </c>
      <c r="O630" s="27">
        <f t="shared" ref="O630" si="153">O602-O629</f>
        <v>1212</v>
      </c>
    </row>
    <row r="631" spans="1:16" ht="21" x14ac:dyDescent="0.2">
      <c r="A631" s="83" t="s">
        <v>415</v>
      </c>
      <c r="B631" s="77"/>
      <c r="C631" s="77"/>
      <c r="D631" s="77"/>
      <c r="E631" s="77"/>
      <c r="F631" s="77"/>
      <c r="G631" s="77"/>
      <c r="H631" s="56"/>
      <c r="I631" s="83" t="s">
        <v>415</v>
      </c>
      <c r="J631" s="77"/>
      <c r="K631" s="77"/>
      <c r="L631" s="77"/>
      <c r="M631" s="77"/>
      <c r="N631" s="77"/>
      <c r="O631" s="77"/>
    </row>
    <row r="632" spans="1:16" ht="21.75" thickBot="1" x14ac:dyDescent="0.25">
      <c r="A632" s="83" t="s">
        <v>47</v>
      </c>
      <c r="B632" s="77"/>
      <c r="C632" s="77"/>
      <c r="D632" s="77"/>
      <c r="E632" s="84"/>
      <c r="F632" s="78" t="s">
        <v>53</v>
      </c>
      <c r="G632" s="77"/>
      <c r="H632" s="56"/>
      <c r="I632" s="83" t="s">
        <v>47</v>
      </c>
      <c r="J632" s="77"/>
      <c r="K632" s="77"/>
      <c r="L632" s="77"/>
      <c r="M632" s="84"/>
      <c r="N632" s="78" t="s">
        <v>54</v>
      </c>
      <c r="O632" s="77"/>
    </row>
    <row r="633" spans="1:16" ht="14.25" thickBot="1" x14ac:dyDescent="0.2">
      <c r="A633" s="13" t="s">
        <v>0</v>
      </c>
      <c r="B633" s="228" t="s">
        <v>49</v>
      </c>
      <c r="C633" s="229"/>
      <c r="D633" s="229"/>
      <c r="E633" s="229"/>
      <c r="F633" s="230"/>
      <c r="G633" s="231"/>
      <c r="H633" s="56"/>
      <c r="I633" s="13" t="s">
        <v>0</v>
      </c>
      <c r="J633" s="228" t="s">
        <v>49</v>
      </c>
      <c r="K633" s="229"/>
      <c r="L633" s="229"/>
      <c r="M633" s="229"/>
      <c r="N633" s="230"/>
      <c r="O633" s="231"/>
    </row>
    <row r="634" spans="1:16" ht="14.25" thickBot="1" x14ac:dyDescent="0.2">
      <c r="A634" s="3" t="s">
        <v>1</v>
      </c>
      <c r="B634" s="2" t="s">
        <v>42</v>
      </c>
      <c r="C634" s="21" t="s">
        <v>43</v>
      </c>
      <c r="D634" s="21" t="s">
        <v>44</v>
      </c>
      <c r="E634" s="24" t="s">
        <v>45</v>
      </c>
      <c r="F634" s="33" t="s">
        <v>46</v>
      </c>
      <c r="G634" s="34" t="s">
        <v>2</v>
      </c>
      <c r="H634" s="56"/>
      <c r="I634" s="3" t="s">
        <v>1</v>
      </c>
      <c r="J634" s="2" t="s">
        <v>42</v>
      </c>
      <c r="K634" s="21" t="s">
        <v>43</v>
      </c>
      <c r="L634" s="21" t="s">
        <v>44</v>
      </c>
      <c r="M634" s="24" t="s">
        <v>45</v>
      </c>
      <c r="N634" s="33" t="s">
        <v>46</v>
      </c>
      <c r="O634" s="3" t="s">
        <v>2</v>
      </c>
    </row>
    <row r="635" spans="1:16" ht="14.25" thickBot="1" x14ac:dyDescent="0.2">
      <c r="A635" s="72" t="s">
        <v>527</v>
      </c>
      <c r="B635" s="73">
        <f>B630</f>
        <v>9</v>
      </c>
      <c r="C635" s="73">
        <f t="shared" ref="C635:F635" si="154">C630</f>
        <v>11</v>
      </c>
      <c r="D635" s="73">
        <f t="shared" si="154"/>
        <v>10</v>
      </c>
      <c r="E635" s="73">
        <f t="shared" si="154"/>
        <v>13</v>
      </c>
      <c r="F635" s="73">
        <f t="shared" si="154"/>
        <v>12</v>
      </c>
      <c r="G635" s="76">
        <f t="shared" ref="G635:G662" si="155">SUM(B635:F635)</f>
        <v>55</v>
      </c>
      <c r="H635" s="56"/>
      <c r="I635" s="96" t="s">
        <v>12</v>
      </c>
      <c r="J635" s="95">
        <f>J630</f>
        <v>232</v>
      </c>
      <c r="K635" s="97">
        <f t="shared" ref="K635:N635" si="156">K630</f>
        <v>292</v>
      </c>
      <c r="L635" s="97">
        <f t="shared" si="156"/>
        <v>245</v>
      </c>
      <c r="M635" s="97">
        <f t="shared" si="156"/>
        <v>241</v>
      </c>
      <c r="N635" s="54">
        <f t="shared" si="156"/>
        <v>202</v>
      </c>
      <c r="O635" s="52">
        <f t="shared" ref="O635:O670" si="157">SUM(J635:N635)</f>
        <v>1212</v>
      </c>
    </row>
    <row r="636" spans="1:16" x14ac:dyDescent="0.15">
      <c r="A636" s="15" t="s">
        <v>17</v>
      </c>
      <c r="B636" s="37"/>
      <c r="C636" s="35"/>
      <c r="D636" s="35">
        <v>1</v>
      </c>
      <c r="E636" s="35"/>
      <c r="F636" s="28"/>
      <c r="G636" s="7">
        <f t="shared" si="155"/>
        <v>1</v>
      </c>
      <c r="H636" s="58">
        <v>43565</v>
      </c>
      <c r="I636" s="15" t="s">
        <v>3</v>
      </c>
      <c r="J636" s="37"/>
      <c r="K636" s="35"/>
      <c r="L636" s="35"/>
      <c r="M636" s="35"/>
      <c r="N636" s="28"/>
      <c r="O636" s="7">
        <f t="shared" si="157"/>
        <v>0</v>
      </c>
    </row>
    <row r="637" spans="1:16" x14ac:dyDescent="0.15">
      <c r="A637" s="15" t="s">
        <v>3</v>
      </c>
      <c r="B637" s="8">
        <v>5</v>
      </c>
      <c r="C637" s="10">
        <v>5</v>
      </c>
      <c r="D637" s="10"/>
      <c r="E637" s="10"/>
      <c r="F637" s="28">
        <v>5</v>
      </c>
      <c r="G637" s="9">
        <f t="shared" si="155"/>
        <v>15</v>
      </c>
      <c r="H637" s="58">
        <v>43580</v>
      </c>
      <c r="I637" s="15" t="s">
        <v>4</v>
      </c>
      <c r="J637" s="8"/>
      <c r="K637" s="10"/>
      <c r="L637" s="10"/>
      <c r="M637" s="10"/>
      <c r="N637" s="28"/>
      <c r="O637" s="9">
        <f t="shared" si="157"/>
        <v>0</v>
      </c>
      <c r="P637" s="58"/>
    </row>
    <row r="638" spans="1:16" x14ac:dyDescent="0.15">
      <c r="A638" s="16" t="s">
        <v>984</v>
      </c>
      <c r="B638" s="8"/>
      <c r="C638" s="10">
        <v>1</v>
      </c>
      <c r="D638" s="10"/>
      <c r="E638" s="10"/>
      <c r="F638" s="28"/>
      <c r="G638" s="9">
        <f t="shared" si="155"/>
        <v>1</v>
      </c>
      <c r="H638" s="58">
        <v>43581</v>
      </c>
      <c r="I638" s="15" t="s">
        <v>5</v>
      </c>
      <c r="J638" s="8"/>
      <c r="K638" s="10"/>
      <c r="L638" s="10"/>
      <c r="M638" s="10"/>
      <c r="N638" s="28"/>
      <c r="O638" s="9">
        <f t="shared" si="157"/>
        <v>0</v>
      </c>
    </row>
    <row r="639" spans="1:16" x14ac:dyDescent="0.15">
      <c r="A639" s="15" t="s">
        <v>17</v>
      </c>
      <c r="B639" s="8"/>
      <c r="C639" s="10"/>
      <c r="D639" s="10">
        <v>1</v>
      </c>
      <c r="E639" s="10"/>
      <c r="F639" s="28"/>
      <c r="G639" s="9">
        <f t="shared" si="155"/>
        <v>1</v>
      </c>
      <c r="H639" s="58">
        <v>43578</v>
      </c>
      <c r="I639" s="15" t="s">
        <v>6</v>
      </c>
      <c r="J639" s="8"/>
      <c r="K639" s="10"/>
      <c r="L639" s="10"/>
      <c r="M639" s="10"/>
      <c r="N639" s="28"/>
      <c r="O639" s="9">
        <f t="shared" si="157"/>
        <v>0</v>
      </c>
    </row>
    <row r="640" spans="1:16" x14ac:dyDescent="0.15">
      <c r="A640" s="15" t="s">
        <v>616</v>
      </c>
      <c r="B640" s="11"/>
      <c r="C640" s="12">
        <v>1</v>
      </c>
      <c r="D640" s="12"/>
      <c r="E640" s="12"/>
      <c r="F640" s="31"/>
      <c r="G640" s="7">
        <f t="shared" si="155"/>
        <v>1</v>
      </c>
      <c r="H640" s="58">
        <v>43594</v>
      </c>
      <c r="I640" s="15" t="s">
        <v>84</v>
      </c>
      <c r="J640" s="11"/>
      <c r="K640" s="12"/>
      <c r="L640" s="12"/>
      <c r="M640" s="12"/>
      <c r="N640" s="31"/>
      <c r="O640" s="7">
        <f t="shared" si="157"/>
        <v>0</v>
      </c>
    </row>
    <row r="641" spans="1:17" x14ac:dyDescent="0.15">
      <c r="A641" s="15" t="s">
        <v>19</v>
      </c>
      <c r="B641" s="8"/>
      <c r="C641" s="10">
        <v>3</v>
      </c>
      <c r="D641" s="10"/>
      <c r="E641" s="10"/>
      <c r="F641" s="30">
        <v>1</v>
      </c>
      <c r="G641" s="7">
        <f t="shared" si="155"/>
        <v>4</v>
      </c>
      <c r="H641" s="58">
        <v>43598</v>
      </c>
      <c r="I641" s="15" t="s">
        <v>85</v>
      </c>
      <c r="J641" s="8"/>
      <c r="K641" s="10"/>
      <c r="L641" s="10"/>
      <c r="M641" s="10"/>
      <c r="N641" s="30"/>
      <c r="O641" s="7">
        <f t="shared" si="157"/>
        <v>0</v>
      </c>
    </row>
    <row r="642" spans="1:17" x14ac:dyDescent="0.15">
      <c r="A642" s="15" t="s">
        <v>19</v>
      </c>
      <c r="B642" s="8"/>
      <c r="C642" s="10">
        <v>1</v>
      </c>
      <c r="D642" s="10"/>
      <c r="E642" s="10"/>
      <c r="F642" s="30">
        <v>2</v>
      </c>
      <c r="G642" s="7">
        <f t="shared" si="155"/>
        <v>3</v>
      </c>
      <c r="H642" s="58">
        <v>43601</v>
      </c>
      <c r="I642" s="16" t="s">
        <v>88</v>
      </c>
      <c r="J642" s="8"/>
      <c r="K642" s="10"/>
      <c r="L642" s="10"/>
      <c r="M642" s="10"/>
      <c r="N642" s="30"/>
      <c r="O642" s="7">
        <f t="shared" si="157"/>
        <v>0</v>
      </c>
    </row>
    <row r="643" spans="1:17" ht="14.25" thickBot="1" x14ac:dyDescent="0.2">
      <c r="A643" s="15" t="s">
        <v>271</v>
      </c>
      <c r="B643" s="11"/>
      <c r="C643" s="100">
        <v>1</v>
      </c>
      <c r="D643" s="100"/>
      <c r="E643" s="100">
        <v>2</v>
      </c>
      <c r="F643" s="101"/>
      <c r="G643" s="102">
        <f t="shared" si="155"/>
        <v>3</v>
      </c>
      <c r="H643" s="58">
        <v>43602</v>
      </c>
      <c r="I643" s="15" t="s">
        <v>87</v>
      </c>
      <c r="J643" s="11"/>
      <c r="K643" s="100"/>
      <c r="L643" s="100"/>
      <c r="M643" s="100"/>
      <c r="N643" s="101"/>
      <c r="O643" s="102">
        <f t="shared" si="157"/>
        <v>0</v>
      </c>
    </row>
    <row r="644" spans="1:17" ht="14.25" thickBot="1" x14ac:dyDescent="0.2">
      <c r="A644" s="72" t="s">
        <v>7</v>
      </c>
      <c r="B644" s="73">
        <f>SUM(B635:B643)</f>
        <v>14</v>
      </c>
      <c r="C644" s="74">
        <f t="shared" ref="C644:F644" si="158">SUM(C635:C643)</f>
        <v>23</v>
      </c>
      <c r="D644" s="74">
        <f t="shared" si="158"/>
        <v>12</v>
      </c>
      <c r="E644" s="74">
        <f t="shared" si="158"/>
        <v>15</v>
      </c>
      <c r="F644" s="105">
        <f t="shared" si="158"/>
        <v>20</v>
      </c>
      <c r="G644" s="76">
        <f t="shared" si="155"/>
        <v>84</v>
      </c>
      <c r="H644" s="56"/>
      <c r="I644" s="72" t="s">
        <v>7</v>
      </c>
      <c r="J644" s="73">
        <f>SUM(J635:J643)</f>
        <v>232</v>
      </c>
      <c r="K644" s="74">
        <f t="shared" ref="K644:N644" si="159">SUM(K635:K643)</f>
        <v>292</v>
      </c>
      <c r="L644" s="74">
        <f t="shared" si="159"/>
        <v>245</v>
      </c>
      <c r="M644" s="74">
        <f t="shared" si="159"/>
        <v>241</v>
      </c>
      <c r="N644" s="105">
        <f t="shared" si="159"/>
        <v>202</v>
      </c>
      <c r="O644" s="76">
        <f t="shared" si="157"/>
        <v>1212</v>
      </c>
    </row>
    <row r="645" spans="1:17" x14ac:dyDescent="0.15">
      <c r="A645" s="16" t="s">
        <v>25</v>
      </c>
      <c r="B645" s="37"/>
      <c r="C645" s="35"/>
      <c r="D645" s="35">
        <v>1</v>
      </c>
      <c r="E645" s="35">
        <v>1</v>
      </c>
      <c r="F645" s="28"/>
      <c r="G645" s="18">
        <f t="shared" si="155"/>
        <v>2</v>
      </c>
      <c r="H645" s="58">
        <v>43567</v>
      </c>
      <c r="I645" s="16" t="s">
        <v>25</v>
      </c>
      <c r="J645" s="37"/>
      <c r="K645" s="35"/>
      <c r="L645" s="35">
        <v>1</v>
      </c>
      <c r="M645" s="35"/>
      <c r="N645" s="28">
        <v>1</v>
      </c>
      <c r="O645" s="7">
        <f t="shared" si="157"/>
        <v>2</v>
      </c>
      <c r="P645" s="58">
        <v>43573</v>
      </c>
    </row>
    <row r="646" spans="1:17" x14ac:dyDescent="0.15">
      <c r="A646" s="16" t="s">
        <v>25</v>
      </c>
      <c r="B646" s="8"/>
      <c r="C646" s="10"/>
      <c r="D646" s="10"/>
      <c r="E646" s="10"/>
      <c r="F646" s="30">
        <v>1</v>
      </c>
      <c r="G646" s="7">
        <f t="shared" si="155"/>
        <v>1</v>
      </c>
      <c r="H646" s="58">
        <v>43571</v>
      </c>
      <c r="I646" s="16" t="s">
        <v>22</v>
      </c>
      <c r="J646" s="8"/>
      <c r="K646" s="10">
        <v>10</v>
      </c>
      <c r="L646" s="10"/>
      <c r="M646" s="10"/>
      <c r="N646" s="30">
        <v>20</v>
      </c>
      <c r="O646" s="7">
        <f t="shared" si="157"/>
        <v>30</v>
      </c>
      <c r="P646" s="58">
        <v>43579</v>
      </c>
    </row>
    <row r="647" spans="1:17" x14ac:dyDescent="0.15">
      <c r="A647" s="16" t="s">
        <v>29</v>
      </c>
      <c r="B647" s="8">
        <v>2</v>
      </c>
      <c r="C647" s="10"/>
      <c r="D647" s="10"/>
      <c r="E647" s="10"/>
      <c r="F647" s="30"/>
      <c r="G647" s="7">
        <f t="shared" si="155"/>
        <v>2</v>
      </c>
      <c r="H647" s="58">
        <v>43570</v>
      </c>
      <c r="I647" s="16" t="s">
        <v>25</v>
      </c>
      <c r="J647" s="8"/>
      <c r="K647" s="10">
        <v>1</v>
      </c>
      <c r="L647" s="10">
        <v>2</v>
      </c>
      <c r="M647" s="10"/>
      <c r="N647" s="30"/>
      <c r="O647" s="7">
        <f t="shared" si="157"/>
        <v>3</v>
      </c>
      <c r="P647" s="58">
        <v>43574</v>
      </c>
    </row>
    <row r="648" spans="1:17" x14ac:dyDescent="0.15">
      <c r="A648" s="16" t="s">
        <v>25</v>
      </c>
      <c r="B648" s="8"/>
      <c r="C648" s="10">
        <v>1</v>
      </c>
      <c r="D648" s="10"/>
      <c r="E648" s="10"/>
      <c r="F648" s="30"/>
      <c r="G648" s="7">
        <f t="shared" si="155"/>
        <v>1</v>
      </c>
      <c r="H648" s="58">
        <v>43572</v>
      </c>
      <c r="I648" s="16" t="s">
        <v>25</v>
      </c>
      <c r="J648" s="8"/>
      <c r="K648" s="10">
        <v>2</v>
      </c>
      <c r="L648" s="10"/>
      <c r="M648" s="10"/>
      <c r="N648" s="30"/>
      <c r="O648" s="7">
        <f t="shared" si="157"/>
        <v>2</v>
      </c>
      <c r="P648" s="58">
        <v>43575</v>
      </c>
    </row>
    <row r="649" spans="1:17" x14ac:dyDescent="0.15">
      <c r="A649" s="16" t="s">
        <v>215</v>
      </c>
      <c r="B649" s="8"/>
      <c r="C649" s="10"/>
      <c r="D649" s="10"/>
      <c r="E649" s="10">
        <v>2</v>
      </c>
      <c r="F649" s="30">
        <v>3</v>
      </c>
      <c r="G649" s="7">
        <f t="shared" si="155"/>
        <v>5</v>
      </c>
      <c r="H649" s="58">
        <v>43578</v>
      </c>
      <c r="I649" s="16" t="s">
        <v>25</v>
      </c>
      <c r="J649" s="8">
        <v>1</v>
      </c>
      <c r="K649" s="10"/>
      <c r="L649" s="10"/>
      <c r="M649" s="10">
        <v>1</v>
      </c>
      <c r="N649" s="30">
        <v>2</v>
      </c>
      <c r="O649" s="7">
        <f t="shared" si="157"/>
        <v>4</v>
      </c>
      <c r="P649" s="58">
        <v>43579</v>
      </c>
    </row>
    <row r="650" spans="1:17" x14ac:dyDescent="0.15">
      <c r="A650" s="16" t="s">
        <v>25</v>
      </c>
      <c r="B650" s="8"/>
      <c r="C650" s="10">
        <v>1</v>
      </c>
      <c r="D650" s="10"/>
      <c r="E650" s="10">
        <v>1</v>
      </c>
      <c r="F650" s="30"/>
      <c r="G650" s="7">
        <f t="shared" si="155"/>
        <v>2</v>
      </c>
      <c r="H650" s="58">
        <v>43578</v>
      </c>
      <c r="I650" s="16" t="s">
        <v>978</v>
      </c>
      <c r="J650" s="8">
        <v>5</v>
      </c>
      <c r="K650" s="10">
        <v>5</v>
      </c>
      <c r="L650" s="10"/>
      <c r="M650" s="10"/>
      <c r="N650" s="30">
        <v>5</v>
      </c>
      <c r="O650" s="7">
        <f t="shared" si="157"/>
        <v>15</v>
      </c>
      <c r="P650" s="58">
        <v>43580</v>
      </c>
      <c r="Q650" s="56"/>
    </row>
    <row r="651" spans="1:17" x14ac:dyDescent="0.15">
      <c r="A651" s="16" t="s">
        <v>25</v>
      </c>
      <c r="B651" s="8"/>
      <c r="C651" s="10">
        <v>1</v>
      </c>
      <c r="D651" s="10"/>
      <c r="E651" s="10"/>
      <c r="F651" s="30"/>
      <c r="G651" s="7">
        <f t="shared" si="155"/>
        <v>1</v>
      </c>
      <c r="H651" s="58">
        <v>43582</v>
      </c>
      <c r="I651" s="16" t="s">
        <v>22</v>
      </c>
      <c r="J651" s="8"/>
      <c r="K651" s="10"/>
      <c r="L651" s="10"/>
      <c r="M651" s="10">
        <v>10</v>
      </c>
      <c r="N651" s="30"/>
      <c r="O651" s="7">
        <f t="shared" si="157"/>
        <v>10</v>
      </c>
      <c r="P651" s="58">
        <v>43594</v>
      </c>
    </row>
    <row r="652" spans="1:17" x14ac:dyDescent="0.15">
      <c r="A652" s="16" t="s">
        <v>29</v>
      </c>
      <c r="B652" s="8"/>
      <c r="C652" s="10">
        <v>1</v>
      </c>
      <c r="D652" s="10"/>
      <c r="E652" s="10"/>
      <c r="F652" s="30"/>
      <c r="G652" s="7">
        <f t="shared" si="155"/>
        <v>1</v>
      </c>
      <c r="H652" s="58">
        <v>43581</v>
      </c>
      <c r="I652" s="16" t="s">
        <v>987</v>
      </c>
      <c r="J652" s="8">
        <v>5</v>
      </c>
      <c r="K652" s="10">
        <v>15</v>
      </c>
      <c r="L652" s="10">
        <v>4</v>
      </c>
      <c r="M652" s="10">
        <v>20</v>
      </c>
      <c r="N652" s="30"/>
      <c r="O652" s="7">
        <f t="shared" si="157"/>
        <v>44</v>
      </c>
      <c r="P652" s="58">
        <v>43593</v>
      </c>
    </row>
    <row r="653" spans="1:17" x14ac:dyDescent="0.15">
      <c r="A653" s="16" t="s">
        <v>29</v>
      </c>
      <c r="B653" s="8"/>
      <c r="C653" s="10">
        <v>1</v>
      </c>
      <c r="D653" s="10"/>
      <c r="E653" s="10"/>
      <c r="F653" s="30">
        <v>1</v>
      </c>
      <c r="G653" s="7">
        <f t="shared" si="155"/>
        <v>2</v>
      </c>
      <c r="H653" s="58">
        <v>43588</v>
      </c>
      <c r="I653" s="16" t="s">
        <v>25</v>
      </c>
      <c r="J653" s="8"/>
      <c r="K653" s="10">
        <v>1</v>
      </c>
      <c r="L653" s="10"/>
      <c r="M653" s="10">
        <v>2</v>
      </c>
      <c r="N653" s="30"/>
      <c r="O653" s="7">
        <f t="shared" si="157"/>
        <v>3</v>
      </c>
      <c r="P653" s="58">
        <v>43581</v>
      </c>
    </row>
    <row r="654" spans="1:17" x14ac:dyDescent="0.15">
      <c r="A654" s="16" t="s">
        <v>29</v>
      </c>
      <c r="B654" s="8"/>
      <c r="C654" s="10"/>
      <c r="D654" s="10"/>
      <c r="E654" s="10">
        <v>1</v>
      </c>
      <c r="F654" s="30"/>
      <c r="G654" s="7">
        <f t="shared" si="155"/>
        <v>1</v>
      </c>
      <c r="H654" s="58">
        <v>43592</v>
      </c>
      <c r="I654" s="16" t="s">
        <v>25</v>
      </c>
      <c r="J654" s="11">
        <v>2</v>
      </c>
      <c r="K654" s="12"/>
      <c r="L654" s="12">
        <v>2</v>
      </c>
      <c r="M654" s="12"/>
      <c r="N654" s="31"/>
      <c r="O654" s="7">
        <f t="shared" si="157"/>
        <v>4</v>
      </c>
      <c r="P654" s="58">
        <v>43593</v>
      </c>
    </row>
    <row r="655" spans="1:17" x14ac:dyDescent="0.15">
      <c r="A655" s="16" t="s">
        <v>215</v>
      </c>
      <c r="B655" s="8"/>
      <c r="C655" s="10">
        <v>1</v>
      </c>
      <c r="D655" s="10"/>
      <c r="E655" s="10"/>
      <c r="F655" s="30"/>
      <c r="G655" s="7">
        <f t="shared" si="155"/>
        <v>1</v>
      </c>
      <c r="H655" s="58">
        <v>43595</v>
      </c>
      <c r="I655" s="16" t="s">
        <v>25</v>
      </c>
      <c r="J655" s="8">
        <v>1</v>
      </c>
      <c r="K655" s="10"/>
      <c r="L655" s="10"/>
      <c r="M655" s="10"/>
      <c r="N655" s="30"/>
      <c r="O655" s="7">
        <f t="shared" si="157"/>
        <v>1</v>
      </c>
      <c r="P655" s="58">
        <v>43594</v>
      </c>
      <c r="Q655" s="56"/>
    </row>
    <row r="656" spans="1:17" x14ac:dyDescent="0.15">
      <c r="A656" s="16" t="s">
        <v>29</v>
      </c>
      <c r="B656" s="8"/>
      <c r="C656" s="10">
        <v>1</v>
      </c>
      <c r="D656" s="10">
        <v>1</v>
      </c>
      <c r="E656" s="10"/>
      <c r="F656" s="30"/>
      <c r="G656" s="7">
        <f t="shared" si="155"/>
        <v>2</v>
      </c>
      <c r="H656" s="58">
        <v>43594</v>
      </c>
      <c r="I656" s="16" t="s">
        <v>988</v>
      </c>
      <c r="J656" s="8"/>
      <c r="K656" s="10"/>
      <c r="L656" s="10">
        <v>6</v>
      </c>
      <c r="M656" s="10"/>
      <c r="N656" s="30">
        <v>6</v>
      </c>
      <c r="O656" s="7">
        <f t="shared" si="157"/>
        <v>12</v>
      </c>
      <c r="P656" s="58">
        <v>43599</v>
      </c>
    </row>
    <row r="657" spans="1:17" x14ac:dyDescent="0.15">
      <c r="A657" s="16" t="s">
        <v>25</v>
      </c>
      <c r="B657" s="8"/>
      <c r="C657" s="10"/>
      <c r="D657" s="10"/>
      <c r="E657" s="10"/>
      <c r="F657" s="30">
        <v>1</v>
      </c>
      <c r="G657" s="7">
        <f t="shared" si="155"/>
        <v>1</v>
      </c>
      <c r="H657" s="58">
        <v>43598</v>
      </c>
      <c r="I657" s="51" t="s">
        <v>1027</v>
      </c>
      <c r="J657" s="37">
        <v>20</v>
      </c>
      <c r="K657" s="35">
        <v>10</v>
      </c>
      <c r="L657" s="35">
        <v>10</v>
      </c>
      <c r="M657" s="35">
        <v>5</v>
      </c>
      <c r="N657" s="28">
        <v>3</v>
      </c>
      <c r="O657" s="7">
        <f t="shared" si="157"/>
        <v>48</v>
      </c>
      <c r="P657" s="58">
        <v>43609</v>
      </c>
    </row>
    <row r="658" spans="1:17" x14ac:dyDescent="0.15">
      <c r="A658" s="16" t="s">
        <v>485</v>
      </c>
      <c r="B658" s="8"/>
      <c r="C658" s="10"/>
      <c r="D658" s="10"/>
      <c r="E658" s="10">
        <v>-1</v>
      </c>
      <c r="F658" s="30">
        <v>1</v>
      </c>
      <c r="G658" s="7">
        <f t="shared" si="155"/>
        <v>0</v>
      </c>
      <c r="H658" s="58">
        <v>43598</v>
      </c>
      <c r="I658" s="16" t="s">
        <v>989</v>
      </c>
      <c r="J658" s="8">
        <v>4</v>
      </c>
      <c r="K658" s="10"/>
      <c r="L658" s="10"/>
      <c r="M658" s="10"/>
      <c r="N658" s="30"/>
      <c r="O658" s="7">
        <f t="shared" si="157"/>
        <v>4</v>
      </c>
      <c r="P658" s="58">
        <v>43609</v>
      </c>
    </row>
    <row r="659" spans="1:17" x14ac:dyDescent="0.15">
      <c r="A659" s="16" t="s">
        <v>215</v>
      </c>
      <c r="B659" s="8"/>
      <c r="C659" s="10"/>
      <c r="D659" s="10"/>
      <c r="E659" s="10"/>
      <c r="F659" s="30">
        <v>2</v>
      </c>
      <c r="G659" s="7">
        <f t="shared" si="155"/>
        <v>2</v>
      </c>
      <c r="H659" s="58">
        <v>43605</v>
      </c>
      <c r="I659" s="16" t="s">
        <v>22</v>
      </c>
      <c r="J659" s="8"/>
      <c r="K659" s="10"/>
      <c r="L659" s="10">
        <v>10</v>
      </c>
      <c r="M659" s="10"/>
      <c r="N659" s="30"/>
      <c r="O659" s="7">
        <f t="shared" si="157"/>
        <v>10</v>
      </c>
      <c r="P659" s="58">
        <v>43608</v>
      </c>
    </row>
    <row r="660" spans="1:17" x14ac:dyDescent="0.15">
      <c r="A660" s="15" t="s">
        <v>17</v>
      </c>
      <c r="B660" s="8">
        <v>-1</v>
      </c>
      <c r="C660" s="10">
        <v>-2</v>
      </c>
      <c r="D660" s="10">
        <v>-1</v>
      </c>
      <c r="E660" s="10">
        <v>-1</v>
      </c>
      <c r="F660" s="30">
        <v>-1</v>
      </c>
      <c r="G660" s="7">
        <f t="shared" si="155"/>
        <v>-6</v>
      </c>
      <c r="H660" s="58">
        <v>43602</v>
      </c>
      <c r="I660" s="16" t="s">
        <v>990</v>
      </c>
      <c r="J660" s="8">
        <v>1</v>
      </c>
      <c r="K660" s="10"/>
      <c r="L660" s="10"/>
      <c r="M660" s="10"/>
      <c r="N660" s="30"/>
      <c r="O660" s="7">
        <f t="shared" ref="O660" si="160">SUM(J660:N660)</f>
        <v>1</v>
      </c>
      <c r="P660" s="58">
        <v>43609</v>
      </c>
    </row>
    <row r="661" spans="1:17" x14ac:dyDescent="0.15">
      <c r="A661" s="16" t="s">
        <v>29</v>
      </c>
      <c r="B661" s="8"/>
      <c r="C661" s="10">
        <v>1</v>
      </c>
      <c r="D661" s="10"/>
      <c r="E661" s="10"/>
      <c r="F661" s="30"/>
      <c r="G661" s="7">
        <f t="shared" si="155"/>
        <v>1</v>
      </c>
      <c r="H661" s="58">
        <v>43606</v>
      </c>
      <c r="I661" s="16" t="s">
        <v>25</v>
      </c>
      <c r="J661" s="11"/>
      <c r="K661" s="12"/>
      <c r="L661" s="12">
        <v>1</v>
      </c>
      <c r="M661" s="12"/>
      <c r="N661" s="31"/>
      <c r="O661" s="7">
        <f t="shared" si="157"/>
        <v>1</v>
      </c>
      <c r="P661" s="58">
        <v>43605</v>
      </c>
      <c r="Q661" s="56"/>
    </row>
    <row r="662" spans="1:17" x14ac:dyDescent="0.15">
      <c r="A662" s="16" t="s">
        <v>1006</v>
      </c>
      <c r="B662" s="8"/>
      <c r="C662" s="10"/>
      <c r="D662" s="10">
        <v>1</v>
      </c>
      <c r="E662" s="10"/>
      <c r="F662" s="30"/>
      <c r="G662" s="7">
        <f t="shared" si="155"/>
        <v>1</v>
      </c>
      <c r="H662" s="58">
        <v>43608</v>
      </c>
      <c r="I662" s="16" t="s">
        <v>991</v>
      </c>
      <c r="J662" s="8">
        <v>5</v>
      </c>
      <c r="K662" s="10"/>
      <c r="L662" s="10"/>
      <c r="M662" s="10"/>
      <c r="N662" s="30"/>
      <c r="O662" s="7">
        <f t="shared" ref="O662:O664" si="161">SUM(J662:N662)</f>
        <v>5</v>
      </c>
      <c r="P662" s="58">
        <v>43609</v>
      </c>
    </row>
    <row r="663" spans="1:17" x14ac:dyDescent="0.15">
      <c r="A663" s="16" t="s">
        <v>29</v>
      </c>
      <c r="B663" s="8"/>
      <c r="C663" s="10"/>
      <c r="D663" s="10"/>
      <c r="E663" s="10"/>
      <c r="F663" s="30">
        <v>1</v>
      </c>
      <c r="G663" s="7">
        <f>SUM(B663:F663)</f>
        <v>1</v>
      </c>
      <c r="H663" s="58">
        <v>43608</v>
      </c>
      <c r="I663" s="16" t="s">
        <v>22</v>
      </c>
      <c r="J663" s="11"/>
      <c r="K663" s="12"/>
      <c r="L663" s="12"/>
      <c r="M663" s="12">
        <v>10</v>
      </c>
      <c r="N663" s="31"/>
      <c r="O663" s="7">
        <f t="shared" si="161"/>
        <v>10</v>
      </c>
      <c r="P663" s="58">
        <v>43615</v>
      </c>
    </row>
    <row r="664" spans="1:17" x14ac:dyDescent="0.15">
      <c r="A664" s="16" t="s">
        <v>25</v>
      </c>
      <c r="B664" s="8"/>
      <c r="C664" s="10"/>
      <c r="D664" s="10">
        <v>1</v>
      </c>
      <c r="E664" s="10"/>
      <c r="F664" s="30"/>
      <c r="G664" s="7">
        <f>SUM(B664:F664)</f>
        <v>1</v>
      </c>
      <c r="H664" s="58">
        <v>43610</v>
      </c>
      <c r="I664" s="16"/>
      <c r="J664" s="11"/>
      <c r="K664" s="12"/>
      <c r="L664" s="12"/>
      <c r="M664" s="12"/>
      <c r="N664" s="31"/>
      <c r="O664" s="7">
        <f t="shared" si="161"/>
        <v>0</v>
      </c>
      <c r="P664" s="58"/>
    </row>
    <row r="665" spans="1:17" x14ac:dyDescent="0.15">
      <c r="A665" s="16" t="s">
        <v>29</v>
      </c>
      <c r="B665" s="8"/>
      <c r="C665" s="10">
        <v>1</v>
      </c>
      <c r="D665" s="10"/>
      <c r="E665" s="10"/>
      <c r="F665" s="30"/>
      <c r="G665" s="7">
        <f t="shared" ref="G665:G670" si="162">SUM(B665:F665)</f>
        <v>1</v>
      </c>
      <c r="H665" s="58">
        <v>43612</v>
      </c>
      <c r="I665" s="16" t="s">
        <v>944</v>
      </c>
      <c r="J665" s="11"/>
      <c r="K665" s="12"/>
      <c r="L665" s="12"/>
      <c r="M665" s="12"/>
      <c r="N665" s="31"/>
      <c r="O665" s="7">
        <f t="shared" si="157"/>
        <v>0</v>
      </c>
      <c r="P665" s="58" t="s">
        <v>945</v>
      </c>
    </row>
    <row r="666" spans="1:17" x14ac:dyDescent="0.15">
      <c r="A666" s="16" t="s">
        <v>1011</v>
      </c>
      <c r="B666" s="11"/>
      <c r="C666" s="12">
        <v>1</v>
      </c>
      <c r="D666" s="12"/>
      <c r="E666" s="12"/>
      <c r="F666" s="31"/>
      <c r="G666" s="7">
        <f t="shared" si="162"/>
        <v>1</v>
      </c>
      <c r="H666" s="58">
        <v>43615</v>
      </c>
      <c r="I666" s="14" t="s">
        <v>938</v>
      </c>
      <c r="J666" s="8"/>
      <c r="K666" s="10"/>
      <c r="L666" s="10"/>
      <c r="M666" s="10"/>
      <c r="N666" s="30"/>
      <c r="O666" s="7">
        <f t="shared" si="157"/>
        <v>0</v>
      </c>
      <c r="P666" s="56" t="s">
        <v>936</v>
      </c>
    </row>
    <row r="667" spans="1:17" x14ac:dyDescent="0.15">
      <c r="A667" s="16" t="s">
        <v>271</v>
      </c>
      <c r="B667" s="8"/>
      <c r="C667" s="10"/>
      <c r="D667" s="10"/>
      <c r="E667" s="10">
        <v>-1</v>
      </c>
      <c r="F667" s="30"/>
      <c r="G667" s="7">
        <f t="shared" si="162"/>
        <v>-1</v>
      </c>
      <c r="H667" s="58">
        <v>43614</v>
      </c>
      <c r="I667" s="16" t="s">
        <v>953</v>
      </c>
      <c r="J667" s="11"/>
      <c r="K667" s="12"/>
      <c r="L667" s="12"/>
      <c r="M667" s="12"/>
      <c r="N667" s="31"/>
      <c r="O667" s="7">
        <f t="shared" si="157"/>
        <v>0</v>
      </c>
      <c r="P667" s="58" t="s">
        <v>952</v>
      </c>
    </row>
    <row r="668" spans="1:17" x14ac:dyDescent="0.15">
      <c r="A668" s="15" t="s">
        <v>1012</v>
      </c>
      <c r="B668" s="37"/>
      <c r="C668" s="35"/>
      <c r="D668" s="35"/>
      <c r="E668" s="35"/>
      <c r="F668" s="28">
        <v>-1</v>
      </c>
      <c r="G668" s="7">
        <f t="shared" si="162"/>
        <v>-1</v>
      </c>
      <c r="H668" s="58">
        <v>43614</v>
      </c>
      <c r="I668" s="16" t="s">
        <v>30</v>
      </c>
      <c r="J668" s="11"/>
      <c r="K668" s="12"/>
      <c r="L668" s="12"/>
      <c r="M668" s="12"/>
      <c r="N668" s="31"/>
      <c r="O668" s="7">
        <f t="shared" si="157"/>
        <v>0</v>
      </c>
      <c r="P668" s="56" t="s">
        <v>947</v>
      </c>
    </row>
    <row r="669" spans="1:17" x14ac:dyDescent="0.15">
      <c r="A669" s="16"/>
      <c r="B669" s="8"/>
      <c r="C669" s="10"/>
      <c r="D669" s="10"/>
      <c r="E669" s="10"/>
      <c r="F669" s="30"/>
      <c r="G669" s="9">
        <f t="shared" si="162"/>
        <v>0</v>
      </c>
      <c r="H669" s="58"/>
      <c r="I669" s="16" t="s">
        <v>38</v>
      </c>
      <c r="J669" s="11"/>
      <c r="K669" s="12"/>
      <c r="L669" s="12"/>
      <c r="M669" s="12"/>
      <c r="N669" s="31"/>
      <c r="O669" s="7">
        <f t="shared" si="157"/>
        <v>0</v>
      </c>
      <c r="P669" s="56" t="s">
        <v>946</v>
      </c>
    </row>
    <row r="670" spans="1:17" ht="14.25" thickBot="1" x14ac:dyDescent="0.2">
      <c r="A670" s="51"/>
      <c r="B670" s="37"/>
      <c r="C670" s="35"/>
      <c r="D670" s="35"/>
      <c r="E670" s="35"/>
      <c r="F670" s="28"/>
      <c r="G670" s="7">
        <f t="shared" si="162"/>
        <v>0</v>
      </c>
      <c r="H670" s="58"/>
      <c r="I670" s="39" t="s">
        <v>858</v>
      </c>
      <c r="J670" s="8"/>
      <c r="K670" s="10"/>
      <c r="L670" s="10"/>
      <c r="M670" s="10"/>
      <c r="N670" s="30"/>
      <c r="O670" s="7">
        <f t="shared" si="157"/>
        <v>0</v>
      </c>
      <c r="P670" s="56" t="s">
        <v>968</v>
      </c>
    </row>
    <row r="671" spans="1:17" ht="14.25" thickBot="1" x14ac:dyDescent="0.2">
      <c r="A671" s="3" t="s">
        <v>11</v>
      </c>
      <c r="B671" s="23">
        <f>SUM(B645:B670)</f>
        <v>1</v>
      </c>
      <c r="C671" s="4">
        <f>SUM(C645:C670)</f>
        <v>8</v>
      </c>
      <c r="D671" s="4">
        <f>SUM(D645:D670)</f>
        <v>3</v>
      </c>
      <c r="E671" s="6">
        <f>SUM(E645:E670)</f>
        <v>2</v>
      </c>
      <c r="F671" s="32">
        <f>SUM(F645:F670)</f>
        <v>8</v>
      </c>
      <c r="G671" s="5">
        <f>SUM(B671:F671)</f>
        <v>22</v>
      </c>
      <c r="H671" s="56"/>
      <c r="I671" s="3" t="s">
        <v>11</v>
      </c>
      <c r="J671" s="23">
        <f>SUM(J645:J670)</f>
        <v>44</v>
      </c>
      <c r="K671" s="4">
        <f>SUM(K645:K670)</f>
        <v>44</v>
      </c>
      <c r="L671" s="4">
        <f>SUM(L645:L670)</f>
        <v>36</v>
      </c>
      <c r="M671" s="6">
        <f>SUM(M645:M670)</f>
        <v>48</v>
      </c>
      <c r="N671" s="32">
        <f>SUM(N645:N670)</f>
        <v>37</v>
      </c>
      <c r="O671" s="5">
        <f>SUM(J671:N671)</f>
        <v>209</v>
      </c>
    </row>
    <row r="672" spans="1:17" ht="14.25" thickBot="1" x14ac:dyDescent="0.2">
      <c r="A672" s="25" t="s">
        <v>12</v>
      </c>
      <c r="B672" s="63">
        <f>B644-B671</f>
        <v>13</v>
      </c>
      <c r="C672" s="26">
        <f t="shared" ref="C672:G672" si="163">C644-C671</f>
        <v>15</v>
      </c>
      <c r="D672" s="71">
        <f t="shared" si="163"/>
        <v>9</v>
      </c>
      <c r="E672" s="26">
        <f t="shared" si="163"/>
        <v>13</v>
      </c>
      <c r="F672" s="70">
        <f t="shared" si="163"/>
        <v>12</v>
      </c>
      <c r="G672" s="27">
        <f t="shared" si="163"/>
        <v>62</v>
      </c>
      <c r="H672" s="56"/>
      <c r="I672" s="25" t="s">
        <v>12</v>
      </c>
      <c r="J672" s="63">
        <f>J644-J671</f>
        <v>188</v>
      </c>
      <c r="K672" s="26">
        <f t="shared" ref="K672:M672" si="164">K644-K671</f>
        <v>248</v>
      </c>
      <c r="L672" s="71">
        <f t="shared" si="164"/>
        <v>209</v>
      </c>
      <c r="M672" s="26">
        <f t="shared" si="164"/>
        <v>193</v>
      </c>
      <c r="N672" s="70">
        <f>N644-N671</f>
        <v>165</v>
      </c>
      <c r="O672" s="27">
        <f t="shared" ref="O672" si="165">O644-O671</f>
        <v>1003</v>
      </c>
    </row>
    <row r="673" spans="1:17" ht="21" x14ac:dyDescent="0.2">
      <c r="A673" s="83" t="s">
        <v>415</v>
      </c>
      <c r="B673" s="77"/>
      <c r="C673" s="77"/>
      <c r="D673" s="77"/>
      <c r="E673" s="77"/>
      <c r="F673" s="77"/>
      <c r="G673" s="77"/>
      <c r="H673" s="56"/>
      <c r="I673" s="83" t="s">
        <v>415</v>
      </c>
      <c r="J673" s="77"/>
      <c r="K673" s="77"/>
      <c r="L673" s="77"/>
      <c r="M673" s="77"/>
      <c r="N673" s="77"/>
      <c r="O673" s="77"/>
    </row>
    <row r="674" spans="1:17" ht="21.75" thickBot="1" x14ac:dyDescent="0.25">
      <c r="A674" s="83" t="s">
        <v>47</v>
      </c>
      <c r="B674" s="77"/>
      <c r="C674" s="77"/>
      <c r="D674" s="77"/>
      <c r="E674" s="84"/>
      <c r="F674" s="78" t="s">
        <v>53</v>
      </c>
      <c r="G674" s="77"/>
      <c r="H674" s="56"/>
      <c r="I674" s="83" t="s">
        <v>47</v>
      </c>
      <c r="J674" s="77"/>
      <c r="K674" s="77"/>
      <c r="L674" s="77"/>
      <c r="M674" s="84"/>
      <c r="N674" s="78" t="s">
        <v>54</v>
      </c>
      <c r="O674" s="77"/>
    </row>
    <row r="675" spans="1:17" ht="14.25" thickBot="1" x14ac:dyDescent="0.2">
      <c r="A675" s="13" t="s">
        <v>0</v>
      </c>
      <c r="B675" s="228" t="s">
        <v>49</v>
      </c>
      <c r="C675" s="229"/>
      <c r="D675" s="229"/>
      <c r="E675" s="229"/>
      <c r="F675" s="230"/>
      <c r="G675" s="231"/>
      <c r="H675" s="56"/>
      <c r="I675" s="13" t="s">
        <v>0</v>
      </c>
      <c r="J675" s="228" t="s">
        <v>49</v>
      </c>
      <c r="K675" s="229"/>
      <c r="L675" s="229"/>
      <c r="M675" s="229"/>
      <c r="N675" s="230"/>
      <c r="O675" s="231"/>
    </row>
    <row r="676" spans="1:17" ht="14.25" thickBot="1" x14ac:dyDescent="0.2">
      <c r="A676" s="3" t="s">
        <v>1</v>
      </c>
      <c r="B676" s="2" t="s">
        <v>42</v>
      </c>
      <c r="C676" s="21" t="s">
        <v>43</v>
      </c>
      <c r="D676" s="21" t="s">
        <v>44</v>
      </c>
      <c r="E676" s="24" t="s">
        <v>45</v>
      </c>
      <c r="F676" s="33" t="s">
        <v>46</v>
      </c>
      <c r="G676" s="34" t="s">
        <v>2</v>
      </c>
      <c r="H676" s="56"/>
      <c r="I676" s="3" t="s">
        <v>1</v>
      </c>
      <c r="J676" s="2" t="s">
        <v>42</v>
      </c>
      <c r="K676" s="21" t="s">
        <v>43</v>
      </c>
      <c r="L676" s="21" t="s">
        <v>44</v>
      </c>
      <c r="M676" s="24" t="s">
        <v>45</v>
      </c>
      <c r="N676" s="33" t="s">
        <v>46</v>
      </c>
      <c r="O676" s="3" t="s">
        <v>2</v>
      </c>
    </row>
    <row r="677" spans="1:17" ht="14.25" thickBot="1" x14ac:dyDescent="0.2">
      <c r="A677" s="72" t="s">
        <v>527</v>
      </c>
      <c r="B677" s="73">
        <f>B672</f>
        <v>13</v>
      </c>
      <c r="C677" s="73">
        <f t="shared" ref="C677:F677" si="166">C672</f>
        <v>15</v>
      </c>
      <c r="D677" s="73">
        <f t="shared" si="166"/>
        <v>9</v>
      </c>
      <c r="E677" s="73">
        <f t="shared" si="166"/>
        <v>13</v>
      </c>
      <c r="F677" s="73">
        <f t="shared" si="166"/>
        <v>12</v>
      </c>
      <c r="G677" s="76">
        <f t="shared" ref="G677:G704" si="167">SUM(B677:F677)</f>
        <v>62</v>
      </c>
      <c r="H677" s="56"/>
      <c r="I677" s="96" t="s">
        <v>12</v>
      </c>
      <c r="J677" s="95">
        <f>J672</f>
        <v>188</v>
      </c>
      <c r="K677" s="97">
        <f t="shared" ref="K677:N677" si="168">K672</f>
        <v>248</v>
      </c>
      <c r="L677" s="97">
        <f t="shared" si="168"/>
        <v>209</v>
      </c>
      <c r="M677" s="97">
        <f t="shared" si="168"/>
        <v>193</v>
      </c>
      <c r="N677" s="54">
        <f t="shared" si="168"/>
        <v>165</v>
      </c>
      <c r="O677" s="52">
        <f t="shared" ref="O677:O712" si="169">SUM(J677:N677)</f>
        <v>1003</v>
      </c>
    </row>
    <row r="678" spans="1:17" x14ac:dyDescent="0.15">
      <c r="A678" s="15" t="s">
        <v>19</v>
      </c>
      <c r="B678" s="37"/>
      <c r="C678" s="35">
        <v>1</v>
      </c>
      <c r="D678" s="35">
        <v>3</v>
      </c>
      <c r="E678" s="35">
        <v>3</v>
      </c>
      <c r="F678" s="28">
        <v>3</v>
      </c>
      <c r="G678" s="7">
        <f t="shared" si="167"/>
        <v>10</v>
      </c>
      <c r="H678" s="58">
        <v>43619</v>
      </c>
      <c r="I678" s="15" t="s">
        <v>1002</v>
      </c>
      <c r="J678" s="37">
        <v>7</v>
      </c>
      <c r="K678" s="35">
        <v>9</v>
      </c>
      <c r="L678" s="35">
        <v>6</v>
      </c>
      <c r="M678" s="35">
        <v>11</v>
      </c>
      <c r="N678" s="28">
        <v>11</v>
      </c>
      <c r="O678" s="7">
        <f t="shared" si="169"/>
        <v>44</v>
      </c>
      <c r="P678" s="57">
        <v>43636</v>
      </c>
    </row>
    <row r="679" spans="1:17" x14ac:dyDescent="0.15">
      <c r="A679" s="15" t="s">
        <v>1005</v>
      </c>
      <c r="B679" s="8"/>
      <c r="C679" s="10">
        <v>1</v>
      </c>
      <c r="D679" s="10"/>
      <c r="E679" s="10">
        <v>1</v>
      </c>
      <c r="F679" s="28"/>
      <c r="G679" s="9">
        <f t="shared" si="167"/>
        <v>2</v>
      </c>
      <c r="H679" s="58">
        <v>43634</v>
      </c>
      <c r="I679" s="15" t="s">
        <v>4</v>
      </c>
      <c r="J679" s="8">
        <v>3</v>
      </c>
      <c r="K679" s="10">
        <v>2</v>
      </c>
      <c r="L679" s="10">
        <v>4</v>
      </c>
      <c r="M679" s="10">
        <v>3</v>
      </c>
      <c r="N679" s="28">
        <v>4</v>
      </c>
      <c r="O679" s="9">
        <f t="shared" si="169"/>
        <v>16</v>
      </c>
      <c r="P679" s="58">
        <v>43666</v>
      </c>
    </row>
    <row r="680" spans="1:17" x14ac:dyDescent="0.15">
      <c r="A680" s="15" t="s">
        <v>1033</v>
      </c>
      <c r="B680" s="8"/>
      <c r="C680" s="10"/>
      <c r="D680" s="10">
        <v>1</v>
      </c>
      <c r="E680" s="10"/>
      <c r="F680" s="28"/>
      <c r="G680" s="9">
        <f t="shared" si="167"/>
        <v>1</v>
      </c>
      <c r="H680" s="58">
        <v>43635</v>
      </c>
      <c r="I680" s="15" t="s">
        <v>5</v>
      </c>
      <c r="J680" s="8"/>
      <c r="K680" s="10"/>
      <c r="L680" s="10"/>
      <c r="M680" s="10"/>
      <c r="N680" s="28"/>
      <c r="O680" s="9">
        <f t="shared" si="169"/>
        <v>0</v>
      </c>
    </row>
    <row r="681" spans="1:17" x14ac:dyDescent="0.15">
      <c r="A681" s="15" t="s">
        <v>19</v>
      </c>
      <c r="B681" s="8"/>
      <c r="C681" s="10"/>
      <c r="D681" s="10">
        <v>1</v>
      </c>
      <c r="E681" s="10"/>
      <c r="F681" s="28">
        <v>1</v>
      </c>
      <c r="G681" s="9">
        <f t="shared" si="167"/>
        <v>2</v>
      </c>
      <c r="H681" s="58">
        <v>43636</v>
      </c>
      <c r="I681" s="15" t="s">
        <v>6</v>
      </c>
      <c r="J681" s="8"/>
      <c r="K681" s="10"/>
      <c r="L681" s="10"/>
      <c r="M681" s="10"/>
      <c r="N681" s="28"/>
      <c r="O681" s="9">
        <f t="shared" si="169"/>
        <v>0</v>
      </c>
    </row>
    <row r="682" spans="1:17" x14ac:dyDescent="0.15">
      <c r="A682" s="15" t="s">
        <v>6</v>
      </c>
      <c r="B682" s="11">
        <v>3</v>
      </c>
      <c r="C682" s="12">
        <v>3</v>
      </c>
      <c r="D682" s="12">
        <v>5</v>
      </c>
      <c r="E682" s="12">
        <v>3</v>
      </c>
      <c r="F682" s="31">
        <v>3</v>
      </c>
      <c r="G682" s="7">
        <f t="shared" si="167"/>
        <v>17</v>
      </c>
      <c r="H682" s="58">
        <v>43643</v>
      </c>
      <c r="I682" s="15" t="s">
        <v>84</v>
      </c>
      <c r="J682" s="11"/>
      <c r="K682" s="12"/>
      <c r="L682" s="12"/>
      <c r="M682" s="12"/>
      <c r="N682" s="31"/>
      <c r="O682" s="7">
        <f t="shared" si="169"/>
        <v>0</v>
      </c>
    </row>
    <row r="683" spans="1:17" x14ac:dyDescent="0.15">
      <c r="A683" s="15" t="s">
        <v>1033</v>
      </c>
      <c r="B683" s="8"/>
      <c r="C683" s="10">
        <v>1</v>
      </c>
      <c r="D683" s="10"/>
      <c r="E683" s="10"/>
      <c r="F683" s="30"/>
      <c r="G683" s="7">
        <f t="shared" si="167"/>
        <v>1</v>
      </c>
      <c r="H683" s="58">
        <v>43642</v>
      </c>
      <c r="I683" s="15" t="s">
        <v>85</v>
      </c>
      <c r="J683" s="8"/>
      <c r="K683" s="10"/>
      <c r="L683" s="10"/>
      <c r="M683" s="10"/>
      <c r="N683" s="30"/>
      <c r="O683" s="7">
        <f t="shared" si="169"/>
        <v>0</v>
      </c>
    </row>
    <row r="684" spans="1:17" x14ac:dyDescent="0.15">
      <c r="A684" s="15" t="s">
        <v>111</v>
      </c>
      <c r="B684" s="8"/>
      <c r="C684" s="10">
        <v>1</v>
      </c>
      <c r="D684" s="10"/>
      <c r="E684" s="10"/>
      <c r="F684" s="30"/>
      <c r="G684" s="7">
        <f t="shared" si="167"/>
        <v>1</v>
      </c>
      <c r="H684" s="58">
        <v>43649</v>
      </c>
      <c r="I684" s="16" t="s">
        <v>88</v>
      </c>
      <c r="J684" s="8"/>
      <c r="K684" s="10"/>
      <c r="L684" s="10"/>
      <c r="M684" s="10"/>
      <c r="N684" s="30"/>
      <c r="O684" s="7">
        <f t="shared" si="169"/>
        <v>0</v>
      </c>
    </row>
    <row r="685" spans="1:17" ht="14.25" thickBot="1" x14ac:dyDescent="0.2">
      <c r="A685" s="15" t="s">
        <v>19</v>
      </c>
      <c r="B685" s="11"/>
      <c r="C685" s="100"/>
      <c r="D685" s="100">
        <v>2</v>
      </c>
      <c r="E685" s="100">
        <v>1</v>
      </c>
      <c r="F685" s="101">
        <v>1</v>
      </c>
      <c r="G685" s="102">
        <f t="shared" si="167"/>
        <v>4</v>
      </c>
      <c r="H685" s="58">
        <v>43651</v>
      </c>
      <c r="I685" s="15" t="s">
        <v>87</v>
      </c>
      <c r="J685" s="11"/>
      <c r="K685" s="100"/>
      <c r="L685" s="100"/>
      <c r="M685" s="100"/>
      <c r="N685" s="101"/>
      <c r="O685" s="102">
        <f t="shared" si="169"/>
        <v>0</v>
      </c>
    </row>
    <row r="686" spans="1:17" ht="14.25" thickBot="1" x14ac:dyDescent="0.2">
      <c r="A686" s="72" t="s">
        <v>7</v>
      </c>
      <c r="B686" s="73">
        <f>SUM(B677:B685)</f>
        <v>16</v>
      </c>
      <c r="C686" s="74">
        <f t="shared" ref="C686:F686" si="170">SUM(C677:C685)</f>
        <v>22</v>
      </c>
      <c r="D686" s="74">
        <f t="shared" si="170"/>
        <v>21</v>
      </c>
      <c r="E686" s="74">
        <f t="shared" si="170"/>
        <v>21</v>
      </c>
      <c r="F686" s="105">
        <f t="shared" si="170"/>
        <v>20</v>
      </c>
      <c r="G686" s="76">
        <f t="shared" si="167"/>
        <v>100</v>
      </c>
      <c r="H686" s="56"/>
      <c r="I686" s="72" t="s">
        <v>7</v>
      </c>
      <c r="J686" s="73">
        <f>SUM(J677:J685)</f>
        <v>198</v>
      </c>
      <c r="K686" s="74">
        <f t="shared" ref="K686:N686" si="171">SUM(K677:K685)</f>
        <v>259</v>
      </c>
      <c r="L686" s="74">
        <f t="shared" si="171"/>
        <v>219</v>
      </c>
      <c r="M686" s="74">
        <f t="shared" si="171"/>
        <v>207</v>
      </c>
      <c r="N686" s="105">
        <f t="shared" si="171"/>
        <v>180</v>
      </c>
      <c r="O686" s="76">
        <f t="shared" si="169"/>
        <v>1063</v>
      </c>
    </row>
    <row r="687" spans="1:17" x14ac:dyDescent="0.15">
      <c r="A687" s="16" t="s">
        <v>25</v>
      </c>
      <c r="B687" s="37"/>
      <c r="C687" s="35"/>
      <c r="D687" s="35">
        <v>1</v>
      </c>
      <c r="E687" s="35"/>
      <c r="F687" s="28"/>
      <c r="G687" s="18">
        <f t="shared" si="167"/>
        <v>1</v>
      </c>
      <c r="H687" s="58">
        <v>43619</v>
      </c>
      <c r="I687" s="16" t="s">
        <v>992</v>
      </c>
      <c r="J687" s="37">
        <v>6</v>
      </c>
      <c r="K687" s="35"/>
      <c r="L687" s="35"/>
      <c r="M687" s="35"/>
      <c r="N687" s="28">
        <v>3</v>
      </c>
      <c r="O687" s="7">
        <f t="shared" si="169"/>
        <v>9</v>
      </c>
      <c r="P687" s="58">
        <v>43622</v>
      </c>
    </row>
    <row r="688" spans="1:17" x14ac:dyDescent="0.15">
      <c r="A688" s="16" t="s">
        <v>117</v>
      </c>
      <c r="B688" s="8"/>
      <c r="C688" s="10"/>
      <c r="D688" s="10"/>
      <c r="E688" s="10">
        <v>1</v>
      </c>
      <c r="F688" s="30"/>
      <c r="G688" s="7">
        <f t="shared" si="167"/>
        <v>1</v>
      </c>
      <c r="H688" s="58">
        <v>43621</v>
      </c>
      <c r="I688" s="16" t="s">
        <v>25</v>
      </c>
      <c r="J688" s="8">
        <v>1</v>
      </c>
      <c r="K688" s="10"/>
      <c r="L688" s="10"/>
      <c r="M688" s="10"/>
      <c r="N688" s="30"/>
      <c r="O688" s="7">
        <f t="shared" si="169"/>
        <v>1</v>
      </c>
      <c r="P688" s="58">
        <v>43614</v>
      </c>
      <c r="Q688" s="56"/>
    </row>
    <row r="689" spans="1:17" x14ac:dyDescent="0.15">
      <c r="A689" s="16" t="s">
        <v>215</v>
      </c>
      <c r="B689" s="8"/>
      <c r="C689" s="10">
        <v>2</v>
      </c>
      <c r="D689" s="10"/>
      <c r="E689" s="10"/>
      <c r="F689" s="30"/>
      <c r="G689" s="7">
        <f t="shared" si="167"/>
        <v>2</v>
      </c>
      <c r="H689" s="58">
        <v>43623</v>
      </c>
      <c r="I689" s="16" t="s">
        <v>22</v>
      </c>
      <c r="J689" s="8">
        <v>10</v>
      </c>
      <c r="K689" s="10">
        <v>10</v>
      </c>
      <c r="L689" s="10"/>
      <c r="M689" s="10"/>
      <c r="N689" s="30">
        <v>10</v>
      </c>
      <c r="O689" s="7">
        <f t="shared" si="169"/>
        <v>30</v>
      </c>
      <c r="P689" s="58">
        <v>43619</v>
      </c>
      <c r="Q689" s="56"/>
    </row>
    <row r="690" spans="1:17" x14ac:dyDescent="0.15">
      <c r="A690" s="16" t="s">
        <v>117</v>
      </c>
      <c r="B690" s="8"/>
      <c r="C690" s="10"/>
      <c r="D690" s="10"/>
      <c r="E690" s="10">
        <v>1</v>
      </c>
      <c r="F690" s="30"/>
      <c r="G690" s="7">
        <f t="shared" si="167"/>
        <v>1</v>
      </c>
      <c r="H690" s="58">
        <v>43627</v>
      </c>
      <c r="I690" s="16" t="s">
        <v>996</v>
      </c>
      <c r="J690" s="8"/>
      <c r="K690" s="10"/>
      <c r="L690" s="10">
        <v>10</v>
      </c>
      <c r="M690" s="10"/>
      <c r="N690" s="30"/>
      <c r="O690" s="7">
        <f t="shared" si="169"/>
        <v>10</v>
      </c>
      <c r="P690" s="58">
        <v>43622</v>
      </c>
      <c r="Q690" s="56"/>
    </row>
    <row r="691" spans="1:17" x14ac:dyDescent="0.15">
      <c r="A691" s="16" t="s">
        <v>29</v>
      </c>
      <c r="B691" s="8"/>
      <c r="C691" s="10"/>
      <c r="D691" s="10"/>
      <c r="E691" s="10">
        <v>1</v>
      </c>
      <c r="F691" s="30"/>
      <c r="G691" s="7">
        <f t="shared" si="167"/>
        <v>1</v>
      </c>
      <c r="H691" s="58">
        <v>43626</v>
      </c>
      <c r="I691" s="16" t="s">
        <v>1017</v>
      </c>
      <c r="J691" s="8">
        <v>2</v>
      </c>
      <c r="K691" s="10">
        <v>4</v>
      </c>
      <c r="L691" s="10">
        <v>4</v>
      </c>
      <c r="M691" s="10">
        <v>5</v>
      </c>
      <c r="N691" s="30">
        <v>4</v>
      </c>
      <c r="O691" s="7">
        <f t="shared" si="169"/>
        <v>19</v>
      </c>
      <c r="P691" s="58">
        <v>43621</v>
      </c>
    </row>
    <row r="692" spans="1:17" x14ac:dyDescent="0.15">
      <c r="A692" s="16" t="s">
        <v>117</v>
      </c>
      <c r="B692" s="8"/>
      <c r="C692" s="10"/>
      <c r="D692" s="10"/>
      <c r="E692" s="10"/>
      <c r="F692" s="30">
        <v>1</v>
      </c>
      <c r="G692" s="7">
        <f t="shared" si="167"/>
        <v>1</v>
      </c>
      <c r="H692" s="58">
        <v>43629</v>
      </c>
      <c r="I692" s="16" t="s">
        <v>999</v>
      </c>
      <c r="J692" s="8"/>
      <c r="K692" s="10"/>
      <c r="L692" s="10"/>
      <c r="M692" s="10"/>
      <c r="N692" s="30">
        <v>1</v>
      </c>
      <c r="O692" s="7">
        <f t="shared" si="169"/>
        <v>1</v>
      </c>
      <c r="P692" s="58">
        <v>43626</v>
      </c>
    </row>
    <row r="693" spans="1:17" x14ac:dyDescent="0.15">
      <c r="A693" s="16" t="s">
        <v>215</v>
      </c>
      <c r="B693" s="8">
        <v>2</v>
      </c>
      <c r="C693" s="10"/>
      <c r="D693" s="10">
        <v>3</v>
      </c>
      <c r="E693" s="10"/>
      <c r="F693" s="30"/>
      <c r="G693" s="7">
        <f t="shared" si="167"/>
        <v>5</v>
      </c>
      <c r="H693" s="58">
        <v>43630</v>
      </c>
      <c r="I693" s="16" t="s">
        <v>25</v>
      </c>
      <c r="J693" s="8"/>
      <c r="K693" s="10">
        <v>1</v>
      </c>
      <c r="L693" s="10"/>
      <c r="M693" s="10"/>
      <c r="N693" s="30"/>
      <c r="O693" s="7">
        <f t="shared" si="169"/>
        <v>1</v>
      </c>
      <c r="P693" s="58">
        <v>43621</v>
      </c>
    </row>
    <row r="694" spans="1:17" x14ac:dyDescent="0.15">
      <c r="A694" s="16" t="s">
        <v>29</v>
      </c>
      <c r="B694" s="8">
        <v>1</v>
      </c>
      <c r="C694" s="10"/>
      <c r="D694" s="10"/>
      <c r="E694" s="10"/>
      <c r="F694" s="30"/>
      <c r="G694" s="7">
        <f t="shared" si="167"/>
        <v>1</v>
      </c>
      <c r="H694" s="58">
        <v>43634</v>
      </c>
      <c r="I694" s="16" t="s">
        <v>1000</v>
      </c>
      <c r="J694" s="8"/>
      <c r="K694" s="10"/>
      <c r="L694" s="10"/>
      <c r="M694" s="10"/>
      <c r="N694" s="30">
        <v>2</v>
      </c>
      <c r="O694" s="7">
        <f t="shared" si="169"/>
        <v>2</v>
      </c>
      <c r="P694" s="58">
        <v>43633</v>
      </c>
    </row>
    <row r="695" spans="1:17" x14ac:dyDescent="0.15">
      <c r="A695" s="16" t="s">
        <v>215</v>
      </c>
      <c r="B695" s="8"/>
      <c r="C695" s="10">
        <v>3</v>
      </c>
      <c r="D695" s="10"/>
      <c r="E695" s="10"/>
      <c r="F695" s="30"/>
      <c r="G695" s="7">
        <f t="shared" si="167"/>
        <v>3</v>
      </c>
      <c r="H695" s="58">
        <v>43637</v>
      </c>
      <c r="I695" s="14" t="s">
        <v>1028</v>
      </c>
      <c r="J695" s="8"/>
      <c r="K695" s="10"/>
      <c r="L695" s="10"/>
      <c r="M695" s="10"/>
      <c r="N695" s="30">
        <v>3</v>
      </c>
      <c r="O695" s="7">
        <f t="shared" si="169"/>
        <v>3</v>
      </c>
      <c r="P695" s="58">
        <v>43629</v>
      </c>
    </row>
    <row r="696" spans="1:17" x14ac:dyDescent="0.15">
      <c r="A696" s="16" t="s">
        <v>1035</v>
      </c>
      <c r="B696" s="8">
        <v>7</v>
      </c>
      <c r="C696" s="10">
        <v>9</v>
      </c>
      <c r="D696" s="10">
        <v>6</v>
      </c>
      <c r="E696" s="10">
        <v>11</v>
      </c>
      <c r="F696" s="30">
        <v>11</v>
      </c>
      <c r="G696" s="7">
        <f t="shared" si="167"/>
        <v>44</v>
      </c>
      <c r="H696" s="58">
        <v>43636</v>
      </c>
      <c r="I696" s="14" t="s">
        <v>1029</v>
      </c>
      <c r="J696" s="11"/>
      <c r="K696" s="12"/>
      <c r="L696" s="12"/>
      <c r="M696" s="12">
        <v>2</v>
      </c>
      <c r="N696" s="31"/>
      <c r="O696" s="7">
        <f t="shared" si="169"/>
        <v>2</v>
      </c>
      <c r="P696" s="58">
        <v>43633</v>
      </c>
    </row>
    <row r="697" spans="1:17" x14ac:dyDescent="0.15">
      <c r="A697" s="16" t="s">
        <v>215</v>
      </c>
      <c r="B697" s="8">
        <v>1</v>
      </c>
      <c r="C697" s="10"/>
      <c r="D697" s="10">
        <v>3</v>
      </c>
      <c r="E697" s="10"/>
      <c r="F697" s="30"/>
      <c r="G697" s="7">
        <f t="shared" si="167"/>
        <v>4</v>
      </c>
      <c r="H697" s="58">
        <v>43641</v>
      </c>
      <c r="I697" s="16" t="s">
        <v>1004</v>
      </c>
      <c r="J697" s="8">
        <v>5</v>
      </c>
      <c r="K697" s="10"/>
      <c r="L697" s="10"/>
      <c r="M697" s="10"/>
      <c r="N697" s="30">
        <v>5</v>
      </c>
      <c r="O697" s="7">
        <f t="shared" si="169"/>
        <v>10</v>
      </c>
      <c r="P697" s="58">
        <v>43635</v>
      </c>
    </row>
    <row r="698" spans="1:17" x14ac:dyDescent="0.15">
      <c r="A698" s="16" t="s">
        <v>29</v>
      </c>
      <c r="B698" s="8">
        <v>1</v>
      </c>
      <c r="C698" s="10">
        <v>1</v>
      </c>
      <c r="D698" s="10"/>
      <c r="E698" s="10"/>
      <c r="F698" s="30"/>
      <c r="G698" s="7">
        <f t="shared" si="167"/>
        <v>2</v>
      </c>
      <c r="H698" s="58">
        <v>43644</v>
      </c>
      <c r="I698" s="16" t="s">
        <v>1007</v>
      </c>
      <c r="J698" s="8"/>
      <c r="K698" s="10"/>
      <c r="L698" s="10"/>
      <c r="M698" s="10">
        <v>2</v>
      </c>
      <c r="N698" s="30"/>
      <c r="O698" s="7">
        <f t="shared" si="169"/>
        <v>2</v>
      </c>
      <c r="P698" s="58">
        <v>43637</v>
      </c>
    </row>
    <row r="699" spans="1:17" x14ac:dyDescent="0.15">
      <c r="A699" s="15" t="s">
        <v>19</v>
      </c>
      <c r="B699" s="8"/>
      <c r="C699" s="10"/>
      <c r="D699" s="10"/>
      <c r="E699" s="10">
        <v>-1</v>
      </c>
      <c r="F699" s="30">
        <v>-1</v>
      </c>
      <c r="G699" s="7">
        <f t="shared" si="167"/>
        <v>-2</v>
      </c>
      <c r="H699" s="58">
        <v>43654</v>
      </c>
      <c r="I699" s="16" t="s">
        <v>25</v>
      </c>
      <c r="J699" s="8"/>
      <c r="K699" s="10"/>
      <c r="L699" s="10">
        <v>1</v>
      </c>
      <c r="M699" s="10"/>
      <c r="N699" s="30"/>
      <c r="O699" s="7">
        <f t="shared" si="169"/>
        <v>1</v>
      </c>
      <c r="P699" s="58">
        <v>43635</v>
      </c>
    </row>
    <row r="700" spans="1:17" x14ac:dyDescent="0.15">
      <c r="A700" s="16" t="s">
        <v>1057</v>
      </c>
      <c r="B700" s="8"/>
      <c r="C700" s="10"/>
      <c r="D700" s="10">
        <v>-1</v>
      </c>
      <c r="E700" s="10"/>
      <c r="F700" s="30"/>
      <c r="G700" s="7">
        <f t="shared" si="167"/>
        <v>-1</v>
      </c>
      <c r="H700" s="58">
        <v>43655</v>
      </c>
      <c r="I700" s="51" t="s">
        <v>1050</v>
      </c>
      <c r="J700" s="8"/>
      <c r="K700" s="10"/>
      <c r="L700" s="10"/>
      <c r="M700" s="10">
        <v>10</v>
      </c>
      <c r="N700" s="30">
        <v>10</v>
      </c>
      <c r="O700" s="7">
        <f t="shared" si="169"/>
        <v>20</v>
      </c>
      <c r="P700" s="58">
        <v>43643</v>
      </c>
    </row>
    <row r="701" spans="1:17" x14ac:dyDescent="0.15">
      <c r="A701" s="16" t="s">
        <v>1063</v>
      </c>
      <c r="B701" s="8">
        <v>-1</v>
      </c>
      <c r="C701" s="10">
        <v>-1</v>
      </c>
      <c r="D701" s="10"/>
      <c r="E701" s="10"/>
      <c r="F701" s="30"/>
      <c r="G701" s="7">
        <f t="shared" si="167"/>
        <v>-2</v>
      </c>
      <c r="H701" s="58">
        <v>43658</v>
      </c>
      <c r="I701" s="51" t="s">
        <v>1068</v>
      </c>
      <c r="J701" s="8">
        <v>5</v>
      </c>
      <c r="K701" s="10">
        <v>6</v>
      </c>
      <c r="L701" s="10">
        <v>3</v>
      </c>
      <c r="M701" s="10">
        <v>5</v>
      </c>
      <c r="N701" s="30">
        <v>4</v>
      </c>
      <c r="O701" s="7">
        <f t="shared" ref="O701:O710" si="172">SUM(J701:N701)</f>
        <v>23</v>
      </c>
      <c r="P701" s="58">
        <v>43649</v>
      </c>
    </row>
    <row r="702" spans="1:17" x14ac:dyDescent="0.15">
      <c r="A702" s="16" t="s">
        <v>175</v>
      </c>
      <c r="B702" s="8"/>
      <c r="C702" s="10"/>
      <c r="D702" s="10"/>
      <c r="E702" s="10">
        <v>-1</v>
      </c>
      <c r="F702" s="30"/>
      <c r="G702" s="7">
        <f t="shared" si="167"/>
        <v>-1</v>
      </c>
      <c r="H702" s="58">
        <v>43665</v>
      </c>
      <c r="I702" s="16" t="s">
        <v>22</v>
      </c>
      <c r="J702" s="8"/>
      <c r="K702" s="10">
        <v>10</v>
      </c>
      <c r="L702" s="10">
        <v>10</v>
      </c>
      <c r="M702" s="10"/>
      <c r="N702" s="30"/>
      <c r="O702" s="7">
        <f t="shared" si="172"/>
        <v>20</v>
      </c>
      <c r="P702" s="58">
        <v>43650</v>
      </c>
    </row>
    <row r="703" spans="1:17" x14ac:dyDescent="0.15">
      <c r="A703" s="16" t="s">
        <v>1001</v>
      </c>
      <c r="B703" s="8">
        <v>3</v>
      </c>
      <c r="C703" s="10">
        <v>2</v>
      </c>
      <c r="D703" s="10">
        <v>4</v>
      </c>
      <c r="E703" s="10">
        <v>3</v>
      </c>
      <c r="F703" s="30">
        <v>4</v>
      </c>
      <c r="G703" s="7">
        <f t="shared" si="167"/>
        <v>16</v>
      </c>
      <c r="H703" s="58">
        <v>43666</v>
      </c>
      <c r="I703" s="16" t="s">
        <v>25</v>
      </c>
      <c r="J703" s="8"/>
      <c r="K703" s="10"/>
      <c r="L703" s="10"/>
      <c r="M703" s="10"/>
      <c r="N703" s="30">
        <v>1</v>
      </c>
      <c r="O703" s="7">
        <f t="shared" si="172"/>
        <v>1</v>
      </c>
      <c r="P703" s="58">
        <v>43642</v>
      </c>
    </row>
    <row r="704" spans="1:17" x14ac:dyDescent="0.15">
      <c r="A704" s="16"/>
      <c r="B704" s="8"/>
      <c r="C704" s="10"/>
      <c r="D704" s="10"/>
      <c r="E704" s="10"/>
      <c r="F704" s="30"/>
      <c r="G704" s="7">
        <f t="shared" si="167"/>
        <v>0</v>
      </c>
      <c r="H704" s="58"/>
      <c r="I704" s="16" t="s">
        <v>24</v>
      </c>
      <c r="J704" s="11">
        <v>3</v>
      </c>
      <c r="K704" s="12">
        <v>3</v>
      </c>
      <c r="L704" s="12">
        <v>5</v>
      </c>
      <c r="M704" s="12">
        <v>3</v>
      </c>
      <c r="N704" s="31">
        <v>3</v>
      </c>
      <c r="O704" s="7">
        <f t="shared" si="172"/>
        <v>17</v>
      </c>
      <c r="P704" s="58">
        <v>43643</v>
      </c>
      <c r="Q704" s="56"/>
    </row>
    <row r="705" spans="1:17" x14ac:dyDescent="0.15">
      <c r="A705" s="16"/>
      <c r="B705" s="8"/>
      <c r="C705" s="10"/>
      <c r="D705" s="10"/>
      <c r="E705" s="10"/>
      <c r="F705" s="30"/>
      <c r="G705" s="7">
        <f>SUM(B705:F705)</f>
        <v>0</v>
      </c>
      <c r="H705" s="58"/>
      <c r="I705" s="14" t="s">
        <v>22</v>
      </c>
      <c r="J705" s="8"/>
      <c r="K705" s="10"/>
      <c r="L705" s="10"/>
      <c r="M705" s="10">
        <v>10</v>
      </c>
      <c r="N705" s="30">
        <v>10</v>
      </c>
      <c r="O705" s="7">
        <f t="shared" si="172"/>
        <v>20</v>
      </c>
      <c r="P705" s="58">
        <v>43650</v>
      </c>
      <c r="Q705" s="56"/>
    </row>
    <row r="706" spans="1:17" x14ac:dyDescent="0.15">
      <c r="A706" s="16"/>
      <c r="B706" s="8"/>
      <c r="C706" s="10"/>
      <c r="D706" s="10"/>
      <c r="E706" s="10"/>
      <c r="F706" s="30"/>
      <c r="G706" s="7">
        <f>SUM(B706:F706)</f>
        <v>0</v>
      </c>
      <c r="H706" s="58"/>
      <c r="I706" s="16" t="s">
        <v>25</v>
      </c>
      <c r="J706" s="11"/>
      <c r="K706" s="12"/>
      <c r="L706" s="12"/>
      <c r="M706" s="12">
        <v>1</v>
      </c>
      <c r="N706" s="31"/>
      <c r="O706" s="7">
        <f t="shared" si="172"/>
        <v>1</v>
      </c>
      <c r="P706" s="58">
        <v>43651</v>
      </c>
      <c r="Q706" s="56"/>
    </row>
    <row r="707" spans="1:17" x14ac:dyDescent="0.15">
      <c r="A707" s="16"/>
      <c r="B707" s="8"/>
      <c r="C707" s="10"/>
      <c r="D707" s="10"/>
      <c r="E707" s="10"/>
      <c r="F707" s="30"/>
      <c r="G707" s="7">
        <f t="shared" ref="G707:G712" si="173">SUM(B707:F707)</f>
        <v>0</v>
      </c>
      <c r="H707" s="58"/>
      <c r="I707" s="14" t="s">
        <v>22</v>
      </c>
      <c r="J707" s="11"/>
      <c r="K707" s="12"/>
      <c r="L707" s="12"/>
      <c r="M707" s="12">
        <v>10</v>
      </c>
      <c r="N707" s="31"/>
      <c r="O707" s="7">
        <f t="shared" si="172"/>
        <v>10</v>
      </c>
      <c r="P707" s="58">
        <v>43662</v>
      </c>
      <c r="Q707" s="56"/>
    </row>
    <row r="708" spans="1:17" x14ac:dyDescent="0.15">
      <c r="A708" s="16"/>
      <c r="B708" s="11"/>
      <c r="C708" s="12"/>
      <c r="D708" s="12"/>
      <c r="E708" s="12"/>
      <c r="F708" s="31"/>
      <c r="G708" s="7">
        <f t="shared" si="173"/>
        <v>0</v>
      </c>
      <c r="H708" s="58"/>
      <c r="I708" s="16" t="s">
        <v>25</v>
      </c>
      <c r="J708" s="11"/>
      <c r="K708" s="12">
        <v>1</v>
      </c>
      <c r="L708" s="12"/>
      <c r="M708" s="12"/>
      <c r="N708" s="31"/>
      <c r="O708" s="7">
        <f t="shared" si="172"/>
        <v>1</v>
      </c>
      <c r="P708" s="58">
        <v>43664</v>
      </c>
      <c r="Q708" s="56"/>
    </row>
    <row r="709" spans="1:17" x14ac:dyDescent="0.15">
      <c r="A709" s="16"/>
      <c r="B709" s="8"/>
      <c r="C709" s="10"/>
      <c r="D709" s="10"/>
      <c r="E709" s="10"/>
      <c r="F709" s="30"/>
      <c r="G709" s="7">
        <f t="shared" si="173"/>
        <v>0</v>
      </c>
      <c r="H709" s="58"/>
      <c r="I709" s="157" t="s">
        <v>1047</v>
      </c>
      <c r="J709" s="158"/>
      <c r="K709" s="159">
        <v>5</v>
      </c>
      <c r="L709" s="159"/>
      <c r="M709" s="159"/>
      <c r="N709" s="160"/>
      <c r="O709" s="161">
        <f t="shared" si="172"/>
        <v>5</v>
      </c>
      <c r="P709" s="162">
        <v>43665</v>
      </c>
      <c r="Q709" s="56"/>
    </row>
    <row r="710" spans="1:17" x14ac:dyDescent="0.15">
      <c r="A710" s="15"/>
      <c r="B710" s="37"/>
      <c r="C710" s="35"/>
      <c r="D710" s="35"/>
      <c r="E710" s="35"/>
      <c r="F710" s="28"/>
      <c r="G710" s="7">
        <f t="shared" si="173"/>
        <v>0</v>
      </c>
      <c r="H710" s="58"/>
      <c r="I710" s="16" t="s">
        <v>957</v>
      </c>
      <c r="J710" s="11"/>
      <c r="K710" s="12"/>
      <c r="L710" s="12"/>
      <c r="M710" s="12"/>
      <c r="N710" s="31"/>
      <c r="O710" s="7">
        <f t="shared" si="172"/>
        <v>0</v>
      </c>
      <c r="P710" s="58" t="s">
        <v>1022</v>
      </c>
    </row>
    <row r="711" spans="1:17" x14ac:dyDescent="0.15">
      <c r="A711" s="16"/>
      <c r="B711" s="8"/>
      <c r="C711" s="10"/>
      <c r="D711" s="10"/>
      <c r="E711" s="10"/>
      <c r="F711" s="30"/>
      <c r="G711" s="9">
        <f t="shared" si="173"/>
        <v>0</v>
      </c>
      <c r="H711" s="58"/>
      <c r="I711" s="16" t="s">
        <v>30</v>
      </c>
      <c r="J711" s="11"/>
      <c r="K711" s="12"/>
      <c r="L711" s="12"/>
      <c r="M711" s="12"/>
      <c r="N711" s="31"/>
      <c r="O711" s="7">
        <f t="shared" si="169"/>
        <v>0</v>
      </c>
      <c r="P711" s="171" t="s">
        <v>998</v>
      </c>
    </row>
    <row r="712" spans="1:17" ht="14.25" thickBot="1" x14ac:dyDescent="0.2">
      <c r="A712" s="51"/>
      <c r="B712" s="37"/>
      <c r="C712" s="35"/>
      <c r="D712" s="35"/>
      <c r="E712" s="35"/>
      <c r="F712" s="28"/>
      <c r="G712" s="7">
        <f t="shared" si="173"/>
        <v>0</v>
      </c>
      <c r="H712" s="58"/>
      <c r="I712" s="16" t="s">
        <v>30</v>
      </c>
      <c r="J712" s="8"/>
      <c r="K712" s="10"/>
      <c r="L712" s="10"/>
      <c r="M712" s="10"/>
      <c r="N712" s="30"/>
      <c r="O712" s="7">
        <f t="shared" si="169"/>
        <v>0</v>
      </c>
      <c r="P712" s="58" t="s">
        <v>976</v>
      </c>
    </row>
    <row r="713" spans="1:17" ht="14.25" thickBot="1" x14ac:dyDescent="0.2">
      <c r="A713" s="3" t="s">
        <v>11</v>
      </c>
      <c r="B713" s="23">
        <f>SUM(B687:B712)</f>
        <v>14</v>
      </c>
      <c r="C713" s="4">
        <f>SUM(C687:C712)</f>
        <v>16</v>
      </c>
      <c r="D713" s="4">
        <f>SUM(D687:D712)</f>
        <v>16</v>
      </c>
      <c r="E713" s="6">
        <f>SUM(E687:E712)</f>
        <v>15</v>
      </c>
      <c r="F713" s="32">
        <f>SUM(F687:F712)</f>
        <v>15</v>
      </c>
      <c r="G713" s="5">
        <f>SUM(B713:F713)</f>
        <v>76</v>
      </c>
      <c r="H713" s="56"/>
      <c r="I713" s="3" t="s">
        <v>11</v>
      </c>
      <c r="J713" s="23">
        <f>SUM(J687:J712)</f>
        <v>32</v>
      </c>
      <c r="K713" s="4">
        <f>SUM(K687:K712)</f>
        <v>40</v>
      </c>
      <c r="L713" s="4">
        <f>SUM(L687:L712)</f>
        <v>33</v>
      </c>
      <c r="M713" s="6">
        <f>SUM(M687:M712)</f>
        <v>48</v>
      </c>
      <c r="N713" s="32">
        <f>SUM(N687:N712)</f>
        <v>56</v>
      </c>
      <c r="O713" s="5">
        <f>SUM(J713:N713)</f>
        <v>209</v>
      </c>
    </row>
    <row r="714" spans="1:17" ht="14.25" thickBot="1" x14ac:dyDescent="0.2">
      <c r="A714" s="25" t="s">
        <v>12</v>
      </c>
      <c r="B714" s="63">
        <f>B686-B713</f>
        <v>2</v>
      </c>
      <c r="C714" s="26">
        <f t="shared" ref="C714:G714" si="174">C686-C713</f>
        <v>6</v>
      </c>
      <c r="D714" s="71">
        <f t="shared" si="174"/>
        <v>5</v>
      </c>
      <c r="E714" s="26">
        <f t="shared" si="174"/>
        <v>6</v>
      </c>
      <c r="F714" s="70">
        <f t="shared" si="174"/>
        <v>5</v>
      </c>
      <c r="G714" s="27">
        <f t="shared" si="174"/>
        <v>24</v>
      </c>
      <c r="H714" s="56"/>
      <c r="I714" s="25" t="s">
        <v>12</v>
      </c>
      <c r="J714" s="63">
        <f>J686-J713</f>
        <v>166</v>
      </c>
      <c r="K714" s="26">
        <f t="shared" ref="K714:M714" si="175">K686-K713</f>
        <v>219</v>
      </c>
      <c r="L714" s="71">
        <f t="shared" si="175"/>
        <v>186</v>
      </c>
      <c r="M714" s="26">
        <f t="shared" si="175"/>
        <v>159</v>
      </c>
      <c r="N714" s="70">
        <f>N686-N713</f>
        <v>124</v>
      </c>
      <c r="O714" s="27">
        <f t="shared" ref="O714" si="176">O686-O713</f>
        <v>854</v>
      </c>
    </row>
    <row r="715" spans="1:17" ht="21" x14ac:dyDescent="0.2">
      <c r="A715" s="83" t="s">
        <v>415</v>
      </c>
      <c r="B715" s="77"/>
      <c r="C715" s="77"/>
      <c r="D715" s="77"/>
      <c r="E715" s="77"/>
      <c r="F715" s="77"/>
      <c r="G715" s="77"/>
      <c r="H715" s="56"/>
      <c r="I715" s="83" t="s">
        <v>415</v>
      </c>
      <c r="J715" s="77"/>
      <c r="K715" s="77"/>
      <c r="L715" s="77"/>
      <c r="M715" s="77"/>
      <c r="N715" s="77"/>
      <c r="O715" s="77"/>
    </row>
    <row r="716" spans="1:17" ht="21.75" thickBot="1" x14ac:dyDescent="0.25">
      <c r="A716" s="83" t="s">
        <v>47</v>
      </c>
      <c r="B716" s="77"/>
      <c r="C716" s="77"/>
      <c r="D716" s="77"/>
      <c r="E716" s="84"/>
      <c r="F716" s="78" t="s">
        <v>53</v>
      </c>
      <c r="G716" s="77"/>
      <c r="H716" s="56"/>
      <c r="I716" s="83" t="s">
        <v>47</v>
      </c>
      <c r="J716" s="77"/>
      <c r="K716" s="77"/>
      <c r="L716" s="77"/>
      <c r="M716" s="84"/>
      <c r="N716" s="78" t="s">
        <v>54</v>
      </c>
      <c r="O716" s="77"/>
    </row>
    <row r="717" spans="1:17" ht="14.25" thickBot="1" x14ac:dyDescent="0.2">
      <c r="A717" s="13" t="s">
        <v>0</v>
      </c>
      <c r="B717" s="228" t="s">
        <v>49</v>
      </c>
      <c r="C717" s="229"/>
      <c r="D717" s="229"/>
      <c r="E717" s="229"/>
      <c r="F717" s="230"/>
      <c r="G717" s="231"/>
      <c r="H717" s="56"/>
      <c r="I717" s="13" t="s">
        <v>0</v>
      </c>
      <c r="J717" s="228" t="s">
        <v>49</v>
      </c>
      <c r="K717" s="229"/>
      <c r="L717" s="229"/>
      <c r="M717" s="229"/>
      <c r="N717" s="230"/>
      <c r="O717" s="231"/>
    </row>
    <row r="718" spans="1:17" ht="14.25" thickBot="1" x14ac:dyDescent="0.2">
      <c r="A718" s="3" t="s">
        <v>1</v>
      </c>
      <c r="B718" s="2" t="s">
        <v>42</v>
      </c>
      <c r="C718" s="21" t="s">
        <v>43</v>
      </c>
      <c r="D718" s="21" t="s">
        <v>44</v>
      </c>
      <c r="E718" s="24" t="s">
        <v>45</v>
      </c>
      <c r="F718" s="33" t="s">
        <v>46</v>
      </c>
      <c r="G718" s="34" t="s">
        <v>2</v>
      </c>
      <c r="H718" s="56"/>
      <c r="I718" s="3" t="s">
        <v>1</v>
      </c>
      <c r="J718" s="2" t="s">
        <v>42</v>
      </c>
      <c r="K718" s="21" t="s">
        <v>43</v>
      </c>
      <c r="L718" s="21" t="s">
        <v>44</v>
      </c>
      <c r="M718" s="24" t="s">
        <v>45</v>
      </c>
      <c r="N718" s="33" t="s">
        <v>46</v>
      </c>
      <c r="O718" s="3" t="s">
        <v>2</v>
      </c>
    </row>
    <row r="719" spans="1:17" ht="14.25" thickBot="1" x14ac:dyDescent="0.2">
      <c r="A719" s="72" t="s">
        <v>527</v>
      </c>
      <c r="B719" s="73">
        <f>B714</f>
        <v>2</v>
      </c>
      <c r="C719" s="73">
        <f t="shared" ref="C719:F719" si="177">C714</f>
        <v>6</v>
      </c>
      <c r="D719" s="73">
        <f t="shared" si="177"/>
        <v>5</v>
      </c>
      <c r="E719" s="73">
        <f t="shared" si="177"/>
        <v>6</v>
      </c>
      <c r="F719" s="73">
        <f t="shared" si="177"/>
        <v>5</v>
      </c>
      <c r="G719" s="76">
        <f t="shared" ref="G719:G746" si="178">SUM(B719:F719)</f>
        <v>24</v>
      </c>
      <c r="H719" s="56"/>
      <c r="I719" s="96" t="s">
        <v>12</v>
      </c>
      <c r="J719" s="95">
        <f>J714</f>
        <v>166</v>
      </c>
      <c r="K719" s="97">
        <f t="shared" ref="K719:N719" si="179">K714</f>
        <v>219</v>
      </c>
      <c r="L719" s="97">
        <f t="shared" si="179"/>
        <v>186</v>
      </c>
      <c r="M719" s="97">
        <f t="shared" si="179"/>
        <v>159</v>
      </c>
      <c r="N719" s="54">
        <f t="shared" si="179"/>
        <v>124</v>
      </c>
      <c r="O719" s="52">
        <f t="shared" ref="O719:O751" si="180">SUM(J719:N719)</f>
        <v>854</v>
      </c>
    </row>
    <row r="720" spans="1:17" x14ac:dyDescent="0.15">
      <c r="A720" s="16" t="s">
        <v>39</v>
      </c>
      <c r="B720" s="37"/>
      <c r="C720" s="35">
        <v>1</v>
      </c>
      <c r="D720" s="35"/>
      <c r="E720" s="35"/>
      <c r="F720" s="28"/>
      <c r="G720" s="7">
        <f t="shared" si="178"/>
        <v>1</v>
      </c>
      <c r="H720" s="58">
        <v>43669</v>
      </c>
      <c r="I720" s="15" t="s">
        <v>3</v>
      </c>
      <c r="J720" s="37">
        <v>1</v>
      </c>
      <c r="K720" s="35">
        <v>4</v>
      </c>
      <c r="L720" s="35">
        <v>3</v>
      </c>
      <c r="M720" s="35">
        <v>1</v>
      </c>
      <c r="N720" s="28">
        <v>3</v>
      </c>
      <c r="O720" s="7">
        <f t="shared" si="180"/>
        <v>12</v>
      </c>
      <c r="P720" s="57">
        <v>43680</v>
      </c>
    </row>
    <row r="721" spans="1:17" x14ac:dyDescent="0.15">
      <c r="A721" s="15" t="s">
        <v>19</v>
      </c>
      <c r="B721" s="8">
        <v>2</v>
      </c>
      <c r="C721" s="10">
        <v>1</v>
      </c>
      <c r="D721" s="10">
        <v>1</v>
      </c>
      <c r="E721" s="10"/>
      <c r="F721" s="28">
        <v>2</v>
      </c>
      <c r="G721" s="9">
        <f t="shared" si="178"/>
        <v>6</v>
      </c>
      <c r="H721" s="58">
        <v>43672</v>
      </c>
      <c r="I721" s="175" t="s">
        <v>1121</v>
      </c>
      <c r="J721" s="182">
        <v>1</v>
      </c>
      <c r="K721" s="183">
        <v>1</v>
      </c>
      <c r="L721" s="183">
        <v>-2</v>
      </c>
      <c r="M721" s="183"/>
      <c r="N721" s="178">
        <v>2</v>
      </c>
      <c r="O721" s="184">
        <f t="shared" si="180"/>
        <v>2</v>
      </c>
      <c r="P721" s="180">
        <v>43708</v>
      </c>
    </row>
    <row r="722" spans="1:17" x14ac:dyDescent="0.15">
      <c r="A722" s="15" t="s">
        <v>261</v>
      </c>
      <c r="B722" s="8">
        <v>1</v>
      </c>
      <c r="C722" s="10">
        <v>1</v>
      </c>
      <c r="D722" s="10">
        <v>2</v>
      </c>
      <c r="E722" s="10"/>
      <c r="F722" s="28"/>
      <c r="G722" s="9">
        <f t="shared" si="178"/>
        <v>4</v>
      </c>
      <c r="H722" s="58">
        <v>43676</v>
      </c>
      <c r="I722" s="15" t="s">
        <v>5</v>
      </c>
      <c r="J722" s="8"/>
      <c r="K722" s="10"/>
      <c r="L722" s="10"/>
      <c r="M722" s="10"/>
      <c r="N722" s="28"/>
      <c r="O722" s="9">
        <f t="shared" si="180"/>
        <v>0</v>
      </c>
    </row>
    <row r="723" spans="1:17" x14ac:dyDescent="0.15">
      <c r="A723" s="16" t="s">
        <v>39</v>
      </c>
      <c r="B723" s="8">
        <v>1</v>
      </c>
      <c r="C723" s="10"/>
      <c r="D723" s="10"/>
      <c r="E723" s="10"/>
      <c r="F723" s="28"/>
      <c r="G723" s="9">
        <f t="shared" si="178"/>
        <v>1</v>
      </c>
      <c r="H723" s="58">
        <v>43683</v>
      </c>
      <c r="I723" s="15" t="s">
        <v>6</v>
      </c>
      <c r="J723" s="8"/>
      <c r="K723" s="10"/>
      <c r="L723" s="10"/>
      <c r="M723" s="10"/>
      <c r="N723" s="28"/>
      <c r="O723" s="9">
        <f t="shared" si="180"/>
        <v>0</v>
      </c>
    </row>
    <row r="724" spans="1:17" x14ac:dyDescent="0.15">
      <c r="A724" s="15" t="s">
        <v>6</v>
      </c>
      <c r="B724" s="11"/>
      <c r="C724" s="12">
        <v>5</v>
      </c>
      <c r="D724" s="12"/>
      <c r="E724" s="12"/>
      <c r="F724" s="31"/>
      <c r="G724" s="7">
        <f t="shared" si="178"/>
        <v>5</v>
      </c>
      <c r="H724" s="58">
        <v>43684</v>
      </c>
      <c r="I724" s="15" t="s">
        <v>84</v>
      </c>
      <c r="J724" s="11"/>
      <c r="K724" s="12"/>
      <c r="L724" s="12"/>
      <c r="M724" s="12"/>
      <c r="N724" s="31"/>
      <c r="O724" s="7">
        <f t="shared" si="180"/>
        <v>0</v>
      </c>
    </row>
    <row r="725" spans="1:17" x14ac:dyDescent="0.15">
      <c r="A725" s="15" t="s">
        <v>84</v>
      </c>
      <c r="B725" s="8"/>
      <c r="C725" s="10"/>
      <c r="D725" s="10"/>
      <c r="E725" s="10"/>
      <c r="F725" s="30">
        <v>5</v>
      </c>
      <c r="G725" s="7">
        <f t="shared" si="178"/>
        <v>5</v>
      </c>
      <c r="H725" s="58">
        <v>43698</v>
      </c>
      <c r="I725" s="15" t="s">
        <v>85</v>
      </c>
      <c r="J725" s="8"/>
      <c r="K725" s="10"/>
      <c r="L725" s="10"/>
      <c r="M725" s="10"/>
      <c r="N725" s="30"/>
      <c r="O725" s="7">
        <f t="shared" si="180"/>
        <v>0</v>
      </c>
    </row>
    <row r="726" spans="1:17" x14ac:dyDescent="0.15">
      <c r="A726" s="15" t="s">
        <v>19</v>
      </c>
      <c r="B726" s="8">
        <v>1</v>
      </c>
      <c r="C726" s="10">
        <v>1</v>
      </c>
      <c r="D726" s="10">
        <v>1</v>
      </c>
      <c r="E726" s="10"/>
      <c r="F726" s="30">
        <v>1</v>
      </c>
      <c r="G726" s="7">
        <f t="shared" si="178"/>
        <v>4</v>
      </c>
      <c r="H726" s="58">
        <v>43698</v>
      </c>
      <c r="I726" s="16" t="s">
        <v>88</v>
      </c>
      <c r="J726" s="8"/>
      <c r="K726" s="10"/>
      <c r="L726" s="10"/>
      <c r="M726" s="10"/>
      <c r="N726" s="30"/>
      <c r="O726" s="7">
        <f t="shared" si="180"/>
        <v>0</v>
      </c>
    </row>
    <row r="727" spans="1:17" ht="14.25" thickBot="1" x14ac:dyDescent="0.2">
      <c r="A727" s="15" t="s">
        <v>86</v>
      </c>
      <c r="B727" s="11"/>
      <c r="C727" s="100"/>
      <c r="D727" s="100"/>
      <c r="E727" s="100"/>
      <c r="F727" s="101"/>
      <c r="G727" s="102">
        <f t="shared" si="178"/>
        <v>0</v>
      </c>
      <c r="H727" s="58"/>
      <c r="I727" s="15" t="s">
        <v>87</v>
      </c>
      <c r="J727" s="11"/>
      <c r="K727" s="100"/>
      <c r="L727" s="100"/>
      <c r="M727" s="100"/>
      <c r="N727" s="101"/>
      <c r="O727" s="102">
        <f t="shared" si="180"/>
        <v>0</v>
      </c>
    </row>
    <row r="728" spans="1:17" ht="14.25" thickBot="1" x14ac:dyDescent="0.2">
      <c r="A728" s="72" t="s">
        <v>7</v>
      </c>
      <c r="B728" s="73">
        <f>SUM(B719:B727)</f>
        <v>7</v>
      </c>
      <c r="C728" s="74">
        <f t="shared" ref="C728:F728" si="181">SUM(C719:C727)</f>
        <v>15</v>
      </c>
      <c r="D728" s="74">
        <f t="shared" si="181"/>
        <v>9</v>
      </c>
      <c r="E728" s="74">
        <f t="shared" si="181"/>
        <v>6</v>
      </c>
      <c r="F728" s="105">
        <f t="shared" si="181"/>
        <v>13</v>
      </c>
      <c r="G728" s="76">
        <f t="shared" si="178"/>
        <v>50</v>
      </c>
      <c r="H728" s="56"/>
      <c r="I728" s="72" t="s">
        <v>7</v>
      </c>
      <c r="J728" s="73">
        <f>SUM(J719:J727)</f>
        <v>168</v>
      </c>
      <c r="K728" s="74">
        <f t="shared" ref="K728:N728" si="182">SUM(K719:K727)</f>
        <v>224</v>
      </c>
      <c r="L728" s="74">
        <f t="shared" si="182"/>
        <v>187</v>
      </c>
      <c r="M728" s="74">
        <f t="shared" si="182"/>
        <v>160</v>
      </c>
      <c r="N728" s="105">
        <f t="shared" si="182"/>
        <v>129</v>
      </c>
      <c r="O728" s="76">
        <f t="shared" si="180"/>
        <v>868</v>
      </c>
    </row>
    <row r="729" spans="1:17" x14ac:dyDescent="0.15">
      <c r="A729" s="16" t="s">
        <v>29</v>
      </c>
      <c r="B729" s="37"/>
      <c r="C729" s="35"/>
      <c r="D729" s="35">
        <v>1</v>
      </c>
      <c r="E729" s="35"/>
      <c r="F729" s="28"/>
      <c r="G729" s="18">
        <f t="shared" si="178"/>
        <v>1</v>
      </c>
      <c r="H729" s="58">
        <v>43668</v>
      </c>
      <c r="I729" s="14" t="s">
        <v>22</v>
      </c>
      <c r="J729" s="8"/>
      <c r="K729" s="10"/>
      <c r="L729" s="10">
        <v>10</v>
      </c>
      <c r="M729" s="10"/>
      <c r="N729" s="30">
        <v>10</v>
      </c>
      <c r="O729" s="7">
        <f t="shared" si="180"/>
        <v>20</v>
      </c>
      <c r="P729" s="58">
        <v>43668</v>
      </c>
    </row>
    <row r="730" spans="1:17" x14ac:dyDescent="0.15">
      <c r="A730" s="16" t="s">
        <v>1091</v>
      </c>
      <c r="B730" s="8"/>
      <c r="C730" s="10"/>
      <c r="D730" s="10">
        <v>1</v>
      </c>
      <c r="E730" s="10"/>
      <c r="F730" s="30"/>
      <c r="G730" s="7">
        <f t="shared" si="178"/>
        <v>1</v>
      </c>
      <c r="H730" s="58">
        <v>43672</v>
      </c>
      <c r="I730" s="16" t="s">
        <v>25</v>
      </c>
      <c r="J730" s="8">
        <v>1</v>
      </c>
      <c r="K730" s="10"/>
      <c r="L730" s="10"/>
      <c r="M730" s="10"/>
      <c r="N730" s="30"/>
      <c r="O730" s="7">
        <f t="shared" si="180"/>
        <v>1</v>
      </c>
      <c r="P730" s="58">
        <v>43670</v>
      </c>
    </row>
    <row r="731" spans="1:17" x14ac:dyDescent="0.15">
      <c r="A731" s="16" t="s">
        <v>1001</v>
      </c>
      <c r="B731" s="8">
        <v>1</v>
      </c>
      <c r="C731" s="10">
        <v>4</v>
      </c>
      <c r="D731" s="10">
        <v>3</v>
      </c>
      <c r="E731" s="10">
        <v>1</v>
      </c>
      <c r="F731" s="30">
        <v>3</v>
      </c>
      <c r="G731" s="7">
        <f t="shared" si="178"/>
        <v>12</v>
      </c>
      <c r="H731" s="58">
        <v>43680</v>
      </c>
      <c r="I731" s="16" t="s">
        <v>1075</v>
      </c>
      <c r="J731" s="8">
        <v>4</v>
      </c>
      <c r="K731" s="10">
        <v>4</v>
      </c>
      <c r="L731" s="10">
        <v>4</v>
      </c>
      <c r="M731" s="10">
        <v>2</v>
      </c>
      <c r="N731" s="30">
        <v>4</v>
      </c>
      <c r="O731" s="7">
        <f t="shared" si="180"/>
        <v>18</v>
      </c>
      <c r="P731" s="58">
        <v>43672</v>
      </c>
    </row>
    <row r="732" spans="1:17" x14ac:dyDescent="0.15">
      <c r="A732" s="16" t="s">
        <v>29</v>
      </c>
      <c r="B732" s="8"/>
      <c r="C732" s="10">
        <v>1</v>
      </c>
      <c r="D732" s="10"/>
      <c r="E732" s="10"/>
      <c r="F732" s="30"/>
      <c r="G732" s="7">
        <f t="shared" ref="G732" si="183">SUM(B732:F732)</f>
        <v>1</v>
      </c>
      <c r="H732" s="58">
        <v>43680</v>
      </c>
      <c r="I732" s="51" t="s">
        <v>1076</v>
      </c>
      <c r="J732" s="8"/>
      <c r="K732" s="10"/>
      <c r="L732" s="10">
        <v>2</v>
      </c>
      <c r="M732" s="10"/>
      <c r="N732" s="30"/>
      <c r="O732" s="7">
        <f t="shared" si="180"/>
        <v>2</v>
      </c>
      <c r="P732" s="58">
        <v>43671</v>
      </c>
    </row>
    <row r="733" spans="1:17" x14ac:dyDescent="0.15">
      <c r="A733" s="16" t="s">
        <v>215</v>
      </c>
      <c r="B733" s="8"/>
      <c r="C733" s="10">
        <v>5</v>
      </c>
      <c r="D733" s="10"/>
      <c r="E733" s="10"/>
      <c r="F733" s="30"/>
      <c r="G733" s="7">
        <f t="shared" si="178"/>
        <v>5</v>
      </c>
      <c r="H733" s="58">
        <v>43683</v>
      </c>
      <c r="I733" s="16" t="s">
        <v>1009</v>
      </c>
      <c r="J733" s="8"/>
      <c r="K733" s="10"/>
      <c r="L733" s="10"/>
      <c r="M733" s="10"/>
      <c r="N733" s="30">
        <v>4</v>
      </c>
      <c r="O733" s="7">
        <f t="shared" si="180"/>
        <v>4</v>
      </c>
      <c r="P733" s="58">
        <v>43679</v>
      </c>
    </row>
    <row r="734" spans="1:17" x14ac:dyDescent="0.15">
      <c r="A734" s="16" t="s">
        <v>29</v>
      </c>
      <c r="B734" s="8"/>
      <c r="C734" s="10"/>
      <c r="D734" s="10"/>
      <c r="E734" s="10"/>
      <c r="F734" s="30">
        <v>1</v>
      </c>
      <c r="G734" s="7">
        <f t="shared" si="178"/>
        <v>1</v>
      </c>
      <c r="H734" s="58">
        <v>43683</v>
      </c>
      <c r="I734" s="14" t="s">
        <v>22</v>
      </c>
      <c r="J734" s="8">
        <v>10</v>
      </c>
      <c r="K734" s="10"/>
      <c r="L734" s="10"/>
      <c r="M734" s="10"/>
      <c r="N734" s="30"/>
      <c r="O734" s="7">
        <f t="shared" si="180"/>
        <v>10</v>
      </c>
      <c r="P734" s="58">
        <v>43682</v>
      </c>
    </row>
    <row r="735" spans="1:17" x14ac:dyDescent="0.15">
      <c r="A735" s="51" t="s">
        <v>1086</v>
      </c>
      <c r="B735" s="8"/>
      <c r="C735" s="10">
        <v>1</v>
      </c>
      <c r="D735" s="10"/>
      <c r="E735" s="10"/>
      <c r="F735" s="30"/>
      <c r="G735" s="7">
        <f t="shared" si="178"/>
        <v>1</v>
      </c>
      <c r="H735" s="58">
        <v>43686</v>
      </c>
      <c r="I735" s="14" t="s">
        <v>22</v>
      </c>
      <c r="J735" s="8"/>
      <c r="K735" s="10"/>
      <c r="L735" s="10"/>
      <c r="M735" s="10">
        <v>10</v>
      </c>
      <c r="N735" s="30"/>
      <c r="O735" s="7">
        <f t="shared" si="180"/>
        <v>10</v>
      </c>
      <c r="P735" s="58">
        <v>43686</v>
      </c>
    </row>
    <row r="736" spans="1:17" x14ac:dyDescent="0.15">
      <c r="A736" s="16" t="s">
        <v>1013</v>
      </c>
      <c r="B736" s="8"/>
      <c r="C736" s="10"/>
      <c r="D736" s="10"/>
      <c r="E736" s="10"/>
      <c r="F736" s="30">
        <v>2</v>
      </c>
      <c r="G736" s="7">
        <f t="shared" si="178"/>
        <v>2</v>
      </c>
      <c r="H736" s="58">
        <v>43697</v>
      </c>
      <c r="I736" s="16" t="s">
        <v>1096</v>
      </c>
      <c r="J736" s="8"/>
      <c r="K736" s="10">
        <v>5</v>
      </c>
      <c r="L736" s="10"/>
      <c r="M736" s="10"/>
      <c r="N736" s="30"/>
      <c r="O736" s="7">
        <f t="shared" si="180"/>
        <v>5</v>
      </c>
      <c r="P736" s="58">
        <v>43684</v>
      </c>
      <c r="Q736" s="56"/>
    </row>
    <row r="737" spans="1:17" x14ac:dyDescent="0.15">
      <c r="A737" s="16" t="s">
        <v>29</v>
      </c>
      <c r="B737" s="8"/>
      <c r="C737" s="10">
        <v>1</v>
      </c>
      <c r="D737" s="10">
        <v>1</v>
      </c>
      <c r="E737" s="10"/>
      <c r="F737" s="30"/>
      <c r="G737" s="7">
        <f t="shared" si="178"/>
        <v>2</v>
      </c>
      <c r="H737" s="58">
        <v>43693</v>
      </c>
      <c r="I737" s="16" t="s">
        <v>25</v>
      </c>
      <c r="J737" s="11"/>
      <c r="K737" s="12"/>
      <c r="L737" s="12">
        <v>1</v>
      </c>
      <c r="M737" s="12"/>
      <c r="N737" s="31"/>
      <c r="O737" s="7">
        <f t="shared" ref="O737:O740" si="184">SUM(J737:N737)</f>
        <v>1</v>
      </c>
      <c r="P737" s="58">
        <v>43687</v>
      </c>
    </row>
    <row r="738" spans="1:17" x14ac:dyDescent="0.15">
      <c r="A738" s="16" t="s">
        <v>1110</v>
      </c>
      <c r="B738" s="8"/>
      <c r="C738" s="10"/>
      <c r="D738" s="10"/>
      <c r="E738" s="10"/>
      <c r="F738" s="30">
        <v>1</v>
      </c>
      <c r="G738" s="7">
        <f t="shared" si="178"/>
        <v>1</v>
      </c>
      <c r="H738" s="58">
        <v>43700</v>
      </c>
      <c r="I738" s="16" t="s">
        <v>25</v>
      </c>
      <c r="J738" s="8"/>
      <c r="K738" s="10"/>
      <c r="L738" s="10"/>
      <c r="M738" s="10">
        <v>2</v>
      </c>
      <c r="N738" s="30"/>
      <c r="O738" s="7">
        <f t="shared" si="184"/>
        <v>2</v>
      </c>
      <c r="P738" s="58">
        <v>43696</v>
      </c>
    </row>
    <row r="739" spans="1:17" x14ac:dyDescent="0.15">
      <c r="A739" s="51" t="s">
        <v>1089</v>
      </c>
      <c r="B739" s="8"/>
      <c r="C739" s="10">
        <v>1</v>
      </c>
      <c r="D739" s="10"/>
      <c r="E739" s="10"/>
      <c r="F739" s="30"/>
      <c r="G739" s="7">
        <f t="shared" si="178"/>
        <v>1</v>
      </c>
      <c r="H739" s="58">
        <v>43699</v>
      </c>
      <c r="I739" s="16" t="s">
        <v>1018</v>
      </c>
      <c r="J739" s="8"/>
      <c r="K739" s="10"/>
      <c r="L739" s="10"/>
      <c r="M739" s="10"/>
      <c r="N739" s="30">
        <v>2</v>
      </c>
      <c r="O739" s="7">
        <f t="shared" si="184"/>
        <v>2</v>
      </c>
      <c r="P739" s="58">
        <v>43700</v>
      </c>
    </row>
    <row r="740" spans="1:17" x14ac:dyDescent="0.15">
      <c r="A740" s="16" t="s">
        <v>1115</v>
      </c>
      <c r="B740" s="8"/>
      <c r="C740" s="10">
        <v>-1</v>
      </c>
      <c r="D740" s="10"/>
      <c r="E740" s="10"/>
      <c r="F740" s="30"/>
      <c r="G740" s="7">
        <f t="shared" si="178"/>
        <v>-1</v>
      </c>
      <c r="H740" s="58">
        <v>43700</v>
      </c>
      <c r="I740" s="14" t="s">
        <v>22</v>
      </c>
      <c r="J740" s="8"/>
      <c r="K740" s="10"/>
      <c r="L740" s="10"/>
      <c r="M740" s="10"/>
      <c r="N740" s="30">
        <v>10</v>
      </c>
      <c r="O740" s="7">
        <f t="shared" si="184"/>
        <v>10</v>
      </c>
      <c r="P740" s="58">
        <v>43700</v>
      </c>
    </row>
    <row r="741" spans="1:17" x14ac:dyDescent="0.15">
      <c r="A741" s="16" t="s">
        <v>1118</v>
      </c>
      <c r="B741" s="8"/>
      <c r="C741" s="10">
        <v>1</v>
      </c>
      <c r="D741" s="10">
        <v>1</v>
      </c>
      <c r="E741" s="10">
        <v>1</v>
      </c>
      <c r="F741" s="30">
        <v>1</v>
      </c>
      <c r="G741" s="7">
        <f t="shared" si="178"/>
        <v>4</v>
      </c>
      <c r="H741" s="58">
        <v>43706</v>
      </c>
      <c r="I741" s="16" t="s">
        <v>25</v>
      </c>
      <c r="J741" s="8">
        <v>3</v>
      </c>
      <c r="K741" s="10">
        <v>1</v>
      </c>
      <c r="L741" s="10">
        <v>1</v>
      </c>
      <c r="M741" s="10"/>
      <c r="N741" s="30">
        <v>5</v>
      </c>
      <c r="O741" s="7">
        <f t="shared" si="180"/>
        <v>10</v>
      </c>
      <c r="P741" s="58">
        <v>43697</v>
      </c>
    </row>
    <row r="742" spans="1:17" x14ac:dyDescent="0.15">
      <c r="A742" s="16" t="s">
        <v>29</v>
      </c>
      <c r="B742" s="8"/>
      <c r="C742" s="10"/>
      <c r="D742" s="10">
        <v>1</v>
      </c>
      <c r="E742" s="10"/>
      <c r="F742" s="30"/>
      <c r="G742" s="7">
        <f t="shared" si="178"/>
        <v>1</v>
      </c>
      <c r="H742" s="58">
        <v>43705</v>
      </c>
      <c r="I742" s="16" t="s">
        <v>25</v>
      </c>
      <c r="J742" s="8">
        <v>2</v>
      </c>
      <c r="K742" s="10"/>
      <c r="L742" s="10">
        <v>2</v>
      </c>
      <c r="M742" s="10">
        <v>3</v>
      </c>
      <c r="N742" s="30"/>
      <c r="O742" s="7">
        <f t="shared" si="180"/>
        <v>7</v>
      </c>
      <c r="P742" s="58">
        <v>43698</v>
      </c>
    </row>
    <row r="743" spans="1:17" x14ac:dyDescent="0.15">
      <c r="A743" s="16" t="s">
        <v>696</v>
      </c>
      <c r="B743" s="8"/>
      <c r="C743" s="10"/>
      <c r="D743" s="10">
        <v>-1</v>
      </c>
      <c r="E743" s="10"/>
      <c r="F743" s="30"/>
      <c r="G743" s="7">
        <f t="shared" si="178"/>
        <v>-1</v>
      </c>
      <c r="H743" s="58">
        <v>43708</v>
      </c>
      <c r="I743" s="14" t="s">
        <v>22</v>
      </c>
      <c r="J743" s="8"/>
      <c r="K743" s="10">
        <v>10</v>
      </c>
      <c r="L743" s="10"/>
      <c r="M743" s="10"/>
      <c r="N743" s="30"/>
      <c r="O743" s="7">
        <f t="shared" si="180"/>
        <v>10</v>
      </c>
      <c r="P743" s="58">
        <v>43703</v>
      </c>
    </row>
    <row r="744" spans="1:17" x14ac:dyDescent="0.15">
      <c r="A744" s="16"/>
      <c r="B744" s="8"/>
      <c r="C744" s="10"/>
      <c r="D744" s="10"/>
      <c r="E744" s="10"/>
      <c r="F744" s="30"/>
      <c r="G744" s="7">
        <f t="shared" si="178"/>
        <v>0</v>
      </c>
      <c r="H744" s="58"/>
      <c r="I744" s="16" t="s">
        <v>24</v>
      </c>
      <c r="J744" s="8"/>
      <c r="K744" s="10"/>
      <c r="L744" s="10"/>
      <c r="M744" s="10"/>
      <c r="N744" s="30">
        <v>5</v>
      </c>
      <c r="O744" s="7">
        <f t="shared" si="180"/>
        <v>5</v>
      </c>
      <c r="P744" s="58">
        <v>43698</v>
      </c>
      <c r="Q744" s="56"/>
    </row>
    <row r="745" spans="1:17" x14ac:dyDescent="0.15">
      <c r="A745" s="16"/>
      <c r="B745" s="8"/>
      <c r="C745" s="10"/>
      <c r="D745" s="10"/>
      <c r="E745" s="10"/>
      <c r="F745" s="30"/>
      <c r="G745" s="7">
        <f t="shared" si="178"/>
        <v>0</v>
      </c>
      <c r="H745" s="58"/>
      <c r="I745" s="14" t="s">
        <v>22</v>
      </c>
      <c r="J745" s="11"/>
      <c r="K745" s="12"/>
      <c r="L745" s="12">
        <v>10</v>
      </c>
      <c r="M745" s="12"/>
      <c r="N745" s="31">
        <v>10</v>
      </c>
      <c r="O745" s="7">
        <f t="shared" si="180"/>
        <v>20</v>
      </c>
      <c r="P745" s="58">
        <v>43706</v>
      </c>
      <c r="Q745" s="56"/>
    </row>
    <row r="746" spans="1:17" x14ac:dyDescent="0.15">
      <c r="A746" s="16"/>
      <c r="B746" s="8"/>
      <c r="C746" s="10"/>
      <c r="D746" s="10"/>
      <c r="E746" s="10"/>
      <c r="F746" s="30"/>
      <c r="G746" s="7">
        <f t="shared" si="178"/>
        <v>0</v>
      </c>
      <c r="H746" s="58"/>
      <c r="I746" s="16" t="s">
        <v>25</v>
      </c>
      <c r="J746" s="8"/>
      <c r="K746" s="10">
        <v>2</v>
      </c>
      <c r="L746" s="10">
        <v>2</v>
      </c>
      <c r="M746" s="10"/>
      <c r="N746" s="30"/>
      <c r="O746" s="7">
        <f t="shared" si="180"/>
        <v>4</v>
      </c>
      <c r="P746" s="58">
        <v>43701</v>
      </c>
    </row>
    <row r="747" spans="1:17" x14ac:dyDescent="0.15">
      <c r="A747" s="16"/>
      <c r="B747" s="8"/>
      <c r="C747" s="10"/>
      <c r="D747" s="10"/>
      <c r="E747" s="10"/>
      <c r="F747" s="30"/>
      <c r="G747" s="7">
        <f>SUM(B747:F747)</f>
        <v>0</v>
      </c>
      <c r="H747" s="58"/>
      <c r="I747" s="16" t="s">
        <v>25</v>
      </c>
      <c r="J747" s="11"/>
      <c r="K747" s="12"/>
      <c r="L747" s="12">
        <v>1</v>
      </c>
      <c r="M747" s="12"/>
      <c r="N747" s="31"/>
      <c r="O747" s="7">
        <f t="shared" si="180"/>
        <v>1</v>
      </c>
      <c r="P747" s="58">
        <v>43705</v>
      </c>
      <c r="Q747" s="56"/>
    </row>
    <row r="748" spans="1:17" x14ac:dyDescent="0.15">
      <c r="A748" s="16"/>
      <c r="B748" s="8"/>
      <c r="C748" s="10"/>
      <c r="D748" s="10"/>
      <c r="E748" s="10"/>
      <c r="F748" s="30"/>
      <c r="G748" s="7">
        <f>SUM(B748:F748)</f>
        <v>0</v>
      </c>
      <c r="H748" s="58"/>
      <c r="I748" s="16"/>
      <c r="J748" s="11"/>
      <c r="K748" s="12"/>
      <c r="L748" s="12"/>
      <c r="M748" s="12"/>
      <c r="N748" s="31"/>
      <c r="O748" s="7">
        <f t="shared" si="180"/>
        <v>0</v>
      </c>
      <c r="P748" s="58"/>
      <c r="Q748" s="56"/>
    </row>
    <row r="749" spans="1:17" x14ac:dyDescent="0.15">
      <c r="A749" s="16"/>
      <c r="B749" s="8"/>
      <c r="C749" s="10"/>
      <c r="D749" s="10"/>
      <c r="E749" s="10"/>
      <c r="F749" s="30"/>
      <c r="G749" s="7">
        <f t="shared" ref="G749:G754" si="185">SUM(B749:F749)</f>
        <v>0</v>
      </c>
      <c r="H749" s="58"/>
      <c r="I749" s="16"/>
      <c r="J749" s="11"/>
      <c r="K749" s="12"/>
      <c r="L749" s="12"/>
      <c r="M749" s="12"/>
      <c r="N749" s="31"/>
      <c r="O749" s="7">
        <f t="shared" si="180"/>
        <v>0</v>
      </c>
      <c r="P749" s="56"/>
      <c r="Q749" s="56"/>
    </row>
    <row r="750" spans="1:17" x14ac:dyDescent="0.15">
      <c r="A750" s="16"/>
      <c r="B750" s="11"/>
      <c r="C750" s="12"/>
      <c r="D750" s="12"/>
      <c r="E750" s="12"/>
      <c r="F750" s="31"/>
      <c r="G750" s="7">
        <f t="shared" si="185"/>
        <v>0</v>
      </c>
      <c r="H750" s="58"/>
      <c r="I750" s="16"/>
      <c r="J750" s="11"/>
      <c r="K750" s="12"/>
      <c r="L750" s="12"/>
      <c r="M750" s="12"/>
      <c r="N750" s="31"/>
      <c r="O750" s="7">
        <f t="shared" si="180"/>
        <v>0</v>
      </c>
      <c r="P750" s="56"/>
      <c r="Q750" s="56"/>
    </row>
    <row r="751" spans="1:17" x14ac:dyDescent="0.15">
      <c r="A751" s="16"/>
      <c r="B751" s="8"/>
      <c r="C751" s="10"/>
      <c r="D751" s="10"/>
      <c r="E751" s="10"/>
      <c r="F751" s="30"/>
      <c r="G751" s="7">
        <f t="shared" si="185"/>
        <v>0</v>
      </c>
      <c r="H751" s="58"/>
      <c r="I751" s="14"/>
      <c r="J751" s="8"/>
      <c r="K751" s="10"/>
      <c r="L751" s="10"/>
      <c r="M751" s="10"/>
      <c r="N751" s="30"/>
      <c r="O751" s="7">
        <f t="shared" si="180"/>
        <v>0</v>
      </c>
      <c r="P751" s="56"/>
      <c r="Q751" s="56"/>
    </row>
    <row r="752" spans="1:17" x14ac:dyDescent="0.15">
      <c r="A752" s="15"/>
      <c r="B752" s="37"/>
      <c r="C752" s="35"/>
      <c r="D752" s="35"/>
      <c r="E752" s="35"/>
      <c r="F752" s="28"/>
      <c r="G752" s="7">
        <f t="shared" si="185"/>
        <v>0</v>
      </c>
      <c r="H752" s="58"/>
      <c r="I752" s="51"/>
      <c r="J752" s="11"/>
      <c r="K752" s="12"/>
      <c r="L752" s="12"/>
      <c r="M752" s="12"/>
      <c r="N752" s="31"/>
      <c r="O752" s="7">
        <f t="shared" ref="O752" si="186">SUM(J752:N752)</f>
        <v>0</v>
      </c>
      <c r="P752" s="56"/>
      <c r="Q752" s="56"/>
    </row>
    <row r="753" spans="1:17" x14ac:dyDescent="0.15">
      <c r="A753" s="16"/>
      <c r="B753" s="8"/>
      <c r="C753" s="10"/>
      <c r="D753" s="10"/>
      <c r="E753" s="10"/>
      <c r="F753" s="30"/>
      <c r="G753" s="9">
        <f t="shared" si="185"/>
        <v>0</v>
      </c>
      <c r="H753" s="58"/>
      <c r="I753" s="16"/>
      <c r="J753" s="11"/>
      <c r="K753" s="12"/>
      <c r="L753" s="12"/>
      <c r="M753" s="12"/>
      <c r="N753" s="31"/>
      <c r="O753" s="7">
        <f t="shared" ref="O753" si="187">SUM(J753:N753)</f>
        <v>0</v>
      </c>
      <c r="P753" s="58"/>
      <c r="Q753" s="56"/>
    </row>
    <row r="754" spans="1:17" ht="14.25" thickBot="1" x14ac:dyDescent="0.2">
      <c r="A754" s="51"/>
      <c r="B754" s="37"/>
      <c r="C754" s="35"/>
      <c r="D754" s="35"/>
      <c r="E754" s="35"/>
      <c r="F754" s="28"/>
      <c r="G754" s="7">
        <f t="shared" si="185"/>
        <v>0</v>
      </c>
      <c r="H754" s="58"/>
      <c r="I754" s="14"/>
      <c r="J754" s="8"/>
      <c r="K754" s="10"/>
      <c r="L754" s="10"/>
      <c r="M754" s="10"/>
      <c r="N754" s="30"/>
      <c r="O754" s="7">
        <f t="shared" ref="O754" si="188">SUM(J754:N754)</f>
        <v>0</v>
      </c>
      <c r="P754" s="56"/>
      <c r="Q754" s="56"/>
    </row>
    <row r="755" spans="1:17" ht="14.25" thickBot="1" x14ac:dyDescent="0.2">
      <c r="A755" s="3" t="s">
        <v>11</v>
      </c>
      <c r="B755" s="23">
        <f>SUM(B729:B754)</f>
        <v>1</v>
      </c>
      <c r="C755" s="4">
        <f>SUM(C729:C754)</f>
        <v>13</v>
      </c>
      <c r="D755" s="4">
        <f>SUM(D729:D754)</f>
        <v>7</v>
      </c>
      <c r="E755" s="6">
        <f>SUM(E729:E754)</f>
        <v>2</v>
      </c>
      <c r="F755" s="32">
        <f>SUM(F729:F754)</f>
        <v>8</v>
      </c>
      <c r="G755" s="5">
        <f>SUM(B755:F755)</f>
        <v>31</v>
      </c>
      <c r="H755" s="56"/>
      <c r="I755" s="3" t="s">
        <v>11</v>
      </c>
      <c r="J755" s="23">
        <f>SUM(J729:J754)</f>
        <v>20</v>
      </c>
      <c r="K755" s="4">
        <f>SUM(K729:K754)</f>
        <v>22</v>
      </c>
      <c r="L755" s="4">
        <f>SUM(L729:L754)</f>
        <v>33</v>
      </c>
      <c r="M755" s="6">
        <f>SUM(M729:M754)</f>
        <v>17</v>
      </c>
      <c r="N755" s="32">
        <f>SUM(N729:N754)</f>
        <v>50</v>
      </c>
      <c r="O755" s="5">
        <f>SUM(J755:N755)</f>
        <v>142</v>
      </c>
    </row>
    <row r="756" spans="1:17" ht="14.25" thickBot="1" x14ac:dyDescent="0.2">
      <c r="A756" s="25" t="s">
        <v>12</v>
      </c>
      <c r="B756" s="63">
        <f>B728-B755</f>
        <v>6</v>
      </c>
      <c r="C756" s="26">
        <f t="shared" ref="C756:G756" si="189">C728-C755</f>
        <v>2</v>
      </c>
      <c r="D756" s="71">
        <f t="shared" si="189"/>
        <v>2</v>
      </c>
      <c r="E756" s="26">
        <f t="shared" si="189"/>
        <v>4</v>
      </c>
      <c r="F756" s="70">
        <f t="shared" si="189"/>
        <v>5</v>
      </c>
      <c r="G756" s="27">
        <f t="shared" si="189"/>
        <v>19</v>
      </c>
      <c r="H756" s="56"/>
      <c r="I756" s="25" t="s">
        <v>12</v>
      </c>
      <c r="J756" s="63">
        <f>J728-J755</f>
        <v>148</v>
      </c>
      <c r="K756" s="26">
        <f t="shared" ref="K756:M756" si="190">K728-K755</f>
        <v>202</v>
      </c>
      <c r="L756" s="71">
        <f t="shared" si="190"/>
        <v>154</v>
      </c>
      <c r="M756" s="26">
        <f t="shared" si="190"/>
        <v>143</v>
      </c>
      <c r="N756" s="70">
        <f>N728-N755</f>
        <v>79</v>
      </c>
      <c r="O756" s="27">
        <f t="shared" ref="O756" si="191">O728-O755</f>
        <v>726</v>
      </c>
    </row>
    <row r="757" spans="1:17" ht="21" x14ac:dyDescent="0.2">
      <c r="A757" s="83" t="s">
        <v>415</v>
      </c>
      <c r="B757" s="77"/>
      <c r="C757" s="77"/>
      <c r="D757" s="77"/>
      <c r="E757" s="77"/>
      <c r="F757" s="77"/>
      <c r="G757" s="77"/>
      <c r="H757" s="56"/>
      <c r="I757" s="83" t="s">
        <v>415</v>
      </c>
      <c r="J757" s="77"/>
      <c r="K757" s="77"/>
      <c r="L757" s="77"/>
      <c r="M757" s="77"/>
      <c r="N757" s="77"/>
      <c r="O757" s="77"/>
    </row>
    <row r="758" spans="1:17" ht="21.75" thickBot="1" x14ac:dyDescent="0.25">
      <c r="A758" s="83" t="s">
        <v>47</v>
      </c>
      <c r="B758" s="77"/>
      <c r="C758" s="77"/>
      <c r="D758" s="77"/>
      <c r="E758" s="84"/>
      <c r="F758" s="78" t="s">
        <v>53</v>
      </c>
      <c r="G758" s="77"/>
      <c r="H758" s="56"/>
      <c r="I758" s="83" t="s">
        <v>47</v>
      </c>
      <c r="J758" s="77"/>
      <c r="K758" s="77"/>
      <c r="L758" s="77"/>
      <c r="M758" s="84"/>
      <c r="N758" s="78" t="s">
        <v>54</v>
      </c>
      <c r="O758" s="77"/>
    </row>
    <row r="759" spans="1:17" ht="14.25" thickBot="1" x14ac:dyDescent="0.2">
      <c r="A759" s="13" t="s">
        <v>0</v>
      </c>
      <c r="B759" s="228" t="s">
        <v>49</v>
      </c>
      <c r="C759" s="229"/>
      <c r="D759" s="229"/>
      <c r="E759" s="229"/>
      <c r="F759" s="230"/>
      <c r="G759" s="231"/>
      <c r="H759" s="56"/>
      <c r="I759" s="13" t="s">
        <v>0</v>
      </c>
      <c r="J759" s="228" t="s">
        <v>49</v>
      </c>
      <c r="K759" s="229"/>
      <c r="L759" s="229"/>
      <c r="M759" s="229"/>
      <c r="N759" s="230"/>
      <c r="O759" s="231"/>
    </row>
    <row r="760" spans="1:17" ht="14.25" thickBot="1" x14ac:dyDescent="0.2">
      <c r="A760" s="3" t="s">
        <v>1</v>
      </c>
      <c r="B760" s="2" t="s">
        <v>42</v>
      </c>
      <c r="C760" s="21" t="s">
        <v>43</v>
      </c>
      <c r="D760" s="21" t="s">
        <v>44</v>
      </c>
      <c r="E760" s="24" t="s">
        <v>45</v>
      </c>
      <c r="F760" s="33" t="s">
        <v>46</v>
      </c>
      <c r="G760" s="34" t="s">
        <v>2</v>
      </c>
      <c r="H760" s="56"/>
      <c r="I760" s="3" t="s">
        <v>1</v>
      </c>
      <c r="J760" s="2" t="s">
        <v>42</v>
      </c>
      <c r="K760" s="21" t="s">
        <v>43</v>
      </c>
      <c r="L760" s="21" t="s">
        <v>44</v>
      </c>
      <c r="M760" s="24" t="s">
        <v>45</v>
      </c>
      <c r="N760" s="33" t="s">
        <v>46</v>
      </c>
      <c r="O760" s="3" t="s">
        <v>2</v>
      </c>
    </row>
    <row r="761" spans="1:17" ht="14.25" thickBot="1" x14ac:dyDescent="0.2">
      <c r="A761" s="72" t="s">
        <v>527</v>
      </c>
      <c r="B761" s="73">
        <f>B756</f>
        <v>6</v>
      </c>
      <c r="C761" s="73">
        <f t="shared" ref="C761:F761" si="192">C756</f>
        <v>2</v>
      </c>
      <c r="D761" s="73">
        <f t="shared" si="192"/>
        <v>2</v>
      </c>
      <c r="E761" s="73">
        <f t="shared" si="192"/>
        <v>4</v>
      </c>
      <c r="F761" s="73">
        <f t="shared" si="192"/>
        <v>5</v>
      </c>
      <c r="G761" s="76">
        <f t="shared" ref="G761:G788" si="193">SUM(B761:F761)</f>
        <v>19</v>
      </c>
      <c r="H761" s="56"/>
      <c r="I761" s="96" t="s">
        <v>12</v>
      </c>
      <c r="J761" s="95">
        <f>J756</f>
        <v>148</v>
      </c>
      <c r="K761" s="97">
        <f t="shared" ref="K761:N761" si="194">K756</f>
        <v>202</v>
      </c>
      <c r="L761" s="97">
        <f t="shared" si="194"/>
        <v>154</v>
      </c>
      <c r="M761" s="97">
        <f t="shared" si="194"/>
        <v>143</v>
      </c>
      <c r="N761" s="54">
        <f t="shared" si="194"/>
        <v>79</v>
      </c>
      <c r="O761" s="52">
        <f t="shared" ref="O761:O796" si="195">SUM(J761:N761)</f>
        <v>726</v>
      </c>
    </row>
    <row r="762" spans="1:17" x14ac:dyDescent="0.15">
      <c r="A762" s="15" t="s">
        <v>14</v>
      </c>
      <c r="B762" s="37"/>
      <c r="C762" s="35">
        <v>5</v>
      </c>
      <c r="D762" s="35">
        <v>5</v>
      </c>
      <c r="E762" s="35"/>
      <c r="F762" s="28"/>
      <c r="G762" s="7">
        <f t="shared" si="193"/>
        <v>10</v>
      </c>
      <c r="H762" s="58">
        <v>43710</v>
      </c>
      <c r="I762" s="15" t="s">
        <v>1002</v>
      </c>
      <c r="J762" s="37">
        <v>1</v>
      </c>
      <c r="K762" s="35">
        <v>6</v>
      </c>
      <c r="L762" s="35"/>
      <c r="M762" s="35">
        <v>1</v>
      </c>
      <c r="N762" s="28">
        <v>2</v>
      </c>
      <c r="O762" s="7">
        <f t="shared" si="195"/>
        <v>10</v>
      </c>
      <c r="P762" s="57">
        <v>43729</v>
      </c>
    </row>
    <row r="763" spans="1:17" x14ac:dyDescent="0.15">
      <c r="A763" s="15" t="s">
        <v>322</v>
      </c>
      <c r="B763" s="8"/>
      <c r="C763" s="10"/>
      <c r="D763" s="10">
        <v>1</v>
      </c>
      <c r="E763" s="10">
        <v>3</v>
      </c>
      <c r="F763" s="28"/>
      <c r="G763" s="9">
        <f t="shared" si="193"/>
        <v>4</v>
      </c>
      <c r="H763" s="58">
        <v>43713</v>
      </c>
      <c r="I763" s="15" t="s">
        <v>4</v>
      </c>
      <c r="J763" s="8"/>
      <c r="K763" s="10"/>
      <c r="L763" s="10"/>
      <c r="M763" s="10"/>
      <c r="N763" s="28"/>
      <c r="O763" s="9">
        <f t="shared" si="195"/>
        <v>0</v>
      </c>
    </row>
    <row r="764" spans="1:17" x14ac:dyDescent="0.15">
      <c r="A764" s="15" t="s">
        <v>383</v>
      </c>
      <c r="B764" s="8"/>
      <c r="C764" s="10"/>
      <c r="D764" s="10"/>
      <c r="E764" s="10">
        <v>1</v>
      </c>
      <c r="F764" s="28"/>
      <c r="G764" s="9">
        <f t="shared" si="193"/>
        <v>1</v>
      </c>
      <c r="H764" s="58">
        <v>43719</v>
      </c>
      <c r="I764" s="15" t="s">
        <v>5</v>
      </c>
      <c r="J764" s="8"/>
      <c r="K764" s="10"/>
      <c r="L764" s="10"/>
      <c r="M764" s="10"/>
      <c r="N764" s="28"/>
      <c r="O764" s="9">
        <f t="shared" si="195"/>
        <v>0</v>
      </c>
    </row>
    <row r="765" spans="1:17" x14ac:dyDescent="0.15">
      <c r="A765" s="15" t="s">
        <v>17</v>
      </c>
      <c r="B765" s="8">
        <v>1</v>
      </c>
      <c r="C765" s="10">
        <v>1</v>
      </c>
      <c r="D765" s="10"/>
      <c r="E765" s="10">
        <v>1</v>
      </c>
      <c r="F765" s="28">
        <v>2</v>
      </c>
      <c r="G765" s="9">
        <f t="shared" si="193"/>
        <v>5</v>
      </c>
      <c r="H765" s="58">
        <v>43720</v>
      </c>
      <c r="I765" s="15" t="s">
        <v>6</v>
      </c>
      <c r="J765" s="8"/>
      <c r="K765" s="10"/>
      <c r="L765" s="10"/>
      <c r="M765" s="10"/>
      <c r="N765" s="28"/>
      <c r="O765" s="9">
        <f t="shared" si="195"/>
        <v>0</v>
      </c>
    </row>
    <row r="766" spans="1:17" x14ac:dyDescent="0.15">
      <c r="A766" s="15" t="s">
        <v>111</v>
      </c>
      <c r="B766" s="11"/>
      <c r="C766" s="12"/>
      <c r="D766" s="12">
        <v>1</v>
      </c>
      <c r="E766" s="12"/>
      <c r="F766" s="31"/>
      <c r="G766" s="7">
        <f t="shared" si="193"/>
        <v>1</v>
      </c>
      <c r="H766" s="58">
        <v>43720</v>
      </c>
      <c r="I766" s="15" t="s">
        <v>84</v>
      </c>
      <c r="J766" s="11"/>
      <c r="K766" s="12"/>
      <c r="L766" s="12"/>
      <c r="M766" s="12"/>
      <c r="N766" s="31"/>
      <c r="O766" s="7">
        <f t="shared" si="195"/>
        <v>0</v>
      </c>
    </row>
    <row r="767" spans="1:17" x14ac:dyDescent="0.15">
      <c r="A767" s="15" t="s">
        <v>19</v>
      </c>
      <c r="B767" s="8"/>
      <c r="C767" s="10">
        <v>5</v>
      </c>
      <c r="D767" s="10">
        <v>1</v>
      </c>
      <c r="E767" s="10">
        <v>1</v>
      </c>
      <c r="F767" s="30">
        <v>1</v>
      </c>
      <c r="G767" s="7">
        <f t="shared" si="193"/>
        <v>8</v>
      </c>
      <c r="H767" s="58">
        <v>43721</v>
      </c>
      <c r="I767" s="15" t="s">
        <v>85</v>
      </c>
      <c r="J767" s="8"/>
      <c r="K767" s="10"/>
      <c r="L767" s="10"/>
      <c r="M767" s="10"/>
      <c r="N767" s="30"/>
      <c r="O767" s="7">
        <f t="shared" si="195"/>
        <v>0</v>
      </c>
    </row>
    <row r="768" spans="1:17" x14ac:dyDescent="0.15">
      <c r="A768" s="15" t="s">
        <v>85</v>
      </c>
      <c r="B768" s="8"/>
      <c r="C768" s="10"/>
      <c r="D768" s="10">
        <v>5</v>
      </c>
      <c r="E768" s="10"/>
      <c r="F768" s="30"/>
      <c r="G768" s="7">
        <f t="shared" si="193"/>
        <v>5</v>
      </c>
      <c r="H768" s="58">
        <v>43726</v>
      </c>
      <c r="I768" s="16" t="s">
        <v>88</v>
      </c>
      <c r="J768" s="8"/>
      <c r="K768" s="10"/>
      <c r="L768" s="10"/>
      <c r="M768" s="10"/>
      <c r="N768" s="30"/>
      <c r="O768" s="7">
        <f t="shared" si="195"/>
        <v>0</v>
      </c>
    </row>
    <row r="769" spans="1:17" ht="14.25" thickBot="1" x14ac:dyDescent="0.2">
      <c r="A769" s="15" t="s">
        <v>137</v>
      </c>
      <c r="B769" s="11"/>
      <c r="C769" s="100"/>
      <c r="D769" s="100"/>
      <c r="E769" s="100">
        <v>1</v>
      </c>
      <c r="F769" s="101"/>
      <c r="G769" s="102">
        <f t="shared" si="193"/>
        <v>1</v>
      </c>
      <c r="H769" s="58">
        <v>43729</v>
      </c>
      <c r="I769" s="15" t="s">
        <v>87</v>
      </c>
      <c r="J769" s="11"/>
      <c r="K769" s="100"/>
      <c r="L769" s="100"/>
      <c r="M769" s="100"/>
      <c r="N769" s="101"/>
      <c r="O769" s="102">
        <f t="shared" si="195"/>
        <v>0</v>
      </c>
    </row>
    <row r="770" spans="1:17" ht="14.25" thickBot="1" x14ac:dyDescent="0.2">
      <c r="A770" s="72" t="s">
        <v>7</v>
      </c>
      <c r="B770" s="73">
        <f>SUM(B761:B769)</f>
        <v>7</v>
      </c>
      <c r="C770" s="74">
        <f t="shared" ref="C770:F770" si="196">SUM(C761:C769)</f>
        <v>13</v>
      </c>
      <c r="D770" s="74">
        <f t="shared" si="196"/>
        <v>15</v>
      </c>
      <c r="E770" s="74">
        <f t="shared" si="196"/>
        <v>11</v>
      </c>
      <c r="F770" s="105">
        <f t="shared" si="196"/>
        <v>8</v>
      </c>
      <c r="G770" s="76">
        <f t="shared" si="193"/>
        <v>54</v>
      </c>
      <c r="H770" s="56"/>
      <c r="I770" s="72" t="s">
        <v>7</v>
      </c>
      <c r="J770" s="73">
        <f>SUM(J761:J769)</f>
        <v>149</v>
      </c>
      <c r="K770" s="74">
        <f t="shared" ref="K770:N770" si="197">SUM(K761:K769)</f>
        <v>208</v>
      </c>
      <c r="L770" s="74">
        <f t="shared" si="197"/>
        <v>154</v>
      </c>
      <c r="M770" s="74">
        <f t="shared" si="197"/>
        <v>144</v>
      </c>
      <c r="N770" s="105">
        <f t="shared" si="197"/>
        <v>81</v>
      </c>
      <c r="O770" s="76">
        <f t="shared" si="195"/>
        <v>736</v>
      </c>
    </row>
    <row r="771" spans="1:17" x14ac:dyDescent="0.15">
      <c r="A771" s="51" t="s">
        <v>1107</v>
      </c>
      <c r="B771" s="37">
        <v>1</v>
      </c>
      <c r="C771" s="35"/>
      <c r="D771" s="35">
        <v>1</v>
      </c>
      <c r="E771" s="35"/>
      <c r="F771" s="28"/>
      <c r="G771" s="18">
        <f t="shared" si="193"/>
        <v>2</v>
      </c>
      <c r="H771" s="58">
        <v>43712</v>
      </c>
      <c r="I771" s="14" t="s">
        <v>22</v>
      </c>
      <c r="J771" s="8">
        <v>10</v>
      </c>
      <c r="K771" s="10">
        <v>10</v>
      </c>
      <c r="L771" s="10"/>
      <c r="M771" s="10">
        <v>10</v>
      </c>
      <c r="N771" s="30">
        <v>10</v>
      </c>
      <c r="O771" s="7">
        <f t="shared" si="195"/>
        <v>40</v>
      </c>
      <c r="P771" s="58">
        <v>43714</v>
      </c>
    </row>
    <row r="772" spans="1:17" x14ac:dyDescent="0.15">
      <c r="A772" s="16" t="s">
        <v>1138</v>
      </c>
      <c r="B772" s="8"/>
      <c r="C772" s="10"/>
      <c r="D772" s="10">
        <v>1</v>
      </c>
      <c r="E772" s="10"/>
      <c r="F772" s="30"/>
      <c r="G772" s="7">
        <f t="shared" si="193"/>
        <v>1</v>
      </c>
      <c r="H772" s="58">
        <v>43715</v>
      </c>
      <c r="I772" s="51" t="s">
        <v>1097</v>
      </c>
      <c r="J772" s="8"/>
      <c r="K772" s="10"/>
      <c r="L772" s="10"/>
      <c r="M772" s="10"/>
      <c r="N772" s="30">
        <v>1</v>
      </c>
      <c r="O772" s="7">
        <f t="shared" si="195"/>
        <v>1</v>
      </c>
      <c r="P772" s="58">
        <v>43710</v>
      </c>
      <c r="Q772" s="56"/>
    </row>
    <row r="773" spans="1:17" x14ac:dyDescent="0.15">
      <c r="A773" s="16" t="s">
        <v>1140</v>
      </c>
      <c r="B773" s="8"/>
      <c r="C773" s="10"/>
      <c r="D773" s="10">
        <v>1</v>
      </c>
      <c r="E773" s="10">
        <v>1</v>
      </c>
      <c r="F773" s="30"/>
      <c r="G773" s="7">
        <f t="shared" si="193"/>
        <v>2</v>
      </c>
      <c r="H773" s="58">
        <v>43720</v>
      </c>
      <c r="I773" s="16" t="s">
        <v>1124</v>
      </c>
      <c r="J773" s="8"/>
      <c r="K773" s="10">
        <v>5</v>
      </c>
      <c r="L773" s="10">
        <v>5</v>
      </c>
      <c r="M773" s="10"/>
      <c r="N773" s="30"/>
      <c r="O773" s="7">
        <f t="shared" si="195"/>
        <v>10</v>
      </c>
      <c r="P773" s="58">
        <v>43710</v>
      </c>
    </row>
    <row r="774" spans="1:17" x14ac:dyDescent="0.15">
      <c r="A774" s="16" t="s">
        <v>1146</v>
      </c>
      <c r="B774" s="8"/>
      <c r="C774" s="10"/>
      <c r="D774" s="10">
        <v>3</v>
      </c>
      <c r="E774" s="10"/>
      <c r="F774" s="30">
        <v>1</v>
      </c>
      <c r="G774" s="7">
        <f t="shared" si="193"/>
        <v>4</v>
      </c>
      <c r="H774" s="58">
        <v>43722</v>
      </c>
      <c r="I774" s="16" t="s">
        <v>1130</v>
      </c>
      <c r="J774" s="8"/>
      <c r="K774" s="10">
        <v>5</v>
      </c>
      <c r="L774" s="10"/>
      <c r="M774" s="10">
        <v>2</v>
      </c>
      <c r="N774" s="30">
        <v>3</v>
      </c>
      <c r="O774" s="7">
        <f t="shared" si="195"/>
        <v>10</v>
      </c>
      <c r="P774" s="58">
        <v>43713</v>
      </c>
    </row>
    <row r="775" spans="1:17" x14ac:dyDescent="0.15">
      <c r="A775" s="16" t="s">
        <v>29</v>
      </c>
      <c r="B775" s="8"/>
      <c r="C775" s="10"/>
      <c r="D775" s="10">
        <v>1</v>
      </c>
      <c r="E775" s="10">
        <v>1</v>
      </c>
      <c r="F775" s="30"/>
      <c r="G775" s="7">
        <f t="shared" si="193"/>
        <v>2</v>
      </c>
      <c r="H775" s="58">
        <v>43719</v>
      </c>
      <c r="I775" s="14" t="s">
        <v>1071</v>
      </c>
      <c r="J775" s="8"/>
      <c r="K775" s="10"/>
      <c r="L775" s="10"/>
      <c r="M775" s="10">
        <v>2</v>
      </c>
      <c r="N775" s="30"/>
      <c r="O775" s="7">
        <f t="shared" si="195"/>
        <v>2</v>
      </c>
      <c r="P775" s="58">
        <v>43718</v>
      </c>
    </row>
    <row r="776" spans="1:17" x14ac:dyDescent="0.15">
      <c r="A776" s="14" t="s">
        <v>25</v>
      </c>
      <c r="B776" s="8"/>
      <c r="C776" s="10"/>
      <c r="D776" s="10"/>
      <c r="E776" s="10">
        <v>1</v>
      </c>
      <c r="F776" s="30"/>
      <c r="G776" s="7">
        <f t="shared" si="193"/>
        <v>1</v>
      </c>
      <c r="H776" s="58">
        <v>43726</v>
      </c>
      <c r="I776" s="14" t="s">
        <v>1132</v>
      </c>
      <c r="J776" s="8"/>
      <c r="K776" s="10">
        <v>1</v>
      </c>
      <c r="L776" s="10"/>
      <c r="M776" s="10"/>
      <c r="N776" s="30"/>
      <c r="O776" s="7">
        <f t="shared" si="195"/>
        <v>1</v>
      </c>
      <c r="P776" s="58">
        <v>43714</v>
      </c>
      <c r="Q776" s="56"/>
    </row>
    <row r="777" spans="1:17" x14ac:dyDescent="0.15">
      <c r="A777" s="16" t="s">
        <v>29</v>
      </c>
      <c r="B777" s="8"/>
      <c r="C777" s="10"/>
      <c r="D777" s="10"/>
      <c r="E777" s="10">
        <v>1</v>
      </c>
      <c r="F777" s="30">
        <v>1</v>
      </c>
      <c r="G777" s="7">
        <f t="shared" si="193"/>
        <v>2</v>
      </c>
      <c r="H777" s="58">
        <v>43724</v>
      </c>
      <c r="I777" s="14" t="s">
        <v>22</v>
      </c>
      <c r="J777" s="8"/>
      <c r="K777" s="10"/>
      <c r="L777" s="10">
        <v>10</v>
      </c>
      <c r="M777" s="10"/>
      <c r="N777" s="30"/>
      <c r="O777" s="7">
        <f t="shared" si="195"/>
        <v>10</v>
      </c>
      <c r="P777" s="58">
        <v>43721</v>
      </c>
    </row>
    <row r="778" spans="1:17" x14ac:dyDescent="0.15">
      <c r="A778" s="16" t="s">
        <v>1152</v>
      </c>
      <c r="B778" s="8"/>
      <c r="C778" s="10"/>
      <c r="D778" s="10">
        <v>2</v>
      </c>
      <c r="E778" s="10"/>
      <c r="F778" s="30"/>
      <c r="G778" s="7">
        <f t="shared" si="193"/>
        <v>2</v>
      </c>
      <c r="H778" s="58">
        <v>43728</v>
      </c>
      <c r="I778" s="14" t="s">
        <v>25</v>
      </c>
      <c r="J778" s="8"/>
      <c r="K778" s="10"/>
      <c r="L778" s="10"/>
      <c r="M778" s="10"/>
      <c r="N778" s="30">
        <v>1</v>
      </c>
      <c r="O778" s="7">
        <f t="shared" si="195"/>
        <v>1</v>
      </c>
      <c r="P778" s="58">
        <v>43720</v>
      </c>
    </row>
    <row r="779" spans="1:17" x14ac:dyDescent="0.15">
      <c r="A779" s="14" t="s">
        <v>25</v>
      </c>
      <c r="B779" s="8"/>
      <c r="C779" s="10">
        <v>1</v>
      </c>
      <c r="D779" s="10"/>
      <c r="E779" s="10"/>
      <c r="F779" s="30"/>
      <c r="G779" s="7">
        <f t="shared" si="193"/>
        <v>1</v>
      </c>
      <c r="H779" s="58">
        <v>43728</v>
      </c>
      <c r="I779" s="14" t="s">
        <v>25</v>
      </c>
      <c r="J779" s="11"/>
      <c r="K779" s="12">
        <v>1</v>
      </c>
      <c r="L779" s="12"/>
      <c r="M779" s="12"/>
      <c r="N779" s="31"/>
      <c r="O779" s="7">
        <f t="shared" si="195"/>
        <v>1</v>
      </c>
      <c r="P779" s="58">
        <v>43721</v>
      </c>
    </row>
    <row r="780" spans="1:17" x14ac:dyDescent="0.15">
      <c r="A780" s="16" t="s">
        <v>1155</v>
      </c>
      <c r="B780" s="8">
        <v>1</v>
      </c>
      <c r="C780" s="10">
        <v>6</v>
      </c>
      <c r="D780" s="10"/>
      <c r="E780" s="10">
        <v>1</v>
      </c>
      <c r="F780" s="30">
        <v>2</v>
      </c>
      <c r="G780" s="7">
        <f t="shared" si="193"/>
        <v>10</v>
      </c>
      <c r="H780" s="58">
        <v>43729</v>
      </c>
      <c r="I780" s="16" t="s">
        <v>24</v>
      </c>
      <c r="J780" s="8"/>
      <c r="K780" s="10"/>
      <c r="L780" s="10">
        <v>5</v>
      </c>
      <c r="M780" s="10"/>
      <c r="N780" s="30"/>
      <c r="O780" s="7">
        <f t="shared" si="195"/>
        <v>5</v>
      </c>
      <c r="P780" s="58">
        <v>43726</v>
      </c>
    </row>
    <row r="781" spans="1:17" x14ac:dyDescent="0.15">
      <c r="A781" s="51" t="s">
        <v>1159</v>
      </c>
      <c r="B781" s="8"/>
      <c r="C781" s="10">
        <v>1</v>
      </c>
      <c r="D781" s="10"/>
      <c r="E781" s="10"/>
      <c r="F781" s="30"/>
      <c r="G781" s="7">
        <f t="shared" si="193"/>
        <v>1</v>
      </c>
      <c r="H781" s="58">
        <v>43733</v>
      </c>
      <c r="I781" s="14" t="s">
        <v>22</v>
      </c>
      <c r="J781" s="8"/>
      <c r="K781" s="10">
        <v>10</v>
      </c>
      <c r="L781" s="10"/>
      <c r="M781" s="10"/>
      <c r="N781" s="30"/>
      <c r="O781" s="7">
        <f t="shared" si="195"/>
        <v>10</v>
      </c>
      <c r="P781" s="58">
        <v>43732</v>
      </c>
    </row>
    <row r="782" spans="1:17" x14ac:dyDescent="0.15">
      <c r="A782" s="16" t="s">
        <v>1163</v>
      </c>
      <c r="B782" s="8"/>
      <c r="C782" s="10"/>
      <c r="D782" s="10"/>
      <c r="E782" s="10"/>
      <c r="F782" s="30">
        <v>1</v>
      </c>
      <c r="G782" s="7">
        <f t="shared" si="193"/>
        <v>1</v>
      </c>
      <c r="H782" s="58">
        <v>43735</v>
      </c>
      <c r="I782" s="14" t="s">
        <v>25</v>
      </c>
      <c r="J782" s="8">
        <v>1</v>
      </c>
      <c r="K782" s="10"/>
      <c r="L782" s="10"/>
      <c r="M782" s="10">
        <v>1</v>
      </c>
      <c r="N782" s="30"/>
      <c r="O782" s="7">
        <f t="shared" si="195"/>
        <v>2</v>
      </c>
      <c r="P782" s="58">
        <v>43729</v>
      </c>
      <c r="Q782" s="68"/>
    </row>
    <row r="783" spans="1:17" x14ac:dyDescent="0.15">
      <c r="A783" s="16" t="s">
        <v>1164</v>
      </c>
      <c r="B783" s="8"/>
      <c r="C783" s="10"/>
      <c r="D783" s="10"/>
      <c r="E783" s="10"/>
      <c r="F783" s="30">
        <v>-3</v>
      </c>
      <c r="G783" s="7">
        <f t="shared" si="193"/>
        <v>-3</v>
      </c>
      <c r="H783" s="58">
        <v>43733</v>
      </c>
      <c r="I783" s="14" t="s">
        <v>25</v>
      </c>
      <c r="J783" s="8"/>
      <c r="K783" s="10">
        <v>1</v>
      </c>
      <c r="L783" s="10"/>
      <c r="M783" s="10"/>
      <c r="N783" s="30"/>
      <c r="O783" s="7">
        <f t="shared" si="195"/>
        <v>1</v>
      </c>
      <c r="P783" s="58">
        <v>43732</v>
      </c>
    </row>
    <row r="784" spans="1:17" x14ac:dyDescent="0.15">
      <c r="A784" s="16" t="s">
        <v>696</v>
      </c>
      <c r="B784" s="8"/>
      <c r="C784" s="10"/>
      <c r="D784" s="10"/>
      <c r="E784" s="10"/>
      <c r="F784" s="30">
        <v>-1</v>
      </c>
      <c r="G784" s="7">
        <f t="shared" si="193"/>
        <v>-1</v>
      </c>
      <c r="H784" s="58">
        <v>43733</v>
      </c>
      <c r="I784" s="14" t="s">
        <v>22</v>
      </c>
      <c r="J784" s="8"/>
      <c r="K784" s="10"/>
      <c r="L784" s="10"/>
      <c r="M784" s="10">
        <v>10</v>
      </c>
      <c r="N784" s="30"/>
      <c r="O784" s="7">
        <f t="shared" si="195"/>
        <v>10</v>
      </c>
      <c r="P784" s="58">
        <v>43735</v>
      </c>
    </row>
    <row r="785" spans="1:17" x14ac:dyDescent="0.15">
      <c r="A785" s="16" t="s">
        <v>1167</v>
      </c>
      <c r="B785" s="8"/>
      <c r="C785" s="10">
        <v>1</v>
      </c>
      <c r="D785" s="10"/>
      <c r="E785" s="10"/>
      <c r="F785" s="30"/>
      <c r="G785" s="7">
        <f t="shared" si="193"/>
        <v>1</v>
      </c>
      <c r="H785" s="58">
        <v>43734</v>
      </c>
      <c r="I785" s="14" t="s">
        <v>25</v>
      </c>
      <c r="J785" s="8"/>
      <c r="K785" s="10">
        <v>1</v>
      </c>
      <c r="L785" s="10"/>
      <c r="M785" s="10"/>
      <c r="N785" s="30"/>
      <c r="O785" s="7">
        <f t="shared" si="195"/>
        <v>1</v>
      </c>
      <c r="P785" s="58">
        <v>43733</v>
      </c>
    </row>
    <row r="786" spans="1:17" x14ac:dyDescent="0.15">
      <c r="A786" s="16" t="s">
        <v>29</v>
      </c>
      <c r="B786" s="8"/>
      <c r="C786" s="10">
        <v>1</v>
      </c>
      <c r="D786" s="10"/>
      <c r="E786" s="10"/>
      <c r="F786" s="30"/>
      <c r="G786" s="7">
        <f t="shared" si="193"/>
        <v>1</v>
      </c>
      <c r="H786" s="58">
        <v>43734</v>
      </c>
      <c r="I786" s="14" t="s">
        <v>1165</v>
      </c>
      <c r="J786" s="8"/>
      <c r="K786" s="10"/>
      <c r="L786" s="10"/>
      <c r="M786" s="10"/>
      <c r="N786" s="30">
        <v>3</v>
      </c>
      <c r="O786" s="7">
        <f t="shared" si="195"/>
        <v>3</v>
      </c>
      <c r="P786" s="58">
        <v>43733</v>
      </c>
      <c r="Q786" s="56"/>
    </row>
    <row r="787" spans="1:17" x14ac:dyDescent="0.15">
      <c r="A787" s="16" t="s">
        <v>10</v>
      </c>
      <c r="B787" s="8">
        <v>1</v>
      </c>
      <c r="C787" s="10">
        <v>2</v>
      </c>
      <c r="D787" s="10"/>
      <c r="E787" s="10"/>
      <c r="F787" s="30"/>
      <c r="G787" s="7">
        <v>3</v>
      </c>
      <c r="H787" s="58">
        <v>43738</v>
      </c>
      <c r="I787" s="14" t="s">
        <v>25</v>
      </c>
      <c r="J787" s="11"/>
      <c r="K787" s="12">
        <v>1</v>
      </c>
      <c r="L787" s="12">
        <v>1</v>
      </c>
      <c r="M787" s="12"/>
      <c r="N787" s="31">
        <v>2</v>
      </c>
      <c r="O787" s="7">
        <f t="shared" si="195"/>
        <v>4</v>
      </c>
      <c r="P787" s="58">
        <v>43735</v>
      </c>
    </row>
    <row r="788" spans="1:17" x14ac:dyDescent="0.15">
      <c r="A788" s="16" t="s">
        <v>29</v>
      </c>
      <c r="B788" s="8"/>
      <c r="C788" s="10">
        <v>1</v>
      </c>
      <c r="D788" s="10"/>
      <c r="E788" s="10"/>
      <c r="F788" s="30"/>
      <c r="G788" s="7">
        <f t="shared" si="193"/>
        <v>1</v>
      </c>
      <c r="H788" s="58">
        <v>43735</v>
      </c>
      <c r="I788" s="14" t="s">
        <v>24</v>
      </c>
      <c r="J788" s="11"/>
      <c r="K788" s="12">
        <v>5</v>
      </c>
      <c r="L788" s="12"/>
      <c r="M788" s="12"/>
      <c r="N788" s="31"/>
      <c r="O788" s="7">
        <f t="shared" si="195"/>
        <v>5</v>
      </c>
      <c r="P788" s="58">
        <v>43738</v>
      </c>
    </row>
    <row r="789" spans="1:17" x14ac:dyDescent="0.15">
      <c r="A789" s="16" t="s">
        <v>1168</v>
      </c>
      <c r="B789" s="8"/>
      <c r="C789" s="10">
        <v>-5</v>
      </c>
      <c r="D789" s="10"/>
      <c r="E789" s="10"/>
      <c r="F789" s="30"/>
      <c r="G789" s="7">
        <f>SUM(B789:F789)</f>
        <v>-5</v>
      </c>
      <c r="H789" s="58">
        <v>43738</v>
      </c>
      <c r="I789" s="14" t="s">
        <v>25</v>
      </c>
      <c r="J789" s="11"/>
      <c r="K789" s="12"/>
      <c r="L789" s="12"/>
      <c r="M789" s="12"/>
      <c r="N789" s="31">
        <v>2</v>
      </c>
      <c r="O789" s="7">
        <f t="shared" si="195"/>
        <v>2</v>
      </c>
      <c r="P789" s="58">
        <v>43739</v>
      </c>
    </row>
    <row r="790" spans="1:17" x14ac:dyDescent="0.15">
      <c r="A790" s="16" t="s">
        <v>1173</v>
      </c>
      <c r="B790" s="8"/>
      <c r="C790" s="10"/>
      <c r="D790" s="10">
        <v>-1</v>
      </c>
      <c r="E790" s="10">
        <v>-2</v>
      </c>
      <c r="F790" s="30"/>
      <c r="G790" s="7">
        <f>SUM(B790:F790)</f>
        <v>-3</v>
      </c>
      <c r="H790" s="58">
        <v>43738</v>
      </c>
      <c r="I790" s="16" t="s">
        <v>1174</v>
      </c>
      <c r="J790" s="11"/>
      <c r="K790" s="12"/>
      <c r="L790" s="12">
        <v>10</v>
      </c>
      <c r="M790" s="12"/>
      <c r="N790" s="31"/>
      <c r="O790" s="7">
        <f t="shared" si="195"/>
        <v>10</v>
      </c>
      <c r="P790" s="58">
        <v>43745</v>
      </c>
    </row>
    <row r="791" spans="1:17" x14ac:dyDescent="0.15">
      <c r="A791" s="16" t="s">
        <v>29</v>
      </c>
      <c r="B791" s="8"/>
      <c r="C791" s="10">
        <v>1</v>
      </c>
      <c r="D791" s="10"/>
      <c r="E791" s="10"/>
      <c r="F791" s="30"/>
      <c r="G791" s="7">
        <f t="shared" ref="G791:G796" si="198">SUM(B791:F791)</f>
        <v>1</v>
      </c>
      <c r="H791" s="58">
        <v>43740</v>
      </c>
      <c r="I791" s="14" t="s">
        <v>25</v>
      </c>
      <c r="J791" s="11">
        <v>1</v>
      </c>
      <c r="K791" s="12"/>
      <c r="L791" s="12"/>
      <c r="M791" s="12"/>
      <c r="N791" s="31"/>
      <c r="O791" s="7">
        <f t="shared" si="195"/>
        <v>1</v>
      </c>
      <c r="P791" s="58">
        <v>43742</v>
      </c>
    </row>
    <row r="792" spans="1:17" x14ac:dyDescent="0.15">
      <c r="A792" s="16" t="s">
        <v>10</v>
      </c>
      <c r="B792" s="11"/>
      <c r="C792" s="12"/>
      <c r="D792" s="12"/>
      <c r="E792" s="12">
        <v>1</v>
      </c>
      <c r="F792" s="31">
        <v>1</v>
      </c>
      <c r="G792" s="7">
        <f t="shared" si="198"/>
        <v>2</v>
      </c>
      <c r="H792" s="58">
        <v>43745</v>
      </c>
      <c r="I792" s="39" t="s">
        <v>1085</v>
      </c>
      <c r="J792" s="11"/>
      <c r="K792" s="12"/>
      <c r="L792" s="12"/>
      <c r="M792" s="12"/>
      <c r="N792" s="31"/>
      <c r="O792" s="7">
        <f t="shared" si="195"/>
        <v>0</v>
      </c>
      <c r="P792" s="56" t="s">
        <v>1032</v>
      </c>
    </row>
    <row r="793" spans="1:17" x14ac:dyDescent="0.15">
      <c r="A793" s="16" t="s">
        <v>1179</v>
      </c>
      <c r="B793" s="8"/>
      <c r="C793" s="10"/>
      <c r="D793" s="10"/>
      <c r="E793" s="10"/>
      <c r="F793" s="30">
        <v>1</v>
      </c>
      <c r="G793" s="7">
        <f t="shared" si="198"/>
        <v>1</v>
      </c>
      <c r="H793" s="58">
        <v>43748</v>
      </c>
      <c r="I793" s="16" t="s">
        <v>1079</v>
      </c>
      <c r="J793" s="11"/>
      <c r="K793" s="12"/>
      <c r="L793" s="12"/>
      <c r="M793" s="12"/>
      <c r="N793" s="31"/>
      <c r="O793" s="7">
        <f t="shared" si="195"/>
        <v>0</v>
      </c>
      <c r="P793" s="58" t="s">
        <v>1080</v>
      </c>
    </row>
    <row r="794" spans="1:17" x14ac:dyDescent="0.15">
      <c r="A794" s="16" t="s">
        <v>10</v>
      </c>
      <c r="B794" s="37"/>
      <c r="C794" s="35">
        <v>2</v>
      </c>
      <c r="D794" s="35"/>
      <c r="E794" s="35"/>
      <c r="F794" s="28"/>
      <c r="G794" s="7">
        <f t="shared" si="198"/>
        <v>2</v>
      </c>
      <c r="H794" s="58">
        <v>43749</v>
      </c>
      <c r="I794" s="16" t="s">
        <v>1120</v>
      </c>
      <c r="J794" s="11"/>
      <c r="K794" s="12"/>
      <c r="L794" s="12"/>
      <c r="M794" s="12"/>
      <c r="N794" s="31"/>
      <c r="O794" s="7">
        <f t="shared" si="195"/>
        <v>0</v>
      </c>
      <c r="P794" s="56" t="s">
        <v>1119</v>
      </c>
      <c r="Q794" s="56"/>
    </row>
    <row r="795" spans="1:17" x14ac:dyDescent="0.15">
      <c r="A795" s="16" t="s">
        <v>1182</v>
      </c>
      <c r="B795" s="8"/>
      <c r="C795" s="10">
        <v>-1</v>
      </c>
      <c r="D795" s="10"/>
      <c r="E795" s="10"/>
      <c r="F795" s="30"/>
      <c r="G795" s="9">
        <f t="shared" si="198"/>
        <v>-1</v>
      </c>
      <c r="H795" s="58">
        <v>43748</v>
      </c>
      <c r="I795" s="16" t="s">
        <v>1114</v>
      </c>
      <c r="J795" s="11"/>
      <c r="K795" s="12"/>
      <c r="L795" s="12"/>
      <c r="M795" s="12"/>
      <c r="N795" s="31"/>
      <c r="O795" s="7">
        <f t="shared" si="195"/>
        <v>0</v>
      </c>
      <c r="P795" s="56" t="s">
        <v>1116</v>
      </c>
    </row>
    <row r="796" spans="1:17" ht="14.25" thickBot="1" x14ac:dyDescent="0.2">
      <c r="A796" s="51"/>
      <c r="B796" s="37"/>
      <c r="C796" s="35"/>
      <c r="D796" s="35"/>
      <c r="E796" s="35"/>
      <c r="F796" s="28"/>
      <c r="G796" s="7">
        <f t="shared" si="198"/>
        <v>0</v>
      </c>
      <c r="H796" s="58"/>
      <c r="I796" s="14" t="s">
        <v>1031</v>
      </c>
      <c r="J796" s="8"/>
      <c r="K796" s="10"/>
      <c r="L796" s="10"/>
      <c r="M796" s="10"/>
      <c r="N796" s="30"/>
      <c r="O796" s="7">
        <f t="shared" si="195"/>
        <v>0</v>
      </c>
      <c r="P796" s="56" t="s">
        <v>1032</v>
      </c>
    </row>
    <row r="797" spans="1:17" ht="14.25" thickBot="1" x14ac:dyDescent="0.2">
      <c r="A797" s="3" t="s">
        <v>11</v>
      </c>
      <c r="B797" s="23">
        <f>SUM(B771:B796)</f>
        <v>3</v>
      </c>
      <c r="C797" s="4">
        <f>SUM(C771:C796)</f>
        <v>10</v>
      </c>
      <c r="D797" s="4">
        <f>SUM(D771:D796)</f>
        <v>8</v>
      </c>
      <c r="E797" s="6">
        <f>SUM(E771:E796)</f>
        <v>4</v>
      </c>
      <c r="F797" s="32">
        <f>SUM(F771:F796)</f>
        <v>3</v>
      </c>
      <c r="G797" s="5">
        <f>SUM(B797:F797)</f>
        <v>28</v>
      </c>
      <c r="H797" s="56"/>
      <c r="I797" s="3" t="s">
        <v>11</v>
      </c>
      <c r="J797" s="23">
        <f>SUM(J771:J796)</f>
        <v>12</v>
      </c>
      <c r="K797" s="4">
        <f>SUM(K771:K796)</f>
        <v>40</v>
      </c>
      <c r="L797" s="4">
        <f>SUM(L771:L796)</f>
        <v>31</v>
      </c>
      <c r="M797" s="6">
        <f>SUM(M771:M796)</f>
        <v>25</v>
      </c>
      <c r="N797" s="32">
        <f>SUM(N771:N796)</f>
        <v>22</v>
      </c>
      <c r="O797" s="5">
        <f>SUM(J797:N797)</f>
        <v>130</v>
      </c>
    </row>
    <row r="798" spans="1:17" ht="14.25" thickBot="1" x14ac:dyDescent="0.2">
      <c r="A798" s="25" t="s">
        <v>12</v>
      </c>
      <c r="B798" s="63">
        <f>B770-B797</f>
        <v>4</v>
      </c>
      <c r="C798" s="26">
        <f t="shared" ref="C798:G798" si="199">C770-C797</f>
        <v>3</v>
      </c>
      <c r="D798" s="71">
        <f t="shared" si="199"/>
        <v>7</v>
      </c>
      <c r="E798" s="26">
        <f t="shared" si="199"/>
        <v>7</v>
      </c>
      <c r="F798" s="70">
        <f t="shared" si="199"/>
        <v>5</v>
      </c>
      <c r="G798" s="27">
        <f t="shared" si="199"/>
        <v>26</v>
      </c>
      <c r="H798" s="56"/>
      <c r="I798" s="25" t="s">
        <v>12</v>
      </c>
      <c r="J798" s="63">
        <f>J770-J797</f>
        <v>137</v>
      </c>
      <c r="K798" s="26">
        <f t="shared" ref="K798:M798" si="200">K770-K797</f>
        <v>168</v>
      </c>
      <c r="L798" s="71">
        <f t="shared" si="200"/>
        <v>123</v>
      </c>
      <c r="M798" s="26">
        <f t="shared" si="200"/>
        <v>119</v>
      </c>
      <c r="N798" s="70">
        <f>N770-N797</f>
        <v>59</v>
      </c>
      <c r="O798" s="27">
        <f t="shared" ref="O798" si="201">O770-O797</f>
        <v>606</v>
      </c>
    </row>
    <row r="799" spans="1:17" ht="21" x14ac:dyDescent="0.2">
      <c r="A799" s="83" t="s">
        <v>415</v>
      </c>
      <c r="B799" s="77"/>
      <c r="C799" s="77"/>
      <c r="D799" s="77"/>
      <c r="E799" s="77"/>
      <c r="F799" s="77"/>
      <c r="G799" s="77"/>
      <c r="H799" s="56"/>
      <c r="I799" s="83" t="s">
        <v>415</v>
      </c>
      <c r="J799" s="77"/>
      <c r="K799" s="77"/>
      <c r="L799" s="77"/>
      <c r="M799" s="77"/>
      <c r="N799" s="77"/>
      <c r="O799" s="77"/>
    </row>
    <row r="800" spans="1:17" ht="21.75" thickBot="1" x14ac:dyDescent="0.25">
      <c r="A800" s="83" t="s">
        <v>47</v>
      </c>
      <c r="B800" s="77"/>
      <c r="C800" s="77"/>
      <c r="D800" s="77"/>
      <c r="E800" s="84"/>
      <c r="F800" s="78" t="s">
        <v>53</v>
      </c>
      <c r="G800" s="77"/>
      <c r="H800" s="56"/>
      <c r="I800" s="83" t="s">
        <v>47</v>
      </c>
      <c r="J800" s="77"/>
      <c r="K800" s="77"/>
      <c r="L800" s="77"/>
      <c r="M800" s="84"/>
      <c r="N800" s="78" t="s">
        <v>54</v>
      </c>
      <c r="O800" s="77"/>
    </row>
    <row r="801" spans="1:16" ht="14.25" thickBot="1" x14ac:dyDescent="0.2">
      <c r="A801" s="13" t="s">
        <v>0</v>
      </c>
      <c r="B801" s="228" t="s">
        <v>49</v>
      </c>
      <c r="C801" s="229"/>
      <c r="D801" s="229"/>
      <c r="E801" s="229"/>
      <c r="F801" s="230"/>
      <c r="G801" s="231"/>
      <c r="H801" s="56"/>
      <c r="I801" s="13" t="s">
        <v>0</v>
      </c>
      <c r="J801" s="228" t="s">
        <v>49</v>
      </c>
      <c r="K801" s="229"/>
      <c r="L801" s="229"/>
      <c r="M801" s="229"/>
      <c r="N801" s="230"/>
      <c r="O801" s="231"/>
    </row>
    <row r="802" spans="1:16" ht="14.25" thickBot="1" x14ac:dyDescent="0.2">
      <c r="A802" s="3" t="s">
        <v>1</v>
      </c>
      <c r="B802" s="2" t="s">
        <v>42</v>
      </c>
      <c r="C802" s="21" t="s">
        <v>43</v>
      </c>
      <c r="D802" s="21" t="s">
        <v>44</v>
      </c>
      <c r="E802" s="24" t="s">
        <v>45</v>
      </c>
      <c r="F802" s="33" t="s">
        <v>46</v>
      </c>
      <c r="G802" s="34" t="s">
        <v>2</v>
      </c>
      <c r="H802" s="56"/>
      <c r="I802" s="3" t="s">
        <v>1</v>
      </c>
      <c r="J802" s="2" t="s">
        <v>42</v>
      </c>
      <c r="K802" s="21" t="s">
        <v>43</v>
      </c>
      <c r="L802" s="21" t="s">
        <v>44</v>
      </c>
      <c r="M802" s="24" t="s">
        <v>45</v>
      </c>
      <c r="N802" s="33" t="s">
        <v>46</v>
      </c>
      <c r="O802" s="3" t="s">
        <v>2</v>
      </c>
    </row>
    <row r="803" spans="1:16" ht="14.25" thickBot="1" x14ac:dyDescent="0.2">
      <c r="A803" s="72" t="s">
        <v>527</v>
      </c>
      <c r="B803" s="73">
        <f>B798</f>
        <v>4</v>
      </c>
      <c r="C803" s="73">
        <f t="shared" ref="C803:F803" si="202">C798</f>
        <v>3</v>
      </c>
      <c r="D803" s="73">
        <f t="shared" si="202"/>
        <v>7</v>
      </c>
      <c r="E803" s="73">
        <f t="shared" si="202"/>
        <v>7</v>
      </c>
      <c r="F803" s="73">
        <f t="shared" si="202"/>
        <v>5</v>
      </c>
      <c r="G803" s="76">
        <f t="shared" ref="G803:G830" si="203">SUM(B803:F803)</f>
        <v>26</v>
      </c>
      <c r="H803" s="56"/>
      <c r="I803" s="96" t="s">
        <v>12</v>
      </c>
      <c r="J803" s="95">
        <f>J798</f>
        <v>137</v>
      </c>
      <c r="K803" s="97">
        <f t="shared" ref="K803:N803" si="204">K798</f>
        <v>168</v>
      </c>
      <c r="L803" s="97">
        <f t="shared" si="204"/>
        <v>123</v>
      </c>
      <c r="M803" s="97">
        <f t="shared" si="204"/>
        <v>119</v>
      </c>
      <c r="N803" s="54">
        <f t="shared" si="204"/>
        <v>59</v>
      </c>
      <c r="O803" s="52">
        <f t="shared" ref="O803:O832" si="205">SUM(J803:N803)</f>
        <v>606</v>
      </c>
    </row>
    <row r="804" spans="1:16" x14ac:dyDescent="0.15">
      <c r="A804" s="15" t="s">
        <v>14</v>
      </c>
      <c r="B804" s="37"/>
      <c r="C804" s="35">
        <v>3</v>
      </c>
      <c r="D804" s="35"/>
      <c r="E804" s="35"/>
      <c r="F804" s="28"/>
      <c r="G804" s="7">
        <f t="shared" si="203"/>
        <v>3</v>
      </c>
      <c r="H804" s="58">
        <v>43749</v>
      </c>
      <c r="I804" s="15" t="s">
        <v>9</v>
      </c>
      <c r="J804" s="37">
        <v>19</v>
      </c>
      <c r="K804" s="35">
        <v>8</v>
      </c>
      <c r="L804" s="35">
        <v>10</v>
      </c>
      <c r="M804" s="35">
        <v>2</v>
      </c>
      <c r="N804" s="28">
        <v>6</v>
      </c>
      <c r="O804" s="7">
        <f t="shared" si="205"/>
        <v>45</v>
      </c>
      <c r="P804" s="57">
        <v>43771</v>
      </c>
    </row>
    <row r="805" spans="1:16" x14ac:dyDescent="0.15">
      <c r="A805" s="15" t="s">
        <v>3</v>
      </c>
      <c r="B805" s="8">
        <v>3</v>
      </c>
      <c r="C805" s="10"/>
      <c r="D805" s="10"/>
      <c r="E805" s="10"/>
      <c r="F805" s="28">
        <v>3</v>
      </c>
      <c r="G805" s="9">
        <f t="shared" si="203"/>
        <v>6</v>
      </c>
      <c r="H805" s="58">
        <v>43753</v>
      </c>
      <c r="I805" s="15" t="s">
        <v>9</v>
      </c>
      <c r="J805" s="8">
        <v>3</v>
      </c>
      <c r="K805" s="10">
        <v>3</v>
      </c>
      <c r="L805" s="10">
        <v>3</v>
      </c>
      <c r="M805" s="10"/>
      <c r="N805" s="28">
        <v>5</v>
      </c>
      <c r="O805" s="9">
        <f t="shared" si="205"/>
        <v>14</v>
      </c>
      <c r="P805" s="57">
        <v>43806</v>
      </c>
    </row>
    <row r="806" spans="1:16" x14ac:dyDescent="0.15">
      <c r="A806" s="15" t="s">
        <v>17</v>
      </c>
      <c r="B806" s="8">
        <v>1</v>
      </c>
      <c r="C806" s="10"/>
      <c r="D806" s="10"/>
      <c r="E806" s="10"/>
      <c r="F806" s="28"/>
      <c r="G806" s="9">
        <f t="shared" si="203"/>
        <v>1</v>
      </c>
      <c r="H806" s="58">
        <v>43755</v>
      </c>
      <c r="I806" s="15" t="s">
        <v>5</v>
      </c>
      <c r="J806" s="8"/>
      <c r="K806" s="10"/>
      <c r="L806" s="10"/>
      <c r="M806" s="10"/>
      <c r="N806" s="28"/>
      <c r="O806" s="9">
        <f t="shared" si="205"/>
        <v>0</v>
      </c>
    </row>
    <row r="807" spans="1:16" x14ac:dyDescent="0.15">
      <c r="A807" s="15" t="s">
        <v>383</v>
      </c>
      <c r="B807" s="8">
        <v>1</v>
      </c>
      <c r="C807" s="10">
        <v>4</v>
      </c>
      <c r="D807" s="10">
        <v>3</v>
      </c>
      <c r="E807" s="10">
        <v>1</v>
      </c>
      <c r="F807" s="28">
        <v>2</v>
      </c>
      <c r="G807" s="9">
        <f t="shared" si="203"/>
        <v>11</v>
      </c>
      <c r="H807" s="58">
        <v>43757</v>
      </c>
      <c r="I807" s="15" t="s">
        <v>6</v>
      </c>
      <c r="J807" s="8">
        <v>99</v>
      </c>
      <c r="K807" s="10">
        <v>99</v>
      </c>
      <c r="L807" s="10">
        <v>99</v>
      </c>
      <c r="M807" s="10">
        <v>119</v>
      </c>
      <c r="N807" s="28">
        <v>179</v>
      </c>
      <c r="O807" s="9">
        <f t="shared" si="205"/>
        <v>595</v>
      </c>
      <c r="P807" s="58" t="s">
        <v>1228</v>
      </c>
    </row>
    <row r="808" spans="1:16" x14ac:dyDescent="0.15">
      <c r="A808" s="15" t="s">
        <v>19</v>
      </c>
      <c r="B808" s="11">
        <v>3</v>
      </c>
      <c r="C808" s="12"/>
      <c r="D808" s="12">
        <v>4</v>
      </c>
      <c r="E808" s="12">
        <v>2</v>
      </c>
      <c r="F808" s="31">
        <v>5</v>
      </c>
      <c r="G808" s="7">
        <f t="shared" si="203"/>
        <v>14</v>
      </c>
      <c r="H808" s="58">
        <v>43757</v>
      </c>
      <c r="I808" s="15" t="s">
        <v>84</v>
      </c>
      <c r="J808" s="11"/>
      <c r="K808" s="12"/>
      <c r="L808" s="12"/>
      <c r="M808" s="12"/>
      <c r="N808" s="31"/>
      <c r="O808" s="7">
        <f t="shared" si="205"/>
        <v>0</v>
      </c>
    </row>
    <row r="809" spans="1:16" x14ac:dyDescent="0.15">
      <c r="A809" s="15" t="s">
        <v>111</v>
      </c>
      <c r="B809" s="8"/>
      <c r="C809" s="10"/>
      <c r="D809" s="10"/>
      <c r="E809" s="10"/>
      <c r="F809" s="30">
        <v>1</v>
      </c>
      <c r="G809" s="7">
        <f t="shared" si="203"/>
        <v>1</v>
      </c>
      <c r="H809" s="58">
        <v>43761</v>
      </c>
      <c r="I809" s="15" t="s">
        <v>85</v>
      </c>
      <c r="J809" s="8"/>
      <c r="K809" s="10"/>
      <c r="L809" s="10"/>
      <c r="M809" s="10"/>
      <c r="N809" s="30"/>
      <c r="O809" s="7">
        <f t="shared" si="205"/>
        <v>0</v>
      </c>
    </row>
    <row r="810" spans="1:16" x14ac:dyDescent="0.15">
      <c r="A810" s="15" t="s">
        <v>183</v>
      </c>
      <c r="B810" s="8"/>
      <c r="C810" s="10"/>
      <c r="D810" s="10"/>
      <c r="E810" s="10"/>
      <c r="F810" s="30">
        <v>1</v>
      </c>
      <c r="G810" s="7">
        <f t="shared" si="203"/>
        <v>1</v>
      </c>
      <c r="H810" s="58">
        <v>43762</v>
      </c>
      <c r="I810" s="16" t="s">
        <v>88</v>
      </c>
      <c r="J810" s="8"/>
      <c r="K810" s="10"/>
      <c r="L810" s="10"/>
      <c r="M810" s="10"/>
      <c r="N810" s="30"/>
      <c r="O810" s="7">
        <f t="shared" si="205"/>
        <v>0</v>
      </c>
    </row>
    <row r="811" spans="1:16" ht="14.25" thickBot="1" x14ac:dyDescent="0.2">
      <c r="A811" s="15" t="s">
        <v>111</v>
      </c>
      <c r="B811" s="11">
        <v>15</v>
      </c>
      <c r="C811" s="100">
        <v>6</v>
      </c>
      <c r="D811" s="100">
        <v>4</v>
      </c>
      <c r="E811" s="100">
        <v>2</v>
      </c>
      <c r="F811" s="101">
        <v>1</v>
      </c>
      <c r="G811" s="102">
        <f t="shared" si="203"/>
        <v>28</v>
      </c>
      <c r="H811" s="58">
        <v>43767</v>
      </c>
      <c r="I811" s="15" t="s">
        <v>87</v>
      </c>
      <c r="J811" s="11"/>
      <c r="K811" s="100"/>
      <c r="L811" s="100"/>
      <c r="M811" s="100"/>
      <c r="N811" s="101"/>
      <c r="O811" s="102">
        <f t="shared" si="205"/>
        <v>0</v>
      </c>
    </row>
    <row r="812" spans="1:16" ht="14.25" thickBot="1" x14ac:dyDescent="0.2">
      <c r="A812" s="72" t="s">
        <v>7</v>
      </c>
      <c r="B812" s="73">
        <f>SUM(B803:B811)</f>
        <v>27</v>
      </c>
      <c r="C812" s="74">
        <f t="shared" ref="C812:F812" si="206">SUM(C803:C811)</f>
        <v>16</v>
      </c>
      <c r="D812" s="74">
        <f t="shared" si="206"/>
        <v>18</v>
      </c>
      <c r="E812" s="74">
        <f t="shared" si="206"/>
        <v>12</v>
      </c>
      <c r="F812" s="105">
        <f t="shared" si="206"/>
        <v>18</v>
      </c>
      <c r="G812" s="76">
        <f t="shared" si="203"/>
        <v>91</v>
      </c>
      <c r="H812" s="56"/>
      <c r="I812" s="72" t="s">
        <v>7</v>
      </c>
      <c r="J812" s="73">
        <f>SUM(J803:J811)</f>
        <v>258</v>
      </c>
      <c r="K812" s="74">
        <f t="shared" ref="K812:N812" si="207">SUM(K803:K811)</f>
        <v>278</v>
      </c>
      <c r="L812" s="74">
        <f t="shared" si="207"/>
        <v>235</v>
      </c>
      <c r="M812" s="74">
        <f t="shared" si="207"/>
        <v>240</v>
      </c>
      <c r="N812" s="105">
        <f t="shared" si="207"/>
        <v>249</v>
      </c>
      <c r="O812" s="76">
        <f t="shared" si="205"/>
        <v>1260</v>
      </c>
    </row>
    <row r="813" spans="1:16" x14ac:dyDescent="0.15">
      <c r="A813" s="16" t="s">
        <v>1184</v>
      </c>
      <c r="B813" s="37"/>
      <c r="C813" s="35"/>
      <c r="D813" s="35"/>
      <c r="E813" s="35"/>
      <c r="F813" s="28">
        <v>1</v>
      </c>
      <c r="G813" s="18">
        <f t="shared" si="203"/>
        <v>1</v>
      </c>
      <c r="H813" s="58">
        <v>43755</v>
      </c>
      <c r="I813" s="14" t="s">
        <v>25</v>
      </c>
      <c r="J813" s="8"/>
      <c r="K813" s="10"/>
      <c r="L813" s="10">
        <v>5</v>
      </c>
      <c r="M813" s="10">
        <v>1</v>
      </c>
      <c r="N813" s="30"/>
      <c r="O813" s="7">
        <f t="shared" si="205"/>
        <v>6</v>
      </c>
      <c r="P813" s="58">
        <v>43747</v>
      </c>
    </row>
    <row r="814" spans="1:16" x14ac:dyDescent="0.15">
      <c r="A814" s="14" t="s">
        <v>25</v>
      </c>
      <c r="B814" s="8"/>
      <c r="C814" s="10">
        <v>1</v>
      </c>
      <c r="D814" s="10"/>
      <c r="E814" s="10">
        <v>1</v>
      </c>
      <c r="F814" s="30">
        <v>1</v>
      </c>
      <c r="G814" s="7">
        <f t="shared" si="203"/>
        <v>3</v>
      </c>
      <c r="H814" s="58">
        <v>43762</v>
      </c>
      <c r="I814" s="51" t="s">
        <v>1183</v>
      </c>
      <c r="J814" s="8"/>
      <c r="K814" s="10">
        <v>3</v>
      </c>
      <c r="L814" s="10"/>
      <c r="M814" s="10"/>
      <c r="N814" s="30"/>
      <c r="O814" s="7">
        <f t="shared" si="205"/>
        <v>3</v>
      </c>
      <c r="P814" s="58">
        <v>43749</v>
      </c>
    </row>
    <row r="815" spans="1:16" x14ac:dyDescent="0.15">
      <c r="A815" s="16" t="s">
        <v>29</v>
      </c>
      <c r="B815" s="8"/>
      <c r="C815" s="10"/>
      <c r="D815" s="10">
        <v>1</v>
      </c>
      <c r="E815" s="10"/>
      <c r="F815" s="30"/>
      <c r="G815" s="7">
        <f t="shared" si="203"/>
        <v>1</v>
      </c>
      <c r="H815" s="58">
        <v>43766</v>
      </c>
      <c r="I815" s="51" t="s">
        <v>24</v>
      </c>
      <c r="J815" s="8">
        <v>3</v>
      </c>
      <c r="K815" s="10"/>
      <c r="L815" s="10"/>
      <c r="M815" s="10"/>
      <c r="N815" s="30">
        <v>3</v>
      </c>
      <c r="O815" s="7">
        <f t="shared" si="205"/>
        <v>6</v>
      </c>
      <c r="P815" s="58">
        <v>43753</v>
      </c>
    </row>
    <row r="816" spans="1:16" x14ac:dyDescent="0.15">
      <c r="A816" s="16" t="s">
        <v>1203</v>
      </c>
      <c r="B816" s="8"/>
      <c r="C816" s="10">
        <v>-2</v>
      </c>
      <c r="D816" s="10">
        <v>-1</v>
      </c>
      <c r="E816" s="10">
        <v>-1</v>
      </c>
      <c r="F816" s="30"/>
      <c r="G816" s="7">
        <f t="shared" si="203"/>
        <v>-4</v>
      </c>
      <c r="H816" s="58">
        <v>43768</v>
      </c>
      <c r="I816" s="14" t="s">
        <v>25</v>
      </c>
      <c r="J816" s="8"/>
      <c r="K816" s="10">
        <v>1</v>
      </c>
      <c r="L816" s="10"/>
      <c r="M816" s="10"/>
      <c r="N816" s="30"/>
      <c r="O816" s="7">
        <f t="shared" si="205"/>
        <v>1</v>
      </c>
      <c r="P816" s="58">
        <v>43757</v>
      </c>
    </row>
    <row r="817" spans="1:17" x14ac:dyDescent="0.15">
      <c r="A817" s="16" t="s">
        <v>1209</v>
      </c>
      <c r="B817" s="8"/>
      <c r="C817" s="10">
        <v>1</v>
      </c>
      <c r="D817" s="10"/>
      <c r="E817" s="10"/>
      <c r="F817" s="30"/>
      <c r="G817" s="7">
        <f t="shared" si="203"/>
        <v>1</v>
      </c>
      <c r="H817" s="58">
        <v>43771</v>
      </c>
      <c r="I817" s="16" t="s">
        <v>1198</v>
      </c>
      <c r="J817" s="8"/>
      <c r="K817" s="10"/>
      <c r="L817" s="10"/>
      <c r="M817" s="10">
        <v>1</v>
      </c>
      <c r="N817" s="30"/>
      <c r="O817" s="7">
        <f t="shared" si="205"/>
        <v>1</v>
      </c>
      <c r="P817" s="58">
        <v>43763</v>
      </c>
    </row>
    <row r="818" spans="1:17" x14ac:dyDescent="0.15">
      <c r="A818" s="16" t="s">
        <v>1211</v>
      </c>
      <c r="B818" s="8">
        <v>19</v>
      </c>
      <c r="C818" s="10">
        <v>8</v>
      </c>
      <c r="D818" s="10">
        <v>10</v>
      </c>
      <c r="E818" s="10">
        <v>2</v>
      </c>
      <c r="F818" s="30">
        <v>6</v>
      </c>
      <c r="G818" s="7">
        <f t="shared" si="203"/>
        <v>45</v>
      </c>
      <c r="H818" s="58">
        <v>43771</v>
      </c>
      <c r="I818" s="14" t="s">
        <v>25</v>
      </c>
      <c r="J818" s="8"/>
      <c r="K818" s="10">
        <v>1</v>
      </c>
      <c r="L818" s="10"/>
      <c r="M818" s="10"/>
      <c r="N818" s="30">
        <v>1</v>
      </c>
      <c r="O818" s="7">
        <f t="shared" si="205"/>
        <v>2</v>
      </c>
      <c r="P818" s="58">
        <v>43767</v>
      </c>
    </row>
    <row r="819" spans="1:17" x14ac:dyDescent="0.15">
      <c r="A819" s="16" t="s">
        <v>117</v>
      </c>
      <c r="B819" s="8"/>
      <c r="C819" s="10"/>
      <c r="D819" s="10"/>
      <c r="E819" s="10">
        <v>2</v>
      </c>
      <c r="F819" s="30"/>
      <c r="G819" s="7">
        <f t="shared" si="203"/>
        <v>2</v>
      </c>
      <c r="H819" s="58">
        <v>43775</v>
      </c>
      <c r="I819" s="14" t="s">
        <v>1202</v>
      </c>
      <c r="J819" s="8"/>
      <c r="K819" s="10">
        <v>10</v>
      </c>
      <c r="L819" s="10"/>
      <c r="M819" s="10"/>
      <c r="N819" s="30"/>
      <c r="O819" s="7">
        <f t="shared" si="205"/>
        <v>10</v>
      </c>
      <c r="P819" s="58">
        <v>43774</v>
      </c>
    </row>
    <row r="820" spans="1:17" x14ac:dyDescent="0.15">
      <c r="A820" s="16" t="s">
        <v>1216</v>
      </c>
      <c r="B820" s="8"/>
      <c r="C820" s="10"/>
      <c r="D820" s="10"/>
      <c r="E820" s="10"/>
      <c r="F820" s="30">
        <v>-1</v>
      </c>
      <c r="G820" s="7">
        <f t="shared" si="203"/>
        <v>-1</v>
      </c>
      <c r="H820" s="58">
        <v>43782</v>
      </c>
      <c r="I820" s="14" t="s">
        <v>25</v>
      </c>
      <c r="J820" s="8">
        <v>1</v>
      </c>
      <c r="K820" s="10"/>
      <c r="L820" s="10"/>
      <c r="M820" s="10"/>
      <c r="N820" s="30"/>
      <c r="O820" s="7">
        <f t="shared" si="205"/>
        <v>1</v>
      </c>
      <c r="P820" s="58">
        <v>43770</v>
      </c>
    </row>
    <row r="821" spans="1:17" x14ac:dyDescent="0.15">
      <c r="A821" s="16" t="s">
        <v>29</v>
      </c>
      <c r="B821" s="8"/>
      <c r="C821" s="10"/>
      <c r="D821" s="10"/>
      <c r="E821" s="10">
        <v>1</v>
      </c>
      <c r="F821" s="30"/>
      <c r="G821" s="7">
        <f t="shared" si="203"/>
        <v>1</v>
      </c>
      <c r="H821" s="58">
        <v>43788</v>
      </c>
      <c r="I821" s="14" t="s">
        <v>25</v>
      </c>
      <c r="J821" s="11"/>
      <c r="K821" s="12"/>
      <c r="L821" s="12"/>
      <c r="M821" s="12">
        <v>1</v>
      </c>
      <c r="N821" s="31"/>
      <c r="O821" s="7">
        <f t="shared" si="205"/>
        <v>1</v>
      </c>
      <c r="P821" s="58">
        <v>43778</v>
      </c>
    </row>
    <row r="822" spans="1:17" x14ac:dyDescent="0.15">
      <c r="A822" s="16" t="s">
        <v>29</v>
      </c>
      <c r="B822" s="8"/>
      <c r="C822" s="10"/>
      <c r="D822" s="10"/>
      <c r="E822" s="10">
        <v>1</v>
      </c>
      <c r="F822" s="30"/>
      <c r="G822" s="7">
        <f t="shared" si="203"/>
        <v>1</v>
      </c>
      <c r="H822" s="58">
        <v>43789</v>
      </c>
      <c r="I822" s="14" t="s">
        <v>22</v>
      </c>
      <c r="J822" s="8"/>
      <c r="K822" s="10"/>
      <c r="L822" s="10"/>
      <c r="M822" s="10">
        <v>10</v>
      </c>
      <c r="N822" s="30"/>
      <c r="O822" s="7">
        <f t="shared" si="205"/>
        <v>10</v>
      </c>
      <c r="P822" s="58">
        <v>43784</v>
      </c>
      <c r="Q822" s="56"/>
    </row>
    <row r="823" spans="1:17" x14ac:dyDescent="0.15">
      <c r="A823" s="16" t="s">
        <v>29</v>
      </c>
      <c r="B823" s="8"/>
      <c r="C823" s="10"/>
      <c r="D823" s="10"/>
      <c r="E823" s="10">
        <v>1</v>
      </c>
      <c r="F823" s="30"/>
      <c r="G823" s="7">
        <f t="shared" si="203"/>
        <v>1</v>
      </c>
      <c r="H823" s="58">
        <v>43790</v>
      </c>
      <c r="I823" s="14" t="s">
        <v>25</v>
      </c>
      <c r="J823" s="8">
        <v>1</v>
      </c>
      <c r="K823" s="10"/>
      <c r="L823" s="10"/>
      <c r="M823" s="10"/>
      <c r="N823" s="30"/>
      <c r="O823" s="7">
        <f t="shared" si="205"/>
        <v>1</v>
      </c>
      <c r="P823" s="58">
        <v>43794</v>
      </c>
    </row>
    <row r="824" spans="1:17" x14ac:dyDescent="0.15">
      <c r="A824" s="16" t="s">
        <v>1217</v>
      </c>
      <c r="B824" s="8">
        <v>-1</v>
      </c>
      <c r="C824" s="10">
        <v>-1</v>
      </c>
      <c r="D824" s="10">
        <v>-1</v>
      </c>
      <c r="E824" s="10">
        <v>-1</v>
      </c>
      <c r="F824" s="30">
        <v>-1</v>
      </c>
      <c r="G824" s="7">
        <f t="shared" si="203"/>
        <v>-5</v>
      </c>
      <c r="H824" s="58">
        <v>43796</v>
      </c>
      <c r="I824" s="14" t="s">
        <v>25</v>
      </c>
      <c r="J824" s="8"/>
      <c r="K824" s="10">
        <v>1</v>
      </c>
      <c r="L824" s="10"/>
      <c r="M824" s="10"/>
      <c r="N824" s="30"/>
      <c r="O824" s="7">
        <f t="shared" si="205"/>
        <v>1</v>
      </c>
      <c r="P824" s="58">
        <v>43796</v>
      </c>
    </row>
    <row r="825" spans="1:17" x14ac:dyDescent="0.15">
      <c r="A825" s="16" t="s">
        <v>29</v>
      </c>
      <c r="B825" s="8"/>
      <c r="C825" s="10"/>
      <c r="D825" s="10"/>
      <c r="E825" s="10">
        <v>1</v>
      </c>
      <c r="F825" s="30"/>
      <c r="G825" s="7">
        <f t="shared" si="203"/>
        <v>1</v>
      </c>
      <c r="H825" s="58">
        <v>43796</v>
      </c>
      <c r="I825" s="14" t="s">
        <v>25</v>
      </c>
      <c r="J825" s="8"/>
      <c r="K825" s="10"/>
      <c r="L825" s="10"/>
      <c r="M825" s="10">
        <v>2</v>
      </c>
      <c r="N825" s="30"/>
      <c r="O825" s="7">
        <f t="shared" si="205"/>
        <v>2</v>
      </c>
      <c r="P825" s="58">
        <v>43797</v>
      </c>
    </row>
    <row r="826" spans="1:17" x14ac:dyDescent="0.15">
      <c r="A826" s="16" t="s">
        <v>1224</v>
      </c>
      <c r="B826" s="8"/>
      <c r="C826" s="10"/>
      <c r="D826" s="10">
        <v>1</v>
      </c>
      <c r="E826" s="10"/>
      <c r="F826" s="30"/>
      <c r="G826" s="7">
        <f t="shared" si="203"/>
        <v>1</v>
      </c>
      <c r="H826" s="58">
        <v>43805</v>
      </c>
      <c r="I826" s="14" t="s">
        <v>25</v>
      </c>
      <c r="J826" s="8">
        <v>1</v>
      </c>
      <c r="K826" s="10"/>
      <c r="L826" s="10"/>
      <c r="M826" s="10"/>
      <c r="N826" s="30"/>
      <c r="O826" s="7">
        <f t="shared" si="205"/>
        <v>1</v>
      </c>
      <c r="P826" s="58">
        <v>43802</v>
      </c>
    </row>
    <row r="827" spans="1:17" x14ac:dyDescent="0.15">
      <c r="A827" s="16" t="s">
        <v>29</v>
      </c>
      <c r="B827" s="8"/>
      <c r="C827" s="10">
        <v>1</v>
      </c>
      <c r="D827" s="10"/>
      <c r="E827" s="10"/>
      <c r="F827" s="30"/>
      <c r="G827" s="7">
        <f t="shared" si="203"/>
        <v>1</v>
      </c>
      <c r="H827" s="58">
        <v>43804</v>
      </c>
      <c r="I827" s="14" t="s">
        <v>25</v>
      </c>
      <c r="J827" s="8"/>
      <c r="K827" s="10"/>
      <c r="L827" s="10"/>
      <c r="M827" s="10"/>
      <c r="N827" s="30">
        <v>1</v>
      </c>
      <c r="O827" s="7">
        <f t="shared" si="205"/>
        <v>1</v>
      </c>
      <c r="P827" s="58">
        <v>43803</v>
      </c>
    </row>
    <row r="828" spans="1:17" x14ac:dyDescent="0.15">
      <c r="A828" s="16" t="s">
        <v>1226</v>
      </c>
      <c r="B828" s="8">
        <v>3</v>
      </c>
      <c r="C828" s="10">
        <v>3</v>
      </c>
      <c r="D828" s="10">
        <v>3</v>
      </c>
      <c r="E828" s="10"/>
      <c r="F828" s="30">
        <v>5</v>
      </c>
      <c r="G828" s="7">
        <f t="shared" si="203"/>
        <v>14</v>
      </c>
      <c r="H828" s="58">
        <v>43806</v>
      </c>
      <c r="I828" s="14" t="s">
        <v>22</v>
      </c>
      <c r="J828" s="8"/>
      <c r="K828" s="10"/>
      <c r="L828" s="10"/>
      <c r="M828" s="10"/>
      <c r="N828" s="30">
        <v>10</v>
      </c>
      <c r="O828" s="7">
        <f t="shared" si="205"/>
        <v>10</v>
      </c>
      <c r="P828" s="58">
        <v>43811</v>
      </c>
    </row>
    <row r="829" spans="1:17" x14ac:dyDescent="0.15">
      <c r="A829" s="16" t="s">
        <v>29</v>
      </c>
      <c r="B829" s="8"/>
      <c r="C829" s="10">
        <v>1</v>
      </c>
      <c r="D829" s="10"/>
      <c r="E829" s="10"/>
      <c r="F829" s="30"/>
      <c r="G829" s="7">
        <f t="shared" si="203"/>
        <v>1</v>
      </c>
      <c r="H829" s="58">
        <v>43806</v>
      </c>
      <c r="I829" s="14" t="s">
        <v>25</v>
      </c>
      <c r="J829" s="11"/>
      <c r="K829" s="12">
        <v>1</v>
      </c>
      <c r="L829" s="12"/>
      <c r="M829" s="12"/>
      <c r="N829" s="31"/>
      <c r="O829" s="7">
        <f t="shared" si="205"/>
        <v>1</v>
      </c>
      <c r="P829" s="58">
        <v>43806</v>
      </c>
    </row>
    <row r="830" spans="1:17" x14ac:dyDescent="0.15">
      <c r="A830" s="14" t="s">
        <v>25</v>
      </c>
      <c r="B830" s="8"/>
      <c r="C830" s="10"/>
      <c r="D830" s="10"/>
      <c r="E830" s="10"/>
      <c r="F830" s="30">
        <v>2</v>
      </c>
      <c r="G830" s="7">
        <f t="shared" si="203"/>
        <v>2</v>
      </c>
      <c r="H830" s="58">
        <v>43813</v>
      </c>
      <c r="I830" s="14" t="s">
        <v>25</v>
      </c>
      <c r="J830" s="11"/>
      <c r="K830" s="12"/>
      <c r="L830" s="12"/>
      <c r="M830" s="12">
        <v>1</v>
      </c>
      <c r="N830" s="31">
        <v>1</v>
      </c>
      <c r="O830" s="7">
        <f t="shared" si="205"/>
        <v>2</v>
      </c>
      <c r="P830" s="58">
        <v>43809</v>
      </c>
    </row>
    <row r="831" spans="1:17" x14ac:dyDescent="0.15">
      <c r="A831" s="15" t="s">
        <v>19</v>
      </c>
      <c r="B831" s="8">
        <v>-1</v>
      </c>
      <c r="C831" s="10">
        <v>-3</v>
      </c>
      <c r="D831" s="10"/>
      <c r="E831" s="10">
        <v>-2</v>
      </c>
      <c r="F831" s="30">
        <v>-1</v>
      </c>
      <c r="G831" s="7">
        <f>SUM(B831:F831)</f>
        <v>-7</v>
      </c>
      <c r="H831" s="58">
        <v>43812</v>
      </c>
      <c r="I831" s="14" t="s">
        <v>22</v>
      </c>
      <c r="J831" s="11">
        <v>10</v>
      </c>
      <c r="K831" s="12"/>
      <c r="L831" s="12"/>
      <c r="M831" s="12">
        <v>10</v>
      </c>
      <c r="N831" s="31"/>
      <c r="O831" s="7">
        <f t="shared" si="205"/>
        <v>20</v>
      </c>
      <c r="P831" s="58">
        <v>43818</v>
      </c>
    </row>
    <row r="832" spans="1:17" x14ac:dyDescent="0.15">
      <c r="A832" s="14" t="s">
        <v>25</v>
      </c>
      <c r="B832" s="8"/>
      <c r="C832" s="10"/>
      <c r="D832" s="10">
        <v>1</v>
      </c>
      <c r="E832" s="10"/>
      <c r="F832" s="30"/>
      <c r="G832" s="7">
        <f>SUM(B832:F832)</f>
        <v>1</v>
      </c>
      <c r="H832" s="58">
        <v>43817</v>
      </c>
      <c r="I832" s="14" t="s">
        <v>25</v>
      </c>
      <c r="J832" s="11"/>
      <c r="K832" s="12">
        <v>1</v>
      </c>
      <c r="L832" s="12">
        <v>1</v>
      </c>
      <c r="M832" s="12"/>
      <c r="N832" s="31"/>
      <c r="O832" s="7">
        <f t="shared" si="205"/>
        <v>2</v>
      </c>
      <c r="P832" s="58">
        <v>43816</v>
      </c>
    </row>
    <row r="833" spans="1:17" x14ac:dyDescent="0.15">
      <c r="A833" s="16" t="s">
        <v>1230</v>
      </c>
      <c r="B833" s="8">
        <v>1</v>
      </c>
      <c r="C833" s="10"/>
      <c r="D833" s="10"/>
      <c r="E833" s="10"/>
      <c r="F833" s="30"/>
      <c r="G833" s="7">
        <f t="shared" ref="G833:G838" si="208">SUM(B833:F833)</f>
        <v>1</v>
      </c>
      <c r="H833" s="58">
        <v>43818</v>
      </c>
      <c r="I833" s="14" t="s">
        <v>25</v>
      </c>
      <c r="J833" s="8"/>
      <c r="K833" s="10">
        <v>1</v>
      </c>
      <c r="L833" s="10"/>
      <c r="M833" s="10"/>
      <c r="N833" s="30"/>
      <c r="O833" s="7">
        <f t="shared" ref="O833" si="209">SUM(J833:N833)</f>
        <v>1</v>
      </c>
      <c r="P833" s="58">
        <v>43827</v>
      </c>
    </row>
    <row r="834" spans="1:17" x14ac:dyDescent="0.15">
      <c r="A834" s="15" t="s">
        <v>17</v>
      </c>
      <c r="B834" s="11"/>
      <c r="C834" s="12">
        <v>-1</v>
      </c>
      <c r="D834" s="12"/>
      <c r="E834" s="12"/>
      <c r="F834" s="31">
        <v>-1</v>
      </c>
      <c r="G834" s="7">
        <f t="shared" si="208"/>
        <v>-2</v>
      </c>
      <c r="H834" s="58">
        <v>43823</v>
      </c>
      <c r="I834" s="14" t="s">
        <v>25</v>
      </c>
      <c r="J834" s="11"/>
      <c r="K834" s="12"/>
      <c r="L834" s="12"/>
      <c r="M834" s="12">
        <v>1</v>
      </c>
      <c r="N834" s="31"/>
      <c r="O834" s="7">
        <f t="shared" ref="O834" si="210">SUM(J834:N834)</f>
        <v>1</v>
      </c>
      <c r="P834" s="58">
        <v>43839</v>
      </c>
      <c r="Q834" s="56"/>
    </row>
    <row r="835" spans="1:17" x14ac:dyDescent="0.15">
      <c r="A835" s="16" t="s">
        <v>29</v>
      </c>
      <c r="B835" s="8"/>
      <c r="C835" s="10">
        <v>1</v>
      </c>
      <c r="D835" s="10"/>
      <c r="E835" s="10"/>
      <c r="F835" s="30"/>
      <c r="G835" s="7">
        <f t="shared" si="208"/>
        <v>1</v>
      </c>
      <c r="H835" s="58">
        <v>43824</v>
      </c>
      <c r="I835" s="16"/>
      <c r="J835" s="11"/>
      <c r="K835" s="12"/>
      <c r="L835" s="12"/>
      <c r="M835" s="12"/>
      <c r="N835" s="31"/>
      <c r="O835" s="7">
        <f t="shared" ref="O835:O838" si="211">SUM(J835:N835)</f>
        <v>0</v>
      </c>
      <c r="P835" s="58"/>
      <c r="Q835" s="56"/>
    </row>
    <row r="836" spans="1:17" x14ac:dyDescent="0.15">
      <c r="A836" s="16" t="s">
        <v>29</v>
      </c>
      <c r="B836" s="37"/>
      <c r="C836" s="35"/>
      <c r="D836" s="35"/>
      <c r="E836" s="35">
        <v>1</v>
      </c>
      <c r="F836" s="28"/>
      <c r="G836" s="7">
        <f t="shared" si="208"/>
        <v>1</v>
      </c>
      <c r="H836" s="58">
        <v>43835</v>
      </c>
      <c r="I836" s="16" t="s">
        <v>1205</v>
      </c>
      <c r="J836" s="11"/>
      <c r="K836" s="12"/>
      <c r="L836" s="12"/>
      <c r="M836" s="12"/>
      <c r="N836" s="31"/>
      <c r="O836" s="7">
        <f t="shared" si="211"/>
        <v>0</v>
      </c>
      <c r="P836" s="58" t="s">
        <v>1206</v>
      </c>
      <c r="Q836" s="56"/>
    </row>
    <row r="837" spans="1:17" x14ac:dyDescent="0.15">
      <c r="A837" s="16" t="s">
        <v>29</v>
      </c>
      <c r="B837" s="8"/>
      <c r="C837" s="10">
        <v>1</v>
      </c>
      <c r="D837" s="10"/>
      <c r="E837" s="10"/>
      <c r="F837" s="30"/>
      <c r="G837" s="9">
        <f t="shared" si="208"/>
        <v>1</v>
      </c>
      <c r="H837" s="58">
        <v>43837</v>
      </c>
      <c r="I837" s="16" t="s">
        <v>1157</v>
      </c>
      <c r="J837" s="11"/>
      <c r="K837" s="12"/>
      <c r="L837" s="12"/>
      <c r="M837" s="12"/>
      <c r="N837" s="31"/>
      <c r="O837" s="7">
        <f t="shared" si="211"/>
        <v>0</v>
      </c>
      <c r="P837" s="56" t="s">
        <v>1158</v>
      </c>
      <c r="Q837" s="56"/>
    </row>
    <row r="838" spans="1:17" ht="14.25" thickBot="1" x14ac:dyDescent="0.2">
      <c r="A838" s="51" t="s">
        <v>1235</v>
      </c>
      <c r="B838" s="37"/>
      <c r="C838" s="35"/>
      <c r="D838" s="35">
        <v>-1</v>
      </c>
      <c r="E838" s="35"/>
      <c r="F838" s="28"/>
      <c r="G838" s="7">
        <f t="shared" si="208"/>
        <v>-1</v>
      </c>
      <c r="H838" s="58">
        <v>43837</v>
      </c>
      <c r="I838" s="64" t="s">
        <v>1148</v>
      </c>
      <c r="J838" s="11"/>
      <c r="K838" s="12"/>
      <c r="L838" s="12"/>
      <c r="M838" s="12"/>
      <c r="N838" s="31"/>
      <c r="O838" s="7">
        <f t="shared" si="211"/>
        <v>0</v>
      </c>
      <c r="P838" s="58" t="s">
        <v>1147</v>
      </c>
      <c r="Q838" s="56"/>
    </row>
    <row r="839" spans="1:17" ht="14.25" thickBot="1" x14ac:dyDescent="0.2">
      <c r="A839" s="3" t="s">
        <v>11</v>
      </c>
      <c r="B839" s="23">
        <f>SUM(B813:B838)</f>
        <v>21</v>
      </c>
      <c r="C839" s="4">
        <f>SUM(C813:C838)</f>
        <v>10</v>
      </c>
      <c r="D839" s="4">
        <f>SUM(D813:D838)</f>
        <v>13</v>
      </c>
      <c r="E839" s="6">
        <f>SUM(E813:E838)</f>
        <v>6</v>
      </c>
      <c r="F839" s="32">
        <f>SUM(F813:F838)</f>
        <v>11</v>
      </c>
      <c r="G839" s="5">
        <f>SUM(B839:F839)</f>
        <v>61</v>
      </c>
      <c r="H839" s="56"/>
      <c r="I839" s="3" t="s">
        <v>11</v>
      </c>
      <c r="J839" s="23">
        <f>SUM(J813:J838)</f>
        <v>16</v>
      </c>
      <c r="K839" s="4">
        <f>SUM(K813:K838)</f>
        <v>19</v>
      </c>
      <c r="L839" s="4">
        <f>SUM(L813:L838)</f>
        <v>6</v>
      </c>
      <c r="M839" s="6">
        <f>SUM(M813:M838)</f>
        <v>27</v>
      </c>
      <c r="N839" s="32">
        <f>SUM(N813:N838)</f>
        <v>16</v>
      </c>
      <c r="O839" s="5">
        <f>SUM(J839:N839)</f>
        <v>84</v>
      </c>
    </row>
    <row r="840" spans="1:17" ht="14.25" thickBot="1" x14ac:dyDescent="0.2">
      <c r="A840" s="25" t="s">
        <v>12</v>
      </c>
      <c r="B840" s="63">
        <f>B812-B839</f>
        <v>6</v>
      </c>
      <c r="C840" s="26">
        <f t="shared" ref="C840:G840" si="212">C812-C839</f>
        <v>6</v>
      </c>
      <c r="D840" s="71">
        <f t="shared" si="212"/>
        <v>5</v>
      </c>
      <c r="E840" s="26">
        <f t="shared" si="212"/>
        <v>6</v>
      </c>
      <c r="F840" s="70">
        <f t="shared" si="212"/>
        <v>7</v>
      </c>
      <c r="G840" s="27">
        <f t="shared" si="212"/>
        <v>30</v>
      </c>
      <c r="H840" s="56"/>
      <c r="I840" s="25" t="s">
        <v>12</v>
      </c>
      <c r="J840" s="63">
        <f>J812-J839</f>
        <v>242</v>
      </c>
      <c r="K840" s="26">
        <f t="shared" ref="K840:M840" si="213">K812-K839</f>
        <v>259</v>
      </c>
      <c r="L840" s="71">
        <f t="shared" si="213"/>
        <v>229</v>
      </c>
      <c r="M840" s="26">
        <f t="shared" si="213"/>
        <v>213</v>
      </c>
      <c r="N840" s="70">
        <f>N812-N839</f>
        <v>233</v>
      </c>
      <c r="O840" s="27">
        <f t="shared" ref="O840" si="214">O812-O839</f>
        <v>1176</v>
      </c>
    </row>
    <row r="841" spans="1:17" ht="21" x14ac:dyDescent="0.2">
      <c r="A841" s="83" t="s">
        <v>415</v>
      </c>
      <c r="B841" s="77"/>
      <c r="C841" s="77"/>
      <c r="D841" s="77"/>
      <c r="E841" s="77"/>
      <c r="F841" s="77"/>
      <c r="G841" s="77"/>
      <c r="H841" s="56"/>
      <c r="I841" s="83" t="s">
        <v>415</v>
      </c>
      <c r="J841" s="77"/>
      <c r="K841" s="77"/>
      <c r="L841" s="77"/>
      <c r="M841" s="77"/>
      <c r="N841" s="77"/>
      <c r="O841" s="77"/>
    </row>
    <row r="842" spans="1:17" ht="21.75" thickBot="1" x14ac:dyDescent="0.25">
      <c r="A842" s="83" t="s">
        <v>47</v>
      </c>
      <c r="B842" s="77"/>
      <c r="C842" s="77"/>
      <c r="D842" s="77"/>
      <c r="E842" s="84"/>
      <c r="F842" s="78" t="s">
        <v>53</v>
      </c>
      <c r="G842" s="77"/>
      <c r="H842" s="56"/>
      <c r="I842" s="83" t="s">
        <v>47</v>
      </c>
      <c r="J842" s="77"/>
      <c r="K842" s="77"/>
      <c r="L842" s="77"/>
      <c r="M842" s="84"/>
      <c r="N842" s="78" t="s">
        <v>54</v>
      </c>
      <c r="O842" s="77"/>
    </row>
    <row r="843" spans="1:17" ht="14.25" thickBot="1" x14ac:dyDescent="0.2">
      <c r="A843" s="13" t="s">
        <v>0</v>
      </c>
      <c r="B843" s="228" t="s">
        <v>49</v>
      </c>
      <c r="C843" s="229"/>
      <c r="D843" s="229"/>
      <c r="E843" s="229"/>
      <c r="F843" s="230"/>
      <c r="G843" s="231"/>
      <c r="H843" s="56"/>
      <c r="I843" s="13" t="s">
        <v>0</v>
      </c>
      <c r="J843" s="228" t="s">
        <v>49</v>
      </c>
      <c r="K843" s="229"/>
      <c r="L843" s="229"/>
      <c r="M843" s="229"/>
      <c r="N843" s="230"/>
      <c r="O843" s="231"/>
    </row>
    <row r="844" spans="1:17" ht="14.25" thickBot="1" x14ac:dyDescent="0.2">
      <c r="A844" s="3" t="s">
        <v>1</v>
      </c>
      <c r="B844" s="2" t="s">
        <v>42</v>
      </c>
      <c r="C844" s="21" t="s">
        <v>43</v>
      </c>
      <c r="D844" s="21" t="s">
        <v>44</v>
      </c>
      <c r="E844" s="24" t="s">
        <v>45</v>
      </c>
      <c r="F844" s="33" t="s">
        <v>46</v>
      </c>
      <c r="G844" s="34" t="s">
        <v>2</v>
      </c>
      <c r="H844" s="56"/>
      <c r="I844" s="3" t="s">
        <v>1</v>
      </c>
      <c r="J844" s="2" t="s">
        <v>42</v>
      </c>
      <c r="K844" s="21" t="s">
        <v>43</v>
      </c>
      <c r="L844" s="21" t="s">
        <v>44</v>
      </c>
      <c r="M844" s="24" t="s">
        <v>45</v>
      </c>
      <c r="N844" s="33" t="s">
        <v>46</v>
      </c>
      <c r="O844" s="3" t="s">
        <v>2</v>
      </c>
    </row>
    <row r="845" spans="1:17" ht="14.25" thickBot="1" x14ac:dyDescent="0.2">
      <c r="A845" s="72" t="s">
        <v>527</v>
      </c>
      <c r="B845" s="73">
        <f>B840</f>
        <v>6</v>
      </c>
      <c r="C845" s="73">
        <f t="shared" ref="C845:F845" si="215">C840</f>
        <v>6</v>
      </c>
      <c r="D845" s="73">
        <f t="shared" si="215"/>
        <v>5</v>
      </c>
      <c r="E845" s="73">
        <f t="shared" si="215"/>
        <v>6</v>
      </c>
      <c r="F845" s="73">
        <f t="shared" si="215"/>
        <v>7</v>
      </c>
      <c r="G845" s="76">
        <f t="shared" ref="G845:G872" si="216">SUM(B845:F845)</f>
        <v>30</v>
      </c>
      <c r="H845" s="56"/>
      <c r="I845" s="96" t="s">
        <v>12</v>
      </c>
      <c r="J845" s="95">
        <f>J840</f>
        <v>242</v>
      </c>
      <c r="K845" s="97">
        <f t="shared" ref="K845:N845" si="217">K840</f>
        <v>259</v>
      </c>
      <c r="L845" s="97">
        <f t="shared" si="217"/>
        <v>229</v>
      </c>
      <c r="M845" s="97">
        <f t="shared" si="217"/>
        <v>213</v>
      </c>
      <c r="N845" s="54">
        <f t="shared" si="217"/>
        <v>233</v>
      </c>
      <c r="O845" s="52">
        <f t="shared" ref="O845:O878" si="218">SUM(J845:N845)</f>
        <v>1176</v>
      </c>
    </row>
    <row r="846" spans="1:17" x14ac:dyDescent="0.15">
      <c r="A846" s="15" t="s">
        <v>616</v>
      </c>
      <c r="B846" s="37"/>
      <c r="C846" s="35"/>
      <c r="D846" s="35"/>
      <c r="E846" s="35">
        <v>1</v>
      </c>
      <c r="F846" s="28"/>
      <c r="G846" s="7">
        <f t="shared" si="216"/>
        <v>1</v>
      </c>
      <c r="H846" s="58">
        <v>43839</v>
      </c>
      <c r="I846" s="15" t="s">
        <v>9</v>
      </c>
      <c r="J846" s="37">
        <v>13</v>
      </c>
      <c r="K846" s="35"/>
      <c r="L846" s="35">
        <v>6</v>
      </c>
      <c r="M846" s="35"/>
      <c r="N846" s="28">
        <v>3</v>
      </c>
      <c r="O846" s="7">
        <f t="shared" si="218"/>
        <v>22</v>
      </c>
      <c r="P846" s="57">
        <v>43862</v>
      </c>
    </row>
    <row r="847" spans="1:17" x14ac:dyDescent="0.15">
      <c r="A847" s="15" t="s">
        <v>19</v>
      </c>
      <c r="B847" s="8"/>
      <c r="C847" s="10">
        <v>2</v>
      </c>
      <c r="D847" s="10"/>
      <c r="E847" s="10">
        <v>2</v>
      </c>
      <c r="F847" s="28">
        <v>2</v>
      </c>
      <c r="G847" s="9">
        <f t="shared" si="216"/>
        <v>6</v>
      </c>
      <c r="H847" s="58">
        <v>43848</v>
      </c>
      <c r="I847" s="15" t="s">
        <v>9</v>
      </c>
      <c r="J847" s="8"/>
      <c r="K847" s="10"/>
      <c r="L847" s="10"/>
      <c r="M847" s="10">
        <v>3</v>
      </c>
      <c r="N847" s="28"/>
      <c r="O847" s="9">
        <f t="shared" si="218"/>
        <v>3</v>
      </c>
      <c r="P847" s="58">
        <v>43876</v>
      </c>
    </row>
    <row r="848" spans="1:17" x14ac:dyDescent="0.15">
      <c r="A848" s="15" t="s">
        <v>183</v>
      </c>
      <c r="B848" s="8">
        <v>13</v>
      </c>
      <c r="C848" s="10"/>
      <c r="D848" s="10">
        <v>6</v>
      </c>
      <c r="E848" s="10"/>
      <c r="F848" s="28"/>
      <c r="G848" s="9">
        <f t="shared" si="216"/>
        <v>19</v>
      </c>
      <c r="H848" s="58">
        <v>43853</v>
      </c>
      <c r="I848" s="15" t="s">
        <v>5</v>
      </c>
      <c r="J848" s="8"/>
      <c r="K848" s="10"/>
      <c r="L848" s="10"/>
      <c r="M848" s="10"/>
      <c r="N848" s="28"/>
      <c r="O848" s="9">
        <f t="shared" si="218"/>
        <v>0</v>
      </c>
    </row>
    <row r="849" spans="1:17" x14ac:dyDescent="0.15">
      <c r="A849" s="15" t="s">
        <v>19</v>
      </c>
      <c r="B849" s="8">
        <v>1</v>
      </c>
      <c r="C849" s="10"/>
      <c r="D849" s="10"/>
      <c r="E849" s="10">
        <v>3</v>
      </c>
      <c r="F849" s="28"/>
      <c r="G849" s="9">
        <f t="shared" si="216"/>
        <v>4</v>
      </c>
      <c r="H849" s="58">
        <v>43871</v>
      </c>
      <c r="I849" s="15" t="s">
        <v>6</v>
      </c>
      <c r="J849" s="8"/>
      <c r="K849" s="10"/>
      <c r="L849" s="10"/>
      <c r="M849" s="10"/>
      <c r="N849" s="28"/>
      <c r="O849" s="9">
        <f t="shared" si="218"/>
        <v>0</v>
      </c>
    </row>
    <row r="850" spans="1:17" x14ac:dyDescent="0.15">
      <c r="A850" s="15" t="s">
        <v>616</v>
      </c>
      <c r="B850" s="11"/>
      <c r="C850" s="12"/>
      <c r="D850" s="12">
        <v>1</v>
      </c>
      <c r="E850" s="12"/>
      <c r="F850" s="31"/>
      <c r="G850" s="7">
        <f t="shared" si="216"/>
        <v>1</v>
      </c>
      <c r="H850" s="58">
        <v>43871</v>
      </c>
      <c r="I850" s="15" t="s">
        <v>84</v>
      </c>
      <c r="J850" s="11"/>
      <c r="K850" s="12"/>
      <c r="L850" s="12"/>
      <c r="M850" s="12"/>
      <c r="N850" s="31"/>
      <c r="O850" s="7">
        <f t="shared" si="218"/>
        <v>0</v>
      </c>
    </row>
    <row r="851" spans="1:17" x14ac:dyDescent="0.15">
      <c r="A851" s="15" t="s">
        <v>84</v>
      </c>
      <c r="B851" s="8"/>
      <c r="C851" s="10"/>
      <c r="D851" s="10">
        <v>3</v>
      </c>
      <c r="E851" s="10"/>
      <c r="F851" s="30"/>
      <c r="G851" s="7">
        <f t="shared" si="216"/>
        <v>3</v>
      </c>
      <c r="H851" s="58">
        <v>43874</v>
      </c>
      <c r="I851" s="15" t="s">
        <v>85</v>
      </c>
      <c r="J851" s="8"/>
      <c r="K851" s="10"/>
      <c r="L851" s="10"/>
      <c r="M851" s="10"/>
      <c r="N851" s="30"/>
      <c r="O851" s="7">
        <f t="shared" si="218"/>
        <v>0</v>
      </c>
    </row>
    <row r="852" spans="1:17" x14ac:dyDescent="0.15">
      <c r="A852" s="15" t="s">
        <v>1264</v>
      </c>
      <c r="B852" s="8"/>
      <c r="C852" s="10"/>
      <c r="D852" s="10">
        <v>1</v>
      </c>
      <c r="E852" s="10"/>
      <c r="F852" s="30"/>
      <c r="G852" s="7">
        <f t="shared" si="216"/>
        <v>1</v>
      </c>
      <c r="H852" s="58">
        <v>43874</v>
      </c>
      <c r="I852" s="16" t="s">
        <v>88</v>
      </c>
      <c r="J852" s="8"/>
      <c r="K852" s="10"/>
      <c r="L852" s="10"/>
      <c r="M852" s="10"/>
      <c r="N852" s="30"/>
      <c r="O852" s="7">
        <f t="shared" si="218"/>
        <v>0</v>
      </c>
    </row>
    <row r="853" spans="1:17" ht="14.25" thickBot="1" x14ac:dyDescent="0.2">
      <c r="A853" s="15" t="s">
        <v>17</v>
      </c>
      <c r="B853" s="11"/>
      <c r="C853" s="100"/>
      <c r="D853" s="100">
        <v>1</v>
      </c>
      <c r="E853" s="100">
        <v>2</v>
      </c>
      <c r="F853" s="101"/>
      <c r="G853" s="102">
        <f t="shared" si="216"/>
        <v>3</v>
      </c>
      <c r="H853" s="58">
        <v>43888</v>
      </c>
      <c r="I853" s="15" t="s">
        <v>87</v>
      </c>
      <c r="J853" s="11"/>
      <c r="K853" s="100"/>
      <c r="L853" s="100"/>
      <c r="M853" s="100"/>
      <c r="N853" s="101"/>
      <c r="O853" s="102">
        <f t="shared" si="218"/>
        <v>0</v>
      </c>
    </row>
    <row r="854" spans="1:17" ht="14.25" thickBot="1" x14ac:dyDescent="0.2">
      <c r="A854" s="72" t="s">
        <v>7</v>
      </c>
      <c r="B854" s="73">
        <f>SUM(B845:B853)</f>
        <v>20</v>
      </c>
      <c r="C854" s="74">
        <f t="shared" ref="C854:F854" si="219">SUM(C845:C853)</f>
        <v>8</v>
      </c>
      <c r="D854" s="74">
        <f t="shared" si="219"/>
        <v>17</v>
      </c>
      <c r="E854" s="74">
        <f t="shared" si="219"/>
        <v>14</v>
      </c>
      <c r="F854" s="105">
        <f t="shared" si="219"/>
        <v>9</v>
      </c>
      <c r="G854" s="76">
        <f t="shared" si="216"/>
        <v>68</v>
      </c>
      <c r="H854" s="56"/>
      <c r="I854" s="72" t="s">
        <v>7</v>
      </c>
      <c r="J854" s="73">
        <f>SUM(J845:J853)</f>
        <v>255</v>
      </c>
      <c r="K854" s="74">
        <f t="shared" ref="K854:N854" si="220">SUM(K845:K853)</f>
        <v>259</v>
      </c>
      <c r="L854" s="74">
        <f t="shared" si="220"/>
        <v>235</v>
      </c>
      <c r="M854" s="74">
        <f t="shared" si="220"/>
        <v>216</v>
      </c>
      <c r="N854" s="105">
        <f t="shared" si="220"/>
        <v>236</v>
      </c>
      <c r="O854" s="76">
        <f t="shared" si="218"/>
        <v>1201</v>
      </c>
    </row>
    <row r="855" spans="1:17" x14ac:dyDescent="0.15">
      <c r="A855" s="16" t="s">
        <v>29</v>
      </c>
      <c r="B855" s="37"/>
      <c r="C855" s="35"/>
      <c r="D855" s="35"/>
      <c r="E855" s="35">
        <v>1</v>
      </c>
      <c r="F855" s="28"/>
      <c r="G855" s="18">
        <f t="shared" si="216"/>
        <v>1</v>
      </c>
      <c r="H855" s="58">
        <v>43841</v>
      </c>
      <c r="I855" s="14" t="s">
        <v>22</v>
      </c>
      <c r="J855" s="8"/>
      <c r="K855" s="10">
        <v>10</v>
      </c>
      <c r="L855" s="10"/>
      <c r="M855" s="10"/>
      <c r="N855" s="30"/>
      <c r="O855" s="7">
        <f t="shared" si="218"/>
        <v>10</v>
      </c>
      <c r="P855" s="58">
        <v>43846</v>
      </c>
    </row>
    <row r="856" spans="1:17" x14ac:dyDescent="0.15">
      <c r="A856" s="16" t="s">
        <v>29</v>
      </c>
      <c r="B856" s="8"/>
      <c r="C856" s="10"/>
      <c r="D856" s="10">
        <v>1</v>
      </c>
      <c r="E856" s="10"/>
      <c r="F856" s="30"/>
      <c r="G856" s="7">
        <f t="shared" si="216"/>
        <v>1</v>
      </c>
      <c r="H856" s="58">
        <v>43844</v>
      </c>
      <c r="I856" s="14" t="s">
        <v>22</v>
      </c>
      <c r="J856" s="8"/>
      <c r="K856" s="10"/>
      <c r="L856" s="10"/>
      <c r="M856" s="10">
        <v>10</v>
      </c>
      <c r="N856" s="30"/>
      <c r="O856" s="7">
        <f t="shared" si="218"/>
        <v>10</v>
      </c>
      <c r="P856" s="58">
        <v>43864</v>
      </c>
    </row>
    <row r="857" spans="1:17" x14ac:dyDescent="0.15">
      <c r="A857" s="16" t="s">
        <v>29</v>
      </c>
      <c r="B857" s="8"/>
      <c r="C857" s="10"/>
      <c r="D857" s="10"/>
      <c r="E857" s="10">
        <v>1</v>
      </c>
      <c r="F857" s="30"/>
      <c r="G857" s="7">
        <f t="shared" si="216"/>
        <v>1</v>
      </c>
      <c r="H857" s="58">
        <v>43853</v>
      </c>
      <c r="I857" s="16" t="s">
        <v>1256</v>
      </c>
      <c r="J857" s="8"/>
      <c r="K857" s="10"/>
      <c r="L857" s="10"/>
      <c r="M857" s="10">
        <v>1</v>
      </c>
      <c r="N857" s="30">
        <v>1</v>
      </c>
      <c r="O857" s="7">
        <f t="shared" si="218"/>
        <v>2</v>
      </c>
      <c r="P857" s="58">
        <v>43871</v>
      </c>
    </row>
    <row r="858" spans="1:17" x14ac:dyDescent="0.15">
      <c r="A858" s="16" t="s">
        <v>29</v>
      </c>
      <c r="B858" s="8">
        <v>1</v>
      </c>
      <c r="C858" s="10"/>
      <c r="D858" s="10"/>
      <c r="E858" s="10"/>
      <c r="F858" s="30"/>
      <c r="G858" s="7">
        <f t="shared" si="216"/>
        <v>1</v>
      </c>
      <c r="H858" s="58">
        <v>43858</v>
      </c>
      <c r="I858" s="16" t="s">
        <v>25</v>
      </c>
      <c r="J858" s="8"/>
      <c r="K858" s="10"/>
      <c r="L858" s="10"/>
      <c r="M858" s="10"/>
      <c r="N858" s="30">
        <v>1</v>
      </c>
      <c r="O858" s="7">
        <f t="shared" si="218"/>
        <v>1</v>
      </c>
      <c r="P858" s="58">
        <v>43873</v>
      </c>
    </row>
    <row r="859" spans="1:17" x14ac:dyDescent="0.15">
      <c r="A859" s="16" t="s">
        <v>1251</v>
      </c>
      <c r="B859" s="8">
        <v>13</v>
      </c>
      <c r="C859" s="10"/>
      <c r="D859" s="10">
        <v>6</v>
      </c>
      <c r="E859" s="10"/>
      <c r="F859" s="30">
        <v>3</v>
      </c>
      <c r="G859" s="7">
        <f t="shared" si="216"/>
        <v>22</v>
      </c>
      <c r="H859" s="58">
        <v>43862</v>
      </c>
      <c r="I859" s="14" t="s">
        <v>1259</v>
      </c>
      <c r="J859" s="8"/>
      <c r="K859" s="10"/>
      <c r="L859" s="10">
        <v>3</v>
      </c>
      <c r="M859" s="10"/>
      <c r="N859" s="30"/>
      <c r="O859" s="7">
        <f t="shared" si="218"/>
        <v>3</v>
      </c>
      <c r="P859" s="58">
        <v>43874</v>
      </c>
      <c r="Q859" s="56"/>
    </row>
    <row r="860" spans="1:17" x14ac:dyDescent="0.15">
      <c r="A860" s="16" t="s">
        <v>29</v>
      </c>
      <c r="B860" s="8"/>
      <c r="C860" s="10"/>
      <c r="D860" s="10">
        <v>1</v>
      </c>
      <c r="E860" s="10"/>
      <c r="F860" s="30"/>
      <c r="G860" s="7">
        <f t="shared" si="216"/>
        <v>1</v>
      </c>
      <c r="H860" s="58">
        <v>43864</v>
      </c>
      <c r="I860" s="16" t="s">
        <v>25</v>
      </c>
      <c r="J860" s="8"/>
      <c r="K860" s="10"/>
      <c r="L860" s="10">
        <v>1</v>
      </c>
      <c r="M860" s="10"/>
      <c r="N860" s="30"/>
      <c r="O860" s="7">
        <f t="shared" si="218"/>
        <v>1</v>
      </c>
      <c r="P860" s="58">
        <v>43875</v>
      </c>
      <c r="Q860" s="56"/>
    </row>
    <row r="861" spans="1:17" x14ac:dyDescent="0.15">
      <c r="A861" s="16" t="s">
        <v>117</v>
      </c>
      <c r="B861" s="8"/>
      <c r="C861" s="10"/>
      <c r="D861" s="10">
        <v>1</v>
      </c>
      <c r="E861" s="10"/>
      <c r="F861" s="30"/>
      <c r="G861" s="7">
        <f t="shared" si="216"/>
        <v>1</v>
      </c>
      <c r="H861" s="58">
        <v>43867</v>
      </c>
      <c r="I861" s="16" t="s">
        <v>25</v>
      </c>
      <c r="J861" s="8"/>
      <c r="K861" s="10"/>
      <c r="L861" s="10"/>
      <c r="M861" s="10">
        <v>1</v>
      </c>
      <c r="N861" s="30"/>
      <c r="O861" s="7">
        <f t="shared" si="218"/>
        <v>1</v>
      </c>
      <c r="P861" s="58">
        <v>43880</v>
      </c>
      <c r="Q861" s="56"/>
    </row>
    <row r="862" spans="1:17" x14ac:dyDescent="0.15">
      <c r="A862" s="16" t="s">
        <v>1155</v>
      </c>
      <c r="B862" s="8"/>
      <c r="C862" s="10"/>
      <c r="D862" s="10"/>
      <c r="E862" s="10">
        <v>3</v>
      </c>
      <c r="F862" s="30"/>
      <c r="G862" s="7">
        <f t="shared" si="216"/>
        <v>3</v>
      </c>
      <c r="H862" s="58">
        <v>43876</v>
      </c>
      <c r="I862" s="16" t="s">
        <v>25</v>
      </c>
      <c r="J862" s="8"/>
      <c r="K862" s="10">
        <v>1</v>
      </c>
      <c r="L862" s="10"/>
      <c r="M862" s="10"/>
      <c r="N862" s="30"/>
      <c r="O862" s="7">
        <f t="shared" si="218"/>
        <v>1</v>
      </c>
      <c r="P862" s="58">
        <v>43882</v>
      </c>
      <c r="Q862" s="56"/>
    </row>
    <row r="863" spans="1:17" x14ac:dyDescent="0.15">
      <c r="A863" s="16" t="s">
        <v>117</v>
      </c>
      <c r="B863" s="8"/>
      <c r="C863" s="10">
        <v>1</v>
      </c>
      <c r="D863" s="10"/>
      <c r="E863" s="10"/>
      <c r="F863" s="30"/>
      <c r="G863" s="7">
        <f t="shared" si="216"/>
        <v>1</v>
      </c>
      <c r="H863" s="58">
        <v>43890</v>
      </c>
      <c r="I863" s="16" t="s">
        <v>25</v>
      </c>
      <c r="J863" s="11"/>
      <c r="K863" s="12"/>
      <c r="L863" s="12">
        <v>1</v>
      </c>
      <c r="M863" s="12">
        <v>1</v>
      </c>
      <c r="N863" s="31"/>
      <c r="O863" s="7">
        <f t="shared" si="218"/>
        <v>2</v>
      </c>
      <c r="P863" s="58">
        <v>43887</v>
      </c>
      <c r="Q863" s="56"/>
    </row>
    <row r="864" spans="1:17" x14ac:dyDescent="0.15">
      <c r="A864" s="16" t="s">
        <v>117</v>
      </c>
      <c r="B864" s="8"/>
      <c r="C864" s="10"/>
      <c r="D864" s="10"/>
      <c r="E864" s="10">
        <v>1</v>
      </c>
      <c r="F864" s="30"/>
      <c r="G864" s="7">
        <f t="shared" si="216"/>
        <v>1</v>
      </c>
      <c r="H864" s="58">
        <v>43901</v>
      </c>
      <c r="I864" s="16" t="s">
        <v>25</v>
      </c>
      <c r="J864" s="8"/>
      <c r="K864" s="10"/>
      <c r="L864" s="10"/>
      <c r="M864" s="10">
        <v>1</v>
      </c>
      <c r="N864" s="30">
        <v>1</v>
      </c>
      <c r="O864" s="7">
        <f t="shared" si="218"/>
        <v>2</v>
      </c>
      <c r="P864" s="58">
        <v>43888</v>
      </c>
      <c r="Q864" s="56"/>
    </row>
    <row r="865" spans="1:18" x14ac:dyDescent="0.15">
      <c r="A865" s="16" t="s">
        <v>25</v>
      </c>
      <c r="B865" s="8"/>
      <c r="C865" s="10"/>
      <c r="D865" s="10">
        <v>1</v>
      </c>
      <c r="E865" s="10"/>
      <c r="F865" s="30"/>
      <c r="G865" s="7">
        <f t="shared" si="216"/>
        <v>1</v>
      </c>
      <c r="H865" s="58">
        <v>43903</v>
      </c>
      <c r="I865" s="16" t="s">
        <v>25</v>
      </c>
      <c r="J865" s="8">
        <v>1</v>
      </c>
      <c r="K865" s="10"/>
      <c r="L865" s="10"/>
      <c r="M865" s="10"/>
      <c r="N865" s="30">
        <v>1</v>
      </c>
      <c r="O865" s="7">
        <f t="shared" si="218"/>
        <v>2</v>
      </c>
      <c r="P865" s="58">
        <v>43893</v>
      </c>
      <c r="Q865" s="56"/>
    </row>
    <row r="866" spans="1:18" x14ac:dyDescent="0.15">
      <c r="A866" s="15" t="s">
        <v>17</v>
      </c>
      <c r="B866" s="8"/>
      <c r="C866" s="10"/>
      <c r="D866" s="10"/>
      <c r="E866" s="10"/>
      <c r="F866" s="30">
        <v>-1</v>
      </c>
      <c r="G866" s="7">
        <f t="shared" si="216"/>
        <v>-1</v>
      </c>
      <c r="H866" s="58">
        <v>43902</v>
      </c>
      <c r="I866" s="16" t="s">
        <v>25</v>
      </c>
      <c r="J866" s="8"/>
      <c r="K866" s="10"/>
      <c r="L866" s="10"/>
      <c r="M866" s="10"/>
      <c r="N866" s="30">
        <v>1</v>
      </c>
      <c r="O866" s="7">
        <f t="shared" si="218"/>
        <v>1</v>
      </c>
      <c r="P866" s="58">
        <v>43894</v>
      </c>
    </row>
    <row r="867" spans="1:18" x14ac:dyDescent="0.15">
      <c r="A867" s="16" t="s">
        <v>25</v>
      </c>
      <c r="B867" s="8">
        <v>1</v>
      </c>
      <c r="C867" s="10"/>
      <c r="D867" s="10"/>
      <c r="E867" s="10"/>
      <c r="F867" s="30"/>
      <c r="G867" s="7">
        <f t="shared" si="216"/>
        <v>1</v>
      </c>
      <c r="H867" s="58">
        <v>43904</v>
      </c>
      <c r="I867" s="16" t="s">
        <v>25</v>
      </c>
      <c r="J867" s="8"/>
      <c r="K867" s="10"/>
      <c r="L867" s="10"/>
      <c r="M867" s="10"/>
      <c r="N867" s="30">
        <v>1</v>
      </c>
      <c r="O867" s="7">
        <f t="shared" si="218"/>
        <v>1</v>
      </c>
      <c r="P867" s="58">
        <v>43895</v>
      </c>
    </row>
    <row r="868" spans="1:18" x14ac:dyDescent="0.15">
      <c r="A868" s="16" t="s">
        <v>25</v>
      </c>
      <c r="B868" s="8"/>
      <c r="C868" s="10"/>
      <c r="D868" s="10"/>
      <c r="E868" s="10">
        <v>2</v>
      </c>
      <c r="F868" s="30"/>
      <c r="G868" s="7">
        <f t="shared" si="216"/>
        <v>2</v>
      </c>
      <c r="H868" s="58">
        <v>43907</v>
      </c>
      <c r="I868" s="14" t="s">
        <v>22</v>
      </c>
      <c r="J868" s="8"/>
      <c r="K868" s="10"/>
      <c r="L868" s="10">
        <v>10</v>
      </c>
      <c r="M868" s="10"/>
      <c r="N868" s="30"/>
      <c r="O868" s="7">
        <f t="shared" si="218"/>
        <v>10</v>
      </c>
      <c r="P868" s="58">
        <v>43903</v>
      </c>
    </row>
    <row r="869" spans="1:18" x14ac:dyDescent="0.15">
      <c r="A869" s="16" t="s">
        <v>1285</v>
      </c>
      <c r="B869" s="8"/>
      <c r="C869" s="10"/>
      <c r="D869" s="10">
        <v>1</v>
      </c>
      <c r="E869" s="10"/>
      <c r="F869" s="30"/>
      <c r="G869" s="7">
        <f t="shared" si="216"/>
        <v>1</v>
      </c>
      <c r="H869" s="58">
        <v>43907</v>
      </c>
      <c r="I869" s="16" t="s">
        <v>25</v>
      </c>
      <c r="J869" s="8">
        <v>1</v>
      </c>
      <c r="K869" s="10"/>
      <c r="L869" s="10"/>
      <c r="M869" s="10">
        <v>2</v>
      </c>
      <c r="N869" s="30"/>
      <c r="O869" s="7">
        <f t="shared" si="218"/>
        <v>3</v>
      </c>
      <c r="P869" s="58">
        <v>43901</v>
      </c>
    </row>
    <row r="870" spans="1:18" x14ac:dyDescent="0.15">
      <c r="A870" s="15" t="s">
        <v>19</v>
      </c>
      <c r="B870" s="8"/>
      <c r="C870" s="10">
        <v>-2</v>
      </c>
      <c r="D870" s="10"/>
      <c r="E870" s="10"/>
      <c r="F870" s="30"/>
      <c r="G870" s="7">
        <f t="shared" si="216"/>
        <v>-2</v>
      </c>
      <c r="H870" s="58">
        <v>43907</v>
      </c>
      <c r="I870" s="16" t="s">
        <v>1288</v>
      </c>
      <c r="J870" s="8">
        <v>3</v>
      </c>
      <c r="K870" s="10">
        <v>3</v>
      </c>
      <c r="L870" s="10"/>
      <c r="M870" s="10">
        <v>2</v>
      </c>
      <c r="N870" s="30">
        <v>3</v>
      </c>
      <c r="O870" s="7">
        <f t="shared" si="218"/>
        <v>11</v>
      </c>
      <c r="P870" s="58">
        <v>43908</v>
      </c>
    </row>
    <row r="871" spans="1:18" x14ac:dyDescent="0.15">
      <c r="A871" s="15" t="s">
        <v>17</v>
      </c>
      <c r="B871" s="8">
        <v>-1</v>
      </c>
      <c r="C871" s="10"/>
      <c r="D871" s="10"/>
      <c r="E871" s="10"/>
      <c r="F871" s="30"/>
      <c r="G871" s="7">
        <f t="shared" si="216"/>
        <v>-1</v>
      </c>
      <c r="H871" s="58">
        <v>43916</v>
      </c>
      <c r="I871" s="14" t="s">
        <v>22</v>
      </c>
      <c r="J871" s="11"/>
      <c r="K871" s="12"/>
      <c r="L871" s="12"/>
      <c r="M871" s="12"/>
      <c r="N871" s="31">
        <v>10</v>
      </c>
      <c r="O871" s="7">
        <f t="shared" si="218"/>
        <v>10</v>
      </c>
      <c r="P871" s="58">
        <v>43913</v>
      </c>
    </row>
    <row r="872" spans="1:18" x14ac:dyDescent="0.15">
      <c r="A872" s="15" t="s">
        <v>19</v>
      </c>
      <c r="B872" s="8"/>
      <c r="C872" s="10">
        <v>-1</v>
      </c>
      <c r="D872" s="10">
        <v>-1</v>
      </c>
      <c r="E872" s="10">
        <v>-1</v>
      </c>
      <c r="F872" s="30"/>
      <c r="G872" s="7">
        <f t="shared" si="216"/>
        <v>-3</v>
      </c>
      <c r="H872" s="58">
        <v>43922</v>
      </c>
      <c r="I872" s="16" t="s">
        <v>25</v>
      </c>
      <c r="J872" s="11"/>
      <c r="K872" s="12">
        <v>1</v>
      </c>
      <c r="L872" s="12"/>
      <c r="M872" s="12"/>
      <c r="N872" s="31"/>
      <c r="O872" s="7">
        <f t="shared" si="218"/>
        <v>1</v>
      </c>
      <c r="P872" s="58">
        <v>43914</v>
      </c>
    </row>
    <row r="873" spans="1:18" x14ac:dyDescent="0.15">
      <c r="A873" s="16"/>
      <c r="B873" s="8"/>
      <c r="C873" s="10"/>
      <c r="D873" s="10"/>
      <c r="E873" s="10"/>
      <c r="F873" s="30"/>
      <c r="G873" s="7">
        <f>SUM(B873:F873)</f>
        <v>0</v>
      </c>
      <c r="H873" s="58"/>
      <c r="I873" s="16" t="s">
        <v>25</v>
      </c>
      <c r="J873" s="11"/>
      <c r="K873" s="12"/>
      <c r="L873" s="12">
        <v>1</v>
      </c>
      <c r="M873" s="12"/>
      <c r="N873" s="31"/>
      <c r="O873" s="7">
        <f t="shared" si="218"/>
        <v>1</v>
      </c>
      <c r="P873" s="58">
        <v>43915</v>
      </c>
    </row>
    <row r="874" spans="1:18" x14ac:dyDescent="0.15">
      <c r="A874" s="16"/>
      <c r="B874" s="8"/>
      <c r="C874" s="10"/>
      <c r="D874" s="10"/>
      <c r="E874" s="10"/>
      <c r="F874" s="30"/>
      <c r="G874" s="7">
        <f>SUM(B874:F874)</f>
        <v>0</v>
      </c>
      <c r="H874" s="58"/>
      <c r="I874" s="16" t="s">
        <v>25</v>
      </c>
      <c r="J874" s="11"/>
      <c r="K874" s="12"/>
      <c r="L874" s="12">
        <v>2</v>
      </c>
      <c r="M874" s="12"/>
      <c r="N874" s="31"/>
      <c r="O874" s="7">
        <f t="shared" si="218"/>
        <v>2</v>
      </c>
      <c r="P874" s="58">
        <v>43921</v>
      </c>
    </row>
    <row r="875" spans="1:18" x14ac:dyDescent="0.15">
      <c r="A875" s="16"/>
      <c r="B875" s="8"/>
      <c r="C875" s="10"/>
      <c r="D875" s="10"/>
      <c r="E875" s="10"/>
      <c r="F875" s="30"/>
      <c r="G875" s="7">
        <f t="shared" ref="G875:G880" si="221">SUM(B875:F875)</f>
        <v>0</v>
      </c>
      <c r="H875" s="58"/>
      <c r="I875" s="16" t="s">
        <v>25</v>
      </c>
      <c r="J875" s="8"/>
      <c r="K875" s="10">
        <v>1</v>
      </c>
      <c r="L875" s="10"/>
      <c r="M875" s="10"/>
      <c r="N875" s="30"/>
      <c r="O875" s="7">
        <f t="shared" si="218"/>
        <v>1</v>
      </c>
      <c r="P875" s="58">
        <v>43922</v>
      </c>
    </row>
    <row r="876" spans="1:18" x14ac:dyDescent="0.15">
      <c r="A876" s="16"/>
      <c r="B876" s="11"/>
      <c r="C876" s="12"/>
      <c r="D876" s="12"/>
      <c r="E876" s="12"/>
      <c r="F876" s="31"/>
      <c r="G876" s="7">
        <f t="shared" si="221"/>
        <v>0</v>
      </c>
      <c r="H876" s="58"/>
      <c r="I876" s="16"/>
      <c r="J876" s="11"/>
      <c r="K876" s="12"/>
      <c r="L876" s="12"/>
      <c r="M876" s="12"/>
      <c r="N876" s="31"/>
      <c r="O876" s="7">
        <f t="shared" si="218"/>
        <v>0</v>
      </c>
      <c r="P876" s="58"/>
      <c r="Q876" s="56"/>
      <c r="R876" s="56"/>
    </row>
    <row r="877" spans="1:18" x14ac:dyDescent="0.15">
      <c r="A877" s="16"/>
      <c r="B877" s="8"/>
      <c r="C877" s="10"/>
      <c r="D877" s="10"/>
      <c r="E877" s="10"/>
      <c r="F877" s="30"/>
      <c r="G877" s="7">
        <f t="shared" si="221"/>
        <v>0</v>
      </c>
      <c r="H877" s="58"/>
      <c r="I877" s="16" t="s">
        <v>1276</v>
      </c>
      <c r="J877" s="11"/>
      <c r="K877" s="12"/>
      <c r="L877" s="12"/>
      <c r="M877" s="12"/>
      <c r="N877" s="31"/>
      <c r="O877" s="7">
        <f t="shared" si="218"/>
        <v>0</v>
      </c>
      <c r="P877" s="58" t="s">
        <v>1275</v>
      </c>
      <c r="Q877" s="56"/>
      <c r="R877" s="56"/>
    </row>
    <row r="878" spans="1:18" x14ac:dyDescent="0.15">
      <c r="A878" s="15"/>
      <c r="B878" s="37"/>
      <c r="C878" s="35"/>
      <c r="D878" s="35"/>
      <c r="E878" s="35"/>
      <c r="F878" s="28"/>
      <c r="G878" s="7">
        <f t="shared" si="221"/>
        <v>0</v>
      </c>
      <c r="H878" s="58"/>
      <c r="I878" s="16" t="s">
        <v>1243</v>
      </c>
      <c r="J878" s="11"/>
      <c r="K878" s="12"/>
      <c r="L878" s="12"/>
      <c r="M878" s="12"/>
      <c r="N878" s="31"/>
      <c r="O878" s="7">
        <f t="shared" si="218"/>
        <v>0</v>
      </c>
      <c r="P878" s="56" t="s">
        <v>1244</v>
      </c>
      <c r="Q878" s="56"/>
      <c r="R878" s="56"/>
    </row>
    <row r="879" spans="1:18" x14ac:dyDescent="0.15">
      <c r="A879" s="16"/>
      <c r="B879" s="8"/>
      <c r="C879" s="10"/>
      <c r="D879" s="10"/>
      <c r="E879" s="10"/>
      <c r="F879" s="30"/>
      <c r="G879" s="9">
        <f t="shared" si="221"/>
        <v>0</v>
      </c>
      <c r="H879" s="58"/>
      <c r="I879" s="16" t="s">
        <v>1262</v>
      </c>
      <c r="J879" s="11"/>
      <c r="K879" s="12"/>
      <c r="L879" s="12"/>
      <c r="M879" s="12"/>
      <c r="N879" s="31"/>
      <c r="O879" s="7">
        <f t="shared" ref="O879" si="222">SUM(J879:N879)</f>
        <v>0</v>
      </c>
      <c r="P879" s="58" t="s">
        <v>1261</v>
      </c>
      <c r="Q879" s="56"/>
      <c r="R879" s="56"/>
    </row>
    <row r="880" spans="1:18" ht="14.25" thickBot="1" x14ac:dyDescent="0.2">
      <c r="A880" s="51"/>
      <c r="B880" s="37"/>
      <c r="C880" s="35"/>
      <c r="D880" s="35"/>
      <c r="E880" s="35"/>
      <c r="F880" s="28"/>
      <c r="G880" s="7">
        <f t="shared" si="221"/>
        <v>0</v>
      </c>
      <c r="H880" s="58"/>
      <c r="I880" s="14" t="s">
        <v>1134</v>
      </c>
      <c r="J880" s="8"/>
      <c r="K880" s="10"/>
      <c r="L880" s="10"/>
      <c r="M880" s="10"/>
      <c r="N880" s="30"/>
      <c r="O880" s="7">
        <f t="shared" ref="O880" si="223">SUM(J880:N880)</f>
        <v>0</v>
      </c>
      <c r="P880" s="58" t="s">
        <v>1135</v>
      </c>
    </row>
    <row r="881" spans="1:15" ht="14.25" thickBot="1" x14ac:dyDescent="0.2">
      <c r="A881" s="3" t="s">
        <v>11</v>
      </c>
      <c r="B881" s="23">
        <f>SUM(B855:B880)</f>
        <v>14</v>
      </c>
      <c r="C881" s="4">
        <f>SUM(C855:C880)</f>
        <v>-2</v>
      </c>
      <c r="D881" s="4">
        <f>SUM(D855:D880)</f>
        <v>10</v>
      </c>
      <c r="E881" s="6">
        <f>SUM(E855:E880)</f>
        <v>7</v>
      </c>
      <c r="F881" s="32">
        <f>SUM(F855:F880)</f>
        <v>2</v>
      </c>
      <c r="G881" s="5">
        <f>SUM(B881:F881)</f>
        <v>31</v>
      </c>
      <c r="H881" s="56"/>
      <c r="I881" s="3" t="s">
        <v>11</v>
      </c>
      <c r="J881" s="23">
        <f>SUM(J855:J880)</f>
        <v>5</v>
      </c>
      <c r="K881" s="4">
        <f>SUM(K855:K880)</f>
        <v>16</v>
      </c>
      <c r="L881" s="4">
        <f>SUM(L855:L880)</f>
        <v>18</v>
      </c>
      <c r="M881" s="6">
        <f>SUM(M855:M880)</f>
        <v>18</v>
      </c>
      <c r="N881" s="32">
        <f>SUM(N855:N880)</f>
        <v>19</v>
      </c>
      <c r="O881" s="5">
        <f>SUM(J881:N881)</f>
        <v>76</v>
      </c>
    </row>
    <row r="882" spans="1:15" ht="14.25" thickBot="1" x14ac:dyDescent="0.2">
      <c r="A882" s="25" t="s">
        <v>12</v>
      </c>
      <c r="B882" s="63">
        <f>B854-B881</f>
        <v>6</v>
      </c>
      <c r="C882" s="26">
        <f t="shared" ref="C882:G882" si="224">C854-C881</f>
        <v>10</v>
      </c>
      <c r="D882" s="71">
        <f t="shared" si="224"/>
        <v>7</v>
      </c>
      <c r="E882" s="26">
        <f t="shared" si="224"/>
        <v>7</v>
      </c>
      <c r="F882" s="70">
        <f t="shared" si="224"/>
        <v>7</v>
      </c>
      <c r="G882" s="27">
        <f t="shared" si="224"/>
        <v>37</v>
      </c>
      <c r="H882" s="56"/>
      <c r="I882" s="25" t="s">
        <v>12</v>
      </c>
      <c r="J882" s="63">
        <f>J854-J881</f>
        <v>250</v>
      </c>
      <c r="K882" s="26">
        <f t="shared" ref="K882:M882" si="225">K854-K881</f>
        <v>243</v>
      </c>
      <c r="L882" s="71">
        <f t="shared" si="225"/>
        <v>217</v>
      </c>
      <c r="M882" s="26">
        <f t="shared" si="225"/>
        <v>198</v>
      </c>
      <c r="N882" s="70">
        <f>N854-N881</f>
        <v>217</v>
      </c>
      <c r="O882" s="27">
        <f t="shared" ref="O882" si="226">O854-O881</f>
        <v>1125</v>
      </c>
    </row>
    <row r="883" spans="1:15" ht="21" x14ac:dyDescent="0.2">
      <c r="A883" s="83" t="s">
        <v>415</v>
      </c>
      <c r="B883" s="77"/>
      <c r="C883" s="77"/>
      <c r="D883" s="77"/>
      <c r="E883" s="77"/>
      <c r="F883" s="77"/>
      <c r="G883" s="77"/>
      <c r="H883" s="56"/>
      <c r="I883" s="83" t="s">
        <v>415</v>
      </c>
      <c r="J883" s="77"/>
      <c r="K883" s="77"/>
      <c r="L883" s="77"/>
      <c r="M883" s="77"/>
      <c r="N883" s="77"/>
      <c r="O883" s="77"/>
    </row>
    <row r="884" spans="1:15" ht="21.75" thickBot="1" x14ac:dyDescent="0.25">
      <c r="A884" s="83" t="s">
        <v>47</v>
      </c>
      <c r="B884" s="77"/>
      <c r="C884" s="77"/>
      <c r="D884" s="77"/>
      <c r="E884" s="84"/>
      <c r="F884" s="78" t="s">
        <v>53</v>
      </c>
      <c r="G884" s="77"/>
      <c r="H884" s="56"/>
      <c r="I884" s="83" t="s">
        <v>47</v>
      </c>
      <c r="J884" s="77"/>
      <c r="K884" s="77"/>
      <c r="L884" s="77"/>
      <c r="M884" s="84"/>
      <c r="N884" s="78" t="s">
        <v>54</v>
      </c>
      <c r="O884" s="77"/>
    </row>
    <row r="885" spans="1:15" ht="14.25" thickBot="1" x14ac:dyDescent="0.2">
      <c r="A885" s="13" t="s">
        <v>0</v>
      </c>
      <c r="B885" s="228" t="s">
        <v>49</v>
      </c>
      <c r="C885" s="229"/>
      <c r="D885" s="229"/>
      <c r="E885" s="229"/>
      <c r="F885" s="230"/>
      <c r="G885" s="231"/>
      <c r="H885" s="56"/>
      <c r="I885" s="13" t="s">
        <v>0</v>
      </c>
      <c r="J885" s="228" t="s">
        <v>49</v>
      </c>
      <c r="K885" s="229"/>
      <c r="L885" s="229"/>
      <c r="M885" s="229"/>
      <c r="N885" s="230"/>
      <c r="O885" s="231"/>
    </row>
    <row r="886" spans="1:15" ht="14.25" thickBot="1" x14ac:dyDescent="0.2">
      <c r="A886" s="3" t="s">
        <v>1</v>
      </c>
      <c r="B886" s="2" t="s">
        <v>42</v>
      </c>
      <c r="C886" s="21" t="s">
        <v>43</v>
      </c>
      <c r="D886" s="21" t="s">
        <v>44</v>
      </c>
      <c r="E886" s="24" t="s">
        <v>45</v>
      </c>
      <c r="F886" s="33" t="s">
        <v>46</v>
      </c>
      <c r="G886" s="34" t="s">
        <v>2</v>
      </c>
      <c r="H886" s="56"/>
      <c r="I886" s="3" t="s">
        <v>1</v>
      </c>
      <c r="J886" s="2" t="s">
        <v>42</v>
      </c>
      <c r="K886" s="21" t="s">
        <v>43</v>
      </c>
      <c r="L886" s="21" t="s">
        <v>44</v>
      </c>
      <c r="M886" s="24" t="s">
        <v>45</v>
      </c>
      <c r="N886" s="33" t="s">
        <v>46</v>
      </c>
      <c r="O886" s="3" t="s">
        <v>2</v>
      </c>
    </row>
    <row r="887" spans="1:15" ht="14.25" thickBot="1" x14ac:dyDescent="0.2">
      <c r="A887" s="72" t="s">
        <v>527</v>
      </c>
      <c r="B887" s="73">
        <f>B882</f>
        <v>6</v>
      </c>
      <c r="C887" s="73">
        <f t="shared" ref="C887:F887" si="227">C882</f>
        <v>10</v>
      </c>
      <c r="D887" s="73">
        <f t="shared" si="227"/>
        <v>7</v>
      </c>
      <c r="E887" s="73">
        <f t="shared" si="227"/>
        <v>7</v>
      </c>
      <c r="F887" s="73">
        <f t="shared" si="227"/>
        <v>7</v>
      </c>
      <c r="G887" s="76">
        <f t="shared" ref="G887:G914" si="228">SUM(B887:F887)</f>
        <v>37</v>
      </c>
      <c r="H887" s="56"/>
      <c r="I887" s="96" t="s">
        <v>12</v>
      </c>
      <c r="J887" s="95">
        <f>J882</f>
        <v>250</v>
      </c>
      <c r="K887" s="97">
        <f t="shared" ref="K887:N887" si="229">K882</f>
        <v>243</v>
      </c>
      <c r="L887" s="97">
        <f t="shared" si="229"/>
        <v>217</v>
      </c>
      <c r="M887" s="97">
        <f t="shared" si="229"/>
        <v>198</v>
      </c>
      <c r="N887" s="54">
        <f t="shared" si="229"/>
        <v>217</v>
      </c>
      <c r="O887" s="52">
        <f t="shared" ref="O887:O922" si="230">SUM(J887:N887)</f>
        <v>1125</v>
      </c>
    </row>
    <row r="888" spans="1:15" x14ac:dyDescent="0.15">
      <c r="A888" s="15" t="s">
        <v>17</v>
      </c>
      <c r="B888" s="37"/>
      <c r="C888" s="35">
        <v>1</v>
      </c>
      <c r="D888" s="35"/>
      <c r="E888" s="35">
        <v>1</v>
      </c>
      <c r="F888" s="28"/>
      <c r="G888" s="7">
        <f t="shared" si="228"/>
        <v>2</v>
      </c>
      <c r="H888" s="58">
        <v>43930</v>
      </c>
      <c r="I888" s="15" t="s">
        <v>3</v>
      </c>
      <c r="J888" s="37"/>
      <c r="K888" s="35"/>
      <c r="L888" s="35"/>
      <c r="M888" s="35"/>
      <c r="N888" s="28"/>
      <c r="O888" s="7">
        <f t="shared" si="230"/>
        <v>0</v>
      </c>
    </row>
    <row r="889" spans="1:15" x14ac:dyDescent="0.15">
      <c r="A889" s="15" t="s">
        <v>261</v>
      </c>
      <c r="B889" s="8">
        <v>2</v>
      </c>
      <c r="C889" s="10">
        <v>1</v>
      </c>
      <c r="D889" s="10"/>
      <c r="E889" s="10">
        <v>1</v>
      </c>
      <c r="F889" s="28">
        <v>2</v>
      </c>
      <c r="G889" s="9">
        <f t="shared" si="228"/>
        <v>6</v>
      </c>
      <c r="H889" s="58">
        <v>43941</v>
      </c>
      <c r="I889" s="15" t="s">
        <v>4</v>
      </c>
      <c r="J889" s="8"/>
      <c r="K889" s="10"/>
      <c r="L889" s="10"/>
      <c r="M889" s="10"/>
      <c r="N889" s="28"/>
      <c r="O889" s="9">
        <f t="shared" si="230"/>
        <v>0</v>
      </c>
    </row>
    <row r="890" spans="1:15" x14ac:dyDescent="0.15">
      <c r="A890" s="15" t="s">
        <v>17</v>
      </c>
      <c r="B890" s="8"/>
      <c r="C890" s="10">
        <v>1</v>
      </c>
      <c r="D890" s="10">
        <v>1</v>
      </c>
      <c r="E890" s="10"/>
      <c r="F890" s="28"/>
      <c r="G890" s="9">
        <f t="shared" si="228"/>
        <v>2</v>
      </c>
      <c r="H890" s="58">
        <v>43949</v>
      </c>
      <c r="I890" s="15" t="s">
        <v>5</v>
      </c>
      <c r="J890" s="8"/>
      <c r="K890" s="10"/>
      <c r="L890" s="10"/>
      <c r="M890" s="10"/>
      <c r="N890" s="28"/>
      <c r="O890" s="9">
        <f t="shared" si="230"/>
        <v>0</v>
      </c>
    </row>
    <row r="891" spans="1:15" x14ac:dyDescent="0.15">
      <c r="A891" s="15" t="s">
        <v>17</v>
      </c>
      <c r="B891" s="8">
        <v>1</v>
      </c>
      <c r="C891" s="10"/>
      <c r="D891" s="10"/>
      <c r="E891" s="10"/>
      <c r="F891" s="28"/>
      <c r="G891" s="9">
        <f t="shared" si="228"/>
        <v>1</v>
      </c>
      <c r="H891" s="58">
        <v>43964</v>
      </c>
      <c r="I891" s="15" t="s">
        <v>6</v>
      </c>
      <c r="J891" s="8"/>
      <c r="K891" s="10"/>
      <c r="L891" s="10"/>
      <c r="M891" s="10"/>
      <c r="N891" s="28"/>
      <c r="O891" s="9">
        <f t="shared" si="230"/>
        <v>0</v>
      </c>
    </row>
    <row r="892" spans="1:15" x14ac:dyDescent="0.15">
      <c r="A892" s="15" t="s">
        <v>17</v>
      </c>
      <c r="B892" s="11"/>
      <c r="C892" s="12">
        <v>1</v>
      </c>
      <c r="D892" s="12"/>
      <c r="E892" s="12">
        <v>1</v>
      </c>
      <c r="F892" s="31"/>
      <c r="G892" s="7">
        <f t="shared" si="228"/>
        <v>2</v>
      </c>
      <c r="H892" s="58">
        <v>43993</v>
      </c>
      <c r="I892" s="15" t="s">
        <v>84</v>
      </c>
      <c r="J892" s="11"/>
      <c r="K892" s="12"/>
      <c r="L892" s="12"/>
      <c r="M892" s="12"/>
      <c r="N892" s="31"/>
      <c r="O892" s="7">
        <f t="shared" si="230"/>
        <v>0</v>
      </c>
    </row>
    <row r="893" spans="1:15" x14ac:dyDescent="0.15">
      <c r="A893" s="15" t="s">
        <v>84</v>
      </c>
      <c r="B893" s="8"/>
      <c r="C893" s="10"/>
      <c r="D893" s="10"/>
      <c r="E893" s="10"/>
      <c r="F893" s="30"/>
      <c r="G893" s="7">
        <f t="shared" si="228"/>
        <v>0</v>
      </c>
      <c r="H893" s="58"/>
      <c r="I893" s="15" t="s">
        <v>85</v>
      </c>
      <c r="J893" s="8"/>
      <c r="K893" s="10"/>
      <c r="L893" s="10"/>
      <c r="M893" s="10"/>
      <c r="N893" s="30"/>
      <c r="O893" s="7">
        <f t="shared" si="230"/>
        <v>0</v>
      </c>
    </row>
    <row r="894" spans="1:15" x14ac:dyDescent="0.15">
      <c r="A894" s="15" t="s">
        <v>85</v>
      </c>
      <c r="B894" s="8"/>
      <c r="C894" s="10"/>
      <c r="D894" s="10"/>
      <c r="E894" s="10"/>
      <c r="F894" s="30"/>
      <c r="G894" s="7">
        <f t="shared" si="228"/>
        <v>0</v>
      </c>
      <c r="H894" s="58"/>
      <c r="I894" s="16" t="s">
        <v>88</v>
      </c>
      <c r="J894" s="8"/>
      <c r="K894" s="10"/>
      <c r="L894" s="10"/>
      <c r="M894" s="10"/>
      <c r="N894" s="30"/>
      <c r="O894" s="7">
        <f t="shared" si="230"/>
        <v>0</v>
      </c>
    </row>
    <row r="895" spans="1:15" ht="14.25" thickBot="1" x14ac:dyDescent="0.2">
      <c r="A895" s="15" t="s">
        <v>86</v>
      </c>
      <c r="B895" s="11"/>
      <c r="C895" s="100"/>
      <c r="D895" s="100"/>
      <c r="E895" s="100"/>
      <c r="F895" s="101"/>
      <c r="G895" s="102">
        <f t="shared" si="228"/>
        <v>0</v>
      </c>
      <c r="H895" s="58"/>
      <c r="I895" s="15" t="s">
        <v>87</v>
      </c>
      <c r="J895" s="11"/>
      <c r="K895" s="100"/>
      <c r="L895" s="100"/>
      <c r="M895" s="100"/>
      <c r="N895" s="101"/>
      <c r="O895" s="102">
        <f t="shared" si="230"/>
        <v>0</v>
      </c>
    </row>
    <row r="896" spans="1:15" ht="14.25" thickBot="1" x14ac:dyDescent="0.2">
      <c r="A896" s="72" t="s">
        <v>7</v>
      </c>
      <c r="B896" s="73">
        <f>SUM(B887:B895)</f>
        <v>9</v>
      </c>
      <c r="C896" s="74">
        <f t="shared" ref="C896:F896" si="231">SUM(C887:C895)</f>
        <v>14</v>
      </c>
      <c r="D896" s="74">
        <f t="shared" si="231"/>
        <v>8</v>
      </c>
      <c r="E896" s="74">
        <f t="shared" si="231"/>
        <v>10</v>
      </c>
      <c r="F896" s="105">
        <f t="shared" si="231"/>
        <v>9</v>
      </c>
      <c r="G896" s="76">
        <f t="shared" si="228"/>
        <v>50</v>
      </c>
      <c r="H896" s="56"/>
      <c r="I896" s="72" t="s">
        <v>7</v>
      </c>
      <c r="J896" s="73">
        <f>SUM(J887:J895)</f>
        <v>250</v>
      </c>
      <c r="K896" s="74">
        <f t="shared" ref="K896:N896" si="232">SUM(K887:K895)</f>
        <v>243</v>
      </c>
      <c r="L896" s="74">
        <f t="shared" si="232"/>
        <v>217</v>
      </c>
      <c r="M896" s="74">
        <f t="shared" si="232"/>
        <v>198</v>
      </c>
      <c r="N896" s="105">
        <f t="shared" si="232"/>
        <v>217</v>
      </c>
      <c r="O896" s="76">
        <f t="shared" si="230"/>
        <v>1125</v>
      </c>
    </row>
    <row r="897" spans="1:19" x14ac:dyDescent="0.15">
      <c r="A897" s="51" t="s">
        <v>1298</v>
      </c>
      <c r="B897" s="37"/>
      <c r="C897" s="35">
        <v>1</v>
      </c>
      <c r="D897" s="35"/>
      <c r="E897" s="35"/>
      <c r="F897" s="28"/>
      <c r="G897" s="18">
        <f t="shared" si="228"/>
        <v>1</v>
      </c>
      <c r="H897" s="58">
        <v>43942</v>
      </c>
      <c r="I897" s="14" t="s">
        <v>22</v>
      </c>
      <c r="J897" s="8"/>
      <c r="K897" s="10">
        <v>10</v>
      </c>
      <c r="L897" s="10"/>
      <c r="M897" s="10"/>
      <c r="N897" s="30"/>
      <c r="O897" s="7">
        <f t="shared" si="230"/>
        <v>10</v>
      </c>
      <c r="P897" s="58">
        <v>43927</v>
      </c>
    </row>
    <row r="898" spans="1:19" x14ac:dyDescent="0.15">
      <c r="A898" s="16" t="s">
        <v>25</v>
      </c>
      <c r="B898" s="8"/>
      <c r="C898" s="10"/>
      <c r="D898" s="10"/>
      <c r="E898" s="10">
        <v>1</v>
      </c>
      <c r="F898" s="30"/>
      <c r="G898" s="7">
        <f t="shared" si="228"/>
        <v>1</v>
      </c>
      <c r="H898" s="58">
        <v>43945</v>
      </c>
      <c r="I898" s="16" t="s">
        <v>25</v>
      </c>
      <c r="J898" s="8">
        <v>1</v>
      </c>
      <c r="K898" s="10"/>
      <c r="L898" s="10"/>
      <c r="M898" s="10"/>
      <c r="N898" s="30"/>
      <c r="O898" s="7">
        <f t="shared" si="230"/>
        <v>1</v>
      </c>
      <c r="P898" s="58">
        <v>43924</v>
      </c>
      <c r="Q898" s="56"/>
    </row>
    <row r="899" spans="1:19" x14ac:dyDescent="0.15">
      <c r="A899" s="16" t="s">
        <v>25</v>
      </c>
      <c r="B899" s="8">
        <v>1</v>
      </c>
      <c r="C899" s="10">
        <v>1</v>
      </c>
      <c r="D899" s="10"/>
      <c r="E899" s="10"/>
      <c r="F899" s="30"/>
      <c r="G899" s="7">
        <f t="shared" si="228"/>
        <v>2</v>
      </c>
      <c r="H899" s="58">
        <v>43950</v>
      </c>
      <c r="I899" s="16" t="s">
        <v>25</v>
      </c>
      <c r="J899" s="8"/>
      <c r="K899" s="10"/>
      <c r="L899" s="10">
        <v>1</v>
      </c>
      <c r="M899" s="10"/>
      <c r="N899" s="30"/>
      <c r="O899" s="7">
        <f t="shared" si="230"/>
        <v>1</v>
      </c>
      <c r="P899" s="58">
        <v>43927</v>
      </c>
    </row>
    <row r="900" spans="1:19" x14ac:dyDescent="0.15">
      <c r="A900" s="16" t="s">
        <v>25</v>
      </c>
      <c r="B900" s="8"/>
      <c r="C900" s="10">
        <v>2</v>
      </c>
      <c r="D900" s="10"/>
      <c r="E900" s="10"/>
      <c r="F900" s="30"/>
      <c r="G900" s="7">
        <f t="shared" si="228"/>
        <v>2</v>
      </c>
      <c r="H900" s="58">
        <v>43923</v>
      </c>
      <c r="I900" s="16" t="s">
        <v>25</v>
      </c>
      <c r="J900" s="8">
        <v>1</v>
      </c>
      <c r="K900" s="10"/>
      <c r="L900" s="10"/>
      <c r="M900" s="10"/>
      <c r="N900" s="30"/>
      <c r="O900" s="7">
        <f t="shared" si="230"/>
        <v>1</v>
      </c>
      <c r="P900" s="58">
        <v>43930</v>
      </c>
    </row>
    <row r="901" spans="1:19" x14ac:dyDescent="0.15">
      <c r="A901" s="16" t="s">
        <v>25</v>
      </c>
      <c r="B901" s="8"/>
      <c r="C901" s="10"/>
      <c r="D901" s="10"/>
      <c r="E901" s="10">
        <v>1</v>
      </c>
      <c r="F901" s="30"/>
      <c r="G901" s="7">
        <f t="shared" si="228"/>
        <v>1</v>
      </c>
      <c r="H901" s="58">
        <v>43960</v>
      </c>
      <c r="I901" s="16" t="s">
        <v>25</v>
      </c>
      <c r="J901" s="8"/>
      <c r="K901" s="10"/>
      <c r="L901" s="10"/>
      <c r="M901" s="10">
        <v>1</v>
      </c>
      <c r="N901" s="30"/>
      <c r="O901" s="7">
        <f t="shared" si="230"/>
        <v>1</v>
      </c>
      <c r="P901" s="58">
        <v>43963</v>
      </c>
    </row>
    <row r="902" spans="1:19" x14ac:dyDescent="0.15">
      <c r="A902" s="16" t="s">
        <v>25</v>
      </c>
      <c r="B902" s="8"/>
      <c r="C902" s="10"/>
      <c r="D902" s="10"/>
      <c r="E902" s="10">
        <v>2</v>
      </c>
      <c r="F902" s="30"/>
      <c r="G902" s="7">
        <f t="shared" si="228"/>
        <v>2</v>
      </c>
      <c r="H902" s="58">
        <v>43978</v>
      </c>
      <c r="I902" s="16" t="s">
        <v>25</v>
      </c>
      <c r="J902" s="8"/>
      <c r="K902" s="10"/>
      <c r="L902" s="10"/>
      <c r="M902" s="10">
        <v>1</v>
      </c>
      <c r="N902" s="30">
        <v>1</v>
      </c>
      <c r="O902" s="7">
        <f t="shared" si="230"/>
        <v>2</v>
      </c>
      <c r="P902" s="58">
        <v>43964</v>
      </c>
      <c r="Q902" s="56"/>
    </row>
    <row r="903" spans="1:19" x14ac:dyDescent="0.15">
      <c r="A903" s="16" t="s">
        <v>25</v>
      </c>
      <c r="B903" s="8"/>
      <c r="C903" s="10">
        <v>1</v>
      </c>
      <c r="D903" s="10"/>
      <c r="E903" s="10"/>
      <c r="F903" s="30"/>
      <c r="G903" s="7">
        <f t="shared" si="228"/>
        <v>1</v>
      </c>
      <c r="H903" s="58">
        <v>43980</v>
      </c>
      <c r="I903" s="16" t="s">
        <v>25</v>
      </c>
      <c r="J903" s="8">
        <v>1</v>
      </c>
      <c r="K903" s="10"/>
      <c r="L903" s="10"/>
      <c r="M903" s="10"/>
      <c r="N903" s="30"/>
      <c r="O903" s="7">
        <f t="shared" si="230"/>
        <v>1</v>
      </c>
      <c r="P903" s="58">
        <v>43965</v>
      </c>
      <c r="Q903" s="56"/>
    </row>
    <row r="904" spans="1:19" x14ac:dyDescent="0.15">
      <c r="A904" s="16" t="s">
        <v>25</v>
      </c>
      <c r="B904" s="8">
        <v>1</v>
      </c>
      <c r="C904" s="10"/>
      <c r="D904" s="10"/>
      <c r="E904" s="10"/>
      <c r="F904" s="30"/>
      <c r="G904" s="7">
        <f t="shared" si="228"/>
        <v>1</v>
      </c>
      <c r="H904" s="58">
        <v>43983</v>
      </c>
      <c r="I904" s="14" t="s">
        <v>22</v>
      </c>
      <c r="J904" s="8"/>
      <c r="K904" s="10"/>
      <c r="L904" s="10">
        <v>10</v>
      </c>
      <c r="M904" s="10"/>
      <c r="N904" s="30"/>
      <c r="O904" s="7">
        <f t="shared" si="230"/>
        <v>10</v>
      </c>
      <c r="P904" s="58">
        <v>43973</v>
      </c>
    </row>
    <row r="905" spans="1:19" x14ac:dyDescent="0.15">
      <c r="A905" s="16" t="s">
        <v>1317</v>
      </c>
      <c r="B905" s="8"/>
      <c r="C905" s="10"/>
      <c r="D905" s="10"/>
      <c r="E905" s="10"/>
      <c r="F905" s="30">
        <v>1</v>
      </c>
      <c r="G905" s="7">
        <f t="shared" si="228"/>
        <v>1</v>
      </c>
      <c r="H905" s="58">
        <v>43986</v>
      </c>
      <c r="I905" s="16" t="s">
        <v>1312</v>
      </c>
      <c r="J905" s="11">
        <v>6</v>
      </c>
      <c r="K905" s="12">
        <v>8</v>
      </c>
      <c r="L905" s="12">
        <v>7</v>
      </c>
      <c r="M905" s="12">
        <v>3</v>
      </c>
      <c r="N905" s="31">
        <v>5</v>
      </c>
      <c r="O905" s="7">
        <f t="shared" si="230"/>
        <v>29</v>
      </c>
      <c r="P905" s="58">
        <v>43983</v>
      </c>
      <c r="Q905" s="56"/>
      <c r="R905" s="56"/>
      <c r="S905" s="56"/>
    </row>
    <row r="906" spans="1:19" x14ac:dyDescent="0.15">
      <c r="A906" s="16" t="s">
        <v>25</v>
      </c>
      <c r="B906" s="8"/>
      <c r="C906" s="10"/>
      <c r="D906" s="10"/>
      <c r="E906" s="10"/>
      <c r="F906" s="30">
        <v>1</v>
      </c>
      <c r="G906" s="7">
        <f t="shared" si="228"/>
        <v>1</v>
      </c>
      <c r="H906" s="58">
        <v>43991</v>
      </c>
      <c r="I906" s="16" t="s">
        <v>25</v>
      </c>
      <c r="J906" s="8"/>
      <c r="K906" s="10">
        <v>1</v>
      </c>
      <c r="L906" s="10"/>
      <c r="M906" s="10"/>
      <c r="N906" s="30">
        <v>1</v>
      </c>
      <c r="O906" s="7">
        <f t="shared" si="230"/>
        <v>2</v>
      </c>
      <c r="P906" s="58">
        <v>43972</v>
      </c>
      <c r="Q906" s="56"/>
    </row>
    <row r="907" spans="1:19" x14ac:dyDescent="0.15">
      <c r="A907" s="16" t="s">
        <v>25</v>
      </c>
      <c r="B907" s="8"/>
      <c r="C907" s="10"/>
      <c r="D907" s="10">
        <v>1</v>
      </c>
      <c r="E907" s="10"/>
      <c r="F907" s="30"/>
      <c r="G907" s="7">
        <f t="shared" si="228"/>
        <v>1</v>
      </c>
      <c r="H907" s="58">
        <v>43994</v>
      </c>
      <c r="I907" s="16" t="s">
        <v>25</v>
      </c>
      <c r="J907" s="8"/>
      <c r="K907" s="10">
        <v>1</v>
      </c>
      <c r="L907" s="10"/>
      <c r="M907" s="10"/>
      <c r="N907" s="30"/>
      <c r="O907" s="7">
        <f t="shared" si="230"/>
        <v>1</v>
      </c>
      <c r="P907" s="58">
        <v>43973</v>
      </c>
      <c r="Q907" s="56"/>
    </row>
    <row r="908" spans="1:19" x14ac:dyDescent="0.15">
      <c r="A908" s="16" t="s">
        <v>746</v>
      </c>
      <c r="B908" s="8"/>
      <c r="C908" s="10"/>
      <c r="D908" s="10"/>
      <c r="E908" s="10">
        <v>1</v>
      </c>
      <c r="F908" s="30"/>
      <c r="G908" s="7">
        <f t="shared" si="228"/>
        <v>1</v>
      </c>
      <c r="H908" s="58">
        <v>44011</v>
      </c>
      <c r="I908" s="16" t="s">
        <v>746</v>
      </c>
      <c r="J908" s="8">
        <v>2</v>
      </c>
      <c r="K908" s="10">
        <v>2</v>
      </c>
      <c r="L908" s="10">
        <v>2</v>
      </c>
      <c r="M908" s="10">
        <v>1</v>
      </c>
      <c r="N908" s="30">
        <v>2</v>
      </c>
      <c r="O908" s="7">
        <f t="shared" si="230"/>
        <v>9</v>
      </c>
      <c r="P908" s="58">
        <v>43993</v>
      </c>
      <c r="Q908" s="56"/>
    </row>
    <row r="909" spans="1:19" x14ac:dyDescent="0.15">
      <c r="A909" s="16" t="s">
        <v>25</v>
      </c>
      <c r="B909" s="8"/>
      <c r="C909" s="10">
        <v>1</v>
      </c>
      <c r="D909" s="10"/>
      <c r="E909" s="10"/>
      <c r="F909" s="30"/>
      <c r="G909" s="7">
        <f t="shared" si="228"/>
        <v>1</v>
      </c>
      <c r="H909" s="58">
        <v>44013</v>
      </c>
      <c r="I909" s="16" t="s">
        <v>25</v>
      </c>
      <c r="J909" s="8"/>
      <c r="K909" s="10">
        <v>1</v>
      </c>
      <c r="L909" s="10"/>
      <c r="M909" s="10"/>
      <c r="N909" s="30"/>
      <c r="O909" s="7">
        <f t="shared" si="230"/>
        <v>1</v>
      </c>
      <c r="P909" s="58">
        <v>43984</v>
      </c>
    </row>
    <row r="910" spans="1:19" x14ac:dyDescent="0.15">
      <c r="A910" s="16" t="s">
        <v>29</v>
      </c>
      <c r="B910" s="8"/>
      <c r="C910" s="10"/>
      <c r="D910" s="10"/>
      <c r="E910" s="10"/>
      <c r="F910" s="30">
        <v>1</v>
      </c>
      <c r="G910" s="7">
        <f t="shared" si="228"/>
        <v>1</v>
      </c>
      <c r="H910" s="58">
        <v>44012</v>
      </c>
      <c r="I910" s="16" t="s">
        <v>25</v>
      </c>
      <c r="J910" s="8"/>
      <c r="K910" s="10"/>
      <c r="L910" s="10"/>
      <c r="M910" s="10"/>
      <c r="N910" s="30">
        <v>1</v>
      </c>
      <c r="O910" s="7">
        <f t="shared" si="230"/>
        <v>1</v>
      </c>
      <c r="P910" s="58">
        <v>43988</v>
      </c>
    </row>
    <row r="911" spans="1:19" x14ac:dyDescent="0.15">
      <c r="A911" s="16"/>
      <c r="B911" s="8"/>
      <c r="C911" s="10"/>
      <c r="D911" s="10"/>
      <c r="E911" s="10"/>
      <c r="F911" s="30"/>
      <c r="G911" s="7">
        <f t="shared" si="228"/>
        <v>0</v>
      </c>
      <c r="H911" s="58"/>
      <c r="I911" s="14" t="s">
        <v>22</v>
      </c>
      <c r="J911" s="8"/>
      <c r="K911" s="10"/>
      <c r="L911" s="10"/>
      <c r="M911" s="10">
        <v>10</v>
      </c>
      <c r="N911" s="30"/>
      <c r="O911" s="7">
        <f t="shared" si="230"/>
        <v>10</v>
      </c>
      <c r="P911" s="58">
        <v>43994</v>
      </c>
    </row>
    <row r="912" spans="1:19" x14ac:dyDescent="0.15">
      <c r="A912" s="16"/>
      <c r="B912" s="8"/>
      <c r="C912" s="10"/>
      <c r="D912" s="10"/>
      <c r="E912" s="10"/>
      <c r="F912" s="30"/>
      <c r="G912" s="7">
        <f t="shared" si="228"/>
        <v>0</v>
      </c>
      <c r="H912" s="58"/>
      <c r="I912" s="16" t="s">
        <v>25</v>
      </c>
      <c r="J912" s="8"/>
      <c r="K912" s="10"/>
      <c r="L912" s="10">
        <v>1</v>
      </c>
      <c r="M912" s="10">
        <v>1</v>
      </c>
      <c r="N912" s="30"/>
      <c r="O912" s="7">
        <f t="shared" si="230"/>
        <v>2</v>
      </c>
      <c r="P912" s="58">
        <v>44006</v>
      </c>
    </row>
    <row r="913" spans="1:19" x14ac:dyDescent="0.15">
      <c r="A913" s="16"/>
      <c r="B913" s="8"/>
      <c r="C913" s="10"/>
      <c r="D913" s="10"/>
      <c r="E913" s="10"/>
      <c r="F913" s="30"/>
      <c r="G913" s="7">
        <f t="shared" si="228"/>
        <v>0</v>
      </c>
      <c r="H913" s="58"/>
      <c r="I913" s="16" t="s">
        <v>25</v>
      </c>
      <c r="J913" s="11"/>
      <c r="K913" s="12"/>
      <c r="L913" s="12"/>
      <c r="M913" s="12"/>
      <c r="N913" s="31">
        <v>1</v>
      </c>
      <c r="O913" s="7">
        <f t="shared" si="230"/>
        <v>1</v>
      </c>
      <c r="P913" s="58">
        <v>44007</v>
      </c>
      <c r="Q913" s="56"/>
    </row>
    <row r="914" spans="1:19" x14ac:dyDescent="0.15">
      <c r="A914" s="16"/>
      <c r="B914" s="8"/>
      <c r="C914" s="10"/>
      <c r="D914" s="10"/>
      <c r="E914" s="10"/>
      <c r="F914" s="30"/>
      <c r="G914" s="7">
        <f t="shared" si="228"/>
        <v>0</v>
      </c>
      <c r="H914" s="58"/>
      <c r="I914" s="16" t="s">
        <v>1324</v>
      </c>
      <c r="J914" s="11"/>
      <c r="K914" s="12"/>
      <c r="L914" s="12">
        <v>2</v>
      </c>
      <c r="M914" s="12">
        <v>1</v>
      </c>
      <c r="N914" s="31"/>
      <c r="O914" s="7">
        <f t="shared" si="230"/>
        <v>3</v>
      </c>
      <c r="P914" s="58">
        <v>44014</v>
      </c>
      <c r="Q914" s="56"/>
      <c r="R914" s="56"/>
      <c r="S914" s="56"/>
    </row>
    <row r="915" spans="1:19" x14ac:dyDescent="0.15">
      <c r="A915" s="16"/>
      <c r="B915" s="8"/>
      <c r="C915" s="10"/>
      <c r="D915" s="10"/>
      <c r="E915" s="10"/>
      <c r="F915" s="30"/>
      <c r="G915" s="7">
        <f>SUM(B915:F915)</f>
        <v>0</v>
      </c>
      <c r="H915" s="58"/>
      <c r="I915" s="16"/>
      <c r="J915" s="11"/>
      <c r="K915" s="12"/>
      <c r="L915" s="12"/>
      <c r="M915" s="12"/>
      <c r="N915" s="31"/>
      <c r="O915" s="7">
        <f t="shared" si="230"/>
        <v>0</v>
      </c>
      <c r="P915" s="56"/>
      <c r="Q915" s="56"/>
    </row>
    <row r="916" spans="1:19" x14ac:dyDescent="0.15">
      <c r="A916" s="16"/>
      <c r="B916" s="8"/>
      <c r="C916" s="10"/>
      <c r="D916" s="10"/>
      <c r="E916" s="10"/>
      <c r="F916" s="30"/>
      <c r="G916" s="7">
        <f>SUM(B916:F916)</f>
        <v>0</v>
      </c>
      <c r="H916" s="58"/>
      <c r="I916" s="16" t="s">
        <v>1313</v>
      </c>
      <c r="J916" s="11"/>
      <c r="K916" s="12"/>
      <c r="L916" s="12"/>
      <c r="M916" s="12"/>
      <c r="N916" s="31"/>
      <c r="O916" s="7">
        <f t="shared" ref="O916:O919" si="233">SUM(J916:N916)</f>
        <v>0</v>
      </c>
      <c r="P916" s="56" t="s">
        <v>1314</v>
      </c>
      <c r="Q916" s="56"/>
    </row>
    <row r="917" spans="1:19" x14ac:dyDescent="0.15">
      <c r="A917" s="16"/>
      <c r="B917" s="8"/>
      <c r="C917" s="10"/>
      <c r="D917" s="10"/>
      <c r="E917" s="10"/>
      <c r="F917" s="30"/>
      <c r="G917" s="7">
        <f t="shared" ref="G917:G922" si="234">SUM(B917:F917)</f>
        <v>0</v>
      </c>
      <c r="H917" s="58"/>
      <c r="I917" s="64" t="s">
        <v>1308</v>
      </c>
      <c r="J917" s="11"/>
      <c r="K917" s="12"/>
      <c r="L917" s="12"/>
      <c r="M917" s="12"/>
      <c r="N917" s="31"/>
      <c r="O917" s="7">
        <f t="shared" si="233"/>
        <v>0</v>
      </c>
      <c r="P917" s="56" t="s">
        <v>1307</v>
      </c>
      <c r="Q917" s="56"/>
    </row>
    <row r="918" spans="1:19" x14ac:dyDescent="0.15">
      <c r="A918" s="16"/>
      <c r="B918" s="11"/>
      <c r="C918" s="12"/>
      <c r="D918" s="12"/>
      <c r="E918" s="12"/>
      <c r="F918" s="31"/>
      <c r="G918" s="7">
        <f t="shared" si="234"/>
        <v>0</v>
      </c>
      <c r="H918" s="58"/>
      <c r="I918" s="16" t="s">
        <v>1248</v>
      </c>
      <c r="J918" s="8"/>
      <c r="K918" s="10"/>
      <c r="L918" s="10"/>
      <c r="M918" s="10"/>
      <c r="N918" s="30"/>
      <c r="O918" s="7">
        <f t="shared" si="233"/>
        <v>0</v>
      </c>
      <c r="P918" s="56" t="s">
        <v>1249</v>
      </c>
    </row>
    <row r="919" spans="1:19" x14ac:dyDescent="0.15">
      <c r="A919" s="16"/>
      <c r="B919" s="8"/>
      <c r="C919" s="10"/>
      <c r="D919" s="10"/>
      <c r="E919" s="10"/>
      <c r="F919" s="30"/>
      <c r="G919" s="7">
        <f t="shared" si="234"/>
        <v>0</v>
      </c>
      <c r="H919" s="58"/>
      <c r="I919" s="16" t="s">
        <v>1286</v>
      </c>
      <c r="J919" s="11"/>
      <c r="K919" s="12"/>
      <c r="L919" s="12"/>
      <c r="M919" s="12"/>
      <c r="N919" s="31"/>
      <c r="O919" s="7">
        <f t="shared" si="233"/>
        <v>0</v>
      </c>
      <c r="P919" s="58" t="s">
        <v>1287</v>
      </c>
    </row>
    <row r="920" spans="1:19" x14ac:dyDescent="0.15">
      <c r="A920" s="15"/>
      <c r="B920" s="37"/>
      <c r="C920" s="35"/>
      <c r="D920" s="35"/>
      <c r="E920" s="35"/>
      <c r="F920" s="28"/>
      <c r="G920" s="7">
        <f t="shared" si="234"/>
        <v>0</v>
      </c>
      <c r="H920" s="58"/>
      <c r="I920" s="16" t="s">
        <v>1238</v>
      </c>
      <c r="J920" s="11"/>
      <c r="K920" s="12"/>
      <c r="L920" s="12"/>
      <c r="M920" s="12"/>
      <c r="N920" s="31"/>
      <c r="O920" s="7">
        <f t="shared" si="230"/>
        <v>0</v>
      </c>
      <c r="P920" s="56" t="s">
        <v>1239</v>
      </c>
    </row>
    <row r="921" spans="1:19" x14ac:dyDescent="0.15">
      <c r="A921" s="16"/>
      <c r="B921" s="8"/>
      <c r="C921" s="10"/>
      <c r="D921" s="10"/>
      <c r="E921" s="10"/>
      <c r="F921" s="30"/>
      <c r="G921" s="9">
        <f t="shared" si="234"/>
        <v>0</v>
      </c>
      <c r="H921" s="58"/>
      <c r="I921" s="14" t="s">
        <v>1194</v>
      </c>
      <c r="J921" s="11"/>
      <c r="K921" s="12"/>
      <c r="L921" s="12"/>
      <c r="M921" s="12"/>
      <c r="N921" s="31"/>
      <c r="O921" s="7">
        <f t="shared" si="230"/>
        <v>0</v>
      </c>
      <c r="P921" s="56" t="s">
        <v>1195</v>
      </c>
    </row>
    <row r="922" spans="1:19" ht="14.25" thickBot="1" x14ac:dyDescent="0.2">
      <c r="A922" s="51"/>
      <c r="B922" s="37"/>
      <c r="C922" s="35"/>
      <c r="D922" s="35"/>
      <c r="E922" s="35"/>
      <c r="F922" s="28"/>
      <c r="G922" s="7">
        <f t="shared" si="234"/>
        <v>0</v>
      </c>
      <c r="H922" s="58"/>
      <c r="I922" s="64" t="s">
        <v>1281</v>
      </c>
      <c r="J922" s="11"/>
      <c r="K922" s="12"/>
      <c r="L922" s="12"/>
      <c r="M922" s="12"/>
      <c r="N922" s="31"/>
      <c r="O922" s="7">
        <f t="shared" si="230"/>
        <v>0</v>
      </c>
      <c r="P922" s="56" t="s">
        <v>1282</v>
      </c>
    </row>
    <row r="923" spans="1:19" ht="14.25" thickBot="1" x14ac:dyDescent="0.2">
      <c r="A923" s="3" t="s">
        <v>11</v>
      </c>
      <c r="B923" s="23">
        <f>SUM(B897:B922)</f>
        <v>2</v>
      </c>
      <c r="C923" s="4">
        <f>SUM(C897:C922)</f>
        <v>6</v>
      </c>
      <c r="D923" s="4">
        <f>SUM(D897:D922)</f>
        <v>1</v>
      </c>
      <c r="E923" s="6">
        <f>SUM(E897:E922)</f>
        <v>5</v>
      </c>
      <c r="F923" s="32">
        <f>SUM(F897:F922)</f>
        <v>3</v>
      </c>
      <c r="G923" s="5">
        <f>SUM(B923:F923)</f>
        <v>17</v>
      </c>
      <c r="H923" s="56"/>
      <c r="I923" s="3" t="s">
        <v>11</v>
      </c>
      <c r="J923" s="23">
        <f>SUM(J897:J922)</f>
        <v>11</v>
      </c>
      <c r="K923" s="4">
        <f>SUM(K897:K922)</f>
        <v>23</v>
      </c>
      <c r="L923" s="4">
        <f>SUM(L897:L922)</f>
        <v>23</v>
      </c>
      <c r="M923" s="6">
        <f>SUM(M897:M922)</f>
        <v>18</v>
      </c>
      <c r="N923" s="32">
        <f>SUM(N897:N922)</f>
        <v>11</v>
      </c>
      <c r="O923" s="5">
        <f>SUM(J923:N923)</f>
        <v>86</v>
      </c>
    </row>
    <row r="924" spans="1:19" ht="14.25" thickBot="1" x14ac:dyDescent="0.2">
      <c r="A924" s="25" t="s">
        <v>12</v>
      </c>
      <c r="B924" s="63">
        <f>B896-B923</f>
        <v>7</v>
      </c>
      <c r="C924" s="26">
        <f t="shared" ref="C924:G924" si="235">C896-C923</f>
        <v>8</v>
      </c>
      <c r="D924" s="71">
        <f t="shared" si="235"/>
        <v>7</v>
      </c>
      <c r="E924" s="26">
        <f t="shared" si="235"/>
        <v>5</v>
      </c>
      <c r="F924" s="70">
        <f t="shared" si="235"/>
        <v>6</v>
      </c>
      <c r="G924" s="27">
        <f t="shared" si="235"/>
        <v>33</v>
      </c>
      <c r="H924" s="56"/>
      <c r="I924" s="25" t="s">
        <v>12</v>
      </c>
      <c r="J924" s="63">
        <f>J896-J923</f>
        <v>239</v>
      </c>
      <c r="K924" s="26">
        <f t="shared" ref="K924:M924" si="236">K896-K923</f>
        <v>220</v>
      </c>
      <c r="L924" s="71">
        <f t="shared" si="236"/>
        <v>194</v>
      </c>
      <c r="M924" s="26">
        <f t="shared" si="236"/>
        <v>180</v>
      </c>
      <c r="N924" s="70">
        <f>N896-N923</f>
        <v>206</v>
      </c>
      <c r="O924" s="27">
        <f t="shared" ref="O924" si="237">O896-O923</f>
        <v>1039</v>
      </c>
    </row>
    <row r="925" spans="1:19" ht="21" x14ac:dyDescent="0.2">
      <c r="A925" s="83" t="s">
        <v>415</v>
      </c>
      <c r="B925" s="77"/>
      <c r="C925" s="77"/>
      <c r="D925" s="77"/>
      <c r="E925" s="77"/>
      <c r="F925" s="77"/>
      <c r="G925" s="77"/>
      <c r="H925" s="56"/>
      <c r="I925" s="83" t="s">
        <v>415</v>
      </c>
      <c r="J925" s="77"/>
      <c r="K925" s="77"/>
      <c r="L925" s="77"/>
      <c r="M925" s="77"/>
      <c r="N925" s="77"/>
      <c r="O925" s="77"/>
    </row>
    <row r="926" spans="1:19" ht="21.75" thickBot="1" x14ac:dyDescent="0.25">
      <c r="A926" s="83" t="s">
        <v>47</v>
      </c>
      <c r="B926" s="77"/>
      <c r="C926" s="77"/>
      <c r="D926" s="77"/>
      <c r="E926" s="84"/>
      <c r="F926" s="78" t="s">
        <v>53</v>
      </c>
      <c r="G926" s="77"/>
      <c r="H926" s="56"/>
      <c r="I926" s="83" t="s">
        <v>47</v>
      </c>
      <c r="J926" s="77"/>
      <c r="K926" s="77"/>
      <c r="L926" s="77"/>
      <c r="M926" s="84"/>
      <c r="N926" s="78" t="s">
        <v>54</v>
      </c>
      <c r="O926" s="77"/>
    </row>
    <row r="927" spans="1:19" ht="14.25" thickBot="1" x14ac:dyDescent="0.2">
      <c r="A927" s="13" t="s">
        <v>0</v>
      </c>
      <c r="B927" s="228" t="s">
        <v>49</v>
      </c>
      <c r="C927" s="229"/>
      <c r="D927" s="229"/>
      <c r="E927" s="229"/>
      <c r="F927" s="230"/>
      <c r="G927" s="231"/>
      <c r="H927" s="56"/>
      <c r="I927" s="13" t="s">
        <v>0</v>
      </c>
      <c r="J927" s="228" t="s">
        <v>49</v>
      </c>
      <c r="K927" s="229"/>
      <c r="L927" s="229"/>
      <c r="M927" s="229"/>
      <c r="N927" s="230"/>
      <c r="O927" s="231"/>
    </row>
    <row r="928" spans="1:19" ht="14.25" thickBot="1" x14ac:dyDescent="0.2">
      <c r="A928" s="3" t="s">
        <v>1</v>
      </c>
      <c r="B928" s="2" t="s">
        <v>42</v>
      </c>
      <c r="C928" s="21" t="s">
        <v>43</v>
      </c>
      <c r="D928" s="21" t="s">
        <v>44</v>
      </c>
      <c r="E928" s="24" t="s">
        <v>45</v>
      </c>
      <c r="F928" s="33" t="s">
        <v>46</v>
      </c>
      <c r="G928" s="34" t="s">
        <v>2</v>
      </c>
      <c r="H928" s="56"/>
      <c r="I928" s="3" t="s">
        <v>1</v>
      </c>
      <c r="J928" s="2" t="s">
        <v>42</v>
      </c>
      <c r="K928" s="21" t="s">
        <v>43</v>
      </c>
      <c r="L928" s="21" t="s">
        <v>44</v>
      </c>
      <c r="M928" s="24" t="s">
        <v>45</v>
      </c>
      <c r="N928" s="33" t="s">
        <v>46</v>
      </c>
      <c r="O928" s="3" t="s">
        <v>2</v>
      </c>
    </row>
    <row r="929" spans="1:18" ht="14.25" thickBot="1" x14ac:dyDescent="0.2">
      <c r="A929" s="72" t="s">
        <v>527</v>
      </c>
      <c r="B929" s="73">
        <f>B924</f>
        <v>7</v>
      </c>
      <c r="C929" s="73">
        <f t="shared" ref="C929:F929" si="238">C924</f>
        <v>8</v>
      </c>
      <c r="D929" s="73">
        <f t="shared" si="238"/>
        <v>7</v>
      </c>
      <c r="E929" s="73">
        <f t="shared" si="238"/>
        <v>5</v>
      </c>
      <c r="F929" s="73">
        <f t="shared" si="238"/>
        <v>6</v>
      </c>
      <c r="G929" s="76">
        <f t="shared" ref="G929:G956" si="239">SUM(B929:F929)</f>
        <v>33</v>
      </c>
      <c r="H929" s="56"/>
      <c r="I929" s="96" t="s">
        <v>12</v>
      </c>
      <c r="J929" s="95">
        <f>J924</f>
        <v>239</v>
      </c>
      <c r="K929" s="97">
        <f t="shared" ref="K929:N929" si="240">K924</f>
        <v>220</v>
      </c>
      <c r="L929" s="97">
        <f t="shared" si="240"/>
        <v>194</v>
      </c>
      <c r="M929" s="97">
        <f t="shared" si="240"/>
        <v>180</v>
      </c>
      <c r="N929" s="54">
        <f t="shared" si="240"/>
        <v>206</v>
      </c>
      <c r="O929" s="52">
        <f t="shared" ref="O929:O963" si="241">SUM(J929:N929)</f>
        <v>1039</v>
      </c>
    </row>
    <row r="930" spans="1:18" x14ac:dyDescent="0.15">
      <c r="A930" s="15" t="s">
        <v>17</v>
      </c>
      <c r="B930" s="37"/>
      <c r="C930" s="35"/>
      <c r="D930" s="35">
        <v>1</v>
      </c>
      <c r="E930" s="35"/>
      <c r="F930" s="28"/>
      <c r="G930" s="7">
        <f t="shared" si="239"/>
        <v>1</v>
      </c>
      <c r="H930" s="58">
        <v>44019</v>
      </c>
      <c r="I930" s="15" t="s">
        <v>9</v>
      </c>
      <c r="J930" s="37">
        <v>3</v>
      </c>
      <c r="K930" s="35"/>
      <c r="L930" s="35"/>
      <c r="M930" s="35"/>
      <c r="N930" s="28">
        <v>6</v>
      </c>
      <c r="O930" s="7">
        <f t="shared" si="241"/>
        <v>9</v>
      </c>
      <c r="P930" s="57">
        <v>44100</v>
      </c>
    </row>
    <row r="931" spans="1:18" x14ac:dyDescent="0.15">
      <c r="A931" s="16" t="s">
        <v>1338</v>
      </c>
      <c r="B931" s="8">
        <v>1</v>
      </c>
      <c r="C931" s="10"/>
      <c r="D931" s="10"/>
      <c r="E931" s="10"/>
      <c r="F931" s="28"/>
      <c r="G931" s="9">
        <f t="shared" si="239"/>
        <v>1</v>
      </c>
      <c r="H931" s="58">
        <v>44034</v>
      </c>
      <c r="I931" s="15" t="s">
        <v>4</v>
      </c>
      <c r="J931" s="8"/>
      <c r="K931" s="10"/>
      <c r="L931" s="10"/>
      <c r="M931" s="10"/>
      <c r="N931" s="28"/>
      <c r="O931" s="9">
        <f t="shared" si="241"/>
        <v>0</v>
      </c>
    </row>
    <row r="932" spans="1:18" x14ac:dyDescent="0.15">
      <c r="A932" s="15" t="s">
        <v>17</v>
      </c>
      <c r="B932" s="8"/>
      <c r="C932" s="10"/>
      <c r="D932" s="10">
        <v>1</v>
      </c>
      <c r="E932" s="10">
        <v>2</v>
      </c>
      <c r="F932" s="28">
        <v>1</v>
      </c>
      <c r="G932" s="9">
        <f t="shared" si="239"/>
        <v>4</v>
      </c>
      <c r="H932" s="58">
        <v>44041</v>
      </c>
      <c r="I932" s="15" t="s">
        <v>5</v>
      </c>
      <c r="J932" s="8"/>
      <c r="K932" s="10"/>
      <c r="L932" s="10"/>
      <c r="M932" s="10"/>
      <c r="N932" s="28"/>
      <c r="O932" s="9">
        <f t="shared" si="241"/>
        <v>0</v>
      </c>
    </row>
    <row r="933" spans="1:18" x14ac:dyDescent="0.15">
      <c r="A933" s="15" t="s">
        <v>5</v>
      </c>
      <c r="B933" s="8"/>
      <c r="C933" s="10"/>
      <c r="D933" s="10"/>
      <c r="E933" s="10"/>
      <c r="F933" s="28">
        <v>3</v>
      </c>
      <c r="G933" s="9">
        <f t="shared" si="239"/>
        <v>3</v>
      </c>
      <c r="H933" s="58">
        <v>44048</v>
      </c>
      <c r="I933" s="15" t="s">
        <v>6</v>
      </c>
      <c r="J933" s="8"/>
      <c r="K933" s="10"/>
      <c r="L933" s="10"/>
      <c r="M933" s="10"/>
      <c r="N933" s="28"/>
      <c r="O933" s="9">
        <f t="shared" si="241"/>
        <v>0</v>
      </c>
    </row>
    <row r="934" spans="1:18" x14ac:dyDescent="0.15">
      <c r="A934" s="96" t="s">
        <v>1349</v>
      </c>
      <c r="B934" s="91"/>
      <c r="C934" s="92">
        <v>4</v>
      </c>
      <c r="D934" s="92">
        <v>-3</v>
      </c>
      <c r="E934" s="92"/>
      <c r="F934" s="93">
        <v>-1</v>
      </c>
      <c r="G934" s="61">
        <f t="shared" si="239"/>
        <v>0</v>
      </c>
      <c r="H934" s="113">
        <v>44062</v>
      </c>
      <c r="I934" s="15" t="s">
        <v>84</v>
      </c>
      <c r="J934" s="11"/>
      <c r="K934" s="12"/>
      <c r="L934" s="12"/>
      <c r="M934" s="12"/>
      <c r="N934" s="31"/>
      <c r="O934" s="7">
        <f t="shared" si="241"/>
        <v>0</v>
      </c>
    </row>
    <row r="935" spans="1:18" x14ac:dyDescent="0.15">
      <c r="A935" s="15" t="s">
        <v>84</v>
      </c>
      <c r="B935" s="8"/>
      <c r="C935" s="10"/>
      <c r="D935" s="10"/>
      <c r="E935" s="10">
        <v>3</v>
      </c>
      <c r="F935" s="30"/>
      <c r="G935" s="7">
        <f t="shared" si="239"/>
        <v>3</v>
      </c>
      <c r="H935" s="58">
        <v>44069</v>
      </c>
      <c r="I935" s="15" t="s">
        <v>85</v>
      </c>
      <c r="J935" s="8"/>
      <c r="K935" s="10"/>
      <c r="L935" s="10"/>
      <c r="M935" s="10"/>
      <c r="N935" s="30"/>
      <c r="O935" s="7">
        <f t="shared" si="241"/>
        <v>0</v>
      </c>
    </row>
    <row r="936" spans="1:18" x14ac:dyDescent="0.15">
      <c r="A936" s="15" t="s">
        <v>17</v>
      </c>
      <c r="B936" s="8"/>
      <c r="C936" s="10"/>
      <c r="D936" s="10"/>
      <c r="E936" s="10"/>
      <c r="F936" s="30">
        <v>1</v>
      </c>
      <c r="G936" s="7">
        <f t="shared" si="239"/>
        <v>1</v>
      </c>
      <c r="H936" s="58">
        <v>44070</v>
      </c>
      <c r="I936" s="16" t="s">
        <v>88</v>
      </c>
      <c r="J936" s="8"/>
      <c r="K936" s="10"/>
      <c r="L936" s="10"/>
      <c r="M936" s="10"/>
      <c r="N936" s="30"/>
      <c r="O936" s="7">
        <f t="shared" si="241"/>
        <v>0</v>
      </c>
    </row>
    <row r="937" spans="1:18" ht="14.25" thickBot="1" x14ac:dyDescent="0.2">
      <c r="A937" s="15" t="s">
        <v>322</v>
      </c>
      <c r="B937" s="11">
        <v>3</v>
      </c>
      <c r="C937" s="100"/>
      <c r="D937" s="100"/>
      <c r="E937" s="100"/>
      <c r="F937" s="101">
        <v>2</v>
      </c>
      <c r="G937" s="102">
        <f t="shared" si="239"/>
        <v>5</v>
      </c>
      <c r="H937" s="58">
        <v>44083</v>
      </c>
      <c r="I937" s="15" t="s">
        <v>87</v>
      </c>
      <c r="J937" s="11"/>
      <c r="K937" s="100"/>
      <c r="L937" s="100"/>
      <c r="M937" s="100"/>
      <c r="N937" s="101"/>
      <c r="O937" s="102">
        <f t="shared" si="241"/>
        <v>0</v>
      </c>
    </row>
    <row r="938" spans="1:18" ht="14.25" thickBot="1" x14ac:dyDescent="0.2">
      <c r="A938" s="72" t="s">
        <v>7</v>
      </c>
      <c r="B938" s="73">
        <f>SUM(B929:B937)</f>
        <v>11</v>
      </c>
      <c r="C938" s="74">
        <f t="shared" ref="C938:F938" si="242">SUM(C929:C937)</f>
        <v>12</v>
      </c>
      <c r="D938" s="74">
        <f t="shared" si="242"/>
        <v>6</v>
      </c>
      <c r="E938" s="74">
        <f t="shared" si="242"/>
        <v>10</v>
      </c>
      <c r="F938" s="105">
        <f t="shared" si="242"/>
        <v>12</v>
      </c>
      <c r="G938" s="76">
        <f t="shared" si="239"/>
        <v>51</v>
      </c>
      <c r="H938" s="56"/>
      <c r="I938" s="72" t="s">
        <v>7</v>
      </c>
      <c r="J938" s="73">
        <f>SUM(J929:J937)</f>
        <v>242</v>
      </c>
      <c r="K938" s="74">
        <f t="shared" ref="K938:N938" si="243">SUM(K929:K937)</f>
        <v>220</v>
      </c>
      <c r="L938" s="74">
        <f t="shared" si="243"/>
        <v>194</v>
      </c>
      <c r="M938" s="74">
        <f t="shared" si="243"/>
        <v>180</v>
      </c>
      <c r="N938" s="105">
        <f t="shared" si="243"/>
        <v>212</v>
      </c>
      <c r="O938" s="76">
        <f t="shared" si="241"/>
        <v>1048</v>
      </c>
    </row>
    <row r="939" spans="1:18" x14ac:dyDescent="0.15">
      <c r="A939" s="16" t="s">
        <v>25</v>
      </c>
      <c r="B939" s="37"/>
      <c r="C939" s="35">
        <v>1</v>
      </c>
      <c r="D939" s="35"/>
      <c r="E939" s="35"/>
      <c r="F939" s="28"/>
      <c r="G939" s="18">
        <f t="shared" si="239"/>
        <v>1</v>
      </c>
      <c r="H939" s="58">
        <v>44016</v>
      </c>
      <c r="I939" s="16" t="s">
        <v>25</v>
      </c>
      <c r="J939" s="8">
        <v>1</v>
      </c>
      <c r="K939" s="10"/>
      <c r="L939" s="10"/>
      <c r="M939" s="10"/>
      <c r="N939" s="30">
        <v>1</v>
      </c>
      <c r="O939" s="7">
        <f t="shared" si="241"/>
        <v>2</v>
      </c>
      <c r="P939" s="58">
        <v>44015</v>
      </c>
    </row>
    <row r="940" spans="1:18" x14ac:dyDescent="0.15">
      <c r="A940" s="16" t="s">
        <v>1326</v>
      </c>
      <c r="B940" s="8"/>
      <c r="C940" s="10">
        <v>1</v>
      </c>
      <c r="D940" s="10"/>
      <c r="E940" s="10">
        <v>1</v>
      </c>
      <c r="F940" s="30"/>
      <c r="G940" s="7">
        <f t="shared" si="239"/>
        <v>2</v>
      </c>
      <c r="H940" s="58">
        <v>44020</v>
      </c>
      <c r="I940" s="16" t="s">
        <v>25</v>
      </c>
      <c r="J940" s="8"/>
      <c r="K940" s="10"/>
      <c r="L940" s="10"/>
      <c r="M940" s="10">
        <v>1</v>
      </c>
      <c r="N940" s="30"/>
      <c r="O940" s="7">
        <f t="shared" si="241"/>
        <v>1</v>
      </c>
      <c r="P940" s="58">
        <v>44022</v>
      </c>
      <c r="Q940" s="56"/>
    </row>
    <row r="941" spans="1:18" x14ac:dyDescent="0.15">
      <c r="A941" s="16" t="s">
        <v>1330</v>
      </c>
      <c r="B941" s="8">
        <v>1</v>
      </c>
      <c r="C941" s="10"/>
      <c r="D941" s="10"/>
      <c r="E941" s="10"/>
      <c r="F941" s="30"/>
      <c r="G941" s="7">
        <f t="shared" si="239"/>
        <v>1</v>
      </c>
      <c r="H941" s="58">
        <v>44028</v>
      </c>
      <c r="I941" s="14" t="s">
        <v>22</v>
      </c>
      <c r="J941" s="8">
        <v>10</v>
      </c>
      <c r="K941" s="10"/>
      <c r="L941" s="10"/>
      <c r="M941" s="10"/>
      <c r="N941" s="30">
        <v>10</v>
      </c>
      <c r="O941" s="7">
        <f t="shared" si="241"/>
        <v>20</v>
      </c>
      <c r="P941" s="58">
        <v>44027</v>
      </c>
      <c r="Q941" s="56"/>
    </row>
    <row r="942" spans="1:18" x14ac:dyDescent="0.15">
      <c r="A942" s="16" t="s">
        <v>29</v>
      </c>
      <c r="B942" s="8"/>
      <c r="C942" s="10"/>
      <c r="D942" s="10">
        <v>1</v>
      </c>
      <c r="E942" s="10"/>
      <c r="F942" s="30"/>
      <c r="G942" s="7">
        <f t="shared" si="239"/>
        <v>1</v>
      </c>
      <c r="H942" s="58">
        <v>44032</v>
      </c>
      <c r="I942" s="16" t="s">
        <v>25</v>
      </c>
      <c r="J942" s="8"/>
      <c r="K942" s="10">
        <v>1</v>
      </c>
      <c r="L942" s="10"/>
      <c r="M942" s="10">
        <v>1</v>
      </c>
      <c r="N942" s="30"/>
      <c r="O942" s="7">
        <f t="shared" si="241"/>
        <v>2</v>
      </c>
      <c r="P942" s="58">
        <v>44026</v>
      </c>
      <c r="Q942" s="56"/>
    </row>
    <row r="943" spans="1:18" x14ac:dyDescent="0.15">
      <c r="A943" s="16" t="s">
        <v>1340</v>
      </c>
      <c r="B943" s="8"/>
      <c r="C943" s="10"/>
      <c r="D943" s="10"/>
      <c r="E943" s="10"/>
      <c r="F943" s="30">
        <v>2</v>
      </c>
      <c r="G943" s="7">
        <f t="shared" si="239"/>
        <v>2</v>
      </c>
      <c r="H943" s="58">
        <v>44034</v>
      </c>
      <c r="I943" s="16" t="s">
        <v>25</v>
      </c>
      <c r="J943" s="8"/>
      <c r="K943" s="10">
        <v>1</v>
      </c>
      <c r="L943" s="10">
        <v>2</v>
      </c>
      <c r="M943" s="10">
        <v>1</v>
      </c>
      <c r="N943" s="30"/>
      <c r="O943" s="7">
        <f t="shared" si="241"/>
        <v>4</v>
      </c>
      <c r="P943" s="58">
        <v>44027</v>
      </c>
    </row>
    <row r="944" spans="1:18" x14ac:dyDescent="0.15">
      <c r="A944" s="16" t="s">
        <v>10</v>
      </c>
      <c r="B944" s="8"/>
      <c r="C944" s="10"/>
      <c r="D944" s="10"/>
      <c r="E944" s="10"/>
      <c r="F944" s="30">
        <v>1</v>
      </c>
      <c r="G944" s="7">
        <f t="shared" si="239"/>
        <v>1</v>
      </c>
      <c r="H944" s="58">
        <v>44041</v>
      </c>
      <c r="I944" s="16" t="s">
        <v>25</v>
      </c>
      <c r="J944" s="8"/>
      <c r="K944" s="10"/>
      <c r="L944" s="10">
        <v>1</v>
      </c>
      <c r="M944" s="10"/>
      <c r="N944" s="30"/>
      <c r="O944" s="7">
        <f t="shared" si="241"/>
        <v>1</v>
      </c>
      <c r="P944" s="58">
        <v>44028</v>
      </c>
      <c r="Q944" s="56"/>
      <c r="R944" s="56"/>
    </row>
    <row r="945" spans="1:19" x14ac:dyDescent="0.15">
      <c r="A945" s="16" t="s">
        <v>117</v>
      </c>
      <c r="B945" s="8"/>
      <c r="C945" s="10">
        <v>1</v>
      </c>
      <c r="D945" s="10"/>
      <c r="E945" s="10"/>
      <c r="F945" s="30"/>
      <c r="G945" s="7">
        <f t="shared" si="239"/>
        <v>1</v>
      </c>
      <c r="H945" s="58">
        <v>44042</v>
      </c>
      <c r="I945" s="14" t="s">
        <v>22</v>
      </c>
      <c r="J945" s="8"/>
      <c r="K945" s="10"/>
      <c r="L945" s="10">
        <v>10</v>
      </c>
      <c r="M945" s="10"/>
      <c r="N945" s="30"/>
      <c r="O945" s="7">
        <f t="shared" si="241"/>
        <v>10</v>
      </c>
      <c r="P945" s="58">
        <v>44032</v>
      </c>
    </row>
    <row r="946" spans="1:19" x14ac:dyDescent="0.15">
      <c r="A946" s="16" t="s">
        <v>10</v>
      </c>
      <c r="B946" s="8"/>
      <c r="C946" s="10"/>
      <c r="D946" s="10"/>
      <c r="E946" s="10"/>
      <c r="F946" s="30">
        <v>1</v>
      </c>
      <c r="G946" s="7">
        <f t="shared" si="239"/>
        <v>1</v>
      </c>
      <c r="H946" s="58">
        <v>44048</v>
      </c>
      <c r="I946" s="16" t="s">
        <v>25</v>
      </c>
      <c r="J946" s="8"/>
      <c r="K946" s="10"/>
      <c r="L946" s="10">
        <v>1</v>
      </c>
      <c r="M946" s="10"/>
      <c r="N946" s="30"/>
      <c r="O946" s="7">
        <f t="shared" si="241"/>
        <v>1</v>
      </c>
      <c r="P946" s="58">
        <v>44029</v>
      </c>
    </row>
    <row r="947" spans="1:19" x14ac:dyDescent="0.15">
      <c r="A947" s="16" t="s">
        <v>713</v>
      </c>
      <c r="B947" s="8"/>
      <c r="C947" s="10"/>
      <c r="D947" s="10"/>
      <c r="E947" s="10">
        <v>1</v>
      </c>
      <c r="F947" s="30"/>
      <c r="G947" s="7">
        <f t="shared" si="239"/>
        <v>1</v>
      </c>
      <c r="H947" s="58">
        <v>44049</v>
      </c>
      <c r="I947" s="16" t="s">
        <v>25</v>
      </c>
      <c r="J947" s="11"/>
      <c r="K947" s="12"/>
      <c r="L947" s="12">
        <v>1</v>
      </c>
      <c r="M947" s="12"/>
      <c r="N947" s="31"/>
      <c r="O947" s="7">
        <f t="shared" si="241"/>
        <v>1</v>
      </c>
      <c r="P947" s="58">
        <v>44033</v>
      </c>
      <c r="Q947" s="56"/>
    </row>
    <row r="948" spans="1:19" x14ac:dyDescent="0.15">
      <c r="A948" s="16" t="s">
        <v>10</v>
      </c>
      <c r="B948" s="8"/>
      <c r="C948" s="10"/>
      <c r="D948" s="10">
        <v>1</v>
      </c>
      <c r="E948" s="10"/>
      <c r="F948" s="30"/>
      <c r="G948" s="7">
        <f t="shared" si="239"/>
        <v>1</v>
      </c>
      <c r="H948" s="58">
        <v>44055</v>
      </c>
      <c r="I948" s="16" t="s">
        <v>25</v>
      </c>
      <c r="J948" s="8"/>
      <c r="K948" s="10"/>
      <c r="L948" s="10"/>
      <c r="M948" s="10">
        <v>1</v>
      </c>
      <c r="N948" s="30"/>
      <c r="O948" s="7">
        <f t="shared" si="241"/>
        <v>1</v>
      </c>
      <c r="P948" s="58">
        <v>44042</v>
      </c>
    </row>
    <row r="949" spans="1:19" x14ac:dyDescent="0.15">
      <c r="A949" s="16" t="s">
        <v>182</v>
      </c>
      <c r="B949" s="8"/>
      <c r="C949" s="10"/>
      <c r="D949" s="10"/>
      <c r="E949" s="10">
        <v>1</v>
      </c>
      <c r="F949" s="30"/>
      <c r="G949" s="7">
        <f t="shared" si="239"/>
        <v>1</v>
      </c>
      <c r="H949" s="58">
        <v>44062</v>
      </c>
      <c r="I949" s="16" t="s">
        <v>25</v>
      </c>
      <c r="J949" s="8"/>
      <c r="K949" s="10"/>
      <c r="L949" s="10"/>
      <c r="M949" s="10"/>
      <c r="N949" s="30">
        <v>1</v>
      </c>
      <c r="O949" s="7">
        <f t="shared" si="241"/>
        <v>1</v>
      </c>
      <c r="P949" s="58">
        <v>44043</v>
      </c>
    </row>
    <row r="950" spans="1:19" x14ac:dyDescent="0.15">
      <c r="A950" s="16" t="s">
        <v>713</v>
      </c>
      <c r="B950" s="8"/>
      <c r="C950" s="10"/>
      <c r="D950" s="10"/>
      <c r="E950" s="10">
        <v>1</v>
      </c>
      <c r="F950" s="30"/>
      <c r="G950" s="7">
        <f t="shared" si="239"/>
        <v>1</v>
      </c>
      <c r="H950" s="58">
        <v>44064</v>
      </c>
      <c r="I950" s="16" t="s">
        <v>25</v>
      </c>
      <c r="J950" s="8"/>
      <c r="K950" s="10">
        <v>1</v>
      </c>
      <c r="L950" s="10"/>
      <c r="M950" s="10"/>
      <c r="N950" s="30"/>
      <c r="O950" s="7">
        <f t="shared" si="241"/>
        <v>1</v>
      </c>
      <c r="P950" s="58">
        <v>44044</v>
      </c>
      <c r="Q950" s="56"/>
    </row>
    <row r="951" spans="1:19" x14ac:dyDescent="0.15">
      <c r="A951" s="16" t="s">
        <v>182</v>
      </c>
      <c r="B951" s="8"/>
      <c r="C951" s="10">
        <v>1</v>
      </c>
      <c r="D951" s="10"/>
      <c r="E951" s="10"/>
      <c r="F951" s="30"/>
      <c r="G951" s="7">
        <f t="shared" si="239"/>
        <v>1</v>
      </c>
      <c r="H951" s="58">
        <v>44069</v>
      </c>
      <c r="I951" s="16" t="s">
        <v>1345</v>
      </c>
      <c r="J951" s="8"/>
      <c r="K951" s="10"/>
      <c r="L951" s="10"/>
      <c r="M951" s="10"/>
      <c r="N951" s="30">
        <v>3</v>
      </c>
      <c r="O951" s="7">
        <f t="shared" si="241"/>
        <v>3</v>
      </c>
      <c r="P951" s="58">
        <v>44048</v>
      </c>
      <c r="Q951" s="56"/>
    </row>
    <row r="952" spans="1:19" x14ac:dyDescent="0.15">
      <c r="A952" s="16" t="s">
        <v>713</v>
      </c>
      <c r="B952" s="8"/>
      <c r="C952" s="10"/>
      <c r="D952" s="10">
        <v>1</v>
      </c>
      <c r="E952" s="10"/>
      <c r="F952" s="30"/>
      <c r="G952" s="7">
        <f t="shared" si="239"/>
        <v>1</v>
      </c>
      <c r="H952" s="58">
        <v>44078</v>
      </c>
      <c r="I952" s="14" t="s">
        <v>22</v>
      </c>
      <c r="J952" s="8"/>
      <c r="K952" s="10"/>
      <c r="L952" s="10"/>
      <c r="M952" s="10"/>
      <c r="N952" s="30">
        <v>10</v>
      </c>
      <c r="O952" s="7">
        <f t="shared" si="241"/>
        <v>10</v>
      </c>
      <c r="P952" s="58">
        <v>44064</v>
      </c>
      <c r="Q952" s="56"/>
    </row>
    <row r="953" spans="1:19" x14ac:dyDescent="0.15">
      <c r="A953" s="16" t="s">
        <v>17</v>
      </c>
      <c r="B953" s="8"/>
      <c r="C953" s="10"/>
      <c r="D953" s="10"/>
      <c r="E953" s="10"/>
      <c r="F953" s="30">
        <v>-1</v>
      </c>
      <c r="G953" s="7">
        <f t="shared" si="239"/>
        <v>-1</v>
      </c>
      <c r="H953" s="58">
        <v>44084</v>
      </c>
      <c r="I953" s="16" t="s">
        <v>25</v>
      </c>
      <c r="J953" s="8"/>
      <c r="K953" s="10"/>
      <c r="L953" s="10"/>
      <c r="M953" s="10">
        <v>1</v>
      </c>
      <c r="N953" s="30"/>
      <c r="O953" s="7">
        <f t="shared" si="241"/>
        <v>1</v>
      </c>
      <c r="P953" s="58">
        <v>44062</v>
      </c>
      <c r="Q953" s="56"/>
    </row>
    <row r="954" spans="1:19" x14ac:dyDescent="0.15">
      <c r="A954" s="16" t="s">
        <v>1351</v>
      </c>
      <c r="B954" s="8">
        <v>-1</v>
      </c>
      <c r="C954" s="10">
        <v>-1</v>
      </c>
      <c r="D954" s="10">
        <v>-6</v>
      </c>
      <c r="E954" s="10"/>
      <c r="F954" s="30">
        <v>-3</v>
      </c>
      <c r="G954" s="7">
        <f t="shared" si="239"/>
        <v>-11</v>
      </c>
      <c r="H954" s="58">
        <v>44084</v>
      </c>
      <c r="I954" s="16" t="s">
        <v>24</v>
      </c>
      <c r="J954" s="8"/>
      <c r="K954" s="10"/>
      <c r="L954" s="10"/>
      <c r="M954" s="10">
        <v>3</v>
      </c>
      <c r="N954" s="30"/>
      <c r="O954" s="7">
        <f t="shared" si="241"/>
        <v>3</v>
      </c>
      <c r="P954" s="58">
        <v>44069</v>
      </c>
      <c r="Q954" s="56"/>
      <c r="R954" s="56"/>
      <c r="S954" s="56"/>
    </row>
    <row r="955" spans="1:19" x14ac:dyDescent="0.15">
      <c r="A955" s="16" t="s">
        <v>182</v>
      </c>
      <c r="B955" s="8"/>
      <c r="C955" s="10">
        <v>1</v>
      </c>
      <c r="D955" s="10"/>
      <c r="E955" s="10"/>
      <c r="F955" s="30"/>
      <c r="G955" s="7">
        <f t="shared" si="239"/>
        <v>1</v>
      </c>
      <c r="H955" s="58">
        <v>44088</v>
      </c>
      <c r="I955" s="16" t="s">
        <v>8</v>
      </c>
      <c r="J955" s="11"/>
      <c r="K955" s="12">
        <v>10</v>
      </c>
      <c r="L955" s="12"/>
      <c r="M955" s="12"/>
      <c r="N955" s="31"/>
      <c r="O955" s="7">
        <f t="shared" si="241"/>
        <v>10</v>
      </c>
      <c r="P955" s="58">
        <v>44088</v>
      </c>
    </row>
    <row r="956" spans="1:19" x14ac:dyDescent="0.15">
      <c r="A956" s="16" t="s">
        <v>713</v>
      </c>
      <c r="B956" s="8">
        <v>1</v>
      </c>
      <c r="C956" s="10"/>
      <c r="D956" s="10"/>
      <c r="E956" s="10"/>
      <c r="F956" s="30"/>
      <c r="G956" s="7">
        <f t="shared" si="239"/>
        <v>1</v>
      </c>
      <c r="H956" s="58">
        <v>44090</v>
      </c>
      <c r="I956" s="16"/>
      <c r="J956" s="11"/>
      <c r="K956" s="12"/>
      <c r="L956" s="12"/>
      <c r="M956" s="12"/>
      <c r="N956" s="31"/>
      <c r="O956" s="7">
        <f t="shared" si="241"/>
        <v>0</v>
      </c>
    </row>
    <row r="957" spans="1:19" x14ac:dyDescent="0.15">
      <c r="A957" s="16" t="s">
        <v>1353</v>
      </c>
      <c r="B957" s="8"/>
      <c r="C957" s="10"/>
      <c r="D957" s="10">
        <v>1</v>
      </c>
      <c r="E957" s="10"/>
      <c r="F957" s="30"/>
      <c r="G957" s="7">
        <f>SUM(B957:F957)</f>
        <v>1</v>
      </c>
      <c r="H957" s="58">
        <v>44098</v>
      </c>
      <c r="I957" s="16"/>
      <c r="J957" s="11"/>
      <c r="K957" s="12"/>
      <c r="L957" s="12"/>
      <c r="M957" s="12"/>
      <c r="N957" s="31"/>
      <c r="O957" s="7">
        <f t="shared" si="241"/>
        <v>0</v>
      </c>
      <c r="P957" s="56"/>
    </row>
    <row r="958" spans="1:19" x14ac:dyDescent="0.15">
      <c r="A958" s="16" t="s">
        <v>713</v>
      </c>
      <c r="B958" s="8"/>
      <c r="C958" s="10"/>
      <c r="D958" s="10">
        <v>2</v>
      </c>
      <c r="E958" s="10"/>
      <c r="F958" s="30"/>
      <c r="G958" s="7">
        <f>SUM(B958:F958)</f>
        <v>2</v>
      </c>
      <c r="H958" s="58">
        <v>44097</v>
      </c>
      <c r="I958" s="64"/>
      <c r="J958" s="11"/>
      <c r="K958" s="12"/>
      <c r="L958" s="12"/>
      <c r="M958" s="12"/>
      <c r="N958" s="31"/>
      <c r="O958" s="7">
        <f t="shared" si="241"/>
        <v>0</v>
      </c>
      <c r="P958" s="56"/>
    </row>
    <row r="959" spans="1:19" x14ac:dyDescent="0.15">
      <c r="A959" s="16" t="s">
        <v>1357</v>
      </c>
      <c r="B959" s="8">
        <v>3</v>
      </c>
      <c r="C959" s="10"/>
      <c r="D959" s="10"/>
      <c r="E959" s="10"/>
      <c r="F959" s="30">
        <v>6</v>
      </c>
      <c r="G959" s="7">
        <f t="shared" ref="G959:G964" si="244">SUM(B959:F959)</f>
        <v>9</v>
      </c>
      <c r="H959" s="58">
        <v>44100</v>
      </c>
      <c r="I959" s="16"/>
      <c r="J959" s="8"/>
      <c r="K959" s="10"/>
      <c r="L959" s="10"/>
      <c r="M959" s="10"/>
      <c r="N959" s="30"/>
      <c r="O959" s="7">
        <f t="shared" si="241"/>
        <v>0</v>
      </c>
      <c r="P959" s="56"/>
    </row>
    <row r="960" spans="1:19" x14ac:dyDescent="0.15">
      <c r="A960" s="16" t="s">
        <v>1359</v>
      </c>
      <c r="B960" s="11"/>
      <c r="C960" s="12"/>
      <c r="D960" s="12"/>
      <c r="E960" s="12">
        <v>1</v>
      </c>
      <c r="F960" s="31"/>
      <c r="G960" s="7">
        <f t="shared" si="244"/>
        <v>1</v>
      </c>
      <c r="H960" s="58">
        <v>44103</v>
      </c>
      <c r="I960" s="16"/>
      <c r="J960" s="11"/>
      <c r="K960" s="12"/>
      <c r="L960" s="12"/>
      <c r="M960" s="12"/>
      <c r="N960" s="31"/>
      <c r="O960" s="7">
        <f t="shared" si="241"/>
        <v>0</v>
      </c>
      <c r="P960" s="58"/>
    </row>
    <row r="961" spans="1:17" x14ac:dyDescent="0.15">
      <c r="A961" s="16" t="s">
        <v>1360</v>
      </c>
      <c r="B961" s="8"/>
      <c r="C961" s="10"/>
      <c r="D961" s="10"/>
      <c r="E961" s="10">
        <v>1</v>
      </c>
      <c r="F961" s="30">
        <v>1</v>
      </c>
      <c r="G961" s="7">
        <f t="shared" si="244"/>
        <v>2</v>
      </c>
      <c r="H961" s="58">
        <v>44102</v>
      </c>
      <c r="I961" s="16"/>
      <c r="J961" s="11"/>
      <c r="K961" s="12"/>
      <c r="L961" s="12"/>
      <c r="M961" s="12"/>
      <c r="N961" s="31"/>
      <c r="O961" s="7">
        <f t="shared" si="241"/>
        <v>0</v>
      </c>
      <c r="P961" s="56"/>
      <c r="Q961" s="56"/>
    </row>
    <row r="962" spans="1:17" x14ac:dyDescent="0.15">
      <c r="A962" s="15" t="s">
        <v>1361</v>
      </c>
      <c r="B962" s="37"/>
      <c r="C962" s="35"/>
      <c r="D962" s="35">
        <v>-2</v>
      </c>
      <c r="E962" s="35"/>
      <c r="F962" s="28"/>
      <c r="G962" s="7">
        <f t="shared" si="244"/>
        <v>-2</v>
      </c>
      <c r="H962" s="58">
        <v>44102</v>
      </c>
      <c r="I962" s="16"/>
      <c r="J962" s="11"/>
      <c r="K962" s="12"/>
      <c r="L962" s="12"/>
      <c r="M962" s="12"/>
      <c r="N962" s="31"/>
      <c r="O962" s="7">
        <f t="shared" si="241"/>
        <v>0</v>
      </c>
      <c r="P962" s="56"/>
      <c r="Q962" s="56"/>
    </row>
    <row r="963" spans="1:17" x14ac:dyDescent="0.15">
      <c r="A963" s="16" t="s">
        <v>182</v>
      </c>
      <c r="B963" s="8"/>
      <c r="C963" s="10">
        <v>1</v>
      </c>
      <c r="D963" s="10"/>
      <c r="E963" s="10"/>
      <c r="F963" s="30"/>
      <c r="G963" s="9">
        <f t="shared" si="244"/>
        <v>1</v>
      </c>
      <c r="H963" s="58">
        <v>44104</v>
      </c>
      <c r="I963" s="16"/>
      <c r="J963" s="11"/>
      <c r="K963" s="12"/>
      <c r="L963" s="12"/>
      <c r="M963" s="12"/>
      <c r="N963" s="31"/>
      <c r="O963" s="7">
        <f t="shared" si="241"/>
        <v>0</v>
      </c>
      <c r="P963" s="56"/>
      <c r="Q963" s="56"/>
    </row>
    <row r="964" spans="1:17" ht="14.25" thickBot="1" x14ac:dyDescent="0.2">
      <c r="A964" s="16" t="s">
        <v>182</v>
      </c>
      <c r="B964" s="37">
        <v>1</v>
      </c>
      <c r="C964" s="35"/>
      <c r="D964" s="35"/>
      <c r="E964" s="35"/>
      <c r="F964" s="28"/>
      <c r="G964" s="7">
        <f t="shared" si="244"/>
        <v>1</v>
      </c>
      <c r="H964" s="58">
        <v>44110</v>
      </c>
      <c r="I964" s="16" t="s">
        <v>1295</v>
      </c>
      <c r="J964" s="11"/>
      <c r="K964" s="12"/>
      <c r="L964" s="12"/>
      <c r="M964" s="12"/>
      <c r="N964" s="31"/>
      <c r="O964" s="7">
        <f t="shared" ref="O964" si="245">SUM(J964:N964)</f>
        <v>0</v>
      </c>
      <c r="P964" s="56" t="s">
        <v>1293</v>
      </c>
      <c r="Q964" s="56"/>
    </row>
    <row r="965" spans="1:17" ht="14.25" thickBot="1" x14ac:dyDescent="0.2">
      <c r="A965" s="3" t="s">
        <v>11</v>
      </c>
      <c r="B965" s="23">
        <f>SUM(B939:B964)</f>
        <v>5</v>
      </c>
      <c r="C965" s="4">
        <f>SUM(C939:C964)</f>
        <v>5</v>
      </c>
      <c r="D965" s="4">
        <f>SUM(D939:D964)</f>
        <v>-2</v>
      </c>
      <c r="E965" s="6">
        <f>SUM(E939:E964)</f>
        <v>6</v>
      </c>
      <c r="F965" s="32">
        <f>SUM(F939:F964)</f>
        <v>7</v>
      </c>
      <c r="G965" s="5">
        <f>SUM(B965:F965)</f>
        <v>21</v>
      </c>
      <c r="H965" s="56"/>
      <c r="I965" s="3" t="s">
        <v>11</v>
      </c>
      <c r="J965" s="23">
        <f>SUM(J939:J964)</f>
        <v>11</v>
      </c>
      <c r="K965" s="4">
        <f>SUM(K939:K964)</f>
        <v>13</v>
      </c>
      <c r="L965" s="4">
        <f>SUM(L939:L964)</f>
        <v>15</v>
      </c>
      <c r="M965" s="6">
        <f>SUM(M939:M964)</f>
        <v>8</v>
      </c>
      <c r="N965" s="32">
        <f>SUM(N939:N964)</f>
        <v>25</v>
      </c>
      <c r="O965" s="5">
        <f>SUM(J965:N965)</f>
        <v>72</v>
      </c>
    </row>
    <row r="966" spans="1:17" ht="14.25" thickBot="1" x14ac:dyDescent="0.2">
      <c r="A966" s="25" t="s">
        <v>12</v>
      </c>
      <c r="B966" s="63">
        <f>B938-B965</f>
        <v>6</v>
      </c>
      <c r="C966" s="26">
        <f t="shared" ref="C966:G966" si="246">C938-C965</f>
        <v>7</v>
      </c>
      <c r="D966" s="71">
        <f t="shared" si="246"/>
        <v>8</v>
      </c>
      <c r="E966" s="26">
        <f t="shared" si="246"/>
        <v>4</v>
      </c>
      <c r="F966" s="70">
        <f t="shared" si="246"/>
        <v>5</v>
      </c>
      <c r="G966" s="27">
        <f t="shared" si="246"/>
        <v>30</v>
      </c>
      <c r="H966" s="56"/>
      <c r="I966" s="25" t="s">
        <v>12</v>
      </c>
      <c r="J966" s="63">
        <f>J938-J965</f>
        <v>231</v>
      </c>
      <c r="K966" s="26">
        <f t="shared" ref="K966:M966" si="247">K938-K965</f>
        <v>207</v>
      </c>
      <c r="L966" s="71">
        <f t="shared" si="247"/>
        <v>179</v>
      </c>
      <c r="M966" s="26">
        <f t="shared" si="247"/>
        <v>172</v>
      </c>
      <c r="N966" s="70">
        <f>N938-N965</f>
        <v>187</v>
      </c>
      <c r="O966" s="27">
        <f t="shared" ref="O966" si="248">O938-O965</f>
        <v>976</v>
      </c>
    </row>
    <row r="967" spans="1:17" ht="21" x14ac:dyDescent="0.2">
      <c r="A967" s="83" t="s">
        <v>415</v>
      </c>
      <c r="B967" s="77"/>
      <c r="C967" s="77"/>
      <c r="D967" s="77"/>
      <c r="E967" s="77"/>
      <c r="F967" s="77"/>
      <c r="G967" s="77"/>
      <c r="H967" s="56"/>
      <c r="I967" s="83" t="s">
        <v>415</v>
      </c>
      <c r="J967" s="77"/>
      <c r="K967" s="77"/>
      <c r="L967" s="77"/>
      <c r="M967" s="77"/>
      <c r="N967" s="77"/>
      <c r="O967" s="77"/>
    </row>
    <row r="968" spans="1:17" ht="21.75" thickBot="1" x14ac:dyDescent="0.25">
      <c r="A968" s="83" t="s">
        <v>47</v>
      </c>
      <c r="B968" s="77"/>
      <c r="C968" s="77"/>
      <c r="D968" s="77"/>
      <c r="E968" s="84"/>
      <c r="F968" s="78" t="s">
        <v>53</v>
      </c>
      <c r="G968" s="77"/>
      <c r="H968" s="56"/>
      <c r="I968" s="83" t="s">
        <v>47</v>
      </c>
      <c r="J968" s="77"/>
      <c r="K968" s="77"/>
      <c r="L968" s="77"/>
      <c r="M968" s="84"/>
      <c r="N968" s="78" t="s">
        <v>54</v>
      </c>
      <c r="O968" s="77"/>
    </row>
    <row r="969" spans="1:17" ht="14.25" thickBot="1" x14ac:dyDescent="0.2">
      <c r="A969" s="13" t="s">
        <v>0</v>
      </c>
      <c r="B969" s="228" t="s">
        <v>49</v>
      </c>
      <c r="C969" s="229"/>
      <c r="D969" s="229"/>
      <c r="E969" s="229"/>
      <c r="F969" s="230"/>
      <c r="G969" s="231"/>
      <c r="H969" s="56"/>
      <c r="I969" s="13" t="s">
        <v>0</v>
      </c>
      <c r="J969" s="228" t="s">
        <v>49</v>
      </c>
      <c r="K969" s="229"/>
      <c r="L969" s="229"/>
      <c r="M969" s="229"/>
      <c r="N969" s="230"/>
      <c r="O969" s="231"/>
    </row>
    <row r="970" spans="1:17" ht="14.25" thickBot="1" x14ac:dyDescent="0.2">
      <c r="A970" s="3" t="s">
        <v>1</v>
      </c>
      <c r="B970" s="2" t="s">
        <v>42</v>
      </c>
      <c r="C970" s="21" t="s">
        <v>43</v>
      </c>
      <c r="D970" s="21" t="s">
        <v>44</v>
      </c>
      <c r="E970" s="24" t="s">
        <v>45</v>
      </c>
      <c r="F970" s="33" t="s">
        <v>46</v>
      </c>
      <c r="G970" s="34" t="s">
        <v>2</v>
      </c>
      <c r="H970" s="56"/>
      <c r="I970" s="3" t="s">
        <v>1</v>
      </c>
      <c r="J970" s="2" t="s">
        <v>42</v>
      </c>
      <c r="K970" s="21" t="s">
        <v>43</v>
      </c>
      <c r="L970" s="21" t="s">
        <v>44</v>
      </c>
      <c r="M970" s="24" t="s">
        <v>45</v>
      </c>
      <c r="N970" s="33" t="s">
        <v>46</v>
      </c>
      <c r="O970" s="3" t="s">
        <v>2</v>
      </c>
    </row>
    <row r="971" spans="1:17" ht="14.25" thickBot="1" x14ac:dyDescent="0.2">
      <c r="A971" s="72" t="s">
        <v>527</v>
      </c>
      <c r="B971" s="73">
        <f>B966</f>
        <v>6</v>
      </c>
      <c r="C971" s="73">
        <f t="shared" ref="C971:F971" si="249">C966</f>
        <v>7</v>
      </c>
      <c r="D971" s="73">
        <f t="shared" si="249"/>
        <v>8</v>
      </c>
      <c r="E971" s="73">
        <f t="shared" si="249"/>
        <v>4</v>
      </c>
      <c r="F971" s="73">
        <f t="shared" si="249"/>
        <v>5</v>
      </c>
      <c r="G971" s="76">
        <f t="shared" ref="G971:G998" si="250">SUM(B971:F971)</f>
        <v>30</v>
      </c>
      <c r="H971" s="56"/>
      <c r="I971" s="96" t="s">
        <v>12</v>
      </c>
      <c r="J971" s="95">
        <f>J966</f>
        <v>231</v>
      </c>
      <c r="K971" s="97">
        <f t="shared" ref="K971:N971" si="251">K966</f>
        <v>207</v>
      </c>
      <c r="L971" s="97">
        <f t="shared" si="251"/>
        <v>179</v>
      </c>
      <c r="M971" s="97">
        <f t="shared" si="251"/>
        <v>172</v>
      </c>
      <c r="N971" s="54">
        <f t="shared" si="251"/>
        <v>187</v>
      </c>
      <c r="O971" s="52">
        <f t="shared" ref="O971:O1003" si="252">SUM(J971:N971)</f>
        <v>976</v>
      </c>
    </row>
    <row r="972" spans="1:17" x14ac:dyDescent="0.15">
      <c r="A972" s="15" t="s">
        <v>14</v>
      </c>
      <c r="B972" s="37"/>
      <c r="C972" s="35">
        <v>5</v>
      </c>
      <c r="D972" s="35"/>
      <c r="E972" s="35"/>
      <c r="F972" s="28"/>
      <c r="G972" s="7">
        <f t="shared" si="250"/>
        <v>5</v>
      </c>
      <c r="H972" s="58">
        <v>44113</v>
      </c>
      <c r="I972" s="175" t="s">
        <v>1348</v>
      </c>
      <c r="J972" s="176">
        <v>-6</v>
      </c>
      <c r="K972" s="177"/>
      <c r="L972" s="177">
        <v>10</v>
      </c>
      <c r="M972" s="177"/>
      <c r="N972" s="178">
        <v>3</v>
      </c>
      <c r="O972" s="179">
        <f t="shared" si="252"/>
        <v>7</v>
      </c>
      <c r="P972" s="180">
        <v>44135</v>
      </c>
    </row>
    <row r="973" spans="1:17" x14ac:dyDescent="0.15">
      <c r="A973" s="15" t="s">
        <v>1371</v>
      </c>
      <c r="B973" s="8"/>
      <c r="C973" s="10"/>
      <c r="D973" s="10"/>
      <c r="E973" s="10">
        <v>1</v>
      </c>
      <c r="F973" s="28"/>
      <c r="G973" s="9">
        <f t="shared" si="250"/>
        <v>1</v>
      </c>
      <c r="H973" s="58">
        <v>44116</v>
      </c>
      <c r="I973" s="15" t="s">
        <v>4</v>
      </c>
      <c r="J973" s="8"/>
      <c r="K973" s="10"/>
      <c r="L973" s="10"/>
      <c r="M973" s="10"/>
      <c r="N973" s="28"/>
      <c r="O973" s="9">
        <f t="shared" si="252"/>
        <v>0</v>
      </c>
    </row>
    <row r="974" spans="1:17" x14ac:dyDescent="0.15">
      <c r="A974" s="15" t="s">
        <v>17</v>
      </c>
      <c r="B974" s="8">
        <v>1</v>
      </c>
      <c r="C974" s="10"/>
      <c r="D974" s="10"/>
      <c r="E974" s="10">
        <v>1</v>
      </c>
      <c r="F974" s="28"/>
      <c r="G974" s="9">
        <f t="shared" si="250"/>
        <v>2</v>
      </c>
      <c r="H974" s="58">
        <v>44118</v>
      </c>
      <c r="I974" s="15" t="s">
        <v>5</v>
      </c>
      <c r="J974" s="8"/>
      <c r="K974" s="10"/>
      <c r="L974" s="10"/>
      <c r="M974" s="10"/>
      <c r="N974" s="28"/>
      <c r="O974" s="9">
        <f t="shared" si="252"/>
        <v>0</v>
      </c>
    </row>
    <row r="975" spans="1:17" x14ac:dyDescent="0.15">
      <c r="A975" s="15" t="s">
        <v>17</v>
      </c>
      <c r="B975" s="8"/>
      <c r="C975" s="10"/>
      <c r="D975" s="10">
        <v>1</v>
      </c>
      <c r="E975" s="10"/>
      <c r="F975" s="28"/>
      <c r="G975" s="9">
        <f t="shared" si="250"/>
        <v>1</v>
      </c>
      <c r="H975" s="58">
        <v>44132</v>
      </c>
      <c r="I975" s="15" t="s">
        <v>6</v>
      </c>
      <c r="J975" s="8"/>
      <c r="K975" s="10"/>
      <c r="L975" s="10"/>
      <c r="M975" s="10"/>
      <c r="N975" s="28"/>
      <c r="O975" s="9">
        <f t="shared" si="252"/>
        <v>0</v>
      </c>
    </row>
    <row r="976" spans="1:17" x14ac:dyDescent="0.15">
      <c r="A976" s="15" t="s">
        <v>1371</v>
      </c>
      <c r="B976" s="11"/>
      <c r="C976" s="12">
        <v>1</v>
      </c>
      <c r="D976" s="12"/>
      <c r="E976" s="12"/>
      <c r="F976" s="31"/>
      <c r="G976" s="7">
        <f t="shared" si="250"/>
        <v>1</v>
      </c>
      <c r="H976" s="58">
        <v>44146</v>
      </c>
      <c r="I976" s="15" t="s">
        <v>84</v>
      </c>
      <c r="J976" s="11"/>
      <c r="K976" s="12"/>
      <c r="L976" s="12"/>
      <c r="M976" s="12"/>
      <c r="N976" s="31"/>
      <c r="O976" s="7">
        <f t="shared" si="252"/>
        <v>0</v>
      </c>
    </row>
    <row r="977" spans="1:17" x14ac:dyDescent="0.15">
      <c r="A977" s="15" t="s">
        <v>17</v>
      </c>
      <c r="B977" s="8"/>
      <c r="C977" s="10">
        <v>1</v>
      </c>
      <c r="D977" s="10"/>
      <c r="E977" s="10"/>
      <c r="F977" s="30"/>
      <c r="G977" s="7">
        <f t="shared" si="250"/>
        <v>1</v>
      </c>
      <c r="H977" s="58">
        <v>44147</v>
      </c>
      <c r="I977" s="15" t="s">
        <v>85</v>
      </c>
      <c r="J977" s="8"/>
      <c r="K977" s="10"/>
      <c r="L977" s="10"/>
      <c r="M977" s="10"/>
      <c r="N977" s="30"/>
      <c r="O977" s="7">
        <f t="shared" si="252"/>
        <v>0</v>
      </c>
    </row>
    <row r="978" spans="1:17" x14ac:dyDescent="0.15">
      <c r="A978" s="15" t="s">
        <v>1371</v>
      </c>
      <c r="B978" s="8">
        <v>1</v>
      </c>
      <c r="C978" s="10"/>
      <c r="D978" s="10"/>
      <c r="E978" s="10"/>
      <c r="F978" s="30"/>
      <c r="G978" s="7">
        <f t="shared" si="250"/>
        <v>1</v>
      </c>
      <c r="H978" s="58">
        <v>44148</v>
      </c>
      <c r="I978" s="16" t="s">
        <v>88</v>
      </c>
      <c r="J978" s="8"/>
      <c r="K978" s="10"/>
      <c r="L978" s="10"/>
      <c r="M978" s="10"/>
      <c r="N978" s="30"/>
      <c r="O978" s="7">
        <f t="shared" si="252"/>
        <v>0</v>
      </c>
    </row>
    <row r="979" spans="1:17" ht="14.25" thickBot="1" x14ac:dyDescent="0.2">
      <c r="A979" s="15" t="s">
        <v>86</v>
      </c>
      <c r="B979" s="11"/>
      <c r="C979" s="100"/>
      <c r="D979" s="100"/>
      <c r="E979" s="100"/>
      <c r="F979" s="101">
        <v>5</v>
      </c>
      <c r="G979" s="102">
        <f t="shared" si="250"/>
        <v>5</v>
      </c>
      <c r="H979" s="58">
        <v>44156</v>
      </c>
      <c r="I979" s="15" t="s">
        <v>87</v>
      </c>
      <c r="J979" s="11"/>
      <c r="K979" s="100"/>
      <c r="L979" s="100"/>
      <c r="M979" s="100"/>
      <c r="N979" s="101"/>
      <c r="O979" s="102">
        <f t="shared" si="252"/>
        <v>0</v>
      </c>
    </row>
    <row r="980" spans="1:17" ht="14.25" thickBot="1" x14ac:dyDescent="0.2">
      <c r="A980" s="72" t="s">
        <v>7</v>
      </c>
      <c r="B980" s="73">
        <f>SUM(B971:B979)</f>
        <v>8</v>
      </c>
      <c r="C980" s="74">
        <f t="shared" ref="C980:F980" si="253">SUM(C971:C979)</f>
        <v>14</v>
      </c>
      <c r="D980" s="74">
        <f t="shared" si="253"/>
        <v>9</v>
      </c>
      <c r="E980" s="74">
        <f t="shared" si="253"/>
        <v>6</v>
      </c>
      <c r="F980" s="105">
        <f t="shared" si="253"/>
        <v>10</v>
      </c>
      <c r="G980" s="76">
        <f t="shared" si="250"/>
        <v>47</v>
      </c>
      <c r="H980" s="56"/>
      <c r="I980" s="72" t="s">
        <v>7</v>
      </c>
      <c r="J980" s="73">
        <f>SUM(J971:J979)</f>
        <v>225</v>
      </c>
      <c r="K980" s="74">
        <f t="shared" ref="K980:N980" si="254">SUM(K971:K979)</f>
        <v>207</v>
      </c>
      <c r="L980" s="74">
        <f t="shared" si="254"/>
        <v>189</v>
      </c>
      <c r="M980" s="74">
        <f t="shared" si="254"/>
        <v>172</v>
      </c>
      <c r="N980" s="105">
        <f t="shared" si="254"/>
        <v>190</v>
      </c>
      <c r="O980" s="76">
        <f t="shared" si="252"/>
        <v>983</v>
      </c>
    </row>
    <row r="981" spans="1:17" x14ac:dyDescent="0.15">
      <c r="A981" s="16" t="s">
        <v>10</v>
      </c>
      <c r="B981" s="37">
        <v>1</v>
      </c>
      <c r="C981" s="35"/>
      <c r="D981" s="35"/>
      <c r="E981" s="35"/>
      <c r="F981" s="28"/>
      <c r="G981" s="18">
        <f t="shared" si="250"/>
        <v>1</v>
      </c>
      <c r="H981" s="58">
        <v>44110</v>
      </c>
      <c r="I981" s="16" t="s">
        <v>1369</v>
      </c>
      <c r="J981" s="8"/>
      <c r="K981" s="10">
        <v>5</v>
      </c>
      <c r="L981" s="10"/>
      <c r="M981" s="10"/>
      <c r="N981" s="30"/>
      <c r="O981" s="7">
        <f t="shared" si="252"/>
        <v>5</v>
      </c>
      <c r="P981" s="58">
        <v>44113</v>
      </c>
    </row>
    <row r="982" spans="1:17" x14ac:dyDescent="0.15">
      <c r="A982" s="16" t="s">
        <v>182</v>
      </c>
      <c r="B982" s="8"/>
      <c r="C982" s="10"/>
      <c r="D982" s="10">
        <v>1</v>
      </c>
      <c r="E982" s="10"/>
      <c r="F982" s="30"/>
      <c r="G982" s="7">
        <f t="shared" si="250"/>
        <v>1</v>
      </c>
      <c r="H982" s="58">
        <v>44117</v>
      </c>
      <c r="I982" s="16" t="s">
        <v>8</v>
      </c>
      <c r="J982" s="8">
        <v>10</v>
      </c>
      <c r="K982" s="10"/>
      <c r="L982" s="10">
        <v>10</v>
      </c>
      <c r="M982" s="10"/>
      <c r="N982" s="30"/>
      <c r="O982" s="7">
        <f t="shared" si="252"/>
        <v>20</v>
      </c>
      <c r="P982" s="58">
        <v>44119</v>
      </c>
    </row>
    <row r="983" spans="1:17" x14ac:dyDescent="0.15">
      <c r="A983" s="16" t="s">
        <v>182</v>
      </c>
      <c r="B983" s="8"/>
      <c r="C983" s="10">
        <v>1</v>
      </c>
      <c r="D983" s="10"/>
      <c r="E983" s="10"/>
      <c r="F983" s="30"/>
      <c r="G983" s="7">
        <f t="shared" si="250"/>
        <v>1</v>
      </c>
      <c r="H983" s="58">
        <v>44123</v>
      </c>
      <c r="I983" s="16" t="s">
        <v>25</v>
      </c>
      <c r="J983" s="8"/>
      <c r="K983" s="10"/>
      <c r="L983" s="10">
        <v>1</v>
      </c>
      <c r="M983" s="10"/>
      <c r="N983" s="30">
        <v>1</v>
      </c>
      <c r="O983" s="7">
        <f t="shared" si="252"/>
        <v>2</v>
      </c>
      <c r="P983" s="58">
        <v>44114</v>
      </c>
    </row>
    <row r="984" spans="1:17" x14ac:dyDescent="0.15">
      <c r="A984" s="16" t="s">
        <v>25</v>
      </c>
      <c r="B984" s="8">
        <v>1</v>
      </c>
      <c r="C984" s="10">
        <v>1</v>
      </c>
      <c r="D984" s="10"/>
      <c r="E984" s="10"/>
      <c r="F984" s="30"/>
      <c r="G984" s="7">
        <f t="shared" si="250"/>
        <v>2</v>
      </c>
      <c r="H984" s="58">
        <v>44140</v>
      </c>
      <c r="I984" s="16" t="s">
        <v>25</v>
      </c>
      <c r="J984" s="8"/>
      <c r="K984" s="10">
        <v>1</v>
      </c>
      <c r="L984" s="10"/>
      <c r="M984" s="10"/>
      <c r="N984" s="30"/>
      <c r="O984" s="7">
        <f t="shared" si="252"/>
        <v>1</v>
      </c>
      <c r="P984" s="58">
        <v>44131</v>
      </c>
    </row>
    <row r="985" spans="1:17" x14ac:dyDescent="0.15">
      <c r="A985" s="16" t="s">
        <v>25</v>
      </c>
      <c r="B985" s="8"/>
      <c r="C985" s="10"/>
      <c r="D985" s="10">
        <v>2</v>
      </c>
      <c r="E985" s="10"/>
      <c r="F985" s="30">
        <v>1</v>
      </c>
      <c r="G985" s="7">
        <f t="shared" si="250"/>
        <v>3</v>
      </c>
      <c r="H985" s="58">
        <v>44141</v>
      </c>
      <c r="I985" s="194" t="s">
        <v>25</v>
      </c>
      <c r="J985" s="158"/>
      <c r="K985" s="159"/>
      <c r="L985" s="159"/>
      <c r="M985" s="159"/>
      <c r="N985" s="160">
        <v>1</v>
      </c>
      <c r="O985" s="161">
        <f t="shared" si="252"/>
        <v>1</v>
      </c>
      <c r="P985" s="162">
        <v>44138</v>
      </c>
    </row>
    <row r="986" spans="1:17" x14ac:dyDescent="0.15">
      <c r="A986" s="16" t="s">
        <v>25</v>
      </c>
      <c r="B986" s="8"/>
      <c r="C986" s="10">
        <v>1</v>
      </c>
      <c r="D986" s="10"/>
      <c r="E986" s="10"/>
      <c r="F986" s="30">
        <v>2</v>
      </c>
      <c r="G986" s="7">
        <f t="shared" si="250"/>
        <v>3</v>
      </c>
      <c r="H986" s="58">
        <v>44142</v>
      </c>
      <c r="I986" s="16" t="s">
        <v>8</v>
      </c>
      <c r="J986" s="8"/>
      <c r="K986" s="10"/>
      <c r="L986" s="10"/>
      <c r="M986" s="10">
        <v>10</v>
      </c>
      <c r="N986" s="30"/>
      <c r="O986" s="7">
        <f t="shared" si="252"/>
        <v>10</v>
      </c>
      <c r="P986" s="58">
        <v>44144</v>
      </c>
    </row>
    <row r="987" spans="1:17" x14ac:dyDescent="0.15">
      <c r="A987" s="16" t="s">
        <v>25</v>
      </c>
      <c r="B987" s="8"/>
      <c r="C987" s="10"/>
      <c r="D987" s="10">
        <v>1</v>
      </c>
      <c r="E987" s="10">
        <v>2</v>
      </c>
      <c r="F987" s="30"/>
      <c r="G987" s="7">
        <f t="shared" si="250"/>
        <v>3</v>
      </c>
      <c r="H987" s="58">
        <v>44146</v>
      </c>
      <c r="I987" s="16" t="s">
        <v>25</v>
      </c>
      <c r="J987" s="8"/>
      <c r="K987" s="10">
        <v>2</v>
      </c>
      <c r="L987" s="10">
        <v>1</v>
      </c>
      <c r="M987" s="10">
        <v>1</v>
      </c>
      <c r="N987" s="30"/>
      <c r="O987" s="7">
        <f t="shared" si="252"/>
        <v>4</v>
      </c>
      <c r="P987" s="58">
        <v>44145</v>
      </c>
    </row>
    <row r="988" spans="1:17" x14ac:dyDescent="0.15">
      <c r="A988" s="16" t="s">
        <v>1390</v>
      </c>
      <c r="B988" s="8"/>
      <c r="C988" s="10"/>
      <c r="D988" s="10"/>
      <c r="E988" s="10">
        <v>1</v>
      </c>
      <c r="F988" s="30"/>
      <c r="G988" s="7">
        <f t="shared" si="250"/>
        <v>1</v>
      </c>
      <c r="H988" s="58">
        <v>44156</v>
      </c>
      <c r="I988" s="16" t="s">
        <v>25</v>
      </c>
      <c r="J988" s="8"/>
      <c r="K988" s="10"/>
      <c r="L988" s="10"/>
      <c r="M988" s="10">
        <v>1</v>
      </c>
      <c r="N988" s="30">
        <v>1</v>
      </c>
      <c r="O988" s="7">
        <f t="shared" si="252"/>
        <v>2</v>
      </c>
      <c r="P988" s="58">
        <v>44147</v>
      </c>
    </row>
    <row r="989" spans="1:17" x14ac:dyDescent="0.15">
      <c r="A989" s="16" t="s">
        <v>1391</v>
      </c>
      <c r="B989" s="8">
        <v>1</v>
      </c>
      <c r="C989" s="10"/>
      <c r="D989" s="10"/>
      <c r="E989" s="10"/>
      <c r="F989" s="30"/>
      <c r="G989" s="7">
        <f t="shared" si="250"/>
        <v>1</v>
      </c>
      <c r="H989" s="58">
        <v>44155</v>
      </c>
      <c r="I989" s="16" t="s">
        <v>25</v>
      </c>
      <c r="J989" s="11"/>
      <c r="K989" s="12"/>
      <c r="L989" s="12"/>
      <c r="M989" s="12">
        <v>1</v>
      </c>
      <c r="N989" s="31"/>
      <c r="O989" s="7">
        <f t="shared" si="252"/>
        <v>1</v>
      </c>
      <c r="P989" s="58">
        <v>44152</v>
      </c>
      <c r="Q989" s="56"/>
    </row>
    <row r="990" spans="1:17" x14ac:dyDescent="0.15">
      <c r="A990" s="16" t="s">
        <v>29</v>
      </c>
      <c r="B990" s="8"/>
      <c r="C990" s="10">
        <v>1</v>
      </c>
      <c r="D990" s="10"/>
      <c r="E990" s="10"/>
      <c r="F990" s="30"/>
      <c r="G990" s="7">
        <f t="shared" si="250"/>
        <v>1</v>
      </c>
      <c r="H990" s="58">
        <v>44159</v>
      </c>
      <c r="I990" s="16" t="s">
        <v>25</v>
      </c>
      <c r="J990" s="8"/>
      <c r="K990" s="10"/>
      <c r="L990" s="10">
        <v>1</v>
      </c>
      <c r="M990" s="10"/>
      <c r="N990" s="30"/>
      <c r="O990" s="7">
        <f t="shared" si="252"/>
        <v>1</v>
      </c>
      <c r="P990" s="58">
        <v>44153</v>
      </c>
    </row>
    <row r="991" spans="1:17" x14ac:dyDescent="0.15">
      <c r="A991" s="16" t="s">
        <v>117</v>
      </c>
      <c r="B991" s="8"/>
      <c r="C991" s="10">
        <v>1</v>
      </c>
      <c r="D991" s="10"/>
      <c r="E991" s="10"/>
      <c r="F991" s="30"/>
      <c r="G991" s="7">
        <f t="shared" si="250"/>
        <v>1</v>
      </c>
      <c r="H991" s="58">
        <v>44161</v>
      </c>
      <c r="I991" s="16" t="s">
        <v>25</v>
      </c>
      <c r="J991" s="8">
        <v>1</v>
      </c>
      <c r="K991" s="10"/>
      <c r="L991" s="10">
        <v>1</v>
      </c>
      <c r="M991" s="10"/>
      <c r="N991" s="30"/>
      <c r="O991" s="7">
        <f t="shared" si="252"/>
        <v>2</v>
      </c>
      <c r="P991" s="58">
        <v>44155</v>
      </c>
      <c r="Q991" s="56"/>
    </row>
    <row r="992" spans="1:17" x14ac:dyDescent="0.15">
      <c r="A992" s="16" t="s">
        <v>25</v>
      </c>
      <c r="B992" s="8"/>
      <c r="C992" s="10"/>
      <c r="D992" s="10">
        <v>1</v>
      </c>
      <c r="E992" s="10"/>
      <c r="F992" s="30"/>
      <c r="G992" s="7">
        <f t="shared" si="250"/>
        <v>1</v>
      </c>
      <c r="H992" s="58">
        <v>44162</v>
      </c>
      <c r="I992" s="16" t="s">
        <v>1392</v>
      </c>
      <c r="J992" s="8"/>
      <c r="K992" s="10"/>
      <c r="L992" s="10"/>
      <c r="M992" s="10"/>
      <c r="N992" s="30">
        <v>5</v>
      </c>
      <c r="O992" s="7">
        <f t="shared" si="252"/>
        <v>5</v>
      </c>
      <c r="P992" s="58">
        <v>44156</v>
      </c>
      <c r="Q992" s="56"/>
    </row>
    <row r="993" spans="1:17" x14ac:dyDescent="0.15">
      <c r="A993" s="15" t="s">
        <v>17</v>
      </c>
      <c r="B993" s="8"/>
      <c r="C993" s="10">
        <v>-1</v>
      </c>
      <c r="D993" s="10"/>
      <c r="E993" s="10"/>
      <c r="F993" s="30"/>
      <c r="G993" s="7">
        <f t="shared" si="250"/>
        <v>-1</v>
      </c>
      <c r="H993" s="58">
        <v>44161</v>
      </c>
      <c r="I993" s="16" t="s">
        <v>25</v>
      </c>
      <c r="J993" s="8"/>
      <c r="K993" s="10"/>
      <c r="L993" s="10"/>
      <c r="M993" s="10"/>
      <c r="N993" s="30">
        <v>1</v>
      </c>
      <c r="O993" s="7">
        <f t="shared" si="252"/>
        <v>1</v>
      </c>
      <c r="P993" s="58">
        <v>44160</v>
      </c>
      <c r="Q993" s="56"/>
    </row>
    <row r="994" spans="1:17" x14ac:dyDescent="0.15">
      <c r="A994" s="16" t="s">
        <v>25</v>
      </c>
      <c r="B994" s="8">
        <v>1</v>
      </c>
      <c r="C994" s="10">
        <v>1</v>
      </c>
      <c r="D994" s="10"/>
      <c r="E994" s="10"/>
      <c r="F994" s="30"/>
      <c r="G994" s="7">
        <f t="shared" si="250"/>
        <v>2</v>
      </c>
      <c r="H994" s="58">
        <v>44167</v>
      </c>
      <c r="I994" s="16" t="s">
        <v>25</v>
      </c>
      <c r="J994" s="8">
        <v>1</v>
      </c>
      <c r="K994" s="10"/>
      <c r="L994" s="10"/>
      <c r="M994" s="10">
        <v>1</v>
      </c>
      <c r="N994" s="30"/>
      <c r="O994" s="7">
        <f t="shared" si="252"/>
        <v>2</v>
      </c>
      <c r="P994" s="58">
        <v>44166</v>
      </c>
    </row>
    <row r="995" spans="1:17" x14ac:dyDescent="0.15">
      <c r="A995" s="16" t="s">
        <v>25</v>
      </c>
      <c r="B995" s="8"/>
      <c r="C995" s="10">
        <v>1</v>
      </c>
      <c r="D995" s="10">
        <v>1</v>
      </c>
      <c r="E995" s="10"/>
      <c r="F995" s="30"/>
      <c r="G995" s="7">
        <f t="shared" si="250"/>
        <v>2</v>
      </c>
      <c r="H995" s="58">
        <v>44170</v>
      </c>
      <c r="I995" s="16" t="s">
        <v>25</v>
      </c>
      <c r="J995" s="8">
        <v>1</v>
      </c>
      <c r="K995" s="10"/>
      <c r="L995" s="10"/>
      <c r="M995" s="10"/>
      <c r="N995" s="30">
        <v>2</v>
      </c>
      <c r="O995" s="7">
        <f t="shared" si="252"/>
        <v>3</v>
      </c>
      <c r="P995" s="58">
        <v>44168</v>
      </c>
    </row>
    <row r="996" spans="1:17" x14ac:dyDescent="0.15">
      <c r="A996" s="16" t="s">
        <v>1395</v>
      </c>
      <c r="B996" s="8">
        <v>-3</v>
      </c>
      <c r="C996" s="10"/>
      <c r="D996" s="10"/>
      <c r="E996" s="10"/>
      <c r="F996" s="30"/>
      <c r="G996" s="7">
        <f t="shared" si="250"/>
        <v>-3</v>
      </c>
      <c r="H996" s="58">
        <v>44170</v>
      </c>
      <c r="I996" s="16" t="s">
        <v>24</v>
      </c>
      <c r="J996" s="8">
        <v>3</v>
      </c>
      <c r="K996" s="10"/>
      <c r="L996" s="10"/>
      <c r="M996" s="10"/>
      <c r="N996" s="30"/>
      <c r="O996" s="7">
        <f t="shared" si="252"/>
        <v>3</v>
      </c>
      <c r="P996" s="58">
        <v>44170</v>
      </c>
      <c r="Q996" s="56"/>
    </row>
    <row r="997" spans="1:17" x14ac:dyDescent="0.15">
      <c r="A997" s="16" t="s">
        <v>25</v>
      </c>
      <c r="B997" s="11"/>
      <c r="C997" s="12"/>
      <c r="D997" s="12"/>
      <c r="E997" s="12">
        <v>1</v>
      </c>
      <c r="F997" s="31">
        <v>1</v>
      </c>
      <c r="G997" s="7">
        <f t="shared" si="250"/>
        <v>2</v>
      </c>
      <c r="H997" s="58">
        <v>44173</v>
      </c>
      <c r="I997" s="16" t="s">
        <v>25</v>
      </c>
      <c r="J997" s="11"/>
      <c r="K997" s="12"/>
      <c r="L997" s="12">
        <v>1</v>
      </c>
      <c r="M997" s="12"/>
      <c r="N997" s="31"/>
      <c r="O997" s="7">
        <f t="shared" si="252"/>
        <v>1</v>
      </c>
      <c r="P997" s="58">
        <v>44175</v>
      </c>
      <c r="Q997" s="56"/>
    </row>
    <row r="998" spans="1:17" x14ac:dyDescent="0.15">
      <c r="A998" s="16" t="s">
        <v>25</v>
      </c>
      <c r="B998" s="8"/>
      <c r="C998" s="10"/>
      <c r="D998" s="10">
        <v>2</v>
      </c>
      <c r="E998" s="10"/>
      <c r="F998" s="30">
        <v>1</v>
      </c>
      <c r="G998" s="7">
        <f t="shared" si="250"/>
        <v>3</v>
      </c>
      <c r="H998" s="58">
        <v>44180</v>
      </c>
      <c r="I998" s="16" t="s">
        <v>25</v>
      </c>
      <c r="J998" s="11"/>
      <c r="K998" s="12">
        <v>1</v>
      </c>
      <c r="L998" s="12"/>
      <c r="M998" s="12"/>
      <c r="N998" s="31"/>
      <c r="O998" s="7">
        <f t="shared" si="252"/>
        <v>1</v>
      </c>
      <c r="P998" s="58">
        <v>44177</v>
      </c>
    </row>
    <row r="999" spans="1:17" x14ac:dyDescent="0.15">
      <c r="A999" s="16" t="s">
        <v>25</v>
      </c>
      <c r="B999" s="8"/>
      <c r="C999" s="10">
        <v>2</v>
      </c>
      <c r="D999" s="10"/>
      <c r="E999" s="10"/>
      <c r="F999" s="30">
        <v>1</v>
      </c>
      <c r="G999" s="7">
        <f>SUM(B999:F999)</f>
        <v>3</v>
      </c>
      <c r="H999" s="58">
        <v>44184</v>
      </c>
      <c r="I999" s="16" t="s">
        <v>8</v>
      </c>
      <c r="J999" s="11"/>
      <c r="K999" s="12"/>
      <c r="L999" s="12"/>
      <c r="M999" s="12"/>
      <c r="N999" s="31">
        <v>10</v>
      </c>
      <c r="O999" s="7">
        <f t="shared" si="252"/>
        <v>10</v>
      </c>
      <c r="P999" s="58">
        <v>44182</v>
      </c>
      <c r="Q999" s="68"/>
    </row>
    <row r="1000" spans="1:17" x14ac:dyDescent="0.15">
      <c r="A1000" s="16" t="s">
        <v>1398</v>
      </c>
      <c r="B1000" s="8"/>
      <c r="C1000" s="10"/>
      <c r="D1000" s="10"/>
      <c r="E1000" s="10"/>
      <c r="F1000" s="30">
        <v>1</v>
      </c>
      <c r="G1000" s="7">
        <f>SUM(B1000:F1000)</f>
        <v>1</v>
      </c>
      <c r="H1000" s="58">
        <v>44190</v>
      </c>
      <c r="I1000" s="16" t="s">
        <v>8</v>
      </c>
      <c r="J1000" s="11"/>
      <c r="K1000" s="12">
        <v>10</v>
      </c>
      <c r="L1000" s="12"/>
      <c r="M1000" s="12"/>
      <c r="N1000" s="31"/>
      <c r="O1000" s="7">
        <f t="shared" si="252"/>
        <v>10</v>
      </c>
      <c r="P1000" s="58">
        <v>44204</v>
      </c>
    </row>
    <row r="1001" spans="1:17" x14ac:dyDescent="0.15">
      <c r="A1001" s="16" t="s">
        <v>1399</v>
      </c>
      <c r="B1001" s="8"/>
      <c r="C1001" s="10"/>
      <c r="D1001" s="10"/>
      <c r="E1001" s="10"/>
      <c r="F1001" s="30">
        <v>-1</v>
      </c>
      <c r="G1001" s="7">
        <f t="shared" ref="G1001:G1006" si="255">SUM(B1001:F1001)</f>
        <v>-1</v>
      </c>
      <c r="H1001" s="58">
        <v>44189</v>
      </c>
      <c r="I1001" s="16" t="s">
        <v>25</v>
      </c>
      <c r="J1001" s="8">
        <v>1</v>
      </c>
      <c r="K1001" s="10"/>
      <c r="L1001" s="10"/>
      <c r="M1001" s="10"/>
      <c r="N1001" s="30"/>
      <c r="O1001" s="7">
        <f t="shared" si="252"/>
        <v>1</v>
      </c>
      <c r="P1001" s="58">
        <v>44233</v>
      </c>
    </row>
    <row r="1002" spans="1:17" x14ac:dyDescent="0.15">
      <c r="A1002" s="16" t="s">
        <v>25</v>
      </c>
      <c r="B1002" s="11">
        <v>1</v>
      </c>
      <c r="C1002" s="12"/>
      <c r="D1002" s="12"/>
      <c r="E1002" s="12"/>
      <c r="F1002" s="31">
        <v>1</v>
      </c>
      <c r="G1002" s="7">
        <f t="shared" si="255"/>
        <v>2</v>
      </c>
      <c r="H1002" s="58">
        <v>43835</v>
      </c>
      <c r="I1002" s="16"/>
      <c r="J1002" s="11"/>
      <c r="K1002" s="12"/>
      <c r="L1002" s="12"/>
      <c r="M1002" s="12"/>
      <c r="N1002" s="31"/>
      <c r="O1002" s="7">
        <f t="shared" si="252"/>
        <v>0</v>
      </c>
      <c r="P1002" s="58"/>
    </row>
    <row r="1003" spans="1:17" x14ac:dyDescent="0.15">
      <c r="A1003" s="16" t="s">
        <v>29</v>
      </c>
      <c r="B1003" s="8">
        <v>1</v>
      </c>
      <c r="C1003" s="10"/>
      <c r="D1003" s="10"/>
      <c r="E1003" s="10"/>
      <c r="F1003" s="30"/>
      <c r="G1003" s="7">
        <f t="shared" si="255"/>
        <v>1</v>
      </c>
      <c r="H1003" s="58">
        <v>44201</v>
      </c>
      <c r="I1003" s="16"/>
      <c r="J1003" s="11"/>
      <c r="K1003" s="12"/>
      <c r="L1003" s="12"/>
      <c r="M1003" s="12"/>
      <c r="N1003" s="31"/>
      <c r="O1003" s="7">
        <f t="shared" si="252"/>
        <v>0</v>
      </c>
      <c r="P1003" s="56"/>
    </row>
    <row r="1004" spans="1:17" x14ac:dyDescent="0.15">
      <c r="A1004" s="15" t="s">
        <v>1401</v>
      </c>
      <c r="B1004" s="37"/>
      <c r="C1004" s="35"/>
      <c r="D1004" s="35">
        <v>-2</v>
      </c>
      <c r="E1004" s="35"/>
      <c r="F1004" s="28"/>
      <c r="G1004" s="7">
        <f t="shared" si="255"/>
        <v>-2</v>
      </c>
      <c r="H1004" s="58">
        <v>44210</v>
      </c>
      <c r="I1004" s="16" t="s">
        <v>1377</v>
      </c>
      <c r="J1004" s="11"/>
      <c r="K1004" s="12"/>
      <c r="L1004" s="12"/>
      <c r="M1004" s="12"/>
      <c r="N1004" s="31"/>
      <c r="O1004" s="7">
        <v>30</v>
      </c>
      <c r="P1004" s="56" t="s">
        <v>1378</v>
      </c>
    </row>
    <row r="1005" spans="1:17" x14ac:dyDescent="0.15">
      <c r="A1005" s="16" t="s">
        <v>29</v>
      </c>
      <c r="B1005" s="8"/>
      <c r="C1005" s="10">
        <v>1</v>
      </c>
      <c r="D1005" s="10"/>
      <c r="E1005" s="10"/>
      <c r="F1005" s="30">
        <v>1</v>
      </c>
      <c r="G1005" s="9">
        <f t="shared" si="255"/>
        <v>2</v>
      </c>
      <c r="H1005" s="58">
        <v>44235</v>
      </c>
      <c r="I1005" s="16" t="s">
        <v>1365</v>
      </c>
      <c r="J1005" s="11"/>
      <c r="K1005" s="12"/>
      <c r="L1005" s="12"/>
      <c r="M1005" s="12"/>
      <c r="N1005" s="31"/>
      <c r="O1005" s="7">
        <v>30</v>
      </c>
      <c r="P1005" s="56" t="s">
        <v>1366</v>
      </c>
    </row>
    <row r="1006" spans="1:17" ht="14.25" thickBot="1" x14ac:dyDescent="0.2">
      <c r="A1006" s="51"/>
      <c r="B1006" s="37"/>
      <c r="C1006" s="35"/>
      <c r="D1006" s="35"/>
      <c r="E1006" s="35"/>
      <c r="F1006" s="28"/>
      <c r="G1006" s="7">
        <f t="shared" si="255"/>
        <v>0</v>
      </c>
      <c r="H1006" s="58"/>
      <c r="I1006" s="94"/>
      <c r="J1006" s="91"/>
      <c r="K1006" s="92"/>
      <c r="L1006" s="92"/>
      <c r="M1006" s="92"/>
      <c r="N1006" s="93"/>
      <c r="O1006" s="61"/>
      <c r="P1006" s="68"/>
      <c r="Q1006" s="68"/>
    </row>
    <row r="1007" spans="1:17" ht="14.25" thickBot="1" x14ac:dyDescent="0.2">
      <c r="A1007" s="3" t="s">
        <v>11</v>
      </c>
      <c r="B1007" s="23">
        <f>SUM(B981:B1006)</f>
        <v>3</v>
      </c>
      <c r="C1007" s="4">
        <f>SUM(C981:C1006)</f>
        <v>9</v>
      </c>
      <c r="D1007" s="4">
        <f>SUM(D981:D1006)</f>
        <v>6</v>
      </c>
      <c r="E1007" s="6">
        <f>SUM(E981:E1006)</f>
        <v>4</v>
      </c>
      <c r="F1007" s="32">
        <f>SUM(F981:F1006)</f>
        <v>8</v>
      </c>
      <c r="G1007" s="5">
        <f>SUM(B1007:F1007)</f>
        <v>30</v>
      </c>
      <c r="H1007" s="56"/>
      <c r="I1007" s="3" t="s">
        <v>11</v>
      </c>
      <c r="J1007" s="23">
        <f>SUM(J981:J1006)</f>
        <v>17</v>
      </c>
      <c r="K1007" s="4">
        <f>SUM(K981:K1006)</f>
        <v>19</v>
      </c>
      <c r="L1007" s="4">
        <f>SUM(L981:L1006)</f>
        <v>15</v>
      </c>
      <c r="M1007" s="6">
        <f>SUM(M981:M1006)</f>
        <v>14</v>
      </c>
      <c r="N1007" s="32">
        <f>SUM(N981:N1006)</f>
        <v>21</v>
      </c>
      <c r="O1007" s="5">
        <f>SUM(J1007:N1007)</f>
        <v>86</v>
      </c>
    </row>
    <row r="1008" spans="1:17" ht="14.25" thickBot="1" x14ac:dyDescent="0.2">
      <c r="A1008" s="25" t="s">
        <v>12</v>
      </c>
      <c r="B1008" s="63">
        <f>B980-B1007</f>
        <v>5</v>
      </c>
      <c r="C1008" s="26">
        <f t="shared" ref="C1008:G1008" si="256">C980-C1007</f>
        <v>5</v>
      </c>
      <c r="D1008" s="71">
        <f t="shared" si="256"/>
        <v>3</v>
      </c>
      <c r="E1008" s="26">
        <f t="shared" si="256"/>
        <v>2</v>
      </c>
      <c r="F1008" s="70">
        <f t="shared" si="256"/>
        <v>2</v>
      </c>
      <c r="G1008" s="27">
        <f t="shared" si="256"/>
        <v>17</v>
      </c>
      <c r="H1008" s="56"/>
      <c r="I1008" s="25" t="s">
        <v>12</v>
      </c>
      <c r="J1008" s="63">
        <f>J980-J1007</f>
        <v>208</v>
      </c>
      <c r="K1008" s="26">
        <f t="shared" ref="K1008:M1008" si="257">K980-K1007</f>
        <v>188</v>
      </c>
      <c r="L1008" s="71">
        <f t="shared" si="257"/>
        <v>174</v>
      </c>
      <c r="M1008" s="26">
        <f t="shared" si="257"/>
        <v>158</v>
      </c>
      <c r="N1008" s="70">
        <f>N980-N1007</f>
        <v>169</v>
      </c>
      <c r="O1008" s="27">
        <f t="shared" ref="O1008" si="258">O980-O1007</f>
        <v>897</v>
      </c>
    </row>
    <row r="1009" spans="1:16" ht="21" x14ac:dyDescent="0.2">
      <c r="A1009" s="83" t="s">
        <v>415</v>
      </c>
      <c r="B1009" s="77"/>
      <c r="C1009" s="77"/>
      <c r="D1009" s="77"/>
      <c r="E1009" s="77"/>
      <c r="F1009" s="77"/>
      <c r="G1009" s="77"/>
      <c r="H1009" s="56"/>
      <c r="I1009" s="83" t="s">
        <v>415</v>
      </c>
      <c r="J1009" s="77"/>
      <c r="K1009" s="77"/>
      <c r="L1009" s="77"/>
      <c r="M1009" s="77"/>
      <c r="N1009" s="77"/>
      <c r="O1009" s="77"/>
    </row>
    <row r="1010" spans="1:16" ht="21.75" thickBot="1" x14ac:dyDescent="0.25">
      <c r="A1010" s="83" t="s">
        <v>47</v>
      </c>
      <c r="B1010" s="77"/>
      <c r="C1010" s="77"/>
      <c r="D1010" s="77"/>
      <c r="E1010" s="84"/>
      <c r="F1010" s="78" t="s">
        <v>53</v>
      </c>
      <c r="G1010" s="77"/>
      <c r="H1010" s="56"/>
      <c r="I1010" s="83" t="s">
        <v>47</v>
      </c>
      <c r="J1010" s="77"/>
      <c r="K1010" s="77"/>
      <c r="L1010" s="77"/>
      <c r="M1010" s="84"/>
      <c r="N1010" s="78" t="s">
        <v>54</v>
      </c>
      <c r="O1010" s="77"/>
    </row>
    <row r="1011" spans="1:16" ht="14.25" thickBot="1" x14ac:dyDescent="0.2">
      <c r="A1011" s="13" t="s">
        <v>0</v>
      </c>
      <c r="B1011" s="228" t="s">
        <v>49</v>
      </c>
      <c r="C1011" s="229"/>
      <c r="D1011" s="229"/>
      <c r="E1011" s="229"/>
      <c r="F1011" s="230"/>
      <c r="G1011" s="231"/>
      <c r="H1011" s="56"/>
      <c r="I1011" s="13" t="s">
        <v>0</v>
      </c>
      <c r="J1011" s="228" t="s">
        <v>49</v>
      </c>
      <c r="K1011" s="229"/>
      <c r="L1011" s="229"/>
      <c r="M1011" s="229"/>
      <c r="N1011" s="230"/>
      <c r="O1011" s="231"/>
    </row>
    <row r="1012" spans="1:16" ht="14.25" thickBot="1" x14ac:dyDescent="0.2">
      <c r="A1012" s="3" t="s">
        <v>1</v>
      </c>
      <c r="B1012" s="2" t="s">
        <v>42</v>
      </c>
      <c r="C1012" s="21" t="s">
        <v>43</v>
      </c>
      <c r="D1012" s="21" t="s">
        <v>44</v>
      </c>
      <c r="E1012" s="24" t="s">
        <v>45</v>
      </c>
      <c r="F1012" s="33" t="s">
        <v>46</v>
      </c>
      <c r="G1012" s="34" t="s">
        <v>2</v>
      </c>
      <c r="H1012" s="56"/>
      <c r="I1012" s="3" t="s">
        <v>1</v>
      </c>
      <c r="J1012" s="2" t="s">
        <v>42</v>
      </c>
      <c r="K1012" s="21" t="s">
        <v>43</v>
      </c>
      <c r="L1012" s="21" t="s">
        <v>44</v>
      </c>
      <c r="M1012" s="24" t="s">
        <v>45</v>
      </c>
      <c r="N1012" s="33" t="s">
        <v>46</v>
      </c>
      <c r="O1012" s="3" t="s">
        <v>2</v>
      </c>
    </row>
    <row r="1013" spans="1:16" ht="14.25" thickBot="1" x14ac:dyDescent="0.2">
      <c r="A1013" s="72" t="s">
        <v>527</v>
      </c>
      <c r="B1013" s="73">
        <f>B1008</f>
        <v>5</v>
      </c>
      <c r="C1013" s="73">
        <f t="shared" ref="C1013:F1013" si="259">C1008</f>
        <v>5</v>
      </c>
      <c r="D1013" s="73">
        <f t="shared" si="259"/>
        <v>3</v>
      </c>
      <c r="E1013" s="73">
        <f t="shared" si="259"/>
        <v>2</v>
      </c>
      <c r="F1013" s="73">
        <f t="shared" si="259"/>
        <v>2</v>
      </c>
      <c r="G1013" s="76">
        <f t="shared" ref="G1013:G1040" si="260">SUM(B1013:F1013)</f>
        <v>17</v>
      </c>
      <c r="H1013" s="56"/>
      <c r="I1013" s="96" t="s">
        <v>12</v>
      </c>
      <c r="J1013" s="95">
        <f>J1008</f>
        <v>208</v>
      </c>
      <c r="K1013" s="97">
        <f t="shared" ref="K1013:N1013" si="261">K1008</f>
        <v>188</v>
      </c>
      <c r="L1013" s="97">
        <f t="shared" si="261"/>
        <v>174</v>
      </c>
      <c r="M1013" s="97">
        <f t="shared" si="261"/>
        <v>158</v>
      </c>
      <c r="N1013" s="54">
        <f t="shared" si="261"/>
        <v>169</v>
      </c>
      <c r="O1013" s="52">
        <f t="shared" ref="O1013:O1047" si="262">SUM(J1013:N1013)</f>
        <v>897</v>
      </c>
    </row>
    <row r="1014" spans="1:16" x14ac:dyDescent="0.15">
      <c r="A1014" s="15" t="s">
        <v>19</v>
      </c>
      <c r="B1014" s="37"/>
      <c r="C1014" s="35">
        <v>2</v>
      </c>
      <c r="D1014" s="35"/>
      <c r="E1014" s="35"/>
      <c r="F1014" s="28">
        <v>5</v>
      </c>
      <c r="G1014" s="7">
        <f t="shared" si="260"/>
        <v>7</v>
      </c>
      <c r="H1014" s="58">
        <v>44214</v>
      </c>
      <c r="I1014" s="15" t="s">
        <v>9</v>
      </c>
      <c r="J1014" s="37"/>
      <c r="K1014" s="35">
        <v>2</v>
      </c>
      <c r="L1014" s="35"/>
      <c r="M1014" s="35"/>
      <c r="N1014" s="28">
        <v>5</v>
      </c>
      <c r="O1014" s="18">
        <f t="shared" si="262"/>
        <v>7</v>
      </c>
      <c r="P1014" s="58">
        <v>44239</v>
      </c>
    </row>
    <row r="1015" spans="1:16" x14ac:dyDescent="0.15">
      <c r="A1015" s="15" t="s">
        <v>17</v>
      </c>
      <c r="B1015" s="8"/>
      <c r="C1015" s="10"/>
      <c r="D1015" s="10"/>
      <c r="E1015" s="10"/>
      <c r="F1015" s="28">
        <v>1</v>
      </c>
      <c r="G1015" s="9">
        <f t="shared" si="260"/>
        <v>1</v>
      </c>
      <c r="H1015" s="58">
        <v>44224</v>
      </c>
      <c r="I1015" s="15" t="s">
        <v>9</v>
      </c>
      <c r="J1015" s="8"/>
      <c r="K1015" s="10"/>
      <c r="L1015" s="10">
        <v>2</v>
      </c>
      <c r="M1015" s="10"/>
      <c r="N1015" s="28">
        <v>1</v>
      </c>
      <c r="O1015" s="9">
        <f t="shared" si="262"/>
        <v>3</v>
      </c>
      <c r="P1015" s="57">
        <v>44345</v>
      </c>
    </row>
    <row r="1016" spans="1:16" x14ac:dyDescent="0.15">
      <c r="A1016" s="15" t="s">
        <v>616</v>
      </c>
      <c r="B1016" s="8"/>
      <c r="C1016" s="10"/>
      <c r="D1016" s="10">
        <v>1</v>
      </c>
      <c r="E1016" s="10"/>
      <c r="F1016" s="28"/>
      <c r="G1016" s="9">
        <f t="shared" si="260"/>
        <v>1</v>
      </c>
      <c r="H1016" s="58">
        <v>44249</v>
      </c>
      <c r="I1016" s="15" t="s">
        <v>5</v>
      </c>
      <c r="J1016" s="8"/>
      <c r="K1016" s="10"/>
      <c r="L1016" s="10"/>
      <c r="M1016" s="10"/>
      <c r="N1016" s="28"/>
      <c r="O1016" s="9">
        <f t="shared" si="262"/>
        <v>0</v>
      </c>
    </row>
    <row r="1017" spans="1:16" x14ac:dyDescent="0.15">
      <c r="A1017" s="15" t="s">
        <v>19</v>
      </c>
      <c r="B1017" s="8"/>
      <c r="C1017" s="10"/>
      <c r="D1017" s="10"/>
      <c r="E1017" s="10">
        <v>1</v>
      </c>
      <c r="F1017" s="28"/>
      <c r="G1017" s="9">
        <f t="shared" si="260"/>
        <v>1</v>
      </c>
      <c r="H1017" s="58">
        <v>44251</v>
      </c>
      <c r="I1017" s="15" t="s">
        <v>6</v>
      </c>
      <c r="J1017" s="8"/>
      <c r="K1017" s="10"/>
      <c r="L1017" s="10"/>
      <c r="M1017" s="10"/>
      <c r="N1017" s="28"/>
      <c r="O1017" s="9">
        <f t="shared" si="262"/>
        <v>0</v>
      </c>
    </row>
    <row r="1018" spans="1:16" x14ac:dyDescent="0.15">
      <c r="A1018" s="15" t="s">
        <v>17</v>
      </c>
      <c r="B1018" s="11">
        <v>1</v>
      </c>
      <c r="C1018" s="12"/>
      <c r="D1018" s="12"/>
      <c r="E1018" s="12"/>
      <c r="F1018" s="31"/>
      <c r="G1018" s="7">
        <f t="shared" si="260"/>
        <v>1</v>
      </c>
      <c r="H1018" s="58">
        <v>44252</v>
      </c>
      <c r="I1018" s="15" t="s">
        <v>84</v>
      </c>
      <c r="J1018" s="11"/>
      <c r="K1018" s="12"/>
      <c r="L1018" s="12"/>
      <c r="M1018" s="12"/>
      <c r="N1018" s="31"/>
      <c r="O1018" s="7">
        <f t="shared" si="262"/>
        <v>0</v>
      </c>
    </row>
    <row r="1019" spans="1:16" x14ac:dyDescent="0.15">
      <c r="A1019" s="15" t="s">
        <v>19</v>
      </c>
      <c r="B1019" s="8"/>
      <c r="C1019" s="10"/>
      <c r="D1019" s="10">
        <v>1</v>
      </c>
      <c r="E1019" s="10"/>
      <c r="F1019" s="30"/>
      <c r="G1019" s="7">
        <f t="shared" si="260"/>
        <v>1</v>
      </c>
      <c r="H1019" s="58">
        <v>44256</v>
      </c>
      <c r="I1019" s="15" t="s">
        <v>85</v>
      </c>
      <c r="J1019" s="8"/>
      <c r="K1019" s="10"/>
      <c r="L1019" s="10"/>
      <c r="M1019" s="10"/>
      <c r="N1019" s="30"/>
      <c r="O1019" s="7">
        <f t="shared" si="262"/>
        <v>0</v>
      </c>
    </row>
    <row r="1020" spans="1:16" x14ac:dyDescent="0.15">
      <c r="A1020" s="15" t="s">
        <v>157</v>
      </c>
      <c r="B1020" s="8"/>
      <c r="C1020" s="10">
        <v>1</v>
      </c>
      <c r="D1020" s="10"/>
      <c r="E1020" s="10"/>
      <c r="F1020" s="30"/>
      <c r="G1020" s="7">
        <f t="shared" si="260"/>
        <v>1</v>
      </c>
      <c r="H1020" s="58">
        <v>44267</v>
      </c>
      <c r="I1020" s="15" t="s">
        <v>86</v>
      </c>
      <c r="J1020" s="8"/>
      <c r="K1020" s="10"/>
      <c r="L1020" s="10"/>
      <c r="M1020" s="10"/>
      <c r="N1020" s="30"/>
      <c r="O1020" s="7">
        <f t="shared" si="262"/>
        <v>0</v>
      </c>
    </row>
    <row r="1021" spans="1:16" ht="14.25" thickBot="1" x14ac:dyDescent="0.2">
      <c r="A1021" s="15" t="s">
        <v>86</v>
      </c>
      <c r="B1021" s="11"/>
      <c r="C1021" s="100"/>
      <c r="D1021" s="100"/>
      <c r="E1021" s="100">
        <v>3</v>
      </c>
      <c r="F1021" s="101"/>
      <c r="G1021" s="102">
        <f t="shared" si="260"/>
        <v>3</v>
      </c>
      <c r="H1021" s="58">
        <v>44298</v>
      </c>
      <c r="I1021" s="15" t="s">
        <v>87</v>
      </c>
      <c r="J1021" s="11"/>
      <c r="K1021" s="100"/>
      <c r="L1021" s="100"/>
      <c r="M1021" s="100"/>
      <c r="N1021" s="101"/>
      <c r="O1021" s="102">
        <f t="shared" si="262"/>
        <v>0</v>
      </c>
    </row>
    <row r="1022" spans="1:16" ht="14.25" thickBot="1" x14ac:dyDescent="0.2">
      <c r="A1022" s="72" t="s">
        <v>7</v>
      </c>
      <c r="B1022" s="73">
        <f>SUM(B1013:B1021)</f>
        <v>6</v>
      </c>
      <c r="C1022" s="74">
        <f t="shared" ref="C1022:F1022" si="263">SUM(C1013:C1021)</f>
        <v>8</v>
      </c>
      <c r="D1022" s="74">
        <f t="shared" si="263"/>
        <v>5</v>
      </c>
      <c r="E1022" s="74">
        <f t="shared" si="263"/>
        <v>6</v>
      </c>
      <c r="F1022" s="105">
        <f t="shared" si="263"/>
        <v>8</v>
      </c>
      <c r="G1022" s="76">
        <f t="shared" si="260"/>
        <v>33</v>
      </c>
      <c r="H1022" s="56"/>
      <c r="I1022" s="72" t="s">
        <v>7</v>
      </c>
      <c r="J1022" s="73">
        <f>SUM(J1013:J1021)</f>
        <v>208</v>
      </c>
      <c r="K1022" s="74">
        <f t="shared" ref="K1022:N1022" si="264">SUM(K1013:K1021)</f>
        <v>190</v>
      </c>
      <c r="L1022" s="74">
        <f t="shared" si="264"/>
        <v>176</v>
      </c>
      <c r="M1022" s="74">
        <f t="shared" si="264"/>
        <v>158</v>
      </c>
      <c r="N1022" s="105">
        <f t="shared" si="264"/>
        <v>175</v>
      </c>
      <c r="O1022" s="76">
        <f t="shared" si="262"/>
        <v>907</v>
      </c>
    </row>
    <row r="1023" spans="1:16" x14ac:dyDescent="0.15">
      <c r="A1023" s="16" t="s">
        <v>1402</v>
      </c>
      <c r="B1023" s="37"/>
      <c r="C1023" s="35">
        <v>2</v>
      </c>
      <c r="D1023" s="35"/>
      <c r="E1023" s="35"/>
      <c r="F1023" s="28">
        <v>5</v>
      </c>
      <c r="G1023" s="18">
        <f t="shared" si="260"/>
        <v>7</v>
      </c>
      <c r="H1023" s="58">
        <v>44239</v>
      </c>
      <c r="I1023" s="16" t="s">
        <v>25</v>
      </c>
      <c r="J1023" s="8">
        <v>1</v>
      </c>
      <c r="K1023" s="10"/>
      <c r="L1023" s="10"/>
      <c r="M1023" s="10"/>
      <c r="N1023" s="30"/>
      <c r="O1023" s="7">
        <f t="shared" si="262"/>
        <v>1</v>
      </c>
      <c r="P1023" s="58">
        <v>44252</v>
      </c>
    </row>
    <row r="1024" spans="1:16" x14ac:dyDescent="0.15">
      <c r="A1024" s="16" t="s">
        <v>29</v>
      </c>
      <c r="B1024" s="8">
        <v>1</v>
      </c>
      <c r="C1024" s="10">
        <v>1</v>
      </c>
      <c r="D1024" s="10"/>
      <c r="E1024" s="10"/>
      <c r="F1024" s="30"/>
      <c r="G1024" s="7">
        <f t="shared" si="260"/>
        <v>2</v>
      </c>
      <c r="H1024" s="58">
        <v>44242</v>
      </c>
      <c r="I1024" s="16" t="s">
        <v>8</v>
      </c>
      <c r="J1024" s="8"/>
      <c r="K1024" s="10"/>
      <c r="L1024" s="10">
        <v>10</v>
      </c>
      <c r="M1024" s="10"/>
      <c r="N1024" s="30"/>
      <c r="O1024" s="7">
        <f t="shared" si="262"/>
        <v>10</v>
      </c>
      <c r="P1024" s="58">
        <v>44265</v>
      </c>
    </row>
    <row r="1025" spans="1:17" x14ac:dyDescent="0.15">
      <c r="A1025" s="16" t="s">
        <v>25</v>
      </c>
      <c r="B1025" s="8"/>
      <c r="C1025" s="10"/>
      <c r="D1025" s="10">
        <v>1</v>
      </c>
      <c r="E1025" s="10"/>
      <c r="F1025" s="30"/>
      <c r="G1025" s="7">
        <f t="shared" si="260"/>
        <v>1</v>
      </c>
      <c r="H1025" s="58">
        <v>44250</v>
      </c>
      <c r="I1025" s="16" t="s">
        <v>1415</v>
      </c>
      <c r="J1025" s="8"/>
      <c r="K1025" s="10"/>
      <c r="L1025" s="10"/>
      <c r="M1025" s="10">
        <v>3</v>
      </c>
      <c r="N1025" s="30"/>
      <c r="O1025" s="7">
        <f t="shared" si="262"/>
        <v>3</v>
      </c>
      <c r="P1025" s="58">
        <v>44298</v>
      </c>
    </row>
    <row r="1026" spans="1:17" x14ac:dyDescent="0.15">
      <c r="A1026" s="16" t="s">
        <v>1407</v>
      </c>
      <c r="B1026" s="8">
        <v>1</v>
      </c>
      <c r="C1026" s="10"/>
      <c r="D1026" s="10"/>
      <c r="E1026" s="10"/>
      <c r="F1026" s="30">
        <v>1</v>
      </c>
      <c r="G1026" s="7">
        <f t="shared" si="260"/>
        <v>2</v>
      </c>
      <c r="H1026" s="58">
        <v>44247</v>
      </c>
      <c r="I1026" s="16" t="s">
        <v>24</v>
      </c>
      <c r="J1026" s="8"/>
      <c r="K1026" s="10"/>
      <c r="L1026" s="10"/>
      <c r="M1026" s="10"/>
      <c r="N1026" s="30">
        <v>3</v>
      </c>
      <c r="O1026" s="7">
        <f t="shared" si="262"/>
        <v>3</v>
      </c>
      <c r="P1026" s="58">
        <v>44348</v>
      </c>
    </row>
    <row r="1027" spans="1:17" x14ac:dyDescent="0.15">
      <c r="A1027" s="16" t="s">
        <v>1408</v>
      </c>
      <c r="B1027" s="8"/>
      <c r="C1027" s="10"/>
      <c r="D1027" s="10"/>
      <c r="E1027" s="10">
        <v>1</v>
      </c>
      <c r="F1027" s="30"/>
      <c r="G1027" s="7">
        <f t="shared" si="260"/>
        <v>1</v>
      </c>
      <c r="H1027" s="58">
        <v>44249</v>
      </c>
      <c r="I1027" s="16" t="s">
        <v>8</v>
      </c>
      <c r="J1027" s="8"/>
      <c r="K1027" s="10"/>
      <c r="L1027" s="10"/>
      <c r="M1027" s="10"/>
      <c r="N1027" s="30">
        <v>10</v>
      </c>
      <c r="O1027" s="7">
        <f t="shared" si="262"/>
        <v>10</v>
      </c>
      <c r="P1027" s="58">
        <v>44355</v>
      </c>
    </row>
    <row r="1028" spans="1:17" x14ac:dyDescent="0.15">
      <c r="A1028" s="16" t="s">
        <v>29</v>
      </c>
      <c r="B1028" s="8">
        <v>1</v>
      </c>
      <c r="C1028" s="10"/>
      <c r="D1028" s="10"/>
      <c r="E1028" s="10">
        <v>1</v>
      </c>
      <c r="F1028" s="30"/>
      <c r="G1028" s="7">
        <f t="shared" si="260"/>
        <v>2</v>
      </c>
      <c r="H1028" s="58">
        <v>44263</v>
      </c>
      <c r="I1028" s="16" t="s">
        <v>24</v>
      </c>
      <c r="J1028" s="8">
        <v>3</v>
      </c>
      <c r="K1028" s="10">
        <v>3</v>
      </c>
      <c r="L1028" s="10">
        <v>3</v>
      </c>
      <c r="M1028" s="10">
        <v>3</v>
      </c>
      <c r="N1028" s="30">
        <v>3</v>
      </c>
      <c r="O1028" s="7">
        <f t="shared" si="262"/>
        <v>15</v>
      </c>
      <c r="P1028" s="58">
        <v>44352</v>
      </c>
    </row>
    <row r="1029" spans="1:17" x14ac:dyDescent="0.15">
      <c r="A1029" s="16" t="s">
        <v>117</v>
      </c>
      <c r="B1029" s="8"/>
      <c r="C1029" s="10">
        <v>1</v>
      </c>
      <c r="D1029" s="10"/>
      <c r="E1029" s="10"/>
      <c r="F1029" s="30"/>
      <c r="G1029" s="7">
        <f t="shared" si="260"/>
        <v>1</v>
      </c>
      <c r="H1029" s="58">
        <v>44268</v>
      </c>
      <c r="I1029" s="16"/>
      <c r="J1029" s="8"/>
      <c r="K1029" s="10"/>
      <c r="L1029" s="10"/>
      <c r="M1029" s="10"/>
      <c r="N1029" s="30"/>
      <c r="O1029" s="7">
        <f t="shared" si="262"/>
        <v>0</v>
      </c>
      <c r="P1029" s="58"/>
    </row>
    <row r="1030" spans="1:17" x14ac:dyDescent="0.15">
      <c r="A1030" s="16" t="s">
        <v>117</v>
      </c>
      <c r="B1030" s="8"/>
      <c r="C1030" s="10"/>
      <c r="D1030" s="10">
        <v>1</v>
      </c>
      <c r="E1030" s="10"/>
      <c r="F1030" s="30"/>
      <c r="G1030" s="7">
        <f t="shared" si="260"/>
        <v>1</v>
      </c>
      <c r="H1030" s="58">
        <v>44301</v>
      </c>
      <c r="I1030" s="16"/>
      <c r="J1030" s="8"/>
      <c r="K1030" s="10"/>
      <c r="L1030" s="10"/>
      <c r="M1030" s="10"/>
      <c r="N1030" s="30"/>
      <c r="O1030" s="7">
        <f t="shared" si="262"/>
        <v>0</v>
      </c>
      <c r="P1030" s="58"/>
    </row>
    <row r="1031" spans="1:17" x14ac:dyDescent="0.15">
      <c r="A1031" s="16" t="s">
        <v>117</v>
      </c>
      <c r="B1031" s="8"/>
      <c r="C1031" s="10"/>
      <c r="D1031" s="10"/>
      <c r="E1031" s="10"/>
      <c r="F1031" s="30">
        <v>1</v>
      </c>
      <c r="G1031" s="7">
        <f t="shared" si="260"/>
        <v>1</v>
      </c>
      <c r="H1031" s="58">
        <v>44307</v>
      </c>
      <c r="I1031" s="16"/>
      <c r="J1031" s="11"/>
      <c r="K1031" s="12"/>
      <c r="L1031" s="12"/>
      <c r="M1031" s="12"/>
      <c r="N1031" s="31"/>
      <c r="O1031" s="7">
        <f t="shared" si="262"/>
        <v>0</v>
      </c>
      <c r="P1031" s="58"/>
      <c r="Q1031" s="56"/>
    </row>
    <row r="1032" spans="1:17" x14ac:dyDescent="0.15">
      <c r="A1032" s="16" t="s">
        <v>29</v>
      </c>
      <c r="B1032" s="8"/>
      <c r="C1032" s="10"/>
      <c r="D1032" s="10">
        <v>1</v>
      </c>
      <c r="E1032" s="10"/>
      <c r="F1032" s="30"/>
      <c r="G1032" s="7">
        <f t="shared" si="260"/>
        <v>1</v>
      </c>
      <c r="H1032" s="58">
        <v>44314</v>
      </c>
      <c r="I1032" s="16"/>
      <c r="J1032" s="8"/>
      <c r="K1032" s="10"/>
      <c r="L1032" s="10"/>
      <c r="M1032" s="10"/>
      <c r="N1032" s="30"/>
      <c r="O1032" s="7">
        <f t="shared" si="262"/>
        <v>0</v>
      </c>
      <c r="P1032" s="58"/>
    </row>
    <row r="1033" spans="1:17" x14ac:dyDescent="0.15">
      <c r="A1033" s="16" t="s">
        <v>1418</v>
      </c>
      <c r="B1033" s="8"/>
      <c r="C1033" s="10"/>
      <c r="D1033" s="10">
        <v>-1</v>
      </c>
      <c r="E1033" s="10"/>
      <c r="F1033" s="30"/>
      <c r="G1033" s="7">
        <f t="shared" si="260"/>
        <v>-1</v>
      </c>
      <c r="H1033" s="58">
        <v>44316</v>
      </c>
      <c r="I1033" s="16"/>
      <c r="J1033" s="8"/>
      <c r="K1033" s="10"/>
      <c r="L1033" s="10"/>
      <c r="M1033" s="10"/>
      <c r="N1033" s="30"/>
      <c r="O1033" s="7">
        <f t="shared" si="262"/>
        <v>0</v>
      </c>
      <c r="P1033" s="58"/>
      <c r="Q1033" s="56"/>
    </row>
    <row r="1034" spans="1:17" x14ac:dyDescent="0.15">
      <c r="A1034" s="16" t="s">
        <v>117</v>
      </c>
      <c r="B1034" s="8">
        <v>1</v>
      </c>
      <c r="C1034" s="10">
        <v>1</v>
      </c>
      <c r="D1034" s="10"/>
      <c r="E1034" s="10"/>
      <c r="F1034" s="30"/>
      <c r="G1034" s="7">
        <f t="shared" si="260"/>
        <v>2</v>
      </c>
      <c r="H1034" s="58">
        <v>44323</v>
      </c>
      <c r="I1034" s="16"/>
      <c r="J1034" s="8"/>
      <c r="K1034" s="10"/>
      <c r="L1034" s="10"/>
      <c r="M1034" s="10"/>
      <c r="N1034" s="30"/>
      <c r="O1034" s="7">
        <f t="shared" si="262"/>
        <v>0</v>
      </c>
      <c r="P1034" s="58"/>
      <c r="Q1034" s="56"/>
    </row>
    <row r="1035" spans="1:17" x14ac:dyDescent="0.15">
      <c r="A1035" s="16" t="s">
        <v>485</v>
      </c>
      <c r="B1035" s="8"/>
      <c r="C1035" s="10"/>
      <c r="D1035" s="10">
        <v>-1</v>
      </c>
      <c r="E1035" s="10">
        <v>1</v>
      </c>
      <c r="F1035" s="30"/>
      <c r="G1035" s="7">
        <f t="shared" si="260"/>
        <v>0</v>
      </c>
      <c r="H1035" s="58">
        <v>44322</v>
      </c>
      <c r="I1035" s="16"/>
      <c r="J1035" s="8"/>
      <c r="K1035" s="10"/>
      <c r="L1035" s="10"/>
      <c r="M1035" s="10"/>
      <c r="N1035" s="30"/>
      <c r="O1035" s="7">
        <f t="shared" si="262"/>
        <v>0</v>
      </c>
      <c r="P1035" s="58"/>
      <c r="Q1035" s="56"/>
    </row>
    <row r="1036" spans="1:17" x14ac:dyDescent="0.15">
      <c r="A1036" s="16" t="s">
        <v>485</v>
      </c>
      <c r="B1036" s="8"/>
      <c r="C1036" s="10"/>
      <c r="D1036" s="10"/>
      <c r="E1036" s="10">
        <v>-1</v>
      </c>
      <c r="F1036" s="30">
        <v>1</v>
      </c>
      <c r="G1036" s="7">
        <f t="shared" si="260"/>
        <v>0</v>
      </c>
      <c r="H1036" s="58">
        <v>44329</v>
      </c>
      <c r="I1036" s="16"/>
      <c r="J1036" s="8"/>
      <c r="K1036" s="10"/>
      <c r="L1036" s="10"/>
      <c r="M1036" s="10"/>
      <c r="N1036" s="30"/>
      <c r="O1036" s="7">
        <f t="shared" si="262"/>
        <v>0</v>
      </c>
      <c r="P1036" s="58"/>
    </row>
    <row r="1037" spans="1:17" x14ac:dyDescent="0.15">
      <c r="A1037" s="15" t="s">
        <v>19</v>
      </c>
      <c r="B1037" s="8"/>
      <c r="C1037" s="10"/>
      <c r="D1037" s="10">
        <v>-2</v>
      </c>
      <c r="E1037" s="10"/>
      <c r="F1037" s="30">
        <v>-1</v>
      </c>
      <c r="G1037" s="7">
        <f t="shared" si="260"/>
        <v>-3</v>
      </c>
      <c r="H1037" s="58">
        <v>44340</v>
      </c>
      <c r="I1037" s="16"/>
      <c r="J1037" s="8"/>
      <c r="K1037" s="10"/>
      <c r="L1037" s="10"/>
      <c r="M1037" s="10"/>
      <c r="N1037" s="30"/>
      <c r="O1037" s="7">
        <f t="shared" si="262"/>
        <v>0</v>
      </c>
      <c r="P1037" s="58"/>
    </row>
    <row r="1038" spans="1:17" x14ac:dyDescent="0.15">
      <c r="A1038" s="16" t="s">
        <v>29</v>
      </c>
      <c r="B1038" s="8"/>
      <c r="C1038" s="10"/>
      <c r="D1038" s="10"/>
      <c r="E1038" s="10">
        <v>1</v>
      </c>
      <c r="F1038" s="30"/>
      <c r="G1038" s="7">
        <f t="shared" si="260"/>
        <v>1</v>
      </c>
      <c r="H1038" s="58">
        <v>44341</v>
      </c>
      <c r="I1038" s="16"/>
      <c r="J1038" s="8"/>
      <c r="K1038" s="10"/>
      <c r="L1038" s="10"/>
      <c r="M1038" s="10"/>
      <c r="N1038" s="30"/>
      <c r="O1038" s="7">
        <f t="shared" si="262"/>
        <v>0</v>
      </c>
      <c r="P1038" s="58"/>
      <c r="Q1038" s="56"/>
    </row>
    <row r="1039" spans="1:17" x14ac:dyDescent="0.15">
      <c r="A1039" s="16" t="s">
        <v>1421</v>
      </c>
      <c r="B1039" s="11"/>
      <c r="C1039" s="12"/>
      <c r="D1039" s="12">
        <v>2</v>
      </c>
      <c r="E1039" s="12"/>
      <c r="F1039" s="31">
        <v>1</v>
      </c>
      <c r="G1039" s="7">
        <f t="shared" si="260"/>
        <v>3</v>
      </c>
      <c r="H1039" s="58">
        <v>44345</v>
      </c>
      <c r="I1039" s="16"/>
      <c r="J1039" s="11"/>
      <c r="K1039" s="12"/>
      <c r="L1039" s="12"/>
      <c r="M1039" s="12"/>
      <c r="N1039" s="31"/>
      <c r="O1039" s="7">
        <f t="shared" si="262"/>
        <v>0</v>
      </c>
      <c r="P1039" s="58"/>
      <c r="Q1039" s="56"/>
    </row>
    <row r="1040" spans="1:17" x14ac:dyDescent="0.15">
      <c r="A1040" s="16" t="s">
        <v>29</v>
      </c>
      <c r="B1040" s="8">
        <v>1</v>
      </c>
      <c r="C1040" s="10"/>
      <c r="D1040" s="10"/>
      <c r="E1040" s="10"/>
      <c r="F1040" s="30"/>
      <c r="G1040" s="7">
        <f t="shared" si="260"/>
        <v>1</v>
      </c>
      <c r="H1040" s="58">
        <v>44347</v>
      </c>
      <c r="I1040" s="16"/>
      <c r="J1040" s="11"/>
      <c r="K1040" s="12"/>
      <c r="L1040" s="12"/>
      <c r="M1040" s="12"/>
      <c r="N1040" s="31"/>
      <c r="O1040" s="7">
        <f t="shared" si="262"/>
        <v>0</v>
      </c>
      <c r="P1040" s="58"/>
    </row>
    <row r="1041" spans="1:17" x14ac:dyDescent="0.15">
      <c r="A1041" s="16" t="s">
        <v>1422</v>
      </c>
      <c r="B1041" s="8"/>
      <c r="C1041" s="10"/>
      <c r="D1041" s="10"/>
      <c r="E1041" s="10"/>
      <c r="F1041" s="30">
        <v>-3</v>
      </c>
      <c r="G1041" s="7">
        <f>SUM(B1041:F1041)</f>
        <v>-3</v>
      </c>
      <c r="H1041" s="58">
        <v>44348</v>
      </c>
      <c r="I1041" s="16"/>
      <c r="J1041" s="11"/>
      <c r="K1041" s="12"/>
      <c r="L1041" s="12"/>
      <c r="M1041" s="12"/>
      <c r="N1041" s="31"/>
      <c r="O1041" s="7">
        <f t="shared" si="262"/>
        <v>0</v>
      </c>
      <c r="P1041" s="58"/>
      <c r="Q1041" s="68"/>
    </row>
    <row r="1042" spans="1:17" x14ac:dyDescent="0.15">
      <c r="A1042" s="16" t="s">
        <v>485</v>
      </c>
      <c r="B1042" s="8"/>
      <c r="C1042" s="10"/>
      <c r="D1042" s="10"/>
      <c r="E1042" s="10">
        <v>-1</v>
      </c>
      <c r="F1042" s="30">
        <v>1</v>
      </c>
      <c r="G1042" s="7">
        <f>SUM(B1042:F1042)</f>
        <v>0</v>
      </c>
      <c r="H1042" s="58">
        <v>44347</v>
      </c>
      <c r="I1042" s="16"/>
      <c r="J1042" s="11"/>
      <c r="K1042" s="12"/>
      <c r="L1042" s="12"/>
      <c r="M1042" s="12"/>
      <c r="N1042" s="31"/>
      <c r="O1042" s="7">
        <f t="shared" si="262"/>
        <v>0</v>
      </c>
      <c r="P1042" s="58"/>
    </row>
    <row r="1043" spans="1:17" x14ac:dyDescent="0.15">
      <c r="A1043" s="16" t="s">
        <v>1423</v>
      </c>
      <c r="B1043" s="8"/>
      <c r="C1043" s="10"/>
      <c r="D1043" s="10">
        <v>1</v>
      </c>
      <c r="E1043" s="10"/>
      <c r="F1043" s="30"/>
      <c r="G1043" s="7">
        <f t="shared" ref="G1043:G1048" si="265">SUM(B1043:F1043)</f>
        <v>1</v>
      </c>
      <c r="H1043" s="58">
        <v>44350</v>
      </c>
      <c r="I1043" s="16"/>
      <c r="J1043" s="8"/>
      <c r="K1043" s="10"/>
      <c r="L1043" s="10"/>
      <c r="M1043" s="10"/>
      <c r="N1043" s="30"/>
      <c r="O1043" s="7">
        <f t="shared" si="262"/>
        <v>0</v>
      </c>
      <c r="P1043" s="56"/>
    </row>
    <row r="1044" spans="1:17" x14ac:dyDescent="0.15">
      <c r="A1044" s="16" t="s">
        <v>29</v>
      </c>
      <c r="B1044" s="11"/>
      <c r="C1044" s="12"/>
      <c r="D1044" s="12">
        <v>1</v>
      </c>
      <c r="E1044" s="12"/>
      <c r="F1044" s="31"/>
      <c r="G1044" s="7">
        <f t="shared" si="265"/>
        <v>1</v>
      </c>
      <c r="H1044" s="58">
        <v>44349</v>
      </c>
      <c r="I1044" s="16"/>
      <c r="J1044" s="11"/>
      <c r="K1044" s="12"/>
      <c r="L1044" s="12"/>
      <c r="M1044" s="12"/>
      <c r="N1044" s="31"/>
      <c r="O1044" s="7">
        <f t="shared" si="262"/>
        <v>0</v>
      </c>
      <c r="P1044" s="58"/>
    </row>
    <row r="1045" spans="1:17" x14ac:dyDescent="0.15">
      <c r="A1045" s="16" t="s">
        <v>485</v>
      </c>
      <c r="B1045" s="8">
        <v>-1</v>
      </c>
      <c r="C1045" s="10">
        <v>1</v>
      </c>
      <c r="D1045" s="10"/>
      <c r="E1045" s="10"/>
      <c r="F1045" s="30"/>
      <c r="G1045" s="7">
        <f t="shared" si="265"/>
        <v>0</v>
      </c>
      <c r="H1045" s="58">
        <v>44351</v>
      </c>
      <c r="I1045" s="16"/>
      <c r="J1045" s="11"/>
      <c r="K1045" s="12"/>
      <c r="L1045" s="12"/>
      <c r="M1045" s="12"/>
      <c r="N1045" s="31"/>
      <c r="O1045" s="7">
        <f t="shared" si="262"/>
        <v>0</v>
      </c>
      <c r="P1045" s="56"/>
    </row>
    <row r="1046" spans="1:17" x14ac:dyDescent="0.15">
      <c r="A1046" s="16" t="s">
        <v>1155</v>
      </c>
      <c r="B1046" s="37">
        <v>-3</v>
      </c>
      <c r="C1046" s="35">
        <v>-3</v>
      </c>
      <c r="D1046" s="35">
        <v>-3</v>
      </c>
      <c r="E1046" s="35">
        <v>-3</v>
      </c>
      <c r="F1046" s="28">
        <v>-3</v>
      </c>
      <c r="G1046" s="7">
        <f t="shared" si="265"/>
        <v>-15</v>
      </c>
      <c r="H1046" s="58">
        <v>44352</v>
      </c>
      <c r="I1046" s="16"/>
      <c r="J1046" s="11"/>
      <c r="K1046" s="12"/>
      <c r="L1046" s="12"/>
      <c r="M1046" s="12"/>
      <c r="N1046" s="31"/>
      <c r="O1046" s="7">
        <f t="shared" si="262"/>
        <v>0</v>
      </c>
      <c r="P1046" s="56"/>
    </row>
    <row r="1047" spans="1:17" x14ac:dyDescent="0.15">
      <c r="A1047" s="16" t="s">
        <v>29</v>
      </c>
      <c r="B1047" s="8"/>
      <c r="C1047" s="10">
        <v>1</v>
      </c>
      <c r="D1047" s="10"/>
      <c r="E1047" s="10"/>
      <c r="F1047" s="30"/>
      <c r="G1047" s="9">
        <f t="shared" si="265"/>
        <v>1</v>
      </c>
      <c r="H1047" s="58">
        <v>44354</v>
      </c>
      <c r="I1047" s="16"/>
      <c r="J1047" s="11"/>
      <c r="K1047" s="12"/>
      <c r="L1047" s="12"/>
      <c r="M1047" s="12"/>
      <c r="N1047" s="31"/>
      <c r="O1047" s="7">
        <f t="shared" si="262"/>
        <v>0</v>
      </c>
      <c r="P1047" s="56"/>
    </row>
    <row r="1048" spans="1:17" ht="14.25" thickBot="1" x14ac:dyDescent="0.2">
      <c r="A1048" s="16" t="s">
        <v>117</v>
      </c>
      <c r="B1048" s="37">
        <v>1</v>
      </c>
      <c r="C1048" s="35"/>
      <c r="D1048" s="35"/>
      <c r="E1048" s="35"/>
      <c r="F1048" s="28"/>
      <c r="G1048" s="7">
        <f t="shared" si="265"/>
        <v>1</v>
      </c>
      <c r="H1048" s="58">
        <v>44357</v>
      </c>
      <c r="I1048" s="16" t="s">
        <v>1334</v>
      </c>
      <c r="J1048" s="11"/>
      <c r="K1048" s="12"/>
      <c r="L1048" s="12"/>
      <c r="M1048" s="12"/>
      <c r="N1048" s="31"/>
      <c r="O1048" s="7">
        <f t="shared" ref="O1048" si="266">SUM(J1048:N1048)</f>
        <v>0</v>
      </c>
      <c r="P1048" s="56" t="s">
        <v>1335</v>
      </c>
      <c r="Q1048" s="68"/>
    </row>
    <row r="1049" spans="1:17" ht="14.25" thickBot="1" x14ac:dyDescent="0.2">
      <c r="A1049" s="3" t="s">
        <v>11</v>
      </c>
      <c r="B1049" s="23">
        <f>SUM(B1023:B1048)</f>
        <v>2</v>
      </c>
      <c r="C1049" s="4">
        <f>SUM(C1023:C1048)</f>
        <v>4</v>
      </c>
      <c r="D1049" s="4">
        <f>SUM(D1023:D1048)</f>
        <v>0</v>
      </c>
      <c r="E1049" s="6">
        <f>SUM(E1023:E1048)</f>
        <v>-1</v>
      </c>
      <c r="F1049" s="32">
        <f>SUM(F1023:F1048)</f>
        <v>3</v>
      </c>
      <c r="G1049" s="5">
        <f>SUM(B1049:F1049)</f>
        <v>8</v>
      </c>
      <c r="H1049" s="56"/>
      <c r="I1049" s="3" t="s">
        <v>11</v>
      </c>
      <c r="J1049" s="23">
        <f>SUM(J1023:J1048)</f>
        <v>4</v>
      </c>
      <c r="K1049" s="4">
        <f>SUM(K1023:K1048)</f>
        <v>3</v>
      </c>
      <c r="L1049" s="4">
        <f>SUM(L1023:L1048)</f>
        <v>13</v>
      </c>
      <c r="M1049" s="6">
        <f>SUM(M1023:M1048)</f>
        <v>6</v>
      </c>
      <c r="N1049" s="32">
        <f>SUM(N1023:N1048)</f>
        <v>16</v>
      </c>
      <c r="O1049" s="5">
        <f>SUM(J1049:N1049)</f>
        <v>42</v>
      </c>
    </row>
    <row r="1050" spans="1:17" ht="14.25" thickBot="1" x14ac:dyDescent="0.2">
      <c r="A1050" s="25" t="s">
        <v>12</v>
      </c>
      <c r="B1050" s="63">
        <f>B1022-B1049</f>
        <v>4</v>
      </c>
      <c r="C1050" s="26">
        <f t="shared" ref="C1050:G1050" si="267">C1022-C1049</f>
        <v>4</v>
      </c>
      <c r="D1050" s="71">
        <f t="shared" si="267"/>
        <v>5</v>
      </c>
      <c r="E1050" s="26">
        <f t="shared" si="267"/>
        <v>7</v>
      </c>
      <c r="F1050" s="70">
        <f t="shared" si="267"/>
        <v>5</v>
      </c>
      <c r="G1050" s="27">
        <f t="shared" si="267"/>
        <v>25</v>
      </c>
      <c r="H1050" s="56"/>
      <c r="I1050" s="25" t="s">
        <v>12</v>
      </c>
      <c r="J1050" s="63">
        <f>J1022-J1049</f>
        <v>204</v>
      </c>
      <c r="K1050" s="26">
        <f t="shared" ref="K1050:M1050" si="268">K1022-K1049</f>
        <v>187</v>
      </c>
      <c r="L1050" s="71">
        <f t="shared" si="268"/>
        <v>163</v>
      </c>
      <c r="M1050" s="26">
        <f t="shared" si="268"/>
        <v>152</v>
      </c>
      <c r="N1050" s="70">
        <f>N1022-N1049</f>
        <v>159</v>
      </c>
      <c r="O1050" s="27">
        <f t="shared" ref="O1050" si="269">O1022-O1049</f>
        <v>865</v>
      </c>
    </row>
    <row r="1051" spans="1:17" ht="21" x14ac:dyDescent="0.2">
      <c r="A1051" s="83" t="s">
        <v>415</v>
      </c>
      <c r="B1051" s="77"/>
      <c r="C1051" s="77"/>
      <c r="D1051" s="77"/>
      <c r="E1051" s="77"/>
      <c r="F1051" s="77"/>
      <c r="G1051" s="77"/>
      <c r="H1051" s="56"/>
      <c r="I1051" s="83" t="s">
        <v>415</v>
      </c>
      <c r="J1051" s="77"/>
      <c r="K1051" s="77"/>
      <c r="L1051" s="77"/>
      <c r="M1051" s="77"/>
      <c r="N1051" s="77"/>
      <c r="O1051" s="77"/>
    </row>
    <row r="1052" spans="1:17" ht="21.75" thickBot="1" x14ac:dyDescent="0.25">
      <c r="A1052" s="83" t="s">
        <v>47</v>
      </c>
      <c r="B1052" s="77"/>
      <c r="C1052" s="77"/>
      <c r="D1052" s="77"/>
      <c r="E1052" s="84"/>
      <c r="F1052" s="78" t="s">
        <v>53</v>
      </c>
      <c r="G1052" s="77"/>
      <c r="H1052" s="56"/>
      <c r="I1052" s="83" t="s">
        <v>47</v>
      </c>
      <c r="J1052" s="77"/>
      <c r="K1052" s="77"/>
      <c r="L1052" s="77"/>
      <c r="M1052" s="84"/>
      <c r="N1052" s="78" t="s">
        <v>54</v>
      </c>
      <c r="O1052" s="77"/>
    </row>
    <row r="1053" spans="1:17" ht="14.25" thickBot="1" x14ac:dyDescent="0.2">
      <c r="A1053" s="13" t="s">
        <v>0</v>
      </c>
      <c r="B1053" s="228" t="s">
        <v>49</v>
      </c>
      <c r="C1053" s="229"/>
      <c r="D1053" s="229"/>
      <c r="E1053" s="229"/>
      <c r="F1053" s="230"/>
      <c r="G1053" s="231"/>
      <c r="H1053" s="56"/>
      <c r="I1053" s="13" t="s">
        <v>0</v>
      </c>
      <c r="J1053" s="228" t="s">
        <v>49</v>
      </c>
      <c r="K1053" s="229"/>
      <c r="L1053" s="229"/>
      <c r="M1053" s="229"/>
      <c r="N1053" s="230"/>
      <c r="O1053" s="231"/>
    </row>
    <row r="1054" spans="1:17" ht="14.25" thickBot="1" x14ac:dyDescent="0.2">
      <c r="A1054" s="3" t="s">
        <v>1</v>
      </c>
      <c r="B1054" s="2" t="s">
        <v>42</v>
      </c>
      <c r="C1054" s="21" t="s">
        <v>43</v>
      </c>
      <c r="D1054" s="21" t="s">
        <v>44</v>
      </c>
      <c r="E1054" s="24" t="s">
        <v>45</v>
      </c>
      <c r="F1054" s="33" t="s">
        <v>46</v>
      </c>
      <c r="G1054" s="34" t="s">
        <v>2</v>
      </c>
      <c r="H1054" s="56"/>
      <c r="I1054" s="3" t="s">
        <v>1</v>
      </c>
      <c r="J1054" s="2" t="s">
        <v>42</v>
      </c>
      <c r="K1054" s="21" t="s">
        <v>43</v>
      </c>
      <c r="L1054" s="21" t="s">
        <v>44</v>
      </c>
      <c r="M1054" s="24" t="s">
        <v>45</v>
      </c>
      <c r="N1054" s="33" t="s">
        <v>46</v>
      </c>
      <c r="O1054" s="3" t="s">
        <v>2</v>
      </c>
    </row>
    <row r="1055" spans="1:17" ht="14.25" thickBot="1" x14ac:dyDescent="0.2">
      <c r="A1055" s="72" t="s">
        <v>527</v>
      </c>
      <c r="B1055" s="73">
        <f>B1050</f>
        <v>4</v>
      </c>
      <c r="C1055" s="73">
        <f t="shared" ref="C1055:F1055" si="270">C1050</f>
        <v>4</v>
      </c>
      <c r="D1055" s="73">
        <f t="shared" si="270"/>
        <v>5</v>
      </c>
      <c r="E1055" s="73">
        <f t="shared" si="270"/>
        <v>7</v>
      </c>
      <c r="F1055" s="73">
        <f t="shared" si="270"/>
        <v>5</v>
      </c>
      <c r="G1055" s="76">
        <f t="shared" ref="G1055:G1082" si="271">SUM(B1055:F1055)</f>
        <v>25</v>
      </c>
      <c r="H1055" s="56"/>
      <c r="I1055" s="96" t="s">
        <v>12</v>
      </c>
      <c r="J1055" s="95">
        <f>J1050</f>
        <v>204</v>
      </c>
      <c r="K1055" s="97">
        <f t="shared" ref="K1055:N1055" si="272">K1050</f>
        <v>187</v>
      </c>
      <c r="L1055" s="97">
        <f t="shared" si="272"/>
        <v>163</v>
      </c>
      <c r="M1055" s="97">
        <f t="shared" si="272"/>
        <v>152</v>
      </c>
      <c r="N1055" s="54">
        <f t="shared" si="272"/>
        <v>159</v>
      </c>
      <c r="O1055" s="52">
        <f t="shared" ref="O1055:O1090" si="273">SUM(J1055:N1055)</f>
        <v>865</v>
      </c>
    </row>
    <row r="1056" spans="1:17" x14ac:dyDescent="0.15">
      <c r="A1056" s="15" t="s">
        <v>14</v>
      </c>
      <c r="B1056" s="37"/>
      <c r="C1056" s="35">
        <v>3</v>
      </c>
      <c r="D1056" s="35"/>
      <c r="E1056" s="35"/>
      <c r="F1056" s="28"/>
      <c r="G1056" s="7">
        <f t="shared" si="271"/>
        <v>3</v>
      </c>
      <c r="H1056" s="58">
        <v>44380</v>
      </c>
      <c r="I1056" s="15" t="s">
        <v>3</v>
      </c>
      <c r="J1056" s="37"/>
      <c r="K1056" s="35"/>
      <c r="L1056" s="35"/>
      <c r="M1056" s="35"/>
      <c r="N1056" s="28"/>
      <c r="O1056" s="18">
        <f t="shared" si="273"/>
        <v>0</v>
      </c>
      <c r="P1056" s="58"/>
    </row>
    <row r="1057" spans="1:17" x14ac:dyDescent="0.15">
      <c r="A1057" s="15" t="s">
        <v>3</v>
      </c>
      <c r="B1057" s="8"/>
      <c r="C1057" s="10"/>
      <c r="D1057" s="10">
        <v>3</v>
      </c>
      <c r="E1057" s="10"/>
      <c r="F1057" s="28"/>
      <c r="G1057" s="9">
        <f t="shared" si="271"/>
        <v>3</v>
      </c>
      <c r="H1057" s="58">
        <v>44383</v>
      </c>
      <c r="I1057" s="15" t="s">
        <v>4</v>
      </c>
      <c r="J1057" s="8"/>
      <c r="K1057" s="10"/>
      <c r="L1057" s="10"/>
      <c r="M1057" s="10"/>
      <c r="N1057" s="28"/>
      <c r="O1057" s="9">
        <f t="shared" si="273"/>
        <v>0</v>
      </c>
      <c r="P1057" s="57"/>
    </row>
    <row r="1058" spans="1:17" x14ac:dyDescent="0.15">
      <c r="A1058" s="15" t="s">
        <v>4</v>
      </c>
      <c r="B1058" s="8">
        <v>3</v>
      </c>
      <c r="C1058" s="10"/>
      <c r="D1058" s="10"/>
      <c r="E1058" s="10"/>
      <c r="F1058" s="28">
        <v>3</v>
      </c>
      <c r="G1058" s="9">
        <f t="shared" si="271"/>
        <v>6</v>
      </c>
      <c r="H1058" s="58">
        <v>44405</v>
      </c>
      <c r="I1058" s="15" t="s">
        <v>5</v>
      </c>
      <c r="J1058" s="8"/>
      <c r="K1058" s="10"/>
      <c r="L1058" s="10"/>
      <c r="M1058" s="10"/>
      <c r="N1058" s="28"/>
      <c r="O1058" s="9">
        <f t="shared" si="273"/>
        <v>0</v>
      </c>
    </row>
    <row r="1059" spans="1:17" x14ac:dyDescent="0.15">
      <c r="A1059" s="15" t="s">
        <v>5</v>
      </c>
      <c r="B1059" s="8"/>
      <c r="C1059" s="10">
        <v>3</v>
      </c>
      <c r="D1059" s="10"/>
      <c r="E1059" s="10"/>
      <c r="F1059" s="28"/>
      <c r="G1059" s="9">
        <f t="shared" si="271"/>
        <v>3</v>
      </c>
      <c r="H1059" s="58">
        <v>44438</v>
      </c>
      <c r="I1059" s="15" t="s">
        <v>6</v>
      </c>
      <c r="J1059" s="8"/>
      <c r="K1059" s="10"/>
      <c r="L1059" s="10"/>
      <c r="M1059" s="10"/>
      <c r="N1059" s="28"/>
      <c r="O1059" s="9">
        <f t="shared" si="273"/>
        <v>0</v>
      </c>
    </row>
    <row r="1060" spans="1:17" x14ac:dyDescent="0.15">
      <c r="A1060" s="15" t="s">
        <v>6</v>
      </c>
      <c r="B1060" s="11"/>
      <c r="C1060" s="12">
        <v>1</v>
      </c>
      <c r="D1060" s="12">
        <v>1</v>
      </c>
      <c r="E1060" s="12">
        <v>1</v>
      </c>
      <c r="F1060" s="31"/>
      <c r="G1060" s="7">
        <f t="shared" si="271"/>
        <v>3</v>
      </c>
      <c r="H1060" s="58">
        <v>44443</v>
      </c>
      <c r="I1060" s="15" t="s">
        <v>84</v>
      </c>
      <c r="J1060" s="11"/>
      <c r="K1060" s="12"/>
      <c r="L1060" s="12"/>
      <c r="M1060" s="12"/>
      <c r="N1060" s="31"/>
      <c r="O1060" s="7">
        <f t="shared" si="273"/>
        <v>0</v>
      </c>
    </row>
    <row r="1061" spans="1:17" x14ac:dyDescent="0.15">
      <c r="A1061" s="15" t="s">
        <v>84</v>
      </c>
      <c r="B1061" s="8"/>
      <c r="C1061" s="10"/>
      <c r="D1061" s="10"/>
      <c r="E1061" s="10"/>
      <c r="F1061" s="30"/>
      <c r="G1061" s="7">
        <f t="shared" si="271"/>
        <v>0</v>
      </c>
      <c r="H1061" s="58"/>
      <c r="I1061" s="15" t="s">
        <v>85</v>
      </c>
      <c r="J1061" s="8"/>
      <c r="K1061" s="10"/>
      <c r="L1061" s="10"/>
      <c r="M1061" s="10"/>
      <c r="N1061" s="30"/>
      <c r="O1061" s="7">
        <f t="shared" si="273"/>
        <v>0</v>
      </c>
    </row>
    <row r="1062" spans="1:17" x14ac:dyDescent="0.15">
      <c r="A1062" s="15" t="s">
        <v>85</v>
      </c>
      <c r="B1062" s="8"/>
      <c r="C1062" s="10"/>
      <c r="D1062" s="10"/>
      <c r="E1062" s="10"/>
      <c r="F1062" s="30"/>
      <c r="G1062" s="7">
        <f t="shared" si="271"/>
        <v>0</v>
      </c>
      <c r="H1062" s="58"/>
      <c r="I1062" s="15" t="s">
        <v>86</v>
      </c>
      <c r="J1062" s="8"/>
      <c r="K1062" s="10"/>
      <c r="L1062" s="10"/>
      <c r="M1062" s="10"/>
      <c r="N1062" s="30"/>
      <c r="O1062" s="7">
        <f t="shared" si="273"/>
        <v>0</v>
      </c>
    </row>
    <row r="1063" spans="1:17" ht="14.25" thickBot="1" x14ac:dyDescent="0.2">
      <c r="A1063" s="15" t="s">
        <v>86</v>
      </c>
      <c r="B1063" s="11"/>
      <c r="C1063" s="100"/>
      <c r="D1063" s="100"/>
      <c r="E1063" s="100"/>
      <c r="F1063" s="101"/>
      <c r="G1063" s="102">
        <f t="shared" si="271"/>
        <v>0</v>
      </c>
      <c r="H1063" s="58"/>
      <c r="I1063" s="15" t="s">
        <v>87</v>
      </c>
      <c r="J1063" s="11"/>
      <c r="K1063" s="100"/>
      <c r="L1063" s="100"/>
      <c r="M1063" s="100"/>
      <c r="N1063" s="101"/>
      <c r="O1063" s="102">
        <f t="shared" si="273"/>
        <v>0</v>
      </c>
    </row>
    <row r="1064" spans="1:17" ht="14.25" thickBot="1" x14ac:dyDescent="0.2">
      <c r="A1064" s="72" t="s">
        <v>7</v>
      </c>
      <c r="B1064" s="73">
        <f>SUM(B1055:B1063)</f>
        <v>7</v>
      </c>
      <c r="C1064" s="74">
        <f t="shared" ref="C1064:F1064" si="274">SUM(C1055:C1063)</f>
        <v>11</v>
      </c>
      <c r="D1064" s="74">
        <f t="shared" si="274"/>
        <v>9</v>
      </c>
      <c r="E1064" s="74">
        <f t="shared" si="274"/>
        <v>8</v>
      </c>
      <c r="F1064" s="105">
        <f t="shared" si="274"/>
        <v>8</v>
      </c>
      <c r="G1064" s="76">
        <f t="shared" si="271"/>
        <v>43</v>
      </c>
      <c r="H1064" s="56"/>
      <c r="I1064" s="72" t="s">
        <v>7</v>
      </c>
      <c r="J1064" s="73">
        <f>SUM(J1055:J1063)</f>
        <v>204</v>
      </c>
      <c r="K1064" s="74">
        <f t="shared" ref="K1064:N1064" si="275">SUM(K1055:K1063)</f>
        <v>187</v>
      </c>
      <c r="L1064" s="74">
        <f t="shared" si="275"/>
        <v>163</v>
      </c>
      <c r="M1064" s="74">
        <f t="shared" si="275"/>
        <v>152</v>
      </c>
      <c r="N1064" s="105">
        <f t="shared" si="275"/>
        <v>159</v>
      </c>
      <c r="O1064" s="76">
        <f t="shared" si="273"/>
        <v>865</v>
      </c>
    </row>
    <row r="1065" spans="1:17" x14ac:dyDescent="0.15">
      <c r="A1065" s="16" t="s">
        <v>117</v>
      </c>
      <c r="B1065" s="37"/>
      <c r="C1065" s="35"/>
      <c r="D1065" s="35"/>
      <c r="E1065" s="35"/>
      <c r="F1065" s="28">
        <v>1</v>
      </c>
      <c r="G1065" s="18">
        <f t="shared" si="271"/>
        <v>1</v>
      </c>
      <c r="H1065" s="58">
        <v>44358</v>
      </c>
      <c r="I1065" s="16" t="s">
        <v>117</v>
      </c>
      <c r="J1065" s="8"/>
      <c r="K1065" s="10"/>
      <c r="L1065" s="10"/>
      <c r="M1065" s="10">
        <v>1</v>
      </c>
      <c r="N1065" s="30"/>
      <c r="O1065" s="7">
        <f t="shared" si="273"/>
        <v>1</v>
      </c>
      <c r="P1065" s="58">
        <v>44369</v>
      </c>
    </row>
    <row r="1066" spans="1:17" x14ac:dyDescent="0.15">
      <c r="A1066" s="16" t="s">
        <v>29</v>
      </c>
      <c r="B1066" s="8"/>
      <c r="C1066" s="10"/>
      <c r="D1066" s="10"/>
      <c r="E1066" s="10">
        <v>1</v>
      </c>
      <c r="F1066" s="30"/>
      <c r="G1066" s="7">
        <f t="shared" si="271"/>
        <v>1</v>
      </c>
      <c r="H1066" s="58">
        <v>44357</v>
      </c>
      <c r="I1066" s="16" t="s">
        <v>1426</v>
      </c>
      <c r="J1066" s="8"/>
      <c r="K1066" s="10">
        <v>3</v>
      </c>
      <c r="L1066" s="10"/>
      <c r="M1066" s="10"/>
      <c r="N1066" s="30"/>
      <c r="O1066" s="7">
        <f t="shared" si="273"/>
        <v>3</v>
      </c>
      <c r="P1066" s="58">
        <v>44380</v>
      </c>
    </row>
    <row r="1067" spans="1:17" x14ac:dyDescent="0.15">
      <c r="A1067" s="16" t="s">
        <v>29</v>
      </c>
      <c r="B1067" s="8"/>
      <c r="C1067" s="10"/>
      <c r="D1067" s="10">
        <v>1</v>
      </c>
      <c r="E1067" s="10"/>
      <c r="F1067" s="30">
        <v>1</v>
      </c>
      <c r="G1067" s="7">
        <f t="shared" si="271"/>
        <v>2</v>
      </c>
      <c r="H1067" s="58">
        <v>44361</v>
      </c>
      <c r="I1067" s="16" t="s">
        <v>24</v>
      </c>
      <c r="J1067" s="8"/>
      <c r="K1067" s="10"/>
      <c r="L1067" s="10">
        <v>3</v>
      </c>
      <c r="M1067" s="10"/>
      <c r="N1067" s="28"/>
      <c r="O1067" s="9">
        <f t="shared" si="273"/>
        <v>3</v>
      </c>
      <c r="P1067" s="58">
        <v>44383</v>
      </c>
    </row>
    <row r="1068" spans="1:17" x14ac:dyDescent="0.15">
      <c r="A1068" s="16" t="s">
        <v>29</v>
      </c>
      <c r="B1068" s="8"/>
      <c r="C1068" s="10"/>
      <c r="D1068" s="10">
        <v>1</v>
      </c>
      <c r="E1068" s="10"/>
      <c r="F1068" s="30"/>
      <c r="G1068" s="7">
        <f t="shared" si="271"/>
        <v>1</v>
      </c>
      <c r="H1068" s="58">
        <v>44366</v>
      </c>
      <c r="I1068" s="16" t="s">
        <v>1427</v>
      </c>
      <c r="J1068" s="8"/>
      <c r="K1068" s="10">
        <v>1</v>
      </c>
      <c r="L1068" s="10"/>
      <c r="M1068" s="10"/>
      <c r="N1068" s="30"/>
      <c r="O1068" s="7">
        <f t="shared" si="273"/>
        <v>1</v>
      </c>
      <c r="P1068" s="58">
        <v>44387</v>
      </c>
      <c r="Q1068" s="56"/>
    </row>
    <row r="1069" spans="1:17" x14ac:dyDescent="0.15">
      <c r="A1069" s="16" t="s">
        <v>1342</v>
      </c>
      <c r="B1069" s="8"/>
      <c r="C1069" s="10">
        <v>1</v>
      </c>
      <c r="D1069" s="10"/>
      <c r="E1069" s="10"/>
      <c r="F1069" s="30"/>
      <c r="G1069" s="7">
        <f t="shared" si="271"/>
        <v>1</v>
      </c>
      <c r="H1069" s="58">
        <v>44371</v>
      </c>
      <c r="I1069" s="16" t="s">
        <v>1342</v>
      </c>
      <c r="J1069" s="8">
        <v>1</v>
      </c>
      <c r="K1069" s="10"/>
      <c r="L1069" s="10"/>
      <c r="M1069" s="10"/>
      <c r="N1069" s="30"/>
      <c r="O1069" s="7">
        <f t="shared" si="273"/>
        <v>1</v>
      </c>
      <c r="P1069" s="58">
        <v>44397</v>
      </c>
      <c r="Q1069" s="56"/>
    </row>
    <row r="1070" spans="1:17" x14ac:dyDescent="0.15">
      <c r="A1070" s="16" t="s">
        <v>29</v>
      </c>
      <c r="B1070" s="8"/>
      <c r="C1070" s="10">
        <v>1</v>
      </c>
      <c r="D1070" s="10"/>
      <c r="E1070" s="10"/>
      <c r="F1070" s="30"/>
      <c r="G1070" s="7">
        <f t="shared" si="271"/>
        <v>1</v>
      </c>
      <c r="H1070" s="58">
        <v>44375</v>
      </c>
      <c r="I1070" s="16" t="s">
        <v>8</v>
      </c>
      <c r="J1070" s="8"/>
      <c r="K1070" s="10"/>
      <c r="L1070" s="10"/>
      <c r="M1070" s="10">
        <v>5</v>
      </c>
      <c r="N1070" s="30"/>
      <c r="O1070" s="7">
        <f t="shared" si="273"/>
        <v>5</v>
      </c>
      <c r="P1070" s="58">
        <v>44404</v>
      </c>
      <c r="Q1070" s="56"/>
    </row>
    <row r="1071" spans="1:17" x14ac:dyDescent="0.15">
      <c r="A1071" s="16" t="s">
        <v>1342</v>
      </c>
      <c r="B1071" s="8">
        <v>1</v>
      </c>
      <c r="C1071" s="10"/>
      <c r="D1071" s="10"/>
      <c r="E1071" s="10"/>
      <c r="F1071" s="30"/>
      <c r="G1071" s="7">
        <f t="shared" si="271"/>
        <v>1</v>
      </c>
      <c r="H1071" s="58">
        <v>44382</v>
      </c>
      <c r="I1071" s="16" t="s">
        <v>1342</v>
      </c>
      <c r="J1071" s="8"/>
      <c r="K1071" s="10">
        <v>1</v>
      </c>
      <c r="L1071" s="10"/>
      <c r="M1071" s="10"/>
      <c r="N1071" s="30">
        <v>1</v>
      </c>
      <c r="O1071" s="7">
        <f t="shared" si="273"/>
        <v>2</v>
      </c>
      <c r="P1071" s="58">
        <v>44404</v>
      </c>
      <c r="Q1071" s="56"/>
    </row>
    <row r="1072" spans="1:17" x14ac:dyDescent="0.15">
      <c r="A1072" s="16" t="s">
        <v>29</v>
      </c>
      <c r="B1072" s="8"/>
      <c r="C1072" s="10">
        <v>1</v>
      </c>
      <c r="D1072" s="10"/>
      <c r="E1072" s="10"/>
      <c r="F1072" s="30"/>
      <c r="G1072" s="7">
        <f t="shared" si="271"/>
        <v>1</v>
      </c>
      <c r="H1072" s="58">
        <v>44386</v>
      </c>
      <c r="I1072" s="15" t="s">
        <v>24</v>
      </c>
      <c r="J1072" s="8">
        <v>3</v>
      </c>
      <c r="K1072" s="10"/>
      <c r="L1072" s="10"/>
      <c r="M1072" s="10"/>
      <c r="N1072" s="28">
        <v>3</v>
      </c>
      <c r="O1072" s="9">
        <f t="shared" si="273"/>
        <v>6</v>
      </c>
      <c r="P1072" s="58">
        <v>44405</v>
      </c>
      <c r="Q1072" s="56"/>
    </row>
    <row r="1073" spans="1:17" x14ac:dyDescent="0.15">
      <c r="A1073" s="14" t="s">
        <v>713</v>
      </c>
      <c r="B1073" s="11"/>
      <c r="C1073" s="12"/>
      <c r="D1073" s="12">
        <v>1</v>
      </c>
      <c r="E1073" s="12"/>
      <c r="F1073" s="31"/>
      <c r="G1073" s="7">
        <f t="shared" si="271"/>
        <v>1</v>
      </c>
      <c r="H1073" s="58">
        <v>44389</v>
      </c>
      <c r="I1073" s="16" t="s">
        <v>8</v>
      </c>
      <c r="J1073" s="11"/>
      <c r="K1073" s="12">
        <v>10</v>
      </c>
      <c r="L1073" s="12"/>
      <c r="M1073" s="12"/>
      <c r="N1073" s="31">
        <v>5</v>
      </c>
      <c r="O1073" s="7">
        <f t="shared" si="273"/>
        <v>15</v>
      </c>
      <c r="P1073" s="58">
        <v>44411</v>
      </c>
      <c r="Q1073" s="56"/>
    </row>
    <row r="1074" spans="1:17" x14ac:dyDescent="0.15">
      <c r="A1074" s="14" t="s">
        <v>713</v>
      </c>
      <c r="B1074" s="8"/>
      <c r="C1074" s="10"/>
      <c r="D1074" s="10"/>
      <c r="E1074" s="10"/>
      <c r="F1074" s="30">
        <v>1</v>
      </c>
      <c r="G1074" s="7">
        <f t="shared" si="271"/>
        <v>1</v>
      </c>
      <c r="H1074" s="58">
        <v>44403</v>
      </c>
      <c r="I1074" s="16" t="s">
        <v>1440</v>
      </c>
      <c r="J1074" s="8">
        <v>3</v>
      </c>
      <c r="K1074" s="10">
        <v>3</v>
      </c>
      <c r="L1074" s="10">
        <v>3</v>
      </c>
      <c r="M1074" s="10">
        <v>3</v>
      </c>
      <c r="N1074" s="30">
        <v>3</v>
      </c>
      <c r="O1074" s="7">
        <f t="shared" si="273"/>
        <v>15</v>
      </c>
      <c r="P1074" s="58">
        <v>44418</v>
      </c>
      <c r="Q1074" s="56"/>
    </row>
    <row r="1075" spans="1:17" x14ac:dyDescent="0.15">
      <c r="A1075" s="16" t="s">
        <v>1342</v>
      </c>
      <c r="B1075" s="8"/>
      <c r="C1075" s="10"/>
      <c r="D1075" s="10">
        <v>1</v>
      </c>
      <c r="E1075" s="10"/>
      <c r="F1075" s="30"/>
      <c r="G1075" s="7">
        <f t="shared" si="271"/>
        <v>1</v>
      </c>
      <c r="H1075" s="58">
        <v>44408</v>
      </c>
      <c r="I1075" s="15" t="s">
        <v>24</v>
      </c>
      <c r="J1075" s="8"/>
      <c r="K1075" s="10">
        <v>3</v>
      </c>
      <c r="L1075" s="10"/>
      <c r="M1075" s="10"/>
      <c r="N1075" s="28"/>
      <c r="O1075" s="9">
        <f t="shared" si="273"/>
        <v>3</v>
      </c>
      <c r="P1075" s="58">
        <v>44438</v>
      </c>
      <c r="Q1075" s="56"/>
    </row>
    <row r="1076" spans="1:17" x14ac:dyDescent="0.15">
      <c r="A1076" s="14" t="s">
        <v>713</v>
      </c>
      <c r="B1076" s="8"/>
      <c r="C1076" s="10">
        <v>1</v>
      </c>
      <c r="D1076" s="10"/>
      <c r="E1076" s="10"/>
      <c r="F1076" s="30"/>
      <c r="G1076" s="7">
        <f t="shared" si="271"/>
        <v>1</v>
      </c>
      <c r="H1076" s="58">
        <v>44410</v>
      </c>
      <c r="I1076" s="16" t="s">
        <v>8</v>
      </c>
      <c r="J1076" s="8"/>
      <c r="K1076" s="10">
        <v>10</v>
      </c>
      <c r="L1076" s="10"/>
      <c r="M1076" s="10"/>
      <c r="N1076" s="30"/>
      <c r="O1076" s="7">
        <f t="shared" si="273"/>
        <v>10</v>
      </c>
      <c r="P1076" s="58">
        <v>44442</v>
      </c>
      <c r="Q1076" s="56"/>
    </row>
    <row r="1077" spans="1:17" x14ac:dyDescent="0.15">
      <c r="A1077" s="14" t="s">
        <v>713</v>
      </c>
      <c r="B1077" s="8"/>
      <c r="C1077" s="10"/>
      <c r="D1077" s="10">
        <v>1</v>
      </c>
      <c r="E1077" s="10"/>
      <c r="F1077" s="30"/>
      <c r="G1077" s="7">
        <f t="shared" si="271"/>
        <v>1</v>
      </c>
      <c r="H1077" s="58">
        <v>44412</v>
      </c>
      <c r="I1077" s="15" t="s">
        <v>24</v>
      </c>
      <c r="J1077" s="8"/>
      <c r="K1077" s="10">
        <v>1</v>
      </c>
      <c r="L1077" s="10">
        <v>1</v>
      </c>
      <c r="M1077" s="10">
        <v>1</v>
      </c>
      <c r="N1077" s="30"/>
      <c r="O1077" s="7">
        <f t="shared" si="273"/>
        <v>3</v>
      </c>
      <c r="P1077" s="58">
        <v>44443</v>
      </c>
    </row>
    <row r="1078" spans="1:17" x14ac:dyDescent="0.15">
      <c r="A1078" s="16" t="s">
        <v>1342</v>
      </c>
      <c r="B1078" s="8"/>
      <c r="C1078" s="10"/>
      <c r="D1078" s="10"/>
      <c r="E1078" s="10">
        <v>1</v>
      </c>
      <c r="F1078" s="30"/>
      <c r="G1078" s="7">
        <f t="shared" si="271"/>
        <v>1</v>
      </c>
      <c r="H1078" s="58">
        <v>44415</v>
      </c>
      <c r="I1078" s="16" t="s">
        <v>8</v>
      </c>
      <c r="J1078" s="8"/>
      <c r="K1078" s="10"/>
      <c r="L1078" s="10">
        <v>5</v>
      </c>
      <c r="M1078" s="10"/>
      <c r="N1078" s="30"/>
      <c r="O1078" s="7">
        <f t="shared" si="273"/>
        <v>5</v>
      </c>
      <c r="P1078" s="58">
        <v>44460</v>
      </c>
    </row>
    <row r="1079" spans="1:17" x14ac:dyDescent="0.15">
      <c r="A1079" s="14" t="s">
        <v>713</v>
      </c>
      <c r="B1079" s="8"/>
      <c r="C1079" s="10">
        <v>1</v>
      </c>
      <c r="D1079" s="10"/>
      <c r="E1079" s="10"/>
      <c r="F1079" s="30"/>
      <c r="G1079" s="7">
        <f t="shared" si="271"/>
        <v>1</v>
      </c>
      <c r="H1079" s="58">
        <v>44418</v>
      </c>
      <c r="I1079" s="16" t="s">
        <v>1447</v>
      </c>
      <c r="J1079" s="8"/>
      <c r="K1079" s="10"/>
      <c r="L1079" s="10">
        <v>4</v>
      </c>
      <c r="M1079" s="10"/>
      <c r="N1079" s="30"/>
      <c r="O1079" s="7">
        <f t="shared" si="273"/>
        <v>4</v>
      </c>
      <c r="P1079" s="58">
        <v>44469</v>
      </c>
    </row>
    <row r="1080" spans="1:17" x14ac:dyDescent="0.15">
      <c r="A1080" s="16" t="s">
        <v>1342</v>
      </c>
      <c r="B1080" s="8"/>
      <c r="C1080" s="10"/>
      <c r="D1080" s="10"/>
      <c r="E1080" s="10"/>
      <c r="F1080" s="30">
        <v>1</v>
      </c>
      <c r="G1080" s="7">
        <f t="shared" si="271"/>
        <v>1</v>
      </c>
      <c r="H1080" s="58">
        <v>44426</v>
      </c>
      <c r="I1080" s="16"/>
      <c r="J1080" s="8"/>
      <c r="K1080" s="10"/>
      <c r="L1080" s="10"/>
      <c r="M1080" s="10"/>
      <c r="N1080" s="30"/>
      <c r="O1080" s="7">
        <f t="shared" si="273"/>
        <v>0</v>
      </c>
      <c r="P1080" s="58"/>
    </row>
    <row r="1081" spans="1:17" x14ac:dyDescent="0.15">
      <c r="A1081" s="14" t="s">
        <v>713</v>
      </c>
      <c r="B1081" s="11">
        <v>1</v>
      </c>
      <c r="C1081" s="12"/>
      <c r="D1081" s="12"/>
      <c r="E1081" s="12"/>
      <c r="F1081" s="31"/>
      <c r="G1081" s="7">
        <f t="shared" si="271"/>
        <v>1</v>
      </c>
      <c r="H1081" s="58">
        <v>44438</v>
      </c>
      <c r="I1081" s="16"/>
      <c r="J1081" s="11"/>
      <c r="K1081" s="12"/>
      <c r="L1081" s="12"/>
      <c r="M1081" s="12"/>
      <c r="N1081" s="31"/>
      <c r="O1081" s="7">
        <f t="shared" si="273"/>
        <v>0</v>
      </c>
      <c r="P1081" s="58"/>
    </row>
    <row r="1082" spans="1:17" x14ac:dyDescent="0.15">
      <c r="A1082" s="16" t="s">
        <v>1342</v>
      </c>
      <c r="B1082" s="8"/>
      <c r="C1082" s="10"/>
      <c r="D1082" s="10"/>
      <c r="E1082" s="10">
        <v>1</v>
      </c>
      <c r="F1082" s="30"/>
      <c r="G1082" s="7">
        <f t="shared" si="271"/>
        <v>1</v>
      </c>
      <c r="H1082" s="58">
        <v>44453</v>
      </c>
      <c r="I1082" s="16"/>
      <c r="J1082" s="11"/>
      <c r="K1082" s="12"/>
      <c r="L1082" s="12"/>
      <c r="M1082" s="12"/>
      <c r="N1082" s="31"/>
      <c r="O1082" s="7">
        <f t="shared" si="273"/>
        <v>0</v>
      </c>
      <c r="P1082" s="58"/>
    </row>
    <row r="1083" spans="1:17" x14ac:dyDescent="0.15">
      <c r="A1083" s="14" t="s">
        <v>713</v>
      </c>
      <c r="B1083" s="8"/>
      <c r="C1083" s="10"/>
      <c r="D1083" s="10">
        <v>1</v>
      </c>
      <c r="E1083" s="10"/>
      <c r="F1083" s="30"/>
      <c r="G1083" s="7">
        <f>SUM(B1083:F1083)</f>
        <v>1</v>
      </c>
      <c r="H1083" s="58">
        <v>44452</v>
      </c>
      <c r="I1083" s="16"/>
      <c r="J1083" s="11"/>
      <c r="K1083" s="12"/>
      <c r="L1083" s="12"/>
      <c r="M1083" s="12"/>
      <c r="N1083" s="31"/>
      <c r="O1083" s="7">
        <f t="shared" si="273"/>
        <v>0</v>
      </c>
      <c r="P1083" s="58"/>
    </row>
    <row r="1084" spans="1:17" x14ac:dyDescent="0.15">
      <c r="A1084" s="14" t="s">
        <v>713</v>
      </c>
      <c r="B1084" s="8"/>
      <c r="C1084" s="10">
        <v>1</v>
      </c>
      <c r="D1084" s="10"/>
      <c r="E1084" s="10"/>
      <c r="F1084" s="30"/>
      <c r="G1084" s="7">
        <f>SUM(B1084:F1084)</f>
        <v>1</v>
      </c>
      <c r="H1084" s="58">
        <v>44453</v>
      </c>
      <c r="I1084" s="16"/>
      <c r="J1084" s="11"/>
      <c r="K1084" s="12"/>
      <c r="L1084" s="12"/>
      <c r="M1084" s="12"/>
      <c r="N1084" s="31"/>
      <c r="O1084" s="7">
        <f t="shared" si="273"/>
        <v>0</v>
      </c>
      <c r="P1084" s="58"/>
    </row>
    <row r="1085" spans="1:17" x14ac:dyDescent="0.15">
      <c r="A1085" s="14" t="s">
        <v>713</v>
      </c>
      <c r="B1085" s="8"/>
      <c r="C1085" s="10">
        <v>1</v>
      </c>
      <c r="D1085" s="10"/>
      <c r="E1085" s="10"/>
      <c r="F1085" s="30"/>
      <c r="G1085" s="7">
        <f t="shared" ref="G1085:G1090" si="276">SUM(B1085:F1085)</f>
        <v>1</v>
      </c>
      <c r="H1085" s="58">
        <v>44457</v>
      </c>
      <c r="I1085" s="16"/>
      <c r="J1085" s="8"/>
      <c r="K1085" s="10"/>
      <c r="L1085" s="10"/>
      <c r="M1085" s="10"/>
      <c r="N1085" s="30"/>
      <c r="O1085" s="7">
        <f t="shared" si="273"/>
        <v>0</v>
      </c>
      <c r="P1085" s="56"/>
    </row>
    <row r="1086" spans="1:17" x14ac:dyDescent="0.15">
      <c r="A1086" s="16" t="s">
        <v>1342</v>
      </c>
      <c r="B1086" s="11"/>
      <c r="C1086" s="12">
        <v>1</v>
      </c>
      <c r="D1086" s="12"/>
      <c r="E1086" s="12"/>
      <c r="F1086" s="31"/>
      <c r="G1086" s="7">
        <f t="shared" si="276"/>
        <v>1</v>
      </c>
      <c r="H1086" s="58">
        <v>44461</v>
      </c>
      <c r="I1086" s="16"/>
      <c r="J1086" s="11"/>
      <c r="K1086" s="12"/>
      <c r="L1086" s="12"/>
      <c r="M1086" s="12"/>
      <c r="N1086" s="31"/>
      <c r="O1086" s="7">
        <f t="shared" si="273"/>
        <v>0</v>
      </c>
      <c r="P1086" s="58"/>
    </row>
    <row r="1087" spans="1:17" x14ac:dyDescent="0.15">
      <c r="A1087" s="14" t="s">
        <v>1446</v>
      </c>
      <c r="B1087" s="8"/>
      <c r="C1087" s="10">
        <v>-1</v>
      </c>
      <c r="D1087" s="10"/>
      <c r="E1087" s="10"/>
      <c r="F1087" s="30"/>
      <c r="G1087" s="7">
        <f t="shared" si="276"/>
        <v>-1</v>
      </c>
      <c r="H1087" s="58">
        <v>44460</v>
      </c>
      <c r="I1087" s="16"/>
      <c r="J1087" s="11"/>
      <c r="K1087" s="12"/>
      <c r="L1087" s="12"/>
      <c r="M1087" s="12"/>
      <c r="N1087" s="31"/>
      <c r="O1087" s="7">
        <f t="shared" si="273"/>
        <v>0</v>
      </c>
      <c r="P1087" s="56"/>
    </row>
    <row r="1088" spans="1:17" x14ac:dyDescent="0.15">
      <c r="A1088" s="16" t="s">
        <v>1342</v>
      </c>
      <c r="B1088" s="37"/>
      <c r="C1088" s="35"/>
      <c r="D1088" s="35"/>
      <c r="E1088" s="35"/>
      <c r="F1088" s="28">
        <v>1</v>
      </c>
      <c r="G1088" s="7">
        <f t="shared" si="276"/>
        <v>1</v>
      </c>
      <c r="H1088" s="58">
        <v>44474</v>
      </c>
      <c r="I1088" s="16"/>
      <c r="J1088" s="11"/>
      <c r="K1088" s="12"/>
      <c r="L1088" s="12"/>
      <c r="M1088" s="12"/>
      <c r="N1088" s="31"/>
      <c r="O1088" s="7">
        <f t="shared" si="273"/>
        <v>0</v>
      </c>
      <c r="P1088" s="56"/>
    </row>
    <row r="1089" spans="1:17" x14ac:dyDescent="0.15">
      <c r="A1089" s="14" t="s">
        <v>713</v>
      </c>
      <c r="B1089" s="8">
        <v>1</v>
      </c>
      <c r="C1089" s="10"/>
      <c r="D1089" s="10"/>
      <c r="E1089" s="10"/>
      <c r="F1089" s="30"/>
      <c r="G1089" s="9">
        <f t="shared" si="276"/>
        <v>1</v>
      </c>
      <c r="H1089" s="58">
        <v>44473</v>
      </c>
      <c r="I1089" s="16"/>
      <c r="J1089" s="11"/>
      <c r="K1089" s="12"/>
      <c r="L1089" s="12"/>
      <c r="M1089" s="12"/>
      <c r="N1089" s="31"/>
      <c r="O1089" s="7">
        <f t="shared" si="273"/>
        <v>0</v>
      </c>
      <c r="P1089" s="56"/>
    </row>
    <row r="1090" spans="1:17" ht="14.25" thickBot="1" x14ac:dyDescent="0.2">
      <c r="A1090" s="14" t="s">
        <v>713</v>
      </c>
      <c r="B1090" s="37">
        <v>1</v>
      </c>
      <c r="C1090" s="35"/>
      <c r="D1090" s="35"/>
      <c r="E1090" s="35"/>
      <c r="F1090" s="28"/>
      <c r="G1090" s="7">
        <f t="shared" si="276"/>
        <v>1</v>
      </c>
      <c r="H1090" s="58">
        <v>44477</v>
      </c>
      <c r="I1090" s="16"/>
      <c r="J1090" s="11"/>
      <c r="K1090" s="12"/>
      <c r="L1090" s="12"/>
      <c r="M1090" s="12"/>
      <c r="N1090" s="31"/>
      <c r="O1090" s="7">
        <f t="shared" si="273"/>
        <v>0</v>
      </c>
      <c r="P1090" s="56"/>
      <c r="Q1090" s="56"/>
    </row>
    <row r="1091" spans="1:17" ht="14.25" thickBot="1" x14ac:dyDescent="0.2">
      <c r="A1091" s="3" t="s">
        <v>11</v>
      </c>
      <c r="B1091" s="23">
        <f>SUM(B1065:B1090)</f>
        <v>4</v>
      </c>
      <c r="C1091" s="4">
        <f>SUM(C1065:C1090)</f>
        <v>7</v>
      </c>
      <c r="D1091" s="4">
        <f>SUM(D1065:D1090)</f>
        <v>6</v>
      </c>
      <c r="E1091" s="6">
        <f>SUM(E1065:E1090)</f>
        <v>3</v>
      </c>
      <c r="F1091" s="32">
        <f>SUM(F1065:F1090)</f>
        <v>5</v>
      </c>
      <c r="G1091" s="5">
        <f>SUM(B1091:F1091)</f>
        <v>25</v>
      </c>
      <c r="H1091" s="56"/>
      <c r="I1091" s="3" t="s">
        <v>11</v>
      </c>
      <c r="J1091" s="23">
        <f>SUM(J1065:J1090)</f>
        <v>7</v>
      </c>
      <c r="K1091" s="4">
        <f>SUM(K1065:K1090)</f>
        <v>32</v>
      </c>
      <c r="L1091" s="4">
        <f>SUM(L1065:L1090)</f>
        <v>16</v>
      </c>
      <c r="M1091" s="6">
        <f>SUM(M1065:M1090)</f>
        <v>10</v>
      </c>
      <c r="N1091" s="32">
        <f>SUM(N1065:N1090)</f>
        <v>12</v>
      </c>
      <c r="O1091" s="5">
        <f>SUM(J1091:N1091)</f>
        <v>77</v>
      </c>
    </row>
    <row r="1092" spans="1:17" ht="14.25" thickBot="1" x14ac:dyDescent="0.2">
      <c r="A1092" s="25" t="s">
        <v>12</v>
      </c>
      <c r="B1092" s="63">
        <f>B1064-B1091</f>
        <v>3</v>
      </c>
      <c r="C1092" s="26">
        <f t="shared" ref="C1092:G1092" si="277">C1064-C1091</f>
        <v>4</v>
      </c>
      <c r="D1092" s="71">
        <f t="shared" si="277"/>
        <v>3</v>
      </c>
      <c r="E1092" s="26">
        <f t="shared" si="277"/>
        <v>5</v>
      </c>
      <c r="F1092" s="70">
        <f t="shared" si="277"/>
        <v>3</v>
      </c>
      <c r="G1092" s="27">
        <f t="shared" si="277"/>
        <v>18</v>
      </c>
      <c r="H1092" s="56"/>
      <c r="I1092" s="25" t="s">
        <v>12</v>
      </c>
      <c r="J1092" s="63">
        <f>J1064-J1091</f>
        <v>197</v>
      </c>
      <c r="K1092" s="26">
        <f t="shared" ref="K1092:M1092" si="278">K1064-K1091</f>
        <v>155</v>
      </c>
      <c r="L1092" s="71">
        <f t="shared" si="278"/>
        <v>147</v>
      </c>
      <c r="M1092" s="26">
        <f t="shared" si="278"/>
        <v>142</v>
      </c>
      <c r="N1092" s="70">
        <f>N1064-N1091</f>
        <v>147</v>
      </c>
      <c r="O1092" s="27">
        <f t="shared" ref="O1092" si="279">O1064-O1091</f>
        <v>788</v>
      </c>
    </row>
    <row r="1093" spans="1:17" ht="21" x14ac:dyDescent="0.2">
      <c r="A1093" s="83" t="s">
        <v>415</v>
      </c>
      <c r="B1093" s="77"/>
      <c r="C1093" s="77"/>
      <c r="D1093" s="77"/>
      <c r="E1093" s="77"/>
      <c r="F1093" s="77"/>
      <c r="G1093" s="77"/>
      <c r="H1093" s="56"/>
      <c r="I1093" s="83" t="s">
        <v>415</v>
      </c>
      <c r="J1093" s="77"/>
      <c r="K1093" s="77"/>
      <c r="L1093" s="77"/>
      <c r="M1093" s="77"/>
      <c r="N1093" s="77"/>
      <c r="O1093" s="77"/>
    </row>
    <row r="1094" spans="1:17" ht="21.75" thickBot="1" x14ac:dyDescent="0.25">
      <c r="A1094" s="83" t="s">
        <v>47</v>
      </c>
      <c r="B1094" s="77"/>
      <c r="C1094" s="77"/>
      <c r="D1094" s="77"/>
      <c r="E1094" s="84"/>
      <c r="F1094" s="78" t="s">
        <v>53</v>
      </c>
      <c r="G1094" s="77"/>
      <c r="H1094" s="56"/>
      <c r="I1094" s="83" t="s">
        <v>47</v>
      </c>
      <c r="J1094" s="77"/>
      <c r="K1094" s="77"/>
      <c r="L1094" s="77"/>
      <c r="M1094" s="84"/>
      <c r="N1094" s="78" t="s">
        <v>54</v>
      </c>
      <c r="O1094" s="77"/>
    </row>
    <row r="1095" spans="1:17" ht="14.25" thickBot="1" x14ac:dyDescent="0.2">
      <c r="A1095" s="13" t="s">
        <v>0</v>
      </c>
      <c r="B1095" s="228" t="s">
        <v>49</v>
      </c>
      <c r="C1095" s="229"/>
      <c r="D1095" s="229"/>
      <c r="E1095" s="229"/>
      <c r="F1095" s="230"/>
      <c r="G1095" s="231"/>
      <c r="H1095" s="56"/>
      <c r="I1095" s="13" t="s">
        <v>0</v>
      </c>
      <c r="J1095" s="228" t="s">
        <v>49</v>
      </c>
      <c r="K1095" s="229"/>
      <c r="L1095" s="229"/>
      <c r="M1095" s="229"/>
      <c r="N1095" s="230"/>
      <c r="O1095" s="231"/>
    </row>
    <row r="1096" spans="1:17" ht="14.25" thickBot="1" x14ac:dyDescent="0.2">
      <c r="A1096" s="3" t="s">
        <v>1</v>
      </c>
      <c r="B1096" s="2" t="s">
        <v>42</v>
      </c>
      <c r="C1096" s="21" t="s">
        <v>43</v>
      </c>
      <c r="D1096" s="21" t="s">
        <v>44</v>
      </c>
      <c r="E1096" s="24" t="s">
        <v>45</v>
      </c>
      <c r="F1096" s="33" t="s">
        <v>46</v>
      </c>
      <c r="G1096" s="34" t="s">
        <v>2</v>
      </c>
      <c r="H1096" s="56"/>
      <c r="I1096" s="3" t="s">
        <v>1</v>
      </c>
      <c r="J1096" s="2" t="s">
        <v>42</v>
      </c>
      <c r="K1096" s="21" t="s">
        <v>43</v>
      </c>
      <c r="L1096" s="21" t="s">
        <v>44</v>
      </c>
      <c r="M1096" s="24" t="s">
        <v>45</v>
      </c>
      <c r="N1096" s="33" t="s">
        <v>46</v>
      </c>
      <c r="O1096" s="3" t="s">
        <v>2</v>
      </c>
    </row>
    <row r="1097" spans="1:17" ht="14.25" thickBot="1" x14ac:dyDescent="0.2">
      <c r="A1097" s="72" t="s">
        <v>527</v>
      </c>
      <c r="B1097" s="73">
        <f>B1092</f>
        <v>3</v>
      </c>
      <c r="C1097" s="73">
        <f t="shared" ref="C1097:F1097" si="280">C1092</f>
        <v>4</v>
      </c>
      <c r="D1097" s="73">
        <f t="shared" si="280"/>
        <v>3</v>
      </c>
      <c r="E1097" s="73">
        <f t="shared" si="280"/>
        <v>5</v>
      </c>
      <c r="F1097" s="73">
        <f t="shared" si="280"/>
        <v>3</v>
      </c>
      <c r="G1097" s="76">
        <f t="shared" ref="G1097:G1124" si="281">SUM(B1097:F1097)</f>
        <v>18</v>
      </c>
      <c r="H1097" s="56"/>
      <c r="I1097" s="96" t="s">
        <v>12</v>
      </c>
      <c r="J1097" s="95">
        <f>J1092</f>
        <v>197</v>
      </c>
      <c r="K1097" s="97">
        <f t="shared" ref="K1097:N1097" si="282">K1092</f>
        <v>155</v>
      </c>
      <c r="L1097" s="97">
        <f t="shared" si="282"/>
        <v>147</v>
      </c>
      <c r="M1097" s="97">
        <f t="shared" si="282"/>
        <v>142</v>
      </c>
      <c r="N1097" s="54">
        <f t="shared" si="282"/>
        <v>147</v>
      </c>
      <c r="O1097" s="52">
        <f t="shared" ref="O1097:O1132" si="283">SUM(J1097:N1097)</f>
        <v>788</v>
      </c>
    </row>
    <row r="1098" spans="1:17" x14ac:dyDescent="0.15">
      <c r="A1098" s="15" t="s">
        <v>14</v>
      </c>
      <c r="B1098" s="37">
        <v>3</v>
      </c>
      <c r="C1098" s="35"/>
      <c r="D1098" s="35">
        <v>3</v>
      </c>
      <c r="E1098" s="35"/>
      <c r="F1098" s="28">
        <v>3</v>
      </c>
      <c r="G1098" s="7">
        <f t="shared" si="281"/>
        <v>9</v>
      </c>
      <c r="H1098" s="58">
        <v>44490</v>
      </c>
      <c r="I1098" s="15" t="s">
        <v>3</v>
      </c>
      <c r="J1098" s="37"/>
      <c r="K1098" s="35"/>
      <c r="L1098" s="35"/>
      <c r="M1098" s="35"/>
      <c r="N1098" s="28"/>
      <c r="O1098" s="18">
        <f t="shared" si="283"/>
        <v>0</v>
      </c>
      <c r="P1098" s="58"/>
    </row>
    <row r="1099" spans="1:17" x14ac:dyDescent="0.15">
      <c r="A1099" s="15" t="s">
        <v>1005</v>
      </c>
      <c r="B1099" s="8"/>
      <c r="C1099" s="10">
        <v>1</v>
      </c>
      <c r="D1099" s="10"/>
      <c r="E1099" s="10"/>
      <c r="F1099" s="28"/>
      <c r="G1099" s="9">
        <f t="shared" si="281"/>
        <v>1</v>
      </c>
      <c r="H1099" s="58">
        <v>44557</v>
      </c>
      <c r="I1099" s="15" t="s">
        <v>4</v>
      </c>
      <c r="J1099" s="8"/>
      <c r="K1099" s="10"/>
      <c r="L1099" s="10"/>
      <c r="M1099" s="10"/>
      <c r="N1099" s="28"/>
      <c r="O1099" s="9">
        <f t="shared" si="283"/>
        <v>0</v>
      </c>
      <c r="P1099" s="57"/>
    </row>
    <row r="1100" spans="1:17" x14ac:dyDescent="0.15">
      <c r="A1100" s="15" t="s">
        <v>4</v>
      </c>
      <c r="B1100" s="8"/>
      <c r="C1100" s="10"/>
      <c r="D1100" s="10">
        <v>3</v>
      </c>
      <c r="E1100" s="10"/>
      <c r="F1100" s="28"/>
      <c r="G1100" s="9">
        <f t="shared" si="281"/>
        <v>3</v>
      </c>
      <c r="H1100" s="58">
        <v>44576</v>
      </c>
      <c r="I1100" s="15" t="s">
        <v>5</v>
      </c>
      <c r="J1100" s="8"/>
      <c r="K1100" s="10"/>
      <c r="L1100" s="10"/>
      <c r="M1100" s="10"/>
      <c r="N1100" s="28"/>
      <c r="O1100" s="9">
        <f t="shared" si="283"/>
        <v>0</v>
      </c>
    </row>
    <row r="1101" spans="1:17" x14ac:dyDescent="0.15">
      <c r="A1101" s="15" t="s">
        <v>5</v>
      </c>
      <c r="B1101" s="8">
        <v>3</v>
      </c>
      <c r="C1101" s="10">
        <v>3</v>
      </c>
      <c r="D1101" s="10">
        <v>3</v>
      </c>
      <c r="E1101" s="10"/>
      <c r="F1101" s="28">
        <v>3</v>
      </c>
      <c r="G1101" s="9">
        <f t="shared" si="281"/>
        <v>12</v>
      </c>
      <c r="H1101" s="58">
        <v>44637</v>
      </c>
      <c r="I1101" s="15" t="s">
        <v>6</v>
      </c>
      <c r="J1101" s="8"/>
      <c r="K1101" s="10"/>
      <c r="L1101" s="10"/>
      <c r="M1101" s="10"/>
      <c r="N1101" s="28"/>
      <c r="O1101" s="9">
        <f t="shared" si="283"/>
        <v>0</v>
      </c>
    </row>
    <row r="1102" spans="1:17" x14ac:dyDescent="0.15">
      <c r="A1102" s="15" t="s">
        <v>6</v>
      </c>
      <c r="B1102" s="11"/>
      <c r="C1102" s="12"/>
      <c r="D1102" s="12"/>
      <c r="E1102" s="12"/>
      <c r="F1102" s="31"/>
      <c r="G1102" s="7">
        <f t="shared" si="281"/>
        <v>0</v>
      </c>
      <c r="H1102" s="58"/>
      <c r="I1102" s="15" t="s">
        <v>84</v>
      </c>
      <c r="J1102" s="11"/>
      <c r="K1102" s="12"/>
      <c r="L1102" s="12"/>
      <c r="M1102" s="12"/>
      <c r="N1102" s="31"/>
      <c r="O1102" s="7">
        <f t="shared" si="283"/>
        <v>0</v>
      </c>
    </row>
    <row r="1103" spans="1:17" x14ac:dyDescent="0.15">
      <c r="A1103" s="15" t="s">
        <v>84</v>
      </c>
      <c r="B1103" s="8"/>
      <c r="C1103" s="10"/>
      <c r="D1103" s="10"/>
      <c r="E1103" s="10"/>
      <c r="F1103" s="30"/>
      <c r="G1103" s="7">
        <f t="shared" si="281"/>
        <v>0</v>
      </c>
      <c r="H1103" s="58"/>
      <c r="I1103" s="15" t="s">
        <v>85</v>
      </c>
      <c r="J1103" s="8"/>
      <c r="K1103" s="10"/>
      <c r="L1103" s="10"/>
      <c r="M1103" s="10"/>
      <c r="N1103" s="30"/>
      <c r="O1103" s="7">
        <f t="shared" si="283"/>
        <v>0</v>
      </c>
    </row>
    <row r="1104" spans="1:17" x14ac:dyDescent="0.15">
      <c r="A1104" s="15" t="s">
        <v>85</v>
      </c>
      <c r="B1104" s="8"/>
      <c r="C1104" s="10"/>
      <c r="D1104" s="10"/>
      <c r="E1104" s="10"/>
      <c r="F1104" s="30"/>
      <c r="G1104" s="7">
        <f t="shared" si="281"/>
        <v>0</v>
      </c>
      <c r="H1104" s="58"/>
      <c r="I1104" s="15" t="s">
        <v>86</v>
      </c>
      <c r="J1104" s="8"/>
      <c r="K1104" s="10"/>
      <c r="L1104" s="10"/>
      <c r="M1104" s="10"/>
      <c r="N1104" s="30"/>
      <c r="O1104" s="7">
        <f t="shared" si="283"/>
        <v>0</v>
      </c>
    </row>
    <row r="1105" spans="1:16" ht="14.25" thickBot="1" x14ac:dyDescent="0.2">
      <c r="A1105" s="15" t="s">
        <v>86</v>
      </c>
      <c r="B1105" s="11"/>
      <c r="C1105" s="100"/>
      <c r="D1105" s="100"/>
      <c r="E1105" s="100"/>
      <c r="F1105" s="101"/>
      <c r="G1105" s="102">
        <f t="shared" si="281"/>
        <v>0</v>
      </c>
      <c r="H1105" s="58"/>
      <c r="I1105" s="15" t="s">
        <v>87</v>
      </c>
      <c r="J1105" s="11"/>
      <c r="K1105" s="100"/>
      <c r="L1105" s="100"/>
      <c r="M1105" s="100"/>
      <c r="N1105" s="101"/>
      <c r="O1105" s="102">
        <f t="shared" si="283"/>
        <v>0</v>
      </c>
    </row>
    <row r="1106" spans="1:16" ht="14.25" thickBot="1" x14ac:dyDescent="0.2">
      <c r="A1106" s="72" t="s">
        <v>7</v>
      </c>
      <c r="B1106" s="73">
        <f>SUM(B1097:B1105)</f>
        <v>9</v>
      </c>
      <c r="C1106" s="74">
        <f t="shared" ref="C1106:F1106" si="284">SUM(C1097:C1105)</f>
        <v>8</v>
      </c>
      <c r="D1106" s="74">
        <f t="shared" si="284"/>
        <v>12</v>
      </c>
      <c r="E1106" s="74">
        <f t="shared" si="284"/>
        <v>5</v>
      </c>
      <c r="F1106" s="105">
        <f t="shared" si="284"/>
        <v>9</v>
      </c>
      <c r="G1106" s="76">
        <f t="shared" si="281"/>
        <v>43</v>
      </c>
      <c r="H1106" s="56"/>
      <c r="I1106" s="72" t="s">
        <v>7</v>
      </c>
      <c r="J1106" s="73">
        <f>SUM(J1097:J1105)</f>
        <v>197</v>
      </c>
      <c r="K1106" s="74">
        <f t="shared" ref="K1106:N1106" si="285">SUM(K1097:K1105)</f>
        <v>155</v>
      </c>
      <c r="L1106" s="74">
        <f t="shared" si="285"/>
        <v>147</v>
      </c>
      <c r="M1106" s="74">
        <f t="shared" si="285"/>
        <v>142</v>
      </c>
      <c r="N1106" s="105">
        <f t="shared" si="285"/>
        <v>147</v>
      </c>
      <c r="O1106" s="76">
        <f t="shared" si="283"/>
        <v>788</v>
      </c>
    </row>
    <row r="1107" spans="1:16" x14ac:dyDescent="0.15">
      <c r="A1107" s="14" t="s">
        <v>713</v>
      </c>
      <c r="B1107" s="37"/>
      <c r="C1107" s="35"/>
      <c r="D1107" s="35"/>
      <c r="E1107" s="35"/>
      <c r="F1107" s="28">
        <v>1</v>
      </c>
      <c r="G1107" s="18">
        <f t="shared" si="281"/>
        <v>1</v>
      </c>
      <c r="H1107" s="58">
        <v>44481</v>
      </c>
      <c r="I1107" s="15" t="s">
        <v>9</v>
      </c>
      <c r="J1107" s="37">
        <v>3</v>
      </c>
      <c r="K1107" s="35"/>
      <c r="L1107" s="35">
        <v>3</v>
      </c>
      <c r="M1107" s="35"/>
      <c r="N1107" s="28">
        <v>3</v>
      </c>
      <c r="O1107" s="7">
        <f t="shared" si="283"/>
        <v>9</v>
      </c>
      <c r="P1107" s="58">
        <v>44490</v>
      </c>
    </row>
    <row r="1108" spans="1:16" x14ac:dyDescent="0.15">
      <c r="A1108" s="16" t="s">
        <v>1452</v>
      </c>
      <c r="B1108" s="8"/>
      <c r="C1108" s="10"/>
      <c r="D1108" s="10">
        <v>1</v>
      </c>
      <c r="E1108" s="10"/>
      <c r="F1108" s="30"/>
      <c r="G1108" s="7">
        <f t="shared" si="281"/>
        <v>1</v>
      </c>
      <c r="H1108" s="58">
        <v>44510</v>
      </c>
      <c r="I1108" s="16" t="s">
        <v>8</v>
      </c>
      <c r="J1108" s="8"/>
      <c r="K1108" s="10"/>
      <c r="L1108" s="10"/>
      <c r="M1108" s="10">
        <v>10</v>
      </c>
      <c r="N1108" s="30"/>
      <c r="O1108" s="7">
        <f t="shared" si="283"/>
        <v>10</v>
      </c>
      <c r="P1108" s="58">
        <v>44515</v>
      </c>
    </row>
    <row r="1109" spans="1:16" x14ac:dyDescent="0.15">
      <c r="A1109" s="16" t="s">
        <v>117</v>
      </c>
      <c r="B1109" s="8"/>
      <c r="C1109" s="10"/>
      <c r="D1109" s="10">
        <v>1</v>
      </c>
      <c r="E1109" s="10"/>
      <c r="F1109" s="30"/>
      <c r="G1109" s="7">
        <f t="shared" si="281"/>
        <v>1</v>
      </c>
      <c r="H1109" s="58">
        <v>44530</v>
      </c>
      <c r="I1109" s="16" t="s">
        <v>117</v>
      </c>
      <c r="J1109" s="8"/>
      <c r="K1109" s="10">
        <v>1</v>
      </c>
      <c r="L1109" s="10"/>
      <c r="M1109" s="10"/>
      <c r="N1109" s="28"/>
      <c r="O1109" s="9">
        <f t="shared" si="283"/>
        <v>1</v>
      </c>
      <c r="P1109" s="58">
        <v>44523</v>
      </c>
    </row>
    <row r="1110" spans="1:16" x14ac:dyDescent="0.15">
      <c r="A1110" s="14" t="s">
        <v>713</v>
      </c>
      <c r="B1110" s="8"/>
      <c r="C1110" s="10"/>
      <c r="D1110" s="10">
        <v>1</v>
      </c>
      <c r="E1110" s="10"/>
      <c r="F1110" s="30"/>
      <c r="G1110" s="7">
        <f t="shared" si="281"/>
        <v>1</v>
      </c>
      <c r="H1110" s="58">
        <v>44529</v>
      </c>
      <c r="I1110" s="16" t="s">
        <v>8</v>
      </c>
      <c r="J1110" s="8"/>
      <c r="K1110" s="10"/>
      <c r="L1110" s="10">
        <v>10</v>
      </c>
      <c r="M1110" s="10"/>
      <c r="N1110" s="30"/>
      <c r="O1110" s="7">
        <f t="shared" si="283"/>
        <v>10</v>
      </c>
      <c r="P1110" s="58">
        <v>44547</v>
      </c>
    </row>
    <row r="1111" spans="1:16" x14ac:dyDescent="0.15">
      <c r="A1111" s="16" t="s">
        <v>117</v>
      </c>
      <c r="B1111" s="8"/>
      <c r="C1111" s="10">
        <v>1</v>
      </c>
      <c r="D1111" s="10"/>
      <c r="E1111" s="10"/>
      <c r="F1111" s="30"/>
      <c r="G1111" s="7">
        <f t="shared" si="281"/>
        <v>1</v>
      </c>
      <c r="H1111" s="58">
        <v>44537</v>
      </c>
      <c r="I1111" s="16" t="s">
        <v>8</v>
      </c>
      <c r="J1111" s="8"/>
      <c r="K1111" s="10"/>
      <c r="L1111" s="10"/>
      <c r="M1111" s="10"/>
      <c r="N1111" s="30">
        <v>10</v>
      </c>
      <c r="O1111" s="7">
        <f t="shared" si="283"/>
        <v>10</v>
      </c>
      <c r="P1111" s="58">
        <v>44550</v>
      </c>
    </row>
    <row r="1112" spans="1:16" x14ac:dyDescent="0.15">
      <c r="A1112" s="16" t="s">
        <v>117</v>
      </c>
      <c r="B1112" s="8"/>
      <c r="C1112" s="10"/>
      <c r="D1112" s="10">
        <v>1</v>
      </c>
      <c r="E1112" s="10"/>
      <c r="F1112" s="30"/>
      <c r="G1112" s="7">
        <f t="shared" si="281"/>
        <v>1</v>
      </c>
      <c r="H1112" s="58">
        <v>44546</v>
      </c>
      <c r="I1112" s="16" t="s">
        <v>8</v>
      </c>
      <c r="J1112" s="8"/>
      <c r="K1112" s="10">
        <v>5</v>
      </c>
      <c r="L1112" s="10"/>
      <c r="M1112" s="10"/>
      <c r="N1112" s="30"/>
      <c r="O1112" s="7">
        <f t="shared" si="283"/>
        <v>5</v>
      </c>
      <c r="P1112" s="58">
        <v>44578</v>
      </c>
    </row>
    <row r="1113" spans="1:16" x14ac:dyDescent="0.15">
      <c r="A1113" s="14" t="s">
        <v>713</v>
      </c>
      <c r="B1113" s="8">
        <v>1</v>
      </c>
      <c r="C1113" s="10"/>
      <c r="D1113" s="10"/>
      <c r="E1113" s="10"/>
      <c r="F1113" s="30"/>
      <c r="G1113" s="7">
        <f t="shared" si="281"/>
        <v>1</v>
      </c>
      <c r="H1113" s="58">
        <v>44572</v>
      </c>
      <c r="I1113" s="16" t="s">
        <v>1455</v>
      </c>
      <c r="J1113" s="8"/>
      <c r="K1113" s="10"/>
      <c r="L1113" s="10">
        <v>5</v>
      </c>
      <c r="M1113" s="10"/>
      <c r="N1113" s="30"/>
      <c r="O1113" s="7">
        <f t="shared" si="283"/>
        <v>5</v>
      </c>
      <c r="P1113" s="58">
        <v>44576</v>
      </c>
    </row>
    <row r="1114" spans="1:16" x14ac:dyDescent="0.15">
      <c r="A1114" s="14" t="s">
        <v>713</v>
      </c>
      <c r="B1114" s="8"/>
      <c r="C1114" s="10">
        <v>1</v>
      </c>
      <c r="D1114" s="10"/>
      <c r="E1114" s="10"/>
      <c r="F1114" s="30"/>
      <c r="G1114" s="7">
        <f t="shared" si="281"/>
        <v>1</v>
      </c>
      <c r="H1114" s="58">
        <v>44579</v>
      </c>
      <c r="I1114" s="15" t="s">
        <v>1456</v>
      </c>
      <c r="J1114" s="8"/>
      <c r="K1114" s="10">
        <v>3</v>
      </c>
      <c r="L1114" s="10"/>
      <c r="M1114" s="10"/>
      <c r="N1114" s="28"/>
      <c r="O1114" s="9">
        <f t="shared" si="283"/>
        <v>3</v>
      </c>
      <c r="P1114" s="58">
        <v>44589</v>
      </c>
    </row>
    <row r="1115" spans="1:16" x14ac:dyDescent="0.15">
      <c r="A1115" s="14" t="s">
        <v>713</v>
      </c>
      <c r="B1115" s="11"/>
      <c r="C1115" s="12"/>
      <c r="D1115" s="12"/>
      <c r="E1115" s="12"/>
      <c r="F1115" s="31">
        <v>1</v>
      </c>
      <c r="G1115" s="7">
        <f t="shared" si="281"/>
        <v>1</v>
      </c>
      <c r="H1115" s="58">
        <v>44580</v>
      </c>
      <c r="I1115" s="14" t="s">
        <v>8</v>
      </c>
      <c r="J1115" s="8">
        <v>10</v>
      </c>
      <c r="K1115" s="10"/>
      <c r="L1115" s="10"/>
      <c r="M1115" s="10"/>
      <c r="N1115" s="30"/>
      <c r="O1115" s="9">
        <f t="shared" si="283"/>
        <v>10</v>
      </c>
      <c r="P1115" s="58">
        <v>44613</v>
      </c>
    </row>
    <row r="1116" spans="1:16" x14ac:dyDescent="0.15">
      <c r="A1116" s="14" t="s">
        <v>713</v>
      </c>
      <c r="B1116" s="8">
        <v>1</v>
      </c>
      <c r="C1116" s="10"/>
      <c r="D1116" s="10"/>
      <c r="E1116" s="10"/>
      <c r="F1116" s="30"/>
      <c r="G1116" s="7">
        <f t="shared" si="281"/>
        <v>1</v>
      </c>
      <c r="H1116" s="58">
        <v>44585</v>
      </c>
      <c r="I1116" s="38" t="s">
        <v>24</v>
      </c>
      <c r="J1116" s="37">
        <v>3</v>
      </c>
      <c r="K1116" s="35">
        <v>3</v>
      </c>
      <c r="L1116" s="35">
        <v>3</v>
      </c>
      <c r="M1116" s="35"/>
      <c r="N1116" s="28">
        <v>3</v>
      </c>
      <c r="O1116" s="7">
        <f t="shared" si="283"/>
        <v>12</v>
      </c>
      <c r="P1116" s="58">
        <v>44637</v>
      </c>
    </row>
    <row r="1117" spans="1:16" x14ac:dyDescent="0.15">
      <c r="A1117" s="14" t="s">
        <v>713</v>
      </c>
      <c r="B1117" s="8"/>
      <c r="C1117" s="10"/>
      <c r="D1117" s="10">
        <v>1</v>
      </c>
      <c r="E1117" s="10"/>
      <c r="F1117" s="30"/>
      <c r="G1117" s="7">
        <f t="shared" si="281"/>
        <v>1</v>
      </c>
      <c r="H1117" s="58">
        <v>44586</v>
      </c>
      <c r="I1117" s="15" t="s">
        <v>110</v>
      </c>
      <c r="J1117" s="8"/>
      <c r="K1117" s="10"/>
      <c r="L1117" s="10">
        <v>1</v>
      </c>
      <c r="M1117" s="10"/>
      <c r="N1117" s="28"/>
      <c r="O1117" s="9">
        <f t="shared" si="283"/>
        <v>1</v>
      </c>
      <c r="P1117" s="58">
        <v>44645</v>
      </c>
    </row>
    <row r="1118" spans="1:16" x14ac:dyDescent="0.15">
      <c r="A1118" s="16" t="s">
        <v>117</v>
      </c>
      <c r="B1118" s="8"/>
      <c r="C1118" s="10"/>
      <c r="D1118" s="10"/>
      <c r="E1118" s="10"/>
      <c r="F1118" s="30">
        <v>1</v>
      </c>
      <c r="G1118" s="7">
        <f t="shared" si="281"/>
        <v>1</v>
      </c>
      <c r="H1118" s="58">
        <v>44609</v>
      </c>
      <c r="I1118" s="16" t="s">
        <v>117</v>
      </c>
      <c r="J1118" s="8"/>
      <c r="K1118" s="10">
        <v>1</v>
      </c>
      <c r="L1118" s="10"/>
      <c r="M1118" s="10"/>
      <c r="N1118" s="30"/>
      <c r="O1118" s="7">
        <f t="shared" si="283"/>
        <v>1</v>
      </c>
      <c r="P1118" s="58">
        <v>44643</v>
      </c>
    </row>
    <row r="1119" spans="1:16" x14ac:dyDescent="0.15">
      <c r="A1119" s="14" t="s">
        <v>713</v>
      </c>
      <c r="B1119" s="8"/>
      <c r="C1119" s="10"/>
      <c r="D1119" s="10">
        <v>1</v>
      </c>
      <c r="E1119" s="10"/>
      <c r="F1119" s="30"/>
      <c r="G1119" s="7">
        <f t="shared" si="281"/>
        <v>1</v>
      </c>
      <c r="H1119" s="58">
        <v>44623</v>
      </c>
      <c r="I1119" s="15"/>
      <c r="J1119" s="8"/>
      <c r="K1119" s="10"/>
      <c r="L1119" s="10"/>
      <c r="M1119" s="10"/>
      <c r="N1119" s="30"/>
      <c r="O1119" s="7">
        <f t="shared" si="283"/>
        <v>0</v>
      </c>
      <c r="P1119" s="58"/>
    </row>
    <row r="1120" spans="1:16" x14ac:dyDescent="0.15">
      <c r="A1120" s="14" t="s">
        <v>713</v>
      </c>
      <c r="B1120" s="8">
        <v>1</v>
      </c>
      <c r="C1120" s="10"/>
      <c r="D1120" s="10"/>
      <c r="E1120" s="10"/>
      <c r="F1120" s="30"/>
      <c r="G1120" s="7">
        <f t="shared" si="281"/>
        <v>1</v>
      </c>
      <c r="H1120" s="58">
        <v>44627</v>
      </c>
      <c r="I1120" s="16"/>
      <c r="J1120" s="8"/>
      <c r="K1120" s="10"/>
      <c r="L1120" s="10"/>
      <c r="M1120" s="10"/>
      <c r="N1120" s="30"/>
      <c r="O1120" s="7">
        <f t="shared" si="283"/>
        <v>0</v>
      </c>
      <c r="P1120" s="58"/>
    </row>
    <row r="1121" spans="1:17" x14ac:dyDescent="0.15">
      <c r="A1121" s="16" t="s">
        <v>117</v>
      </c>
      <c r="B1121" s="8"/>
      <c r="C1121" s="10"/>
      <c r="D1121" s="10">
        <v>1</v>
      </c>
      <c r="E1121" s="10">
        <v>1</v>
      </c>
      <c r="F1121" s="30"/>
      <c r="G1121" s="7">
        <f t="shared" si="281"/>
        <v>2</v>
      </c>
      <c r="H1121" s="58">
        <v>44631</v>
      </c>
      <c r="I1121" s="16"/>
      <c r="J1121" s="8"/>
      <c r="K1121" s="10"/>
      <c r="L1121" s="10"/>
      <c r="M1121" s="10"/>
      <c r="N1121" s="30"/>
      <c r="O1121" s="7">
        <f t="shared" si="283"/>
        <v>0</v>
      </c>
      <c r="P1121" s="58"/>
    </row>
    <row r="1122" spans="1:17" x14ac:dyDescent="0.15">
      <c r="A1122" s="16" t="s">
        <v>117</v>
      </c>
      <c r="B1122" s="8"/>
      <c r="C1122" s="10"/>
      <c r="D1122" s="10"/>
      <c r="E1122" s="10"/>
      <c r="F1122" s="30">
        <v>1</v>
      </c>
      <c r="G1122" s="7">
        <f t="shared" si="281"/>
        <v>1</v>
      </c>
      <c r="H1122" s="58">
        <v>44635</v>
      </c>
      <c r="I1122" s="16"/>
      <c r="J1122" s="8"/>
      <c r="K1122" s="10"/>
      <c r="L1122" s="10"/>
      <c r="M1122" s="10"/>
      <c r="N1122" s="30"/>
      <c r="O1122" s="7">
        <f t="shared" si="283"/>
        <v>0</v>
      </c>
      <c r="P1122" s="58"/>
    </row>
    <row r="1123" spans="1:17" x14ac:dyDescent="0.15">
      <c r="A1123" s="14" t="s">
        <v>713</v>
      </c>
      <c r="B1123" s="11"/>
      <c r="C1123" s="12"/>
      <c r="D1123" s="12"/>
      <c r="E1123" s="12"/>
      <c r="F1123" s="31">
        <v>1</v>
      </c>
      <c r="G1123" s="7">
        <f t="shared" si="281"/>
        <v>1</v>
      </c>
      <c r="H1123" s="58">
        <v>44636</v>
      </c>
      <c r="I1123" s="16"/>
      <c r="J1123" s="11"/>
      <c r="K1123" s="12"/>
      <c r="L1123" s="12"/>
      <c r="M1123" s="12"/>
      <c r="N1123" s="31"/>
      <c r="O1123" s="7">
        <f t="shared" si="283"/>
        <v>0</v>
      </c>
      <c r="P1123" s="58"/>
    </row>
    <row r="1124" spans="1:17" x14ac:dyDescent="0.15">
      <c r="A1124" s="14" t="s">
        <v>713</v>
      </c>
      <c r="B1124" s="8"/>
      <c r="C1124" s="10">
        <v>1</v>
      </c>
      <c r="D1124" s="10"/>
      <c r="E1124" s="10"/>
      <c r="F1124" s="30"/>
      <c r="G1124" s="7">
        <f t="shared" si="281"/>
        <v>1</v>
      </c>
      <c r="H1124" s="58">
        <v>44642</v>
      </c>
      <c r="I1124" s="16"/>
      <c r="J1124" s="11"/>
      <c r="K1124" s="12"/>
      <c r="L1124" s="12"/>
      <c r="M1124" s="12"/>
      <c r="N1124" s="31"/>
      <c r="O1124" s="7">
        <f t="shared" si="283"/>
        <v>0</v>
      </c>
      <c r="P1124" s="58"/>
    </row>
    <row r="1125" spans="1:17" x14ac:dyDescent="0.15">
      <c r="A1125" s="14" t="s">
        <v>713</v>
      </c>
      <c r="B1125" s="8"/>
      <c r="C1125" s="10"/>
      <c r="D1125" s="10">
        <v>1</v>
      </c>
      <c r="E1125" s="10"/>
      <c r="F1125" s="30"/>
      <c r="G1125" s="7">
        <f>SUM(B1125:F1125)</f>
        <v>1</v>
      </c>
      <c r="H1125" s="58">
        <v>44648</v>
      </c>
      <c r="I1125" s="16"/>
      <c r="J1125" s="11"/>
      <c r="K1125" s="12"/>
      <c r="L1125" s="12"/>
      <c r="M1125" s="12"/>
      <c r="N1125" s="31"/>
      <c r="O1125" s="7">
        <f t="shared" si="283"/>
        <v>0</v>
      </c>
      <c r="P1125" s="58"/>
    </row>
    <row r="1126" spans="1:17" x14ac:dyDescent="0.15">
      <c r="A1126" s="15" t="s">
        <v>110</v>
      </c>
      <c r="B1126" s="8"/>
      <c r="C1126" s="10"/>
      <c r="D1126" s="10"/>
      <c r="E1126" s="10"/>
      <c r="F1126" s="30">
        <v>2</v>
      </c>
      <c r="G1126" s="7">
        <f t="shared" ref="G1126" si="286">SUM(B1126:F1126)</f>
        <v>2</v>
      </c>
      <c r="H1126" s="58">
        <v>44659</v>
      </c>
      <c r="I1126" s="16"/>
      <c r="J1126" s="11"/>
      <c r="K1126" s="12"/>
      <c r="L1126" s="12"/>
      <c r="M1126" s="12"/>
      <c r="N1126" s="31"/>
      <c r="O1126" s="7">
        <f t="shared" si="283"/>
        <v>0</v>
      </c>
      <c r="P1126" s="58"/>
    </row>
    <row r="1127" spans="1:17" x14ac:dyDescent="0.15">
      <c r="A1127" s="14" t="s">
        <v>713</v>
      </c>
      <c r="B1127" s="8"/>
      <c r="C1127" s="10"/>
      <c r="D1127" s="10"/>
      <c r="E1127" s="10"/>
      <c r="F1127" s="30">
        <v>1</v>
      </c>
      <c r="G1127" s="7">
        <f t="shared" ref="G1127:G1132" si="287">SUM(B1127:F1127)</f>
        <v>1</v>
      </c>
      <c r="H1127" s="58">
        <v>44657</v>
      </c>
      <c r="I1127" s="16"/>
      <c r="J1127" s="8"/>
      <c r="K1127" s="10"/>
      <c r="L1127" s="10"/>
      <c r="M1127" s="10"/>
      <c r="N1127" s="30"/>
      <c r="O1127" s="7">
        <f t="shared" si="283"/>
        <v>0</v>
      </c>
      <c r="P1127" s="56"/>
    </row>
    <row r="1128" spans="1:17" x14ac:dyDescent="0.15">
      <c r="A1128" s="16"/>
      <c r="B1128" s="11"/>
      <c r="C1128" s="12"/>
      <c r="D1128" s="12"/>
      <c r="E1128" s="12"/>
      <c r="F1128" s="31"/>
      <c r="G1128" s="7">
        <f t="shared" si="287"/>
        <v>0</v>
      </c>
      <c r="H1128" s="58"/>
      <c r="I1128" s="16"/>
      <c r="J1128" s="11"/>
      <c r="K1128" s="12"/>
      <c r="L1128" s="12"/>
      <c r="M1128" s="12"/>
      <c r="N1128" s="31"/>
      <c r="O1128" s="7">
        <f t="shared" si="283"/>
        <v>0</v>
      </c>
      <c r="P1128" s="58"/>
    </row>
    <row r="1129" spans="1:17" x14ac:dyDescent="0.15">
      <c r="A1129" s="14"/>
      <c r="B1129" s="8"/>
      <c r="C1129" s="10"/>
      <c r="D1129" s="10"/>
      <c r="E1129" s="10"/>
      <c r="F1129" s="30"/>
      <c r="G1129" s="7">
        <f t="shared" si="287"/>
        <v>0</v>
      </c>
      <c r="H1129" s="58"/>
      <c r="I1129" s="16"/>
      <c r="J1129" s="11"/>
      <c r="K1129" s="12"/>
      <c r="L1129" s="12"/>
      <c r="M1129" s="12"/>
      <c r="N1129" s="31"/>
      <c r="O1129" s="7">
        <f t="shared" si="283"/>
        <v>0</v>
      </c>
      <c r="P1129" s="56"/>
    </row>
    <row r="1130" spans="1:17" x14ac:dyDescent="0.15">
      <c r="A1130" s="15"/>
      <c r="B1130" s="37"/>
      <c r="C1130" s="35"/>
      <c r="D1130" s="35"/>
      <c r="E1130" s="35"/>
      <c r="F1130" s="28"/>
      <c r="G1130" s="7">
        <f t="shared" si="287"/>
        <v>0</v>
      </c>
      <c r="H1130" s="58"/>
      <c r="I1130" s="16"/>
      <c r="J1130" s="11"/>
      <c r="K1130" s="12"/>
      <c r="L1130" s="12"/>
      <c r="M1130" s="12"/>
      <c r="N1130" s="31"/>
      <c r="O1130" s="7">
        <f t="shared" si="283"/>
        <v>0</v>
      </c>
      <c r="P1130" s="56"/>
    </row>
    <row r="1131" spans="1:17" x14ac:dyDescent="0.15">
      <c r="A1131" s="16"/>
      <c r="B1131" s="8"/>
      <c r="C1131" s="10"/>
      <c r="D1131" s="10"/>
      <c r="E1131" s="10"/>
      <c r="F1131" s="30"/>
      <c r="G1131" s="9">
        <f t="shared" si="287"/>
        <v>0</v>
      </c>
      <c r="H1131" s="58"/>
      <c r="I1131" s="16" t="s">
        <v>1404</v>
      </c>
      <c r="J1131" s="11"/>
      <c r="K1131" s="12"/>
      <c r="L1131" s="12"/>
      <c r="M1131" s="12"/>
      <c r="N1131" s="31"/>
      <c r="O1131" s="7">
        <f t="shared" si="283"/>
        <v>0</v>
      </c>
      <c r="P1131" s="56" t="s">
        <v>1414</v>
      </c>
    </row>
    <row r="1132" spans="1:17" ht="14.25" thickBot="1" x14ac:dyDescent="0.2">
      <c r="A1132" s="51"/>
      <c r="B1132" s="37"/>
      <c r="C1132" s="35"/>
      <c r="D1132" s="35"/>
      <c r="E1132" s="35"/>
      <c r="F1132" s="28"/>
      <c r="G1132" s="7">
        <f t="shared" si="287"/>
        <v>0</v>
      </c>
      <c r="H1132" s="58"/>
      <c r="I1132" s="16" t="s">
        <v>1448</v>
      </c>
      <c r="J1132" s="11"/>
      <c r="K1132" s="12"/>
      <c r="L1132" s="12"/>
      <c r="M1132" s="12"/>
      <c r="N1132" s="31"/>
      <c r="O1132" s="7">
        <f t="shared" si="283"/>
        <v>0</v>
      </c>
      <c r="P1132" s="56" t="s">
        <v>1335</v>
      </c>
      <c r="Q1132" s="56"/>
    </row>
    <row r="1133" spans="1:17" ht="14.25" thickBot="1" x14ac:dyDescent="0.2">
      <c r="A1133" s="3" t="s">
        <v>11</v>
      </c>
      <c r="B1133" s="23">
        <f>SUM(B1107:B1132)</f>
        <v>3</v>
      </c>
      <c r="C1133" s="4">
        <f>SUM(C1107:C1132)</f>
        <v>3</v>
      </c>
      <c r="D1133" s="4">
        <f>SUM(D1107:D1132)</f>
        <v>8</v>
      </c>
      <c r="E1133" s="6">
        <f>SUM(E1107:E1132)</f>
        <v>1</v>
      </c>
      <c r="F1133" s="32">
        <f>SUM(F1107:F1132)</f>
        <v>8</v>
      </c>
      <c r="G1133" s="5">
        <f>SUM(B1133:F1133)</f>
        <v>23</v>
      </c>
      <c r="H1133" s="56"/>
      <c r="I1133" s="3" t="s">
        <v>11</v>
      </c>
      <c r="J1133" s="23">
        <f>SUM(J1107:J1132)</f>
        <v>16</v>
      </c>
      <c r="K1133" s="4">
        <f>SUM(K1107:K1132)</f>
        <v>13</v>
      </c>
      <c r="L1133" s="4">
        <f>SUM(L1107:L1132)</f>
        <v>22</v>
      </c>
      <c r="M1133" s="6">
        <f>SUM(M1107:M1132)</f>
        <v>10</v>
      </c>
      <c r="N1133" s="32">
        <f>SUM(N1107:N1132)</f>
        <v>16</v>
      </c>
      <c r="O1133" s="5">
        <f>SUM(J1133:N1133)</f>
        <v>77</v>
      </c>
    </row>
    <row r="1134" spans="1:17" ht="14.25" thickBot="1" x14ac:dyDescent="0.2">
      <c r="A1134" s="25" t="s">
        <v>12</v>
      </c>
      <c r="B1134" s="63">
        <f>B1106-B1133</f>
        <v>6</v>
      </c>
      <c r="C1134" s="26">
        <f t="shared" ref="C1134:G1134" si="288">C1106-C1133</f>
        <v>5</v>
      </c>
      <c r="D1134" s="71">
        <f t="shared" si="288"/>
        <v>4</v>
      </c>
      <c r="E1134" s="26">
        <f t="shared" si="288"/>
        <v>4</v>
      </c>
      <c r="F1134" s="70">
        <f t="shared" si="288"/>
        <v>1</v>
      </c>
      <c r="G1134" s="27">
        <f t="shared" si="288"/>
        <v>20</v>
      </c>
      <c r="H1134" s="56"/>
      <c r="I1134" s="25" t="s">
        <v>12</v>
      </c>
      <c r="J1134" s="63">
        <f>J1106-J1133</f>
        <v>181</v>
      </c>
      <c r="K1134" s="26">
        <f t="shared" ref="K1134:M1134" si="289">K1106-K1133</f>
        <v>142</v>
      </c>
      <c r="L1134" s="71">
        <f t="shared" si="289"/>
        <v>125</v>
      </c>
      <c r="M1134" s="26">
        <f t="shared" si="289"/>
        <v>132</v>
      </c>
      <c r="N1134" s="70">
        <f>N1106-N1133</f>
        <v>131</v>
      </c>
      <c r="O1134" s="27">
        <f t="shared" ref="O1134" si="290">O1106-O1133</f>
        <v>711</v>
      </c>
    </row>
    <row r="1135" spans="1:17" ht="21" x14ac:dyDescent="0.2">
      <c r="A1135" s="83" t="s">
        <v>415</v>
      </c>
      <c r="B1135" s="77"/>
      <c r="C1135" s="77"/>
      <c r="D1135" s="77"/>
      <c r="E1135" s="77"/>
      <c r="F1135" s="77"/>
      <c r="G1135" s="77"/>
      <c r="H1135" s="56"/>
      <c r="I1135" s="83" t="s">
        <v>415</v>
      </c>
      <c r="J1135" s="77"/>
      <c r="K1135" s="77"/>
      <c r="L1135" s="77"/>
      <c r="M1135" s="77"/>
      <c r="N1135" s="77"/>
      <c r="O1135" s="77"/>
    </row>
    <row r="1136" spans="1:17" ht="21.75" thickBot="1" x14ac:dyDescent="0.25">
      <c r="A1136" s="83" t="s">
        <v>47</v>
      </c>
      <c r="B1136" s="77"/>
      <c r="C1136" s="77"/>
      <c r="D1136" s="77"/>
      <c r="E1136" s="84"/>
      <c r="F1136" s="78" t="s">
        <v>53</v>
      </c>
      <c r="G1136" s="77"/>
      <c r="H1136" s="56"/>
      <c r="I1136" s="83" t="s">
        <v>47</v>
      </c>
      <c r="J1136" s="77"/>
      <c r="K1136" s="77"/>
      <c r="L1136" s="77"/>
      <c r="M1136" s="84"/>
      <c r="N1136" s="78" t="s">
        <v>54</v>
      </c>
      <c r="O1136" s="77"/>
    </row>
    <row r="1137" spans="1:16" ht="14.25" thickBot="1" x14ac:dyDescent="0.2">
      <c r="A1137" s="13" t="s">
        <v>0</v>
      </c>
      <c r="B1137" s="228" t="s">
        <v>49</v>
      </c>
      <c r="C1137" s="229"/>
      <c r="D1137" s="229"/>
      <c r="E1137" s="229"/>
      <c r="F1137" s="230"/>
      <c r="G1137" s="231"/>
      <c r="H1137" s="56"/>
      <c r="I1137" s="13" t="s">
        <v>0</v>
      </c>
      <c r="J1137" s="228" t="s">
        <v>49</v>
      </c>
      <c r="K1137" s="229"/>
      <c r="L1137" s="229"/>
      <c r="M1137" s="229"/>
      <c r="N1137" s="230"/>
      <c r="O1137" s="231"/>
    </row>
    <row r="1138" spans="1:16" ht="14.25" thickBot="1" x14ac:dyDescent="0.2">
      <c r="A1138" s="3" t="s">
        <v>1</v>
      </c>
      <c r="B1138" s="2" t="s">
        <v>42</v>
      </c>
      <c r="C1138" s="21" t="s">
        <v>43</v>
      </c>
      <c r="D1138" s="21" t="s">
        <v>44</v>
      </c>
      <c r="E1138" s="24" t="s">
        <v>45</v>
      </c>
      <c r="F1138" s="33" t="s">
        <v>46</v>
      </c>
      <c r="G1138" s="34" t="s">
        <v>2</v>
      </c>
      <c r="H1138" s="56"/>
      <c r="I1138" s="3" t="s">
        <v>1</v>
      </c>
      <c r="J1138" s="2" t="s">
        <v>42</v>
      </c>
      <c r="K1138" s="21" t="s">
        <v>43</v>
      </c>
      <c r="L1138" s="21" t="s">
        <v>44</v>
      </c>
      <c r="M1138" s="24" t="s">
        <v>45</v>
      </c>
      <c r="N1138" s="33" t="s">
        <v>46</v>
      </c>
      <c r="O1138" s="3" t="s">
        <v>2</v>
      </c>
    </row>
    <row r="1139" spans="1:16" ht="14.25" thickBot="1" x14ac:dyDescent="0.2">
      <c r="A1139" s="72" t="s">
        <v>527</v>
      </c>
      <c r="B1139" s="73">
        <f>B1134</f>
        <v>6</v>
      </c>
      <c r="C1139" s="73">
        <f t="shared" ref="C1139:F1139" si="291">C1134</f>
        <v>5</v>
      </c>
      <c r="D1139" s="73">
        <f t="shared" si="291"/>
        <v>4</v>
      </c>
      <c r="E1139" s="73">
        <f t="shared" si="291"/>
        <v>4</v>
      </c>
      <c r="F1139" s="73">
        <f t="shared" si="291"/>
        <v>1</v>
      </c>
      <c r="G1139" s="76">
        <f t="shared" ref="G1139:G1166" si="292">SUM(B1139:F1139)</f>
        <v>20</v>
      </c>
      <c r="H1139" s="56"/>
      <c r="I1139" s="96" t="s">
        <v>12</v>
      </c>
      <c r="J1139" s="95">
        <f>J1134</f>
        <v>181</v>
      </c>
      <c r="K1139" s="97">
        <f t="shared" ref="K1139:N1139" si="293">K1134</f>
        <v>142</v>
      </c>
      <c r="L1139" s="97">
        <f t="shared" si="293"/>
        <v>125</v>
      </c>
      <c r="M1139" s="97">
        <f t="shared" si="293"/>
        <v>132</v>
      </c>
      <c r="N1139" s="54">
        <f t="shared" si="293"/>
        <v>131</v>
      </c>
      <c r="O1139" s="52">
        <f t="shared" ref="O1139:O1174" si="294">SUM(J1139:N1139)</f>
        <v>711</v>
      </c>
    </row>
    <row r="1140" spans="1:16" x14ac:dyDescent="0.15">
      <c r="A1140" s="15" t="s">
        <v>14</v>
      </c>
      <c r="B1140" s="37"/>
      <c r="C1140" s="35"/>
      <c r="D1140" s="35"/>
      <c r="E1140" s="35"/>
      <c r="F1140" s="28">
        <v>5</v>
      </c>
      <c r="G1140" s="7">
        <f t="shared" si="292"/>
        <v>5</v>
      </c>
      <c r="H1140" s="58">
        <v>44664</v>
      </c>
      <c r="I1140" s="15" t="s">
        <v>3</v>
      </c>
      <c r="J1140" s="37"/>
      <c r="K1140" s="35"/>
      <c r="L1140" s="35"/>
      <c r="M1140" s="35"/>
      <c r="N1140" s="28"/>
      <c r="O1140" s="18">
        <f t="shared" si="294"/>
        <v>0</v>
      </c>
    </row>
    <row r="1141" spans="1:16" x14ac:dyDescent="0.15">
      <c r="A1141" s="15" t="s">
        <v>3</v>
      </c>
      <c r="B1141" s="8"/>
      <c r="C1141" s="10">
        <v>3</v>
      </c>
      <c r="D1141" s="10"/>
      <c r="E1141" s="10"/>
      <c r="F1141" s="28"/>
      <c r="G1141" s="9">
        <f t="shared" si="292"/>
        <v>3</v>
      </c>
      <c r="H1141" s="58">
        <v>44688</v>
      </c>
      <c r="I1141" s="15" t="s">
        <v>4</v>
      </c>
      <c r="J1141" s="8"/>
      <c r="K1141" s="10"/>
      <c r="L1141" s="10"/>
      <c r="M1141" s="10"/>
      <c r="N1141" s="28"/>
      <c r="O1141" s="9">
        <f t="shared" si="294"/>
        <v>0</v>
      </c>
    </row>
    <row r="1142" spans="1:16" x14ac:dyDescent="0.15">
      <c r="A1142" s="15" t="s">
        <v>4</v>
      </c>
      <c r="B1142" s="8"/>
      <c r="C1142" s="10">
        <v>3</v>
      </c>
      <c r="D1142" s="10">
        <v>3</v>
      </c>
      <c r="E1142" s="10"/>
      <c r="F1142" s="28"/>
      <c r="G1142" s="9">
        <f t="shared" si="292"/>
        <v>6</v>
      </c>
      <c r="H1142" s="58">
        <v>44699</v>
      </c>
      <c r="I1142" s="15" t="s">
        <v>5</v>
      </c>
      <c r="J1142" s="8"/>
      <c r="K1142" s="10"/>
      <c r="L1142" s="10"/>
      <c r="M1142" s="10"/>
      <c r="N1142" s="28"/>
      <c r="O1142" s="9">
        <f t="shared" si="294"/>
        <v>0</v>
      </c>
    </row>
    <row r="1143" spans="1:16" x14ac:dyDescent="0.15">
      <c r="A1143" s="15" t="s">
        <v>5</v>
      </c>
      <c r="B1143" s="8">
        <v>3</v>
      </c>
      <c r="C1143" s="10">
        <v>3</v>
      </c>
      <c r="D1143" s="10">
        <v>3</v>
      </c>
      <c r="E1143" s="10">
        <v>5</v>
      </c>
      <c r="F1143" s="28"/>
      <c r="G1143" s="9">
        <f t="shared" si="292"/>
        <v>14</v>
      </c>
      <c r="H1143" s="58">
        <v>44744</v>
      </c>
      <c r="I1143" s="15" t="s">
        <v>6</v>
      </c>
      <c r="J1143" s="8"/>
      <c r="K1143" s="10"/>
      <c r="L1143" s="10"/>
      <c r="M1143" s="10"/>
      <c r="N1143" s="28"/>
      <c r="O1143" s="9">
        <f t="shared" si="294"/>
        <v>0</v>
      </c>
    </row>
    <row r="1144" spans="1:16" x14ac:dyDescent="0.15">
      <c r="A1144" s="15" t="s">
        <v>6</v>
      </c>
      <c r="B1144" s="11"/>
      <c r="C1144" s="12"/>
      <c r="D1144" s="12">
        <v>3</v>
      </c>
      <c r="E1144" s="12"/>
      <c r="F1144" s="31"/>
      <c r="G1144" s="7">
        <f t="shared" si="292"/>
        <v>3</v>
      </c>
      <c r="H1144" s="58">
        <v>44770</v>
      </c>
      <c r="I1144" s="15" t="s">
        <v>84</v>
      </c>
      <c r="J1144" s="11"/>
      <c r="K1144" s="12"/>
      <c r="L1144" s="12"/>
      <c r="M1144" s="12"/>
      <c r="N1144" s="31"/>
      <c r="O1144" s="7">
        <f t="shared" si="294"/>
        <v>0</v>
      </c>
    </row>
    <row r="1145" spans="1:16" x14ac:dyDescent="0.15">
      <c r="A1145" s="15" t="s">
        <v>84</v>
      </c>
      <c r="B1145" s="8"/>
      <c r="C1145" s="10"/>
      <c r="D1145" s="10"/>
      <c r="E1145" s="10"/>
      <c r="F1145" s="30"/>
      <c r="G1145" s="7">
        <f t="shared" si="292"/>
        <v>0</v>
      </c>
      <c r="H1145" s="58"/>
      <c r="I1145" s="15" t="s">
        <v>85</v>
      </c>
      <c r="J1145" s="8"/>
      <c r="K1145" s="10"/>
      <c r="L1145" s="10"/>
      <c r="M1145" s="10"/>
      <c r="N1145" s="30"/>
      <c r="O1145" s="7">
        <f t="shared" si="294"/>
        <v>0</v>
      </c>
    </row>
    <row r="1146" spans="1:16" x14ac:dyDescent="0.15">
      <c r="A1146" s="15" t="s">
        <v>85</v>
      </c>
      <c r="B1146" s="8"/>
      <c r="C1146" s="10"/>
      <c r="D1146" s="10"/>
      <c r="E1146" s="10"/>
      <c r="F1146" s="30"/>
      <c r="G1146" s="7">
        <f t="shared" si="292"/>
        <v>0</v>
      </c>
      <c r="H1146" s="58"/>
      <c r="I1146" s="15" t="s">
        <v>86</v>
      </c>
      <c r="J1146" s="8"/>
      <c r="K1146" s="10"/>
      <c r="L1146" s="10"/>
      <c r="M1146" s="10"/>
      <c r="N1146" s="30"/>
      <c r="O1146" s="7">
        <f t="shared" si="294"/>
        <v>0</v>
      </c>
    </row>
    <row r="1147" spans="1:16" ht="14.25" thickBot="1" x14ac:dyDescent="0.2">
      <c r="A1147" s="15" t="s">
        <v>86</v>
      </c>
      <c r="B1147" s="11"/>
      <c r="C1147" s="100"/>
      <c r="D1147" s="100"/>
      <c r="E1147" s="100"/>
      <c r="F1147" s="101"/>
      <c r="G1147" s="102">
        <f t="shared" si="292"/>
        <v>0</v>
      </c>
      <c r="H1147" s="58"/>
      <c r="I1147" s="15" t="s">
        <v>87</v>
      </c>
      <c r="J1147" s="11"/>
      <c r="K1147" s="100"/>
      <c r="L1147" s="100"/>
      <c r="M1147" s="100"/>
      <c r="N1147" s="101"/>
      <c r="O1147" s="102">
        <f t="shared" si="294"/>
        <v>0</v>
      </c>
    </row>
    <row r="1148" spans="1:16" ht="14.25" thickBot="1" x14ac:dyDescent="0.2">
      <c r="A1148" s="72" t="s">
        <v>7</v>
      </c>
      <c r="B1148" s="73">
        <f>SUM(B1139:B1147)</f>
        <v>9</v>
      </c>
      <c r="C1148" s="74">
        <f t="shared" ref="C1148:F1148" si="295">SUM(C1139:C1147)</f>
        <v>14</v>
      </c>
      <c r="D1148" s="74">
        <f t="shared" si="295"/>
        <v>13</v>
      </c>
      <c r="E1148" s="74">
        <f t="shared" si="295"/>
        <v>9</v>
      </c>
      <c r="F1148" s="105">
        <f t="shared" si="295"/>
        <v>6</v>
      </c>
      <c r="G1148" s="76">
        <f t="shared" si="292"/>
        <v>51</v>
      </c>
      <c r="H1148" s="56"/>
      <c r="I1148" s="72" t="s">
        <v>7</v>
      </c>
      <c r="J1148" s="73">
        <f>SUM(J1139:J1147)</f>
        <v>181</v>
      </c>
      <c r="K1148" s="74">
        <f t="shared" ref="K1148:N1148" si="296">SUM(K1139:K1147)</f>
        <v>142</v>
      </c>
      <c r="L1148" s="74">
        <f t="shared" si="296"/>
        <v>125</v>
      </c>
      <c r="M1148" s="74">
        <f t="shared" si="296"/>
        <v>132</v>
      </c>
      <c r="N1148" s="105">
        <f t="shared" si="296"/>
        <v>131</v>
      </c>
      <c r="O1148" s="76">
        <f t="shared" si="294"/>
        <v>711</v>
      </c>
    </row>
    <row r="1149" spans="1:16" x14ac:dyDescent="0.15">
      <c r="A1149" s="16" t="s">
        <v>117</v>
      </c>
      <c r="B1149" s="37"/>
      <c r="C1149" s="35">
        <v>1</v>
      </c>
      <c r="D1149" s="35"/>
      <c r="E1149" s="35"/>
      <c r="F1149" s="28"/>
      <c r="G1149" s="18">
        <f t="shared" si="292"/>
        <v>1</v>
      </c>
      <c r="H1149" s="58">
        <v>44670</v>
      </c>
      <c r="I1149" s="15" t="s">
        <v>1460</v>
      </c>
      <c r="J1149" s="37"/>
      <c r="K1149" s="35"/>
      <c r="L1149" s="35"/>
      <c r="M1149" s="35"/>
      <c r="N1149" s="28">
        <v>5</v>
      </c>
      <c r="O1149" s="7">
        <f t="shared" si="294"/>
        <v>5</v>
      </c>
      <c r="P1149" s="58">
        <v>44664</v>
      </c>
    </row>
    <row r="1150" spans="1:16" x14ac:dyDescent="0.15">
      <c r="A1150" s="16" t="s">
        <v>117</v>
      </c>
      <c r="B1150" s="8"/>
      <c r="C1150" s="10">
        <v>1</v>
      </c>
      <c r="D1150" s="10"/>
      <c r="E1150" s="10"/>
      <c r="F1150" s="30"/>
      <c r="G1150" s="7">
        <f t="shared" si="292"/>
        <v>1</v>
      </c>
      <c r="H1150" s="58">
        <v>44673</v>
      </c>
      <c r="I1150" s="14" t="s">
        <v>8</v>
      </c>
      <c r="J1150" s="8"/>
      <c r="K1150" s="10">
        <v>10</v>
      </c>
      <c r="L1150" s="10"/>
      <c r="M1150" s="10"/>
      <c r="N1150" s="30"/>
      <c r="O1150" s="7">
        <f t="shared" si="294"/>
        <v>10</v>
      </c>
      <c r="P1150" s="58">
        <v>44691</v>
      </c>
    </row>
    <row r="1151" spans="1:16" x14ac:dyDescent="0.15">
      <c r="A1151" s="16" t="s">
        <v>1462</v>
      </c>
      <c r="B1151" s="8"/>
      <c r="C1151" s="10"/>
      <c r="D1151" s="10">
        <v>1</v>
      </c>
      <c r="E1151" s="10"/>
      <c r="F1151" s="30"/>
      <c r="G1151" s="7">
        <f t="shared" si="292"/>
        <v>1</v>
      </c>
      <c r="H1151" s="58">
        <v>44676</v>
      </c>
      <c r="I1151" s="15" t="s">
        <v>24</v>
      </c>
      <c r="J1151" s="8"/>
      <c r="K1151" s="10">
        <v>3</v>
      </c>
      <c r="L1151" s="10"/>
      <c r="M1151" s="10"/>
      <c r="N1151" s="28"/>
      <c r="O1151" s="9">
        <f t="shared" si="294"/>
        <v>3</v>
      </c>
      <c r="P1151" s="57">
        <v>44688</v>
      </c>
    </row>
    <row r="1152" spans="1:16" x14ac:dyDescent="0.15">
      <c r="A1152" s="16" t="s">
        <v>29</v>
      </c>
      <c r="B1152" s="8"/>
      <c r="C1152" s="10">
        <v>1</v>
      </c>
      <c r="D1152" s="10"/>
      <c r="E1152" s="10"/>
      <c r="F1152" s="30"/>
      <c r="G1152" s="7">
        <f t="shared" si="292"/>
        <v>1</v>
      </c>
      <c r="H1152" s="58">
        <v>44677</v>
      </c>
      <c r="I1152" s="14" t="s">
        <v>8</v>
      </c>
      <c r="J1152" s="8"/>
      <c r="K1152" s="10"/>
      <c r="L1152" s="10">
        <v>10</v>
      </c>
      <c r="M1152" s="10"/>
      <c r="N1152" s="30"/>
      <c r="O1152" s="7">
        <f t="shared" si="294"/>
        <v>10</v>
      </c>
      <c r="P1152" s="58">
        <v>44700</v>
      </c>
    </row>
    <row r="1153" spans="1:17" x14ac:dyDescent="0.15">
      <c r="A1153" s="16" t="s">
        <v>29</v>
      </c>
      <c r="B1153" s="8"/>
      <c r="C1153" s="10">
        <v>1</v>
      </c>
      <c r="D1153" s="10"/>
      <c r="E1153" s="10"/>
      <c r="F1153" s="30"/>
      <c r="G1153" s="7">
        <f t="shared" si="292"/>
        <v>1</v>
      </c>
      <c r="H1153" s="58">
        <v>44687</v>
      </c>
      <c r="I1153" s="15" t="s">
        <v>110</v>
      </c>
      <c r="J1153" s="8">
        <v>2</v>
      </c>
      <c r="K1153" s="10"/>
      <c r="L1153" s="10"/>
      <c r="M1153" s="10"/>
      <c r="N1153" s="30"/>
      <c r="O1153" s="7">
        <f t="shared" si="294"/>
        <v>2</v>
      </c>
      <c r="P1153" s="58">
        <v>44701</v>
      </c>
    </row>
    <row r="1154" spans="1:17" x14ac:dyDescent="0.15">
      <c r="A1154" s="16" t="s">
        <v>29</v>
      </c>
      <c r="B1154" s="8"/>
      <c r="C1154" s="10">
        <v>1</v>
      </c>
      <c r="D1154" s="10"/>
      <c r="E1154" s="10"/>
      <c r="F1154" s="30"/>
      <c r="G1154" s="7">
        <f t="shared" si="292"/>
        <v>1</v>
      </c>
      <c r="H1154" s="58">
        <v>44697</v>
      </c>
      <c r="I1154" s="15" t="s">
        <v>24</v>
      </c>
      <c r="J1154" s="8"/>
      <c r="K1154" s="10">
        <v>3</v>
      </c>
      <c r="L1154" s="10">
        <v>3</v>
      </c>
      <c r="M1154" s="10"/>
      <c r="N1154" s="30"/>
      <c r="O1154" s="7">
        <f t="shared" si="294"/>
        <v>6</v>
      </c>
      <c r="P1154" s="58">
        <v>44699</v>
      </c>
      <c r="Q1154" s="56"/>
    </row>
    <row r="1155" spans="1:17" x14ac:dyDescent="0.15">
      <c r="A1155" s="16" t="s">
        <v>29</v>
      </c>
      <c r="B1155" s="8"/>
      <c r="C1155" s="10"/>
      <c r="D1155" s="10"/>
      <c r="E1155" s="10"/>
      <c r="F1155" s="30">
        <v>1</v>
      </c>
      <c r="G1155" s="7">
        <f t="shared" si="292"/>
        <v>1</v>
      </c>
      <c r="H1155" s="58">
        <v>44711</v>
      </c>
      <c r="I1155" s="15" t="s">
        <v>110</v>
      </c>
      <c r="J1155" s="8"/>
      <c r="K1155" s="10"/>
      <c r="L1155" s="10"/>
      <c r="M1155" s="10">
        <v>1</v>
      </c>
      <c r="N1155" s="30"/>
      <c r="O1155" s="7">
        <f t="shared" si="294"/>
        <v>1</v>
      </c>
      <c r="P1155" s="58">
        <v>44707</v>
      </c>
      <c r="Q1155" s="56"/>
    </row>
    <row r="1156" spans="1:17" x14ac:dyDescent="0.15">
      <c r="A1156" s="16" t="s">
        <v>29</v>
      </c>
      <c r="B1156" s="8"/>
      <c r="C1156" s="10">
        <v>1</v>
      </c>
      <c r="D1156" s="10"/>
      <c r="E1156" s="10"/>
      <c r="F1156" s="30"/>
      <c r="G1156" s="7">
        <f t="shared" si="292"/>
        <v>1</v>
      </c>
      <c r="H1156" s="58">
        <v>44712</v>
      </c>
      <c r="I1156" s="14" t="s">
        <v>8</v>
      </c>
      <c r="J1156" s="8"/>
      <c r="K1156" s="10"/>
      <c r="L1156" s="10"/>
      <c r="M1156" s="10"/>
      <c r="N1156" s="28">
        <v>10</v>
      </c>
      <c r="O1156" s="9">
        <f t="shared" si="294"/>
        <v>10</v>
      </c>
      <c r="P1156" s="58">
        <v>44711</v>
      </c>
    </row>
    <row r="1157" spans="1:17" x14ac:dyDescent="0.15">
      <c r="A1157" s="16" t="s">
        <v>117</v>
      </c>
      <c r="B1157" s="11"/>
      <c r="C1157" s="12">
        <v>1</v>
      </c>
      <c r="D1157" s="12"/>
      <c r="E1157" s="12"/>
      <c r="F1157" s="31"/>
      <c r="G1157" s="7">
        <f t="shared" si="292"/>
        <v>1</v>
      </c>
      <c r="H1157" s="58">
        <v>44723</v>
      </c>
      <c r="I1157" s="14" t="s">
        <v>8</v>
      </c>
      <c r="J1157" s="8"/>
      <c r="K1157" s="10"/>
      <c r="L1157" s="10"/>
      <c r="M1157" s="10">
        <v>10</v>
      </c>
      <c r="N1157" s="30"/>
      <c r="O1157" s="9">
        <f t="shared" si="294"/>
        <v>10</v>
      </c>
      <c r="P1157" s="58">
        <v>44722</v>
      </c>
    </row>
    <row r="1158" spans="1:17" x14ac:dyDescent="0.15">
      <c r="A1158" s="16" t="s">
        <v>29</v>
      </c>
      <c r="B1158" s="8"/>
      <c r="C1158" s="10"/>
      <c r="D1158" s="10">
        <v>1</v>
      </c>
      <c r="E1158" s="10"/>
      <c r="F1158" s="30"/>
      <c r="G1158" s="7">
        <f t="shared" si="292"/>
        <v>1</v>
      </c>
      <c r="H1158" s="58">
        <v>44729</v>
      </c>
      <c r="I1158" s="14" t="s">
        <v>8</v>
      </c>
      <c r="J1158" s="37"/>
      <c r="K1158" s="35">
        <v>10</v>
      </c>
      <c r="L1158" s="35"/>
      <c r="M1158" s="35"/>
      <c r="N1158" s="28"/>
      <c r="O1158" s="7">
        <f t="shared" si="294"/>
        <v>10</v>
      </c>
      <c r="P1158" s="58">
        <v>44742</v>
      </c>
    </row>
    <row r="1159" spans="1:17" x14ac:dyDescent="0.15">
      <c r="A1159" s="16" t="s">
        <v>117</v>
      </c>
      <c r="B1159" s="8"/>
      <c r="C1159" s="10"/>
      <c r="D1159" s="10">
        <v>1</v>
      </c>
      <c r="E1159" s="10">
        <v>1</v>
      </c>
      <c r="F1159" s="30"/>
      <c r="G1159" s="7">
        <f t="shared" si="292"/>
        <v>2</v>
      </c>
      <c r="H1159" s="58">
        <v>44730</v>
      </c>
      <c r="I1159" s="15" t="s">
        <v>24</v>
      </c>
      <c r="J1159" s="8">
        <v>3</v>
      </c>
      <c r="K1159" s="10">
        <v>3</v>
      </c>
      <c r="L1159" s="10">
        <v>3</v>
      </c>
      <c r="M1159" s="10">
        <v>5</v>
      </c>
      <c r="N1159" s="28"/>
      <c r="O1159" s="9">
        <f t="shared" si="294"/>
        <v>14</v>
      </c>
      <c r="P1159" s="58">
        <v>44744</v>
      </c>
    </row>
    <row r="1160" spans="1:17" x14ac:dyDescent="0.15">
      <c r="A1160" s="16" t="s">
        <v>29</v>
      </c>
      <c r="B1160" s="8">
        <v>1</v>
      </c>
      <c r="C1160" s="10">
        <v>1</v>
      </c>
      <c r="D1160" s="10"/>
      <c r="E1160" s="10"/>
      <c r="F1160" s="30"/>
      <c r="G1160" s="7">
        <f t="shared" si="292"/>
        <v>2</v>
      </c>
      <c r="H1160" s="58">
        <v>44732</v>
      </c>
      <c r="I1160" s="14" t="s">
        <v>8</v>
      </c>
      <c r="J1160" s="8"/>
      <c r="K1160" s="10"/>
      <c r="L1160" s="10"/>
      <c r="M1160" s="10"/>
      <c r="N1160" s="30">
        <v>10</v>
      </c>
      <c r="O1160" s="7">
        <f t="shared" si="294"/>
        <v>10</v>
      </c>
      <c r="P1160" s="58">
        <v>44761</v>
      </c>
    </row>
    <row r="1161" spans="1:17" x14ac:dyDescent="0.15">
      <c r="A1161" s="16" t="s">
        <v>29</v>
      </c>
      <c r="B1161" s="8">
        <v>1</v>
      </c>
      <c r="C1161" s="10">
        <v>1</v>
      </c>
      <c r="D1161" s="10">
        <v>1</v>
      </c>
      <c r="E1161" s="10"/>
      <c r="F1161" s="30"/>
      <c r="G1161" s="7">
        <f t="shared" si="292"/>
        <v>3</v>
      </c>
      <c r="H1161" s="58">
        <v>44739</v>
      </c>
      <c r="I1161" s="15" t="s">
        <v>24</v>
      </c>
      <c r="J1161" s="8"/>
      <c r="K1161" s="10"/>
      <c r="L1161" s="10">
        <v>3</v>
      </c>
      <c r="M1161" s="10"/>
      <c r="N1161" s="30"/>
      <c r="O1161" s="7">
        <f t="shared" si="294"/>
        <v>3</v>
      </c>
      <c r="P1161" s="58">
        <v>44770</v>
      </c>
      <c r="Q1161" s="56"/>
    </row>
    <row r="1162" spans="1:17" x14ac:dyDescent="0.15">
      <c r="A1162" s="16" t="s">
        <v>29</v>
      </c>
      <c r="B1162" s="8"/>
      <c r="C1162" s="10"/>
      <c r="D1162" s="10"/>
      <c r="E1162" s="10">
        <v>1</v>
      </c>
      <c r="F1162" s="30"/>
      <c r="G1162" s="7">
        <f t="shared" si="292"/>
        <v>1</v>
      </c>
      <c r="H1162" s="58">
        <v>44741</v>
      </c>
      <c r="I1162" s="16"/>
      <c r="J1162" s="8"/>
      <c r="K1162" s="10"/>
      <c r="L1162" s="10"/>
      <c r="M1162" s="10"/>
      <c r="N1162" s="30"/>
      <c r="O1162" s="7">
        <f t="shared" si="294"/>
        <v>0</v>
      </c>
    </row>
    <row r="1163" spans="1:17" x14ac:dyDescent="0.15">
      <c r="A1163" s="16" t="s">
        <v>29</v>
      </c>
      <c r="B1163" s="8">
        <v>1</v>
      </c>
      <c r="C1163" s="10"/>
      <c r="D1163" s="10"/>
      <c r="E1163" s="10">
        <v>1</v>
      </c>
      <c r="F1163" s="30"/>
      <c r="G1163" s="7">
        <f t="shared" si="292"/>
        <v>2</v>
      </c>
      <c r="H1163" s="58">
        <v>44742</v>
      </c>
      <c r="I1163" s="16"/>
      <c r="J1163" s="8"/>
      <c r="K1163" s="10"/>
      <c r="L1163" s="10"/>
      <c r="M1163" s="10"/>
      <c r="N1163" s="30"/>
      <c r="O1163" s="7">
        <f t="shared" si="294"/>
        <v>0</v>
      </c>
    </row>
    <row r="1164" spans="1:17" x14ac:dyDescent="0.15">
      <c r="A1164" s="16" t="s">
        <v>117</v>
      </c>
      <c r="B1164" s="8">
        <v>1</v>
      </c>
      <c r="C1164" s="10"/>
      <c r="D1164" s="10"/>
      <c r="E1164" s="10"/>
      <c r="F1164" s="30"/>
      <c r="G1164" s="7">
        <f t="shared" si="292"/>
        <v>1</v>
      </c>
      <c r="H1164" s="58">
        <v>44750</v>
      </c>
      <c r="I1164" s="16"/>
      <c r="J1164" s="8"/>
      <c r="K1164" s="10"/>
      <c r="L1164" s="10"/>
      <c r="M1164" s="10"/>
      <c r="N1164" s="30"/>
      <c r="O1164" s="7">
        <f t="shared" si="294"/>
        <v>0</v>
      </c>
    </row>
    <row r="1165" spans="1:17" x14ac:dyDescent="0.15">
      <c r="A1165" s="16" t="s">
        <v>29</v>
      </c>
      <c r="B1165" s="11"/>
      <c r="C1165" s="12"/>
      <c r="D1165" s="12">
        <v>1</v>
      </c>
      <c r="E1165" s="12"/>
      <c r="F1165" s="31"/>
      <c r="G1165" s="7">
        <f t="shared" si="292"/>
        <v>1</v>
      </c>
      <c r="H1165" s="58">
        <v>44750</v>
      </c>
      <c r="I1165" s="16"/>
      <c r="J1165" s="11"/>
      <c r="K1165" s="12"/>
      <c r="L1165" s="12"/>
      <c r="M1165" s="12"/>
      <c r="N1165" s="31"/>
      <c r="O1165" s="7">
        <f t="shared" si="294"/>
        <v>0</v>
      </c>
    </row>
    <row r="1166" spans="1:17" x14ac:dyDescent="0.15">
      <c r="A1166" s="16" t="s">
        <v>117</v>
      </c>
      <c r="B1166" s="8"/>
      <c r="C1166" s="10"/>
      <c r="D1166" s="10"/>
      <c r="E1166" s="10"/>
      <c r="F1166" s="30">
        <v>1</v>
      </c>
      <c r="G1166" s="7">
        <f t="shared" si="292"/>
        <v>1</v>
      </c>
      <c r="H1166" s="58">
        <v>44755</v>
      </c>
      <c r="I1166" s="16"/>
      <c r="J1166" s="11"/>
      <c r="K1166" s="12"/>
      <c r="L1166" s="12"/>
      <c r="M1166" s="12"/>
      <c r="N1166" s="31"/>
      <c r="O1166" s="7">
        <f t="shared" si="294"/>
        <v>0</v>
      </c>
    </row>
    <row r="1167" spans="1:17" x14ac:dyDescent="0.15">
      <c r="A1167" s="16" t="s">
        <v>29</v>
      </c>
      <c r="B1167" s="8"/>
      <c r="C1167" s="10">
        <v>1</v>
      </c>
      <c r="D1167" s="10"/>
      <c r="E1167" s="10"/>
      <c r="F1167" s="30"/>
      <c r="G1167" s="7">
        <f>SUM(B1167:F1167)</f>
        <v>1</v>
      </c>
      <c r="H1167" s="58">
        <v>44754</v>
      </c>
      <c r="I1167" s="16"/>
      <c r="J1167" s="11"/>
      <c r="K1167" s="12"/>
      <c r="L1167" s="12"/>
      <c r="M1167" s="12"/>
      <c r="N1167" s="31"/>
      <c r="O1167" s="7">
        <f t="shared" si="294"/>
        <v>0</v>
      </c>
    </row>
    <row r="1168" spans="1:17" x14ac:dyDescent="0.15">
      <c r="A1168" s="16" t="s">
        <v>29</v>
      </c>
      <c r="B1168" s="8"/>
      <c r="C1168" s="10">
        <v>1</v>
      </c>
      <c r="D1168" s="10"/>
      <c r="E1168" s="10">
        <v>1</v>
      </c>
      <c r="F1168" s="30"/>
      <c r="G1168" s="7">
        <f t="shared" ref="G1168:G1174" si="297">SUM(B1168:F1168)</f>
        <v>2</v>
      </c>
      <c r="H1168" s="58">
        <v>44755</v>
      </c>
      <c r="I1168" s="16"/>
      <c r="J1168" s="11"/>
      <c r="K1168" s="12"/>
      <c r="L1168" s="12"/>
      <c r="M1168" s="12"/>
      <c r="N1168" s="31"/>
      <c r="O1168" s="7">
        <f t="shared" si="294"/>
        <v>0</v>
      </c>
    </row>
    <row r="1169" spans="1:15" x14ac:dyDescent="0.15">
      <c r="A1169" s="16" t="s">
        <v>696</v>
      </c>
      <c r="B1169" s="8"/>
      <c r="C1169" s="10">
        <v>-1</v>
      </c>
      <c r="D1169" s="10"/>
      <c r="E1169" s="10"/>
      <c r="F1169" s="30"/>
      <c r="G1169" s="7">
        <f t="shared" si="297"/>
        <v>-1</v>
      </c>
      <c r="H1169" s="58">
        <v>44757</v>
      </c>
      <c r="I1169" s="16"/>
      <c r="J1169" s="8"/>
      <c r="K1169" s="10"/>
      <c r="L1169" s="10"/>
      <c r="M1169" s="10"/>
      <c r="N1169" s="30"/>
      <c r="O1169" s="7">
        <f t="shared" si="294"/>
        <v>0</v>
      </c>
    </row>
    <row r="1170" spans="1:15" x14ac:dyDescent="0.15">
      <c r="A1170" s="16" t="s">
        <v>29</v>
      </c>
      <c r="B1170" s="11"/>
      <c r="C1170" s="12">
        <v>1</v>
      </c>
      <c r="D1170" s="12"/>
      <c r="E1170" s="12"/>
      <c r="F1170" s="31"/>
      <c r="G1170" s="7">
        <f t="shared" si="297"/>
        <v>1</v>
      </c>
      <c r="H1170" s="58">
        <v>44761</v>
      </c>
      <c r="I1170" s="16"/>
      <c r="J1170" s="11"/>
      <c r="K1170" s="12"/>
      <c r="L1170" s="12"/>
      <c r="M1170" s="12"/>
      <c r="N1170" s="31"/>
      <c r="O1170" s="7">
        <f t="shared" si="294"/>
        <v>0</v>
      </c>
    </row>
    <row r="1171" spans="1:15" x14ac:dyDescent="0.15">
      <c r="A1171" s="16" t="s">
        <v>117</v>
      </c>
      <c r="B1171" s="8"/>
      <c r="C1171" s="10"/>
      <c r="D1171" s="10">
        <v>1</v>
      </c>
      <c r="E1171" s="10"/>
      <c r="F1171" s="30"/>
      <c r="G1171" s="7">
        <f t="shared" si="297"/>
        <v>1</v>
      </c>
      <c r="H1171" s="58">
        <v>44763</v>
      </c>
      <c r="I1171" s="16"/>
      <c r="J1171" s="11"/>
      <c r="K1171" s="12"/>
      <c r="L1171" s="12"/>
      <c r="M1171" s="12"/>
      <c r="N1171" s="31"/>
      <c r="O1171" s="7">
        <f t="shared" si="294"/>
        <v>0</v>
      </c>
    </row>
    <row r="1172" spans="1:15" x14ac:dyDescent="0.15">
      <c r="A1172" s="16" t="s">
        <v>485</v>
      </c>
      <c r="B1172" s="37"/>
      <c r="C1172" s="35">
        <v>-1</v>
      </c>
      <c r="D1172" s="35">
        <v>1</v>
      </c>
      <c r="E1172" s="35"/>
      <c r="F1172" s="28"/>
      <c r="G1172" s="7">
        <f t="shared" si="297"/>
        <v>0</v>
      </c>
      <c r="H1172" s="58">
        <v>44764</v>
      </c>
      <c r="I1172" s="16"/>
      <c r="J1172" s="11"/>
      <c r="K1172" s="12"/>
      <c r="L1172" s="12"/>
      <c r="M1172" s="12"/>
      <c r="N1172" s="31"/>
      <c r="O1172" s="7">
        <f t="shared" si="294"/>
        <v>0</v>
      </c>
    </row>
    <row r="1173" spans="1:15" x14ac:dyDescent="0.15">
      <c r="A1173" s="16" t="s">
        <v>696</v>
      </c>
      <c r="B1173" s="8"/>
      <c r="C1173" s="10">
        <v>-1</v>
      </c>
      <c r="D1173" s="10"/>
      <c r="E1173" s="10"/>
      <c r="F1173" s="30"/>
      <c r="G1173" s="9">
        <f t="shared" si="297"/>
        <v>-1</v>
      </c>
      <c r="H1173" s="58">
        <v>44768</v>
      </c>
      <c r="I1173" s="16"/>
      <c r="J1173" s="11"/>
      <c r="K1173" s="12"/>
      <c r="L1173" s="12"/>
      <c r="M1173" s="12"/>
      <c r="N1173" s="31"/>
      <c r="O1173" s="7">
        <f t="shared" si="294"/>
        <v>0</v>
      </c>
    </row>
    <row r="1174" spans="1:15" ht="14.25" thickBot="1" x14ac:dyDescent="0.2">
      <c r="A1174" s="16" t="s">
        <v>29</v>
      </c>
      <c r="B1174" s="37"/>
      <c r="C1174" s="35"/>
      <c r="D1174" s="35">
        <v>1</v>
      </c>
      <c r="E1174" s="35"/>
      <c r="F1174" s="28"/>
      <c r="G1174" s="7">
        <f t="shared" si="297"/>
        <v>1</v>
      </c>
      <c r="H1174" s="58">
        <v>44769</v>
      </c>
      <c r="I1174" s="94"/>
      <c r="J1174" s="91"/>
      <c r="K1174" s="92"/>
      <c r="L1174" s="92"/>
      <c r="M1174" s="92"/>
      <c r="N1174" s="93"/>
      <c r="O1174" s="61">
        <f t="shared" si="294"/>
        <v>0</v>
      </c>
    </row>
    <row r="1175" spans="1:15" ht="14.25" thickBot="1" x14ac:dyDescent="0.2">
      <c r="A1175" s="3" t="s">
        <v>11</v>
      </c>
      <c r="B1175" s="23">
        <f>SUM(B1149:B1174)</f>
        <v>4</v>
      </c>
      <c r="C1175" s="4">
        <f>SUM(C1149:C1174)</f>
        <v>9</v>
      </c>
      <c r="D1175" s="4">
        <f>SUM(D1149:D1174)</f>
        <v>8</v>
      </c>
      <c r="E1175" s="6">
        <f>SUM(E1149:E1174)</f>
        <v>4</v>
      </c>
      <c r="F1175" s="32">
        <f>SUM(F1149:F1174)</f>
        <v>2</v>
      </c>
      <c r="G1175" s="5">
        <f>SUM(B1175:F1175)</f>
        <v>27</v>
      </c>
      <c r="H1175" s="56"/>
      <c r="I1175" s="3" t="s">
        <v>11</v>
      </c>
      <c r="J1175" s="23">
        <f>SUM(J1149:J1174)</f>
        <v>5</v>
      </c>
      <c r="K1175" s="4">
        <f>SUM(K1149:K1174)</f>
        <v>29</v>
      </c>
      <c r="L1175" s="4">
        <f>SUM(L1149:L1174)</f>
        <v>19</v>
      </c>
      <c r="M1175" s="6">
        <f>SUM(M1149:M1174)</f>
        <v>16</v>
      </c>
      <c r="N1175" s="32">
        <f>SUM(N1149:N1174)</f>
        <v>25</v>
      </c>
      <c r="O1175" s="5">
        <f>SUM(J1175:N1175)</f>
        <v>94</v>
      </c>
    </row>
    <row r="1176" spans="1:15" ht="14.25" thickBot="1" x14ac:dyDescent="0.2">
      <c r="A1176" s="25" t="s">
        <v>12</v>
      </c>
      <c r="B1176" s="63">
        <f>B1148-B1175</f>
        <v>5</v>
      </c>
      <c r="C1176" s="26">
        <f t="shared" ref="C1176:G1176" si="298">C1148-C1175</f>
        <v>5</v>
      </c>
      <c r="D1176" s="71">
        <f t="shared" si="298"/>
        <v>5</v>
      </c>
      <c r="E1176" s="26">
        <f t="shared" si="298"/>
        <v>5</v>
      </c>
      <c r="F1176" s="70">
        <f t="shared" si="298"/>
        <v>4</v>
      </c>
      <c r="G1176" s="27">
        <f t="shared" si="298"/>
        <v>24</v>
      </c>
      <c r="H1176" s="56"/>
      <c r="I1176" s="25" t="s">
        <v>12</v>
      </c>
      <c r="J1176" s="63">
        <f>J1148-J1175</f>
        <v>176</v>
      </c>
      <c r="K1176" s="26">
        <f t="shared" ref="K1176:M1176" si="299">K1148-K1175</f>
        <v>113</v>
      </c>
      <c r="L1176" s="71">
        <f t="shared" si="299"/>
        <v>106</v>
      </c>
      <c r="M1176" s="26">
        <f t="shared" si="299"/>
        <v>116</v>
      </c>
      <c r="N1176" s="70">
        <f>N1148-N1175</f>
        <v>106</v>
      </c>
      <c r="O1176" s="27">
        <f t="shared" ref="O1176" si="300">O1148-O1175</f>
        <v>617</v>
      </c>
    </row>
    <row r="1177" spans="1:15" ht="21" x14ac:dyDescent="0.2">
      <c r="A1177" s="83" t="s">
        <v>415</v>
      </c>
      <c r="B1177" s="77"/>
      <c r="C1177" s="77"/>
      <c r="D1177" s="77"/>
      <c r="E1177" s="77"/>
      <c r="F1177" s="77"/>
      <c r="G1177" s="77"/>
      <c r="H1177" s="56"/>
      <c r="I1177" s="83" t="s">
        <v>415</v>
      </c>
      <c r="J1177" s="77"/>
      <c r="K1177" s="77"/>
      <c r="L1177" s="77"/>
      <c r="M1177" s="77"/>
      <c r="N1177" s="77"/>
      <c r="O1177" s="77"/>
    </row>
    <row r="1178" spans="1:15" ht="21.75" thickBot="1" x14ac:dyDescent="0.25">
      <c r="A1178" s="83" t="s">
        <v>47</v>
      </c>
      <c r="B1178" s="77"/>
      <c r="C1178" s="77"/>
      <c r="D1178" s="77"/>
      <c r="E1178" s="84"/>
      <c r="F1178" s="78" t="s">
        <v>53</v>
      </c>
      <c r="G1178" s="77"/>
      <c r="H1178" s="56"/>
      <c r="I1178" s="83" t="s">
        <v>47</v>
      </c>
      <c r="J1178" s="77"/>
      <c r="K1178" s="77"/>
      <c r="L1178" s="77"/>
      <c r="M1178" s="84"/>
      <c r="N1178" s="78" t="s">
        <v>54</v>
      </c>
      <c r="O1178" s="77"/>
    </row>
    <row r="1179" spans="1:15" ht="14.25" thickBot="1" x14ac:dyDescent="0.2">
      <c r="A1179" s="13" t="s">
        <v>0</v>
      </c>
      <c r="B1179" s="228" t="s">
        <v>49</v>
      </c>
      <c r="C1179" s="229"/>
      <c r="D1179" s="229"/>
      <c r="E1179" s="229"/>
      <c r="F1179" s="230"/>
      <c r="G1179" s="231"/>
      <c r="H1179" s="56"/>
      <c r="I1179" s="13" t="s">
        <v>0</v>
      </c>
      <c r="J1179" s="228" t="s">
        <v>49</v>
      </c>
      <c r="K1179" s="229"/>
      <c r="L1179" s="229"/>
      <c r="M1179" s="229"/>
      <c r="N1179" s="230"/>
      <c r="O1179" s="231"/>
    </row>
    <row r="1180" spans="1:15" ht="14.25" thickBot="1" x14ac:dyDescent="0.2">
      <c r="A1180" s="3" t="s">
        <v>1</v>
      </c>
      <c r="B1180" s="2" t="s">
        <v>42</v>
      </c>
      <c r="C1180" s="21" t="s">
        <v>43</v>
      </c>
      <c r="D1180" s="21" t="s">
        <v>44</v>
      </c>
      <c r="E1180" s="24" t="s">
        <v>45</v>
      </c>
      <c r="F1180" s="33" t="s">
        <v>46</v>
      </c>
      <c r="G1180" s="34" t="s">
        <v>2</v>
      </c>
      <c r="H1180" s="56"/>
      <c r="I1180" s="3" t="s">
        <v>1</v>
      </c>
      <c r="J1180" s="2" t="s">
        <v>42</v>
      </c>
      <c r="K1180" s="21" t="s">
        <v>43</v>
      </c>
      <c r="L1180" s="21" t="s">
        <v>44</v>
      </c>
      <c r="M1180" s="24" t="s">
        <v>45</v>
      </c>
      <c r="N1180" s="33" t="s">
        <v>46</v>
      </c>
      <c r="O1180" s="3" t="s">
        <v>2</v>
      </c>
    </row>
    <row r="1181" spans="1:15" ht="14.25" thickBot="1" x14ac:dyDescent="0.2">
      <c r="A1181" s="72" t="s">
        <v>527</v>
      </c>
      <c r="B1181" s="73">
        <f>B1176</f>
        <v>5</v>
      </c>
      <c r="C1181" s="74">
        <f t="shared" ref="C1181:F1181" si="301">C1176</f>
        <v>5</v>
      </c>
      <c r="D1181" s="74">
        <f t="shared" si="301"/>
        <v>5</v>
      </c>
      <c r="E1181" s="74">
        <f t="shared" si="301"/>
        <v>5</v>
      </c>
      <c r="F1181" s="212">
        <f t="shared" si="301"/>
        <v>4</v>
      </c>
      <c r="G1181" s="76">
        <f t="shared" ref="G1181:G1208" si="302">SUM(B1181:F1181)</f>
        <v>24</v>
      </c>
      <c r="H1181" s="56"/>
      <c r="I1181" s="96" t="s">
        <v>12</v>
      </c>
      <c r="J1181" s="95">
        <f>J1176</f>
        <v>176</v>
      </c>
      <c r="K1181" s="97">
        <f t="shared" ref="K1181:N1181" si="303">K1176</f>
        <v>113</v>
      </c>
      <c r="L1181" s="97">
        <f t="shared" si="303"/>
        <v>106</v>
      </c>
      <c r="M1181" s="97">
        <f t="shared" si="303"/>
        <v>116</v>
      </c>
      <c r="N1181" s="54">
        <f t="shared" si="303"/>
        <v>106</v>
      </c>
      <c r="O1181" s="52">
        <f t="shared" ref="O1181:O1216" si="304">SUM(J1181:N1181)</f>
        <v>617</v>
      </c>
    </row>
    <row r="1182" spans="1:15" x14ac:dyDescent="0.15">
      <c r="A1182" s="38" t="s">
        <v>183</v>
      </c>
      <c r="B1182" s="37">
        <v>1</v>
      </c>
      <c r="C1182" s="35">
        <v>3</v>
      </c>
      <c r="D1182" s="35"/>
      <c r="E1182" s="35"/>
      <c r="F1182" s="28"/>
      <c r="G1182" s="7">
        <f t="shared" si="302"/>
        <v>4</v>
      </c>
      <c r="H1182" s="58">
        <v>44776</v>
      </c>
      <c r="I1182" s="15" t="s">
        <v>3</v>
      </c>
      <c r="J1182" s="37"/>
      <c r="K1182" s="35"/>
      <c r="L1182" s="35"/>
      <c r="M1182" s="35"/>
      <c r="N1182" s="28"/>
      <c r="O1182" s="18">
        <f t="shared" si="304"/>
        <v>0</v>
      </c>
    </row>
    <row r="1183" spans="1:15" x14ac:dyDescent="0.15">
      <c r="A1183" s="175" t="s">
        <v>1470</v>
      </c>
      <c r="B1183" s="182">
        <v>0</v>
      </c>
      <c r="C1183" s="183">
        <v>0</v>
      </c>
      <c r="D1183" s="183">
        <v>-1</v>
      </c>
      <c r="E1183" s="183">
        <v>0</v>
      </c>
      <c r="F1183" s="178">
        <v>0</v>
      </c>
      <c r="G1183" s="184">
        <f t="shared" si="302"/>
        <v>-1</v>
      </c>
      <c r="H1183" s="180">
        <v>44797</v>
      </c>
      <c r="I1183" s="15" t="s">
        <v>4</v>
      </c>
      <c r="J1183" s="8"/>
      <c r="K1183" s="10"/>
      <c r="L1183" s="10"/>
      <c r="M1183" s="10"/>
      <c r="N1183" s="28"/>
      <c r="O1183" s="9">
        <f t="shared" si="304"/>
        <v>0</v>
      </c>
    </row>
    <row r="1184" spans="1:15" x14ac:dyDescent="0.15">
      <c r="A1184" s="15" t="s">
        <v>4</v>
      </c>
      <c r="B1184" s="8"/>
      <c r="C1184" s="10"/>
      <c r="D1184" s="10"/>
      <c r="E1184" s="10"/>
      <c r="F1184" s="28"/>
      <c r="G1184" s="9">
        <f t="shared" si="302"/>
        <v>0</v>
      </c>
      <c r="H1184" s="58"/>
      <c r="I1184" s="15" t="s">
        <v>5</v>
      </c>
      <c r="J1184" s="8"/>
      <c r="K1184" s="10"/>
      <c r="L1184" s="10"/>
      <c r="M1184" s="10"/>
      <c r="N1184" s="28"/>
      <c r="O1184" s="9">
        <f t="shared" si="304"/>
        <v>0</v>
      </c>
    </row>
    <row r="1185" spans="1:15" x14ac:dyDescent="0.15">
      <c r="A1185" s="15" t="s">
        <v>5</v>
      </c>
      <c r="B1185" s="8"/>
      <c r="C1185" s="10"/>
      <c r="D1185" s="10"/>
      <c r="E1185" s="10"/>
      <c r="F1185" s="28"/>
      <c r="G1185" s="9">
        <f t="shared" si="302"/>
        <v>0</v>
      </c>
      <c r="H1185" s="58"/>
      <c r="I1185" s="15" t="s">
        <v>6</v>
      </c>
      <c r="J1185" s="8"/>
      <c r="K1185" s="10"/>
      <c r="L1185" s="10"/>
      <c r="M1185" s="10"/>
      <c r="N1185" s="28"/>
      <c r="O1185" s="9">
        <f t="shared" si="304"/>
        <v>0</v>
      </c>
    </row>
    <row r="1186" spans="1:15" x14ac:dyDescent="0.15">
      <c r="A1186" s="15" t="s">
        <v>6</v>
      </c>
      <c r="B1186" s="11"/>
      <c r="C1186" s="12"/>
      <c r="D1186" s="12"/>
      <c r="E1186" s="12"/>
      <c r="F1186" s="31"/>
      <c r="G1186" s="7">
        <f t="shared" si="302"/>
        <v>0</v>
      </c>
      <c r="H1186" s="58"/>
      <c r="I1186" s="15" t="s">
        <v>84</v>
      </c>
      <c r="J1186" s="11"/>
      <c r="K1186" s="12"/>
      <c r="L1186" s="12"/>
      <c r="M1186" s="12"/>
      <c r="N1186" s="31"/>
      <c r="O1186" s="7">
        <f t="shared" si="304"/>
        <v>0</v>
      </c>
    </row>
    <row r="1187" spans="1:15" x14ac:dyDescent="0.15">
      <c r="A1187" s="15" t="s">
        <v>84</v>
      </c>
      <c r="B1187" s="8"/>
      <c r="C1187" s="10"/>
      <c r="D1187" s="10"/>
      <c r="E1187" s="10"/>
      <c r="F1187" s="30"/>
      <c r="G1187" s="7">
        <f t="shared" si="302"/>
        <v>0</v>
      </c>
      <c r="H1187" s="58"/>
      <c r="I1187" s="15" t="s">
        <v>85</v>
      </c>
      <c r="J1187" s="8"/>
      <c r="K1187" s="10"/>
      <c r="L1187" s="10"/>
      <c r="M1187" s="10"/>
      <c r="N1187" s="30"/>
      <c r="O1187" s="7">
        <f t="shared" si="304"/>
        <v>0</v>
      </c>
    </row>
    <row r="1188" spans="1:15" x14ac:dyDescent="0.15">
      <c r="A1188" s="15" t="s">
        <v>85</v>
      </c>
      <c r="B1188" s="8"/>
      <c r="C1188" s="10"/>
      <c r="D1188" s="10"/>
      <c r="E1188" s="10"/>
      <c r="F1188" s="30"/>
      <c r="G1188" s="7">
        <f t="shared" si="302"/>
        <v>0</v>
      </c>
      <c r="H1188" s="58"/>
      <c r="I1188" s="15" t="s">
        <v>86</v>
      </c>
      <c r="J1188" s="8"/>
      <c r="K1188" s="10"/>
      <c r="L1188" s="10"/>
      <c r="M1188" s="10"/>
      <c r="N1188" s="30"/>
      <c r="O1188" s="7">
        <f t="shared" si="304"/>
        <v>0</v>
      </c>
    </row>
    <row r="1189" spans="1:15" ht="14.25" thickBot="1" x14ac:dyDescent="0.2">
      <c r="A1189" s="15" t="s">
        <v>86</v>
      </c>
      <c r="B1189" s="11"/>
      <c r="C1189" s="100"/>
      <c r="D1189" s="100"/>
      <c r="E1189" s="100"/>
      <c r="F1189" s="101"/>
      <c r="G1189" s="102">
        <f t="shared" si="302"/>
        <v>0</v>
      </c>
      <c r="H1189" s="58"/>
      <c r="I1189" s="15" t="s">
        <v>87</v>
      </c>
      <c r="J1189" s="11"/>
      <c r="K1189" s="100"/>
      <c r="L1189" s="100"/>
      <c r="M1189" s="100"/>
      <c r="N1189" s="101"/>
      <c r="O1189" s="102">
        <f t="shared" si="304"/>
        <v>0</v>
      </c>
    </row>
    <row r="1190" spans="1:15" ht="14.25" thickBot="1" x14ac:dyDescent="0.2">
      <c r="A1190" s="72" t="s">
        <v>7</v>
      </c>
      <c r="B1190" s="73">
        <f>SUM(B1181:B1189)</f>
        <v>6</v>
      </c>
      <c r="C1190" s="74">
        <f t="shared" ref="C1190:F1190" si="305">SUM(C1181:C1189)</f>
        <v>8</v>
      </c>
      <c r="D1190" s="74">
        <f t="shared" si="305"/>
        <v>4</v>
      </c>
      <c r="E1190" s="74">
        <f t="shared" si="305"/>
        <v>5</v>
      </c>
      <c r="F1190" s="105">
        <f t="shared" si="305"/>
        <v>4</v>
      </c>
      <c r="G1190" s="76">
        <f t="shared" si="302"/>
        <v>27</v>
      </c>
      <c r="H1190" s="56"/>
      <c r="I1190" s="72" t="s">
        <v>7</v>
      </c>
      <c r="J1190" s="73">
        <f>SUM(J1181:J1189)</f>
        <v>176</v>
      </c>
      <c r="K1190" s="74">
        <f t="shared" ref="K1190:N1190" si="306">SUM(K1181:K1189)</f>
        <v>113</v>
      </c>
      <c r="L1190" s="74">
        <f t="shared" si="306"/>
        <v>106</v>
      </c>
      <c r="M1190" s="74">
        <f t="shared" si="306"/>
        <v>116</v>
      </c>
      <c r="N1190" s="105">
        <f t="shared" si="306"/>
        <v>106</v>
      </c>
      <c r="O1190" s="76">
        <f t="shared" si="304"/>
        <v>617</v>
      </c>
    </row>
    <row r="1191" spans="1:15" x14ac:dyDescent="0.15">
      <c r="A1191" s="16" t="s">
        <v>29</v>
      </c>
      <c r="B1191" s="37"/>
      <c r="C1191" s="35">
        <v>1</v>
      </c>
      <c r="D1191" s="35"/>
      <c r="E1191" s="35"/>
      <c r="F1191" s="28"/>
      <c r="G1191" s="18">
        <f t="shared" si="302"/>
        <v>1</v>
      </c>
      <c r="H1191" s="58">
        <v>44781</v>
      </c>
      <c r="I1191" s="15"/>
      <c r="J1191" s="8"/>
      <c r="K1191" s="10"/>
      <c r="L1191" s="10"/>
      <c r="M1191" s="10"/>
      <c r="N1191" s="30"/>
      <c r="O1191" s="7">
        <f t="shared" ref="O1191:O1196" si="307">SUM(J1191:N1191)</f>
        <v>0</v>
      </c>
    </row>
    <row r="1192" spans="1:15" x14ac:dyDescent="0.15">
      <c r="A1192" s="16" t="s">
        <v>29</v>
      </c>
      <c r="B1192" s="8"/>
      <c r="C1192" s="10">
        <f>1+1</f>
        <v>2</v>
      </c>
      <c r="D1192" s="10"/>
      <c r="E1192" s="10"/>
      <c r="F1192" s="30"/>
      <c r="G1192" s="7">
        <f t="shared" si="302"/>
        <v>2</v>
      </c>
      <c r="H1192" s="58">
        <v>44784</v>
      </c>
      <c r="I1192" s="15"/>
      <c r="J1192" s="8"/>
      <c r="K1192" s="10"/>
      <c r="L1192" s="10"/>
      <c r="M1192" s="10"/>
      <c r="N1192" s="30"/>
      <c r="O1192" s="7">
        <f t="shared" si="307"/>
        <v>0</v>
      </c>
    </row>
    <row r="1193" spans="1:15" x14ac:dyDescent="0.15">
      <c r="A1193" s="16" t="s">
        <v>29</v>
      </c>
      <c r="B1193" s="8">
        <v>1</v>
      </c>
      <c r="C1193" s="10"/>
      <c r="D1193" s="10"/>
      <c r="E1193" s="10"/>
      <c r="F1193" s="30"/>
      <c r="G1193" s="7">
        <f t="shared" si="302"/>
        <v>1</v>
      </c>
      <c r="H1193" s="58">
        <v>44790</v>
      </c>
      <c r="I1193" s="15"/>
      <c r="J1193" s="8"/>
      <c r="K1193" s="10"/>
      <c r="L1193" s="10"/>
      <c r="M1193" s="10"/>
      <c r="N1193" s="30"/>
      <c r="O1193" s="7">
        <f t="shared" si="307"/>
        <v>0</v>
      </c>
    </row>
    <row r="1194" spans="1:15" x14ac:dyDescent="0.15">
      <c r="A1194" s="16" t="s">
        <v>1472</v>
      </c>
      <c r="B1194" s="8">
        <v>1</v>
      </c>
      <c r="C1194" s="10"/>
      <c r="D1194" s="10"/>
      <c r="E1194" s="10"/>
      <c r="F1194" s="30"/>
      <c r="G1194" s="7">
        <f t="shared" si="302"/>
        <v>1</v>
      </c>
      <c r="H1194" s="58">
        <v>44803</v>
      </c>
      <c r="I1194" s="15"/>
      <c r="J1194" s="8"/>
      <c r="K1194" s="10"/>
      <c r="L1194" s="10"/>
      <c r="M1194" s="10"/>
      <c r="N1194" s="30"/>
      <c r="O1194" s="7">
        <f t="shared" si="307"/>
        <v>0</v>
      </c>
    </row>
    <row r="1195" spans="1:15" x14ac:dyDescent="0.15">
      <c r="A1195" s="16" t="s">
        <v>1473</v>
      </c>
      <c r="B1195" s="8">
        <v>1</v>
      </c>
      <c r="C1195" s="10"/>
      <c r="D1195" s="10"/>
      <c r="E1195" s="10"/>
      <c r="F1195" s="30"/>
      <c r="G1195" s="7">
        <f t="shared" si="302"/>
        <v>1</v>
      </c>
      <c r="H1195" s="58">
        <v>44802</v>
      </c>
      <c r="I1195" s="15"/>
      <c r="J1195" s="8"/>
      <c r="K1195" s="10"/>
      <c r="L1195" s="10"/>
      <c r="M1195" s="10"/>
      <c r="N1195" s="30"/>
      <c r="O1195" s="7">
        <f t="shared" si="307"/>
        <v>0</v>
      </c>
    </row>
    <row r="1196" spans="1:15" x14ac:dyDescent="0.15">
      <c r="A1196" s="16"/>
      <c r="B1196" s="8"/>
      <c r="C1196" s="10"/>
      <c r="D1196" s="10"/>
      <c r="E1196" s="10"/>
      <c r="F1196" s="30"/>
      <c r="G1196" s="7">
        <f t="shared" si="302"/>
        <v>0</v>
      </c>
      <c r="H1196" s="58"/>
      <c r="I1196" s="15"/>
      <c r="J1196" s="8"/>
      <c r="K1196" s="10"/>
      <c r="L1196" s="10"/>
      <c r="M1196" s="10"/>
      <c r="N1196" s="30"/>
      <c r="O1196" s="7">
        <f t="shared" si="307"/>
        <v>0</v>
      </c>
    </row>
    <row r="1197" spans="1:15" x14ac:dyDescent="0.15">
      <c r="A1197" s="16"/>
      <c r="B1197" s="8"/>
      <c r="C1197" s="10"/>
      <c r="D1197" s="10"/>
      <c r="E1197" s="10"/>
      <c r="F1197" s="30"/>
      <c r="G1197" s="7">
        <f t="shared" si="302"/>
        <v>0</v>
      </c>
      <c r="H1197" s="58"/>
      <c r="I1197" s="15"/>
      <c r="J1197" s="8"/>
      <c r="K1197" s="10"/>
      <c r="L1197" s="10"/>
      <c r="M1197" s="10"/>
      <c r="N1197" s="30"/>
      <c r="O1197" s="7">
        <f t="shared" si="304"/>
        <v>0</v>
      </c>
    </row>
    <row r="1198" spans="1:15" x14ac:dyDescent="0.15">
      <c r="A1198" s="16"/>
      <c r="B1198" s="8"/>
      <c r="C1198" s="10"/>
      <c r="D1198" s="10"/>
      <c r="E1198" s="10"/>
      <c r="F1198" s="30"/>
      <c r="G1198" s="7">
        <f t="shared" si="302"/>
        <v>0</v>
      </c>
      <c r="H1198" s="58"/>
      <c r="I1198" s="14"/>
      <c r="J1198" s="8"/>
      <c r="K1198" s="10"/>
      <c r="L1198" s="10"/>
      <c r="M1198" s="10"/>
      <c r="N1198" s="28"/>
      <c r="O1198" s="9">
        <f t="shared" si="304"/>
        <v>0</v>
      </c>
    </row>
    <row r="1199" spans="1:15" x14ac:dyDescent="0.15">
      <c r="A1199" s="16"/>
      <c r="B1199" s="11"/>
      <c r="C1199" s="12"/>
      <c r="D1199" s="12"/>
      <c r="E1199" s="12"/>
      <c r="F1199" s="31"/>
      <c r="G1199" s="7">
        <f t="shared" si="302"/>
        <v>0</v>
      </c>
      <c r="H1199" s="58"/>
      <c r="I1199" s="14"/>
      <c r="J1199" s="8"/>
      <c r="K1199" s="10"/>
      <c r="L1199" s="10"/>
      <c r="M1199" s="10"/>
      <c r="N1199" s="30"/>
      <c r="O1199" s="9">
        <f t="shared" si="304"/>
        <v>0</v>
      </c>
    </row>
    <row r="1200" spans="1:15" x14ac:dyDescent="0.15">
      <c r="A1200" s="16"/>
      <c r="B1200" s="8"/>
      <c r="C1200" s="10"/>
      <c r="D1200" s="10"/>
      <c r="E1200" s="10"/>
      <c r="F1200" s="30"/>
      <c r="G1200" s="7">
        <f t="shared" si="302"/>
        <v>0</v>
      </c>
      <c r="H1200" s="58"/>
      <c r="I1200" s="14"/>
      <c r="J1200" s="37"/>
      <c r="K1200" s="35"/>
      <c r="L1200" s="35"/>
      <c r="M1200" s="35"/>
      <c r="N1200" s="28"/>
      <c r="O1200" s="7">
        <f t="shared" si="304"/>
        <v>0</v>
      </c>
    </row>
    <row r="1201" spans="1:15" x14ac:dyDescent="0.15">
      <c r="A1201" s="16"/>
      <c r="B1201" s="8"/>
      <c r="C1201" s="10"/>
      <c r="D1201" s="10"/>
      <c r="E1201" s="10"/>
      <c r="F1201" s="30"/>
      <c r="G1201" s="7">
        <f t="shared" si="302"/>
        <v>0</v>
      </c>
      <c r="H1201" s="58"/>
      <c r="I1201" s="15"/>
      <c r="J1201" s="8"/>
      <c r="K1201" s="10"/>
      <c r="L1201" s="10"/>
      <c r="M1201" s="10"/>
      <c r="N1201" s="28"/>
      <c r="O1201" s="9">
        <f t="shared" si="304"/>
        <v>0</v>
      </c>
    </row>
    <row r="1202" spans="1:15" x14ac:dyDescent="0.15">
      <c r="A1202" s="16"/>
      <c r="B1202" s="8"/>
      <c r="C1202" s="10"/>
      <c r="D1202" s="10"/>
      <c r="E1202" s="10"/>
      <c r="F1202" s="30"/>
      <c r="G1202" s="7">
        <f t="shared" si="302"/>
        <v>0</v>
      </c>
      <c r="H1202" s="58"/>
      <c r="I1202" s="14"/>
      <c r="J1202" s="8"/>
      <c r="K1202" s="10"/>
      <c r="L1202" s="10"/>
      <c r="M1202" s="10"/>
      <c r="N1202" s="30"/>
      <c r="O1202" s="7">
        <f t="shared" si="304"/>
        <v>0</v>
      </c>
    </row>
    <row r="1203" spans="1:15" x14ac:dyDescent="0.15">
      <c r="A1203" s="16"/>
      <c r="B1203" s="8"/>
      <c r="C1203" s="10"/>
      <c r="D1203" s="10"/>
      <c r="E1203" s="10"/>
      <c r="F1203" s="30"/>
      <c r="G1203" s="7">
        <f t="shared" si="302"/>
        <v>0</v>
      </c>
      <c r="H1203" s="58"/>
      <c r="I1203" s="15"/>
      <c r="J1203" s="8"/>
      <c r="K1203" s="10"/>
      <c r="L1203" s="10"/>
      <c r="M1203" s="10"/>
      <c r="N1203" s="30"/>
      <c r="O1203" s="7">
        <f t="shared" si="304"/>
        <v>0</v>
      </c>
    </row>
    <row r="1204" spans="1:15" x14ac:dyDescent="0.15">
      <c r="A1204" s="16"/>
      <c r="B1204" s="8"/>
      <c r="C1204" s="10"/>
      <c r="D1204" s="10"/>
      <c r="E1204" s="10"/>
      <c r="F1204" s="30"/>
      <c r="G1204" s="7">
        <f t="shared" si="302"/>
        <v>0</v>
      </c>
      <c r="H1204" s="58"/>
      <c r="I1204" s="16"/>
      <c r="J1204" s="8"/>
      <c r="K1204" s="10"/>
      <c r="L1204" s="10"/>
      <c r="M1204" s="10"/>
      <c r="N1204" s="30"/>
      <c r="O1204" s="7">
        <f t="shared" si="304"/>
        <v>0</v>
      </c>
    </row>
    <row r="1205" spans="1:15" x14ac:dyDescent="0.15">
      <c r="A1205" s="16"/>
      <c r="B1205" s="8"/>
      <c r="C1205" s="10"/>
      <c r="D1205" s="10"/>
      <c r="E1205" s="10"/>
      <c r="F1205" s="30"/>
      <c r="G1205" s="7">
        <f t="shared" si="302"/>
        <v>0</v>
      </c>
      <c r="H1205" s="58"/>
      <c r="I1205" s="16"/>
      <c r="J1205" s="8"/>
      <c r="K1205" s="10"/>
      <c r="L1205" s="10"/>
      <c r="M1205" s="10"/>
      <c r="N1205" s="30"/>
      <c r="O1205" s="7">
        <f t="shared" si="304"/>
        <v>0</v>
      </c>
    </row>
    <row r="1206" spans="1:15" x14ac:dyDescent="0.15">
      <c r="A1206" s="16"/>
      <c r="B1206" s="8"/>
      <c r="C1206" s="10"/>
      <c r="D1206" s="10"/>
      <c r="E1206" s="10"/>
      <c r="F1206" s="30"/>
      <c r="G1206" s="7">
        <f t="shared" si="302"/>
        <v>0</v>
      </c>
      <c r="H1206" s="58"/>
      <c r="I1206" s="16"/>
      <c r="J1206" s="8"/>
      <c r="K1206" s="10"/>
      <c r="L1206" s="10"/>
      <c r="M1206" s="10"/>
      <c r="N1206" s="30"/>
      <c r="O1206" s="7">
        <f t="shared" si="304"/>
        <v>0</v>
      </c>
    </row>
    <row r="1207" spans="1:15" x14ac:dyDescent="0.15">
      <c r="A1207" s="16"/>
      <c r="B1207" s="11"/>
      <c r="C1207" s="12"/>
      <c r="D1207" s="12"/>
      <c r="E1207" s="12"/>
      <c r="F1207" s="31"/>
      <c r="G1207" s="7">
        <f t="shared" si="302"/>
        <v>0</v>
      </c>
      <c r="H1207" s="58"/>
      <c r="I1207" s="16"/>
      <c r="J1207" s="11"/>
      <c r="K1207" s="12"/>
      <c r="L1207" s="12"/>
      <c r="M1207" s="12"/>
      <c r="N1207" s="31"/>
      <c r="O1207" s="7">
        <f t="shared" si="304"/>
        <v>0</v>
      </c>
    </row>
    <row r="1208" spans="1:15" x14ac:dyDescent="0.15">
      <c r="A1208" s="16"/>
      <c r="B1208" s="8"/>
      <c r="C1208" s="10"/>
      <c r="D1208" s="10"/>
      <c r="E1208" s="10"/>
      <c r="F1208" s="30"/>
      <c r="G1208" s="7">
        <f t="shared" si="302"/>
        <v>0</v>
      </c>
      <c r="H1208" s="58"/>
      <c r="I1208" s="16"/>
      <c r="J1208" s="11"/>
      <c r="K1208" s="12"/>
      <c r="L1208" s="12"/>
      <c r="M1208" s="12"/>
      <c r="N1208" s="31"/>
      <c r="O1208" s="7">
        <f t="shared" si="304"/>
        <v>0</v>
      </c>
    </row>
    <row r="1209" spans="1:15" x14ac:dyDescent="0.15">
      <c r="A1209" s="16"/>
      <c r="B1209" s="8"/>
      <c r="C1209" s="10"/>
      <c r="D1209" s="10"/>
      <c r="E1209" s="10"/>
      <c r="F1209" s="30"/>
      <c r="G1209" s="7">
        <f>SUM(B1209:F1209)</f>
        <v>0</v>
      </c>
      <c r="H1209" s="58"/>
      <c r="I1209" s="16"/>
      <c r="J1209" s="11"/>
      <c r="K1209" s="12"/>
      <c r="L1209" s="12"/>
      <c r="M1209" s="12"/>
      <c r="N1209" s="31"/>
      <c r="O1209" s="7">
        <f t="shared" si="304"/>
        <v>0</v>
      </c>
    </row>
    <row r="1210" spans="1:15" x14ac:dyDescent="0.15">
      <c r="A1210" s="16"/>
      <c r="B1210" s="8"/>
      <c r="C1210" s="10"/>
      <c r="D1210" s="10"/>
      <c r="E1210" s="10"/>
      <c r="F1210" s="30"/>
      <c r="G1210" s="7">
        <f t="shared" ref="G1210:G1216" si="308">SUM(B1210:F1210)</f>
        <v>0</v>
      </c>
      <c r="H1210" s="58"/>
      <c r="I1210" s="16"/>
      <c r="J1210" s="11"/>
      <c r="K1210" s="12"/>
      <c r="L1210" s="12"/>
      <c r="M1210" s="12"/>
      <c r="N1210" s="31"/>
      <c r="O1210" s="7">
        <f t="shared" si="304"/>
        <v>0</v>
      </c>
    </row>
    <row r="1211" spans="1:15" x14ac:dyDescent="0.15">
      <c r="A1211" s="16"/>
      <c r="B1211" s="8"/>
      <c r="C1211" s="10"/>
      <c r="D1211" s="10"/>
      <c r="E1211" s="10"/>
      <c r="F1211" s="30"/>
      <c r="G1211" s="7">
        <f t="shared" si="308"/>
        <v>0</v>
      </c>
      <c r="H1211" s="58"/>
      <c r="I1211" s="16"/>
      <c r="J1211" s="8"/>
      <c r="K1211" s="10"/>
      <c r="L1211" s="10"/>
      <c r="M1211" s="10"/>
      <c r="N1211" s="30"/>
      <c r="O1211" s="7">
        <f t="shared" si="304"/>
        <v>0</v>
      </c>
    </row>
    <row r="1212" spans="1:15" x14ac:dyDescent="0.15">
      <c r="A1212" s="16"/>
      <c r="B1212" s="11"/>
      <c r="C1212" s="12"/>
      <c r="D1212" s="12"/>
      <c r="E1212" s="12"/>
      <c r="F1212" s="31"/>
      <c r="G1212" s="7">
        <f t="shared" si="308"/>
        <v>0</v>
      </c>
      <c r="H1212" s="58"/>
      <c r="I1212" s="16"/>
      <c r="J1212" s="11"/>
      <c r="K1212" s="12"/>
      <c r="L1212" s="12"/>
      <c r="M1212" s="12"/>
      <c r="N1212" s="31"/>
      <c r="O1212" s="7">
        <f t="shared" si="304"/>
        <v>0</v>
      </c>
    </row>
    <row r="1213" spans="1:15" x14ac:dyDescent="0.15">
      <c r="A1213" s="16"/>
      <c r="B1213" s="8"/>
      <c r="C1213" s="10"/>
      <c r="D1213" s="10"/>
      <c r="E1213" s="10"/>
      <c r="F1213" s="30"/>
      <c r="G1213" s="7">
        <f t="shared" si="308"/>
        <v>0</v>
      </c>
      <c r="H1213" s="58"/>
      <c r="I1213" s="16"/>
      <c r="J1213" s="11"/>
      <c r="K1213" s="12"/>
      <c r="L1213" s="12"/>
      <c r="M1213" s="12"/>
      <c r="N1213" s="31"/>
      <c r="O1213" s="7">
        <f t="shared" si="304"/>
        <v>0</v>
      </c>
    </row>
    <row r="1214" spans="1:15" x14ac:dyDescent="0.15">
      <c r="A1214" s="16"/>
      <c r="B1214" s="37"/>
      <c r="C1214" s="35"/>
      <c r="D1214" s="35"/>
      <c r="E1214" s="35"/>
      <c r="F1214" s="28"/>
      <c r="G1214" s="7">
        <f t="shared" si="308"/>
        <v>0</v>
      </c>
      <c r="H1214" s="58"/>
      <c r="I1214" s="16"/>
      <c r="J1214" s="11"/>
      <c r="K1214" s="12"/>
      <c r="L1214" s="12"/>
      <c r="M1214" s="12"/>
      <c r="N1214" s="31"/>
      <c r="O1214" s="7">
        <f t="shared" si="304"/>
        <v>0</v>
      </c>
    </row>
    <row r="1215" spans="1:15" x14ac:dyDescent="0.15">
      <c r="A1215" s="16"/>
      <c r="B1215" s="8"/>
      <c r="C1215" s="10"/>
      <c r="D1215" s="10"/>
      <c r="E1215" s="10"/>
      <c r="F1215" s="30"/>
      <c r="G1215" s="9">
        <f t="shared" si="308"/>
        <v>0</v>
      </c>
      <c r="H1215" s="58"/>
      <c r="I1215" s="16"/>
      <c r="J1215" s="11"/>
      <c r="K1215" s="12"/>
      <c r="L1215" s="12"/>
      <c r="M1215" s="12"/>
      <c r="N1215" s="31"/>
      <c r="O1215" s="7">
        <f t="shared" si="304"/>
        <v>0</v>
      </c>
    </row>
    <row r="1216" spans="1:15" ht="14.25" thickBot="1" x14ac:dyDescent="0.2">
      <c r="A1216" s="16"/>
      <c r="B1216" s="37"/>
      <c r="C1216" s="35"/>
      <c r="D1216" s="35"/>
      <c r="E1216" s="35"/>
      <c r="F1216" s="28"/>
      <c r="G1216" s="7">
        <f t="shared" si="308"/>
        <v>0</v>
      </c>
      <c r="H1216" s="58"/>
      <c r="I1216" s="94"/>
      <c r="J1216" s="91"/>
      <c r="K1216" s="92"/>
      <c r="L1216" s="92"/>
      <c r="M1216" s="92"/>
      <c r="N1216" s="93"/>
      <c r="O1216" s="61">
        <f t="shared" si="304"/>
        <v>0</v>
      </c>
    </row>
    <row r="1217" spans="1:15" ht="14.25" thickBot="1" x14ac:dyDescent="0.2">
      <c r="A1217" s="3" t="s">
        <v>11</v>
      </c>
      <c r="B1217" s="23">
        <f>SUM(B1191:B1216)</f>
        <v>3</v>
      </c>
      <c r="C1217" s="4">
        <f>SUM(C1191:C1216)</f>
        <v>3</v>
      </c>
      <c r="D1217" s="4">
        <f>SUM(D1191:D1216)</f>
        <v>0</v>
      </c>
      <c r="E1217" s="6">
        <f>SUM(E1191:E1216)</f>
        <v>0</v>
      </c>
      <c r="F1217" s="32">
        <f>SUM(F1191:F1216)</f>
        <v>0</v>
      </c>
      <c r="G1217" s="5">
        <f>SUM(B1217:F1217)</f>
        <v>6</v>
      </c>
      <c r="H1217" s="56"/>
      <c r="I1217" s="3" t="s">
        <v>11</v>
      </c>
      <c r="J1217" s="23">
        <f>SUM(J1191:J1216)</f>
        <v>0</v>
      </c>
      <c r="K1217" s="4">
        <f>SUM(K1191:K1216)</f>
        <v>0</v>
      </c>
      <c r="L1217" s="4">
        <f>SUM(L1191:L1216)</f>
        <v>0</v>
      </c>
      <c r="M1217" s="6">
        <f>SUM(M1191:M1216)</f>
        <v>0</v>
      </c>
      <c r="N1217" s="32">
        <f>SUM(N1191:N1216)</f>
        <v>0</v>
      </c>
      <c r="O1217" s="5">
        <f>SUM(J1217:N1217)</f>
        <v>0</v>
      </c>
    </row>
    <row r="1218" spans="1:15" ht="14.25" thickBot="1" x14ac:dyDescent="0.2">
      <c r="A1218" s="25" t="s">
        <v>12</v>
      </c>
      <c r="B1218" s="63">
        <f>B1190-B1217</f>
        <v>3</v>
      </c>
      <c r="C1218" s="26">
        <f t="shared" ref="C1218:G1218" si="309">C1190-C1217</f>
        <v>5</v>
      </c>
      <c r="D1218" s="71">
        <f t="shared" si="309"/>
        <v>4</v>
      </c>
      <c r="E1218" s="26">
        <f t="shared" si="309"/>
        <v>5</v>
      </c>
      <c r="F1218" s="70">
        <f t="shared" si="309"/>
        <v>4</v>
      </c>
      <c r="G1218" s="27">
        <f t="shared" si="309"/>
        <v>21</v>
      </c>
      <c r="H1218" s="56"/>
      <c r="I1218" s="25" t="s">
        <v>12</v>
      </c>
      <c r="J1218" s="63">
        <f>J1190-J1217</f>
        <v>176</v>
      </c>
      <c r="K1218" s="26">
        <f t="shared" ref="K1218:M1218" si="310">K1190-K1217</f>
        <v>113</v>
      </c>
      <c r="L1218" s="71">
        <f t="shared" si="310"/>
        <v>106</v>
      </c>
      <c r="M1218" s="26">
        <f t="shared" si="310"/>
        <v>116</v>
      </c>
      <c r="N1218" s="70">
        <f>N1190-N1217</f>
        <v>106</v>
      </c>
      <c r="O1218" s="27">
        <f t="shared" ref="O1218" si="311">O1190-O1217</f>
        <v>617</v>
      </c>
    </row>
    <row r="1219" spans="1:15" ht="21" x14ac:dyDescent="0.2">
      <c r="A1219" s="83" t="s">
        <v>415</v>
      </c>
      <c r="B1219" s="77"/>
      <c r="C1219" s="77"/>
      <c r="D1219" s="77"/>
      <c r="E1219" s="77"/>
      <c r="F1219" s="77"/>
      <c r="G1219" s="77"/>
      <c r="H1219" s="56"/>
      <c r="I1219" s="83" t="s">
        <v>415</v>
      </c>
      <c r="J1219" s="77"/>
      <c r="K1219" s="77"/>
      <c r="L1219" s="77"/>
      <c r="M1219" s="77"/>
      <c r="N1219" s="77"/>
      <c r="O1219" s="77"/>
    </row>
    <row r="1220" spans="1:15" ht="21.75" thickBot="1" x14ac:dyDescent="0.25">
      <c r="A1220" s="83" t="s">
        <v>47</v>
      </c>
      <c r="B1220" s="77"/>
      <c r="C1220" s="77"/>
      <c r="D1220" s="77"/>
      <c r="E1220" s="84"/>
      <c r="F1220" s="78" t="s">
        <v>53</v>
      </c>
      <c r="G1220" s="77"/>
      <c r="H1220" s="56"/>
      <c r="I1220" s="83" t="s">
        <v>47</v>
      </c>
      <c r="J1220" s="77"/>
      <c r="K1220" s="77"/>
      <c r="L1220" s="77"/>
      <c r="M1220" s="84"/>
      <c r="N1220" s="78" t="s">
        <v>54</v>
      </c>
      <c r="O1220" s="77"/>
    </row>
    <row r="1221" spans="1:15" ht="14.25" thickBot="1" x14ac:dyDescent="0.2">
      <c r="A1221" s="13" t="s">
        <v>0</v>
      </c>
      <c r="B1221" s="228" t="s">
        <v>49</v>
      </c>
      <c r="C1221" s="229"/>
      <c r="D1221" s="229"/>
      <c r="E1221" s="229"/>
      <c r="F1221" s="230"/>
      <c r="G1221" s="231"/>
      <c r="H1221" s="56"/>
      <c r="I1221" s="13" t="s">
        <v>0</v>
      </c>
      <c r="J1221" s="228" t="s">
        <v>49</v>
      </c>
      <c r="K1221" s="229"/>
      <c r="L1221" s="229"/>
      <c r="M1221" s="229"/>
      <c r="N1221" s="230"/>
      <c r="O1221" s="231"/>
    </row>
    <row r="1222" spans="1:15" ht="14.25" thickBot="1" x14ac:dyDescent="0.2">
      <c r="A1222" s="3" t="s">
        <v>1</v>
      </c>
      <c r="B1222" s="2" t="s">
        <v>42</v>
      </c>
      <c r="C1222" s="21" t="s">
        <v>43</v>
      </c>
      <c r="D1222" s="21" t="s">
        <v>44</v>
      </c>
      <c r="E1222" s="24" t="s">
        <v>45</v>
      </c>
      <c r="F1222" s="33" t="s">
        <v>46</v>
      </c>
      <c r="G1222" s="34" t="s">
        <v>2</v>
      </c>
      <c r="H1222" s="56"/>
      <c r="I1222" s="3" t="s">
        <v>1</v>
      </c>
      <c r="J1222" s="2" t="s">
        <v>42</v>
      </c>
      <c r="K1222" s="21" t="s">
        <v>43</v>
      </c>
      <c r="L1222" s="21" t="s">
        <v>44</v>
      </c>
      <c r="M1222" s="24" t="s">
        <v>45</v>
      </c>
      <c r="N1222" s="33" t="s">
        <v>46</v>
      </c>
      <c r="O1222" s="3" t="s">
        <v>2</v>
      </c>
    </row>
    <row r="1223" spans="1:15" ht="14.25" thickBot="1" x14ac:dyDescent="0.2">
      <c r="A1223" s="72" t="s">
        <v>527</v>
      </c>
      <c r="B1223" s="73">
        <f>B1218</f>
        <v>3</v>
      </c>
      <c r="C1223" s="74">
        <f t="shared" ref="C1223:F1223" si="312">C1218</f>
        <v>5</v>
      </c>
      <c r="D1223" s="74">
        <f t="shared" si="312"/>
        <v>4</v>
      </c>
      <c r="E1223" s="74">
        <f t="shared" si="312"/>
        <v>5</v>
      </c>
      <c r="F1223" s="212">
        <f t="shared" si="312"/>
        <v>4</v>
      </c>
      <c r="G1223" s="76">
        <f t="shared" ref="G1223:G1250" si="313">SUM(B1223:F1223)</f>
        <v>21</v>
      </c>
      <c r="H1223" s="56"/>
      <c r="I1223" s="96" t="s">
        <v>12</v>
      </c>
      <c r="J1223" s="95">
        <f>J1218</f>
        <v>176</v>
      </c>
      <c r="K1223" s="97">
        <f t="shared" ref="K1223:N1223" si="314">K1218</f>
        <v>113</v>
      </c>
      <c r="L1223" s="97">
        <f t="shared" si="314"/>
        <v>106</v>
      </c>
      <c r="M1223" s="97">
        <f t="shared" si="314"/>
        <v>116</v>
      </c>
      <c r="N1223" s="54">
        <f t="shared" si="314"/>
        <v>106</v>
      </c>
      <c r="O1223" s="52">
        <f t="shared" ref="O1223:O1258" si="315">SUM(J1223:N1223)</f>
        <v>617</v>
      </c>
    </row>
    <row r="1224" spans="1:15" x14ac:dyDescent="0.15">
      <c r="A1224" s="38" t="s">
        <v>183</v>
      </c>
      <c r="B1224" s="37">
        <v>1</v>
      </c>
      <c r="C1224" s="35">
        <v>3</v>
      </c>
      <c r="D1224" s="35"/>
      <c r="E1224" s="35"/>
      <c r="F1224" s="28"/>
      <c r="G1224" s="7">
        <f t="shared" si="313"/>
        <v>4</v>
      </c>
      <c r="H1224" s="58">
        <v>44776</v>
      </c>
      <c r="I1224" s="15" t="s">
        <v>3</v>
      </c>
      <c r="J1224" s="37"/>
      <c r="K1224" s="35"/>
      <c r="L1224" s="35"/>
      <c r="M1224" s="35"/>
      <c r="N1224" s="28"/>
      <c r="O1224" s="18">
        <f t="shared" si="315"/>
        <v>0</v>
      </c>
    </row>
    <row r="1225" spans="1:15" x14ac:dyDescent="0.15">
      <c r="A1225" s="175" t="s">
        <v>1470</v>
      </c>
      <c r="B1225" s="182">
        <v>0</v>
      </c>
      <c r="C1225" s="183">
        <v>0</v>
      </c>
      <c r="D1225" s="183">
        <v>-1</v>
      </c>
      <c r="E1225" s="183">
        <v>0</v>
      </c>
      <c r="F1225" s="178">
        <v>0</v>
      </c>
      <c r="G1225" s="184">
        <f t="shared" si="313"/>
        <v>-1</v>
      </c>
      <c r="H1225" s="180">
        <v>44797</v>
      </c>
      <c r="I1225" s="15" t="s">
        <v>4</v>
      </c>
      <c r="J1225" s="8"/>
      <c r="K1225" s="10"/>
      <c r="L1225" s="10"/>
      <c r="M1225" s="10"/>
      <c r="N1225" s="28"/>
      <c r="O1225" s="9">
        <f t="shared" ref="O1225" si="316">SUM(J1225:N1225)</f>
        <v>0</v>
      </c>
    </row>
    <row r="1226" spans="1:15" x14ac:dyDescent="0.15">
      <c r="A1226" s="15" t="s">
        <v>4</v>
      </c>
      <c r="B1226" s="8">
        <v>3</v>
      </c>
      <c r="C1226" s="10"/>
      <c r="D1226" s="10">
        <v>3</v>
      </c>
      <c r="E1226" s="10">
        <v>3</v>
      </c>
      <c r="F1226" s="28">
        <v>3</v>
      </c>
      <c r="G1226" s="9">
        <f t="shared" si="313"/>
        <v>12</v>
      </c>
      <c r="H1226" s="58">
        <v>44835</v>
      </c>
      <c r="I1226" s="15" t="s">
        <v>5</v>
      </c>
      <c r="J1226" s="8"/>
      <c r="K1226" s="10"/>
      <c r="L1226" s="10"/>
      <c r="M1226" s="10"/>
      <c r="N1226" s="28"/>
      <c r="O1226" s="9">
        <f t="shared" si="315"/>
        <v>0</v>
      </c>
    </row>
    <row r="1227" spans="1:15" x14ac:dyDescent="0.15">
      <c r="A1227" s="15" t="s">
        <v>5</v>
      </c>
      <c r="B1227" s="8"/>
      <c r="C1227" s="10"/>
      <c r="D1227" s="10">
        <v>3</v>
      </c>
      <c r="E1227" s="10"/>
      <c r="F1227" s="28">
        <v>3</v>
      </c>
      <c r="G1227" s="9">
        <f t="shared" si="313"/>
        <v>6</v>
      </c>
      <c r="H1227" s="58">
        <v>44848</v>
      </c>
      <c r="I1227" s="15" t="s">
        <v>6</v>
      </c>
      <c r="J1227" s="8"/>
      <c r="K1227" s="10"/>
      <c r="L1227" s="10"/>
      <c r="M1227" s="10"/>
      <c r="N1227" s="28"/>
      <c r="O1227" s="9">
        <f t="shared" si="315"/>
        <v>0</v>
      </c>
    </row>
    <row r="1228" spans="1:15" x14ac:dyDescent="0.15">
      <c r="A1228" s="15" t="s">
        <v>6</v>
      </c>
      <c r="B1228" s="11">
        <v>5</v>
      </c>
      <c r="C1228" s="12">
        <v>5</v>
      </c>
      <c r="D1228" s="12">
        <v>5</v>
      </c>
      <c r="E1228" s="12">
        <v>5</v>
      </c>
      <c r="F1228" s="31">
        <v>5</v>
      </c>
      <c r="G1228" s="7">
        <f t="shared" si="313"/>
        <v>25</v>
      </c>
      <c r="H1228" s="58">
        <v>44874</v>
      </c>
      <c r="I1228" s="15" t="s">
        <v>84</v>
      </c>
      <c r="J1228" s="11"/>
      <c r="K1228" s="12"/>
      <c r="L1228" s="12"/>
      <c r="M1228" s="12"/>
      <c r="N1228" s="31"/>
      <c r="O1228" s="7">
        <f t="shared" si="315"/>
        <v>0</v>
      </c>
    </row>
    <row r="1229" spans="1:15" x14ac:dyDescent="0.15">
      <c r="A1229" s="15" t="s">
        <v>84</v>
      </c>
      <c r="B1229" s="8"/>
      <c r="C1229" s="10"/>
      <c r="D1229" s="10"/>
      <c r="E1229" s="10"/>
      <c r="F1229" s="30"/>
      <c r="G1229" s="7">
        <f t="shared" si="313"/>
        <v>0</v>
      </c>
      <c r="H1229" s="58"/>
      <c r="I1229" s="15" t="s">
        <v>85</v>
      </c>
      <c r="J1229" s="8"/>
      <c r="K1229" s="10"/>
      <c r="L1229" s="10"/>
      <c r="M1229" s="10"/>
      <c r="N1229" s="30"/>
      <c r="O1229" s="7">
        <f t="shared" si="315"/>
        <v>0</v>
      </c>
    </row>
    <row r="1230" spans="1:15" x14ac:dyDescent="0.15">
      <c r="A1230" s="15" t="s">
        <v>85</v>
      </c>
      <c r="B1230" s="8"/>
      <c r="C1230" s="10"/>
      <c r="D1230" s="10"/>
      <c r="E1230" s="10"/>
      <c r="F1230" s="30"/>
      <c r="G1230" s="7">
        <f t="shared" si="313"/>
        <v>0</v>
      </c>
      <c r="H1230" s="58"/>
      <c r="I1230" s="15" t="s">
        <v>86</v>
      </c>
      <c r="J1230" s="8"/>
      <c r="K1230" s="10"/>
      <c r="L1230" s="10"/>
      <c r="M1230" s="10"/>
      <c r="N1230" s="30"/>
      <c r="O1230" s="7">
        <f t="shared" si="315"/>
        <v>0</v>
      </c>
    </row>
    <row r="1231" spans="1:15" ht="14.25" thickBot="1" x14ac:dyDescent="0.2">
      <c r="A1231" s="15" t="s">
        <v>86</v>
      </c>
      <c r="B1231" s="11"/>
      <c r="C1231" s="100"/>
      <c r="D1231" s="100"/>
      <c r="E1231" s="100"/>
      <c r="F1231" s="101"/>
      <c r="G1231" s="102">
        <f t="shared" si="313"/>
        <v>0</v>
      </c>
      <c r="H1231" s="58"/>
      <c r="I1231" s="15" t="s">
        <v>87</v>
      </c>
      <c r="J1231" s="11"/>
      <c r="K1231" s="100"/>
      <c r="L1231" s="100"/>
      <c r="M1231" s="100"/>
      <c r="N1231" s="101"/>
      <c r="O1231" s="102">
        <f t="shared" si="315"/>
        <v>0</v>
      </c>
    </row>
    <row r="1232" spans="1:15" ht="14.25" thickBot="1" x14ac:dyDescent="0.2">
      <c r="A1232" s="72" t="s">
        <v>7</v>
      </c>
      <c r="B1232" s="73">
        <f>SUM(B1223:B1231)</f>
        <v>12</v>
      </c>
      <c r="C1232" s="74">
        <f t="shared" ref="C1232:F1232" si="317">SUM(C1223:C1231)</f>
        <v>13</v>
      </c>
      <c r="D1232" s="74">
        <f t="shared" si="317"/>
        <v>14</v>
      </c>
      <c r="E1232" s="74">
        <f t="shared" si="317"/>
        <v>13</v>
      </c>
      <c r="F1232" s="105">
        <f t="shared" si="317"/>
        <v>15</v>
      </c>
      <c r="G1232" s="76">
        <f t="shared" si="313"/>
        <v>67</v>
      </c>
      <c r="H1232" s="56"/>
      <c r="I1232" s="72" t="s">
        <v>7</v>
      </c>
      <c r="J1232" s="73">
        <f>SUM(J1223:J1231)</f>
        <v>176</v>
      </c>
      <c r="K1232" s="74">
        <f t="shared" ref="K1232:N1232" si="318">SUM(K1223:K1231)</f>
        <v>113</v>
      </c>
      <c r="L1232" s="74">
        <f t="shared" si="318"/>
        <v>106</v>
      </c>
      <c r="M1232" s="74">
        <f t="shared" si="318"/>
        <v>116</v>
      </c>
      <c r="N1232" s="105">
        <f t="shared" si="318"/>
        <v>106</v>
      </c>
      <c r="O1232" s="76">
        <f t="shared" si="315"/>
        <v>617</v>
      </c>
    </row>
    <row r="1233" spans="1:18" x14ac:dyDescent="0.15">
      <c r="A1233" s="16" t="s">
        <v>29</v>
      </c>
      <c r="B1233" s="8">
        <v>1</v>
      </c>
      <c r="C1233" s="10"/>
      <c r="D1233" s="10"/>
      <c r="E1233" s="10"/>
      <c r="F1233" s="30"/>
      <c r="G1233" s="7">
        <f t="shared" ref="G1233:G1243" si="319">SUM(B1233:F1233)</f>
        <v>1</v>
      </c>
      <c r="H1233" s="58">
        <v>44805</v>
      </c>
      <c r="I1233" s="15" t="s">
        <v>24</v>
      </c>
      <c r="J1233" s="8">
        <v>3</v>
      </c>
      <c r="K1233" s="10"/>
      <c r="L1233" s="10">
        <v>3</v>
      </c>
      <c r="M1233" s="10">
        <v>3</v>
      </c>
      <c r="N1233" s="28">
        <v>3</v>
      </c>
      <c r="O1233" s="9">
        <f t="shared" ref="O1233:O1237" si="320">SUM(J1233:N1233)</f>
        <v>12</v>
      </c>
      <c r="P1233" s="58">
        <v>44835</v>
      </c>
    </row>
    <row r="1234" spans="1:18" x14ac:dyDescent="0.15">
      <c r="A1234" s="16" t="s">
        <v>29</v>
      </c>
      <c r="B1234" s="8"/>
      <c r="C1234" s="10"/>
      <c r="D1234" s="10">
        <v>1</v>
      </c>
      <c r="E1234" s="10"/>
      <c r="F1234" s="30"/>
      <c r="G1234" s="7">
        <f t="shared" si="319"/>
        <v>1</v>
      </c>
      <c r="H1234" s="58">
        <v>44811</v>
      </c>
      <c r="I1234" s="15" t="s">
        <v>24</v>
      </c>
      <c r="J1234" s="8"/>
      <c r="K1234" s="10"/>
      <c r="L1234" s="10">
        <v>3</v>
      </c>
      <c r="M1234" s="10"/>
      <c r="N1234" s="30">
        <v>3</v>
      </c>
      <c r="O1234" s="7">
        <f t="shared" si="320"/>
        <v>6</v>
      </c>
      <c r="P1234" s="58">
        <v>44848</v>
      </c>
      <c r="Q1234" s="56"/>
      <c r="R1234" s="56"/>
    </row>
    <row r="1235" spans="1:18" x14ac:dyDescent="0.15">
      <c r="A1235" s="16" t="s">
        <v>29</v>
      </c>
      <c r="B1235" s="8"/>
      <c r="C1235" s="10">
        <v>1</v>
      </c>
      <c r="D1235" s="10"/>
      <c r="E1235" s="10"/>
      <c r="F1235" s="30"/>
      <c r="G1235" s="7">
        <f t="shared" si="319"/>
        <v>1</v>
      </c>
      <c r="H1235" s="58">
        <v>44812</v>
      </c>
      <c r="I1235" s="15" t="s">
        <v>24</v>
      </c>
      <c r="J1235" s="8">
        <v>5</v>
      </c>
      <c r="K1235" s="10">
        <v>5</v>
      </c>
      <c r="L1235" s="10">
        <v>5</v>
      </c>
      <c r="M1235" s="10">
        <v>5</v>
      </c>
      <c r="N1235" s="30">
        <v>5</v>
      </c>
      <c r="O1235" s="7">
        <f t="shared" si="320"/>
        <v>25</v>
      </c>
      <c r="P1235" s="58">
        <v>44874</v>
      </c>
    </row>
    <row r="1236" spans="1:18" x14ac:dyDescent="0.15">
      <c r="A1236" s="16" t="s">
        <v>29</v>
      </c>
      <c r="B1236" s="11"/>
      <c r="C1236" s="12"/>
      <c r="D1236" s="12"/>
      <c r="E1236" s="12"/>
      <c r="F1236" s="31">
        <v>1</v>
      </c>
      <c r="G1236" s="7">
        <f t="shared" si="319"/>
        <v>1</v>
      </c>
      <c r="H1236" s="58">
        <v>44813</v>
      </c>
      <c r="I1236" s="15"/>
      <c r="J1236" s="8"/>
      <c r="K1236" s="10"/>
      <c r="L1236" s="10"/>
      <c r="M1236" s="10"/>
      <c r="N1236" s="30"/>
      <c r="O1236" s="7">
        <f t="shared" si="320"/>
        <v>0</v>
      </c>
    </row>
    <row r="1237" spans="1:18" x14ac:dyDescent="0.15">
      <c r="A1237" s="16" t="s">
        <v>29</v>
      </c>
      <c r="B1237" s="8">
        <v>1</v>
      </c>
      <c r="C1237" s="10"/>
      <c r="D1237" s="10"/>
      <c r="E1237" s="10">
        <v>1</v>
      </c>
      <c r="F1237" s="30"/>
      <c r="G1237" s="7">
        <f t="shared" si="319"/>
        <v>2</v>
      </c>
      <c r="H1237" s="58">
        <v>44816</v>
      </c>
      <c r="I1237" s="15"/>
      <c r="J1237" s="8"/>
      <c r="K1237" s="10"/>
      <c r="L1237" s="10"/>
      <c r="M1237" s="10"/>
      <c r="N1237" s="30"/>
      <c r="O1237" s="7">
        <f t="shared" si="320"/>
        <v>0</v>
      </c>
      <c r="Q1237" s="56"/>
    </row>
    <row r="1238" spans="1:18" x14ac:dyDescent="0.15">
      <c r="A1238" s="16" t="s">
        <v>29</v>
      </c>
      <c r="B1238" s="8"/>
      <c r="C1238" s="10">
        <v>1</v>
      </c>
      <c r="D1238" s="10"/>
      <c r="E1238" s="10">
        <v>1</v>
      </c>
      <c r="F1238" s="30"/>
      <c r="G1238" s="7">
        <f t="shared" si="319"/>
        <v>2</v>
      </c>
      <c r="H1238" s="58">
        <v>44819</v>
      </c>
      <c r="I1238" s="15"/>
      <c r="J1238" s="8"/>
      <c r="K1238" s="10"/>
      <c r="L1238" s="10"/>
      <c r="M1238" s="10"/>
      <c r="N1238" s="30"/>
      <c r="O1238" s="7">
        <f t="shared" si="315"/>
        <v>0</v>
      </c>
    </row>
    <row r="1239" spans="1:18" x14ac:dyDescent="0.15">
      <c r="A1239" s="16" t="s">
        <v>29</v>
      </c>
      <c r="B1239" s="8"/>
      <c r="C1239" s="10"/>
      <c r="D1239" s="10"/>
      <c r="E1239" s="10">
        <v>1</v>
      </c>
      <c r="F1239" s="30"/>
      <c r="G1239" s="7">
        <f t="shared" si="319"/>
        <v>1</v>
      </c>
      <c r="H1239" s="58">
        <v>44830</v>
      </c>
      <c r="I1239" s="15"/>
      <c r="J1239" s="8"/>
      <c r="K1239" s="10"/>
      <c r="L1239" s="10"/>
      <c r="M1239" s="10"/>
      <c r="N1239" s="30"/>
      <c r="O1239" s="7">
        <f t="shared" si="315"/>
        <v>0</v>
      </c>
    </row>
    <row r="1240" spans="1:18" x14ac:dyDescent="0.15">
      <c r="A1240" s="16" t="s">
        <v>1477</v>
      </c>
      <c r="B1240" s="8"/>
      <c r="C1240" s="10">
        <v>1</v>
      </c>
      <c r="D1240" s="10"/>
      <c r="E1240" s="10"/>
      <c r="F1240" s="30"/>
      <c r="G1240" s="7">
        <f t="shared" si="319"/>
        <v>1</v>
      </c>
      <c r="H1240" s="58">
        <v>44833</v>
      </c>
      <c r="I1240" s="14"/>
      <c r="J1240" s="8"/>
      <c r="K1240" s="10"/>
      <c r="L1240" s="10"/>
      <c r="M1240" s="10"/>
      <c r="N1240" s="28"/>
      <c r="O1240" s="9">
        <f t="shared" si="315"/>
        <v>0</v>
      </c>
    </row>
    <row r="1241" spans="1:18" x14ac:dyDescent="0.15">
      <c r="A1241" s="16" t="s">
        <v>117</v>
      </c>
      <c r="B1241" s="8"/>
      <c r="C1241" s="10"/>
      <c r="D1241" s="10">
        <v>1</v>
      </c>
      <c r="E1241" s="10"/>
      <c r="F1241" s="30"/>
      <c r="G1241" s="7">
        <f t="shared" si="319"/>
        <v>1</v>
      </c>
      <c r="H1241" s="58">
        <v>44834</v>
      </c>
      <c r="I1241" s="14"/>
      <c r="J1241" s="8"/>
      <c r="K1241" s="10"/>
      <c r="L1241" s="10"/>
      <c r="M1241" s="10"/>
      <c r="N1241" s="30"/>
      <c r="O1241" s="9">
        <f t="shared" si="315"/>
        <v>0</v>
      </c>
    </row>
    <row r="1242" spans="1:18" x14ac:dyDescent="0.15">
      <c r="A1242" s="16" t="s">
        <v>29</v>
      </c>
      <c r="B1242" s="8"/>
      <c r="C1242" s="10"/>
      <c r="D1242" s="10"/>
      <c r="E1242" s="10"/>
      <c r="F1242" s="30">
        <v>1</v>
      </c>
      <c r="G1242" s="7">
        <f t="shared" si="319"/>
        <v>1</v>
      </c>
      <c r="H1242" s="58">
        <v>44839</v>
      </c>
      <c r="I1242" s="14"/>
      <c r="J1242" s="37"/>
      <c r="K1242" s="35"/>
      <c r="L1242" s="35"/>
      <c r="M1242" s="35"/>
      <c r="N1242" s="28"/>
      <c r="O1242" s="7">
        <f t="shared" si="315"/>
        <v>0</v>
      </c>
    </row>
    <row r="1243" spans="1:18" x14ac:dyDescent="0.15">
      <c r="A1243" s="16" t="s">
        <v>29</v>
      </c>
      <c r="B1243" s="8"/>
      <c r="C1243" s="10"/>
      <c r="D1243" s="10"/>
      <c r="E1243" s="10">
        <v>1</v>
      </c>
      <c r="F1243" s="30">
        <v>1</v>
      </c>
      <c r="G1243" s="7">
        <f t="shared" si="319"/>
        <v>2</v>
      </c>
      <c r="H1243" s="58">
        <v>44845</v>
      </c>
      <c r="I1243" s="15"/>
      <c r="J1243" s="8"/>
      <c r="K1243" s="10"/>
      <c r="L1243" s="10"/>
      <c r="M1243" s="10"/>
      <c r="N1243" s="28"/>
      <c r="O1243" s="9">
        <f t="shared" si="315"/>
        <v>0</v>
      </c>
    </row>
    <row r="1244" spans="1:18" x14ac:dyDescent="0.15">
      <c r="A1244" s="16" t="s">
        <v>29</v>
      </c>
      <c r="B1244" s="8"/>
      <c r="C1244" s="10"/>
      <c r="D1244" s="10"/>
      <c r="E1244" s="10"/>
      <c r="F1244" s="30">
        <v>1</v>
      </c>
      <c r="G1244" s="7">
        <f t="shared" si="313"/>
        <v>1</v>
      </c>
      <c r="H1244" s="58">
        <v>44845</v>
      </c>
      <c r="I1244" s="14"/>
      <c r="J1244" s="8"/>
      <c r="K1244" s="10"/>
      <c r="L1244" s="10"/>
      <c r="M1244" s="10"/>
      <c r="N1244" s="30"/>
      <c r="O1244" s="7">
        <f t="shared" si="315"/>
        <v>0</v>
      </c>
    </row>
    <row r="1245" spans="1:18" x14ac:dyDescent="0.15">
      <c r="A1245" s="16" t="s">
        <v>117</v>
      </c>
      <c r="B1245" s="8"/>
      <c r="C1245" s="10"/>
      <c r="D1245" s="10"/>
      <c r="E1245" s="10"/>
      <c r="F1245" s="30">
        <v>1</v>
      </c>
      <c r="G1245" s="7">
        <f t="shared" si="313"/>
        <v>1</v>
      </c>
      <c r="H1245" s="58">
        <v>44849</v>
      </c>
      <c r="I1245" s="15"/>
      <c r="J1245" s="8"/>
      <c r="K1245" s="10"/>
      <c r="L1245" s="10"/>
      <c r="M1245" s="10"/>
      <c r="N1245" s="30"/>
      <c r="O1245" s="7">
        <f t="shared" si="315"/>
        <v>0</v>
      </c>
    </row>
    <row r="1246" spans="1:18" x14ac:dyDescent="0.15">
      <c r="A1246" s="16" t="s">
        <v>29</v>
      </c>
      <c r="B1246" s="8"/>
      <c r="C1246" s="10"/>
      <c r="D1246" s="10">
        <v>1</v>
      </c>
      <c r="E1246" s="10"/>
      <c r="F1246" s="30"/>
      <c r="G1246" s="7">
        <f t="shared" si="313"/>
        <v>1</v>
      </c>
      <c r="H1246" s="58">
        <v>44848</v>
      </c>
      <c r="I1246" s="16"/>
      <c r="J1246" s="8"/>
      <c r="K1246" s="10"/>
      <c r="L1246" s="10"/>
      <c r="M1246" s="10"/>
      <c r="N1246" s="30"/>
      <c r="O1246" s="7">
        <f t="shared" si="315"/>
        <v>0</v>
      </c>
    </row>
    <row r="1247" spans="1:18" x14ac:dyDescent="0.15">
      <c r="A1247" s="16" t="s">
        <v>485</v>
      </c>
      <c r="B1247" s="8"/>
      <c r="C1247" s="10"/>
      <c r="D1247" s="10">
        <v>-1</v>
      </c>
      <c r="E1247" s="10"/>
      <c r="F1247" s="30">
        <v>1</v>
      </c>
      <c r="G1247" s="7">
        <f t="shared" si="313"/>
        <v>0</v>
      </c>
      <c r="H1247" s="58">
        <v>44853</v>
      </c>
      <c r="I1247" s="16"/>
      <c r="J1247" s="8"/>
      <c r="K1247" s="10"/>
      <c r="L1247" s="10"/>
      <c r="M1247" s="10"/>
      <c r="N1247" s="30"/>
      <c r="O1247" s="7">
        <f t="shared" si="315"/>
        <v>0</v>
      </c>
    </row>
    <row r="1248" spans="1:18" x14ac:dyDescent="0.15">
      <c r="A1248" s="16" t="s">
        <v>29</v>
      </c>
      <c r="B1248" s="8"/>
      <c r="C1248" s="10"/>
      <c r="D1248" s="10">
        <v>1</v>
      </c>
      <c r="E1248" s="10"/>
      <c r="F1248" s="30"/>
      <c r="G1248" s="7">
        <f t="shared" si="313"/>
        <v>1</v>
      </c>
      <c r="H1248" s="58">
        <v>44855</v>
      </c>
      <c r="I1248" s="16"/>
      <c r="J1248" s="8"/>
      <c r="K1248" s="10"/>
      <c r="L1248" s="10"/>
      <c r="M1248" s="10"/>
      <c r="N1248" s="30"/>
      <c r="O1248" s="7">
        <f t="shared" si="315"/>
        <v>0</v>
      </c>
    </row>
    <row r="1249" spans="1:16" x14ac:dyDescent="0.15">
      <c r="A1249" s="16" t="s">
        <v>29</v>
      </c>
      <c r="B1249" s="11"/>
      <c r="C1249" s="12"/>
      <c r="D1249" s="12">
        <v>2</v>
      </c>
      <c r="E1249" s="12"/>
      <c r="F1249" s="31"/>
      <c r="G1249" s="7">
        <f t="shared" si="313"/>
        <v>2</v>
      </c>
      <c r="H1249" s="58">
        <v>44855</v>
      </c>
      <c r="I1249" s="16"/>
      <c r="J1249" s="11"/>
      <c r="K1249" s="12"/>
      <c r="L1249" s="12"/>
      <c r="M1249" s="12"/>
      <c r="N1249" s="31"/>
      <c r="O1249" s="7">
        <f t="shared" si="315"/>
        <v>0</v>
      </c>
    </row>
    <row r="1250" spans="1:16" x14ac:dyDescent="0.15">
      <c r="A1250" s="16" t="s">
        <v>29</v>
      </c>
      <c r="B1250" s="8"/>
      <c r="C1250" s="10">
        <v>1</v>
      </c>
      <c r="D1250" s="10"/>
      <c r="E1250" s="10"/>
      <c r="F1250" s="30"/>
      <c r="G1250" s="7">
        <f t="shared" si="313"/>
        <v>1</v>
      </c>
      <c r="H1250" s="58">
        <v>44860</v>
      </c>
      <c r="I1250" s="16"/>
      <c r="J1250" s="11"/>
      <c r="K1250" s="12"/>
      <c r="L1250" s="12"/>
      <c r="M1250" s="12"/>
      <c r="N1250" s="31"/>
      <c r="O1250" s="7">
        <f t="shared" si="315"/>
        <v>0</v>
      </c>
    </row>
    <row r="1251" spans="1:16" x14ac:dyDescent="0.15">
      <c r="A1251" s="16" t="s">
        <v>1483</v>
      </c>
      <c r="B1251" s="8">
        <v>1</v>
      </c>
      <c r="C1251" s="10"/>
      <c r="D1251" s="10"/>
      <c r="E1251" s="10"/>
      <c r="F1251" s="30"/>
      <c r="G1251" s="7">
        <f>SUM(B1251:F1251)</f>
        <v>1</v>
      </c>
      <c r="H1251" s="58">
        <v>44872</v>
      </c>
      <c r="I1251" s="16"/>
      <c r="J1251" s="11"/>
      <c r="K1251" s="12"/>
      <c r="L1251" s="12"/>
      <c r="M1251" s="12"/>
      <c r="N1251" s="31"/>
      <c r="O1251" s="7">
        <f t="shared" si="315"/>
        <v>0</v>
      </c>
    </row>
    <row r="1252" spans="1:16" x14ac:dyDescent="0.15">
      <c r="A1252" s="16" t="s">
        <v>1485</v>
      </c>
      <c r="B1252" s="8"/>
      <c r="C1252" s="10"/>
      <c r="D1252" s="10">
        <v>1</v>
      </c>
      <c r="E1252" s="10"/>
      <c r="F1252" s="30"/>
      <c r="G1252" s="7">
        <f t="shared" ref="G1252:G1258" si="321">SUM(B1252:F1252)</f>
        <v>1</v>
      </c>
      <c r="H1252" s="58">
        <v>44873</v>
      </c>
      <c r="I1252" s="16"/>
      <c r="J1252" s="11"/>
      <c r="K1252" s="12"/>
      <c r="L1252" s="12"/>
      <c r="M1252" s="12"/>
      <c r="N1252" s="31"/>
      <c r="O1252" s="7">
        <f t="shared" si="315"/>
        <v>0</v>
      </c>
    </row>
    <row r="1253" spans="1:16" x14ac:dyDescent="0.15">
      <c r="A1253" s="16" t="s">
        <v>1489</v>
      </c>
      <c r="B1253" s="8"/>
      <c r="C1253" s="10">
        <v>1</v>
      </c>
      <c r="D1253" s="10"/>
      <c r="E1253" s="10">
        <v>1</v>
      </c>
      <c r="F1253" s="30"/>
      <c r="G1253" s="7">
        <f t="shared" si="321"/>
        <v>2</v>
      </c>
      <c r="H1253" s="58">
        <v>44874</v>
      </c>
      <c r="I1253" s="16"/>
      <c r="J1253" s="8"/>
      <c r="K1253" s="10"/>
      <c r="L1253" s="10"/>
      <c r="M1253" s="10"/>
      <c r="N1253" s="30"/>
      <c r="O1253" s="7">
        <f t="shared" si="315"/>
        <v>0</v>
      </c>
    </row>
    <row r="1254" spans="1:16" x14ac:dyDescent="0.15">
      <c r="A1254" s="16" t="s">
        <v>1491</v>
      </c>
      <c r="B1254" s="11"/>
      <c r="C1254" s="12">
        <v>1</v>
      </c>
      <c r="D1254" s="12">
        <v>1</v>
      </c>
      <c r="E1254" s="12"/>
      <c r="F1254" s="31"/>
      <c r="G1254" s="7">
        <f t="shared" si="321"/>
        <v>2</v>
      </c>
      <c r="H1254" s="58">
        <v>44875</v>
      </c>
      <c r="I1254" s="16"/>
      <c r="J1254" s="11"/>
      <c r="K1254" s="12"/>
      <c r="L1254" s="12"/>
      <c r="M1254" s="12"/>
      <c r="N1254" s="31"/>
      <c r="O1254" s="7">
        <f t="shared" si="315"/>
        <v>0</v>
      </c>
    </row>
    <row r="1255" spans="1:16" x14ac:dyDescent="0.15">
      <c r="A1255" s="16" t="s">
        <v>1494</v>
      </c>
      <c r="B1255" s="8"/>
      <c r="C1255" s="10"/>
      <c r="D1255" s="10"/>
      <c r="E1255" s="10"/>
      <c r="F1255" s="30">
        <v>1</v>
      </c>
      <c r="G1255" s="7">
        <f t="shared" si="321"/>
        <v>1</v>
      </c>
      <c r="H1255" s="58">
        <v>44876</v>
      </c>
      <c r="I1255" s="16"/>
      <c r="J1255" s="11"/>
      <c r="K1255" s="12"/>
      <c r="L1255" s="12"/>
      <c r="M1255" s="12"/>
      <c r="N1255" s="31"/>
      <c r="O1255" s="7">
        <f t="shared" si="315"/>
        <v>0</v>
      </c>
    </row>
    <row r="1256" spans="1:16" x14ac:dyDescent="0.15">
      <c r="A1256" s="16" t="s">
        <v>29</v>
      </c>
      <c r="B1256" s="37"/>
      <c r="C1256" s="35"/>
      <c r="D1256" s="35">
        <v>1</v>
      </c>
      <c r="E1256" s="35"/>
      <c r="F1256" s="28"/>
      <c r="G1256" s="7">
        <f t="shared" si="321"/>
        <v>1</v>
      </c>
      <c r="H1256" s="58">
        <v>44875</v>
      </c>
      <c r="I1256" s="16"/>
      <c r="J1256" s="11"/>
      <c r="K1256" s="12"/>
      <c r="L1256" s="12"/>
      <c r="M1256" s="12"/>
      <c r="N1256" s="31"/>
      <c r="O1256" s="7">
        <f t="shared" si="315"/>
        <v>0</v>
      </c>
    </row>
    <row r="1257" spans="1:16" x14ac:dyDescent="0.15">
      <c r="A1257" s="16" t="s">
        <v>1497</v>
      </c>
      <c r="B1257" s="8">
        <v>1</v>
      </c>
      <c r="C1257" s="10"/>
      <c r="D1257" s="10"/>
      <c r="E1257" s="10"/>
      <c r="F1257" s="30"/>
      <c r="G1257" s="9">
        <f t="shared" si="321"/>
        <v>1</v>
      </c>
      <c r="H1257" s="58">
        <v>44879</v>
      </c>
      <c r="I1257" s="16"/>
      <c r="J1257" s="11"/>
      <c r="K1257" s="12"/>
      <c r="L1257" s="12"/>
      <c r="M1257" s="12"/>
      <c r="N1257" s="31"/>
      <c r="O1257" s="7">
        <f t="shared" ref="O1257" si="322">SUM(J1257:N1257)</f>
        <v>0</v>
      </c>
    </row>
    <row r="1258" spans="1:16" ht="14.25" thickBot="1" x14ac:dyDescent="0.2">
      <c r="A1258" s="16" t="s">
        <v>1499</v>
      </c>
      <c r="B1258" s="37"/>
      <c r="C1258" s="35">
        <v>2</v>
      </c>
      <c r="D1258" s="35">
        <v>2</v>
      </c>
      <c r="E1258" s="35"/>
      <c r="F1258" s="28">
        <v>1</v>
      </c>
      <c r="G1258" s="7">
        <f t="shared" si="321"/>
        <v>5</v>
      </c>
      <c r="H1258" s="58">
        <v>44880</v>
      </c>
      <c r="I1258" s="14" t="s">
        <v>1476</v>
      </c>
      <c r="J1258" s="11"/>
      <c r="K1258" s="12"/>
      <c r="L1258" s="12"/>
      <c r="M1258" s="12"/>
      <c r="N1258" s="31"/>
      <c r="O1258" s="7">
        <f t="shared" si="315"/>
        <v>0</v>
      </c>
      <c r="P1258" s="56" t="s">
        <v>1363</v>
      </c>
    </row>
    <row r="1259" spans="1:16" ht="14.25" thickBot="1" x14ac:dyDescent="0.2">
      <c r="A1259" s="3" t="s">
        <v>11</v>
      </c>
      <c r="B1259" s="23">
        <f>SUM(B1233:B1258)</f>
        <v>4</v>
      </c>
      <c r="C1259" s="4">
        <f>SUM(C1233:C1258)</f>
        <v>8</v>
      </c>
      <c r="D1259" s="4">
        <f>SUM(D1233:D1258)</f>
        <v>10</v>
      </c>
      <c r="E1259" s="6">
        <f>SUM(E1233:E1258)</f>
        <v>5</v>
      </c>
      <c r="F1259" s="32">
        <f>SUM(F1233:F1258)</f>
        <v>8</v>
      </c>
      <c r="G1259" s="5">
        <f>SUM(B1259:F1259)</f>
        <v>35</v>
      </c>
      <c r="H1259" s="56"/>
      <c r="I1259" s="3" t="s">
        <v>11</v>
      </c>
      <c r="J1259" s="23">
        <f>SUM(J1233:J1258)</f>
        <v>8</v>
      </c>
      <c r="K1259" s="4">
        <f>SUM(K1233:K1258)</f>
        <v>5</v>
      </c>
      <c r="L1259" s="4">
        <f>SUM(L1233:L1258)</f>
        <v>11</v>
      </c>
      <c r="M1259" s="6">
        <f>SUM(M1233:M1258)</f>
        <v>8</v>
      </c>
      <c r="N1259" s="32">
        <f>SUM(N1233:N1258)</f>
        <v>11</v>
      </c>
      <c r="O1259" s="5">
        <f>SUM(J1259:N1259)</f>
        <v>43</v>
      </c>
    </row>
    <row r="1260" spans="1:16" ht="14.25" thickBot="1" x14ac:dyDescent="0.2">
      <c r="A1260" s="25" t="s">
        <v>12</v>
      </c>
      <c r="B1260" s="63">
        <f>B1232-B1259</f>
        <v>8</v>
      </c>
      <c r="C1260" s="26">
        <f t="shared" ref="C1260:G1260" si="323">C1232-C1259</f>
        <v>5</v>
      </c>
      <c r="D1260" s="71">
        <f t="shared" si="323"/>
        <v>4</v>
      </c>
      <c r="E1260" s="26">
        <f t="shared" si="323"/>
        <v>8</v>
      </c>
      <c r="F1260" s="70">
        <f t="shared" si="323"/>
        <v>7</v>
      </c>
      <c r="G1260" s="27">
        <f t="shared" si="323"/>
        <v>32</v>
      </c>
      <c r="H1260" s="56"/>
      <c r="I1260" s="25" t="s">
        <v>12</v>
      </c>
      <c r="J1260" s="63">
        <f>J1232-J1259</f>
        <v>168</v>
      </c>
      <c r="K1260" s="26">
        <f t="shared" ref="K1260:M1260" si="324">K1232-K1259</f>
        <v>108</v>
      </c>
      <c r="L1260" s="71">
        <f t="shared" si="324"/>
        <v>95</v>
      </c>
      <c r="M1260" s="26">
        <f t="shared" si="324"/>
        <v>108</v>
      </c>
      <c r="N1260" s="70">
        <f>N1232-N1259</f>
        <v>95</v>
      </c>
      <c r="O1260" s="27">
        <f t="shared" ref="O1260" si="325">O1232-O1259</f>
        <v>574</v>
      </c>
    </row>
    <row r="1261" spans="1:16" ht="21" x14ac:dyDescent="0.2">
      <c r="A1261" s="83" t="s">
        <v>415</v>
      </c>
      <c r="B1261" s="77"/>
      <c r="C1261" s="77"/>
      <c r="D1261" s="77"/>
      <c r="E1261" s="77"/>
      <c r="F1261" s="77"/>
      <c r="G1261" s="77"/>
      <c r="H1261" s="56"/>
      <c r="I1261" s="83" t="s">
        <v>415</v>
      </c>
      <c r="J1261" s="77"/>
      <c r="K1261" s="77"/>
      <c r="L1261" s="77"/>
      <c r="M1261" s="77"/>
      <c r="N1261" s="77"/>
      <c r="O1261" s="77"/>
    </row>
    <row r="1262" spans="1:16" ht="21.75" thickBot="1" x14ac:dyDescent="0.25">
      <c r="A1262" s="83" t="s">
        <v>47</v>
      </c>
      <c r="B1262" s="77"/>
      <c r="C1262" s="77"/>
      <c r="D1262" s="77"/>
      <c r="E1262" s="84"/>
      <c r="F1262" s="78" t="s">
        <v>53</v>
      </c>
      <c r="G1262" s="77"/>
      <c r="H1262" s="56"/>
      <c r="I1262" s="83" t="s">
        <v>47</v>
      </c>
      <c r="J1262" s="77"/>
      <c r="K1262" s="77"/>
      <c r="L1262" s="77"/>
      <c r="M1262" s="84"/>
      <c r="N1262" s="78" t="s">
        <v>54</v>
      </c>
      <c r="O1262" s="77"/>
    </row>
    <row r="1263" spans="1:16" ht="14.25" thickBot="1" x14ac:dyDescent="0.2">
      <c r="A1263" s="13" t="s">
        <v>0</v>
      </c>
      <c r="B1263" s="228" t="s">
        <v>49</v>
      </c>
      <c r="C1263" s="229"/>
      <c r="D1263" s="229"/>
      <c r="E1263" s="229"/>
      <c r="F1263" s="230"/>
      <c r="G1263" s="231"/>
      <c r="H1263" s="56"/>
      <c r="I1263" s="13" t="s">
        <v>0</v>
      </c>
      <c r="J1263" s="228" t="s">
        <v>49</v>
      </c>
      <c r="K1263" s="229"/>
      <c r="L1263" s="229"/>
      <c r="M1263" s="229"/>
      <c r="N1263" s="230"/>
      <c r="O1263" s="231"/>
    </row>
    <row r="1264" spans="1:16" ht="14.25" thickBot="1" x14ac:dyDescent="0.2">
      <c r="A1264" s="3" t="s">
        <v>1</v>
      </c>
      <c r="B1264" s="2" t="s">
        <v>42</v>
      </c>
      <c r="C1264" s="21" t="s">
        <v>43</v>
      </c>
      <c r="D1264" s="21" t="s">
        <v>44</v>
      </c>
      <c r="E1264" s="24" t="s">
        <v>45</v>
      </c>
      <c r="F1264" s="33" t="s">
        <v>46</v>
      </c>
      <c r="G1264" s="34" t="s">
        <v>2</v>
      </c>
      <c r="H1264" s="56"/>
      <c r="I1264" s="3" t="s">
        <v>1</v>
      </c>
      <c r="J1264" s="2" t="s">
        <v>42</v>
      </c>
      <c r="K1264" s="21" t="s">
        <v>43</v>
      </c>
      <c r="L1264" s="21" t="s">
        <v>44</v>
      </c>
      <c r="M1264" s="24" t="s">
        <v>45</v>
      </c>
      <c r="N1264" s="33" t="s">
        <v>46</v>
      </c>
      <c r="O1264" s="3" t="s">
        <v>2</v>
      </c>
    </row>
    <row r="1265" spans="1:17" ht="14.25" thickBot="1" x14ac:dyDescent="0.2">
      <c r="A1265" s="72" t="s">
        <v>527</v>
      </c>
      <c r="B1265" s="73">
        <f>B1260</f>
        <v>8</v>
      </c>
      <c r="C1265" s="74">
        <f t="shared" ref="C1265:F1265" si="326">C1260</f>
        <v>5</v>
      </c>
      <c r="D1265" s="74">
        <f t="shared" si="326"/>
        <v>4</v>
      </c>
      <c r="E1265" s="74">
        <f t="shared" si="326"/>
        <v>8</v>
      </c>
      <c r="F1265" s="212">
        <f t="shared" si="326"/>
        <v>7</v>
      </c>
      <c r="G1265" s="76">
        <f t="shared" ref="G1265:G1298" si="327">SUM(B1265:F1265)</f>
        <v>32</v>
      </c>
      <c r="H1265" s="56"/>
      <c r="I1265" s="96" t="s">
        <v>12</v>
      </c>
      <c r="J1265" s="95">
        <f>J1260</f>
        <v>168</v>
      </c>
      <c r="K1265" s="97">
        <f t="shared" ref="K1265:N1265" si="328">K1260</f>
        <v>108</v>
      </c>
      <c r="L1265" s="97">
        <f t="shared" si="328"/>
        <v>95</v>
      </c>
      <c r="M1265" s="97">
        <f t="shared" si="328"/>
        <v>108</v>
      </c>
      <c r="N1265" s="54">
        <f t="shared" si="328"/>
        <v>95</v>
      </c>
      <c r="O1265" s="52">
        <f t="shared" ref="O1265:O1300" si="329">SUM(J1265:N1265)</f>
        <v>574</v>
      </c>
    </row>
    <row r="1266" spans="1:17" x14ac:dyDescent="0.15">
      <c r="A1266" s="15" t="s">
        <v>14</v>
      </c>
      <c r="B1266" s="8"/>
      <c r="C1266" s="10">
        <v>5</v>
      </c>
      <c r="D1266" s="10">
        <v>5</v>
      </c>
      <c r="E1266" s="10"/>
      <c r="F1266" s="30"/>
      <c r="G1266" s="7">
        <f t="shared" ref="G1266:G1270" si="330">SUM(B1266:F1266)</f>
        <v>10</v>
      </c>
      <c r="H1266" s="58">
        <v>44894</v>
      </c>
      <c r="I1266" s="15" t="s">
        <v>3</v>
      </c>
      <c r="J1266" s="37"/>
      <c r="K1266" s="35"/>
      <c r="L1266" s="35"/>
      <c r="M1266" s="35"/>
      <c r="N1266" s="28"/>
      <c r="O1266" s="18">
        <f t="shared" si="329"/>
        <v>0</v>
      </c>
    </row>
    <row r="1267" spans="1:17" x14ac:dyDescent="0.15">
      <c r="A1267" s="15" t="s">
        <v>17</v>
      </c>
      <c r="B1267" s="8"/>
      <c r="C1267" s="10"/>
      <c r="D1267" s="10">
        <v>1</v>
      </c>
      <c r="E1267" s="10"/>
      <c r="F1267" s="30"/>
      <c r="G1267" s="7">
        <f t="shared" si="330"/>
        <v>1</v>
      </c>
      <c r="H1267" s="58">
        <v>44894</v>
      </c>
      <c r="I1267" s="15" t="s">
        <v>19</v>
      </c>
      <c r="J1267" s="8">
        <v>8</v>
      </c>
      <c r="K1267" s="10">
        <v>9</v>
      </c>
      <c r="L1267" s="10">
        <v>5</v>
      </c>
      <c r="M1267" s="10">
        <v>15</v>
      </c>
      <c r="N1267" s="28">
        <v>19</v>
      </c>
      <c r="O1267" s="9">
        <f t="shared" si="329"/>
        <v>56</v>
      </c>
      <c r="P1267" s="58">
        <v>44912</v>
      </c>
    </row>
    <row r="1268" spans="1:17" x14ac:dyDescent="0.15">
      <c r="A1268" s="15" t="s">
        <v>4</v>
      </c>
      <c r="B1268" s="8"/>
      <c r="C1268" s="10"/>
      <c r="D1268" s="10"/>
      <c r="E1268" s="10">
        <v>3</v>
      </c>
      <c r="F1268" s="30"/>
      <c r="G1268" s="7">
        <f t="shared" si="330"/>
        <v>3</v>
      </c>
      <c r="H1268" s="58">
        <v>44898</v>
      </c>
      <c r="I1268" s="15" t="s">
        <v>5</v>
      </c>
      <c r="J1268" s="8"/>
      <c r="K1268" s="10"/>
      <c r="L1268" s="10"/>
      <c r="M1268" s="10"/>
      <c r="N1268" s="28"/>
      <c r="O1268" s="9">
        <f t="shared" si="329"/>
        <v>0</v>
      </c>
    </row>
    <row r="1269" spans="1:17" x14ac:dyDescent="0.15">
      <c r="A1269" s="15" t="s">
        <v>17</v>
      </c>
      <c r="B1269" s="8"/>
      <c r="C1269" s="10"/>
      <c r="D1269" s="10"/>
      <c r="E1269" s="10"/>
      <c r="F1269" s="30">
        <v>1</v>
      </c>
      <c r="G1269" s="7">
        <f t="shared" si="330"/>
        <v>1</v>
      </c>
      <c r="H1269" s="58">
        <v>44904</v>
      </c>
      <c r="I1269" s="15" t="s">
        <v>6</v>
      </c>
      <c r="J1269" s="8"/>
      <c r="K1269" s="10"/>
      <c r="L1269" s="10"/>
      <c r="M1269" s="10"/>
      <c r="N1269" s="28"/>
      <c r="O1269" s="9">
        <f t="shared" si="329"/>
        <v>0</v>
      </c>
    </row>
    <row r="1270" spans="1:17" x14ac:dyDescent="0.15">
      <c r="A1270" s="15" t="s">
        <v>6</v>
      </c>
      <c r="B1270" s="8">
        <v>3</v>
      </c>
      <c r="C1270" s="10"/>
      <c r="D1270" s="10"/>
      <c r="E1270" s="10"/>
      <c r="F1270" s="30"/>
      <c r="G1270" s="7">
        <f t="shared" si="330"/>
        <v>3</v>
      </c>
      <c r="H1270" s="58">
        <v>44918</v>
      </c>
      <c r="I1270" s="15" t="s">
        <v>84</v>
      </c>
      <c r="J1270" s="11"/>
      <c r="K1270" s="12"/>
      <c r="L1270" s="12"/>
      <c r="M1270" s="12"/>
      <c r="N1270" s="31"/>
      <c r="O1270" s="7">
        <f t="shared" si="329"/>
        <v>0</v>
      </c>
    </row>
    <row r="1271" spans="1:17" x14ac:dyDescent="0.15">
      <c r="A1271" s="15" t="s">
        <v>17</v>
      </c>
      <c r="B1271" s="8">
        <v>1</v>
      </c>
      <c r="C1271" s="10"/>
      <c r="D1271" s="10">
        <v>1</v>
      </c>
      <c r="E1271" s="10">
        <v>1</v>
      </c>
      <c r="F1271" s="30"/>
      <c r="G1271" s="7">
        <f t="shared" si="327"/>
        <v>3</v>
      </c>
      <c r="H1271" s="58">
        <v>44922</v>
      </c>
      <c r="I1271" s="15" t="s">
        <v>85</v>
      </c>
      <c r="J1271" s="8"/>
      <c r="K1271" s="10"/>
      <c r="L1271" s="10"/>
      <c r="M1271" s="10"/>
      <c r="N1271" s="30"/>
      <c r="O1271" s="7">
        <f t="shared" si="329"/>
        <v>0</v>
      </c>
    </row>
    <row r="1272" spans="1:17" x14ac:dyDescent="0.15">
      <c r="A1272" s="15" t="s">
        <v>85</v>
      </c>
      <c r="B1272" s="8"/>
      <c r="C1272" s="10"/>
      <c r="D1272" s="10"/>
      <c r="E1272" s="10"/>
      <c r="F1272" s="30"/>
      <c r="G1272" s="7">
        <f t="shared" si="327"/>
        <v>0</v>
      </c>
      <c r="H1272" s="58"/>
      <c r="I1272" s="15" t="s">
        <v>86</v>
      </c>
      <c r="J1272" s="8"/>
      <c r="K1272" s="10"/>
      <c r="L1272" s="10"/>
      <c r="M1272" s="10"/>
      <c r="N1272" s="30"/>
      <c r="O1272" s="7">
        <f t="shared" si="329"/>
        <v>0</v>
      </c>
    </row>
    <row r="1273" spans="1:17" ht="14.25" thickBot="1" x14ac:dyDescent="0.2">
      <c r="A1273" s="15" t="s">
        <v>1348</v>
      </c>
      <c r="B1273" s="11"/>
      <c r="C1273" s="100"/>
      <c r="D1273" s="100">
        <v>1</v>
      </c>
      <c r="E1273" s="100">
        <v>1</v>
      </c>
      <c r="F1273" s="101"/>
      <c r="G1273" s="102">
        <f t="shared" si="327"/>
        <v>2</v>
      </c>
      <c r="H1273" s="58">
        <v>45287</v>
      </c>
      <c r="I1273" s="15" t="s">
        <v>87</v>
      </c>
      <c r="J1273" s="11"/>
      <c r="K1273" s="100"/>
      <c r="L1273" s="100"/>
      <c r="M1273" s="100"/>
      <c r="N1273" s="101"/>
      <c r="O1273" s="102">
        <f t="shared" si="329"/>
        <v>0</v>
      </c>
    </row>
    <row r="1274" spans="1:17" ht="14.25" thickBot="1" x14ac:dyDescent="0.2">
      <c r="A1274" s="72" t="s">
        <v>7</v>
      </c>
      <c r="B1274" s="73">
        <f>SUM(B1265:B1273)</f>
        <v>12</v>
      </c>
      <c r="C1274" s="74">
        <f t="shared" ref="C1274:F1274" si="331">SUM(C1265:C1273)</f>
        <v>10</v>
      </c>
      <c r="D1274" s="74">
        <f t="shared" si="331"/>
        <v>12</v>
      </c>
      <c r="E1274" s="74">
        <f t="shared" si="331"/>
        <v>13</v>
      </c>
      <c r="F1274" s="105">
        <f t="shared" si="331"/>
        <v>8</v>
      </c>
      <c r="G1274" s="76">
        <f t="shared" si="327"/>
        <v>55</v>
      </c>
      <c r="H1274" s="56"/>
      <c r="I1274" s="72" t="s">
        <v>7</v>
      </c>
      <c r="J1274" s="73">
        <f>SUM(J1265:J1273)</f>
        <v>176</v>
      </c>
      <c r="K1274" s="74">
        <f t="shared" ref="K1274:N1274" si="332">SUM(K1265:K1273)</f>
        <v>117</v>
      </c>
      <c r="L1274" s="74">
        <f t="shared" si="332"/>
        <v>100</v>
      </c>
      <c r="M1274" s="74">
        <f t="shared" si="332"/>
        <v>123</v>
      </c>
      <c r="N1274" s="105">
        <f t="shared" si="332"/>
        <v>114</v>
      </c>
      <c r="O1274" s="76">
        <f t="shared" si="329"/>
        <v>630</v>
      </c>
    </row>
    <row r="1275" spans="1:17" x14ac:dyDescent="0.15">
      <c r="A1275" s="16" t="s">
        <v>1503</v>
      </c>
      <c r="B1275" s="8">
        <v>1</v>
      </c>
      <c r="C1275" s="10">
        <v>3</v>
      </c>
      <c r="D1275" s="10"/>
      <c r="E1275" s="10"/>
      <c r="F1275" s="30">
        <v>2</v>
      </c>
      <c r="G1275" s="9">
        <f t="shared" si="327"/>
        <v>6</v>
      </c>
      <c r="H1275" s="58">
        <v>44882</v>
      </c>
      <c r="I1275" s="15" t="s">
        <v>1514</v>
      </c>
      <c r="J1275" s="8"/>
      <c r="K1275" s="10">
        <v>5</v>
      </c>
      <c r="L1275" s="10">
        <v>5</v>
      </c>
      <c r="M1275" s="10"/>
      <c r="N1275" s="30"/>
      <c r="O1275" s="7">
        <f t="shared" ref="O1275:O1279" si="333">SUM(J1275:N1275)</f>
        <v>10</v>
      </c>
      <c r="P1275" s="58">
        <v>44894</v>
      </c>
      <c r="Q1275" s="56"/>
    </row>
    <row r="1276" spans="1:17" x14ac:dyDescent="0.15">
      <c r="A1276" s="16" t="s">
        <v>29</v>
      </c>
      <c r="B1276" s="8">
        <v>1</v>
      </c>
      <c r="C1276" s="10"/>
      <c r="D1276" s="10"/>
      <c r="E1276" s="10"/>
      <c r="F1276" s="30"/>
      <c r="G1276" s="9">
        <f t="shared" si="327"/>
        <v>1</v>
      </c>
      <c r="H1276" s="58">
        <v>44881</v>
      </c>
      <c r="I1276" s="15" t="s">
        <v>24</v>
      </c>
      <c r="J1276" s="8"/>
      <c r="K1276" s="10"/>
      <c r="L1276" s="10"/>
      <c r="M1276" s="10">
        <v>3</v>
      </c>
      <c r="N1276" s="30"/>
      <c r="O1276" s="7">
        <f t="shared" si="333"/>
        <v>3</v>
      </c>
      <c r="P1276" s="58">
        <v>44898</v>
      </c>
      <c r="Q1276" s="56"/>
    </row>
    <row r="1277" spans="1:17" x14ac:dyDescent="0.15">
      <c r="A1277" s="16" t="s">
        <v>29</v>
      </c>
      <c r="B1277" s="8"/>
      <c r="C1277" s="10">
        <v>1</v>
      </c>
      <c r="D1277" s="10"/>
      <c r="E1277" s="10"/>
      <c r="F1277" s="30"/>
      <c r="G1277" s="9">
        <f t="shared" si="327"/>
        <v>1</v>
      </c>
      <c r="H1277" s="58">
        <v>44889</v>
      </c>
      <c r="I1277" s="15" t="s">
        <v>24</v>
      </c>
      <c r="J1277" s="8">
        <v>3</v>
      </c>
      <c r="K1277" s="10"/>
      <c r="L1277" s="10"/>
      <c r="M1277" s="10"/>
      <c r="N1277" s="30"/>
      <c r="O1277" s="7">
        <f t="shared" si="333"/>
        <v>3</v>
      </c>
      <c r="P1277" s="58">
        <v>44918</v>
      </c>
    </row>
    <row r="1278" spans="1:17" x14ac:dyDescent="0.15">
      <c r="A1278" s="16" t="s">
        <v>29</v>
      </c>
      <c r="B1278" s="8"/>
      <c r="C1278" s="10"/>
      <c r="D1278" s="10">
        <v>1</v>
      </c>
      <c r="E1278" s="10"/>
      <c r="F1278" s="30"/>
      <c r="G1278" s="9">
        <f t="shared" si="327"/>
        <v>1</v>
      </c>
      <c r="H1278" s="58">
        <v>44890</v>
      </c>
      <c r="I1278" s="15"/>
      <c r="J1278" s="8"/>
      <c r="K1278" s="10"/>
      <c r="L1278" s="10"/>
      <c r="M1278" s="10"/>
      <c r="N1278" s="30"/>
      <c r="O1278" s="7">
        <f t="shared" si="333"/>
        <v>0</v>
      </c>
    </row>
    <row r="1279" spans="1:17" x14ac:dyDescent="0.15">
      <c r="A1279" s="16" t="s">
        <v>29</v>
      </c>
      <c r="B1279" s="8"/>
      <c r="C1279" s="10">
        <v>1</v>
      </c>
      <c r="D1279" s="10"/>
      <c r="E1279" s="10"/>
      <c r="F1279" s="30"/>
      <c r="G1279" s="9">
        <f t="shared" si="327"/>
        <v>1</v>
      </c>
      <c r="H1279" s="58">
        <v>44893</v>
      </c>
      <c r="I1279" s="15"/>
      <c r="J1279" s="8"/>
      <c r="K1279" s="10"/>
      <c r="L1279" s="10"/>
      <c r="M1279" s="10"/>
      <c r="N1279" s="30"/>
      <c r="O1279" s="7">
        <f t="shared" si="333"/>
        <v>0</v>
      </c>
    </row>
    <row r="1280" spans="1:17" x14ac:dyDescent="0.15">
      <c r="A1280" s="16" t="s">
        <v>1515</v>
      </c>
      <c r="B1280" s="8">
        <v>1</v>
      </c>
      <c r="C1280" s="10"/>
      <c r="D1280" s="10"/>
      <c r="E1280" s="10"/>
      <c r="F1280" s="30"/>
      <c r="G1280" s="9">
        <f t="shared" si="327"/>
        <v>1</v>
      </c>
      <c r="H1280" s="58">
        <v>44895</v>
      </c>
      <c r="I1280" s="15"/>
      <c r="J1280" s="8"/>
      <c r="K1280" s="10"/>
      <c r="L1280" s="10"/>
      <c r="M1280" s="10"/>
      <c r="N1280" s="30"/>
      <c r="O1280" s="7">
        <f t="shared" si="329"/>
        <v>0</v>
      </c>
    </row>
    <row r="1281" spans="1:15" x14ac:dyDescent="0.15">
      <c r="A1281" s="16" t="s">
        <v>1519</v>
      </c>
      <c r="B1281" s="8"/>
      <c r="C1281" s="10"/>
      <c r="D1281" s="10"/>
      <c r="E1281" s="10">
        <v>2</v>
      </c>
      <c r="F1281" s="30"/>
      <c r="G1281" s="9">
        <f t="shared" si="327"/>
        <v>2</v>
      </c>
      <c r="H1281" s="58">
        <v>44896</v>
      </c>
      <c r="I1281" s="15"/>
      <c r="J1281" s="8"/>
      <c r="K1281" s="10"/>
      <c r="L1281" s="10"/>
      <c r="M1281" s="10"/>
      <c r="N1281" s="30"/>
      <c r="O1281" s="7">
        <f t="shared" si="329"/>
        <v>0</v>
      </c>
    </row>
    <row r="1282" spans="1:15" x14ac:dyDescent="0.15">
      <c r="A1282" s="16" t="s">
        <v>1522</v>
      </c>
      <c r="B1282" s="8"/>
      <c r="C1282" s="10"/>
      <c r="D1282" s="10"/>
      <c r="E1282" s="10">
        <v>2</v>
      </c>
      <c r="F1282" s="30"/>
      <c r="G1282" s="9">
        <f t="shared" si="327"/>
        <v>2</v>
      </c>
      <c r="H1282" s="58">
        <v>44897</v>
      </c>
      <c r="I1282" s="14"/>
      <c r="J1282" s="8"/>
      <c r="K1282" s="10"/>
      <c r="L1282" s="10"/>
      <c r="M1282" s="10"/>
      <c r="N1282" s="28"/>
      <c r="O1282" s="9">
        <f t="shared" si="329"/>
        <v>0</v>
      </c>
    </row>
    <row r="1283" spans="1:15" x14ac:dyDescent="0.15">
      <c r="A1283" s="16" t="s">
        <v>29</v>
      </c>
      <c r="B1283" s="8"/>
      <c r="C1283" s="10"/>
      <c r="D1283" s="10">
        <v>1</v>
      </c>
      <c r="E1283" s="10"/>
      <c r="F1283" s="30"/>
      <c r="G1283" s="9">
        <f t="shared" si="327"/>
        <v>1</v>
      </c>
      <c r="H1283" s="58">
        <v>44898</v>
      </c>
      <c r="I1283" s="14"/>
      <c r="J1283" s="8"/>
      <c r="K1283" s="10"/>
      <c r="L1283" s="10"/>
      <c r="M1283" s="10"/>
      <c r="N1283" s="30"/>
      <c r="O1283" s="9">
        <f t="shared" si="329"/>
        <v>0</v>
      </c>
    </row>
    <row r="1284" spans="1:15" x14ac:dyDescent="0.15">
      <c r="A1284" s="16" t="s">
        <v>1528</v>
      </c>
      <c r="B1284" s="8">
        <v>1</v>
      </c>
      <c r="C1284" s="10"/>
      <c r="D1284" s="10">
        <v>1</v>
      </c>
      <c r="E1284" s="10"/>
      <c r="F1284" s="30"/>
      <c r="G1284" s="9">
        <f t="shared" si="327"/>
        <v>2</v>
      </c>
      <c r="H1284" s="58">
        <v>44901</v>
      </c>
      <c r="I1284" s="14"/>
      <c r="J1284" s="37"/>
      <c r="K1284" s="35"/>
      <c r="L1284" s="35"/>
      <c r="M1284" s="35"/>
      <c r="N1284" s="28"/>
      <c r="O1284" s="7">
        <f t="shared" si="329"/>
        <v>0</v>
      </c>
    </row>
    <row r="1285" spans="1:15" x14ac:dyDescent="0.15">
      <c r="A1285" s="16" t="s">
        <v>1531</v>
      </c>
      <c r="B1285" s="8"/>
      <c r="C1285" s="10"/>
      <c r="D1285" s="10"/>
      <c r="E1285" s="10"/>
      <c r="F1285" s="30">
        <v>1</v>
      </c>
      <c r="G1285" s="9">
        <f t="shared" si="327"/>
        <v>1</v>
      </c>
      <c r="H1285" s="58">
        <v>44902</v>
      </c>
      <c r="I1285" s="15"/>
      <c r="J1285" s="8"/>
      <c r="K1285" s="10"/>
      <c r="L1285" s="10"/>
      <c r="M1285" s="10"/>
      <c r="N1285" s="28"/>
      <c r="O1285" s="9">
        <f t="shared" si="329"/>
        <v>0</v>
      </c>
    </row>
    <row r="1286" spans="1:15" x14ac:dyDescent="0.15">
      <c r="A1286" s="16" t="s">
        <v>1535</v>
      </c>
      <c r="B1286" s="8"/>
      <c r="C1286" s="10">
        <v>1</v>
      </c>
      <c r="D1286" s="10"/>
      <c r="E1286" s="10"/>
      <c r="F1286" s="30"/>
      <c r="G1286" s="9">
        <f t="shared" si="327"/>
        <v>1</v>
      </c>
      <c r="H1286" s="58">
        <v>44909</v>
      </c>
      <c r="I1286" s="14"/>
      <c r="J1286" s="8"/>
      <c r="K1286" s="10"/>
      <c r="L1286" s="10"/>
      <c r="M1286" s="10"/>
      <c r="N1286" s="30"/>
      <c r="O1286" s="7">
        <f t="shared" si="329"/>
        <v>0</v>
      </c>
    </row>
    <row r="1287" spans="1:15" x14ac:dyDescent="0.15">
      <c r="A1287" s="16" t="s">
        <v>1539</v>
      </c>
      <c r="B1287" s="8">
        <v>1</v>
      </c>
      <c r="C1287" s="10"/>
      <c r="D1287" s="10"/>
      <c r="E1287" s="10"/>
      <c r="F1287" s="30"/>
      <c r="G1287" s="9">
        <f t="shared" si="327"/>
        <v>1</v>
      </c>
      <c r="H1287" s="58">
        <v>44911</v>
      </c>
      <c r="I1287" s="15"/>
      <c r="J1287" s="8"/>
      <c r="K1287" s="10"/>
      <c r="L1287" s="10"/>
      <c r="M1287" s="10"/>
      <c r="N1287" s="30"/>
      <c r="O1287" s="7">
        <f t="shared" si="329"/>
        <v>0</v>
      </c>
    </row>
    <row r="1288" spans="1:15" x14ac:dyDescent="0.15">
      <c r="A1288" s="16" t="s">
        <v>1540</v>
      </c>
      <c r="B1288" s="8"/>
      <c r="C1288" s="10"/>
      <c r="D1288" s="10"/>
      <c r="E1288" s="10">
        <v>1</v>
      </c>
      <c r="F1288" s="30"/>
      <c r="G1288" s="9">
        <f t="shared" si="327"/>
        <v>1</v>
      </c>
      <c r="H1288" s="58">
        <v>44915</v>
      </c>
      <c r="I1288" s="16"/>
      <c r="J1288" s="8"/>
      <c r="K1288" s="10"/>
      <c r="L1288" s="10"/>
      <c r="M1288" s="10"/>
      <c r="N1288" s="30"/>
      <c r="O1288" s="7">
        <f t="shared" si="329"/>
        <v>0</v>
      </c>
    </row>
    <row r="1289" spans="1:15" x14ac:dyDescent="0.15">
      <c r="A1289" s="16" t="s">
        <v>1543</v>
      </c>
      <c r="B1289" s="8">
        <v>1</v>
      </c>
      <c r="C1289" s="10"/>
      <c r="D1289" s="10"/>
      <c r="E1289" s="10"/>
      <c r="F1289" s="30"/>
      <c r="G1289" s="9">
        <f t="shared" si="327"/>
        <v>1</v>
      </c>
      <c r="H1289" s="58">
        <v>44916</v>
      </c>
      <c r="I1289" s="16"/>
      <c r="J1289" s="8"/>
      <c r="K1289" s="10"/>
      <c r="L1289" s="10"/>
      <c r="M1289" s="10"/>
      <c r="N1289" s="30"/>
      <c r="O1289" s="7">
        <f t="shared" si="329"/>
        <v>0</v>
      </c>
    </row>
    <row r="1290" spans="1:15" x14ac:dyDescent="0.15">
      <c r="A1290" s="16" t="s">
        <v>29</v>
      </c>
      <c r="B1290" s="8"/>
      <c r="C1290" s="10">
        <v>1</v>
      </c>
      <c r="D1290" s="10"/>
      <c r="E1290" s="10">
        <v>1</v>
      </c>
      <c r="F1290" s="30"/>
      <c r="G1290" s="9">
        <f t="shared" si="327"/>
        <v>2</v>
      </c>
      <c r="H1290" s="58">
        <v>44921</v>
      </c>
      <c r="I1290" s="16"/>
      <c r="J1290" s="8"/>
      <c r="K1290" s="10"/>
      <c r="L1290" s="10"/>
      <c r="M1290" s="10"/>
      <c r="N1290" s="30"/>
      <c r="O1290" s="7">
        <f t="shared" si="329"/>
        <v>0</v>
      </c>
    </row>
    <row r="1291" spans="1:15" x14ac:dyDescent="0.15">
      <c r="A1291" s="16" t="s">
        <v>1549</v>
      </c>
      <c r="B1291" s="8">
        <v>1</v>
      </c>
      <c r="C1291" s="10"/>
      <c r="D1291" s="10"/>
      <c r="E1291" s="10"/>
      <c r="F1291" s="30"/>
      <c r="G1291" s="9">
        <f t="shared" si="327"/>
        <v>1</v>
      </c>
      <c r="H1291" s="58">
        <v>44932</v>
      </c>
      <c r="I1291" s="16"/>
      <c r="J1291" s="11"/>
      <c r="K1291" s="12"/>
      <c r="L1291" s="12"/>
      <c r="M1291" s="12"/>
      <c r="N1291" s="31"/>
      <c r="O1291" s="7">
        <f t="shared" si="329"/>
        <v>0</v>
      </c>
    </row>
    <row r="1292" spans="1:15" x14ac:dyDescent="0.15">
      <c r="A1292" s="16" t="s">
        <v>117</v>
      </c>
      <c r="B1292" s="8"/>
      <c r="C1292" s="10">
        <v>1</v>
      </c>
      <c r="D1292" s="10"/>
      <c r="E1292" s="10"/>
      <c r="F1292" s="30"/>
      <c r="G1292" s="9">
        <f t="shared" si="327"/>
        <v>1</v>
      </c>
      <c r="H1292" s="58">
        <v>44939</v>
      </c>
      <c r="I1292" s="16"/>
      <c r="J1292" s="11"/>
      <c r="K1292" s="12"/>
      <c r="L1292" s="12"/>
      <c r="M1292" s="12"/>
      <c r="N1292" s="31"/>
      <c r="O1292" s="7">
        <f t="shared" si="329"/>
        <v>0</v>
      </c>
    </row>
    <row r="1293" spans="1:15" x14ac:dyDescent="0.15">
      <c r="A1293" s="16" t="s">
        <v>29</v>
      </c>
      <c r="B1293" s="8"/>
      <c r="C1293" s="10">
        <v>2</v>
      </c>
      <c r="D1293" s="10"/>
      <c r="E1293" s="10"/>
      <c r="F1293" s="30"/>
      <c r="G1293" s="9">
        <f t="shared" si="327"/>
        <v>2</v>
      </c>
      <c r="H1293" s="58">
        <v>44942</v>
      </c>
      <c r="I1293" s="16"/>
      <c r="J1293" s="11"/>
      <c r="K1293" s="12"/>
      <c r="L1293" s="12"/>
      <c r="M1293" s="12"/>
      <c r="N1293" s="31"/>
      <c r="O1293" s="7">
        <f t="shared" si="329"/>
        <v>0</v>
      </c>
    </row>
    <row r="1294" spans="1:15" x14ac:dyDescent="0.15">
      <c r="A1294" s="16"/>
      <c r="B1294" s="8"/>
      <c r="C1294" s="10"/>
      <c r="D1294" s="10"/>
      <c r="E1294" s="10"/>
      <c r="F1294" s="30"/>
      <c r="G1294" s="9">
        <f t="shared" si="327"/>
        <v>0</v>
      </c>
      <c r="H1294" s="58"/>
      <c r="I1294" s="16"/>
      <c r="J1294" s="11"/>
      <c r="K1294" s="12"/>
      <c r="L1294" s="12"/>
      <c r="M1294" s="12"/>
      <c r="N1294" s="31"/>
      <c r="O1294" s="7">
        <f t="shared" si="329"/>
        <v>0</v>
      </c>
    </row>
    <row r="1295" spans="1:15" x14ac:dyDescent="0.15">
      <c r="A1295" s="16"/>
      <c r="B1295" s="8"/>
      <c r="C1295" s="10"/>
      <c r="D1295" s="10"/>
      <c r="E1295" s="10"/>
      <c r="F1295" s="30"/>
      <c r="G1295" s="9">
        <f t="shared" si="327"/>
        <v>0</v>
      </c>
      <c r="H1295" s="58"/>
      <c r="I1295" s="16"/>
      <c r="J1295" s="8"/>
      <c r="K1295" s="10"/>
      <c r="L1295" s="10"/>
      <c r="M1295" s="10"/>
      <c r="N1295" s="30"/>
      <c r="O1295" s="7">
        <f t="shared" si="329"/>
        <v>0</v>
      </c>
    </row>
    <row r="1296" spans="1:15" x14ac:dyDescent="0.15">
      <c r="A1296" s="16"/>
      <c r="B1296" s="8"/>
      <c r="C1296" s="10"/>
      <c r="D1296" s="10"/>
      <c r="E1296" s="10"/>
      <c r="F1296" s="30"/>
      <c r="G1296" s="9">
        <f t="shared" si="327"/>
        <v>0</v>
      </c>
      <c r="H1296" s="58"/>
      <c r="I1296" s="16"/>
      <c r="J1296" s="11"/>
      <c r="K1296" s="12"/>
      <c r="L1296" s="12"/>
      <c r="M1296" s="12"/>
      <c r="N1296" s="31"/>
      <c r="O1296" s="7">
        <f t="shared" si="329"/>
        <v>0</v>
      </c>
    </row>
    <row r="1297" spans="1:16" x14ac:dyDescent="0.15">
      <c r="A1297" s="16"/>
      <c r="B1297" s="8"/>
      <c r="C1297" s="10"/>
      <c r="D1297" s="10"/>
      <c r="E1297" s="10"/>
      <c r="F1297" s="30"/>
      <c r="G1297" s="9">
        <f t="shared" si="327"/>
        <v>0</v>
      </c>
      <c r="H1297" s="58"/>
      <c r="I1297" s="16"/>
      <c r="J1297" s="11"/>
      <c r="K1297" s="12"/>
      <c r="L1297" s="12"/>
      <c r="M1297" s="12"/>
      <c r="N1297" s="31"/>
      <c r="O1297" s="7">
        <f t="shared" si="329"/>
        <v>0</v>
      </c>
      <c r="P1297" s="56"/>
    </row>
    <row r="1298" spans="1:16" x14ac:dyDescent="0.15">
      <c r="A1298" s="16"/>
      <c r="B1298" s="8"/>
      <c r="C1298" s="10"/>
      <c r="D1298" s="10"/>
      <c r="E1298" s="10"/>
      <c r="F1298" s="30"/>
      <c r="G1298" s="9">
        <f t="shared" si="327"/>
        <v>0</v>
      </c>
      <c r="H1298" s="58"/>
      <c r="I1298" s="16"/>
      <c r="J1298" s="11"/>
      <c r="K1298" s="12"/>
      <c r="L1298" s="12"/>
      <c r="M1298" s="12"/>
      <c r="N1298" s="31"/>
      <c r="O1298" s="7">
        <f t="shared" si="329"/>
        <v>0</v>
      </c>
      <c r="P1298" s="56"/>
    </row>
    <row r="1299" spans="1:16" x14ac:dyDescent="0.15">
      <c r="A1299" s="16"/>
      <c r="B1299" s="8"/>
      <c r="C1299" s="10"/>
      <c r="D1299" s="10"/>
      <c r="E1299" s="10"/>
      <c r="F1299" s="30"/>
      <c r="G1299" s="9">
        <f t="shared" ref="G1299:G1300" si="334">SUM(B1299:F1299)</f>
        <v>0</v>
      </c>
      <c r="H1299" s="58"/>
      <c r="I1299" s="14" t="s">
        <v>1480</v>
      </c>
      <c r="J1299" s="11"/>
      <c r="K1299" s="12"/>
      <c r="L1299" s="12"/>
      <c r="M1299" s="12"/>
      <c r="N1299" s="31"/>
      <c r="O1299" s="7">
        <f t="shared" si="329"/>
        <v>0</v>
      </c>
      <c r="P1299" s="56" t="s">
        <v>1375</v>
      </c>
    </row>
    <row r="1300" spans="1:16" ht="14.25" thickBot="1" x14ac:dyDescent="0.2">
      <c r="A1300" s="16"/>
      <c r="B1300" s="37"/>
      <c r="C1300" s="35"/>
      <c r="D1300" s="35"/>
      <c r="E1300" s="35"/>
      <c r="F1300" s="28"/>
      <c r="G1300" s="7">
        <f t="shared" si="334"/>
        <v>0</v>
      </c>
      <c r="H1300" s="58"/>
      <c r="I1300" s="14" t="s">
        <v>1476</v>
      </c>
      <c r="J1300" s="11"/>
      <c r="K1300" s="12"/>
      <c r="L1300" s="12"/>
      <c r="M1300" s="12"/>
      <c r="N1300" s="31"/>
      <c r="O1300" s="7">
        <f t="shared" si="329"/>
        <v>0</v>
      </c>
      <c r="P1300" s="56" t="s">
        <v>1363</v>
      </c>
    </row>
    <row r="1301" spans="1:16" ht="14.25" thickBot="1" x14ac:dyDescent="0.2">
      <c r="A1301" s="3" t="s">
        <v>11</v>
      </c>
      <c r="B1301" s="23">
        <f>SUM(B1275:B1300)</f>
        <v>7</v>
      </c>
      <c r="C1301" s="4">
        <f>SUM(C1275:C1300)</f>
        <v>10</v>
      </c>
      <c r="D1301" s="4">
        <f>SUM(D1275:D1300)</f>
        <v>3</v>
      </c>
      <c r="E1301" s="6">
        <f>SUM(E1275:E1300)</f>
        <v>6</v>
      </c>
      <c r="F1301" s="32">
        <f>SUM(F1275:F1300)</f>
        <v>3</v>
      </c>
      <c r="G1301" s="5">
        <f>SUM(B1301:F1301)</f>
        <v>29</v>
      </c>
      <c r="H1301" s="56"/>
      <c r="I1301" s="3" t="s">
        <v>11</v>
      </c>
      <c r="J1301" s="23">
        <f>SUM(J1275:J1300)</f>
        <v>3</v>
      </c>
      <c r="K1301" s="4">
        <f>SUM(K1275:K1300)</f>
        <v>5</v>
      </c>
      <c r="L1301" s="4">
        <f>SUM(L1275:L1300)</f>
        <v>5</v>
      </c>
      <c r="M1301" s="6">
        <f>SUM(M1275:M1300)</f>
        <v>3</v>
      </c>
      <c r="N1301" s="32">
        <f>SUM(N1275:N1300)</f>
        <v>0</v>
      </c>
      <c r="O1301" s="5">
        <f>SUM(J1301:N1301)</f>
        <v>16</v>
      </c>
    </row>
    <row r="1302" spans="1:16" ht="14.25" thickBot="1" x14ac:dyDescent="0.2">
      <c r="A1302" s="25" t="s">
        <v>12</v>
      </c>
      <c r="B1302" s="63">
        <f>B1274-B1301</f>
        <v>5</v>
      </c>
      <c r="C1302" s="26">
        <f t="shared" ref="C1302:G1302" si="335">C1274-C1301</f>
        <v>0</v>
      </c>
      <c r="D1302" s="71">
        <f t="shared" si="335"/>
        <v>9</v>
      </c>
      <c r="E1302" s="26">
        <f t="shared" si="335"/>
        <v>7</v>
      </c>
      <c r="F1302" s="70">
        <f t="shared" si="335"/>
        <v>5</v>
      </c>
      <c r="G1302" s="27">
        <f t="shared" si="335"/>
        <v>26</v>
      </c>
      <c r="H1302" s="56"/>
      <c r="I1302" s="25" t="s">
        <v>12</v>
      </c>
      <c r="J1302" s="63">
        <f>J1274-J1301</f>
        <v>173</v>
      </c>
      <c r="K1302" s="26">
        <f t="shared" ref="K1302:M1302" si="336">K1274-K1301</f>
        <v>112</v>
      </c>
      <c r="L1302" s="71">
        <f t="shared" si="336"/>
        <v>95</v>
      </c>
      <c r="M1302" s="26">
        <f t="shared" si="336"/>
        <v>120</v>
      </c>
      <c r="N1302" s="70">
        <f>N1274-N1301</f>
        <v>114</v>
      </c>
      <c r="O1302" s="27">
        <f t="shared" ref="O1302" si="337">O1274-O1301</f>
        <v>614</v>
      </c>
    </row>
    <row r="1303" spans="1:16" ht="21" x14ac:dyDescent="0.2">
      <c r="A1303" s="83" t="s">
        <v>415</v>
      </c>
      <c r="B1303" s="77"/>
      <c r="C1303" s="77"/>
      <c r="D1303" s="77"/>
      <c r="E1303" s="77"/>
      <c r="F1303" s="77"/>
      <c r="G1303" s="77"/>
      <c r="H1303" s="56"/>
      <c r="I1303" s="83" t="s">
        <v>415</v>
      </c>
      <c r="J1303" s="77"/>
      <c r="K1303" s="77"/>
      <c r="L1303" s="77"/>
      <c r="M1303" s="77"/>
      <c r="N1303" s="77"/>
      <c r="O1303" s="77"/>
    </row>
    <row r="1304" spans="1:16" ht="21.75" thickBot="1" x14ac:dyDescent="0.25">
      <c r="A1304" s="83" t="s">
        <v>47</v>
      </c>
      <c r="B1304" s="77"/>
      <c r="C1304" s="77"/>
      <c r="D1304" s="77"/>
      <c r="E1304" s="84"/>
      <c r="F1304" s="78" t="s">
        <v>53</v>
      </c>
      <c r="G1304" s="77"/>
      <c r="H1304" s="56"/>
      <c r="I1304" s="83" t="s">
        <v>47</v>
      </c>
      <c r="J1304" s="77"/>
      <c r="K1304" s="77"/>
      <c r="L1304" s="77"/>
      <c r="M1304" s="84"/>
      <c r="N1304" s="78" t="s">
        <v>54</v>
      </c>
      <c r="O1304" s="77"/>
    </row>
    <row r="1305" spans="1:16" ht="14.25" thickBot="1" x14ac:dyDescent="0.2">
      <c r="A1305" s="13" t="s">
        <v>0</v>
      </c>
      <c r="B1305" s="228" t="s">
        <v>49</v>
      </c>
      <c r="C1305" s="229"/>
      <c r="D1305" s="229"/>
      <c r="E1305" s="229"/>
      <c r="F1305" s="230"/>
      <c r="G1305" s="231"/>
      <c r="H1305" s="56"/>
      <c r="I1305" s="13" t="s">
        <v>0</v>
      </c>
      <c r="J1305" s="228" t="s">
        <v>49</v>
      </c>
      <c r="K1305" s="229"/>
      <c r="L1305" s="229"/>
      <c r="M1305" s="229"/>
      <c r="N1305" s="230"/>
      <c r="O1305" s="231"/>
    </row>
    <row r="1306" spans="1:16" ht="14.25" thickBot="1" x14ac:dyDescent="0.2">
      <c r="A1306" s="3" t="s">
        <v>1</v>
      </c>
      <c r="B1306" s="2" t="s">
        <v>42</v>
      </c>
      <c r="C1306" s="21" t="s">
        <v>43</v>
      </c>
      <c r="D1306" s="21" t="s">
        <v>44</v>
      </c>
      <c r="E1306" s="24" t="s">
        <v>45</v>
      </c>
      <c r="F1306" s="33" t="s">
        <v>46</v>
      </c>
      <c r="G1306" s="34" t="s">
        <v>2</v>
      </c>
      <c r="H1306" s="56"/>
      <c r="I1306" s="3" t="s">
        <v>1</v>
      </c>
      <c r="J1306" s="2" t="s">
        <v>42</v>
      </c>
      <c r="K1306" s="21" t="s">
        <v>43</v>
      </c>
      <c r="L1306" s="21" t="s">
        <v>44</v>
      </c>
      <c r="M1306" s="24" t="s">
        <v>45</v>
      </c>
      <c r="N1306" s="33" t="s">
        <v>46</v>
      </c>
      <c r="O1306" s="3" t="s">
        <v>2</v>
      </c>
    </row>
    <row r="1307" spans="1:16" ht="14.25" thickBot="1" x14ac:dyDescent="0.2">
      <c r="A1307" s="72" t="s">
        <v>527</v>
      </c>
      <c r="B1307" s="73">
        <f>B1302</f>
        <v>5</v>
      </c>
      <c r="C1307" s="74">
        <f t="shared" ref="C1307:F1307" si="338">C1302</f>
        <v>0</v>
      </c>
      <c r="D1307" s="74">
        <f t="shared" si="338"/>
        <v>9</v>
      </c>
      <c r="E1307" s="74">
        <f t="shared" si="338"/>
        <v>7</v>
      </c>
      <c r="F1307" s="212">
        <f t="shared" si="338"/>
        <v>5</v>
      </c>
      <c r="G1307" s="76">
        <f t="shared" ref="G1307:G1342" si="339">SUM(B1307:F1307)</f>
        <v>26</v>
      </c>
      <c r="H1307" s="56"/>
      <c r="I1307" s="96" t="s">
        <v>12</v>
      </c>
      <c r="J1307" s="95">
        <f>J1302</f>
        <v>173</v>
      </c>
      <c r="K1307" s="97">
        <f t="shared" ref="K1307:N1307" si="340">K1302</f>
        <v>112</v>
      </c>
      <c r="L1307" s="97">
        <f t="shared" si="340"/>
        <v>95</v>
      </c>
      <c r="M1307" s="97">
        <f t="shared" si="340"/>
        <v>120</v>
      </c>
      <c r="N1307" s="54">
        <f t="shared" si="340"/>
        <v>114</v>
      </c>
      <c r="O1307" s="52">
        <f t="shared" ref="O1307:O1342" si="341">SUM(J1307:N1307)</f>
        <v>614</v>
      </c>
    </row>
    <row r="1308" spans="1:16" x14ac:dyDescent="0.15">
      <c r="A1308" s="15" t="s">
        <v>14</v>
      </c>
      <c r="B1308" s="8"/>
      <c r="C1308" s="10">
        <v>5</v>
      </c>
      <c r="D1308" s="10"/>
      <c r="E1308" s="10"/>
      <c r="F1308" s="30"/>
      <c r="G1308" s="7">
        <f t="shared" ref="G1308:G1313" si="342">SUM(B1308:F1308)</f>
        <v>5</v>
      </c>
      <c r="H1308" s="58">
        <v>44943</v>
      </c>
      <c r="I1308" s="15" t="s">
        <v>3</v>
      </c>
      <c r="J1308" s="37"/>
      <c r="K1308" s="35"/>
      <c r="L1308" s="35"/>
      <c r="M1308" s="35"/>
      <c r="N1308" s="28"/>
      <c r="O1308" s="18">
        <f t="shared" si="341"/>
        <v>0</v>
      </c>
    </row>
    <row r="1309" spans="1:16" x14ac:dyDescent="0.15">
      <c r="A1309" s="15" t="s">
        <v>616</v>
      </c>
      <c r="B1309" s="8"/>
      <c r="C1309" s="10"/>
      <c r="D1309" s="10"/>
      <c r="E1309" s="10">
        <v>1</v>
      </c>
      <c r="F1309" s="30"/>
      <c r="G1309" s="7">
        <f t="shared" si="342"/>
        <v>1</v>
      </c>
      <c r="H1309" s="58">
        <v>44993</v>
      </c>
      <c r="I1309" s="15" t="s">
        <v>4</v>
      </c>
      <c r="J1309" s="8"/>
      <c r="K1309" s="10"/>
      <c r="L1309" s="10"/>
      <c r="M1309" s="10"/>
      <c r="N1309" s="28"/>
      <c r="O1309" s="9">
        <f t="shared" ref="O1309" si="343">SUM(J1309:N1309)</f>
        <v>0</v>
      </c>
    </row>
    <row r="1310" spans="1:16" x14ac:dyDescent="0.15">
      <c r="A1310" s="15" t="s">
        <v>17</v>
      </c>
      <c r="B1310" s="8"/>
      <c r="C1310" s="10"/>
      <c r="D1310" s="10">
        <v>1</v>
      </c>
      <c r="E1310" s="10"/>
      <c r="F1310" s="30"/>
      <c r="G1310" s="7">
        <f t="shared" si="342"/>
        <v>1</v>
      </c>
      <c r="H1310" s="58">
        <v>45012</v>
      </c>
      <c r="I1310" s="15" t="s">
        <v>5</v>
      </c>
      <c r="J1310" s="8"/>
      <c r="K1310" s="10"/>
      <c r="L1310" s="10"/>
      <c r="M1310" s="10"/>
      <c r="N1310" s="28"/>
      <c r="O1310" s="9">
        <f t="shared" si="341"/>
        <v>0</v>
      </c>
    </row>
    <row r="1311" spans="1:16" x14ac:dyDescent="0.15">
      <c r="A1311" s="15" t="s">
        <v>5</v>
      </c>
      <c r="B1311" s="8">
        <v>5</v>
      </c>
      <c r="C1311" s="10">
        <v>5</v>
      </c>
      <c r="D1311" s="10"/>
      <c r="E1311" s="10">
        <v>3</v>
      </c>
      <c r="F1311" s="30"/>
      <c r="G1311" s="7">
        <f t="shared" si="342"/>
        <v>13</v>
      </c>
      <c r="H1311" s="58">
        <v>45016</v>
      </c>
      <c r="I1311" s="15" t="s">
        <v>6</v>
      </c>
      <c r="J1311" s="8"/>
      <c r="K1311" s="10"/>
      <c r="L1311" s="10"/>
      <c r="M1311" s="10"/>
      <c r="N1311" s="28"/>
      <c r="O1311" s="9">
        <f t="shared" si="341"/>
        <v>0</v>
      </c>
    </row>
    <row r="1312" spans="1:16" x14ac:dyDescent="0.15">
      <c r="A1312" s="15" t="s">
        <v>6</v>
      </c>
      <c r="B1312" s="8">
        <v>5</v>
      </c>
      <c r="C1312" s="10">
        <v>5</v>
      </c>
      <c r="D1312" s="10">
        <v>10</v>
      </c>
      <c r="E1312" s="10">
        <v>5</v>
      </c>
      <c r="F1312" s="30"/>
      <c r="G1312" s="7">
        <f t="shared" si="342"/>
        <v>25</v>
      </c>
      <c r="H1312" s="58">
        <v>45020</v>
      </c>
      <c r="I1312" s="15" t="s">
        <v>84</v>
      </c>
      <c r="J1312" s="11"/>
      <c r="K1312" s="12"/>
      <c r="L1312" s="12"/>
      <c r="M1312" s="12"/>
      <c r="N1312" s="31"/>
      <c r="O1312" s="7">
        <f t="shared" si="341"/>
        <v>0</v>
      </c>
    </row>
    <row r="1313" spans="1:17" x14ac:dyDescent="0.15">
      <c r="A1313" s="15" t="s">
        <v>84</v>
      </c>
      <c r="B1313" s="8"/>
      <c r="C1313" s="10"/>
      <c r="D1313" s="10"/>
      <c r="E1313" s="10"/>
      <c r="F1313" s="30"/>
      <c r="G1313" s="7">
        <f t="shared" si="342"/>
        <v>0</v>
      </c>
      <c r="H1313" s="58"/>
      <c r="I1313" s="15" t="s">
        <v>85</v>
      </c>
      <c r="J1313" s="8"/>
      <c r="K1313" s="10"/>
      <c r="L1313" s="10"/>
      <c r="M1313" s="10"/>
      <c r="N1313" s="30"/>
      <c r="O1313" s="7">
        <f t="shared" si="341"/>
        <v>0</v>
      </c>
    </row>
    <row r="1314" spans="1:17" x14ac:dyDescent="0.15">
      <c r="A1314" s="15" t="s">
        <v>85</v>
      </c>
      <c r="B1314" s="8"/>
      <c r="C1314" s="10"/>
      <c r="D1314" s="10"/>
      <c r="E1314" s="10"/>
      <c r="F1314" s="30"/>
      <c r="G1314" s="7">
        <f t="shared" si="339"/>
        <v>0</v>
      </c>
      <c r="H1314" s="58"/>
      <c r="I1314" s="15" t="s">
        <v>86</v>
      </c>
      <c r="J1314" s="8"/>
      <c r="K1314" s="10"/>
      <c r="L1314" s="10"/>
      <c r="M1314" s="10"/>
      <c r="N1314" s="30"/>
      <c r="O1314" s="7">
        <f t="shared" si="341"/>
        <v>0</v>
      </c>
    </row>
    <row r="1315" spans="1:17" ht="14.25" thickBot="1" x14ac:dyDescent="0.2">
      <c r="A1315" s="15" t="s">
        <v>86</v>
      </c>
      <c r="B1315" s="11"/>
      <c r="C1315" s="100"/>
      <c r="D1315" s="100"/>
      <c r="E1315" s="100"/>
      <c r="F1315" s="101"/>
      <c r="G1315" s="102">
        <f t="shared" si="339"/>
        <v>0</v>
      </c>
      <c r="H1315" s="58"/>
      <c r="I1315" s="15" t="s">
        <v>87</v>
      </c>
      <c r="J1315" s="11"/>
      <c r="K1315" s="100"/>
      <c r="L1315" s="100"/>
      <c r="M1315" s="100"/>
      <c r="N1315" s="101"/>
      <c r="O1315" s="102">
        <f t="shared" si="341"/>
        <v>0</v>
      </c>
    </row>
    <row r="1316" spans="1:17" ht="14.25" thickBot="1" x14ac:dyDescent="0.2">
      <c r="A1316" s="72" t="s">
        <v>7</v>
      </c>
      <c r="B1316" s="73">
        <f>SUM(B1307:B1315)</f>
        <v>15</v>
      </c>
      <c r="C1316" s="74">
        <f t="shared" ref="C1316:F1316" si="344">SUM(C1307:C1315)</f>
        <v>15</v>
      </c>
      <c r="D1316" s="74">
        <f t="shared" si="344"/>
        <v>20</v>
      </c>
      <c r="E1316" s="74">
        <f t="shared" si="344"/>
        <v>16</v>
      </c>
      <c r="F1316" s="105">
        <f t="shared" si="344"/>
        <v>5</v>
      </c>
      <c r="G1316" s="76">
        <f t="shared" si="339"/>
        <v>71</v>
      </c>
      <c r="H1316" s="56"/>
      <c r="I1316" s="72" t="s">
        <v>7</v>
      </c>
      <c r="J1316" s="73">
        <f>SUM(J1307:J1315)</f>
        <v>173</v>
      </c>
      <c r="K1316" s="74">
        <f t="shared" ref="K1316:N1316" si="345">SUM(K1307:K1315)</f>
        <v>112</v>
      </c>
      <c r="L1316" s="74">
        <f t="shared" si="345"/>
        <v>95</v>
      </c>
      <c r="M1316" s="74">
        <f t="shared" si="345"/>
        <v>120</v>
      </c>
      <c r="N1316" s="105">
        <f t="shared" si="345"/>
        <v>114</v>
      </c>
      <c r="O1316" s="76">
        <f t="shared" si="341"/>
        <v>614</v>
      </c>
    </row>
    <row r="1317" spans="1:17" x14ac:dyDescent="0.15">
      <c r="A1317" s="16" t="s">
        <v>29</v>
      </c>
      <c r="B1317" s="8"/>
      <c r="C1317" s="10">
        <v>1</v>
      </c>
      <c r="D1317" s="10"/>
      <c r="E1317" s="10"/>
      <c r="F1317" s="30"/>
      <c r="G1317" s="9">
        <f t="shared" si="339"/>
        <v>1</v>
      </c>
      <c r="H1317" s="58">
        <v>44943</v>
      </c>
      <c r="I1317" s="15" t="s">
        <v>1552</v>
      </c>
      <c r="J1317" s="8"/>
      <c r="K1317" s="10">
        <v>5</v>
      </c>
      <c r="L1317" s="10"/>
      <c r="M1317" s="10"/>
      <c r="N1317" s="30"/>
      <c r="O1317" s="7">
        <f t="shared" si="341"/>
        <v>5</v>
      </c>
      <c r="P1317" s="58">
        <v>44943</v>
      </c>
    </row>
    <row r="1318" spans="1:17" x14ac:dyDescent="0.15">
      <c r="A1318" s="16" t="s">
        <v>29</v>
      </c>
      <c r="B1318" s="8"/>
      <c r="C1318" s="10"/>
      <c r="D1318" s="10">
        <v>1</v>
      </c>
      <c r="E1318" s="10"/>
      <c r="F1318" s="30"/>
      <c r="G1318" s="9">
        <f t="shared" si="339"/>
        <v>1</v>
      </c>
      <c r="H1318" s="58">
        <v>44963</v>
      </c>
      <c r="I1318" s="15" t="s">
        <v>24</v>
      </c>
      <c r="J1318" s="8">
        <v>5</v>
      </c>
      <c r="K1318" s="10">
        <v>5</v>
      </c>
      <c r="L1318" s="10"/>
      <c r="M1318" s="10">
        <v>3</v>
      </c>
      <c r="N1318" s="30"/>
      <c r="O1318" s="7">
        <f t="shared" si="341"/>
        <v>13</v>
      </c>
      <c r="P1318" s="58">
        <v>45016</v>
      </c>
    </row>
    <row r="1319" spans="1:17" x14ac:dyDescent="0.15">
      <c r="A1319" s="16" t="s">
        <v>29</v>
      </c>
      <c r="B1319" s="8"/>
      <c r="C1319" s="10"/>
      <c r="D1319" s="10"/>
      <c r="E1319" s="10">
        <v>1</v>
      </c>
      <c r="F1319" s="30"/>
      <c r="G1319" s="9">
        <f t="shared" si="339"/>
        <v>1</v>
      </c>
      <c r="H1319" s="58">
        <v>44965</v>
      </c>
      <c r="I1319" s="15" t="s">
        <v>24</v>
      </c>
      <c r="J1319" s="8">
        <v>5</v>
      </c>
      <c r="K1319" s="10">
        <v>5</v>
      </c>
      <c r="L1319" s="10">
        <v>10</v>
      </c>
      <c r="M1319" s="10">
        <v>5</v>
      </c>
      <c r="N1319" s="30"/>
      <c r="O1319" s="7">
        <f t="shared" si="341"/>
        <v>25</v>
      </c>
      <c r="P1319" s="58">
        <v>45020</v>
      </c>
      <c r="Q1319" s="68"/>
    </row>
    <row r="1320" spans="1:17" x14ac:dyDescent="0.15">
      <c r="A1320" s="16" t="s">
        <v>485</v>
      </c>
      <c r="B1320" s="8"/>
      <c r="C1320" s="10"/>
      <c r="D1320" s="10">
        <v>-1</v>
      </c>
      <c r="E1320" s="10">
        <v>1</v>
      </c>
      <c r="F1320" s="30"/>
      <c r="G1320" s="9">
        <f t="shared" si="339"/>
        <v>0</v>
      </c>
      <c r="H1320" s="58">
        <v>44966</v>
      </c>
      <c r="I1320" s="15"/>
      <c r="J1320" s="8"/>
      <c r="K1320" s="10"/>
      <c r="L1320" s="10"/>
      <c r="M1320" s="10"/>
      <c r="N1320" s="30"/>
      <c r="O1320" s="7">
        <f t="shared" si="341"/>
        <v>0</v>
      </c>
    </row>
    <row r="1321" spans="1:17" x14ac:dyDescent="0.15">
      <c r="A1321" s="16" t="s">
        <v>29</v>
      </c>
      <c r="B1321" s="8"/>
      <c r="C1321" s="10"/>
      <c r="D1321" s="10">
        <v>1</v>
      </c>
      <c r="E1321" s="10"/>
      <c r="F1321" s="30"/>
      <c r="G1321" s="9">
        <f t="shared" si="339"/>
        <v>1</v>
      </c>
      <c r="H1321" s="58">
        <v>44977</v>
      </c>
      <c r="I1321" s="15"/>
      <c r="J1321" s="8"/>
      <c r="K1321" s="10"/>
      <c r="L1321" s="10"/>
      <c r="M1321" s="10"/>
      <c r="N1321" s="30"/>
      <c r="O1321" s="7">
        <f t="shared" si="341"/>
        <v>0</v>
      </c>
    </row>
    <row r="1322" spans="1:17" x14ac:dyDescent="0.15">
      <c r="A1322" s="16" t="s">
        <v>29</v>
      </c>
      <c r="B1322" s="8"/>
      <c r="C1322" s="10"/>
      <c r="D1322" s="10">
        <v>1</v>
      </c>
      <c r="E1322" s="10"/>
      <c r="F1322" s="30"/>
      <c r="G1322" s="9">
        <f t="shared" si="339"/>
        <v>1</v>
      </c>
      <c r="H1322" s="58">
        <v>44979</v>
      </c>
      <c r="I1322" s="15"/>
      <c r="J1322" s="8"/>
      <c r="K1322" s="10"/>
      <c r="L1322" s="10"/>
      <c r="M1322" s="10"/>
      <c r="N1322" s="30"/>
      <c r="O1322" s="7">
        <f t="shared" si="341"/>
        <v>0</v>
      </c>
    </row>
    <row r="1323" spans="1:17" x14ac:dyDescent="0.15">
      <c r="A1323" s="16" t="s">
        <v>1559</v>
      </c>
      <c r="B1323" s="8"/>
      <c r="C1323" s="10"/>
      <c r="D1323" s="10">
        <v>1</v>
      </c>
      <c r="E1323" s="10"/>
      <c r="F1323" s="30"/>
      <c r="G1323" s="9">
        <f t="shared" si="339"/>
        <v>1</v>
      </c>
      <c r="H1323" s="58">
        <v>44985</v>
      </c>
      <c r="I1323" s="15"/>
      <c r="J1323" s="8"/>
      <c r="K1323" s="10"/>
      <c r="L1323" s="10"/>
      <c r="M1323" s="10"/>
      <c r="N1323" s="30"/>
      <c r="O1323" s="7">
        <f t="shared" si="341"/>
        <v>0</v>
      </c>
    </row>
    <row r="1324" spans="1:17" x14ac:dyDescent="0.15">
      <c r="A1324" s="16" t="s">
        <v>25</v>
      </c>
      <c r="B1324" s="8"/>
      <c r="C1324" s="10"/>
      <c r="D1324" s="10">
        <v>1</v>
      </c>
      <c r="E1324" s="10"/>
      <c r="F1324" s="30"/>
      <c r="G1324" s="9">
        <f t="shared" si="339"/>
        <v>1</v>
      </c>
      <c r="H1324" s="58">
        <v>44986</v>
      </c>
      <c r="I1324" s="14"/>
      <c r="J1324" s="8"/>
      <c r="K1324" s="10"/>
      <c r="L1324" s="10"/>
      <c r="M1324" s="10"/>
      <c r="N1324" s="28"/>
      <c r="O1324" s="9">
        <f t="shared" si="341"/>
        <v>0</v>
      </c>
    </row>
    <row r="1325" spans="1:17" x14ac:dyDescent="0.15">
      <c r="A1325" s="16" t="s">
        <v>29</v>
      </c>
      <c r="B1325" s="8"/>
      <c r="C1325" s="10">
        <v>1</v>
      </c>
      <c r="D1325" s="10"/>
      <c r="E1325" s="10"/>
      <c r="F1325" s="30"/>
      <c r="G1325" s="9">
        <f t="shared" si="339"/>
        <v>1</v>
      </c>
      <c r="H1325" s="58">
        <v>44985</v>
      </c>
      <c r="I1325" s="14"/>
      <c r="J1325" s="8"/>
      <c r="K1325" s="10"/>
      <c r="L1325" s="10"/>
      <c r="M1325" s="10"/>
      <c r="N1325" s="30"/>
      <c r="O1325" s="9">
        <f t="shared" si="341"/>
        <v>0</v>
      </c>
    </row>
    <row r="1326" spans="1:17" x14ac:dyDescent="0.15">
      <c r="A1326" s="16" t="s">
        <v>29</v>
      </c>
      <c r="B1326" s="8"/>
      <c r="C1326" s="10"/>
      <c r="D1326" s="10"/>
      <c r="E1326" s="10">
        <v>1</v>
      </c>
      <c r="F1326" s="30"/>
      <c r="G1326" s="9">
        <f t="shared" si="339"/>
        <v>1</v>
      </c>
      <c r="H1326" s="58">
        <v>44988</v>
      </c>
      <c r="I1326" s="14"/>
      <c r="J1326" s="37"/>
      <c r="K1326" s="35"/>
      <c r="L1326" s="35"/>
      <c r="M1326" s="35"/>
      <c r="N1326" s="28"/>
      <c r="O1326" s="7">
        <f t="shared" si="341"/>
        <v>0</v>
      </c>
    </row>
    <row r="1327" spans="1:17" x14ac:dyDescent="0.15">
      <c r="A1327" s="16" t="s">
        <v>29</v>
      </c>
      <c r="B1327" s="8">
        <v>1</v>
      </c>
      <c r="C1327" s="10"/>
      <c r="D1327" s="10"/>
      <c r="E1327" s="10"/>
      <c r="F1327" s="30"/>
      <c r="G1327" s="9">
        <f t="shared" si="339"/>
        <v>1</v>
      </c>
      <c r="H1327" s="58">
        <v>44991</v>
      </c>
      <c r="I1327" s="15"/>
      <c r="J1327" s="8"/>
      <c r="K1327" s="10"/>
      <c r="L1327" s="10"/>
      <c r="M1327" s="10"/>
      <c r="N1327" s="28"/>
      <c r="O1327" s="9">
        <f t="shared" si="341"/>
        <v>0</v>
      </c>
    </row>
    <row r="1328" spans="1:17" x14ac:dyDescent="0.15">
      <c r="A1328" s="16" t="s">
        <v>29</v>
      </c>
      <c r="B1328" s="8"/>
      <c r="C1328" s="10"/>
      <c r="D1328" s="10"/>
      <c r="E1328" s="10">
        <v>1</v>
      </c>
      <c r="F1328" s="30"/>
      <c r="G1328" s="9">
        <f t="shared" si="339"/>
        <v>1</v>
      </c>
      <c r="H1328" s="58">
        <v>44992</v>
      </c>
      <c r="I1328" s="14"/>
      <c r="J1328" s="8"/>
      <c r="K1328" s="10"/>
      <c r="L1328" s="10"/>
      <c r="M1328" s="10"/>
      <c r="N1328" s="30"/>
      <c r="O1328" s="7">
        <f t="shared" si="341"/>
        <v>0</v>
      </c>
    </row>
    <row r="1329" spans="1:16" x14ac:dyDescent="0.15">
      <c r="A1329" s="16" t="s">
        <v>29</v>
      </c>
      <c r="B1329" s="8"/>
      <c r="C1329" s="10"/>
      <c r="D1329" s="10"/>
      <c r="E1329" s="10"/>
      <c r="F1329" s="30">
        <v>1</v>
      </c>
      <c r="G1329" s="9">
        <f t="shared" si="339"/>
        <v>1</v>
      </c>
      <c r="H1329" s="58">
        <v>44993</v>
      </c>
      <c r="I1329" s="15"/>
      <c r="J1329" s="8"/>
      <c r="K1329" s="10"/>
      <c r="L1329" s="10"/>
      <c r="M1329" s="10"/>
      <c r="N1329" s="30"/>
      <c r="O1329" s="7">
        <f t="shared" si="341"/>
        <v>0</v>
      </c>
    </row>
    <row r="1330" spans="1:16" x14ac:dyDescent="0.15">
      <c r="A1330" s="16" t="s">
        <v>25</v>
      </c>
      <c r="B1330" s="8"/>
      <c r="C1330" s="10"/>
      <c r="D1330" s="10"/>
      <c r="E1330" s="10"/>
      <c r="F1330" s="30">
        <v>1</v>
      </c>
      <c r="G1330" s="9">
        <f t="shared" si="339"/>
        <v>1</v>
      </c>
      <c r="H1330" s="58">
        <v>44999</v>
      </c>
      <c r="I1330" s="16"/>
      <c r="J1330" s="8"/>
      <c r="K1330" s="10"/>
      <c r="L1330" s="10"/>
      <c r="M1330" s="10"/>
      <c r="N1330" s="30"/>
      <c r="O1330" s="7">
        <f t="shared" si="341"/>
        <v>0</v>
      </c>
    </row>
    <row r="1331" spans="1:16" x14ac:dyDescent="0.15">
      <c r="A1331" s="14" t="s">
        <v>1565</v>
      </c>
      <c r="B1331" s="8"/>
      <c r="C1331" s="10">
        <v>1</v>
      </c>
      <c r="D1331" s="10"/>
      <c r="E1331" s="10"/>
      <c r="F1331" s="30"/>
      <c r="G1331" s="9">
        <f t="shared" si="339"/>
        <v>1</v>
      </c>
      <c r="H1331" s="58">
        <v>45016</v>
      </c>
      <c r="I1331" s="16"/>
      <c r="J1331" s="8"/>
      <c r="K1331" s="10"/>
      <c r="L1331" s="10"/>
      <c r="M1331" s="10"/>
      <c r="N1331" s="30"/>
      <c r="O1331" s="7">
        <f t="shared" si="341"/>
        <v>0</v>
      </c>
    </row>
    <row r="1332" spans="1:16" x14ac:dyDescent="0.15">
      <c r="A1332" s="14" t="s">
        <v>1566</v>
      </c>
      <c r="B1332" s="8">
        <v>2</v>
      </c>
      <c r="C1332" s="10">
        <v>2</v>
      </c>
      <c r="D1332" s="10"/>
      <c r="E1332" s="10">
        <v>2</v>
      </c>
      <c r="F1332" s="30"/>
      <c r="G1332" s="9">
        <f t="shared" si="339"/>
        <v>6</v>
      </c>
      <c r="H1332" s="58">
        <v>45019</v>
      </c>
      <c r="I1332" s="16"/>
      <c r="J1332" s="8"/>
      <c r="K1332" s="10"/>
      <c r="L1332" s="10"/>
      <c r="M1332" s="10"/>
      <c r="N1332" s="30"/>
      <c r="O1332" s="7">
        <f t="shared" si="341"/>
        <v>0</v>
      </c>
    </row>
    <row r="1333" spans="1:16" x14ac:dyDescent="0.15">
      <c r="A1333" s="16" t="s">
        <v>1567</v>
      </c>
      <c r="B1333" s="8"/>
      <c r="C1333" s="10">
        <v>1</v>
      </c>
      <c r="D1333" s="10"/>
      <c r="E1333" s="10"/>
      <c r="F1333" s="30"/>
      <c r="G1333" s="9">
        <f t="shared" si="339"/>
        <v>1</v>
      </c>
      <c r="H1333" s="58">
        <v>45016</v>
      </c>
      <c r="I1333" s="16"/>
      <c r="J1333" s="11"/>
      <c r="K1333" s="12"/>
      <c r="L1333" s="12"/>
      <c r="M1333" s="12"/>
      <c r="N1333" s="31"/>
      <c r="O1333" s="7">
        <f t="shared" si="341"/>
        <v>0</v>
      </c>
    </row>
    <row r="1334" spans="1:16" x14ac:dyDescent="0.15">
      <c r="A1334" s="14" t="s">
        <v>1569</v>
      </c>
      <c r="B1334" s="8">
        <v>1</v>
      </c>
      <c r="C1334" s="10"/>
      <c r="D1334" s="10">
        <v>2</v>
      </c>
      <c r="E1334" s="10"/>
      <c r="F1334" s="30"/>
      <c r="G1334" s="9">
        <f t="shared" si="339"/>
        <v>3</v>
      </c>
      <c r="H1334" s="58">
        <v>45020</v>
      </c>
      <c r="I1334" s="16"/>
      <c r="J1334" s="11"/>
      <c r="K1334" s="12"/>
      <c r="L1334" s="12"/>
      <c r="M1334" s="12"/>
      <c r="N1334" s="31"/>
      <c r="O1334" s="7">
        <f t="shared" si="341"/>
        <v>0</v>
      </c>
    </row>
    <row r="1335" spans="1:16" x14ac:dyDescent="0.15">
      <c r="A1335" s="14" t="s">
        <v>1570</v>
      </c>
      <c r="B1335" s="8"/>
      <c r="C1335" s="10"/>
      <c r="D1335" s="10">
        <v>2</v>
      </c>
      <c r="E1335" s="10"/>
      <c r="F1335" s="30"/>
      <c r="G1335" s="9">
        <f t="shared" si="339"/>
        <v>2</v>
      </c>
      <c r="H1335" s="58">
        <v>45021</v>
      </c>
      <c r="I1335" s="16"/>
      <c r="J1335" s="11"/>
      <c r="K1335" s="12"/>
      <c r="L1335" s="12"/>
      <c r="M1335" s="12"/>
      <c r="N1335" s="31"/>
      <c r="O1335" s="7">
        <f t="shared" si="341"/>
        <v>0</v>
      </c>
    </row>
    <row r="1336" spans="1:16" x14ac:dyDescent="0.15">
      <c r="A1336" s="16" t="s">
        <v>29</v>
      </c>
      <c r="B1336" s="8"/>
      <c r="C1336" s="10">
        <v>1</v>
      </c>
      <c r="D1336" s="10"/>
      <c r="E1336" s="10"/>
      <c r="F1336" s="30"/>
      <c r="G1336" s="9">
        <f t="shared" si="339"/>
        <v>1</v>
      </c>
      <c r="H1336" s="58">
        <v>45023</v>
      </c>
      <c r="I1336" s="16"/>
      <c r="J1336" s="11"/>
      <c r="K1336" s="12"/>
      <c r="L1336" s="12"/>
      <c r="M1336" s="12"/>
      <c r="N1336" s="31"/>
      <c r="O1336" s="7">
        <f t="shared" si="341"/>
        <v>0</v>
      </c>
    </row>
    <row r="1337" spans="1:16" x14ac:dyDescent="0.15">
      <c r="A1337" s="16" t="s">
        <v>29</v>
      </c>
      <c r="B1337" s="8"/>
      <c r="C1337" s="10">
        <v>1</v>
      </c>
      <c r="D1337" s="10"/>
      <c r="E1337" s="10"/>
      <c r="F1337" s="30"/>
      <c r="G1337" s="9">
        <f t="shared" si="339"/>
        <v>1</v>
      </c>
      <c r="H1337" s="58">
        <v>45021</v>
      </c>
      <c r="I1337" s="16"/>
      <c r="J1337" s="8"/>
      <c r="K1337" s="10"/>
      <c r="L1337" s="10"/>
      <c r="M1337" s="10"/>
      <c r="N1337" s="30"/>
      <c r="O1337" s="7">
        <f t="shared" si="341"/>
        <v>0</v>
      </c>
    </row>
    <row r="1338" spans="1:16" x14ac:dyDescent="0.15">
      <c r="A1338" s="16" t="s">
        <v>29</v>
      </c>
      <c r="B1338" s="8"/>
      <c r="C1338" s="10"/>
      <c r="D1338" s="10">
        <v>1</v>
      </c>
      <c r="E1338" s="10"/>
      <c r="F1338" s="30"/>
      <c r="G1338" s="9">
        <f t="shared" si="339"/>
        <v>1</v>
      </c>
      <c r="H1338" s="58">
        <v>45022</v>
      </c>
      <c r="I1338" s="16"/>
      <c r="J1338" s="11"/>
      <c r="K1338" s="12"/>
      <c r="L1338" s="12"/>
      <c r="M1338" s="12"/>
      <c r="N1338" s="31"/>
      <c r="O1338" s="7">
        <f t="shared" si="341"/>
        <v>0</v>
      </c>
    </row>
    <row r="1339" spans="1:16" x14ac:dyDescent="0.15">
      <c r="A1339" s="14" t="s">
        <v>1571</v>
      </c>
      <c r="B1339" s="8">
        <v>3</v>
      </c>
      <c r="C1339" s="10"/>
      <c r="D1339" s="10"/>
      <c r="E1339" s="10"/>
      <c r="F1339" s="30"/>
      <c r="G1339" s="9">
        <f t="shared" si="339"/>
        <v>3</v>
      </c>
      <c r="H1339" s="58">
        <v>45028</v>
      </c>
      <c r="I1339" s="16"/>
      <c r="J1339" s="11"/>
      <c r="K1339" s="12"/>
      <c r="L1339" s="12"/>
      <c r="M1339" s="12"/>
      <c r="N1339" s="31"/>
      <c r="O1339" s="7">
        <f t="shared" si="341"/>
        <v>0</v>
      </c>
      <c r="P1339" s="56"/>
    </row>
    <row r="1340" spans="1:16" x14ac:dyDescent="0.15">
      <c r="A1340" s="14" t="s">
        <v>1572</v>
      </c>
      <c r="B1340" s="8"/>
      <c r="C1340" s="10"/>
      <c r="D1340" s="10"/>
      <c r="E1340" s="10">
        <v>1</v>
      </c>
      <c r="F1340" s="30"/>
      <c r="G1340" s="9">
        <f t="shared" si="339"/>
        <v>1</v>
      </c>
      <c r="H1340" s="58">
        <v>45035</v>
      </c>
      <c r="I1340" s="16"/>
      <c r="J1340" s="11"/>
      <c r="K1340" s="12"/>
      <c r="L1340" s="12"/>
      <c r="M1340" s="12"/>
      <c r="N1340" s="31"/>
      <c r="O1340" s="7">
        <f t="shared" si="341"/>
        <v>0</v>
      </c>
      <c r="P1340" s="56"/>
    </row>
    <row r="1341" spans="1:16" x14ac:dyDescent="0.15">
      <c r="A1341" s="16" t="s">
        <v>117</v>
      </c>
      <c r="B1341" s="8"/>
      <c r="C1341" s="10"/>
      <c r="D1341" s="10"/>
      <c r="E1341" s="10"/>
      <c r="F1341" s="30">
        <v>1</v>
      </c>
      <c r="G1341" s="9">
        <f t="shared" si="339"/>
        <v>1</v>
      </c>
      <c r="H1341" s="58">
        <v>45038</v>
      </c>
      <c r="I1341" s="14"/>
      <c r="J1341" s="11"/>
      <c r="K1341" s="12"/>
      <c r="L1341" s="12"/>
      <c r="M1341" s="12"/>
      <c r="N1341" s="31"/>
      <c r="O1341" s="7">
        <f t="shared" si="341"/>
        <v>0</v>
      </c>
      <c r="P1341" s="56"/>
    </row>
    <row r="1342" spans="1:16" ht="14.25" thickBot="1" x14ac:dyDescent="0.2">
      <c r="A1342" s="16" t="s">
        <v>117</v>
      </c>
      <c r="B1342" s="37"/>
      <c r="C1342" s="35"/>
      <c r="D1342" s="35"/>
      <c r="E1342" s="35"/>
      <c r="F1342" s="28">
        <v>1</v>
      </c>
      <c r="G1342" s="7">
        <f t="shared" si="339"/>
        <v>1</v>
      </c>
      <c r="H1342" s="58">
        <v>45048</v>
      </c>
      <c r="I1342" s="14" t="s">
        <v>1556</v>
      </c>
      <c r="J1342" s="11"/>
      <c r="K1342" s="12"/>
      <c r="L1342" s="12"/>
      <c r="M1342" s="12"/>
      <c r="N1342" s="31"/>
      <c r="O1342" s="7">
        <f t="shared" si="341"/>
        <v>0</v>
      </c>
      <c r="P1342" s="56" t="s">
        <v>1557</v>
      </c>
    </row>
    <row r="1343" spans="1:16" ht="14.25" thickBot="1" x14ac:dyDescent="0.2">
      <c r="A1343" s="3" t="s">
        <v>11</v>
      </c>
      <c r="B1343" s="23">
        <f>SUM(B1317:B1342)</f>
        <v>7</v>
      </c>
      <c r="C1343" s="4">
        <f>SUM(C1317:C1342)</f>
        <v>8</v>
      </c>
      <c r="D1343" s="4">
        <f>SUM(D1317:D1342)</f>
        <v>9</v>
      </c>
      <c r="E1343" s="6">
        <f>SUM(E1317:E1342)</f>
        <v>7</v>
      </c>
      <c r="F1343" s="32">
        <f>SUM(F1317:F1342)</f>
        <v>4</v>
      </c>
      <c r="G1343" s="5">
        <f>SUM(B1343:F1343)</f>
        <v>35</v>
      </c>
      <c r="H1343" s="56"/>
      <c r="I1343" s="3" t="s">
        <v>11</v>
      </c>
      <c r="J1343" s="23">
        <f>SUM(J1317:J1342)</f>
        <v>10</v>
      </c>
      <c r="K1343" s="4">
        <f>SUM(K1317:K1342)</f>
        <v>15</v>
      </c>
      <c r="L1343" s="4">
        <f>SUM(L1317:L1342)</f>
        <v>10</v>
      </c>
      <c r="M1343" s="6">
        <f>SUM(M1317:M1342)</f>
        <v>8</v>
      </c>
      <c r="N1343" s="32">
        <f>SUM(N1317:N1342)</f>
        <v>0</v>
      </c>
      <c r="O1343" s="5">
        <f>SUM(J1343:N1343)</f>
        <v>43</v>
      </c>
    </row>
    <row r="1344" spans="1:16" ht="14.25" thickBot="1" x14ac:dyDescent="0.2">
      <c r="A1344" s="25" t="s">
        <v>12</v>
      </c>
      <c r="B1344" s="63">
        <f>B1316-B1343</f>
        <v>8</v>
      </c>
      <c r="C1344" s="26">
        <f t="shared" ref="C1344:G1344" si="346">C1316-C1343</f>
        <v>7</v>
      </c>
      <c r="D1344" s="71">
        <f t="shared" si="346"/>
        <v>11</v>
      </c>
      <c r="E1344" s="26">
        <f t="shared" si="346"/>
        <v>9</v>
      </c>
      <c r="F1344" s="70">
        <f t="shared" si="346"/>
        <v>1</v>
      </c>
      <c r="G1344" s="27">
        <f t="shared" si="346"/>
        <v>36</v>
      </c>
      <c r="H1344" s="56"/>
      <c r="I1344" s="25" t="s">
        <v>12</v>
      </c>
      <c r="J1344" s="63">
        <f>J1316-J1343</f>
        <v>163</v>
      </c>
      <c r="K1344" s="26">
        <f t="shared" ref="K1344:M1344" si="347">K1316-K1343</f>
        <v>97</v>
      </c>
      <c r="L1344" s="71">
        <f t="shared" si="347"/>
        <v>85</v>
      </c>
      <c r="M1344" s="26">
        <f t="shared" si="347"/>
        <v>112</v>
      </c>
      <c r="N1344" s="70">
        <f>N1316-N1343</f>
        <v>114</v>
      </c>
      <c r="O1344" s="27">
        <f t="shared" ref="O1344" si="348">O1316-O1343</f>
        <v>571</v>
      </c>
    </row>
    <row r="1345" spans="1:17" ht="21" x14ac:dyDescent="0.2">
      <c r="A1345" s="83" t="s">
        <v>415</v>
      </c>
      <c r="B1345" s="77"/>
      <c r="C1345" s="77"/>
      <c r="D1345" s="77"/>
      <c r="E1345" s="77"/>
      <c r="F1345" s="77"/>
      <c r="G1345" s="77"/>
      <c r="H1345" s="56"/>
      <c r="I1345" s="83" t="s">
        <v>415</v>
      </c>
      <c r="J1345" s="77"/>
      <c r="K1345" s="77"/>
      <c r="L1345" s="77"/>
      <c r="M1345" s="77"/>
      <c r="N1345" s="77"/>
      <c r="O1345" s="77"/>
    </row>
    <row r="1346" spans="1:17" ht="21.75" thickBot="1" x14ac:dyDescent="0.25">
      <c r="A1346" s="83" t="s">
        <v>47</v>
      </c>
      <c r="B1346" s="77"/>
      <c r="C1346" s="77"/>
      <c r="D1346" s="77"/>
      <c r="E1346" s="84"/>
      <c r="F1346" s="78" t="s">
        <v>53</v>
      </c>
      <c r="G1346" s="77"/>
      <c r="H1346" s="56"/>
      <c r="I1346" s="83" t="s">
        <v>47</v>
      </c>
      <c r="J1346" s="77"/>
      <c r="K1346" s="77"/>
      <c r="L1346" s="77"/>
      <c r="M1346" s="84"/>
      <c r="N1346" s="78" t="s">
        <v>54</v>
      </c>
      <c r="O1346" s="77"/>
    </row>
    <row r="1347" spans="1:17" ht="14.25" thickBot="1" x14ac:dyDescent="0.2">
      <c r="A1347" s="13" t="s">
        <v>0</v>
      </c>
      <c r="B1347" s="228" t="s">
        <v>49</v>
      </c>
      <c r="C1347" s="229"/>
      <c r="D1347" s="229"/>
      <c r="E1347" s="229"/>
      <c r="F1347" s="230"/>
      <c r="G1347" s="231"/>
      <c r="H1347" s="56"/>
      <c r="I1347" s="13" t="s">
        <v>0</v>
      </c>
      <c r="J1347" s="228" t="s">
        <v>49</v>
      </c>
      <c r="K1347" s="229"/>
      <c r="L1347" s="229"/>
      <c r="M1347" s="229"/>
      <c r="N1347" s="230"/>
      <c r="O1347" s="231"/>
    </row>
    <row r="1348" spans="1:17" ht="14.25" thickBot="1" x14ac:dyDescent="0.2">
      <c r="A1348" s="3" t="s">
        <v>1</v>
      </c>
      <c r="B1348" s="2" t="s">
        <v>42</v>
      </c>
      <c r="C1348" s="21" t="s">
        <v>43</v>
      </c>
      <c r="D1348" s="21" t="s">
        <v>44</v>
      </c>
      <c r="E1348" s="24" t="s">
        <v>45</v>
      </c>
      <c r="F1348" s="33" t="s">
        <v>46</v>
      </c>
      <c r="G1348" s="34" t="s">
        <v>2</v>
      </c>
      <c r="H1348" s="56"/>
      <c r="I1348" s="3" t="s">
        <v>1</v>
      </c>
      <c r="J1348" s="2" t="s">
        <v>42</v>
      </c>
      <c r="K1348" s="21" t="s">
        <v>43</v>
      </c>
      <c r="L1348" s="21" t="s">
        <v>44</v>
      </c>
      <c r="M1348" s="24" t="s">
        <v>45</v>
      </c>
      <c r="N1348" s="33" t="s">
        <v>46</v>
      </c>
      <c r="O1348" s="3" t="s">
        <v>2</v>
      </c>
    </row>
    <row r="1349" spans="1:17" ht="14.25" thickBot="1" x14ac:dyDescent="0.2">
      <c r="A1349" s="72" t="s">
        <v>527</v>
      </c>
      <c r="B1349" s="73">
        <f>B1344</f>
        <v>8</v>
      </c>
      <c r="C1349" s="74">
        <f t="shared" ref="C1349:F1349" si="349">C1344</f>
        <v>7</v>
      </c>
      <c r="D1349" s="74">
        <f t="shared" si="349"/>
        <v>11</v>
      </c>
      <c r="E1349" s="74">
        <f t="shared" si="349"/>
        <v>9</v>
      </c>
      <c r="F1349" s="212">
        <f t="shared" si="349"/>
        <v>1</v>
      </c>
      <c r="G1349" s="76">
        <f t="shared" ref="G1349:G1384" si="350">SUM(B1349:F1349)</f>
        <v>36</v>
      </c>
      <c r="H1349" s="56"/>
      <c r="I1349" s="72" t="s">
        <v>12</v>
      </c>
      <c r="J1349" s="73">
        <f>J1344</f>
        <v>163</v>
      </c>
      <c r="K1349" s="74">
        <f t="shared" ref="K1349:N1349" si="351">K1344</f>
        <v>97</v>
      </c>
      <c r="L1349" s="74">
        <f t="shared" si="351"/>
        <v>85</v>
      </c>
      <c r="M1349" s="74">
        <f t="shared" si="351"/>
        <v>112</v>
      </c>
      <c r="N1349" s="131">
        <f t="shared" si="351"/>
        <v>114</v>
      </c>
      <c r="O1349" s="52">
        <f t="shared" ref="O1349:O1383" si="352">SUM(J1349:N1349)</f>
        <v>571</v>
      </c>
    </row>
    <row r="1350" spans="1:17" x14ac:dyDescent="0.15">
      <c r="A1350" s="15" t="s">
        <v>14</v>
      </c>
      <c r="B1350" s="8"/>
      <c r="C1350" s="10"/>
      <c r="D1350" s="10"/>
      <c r="E1350" s="10"/>
      <c r="F1350" s="30">
        <v>5</v>
      </c>
      <c r="G1350" s="7">
        <f t="shared" ref="G1350:G1354" si="353">SUM(B1350:F1350)</f>
        <v>5</v>
      </c>
      <c r="H1350" s="58">
        <v>45054</v>
      </c>
      <c r="I1350" s="38" t="s">
        <v>1348</v>
      </c>
      <c r="J1350" s="37"/>
      <c r="K1350" s="35"/>
      <c r="L1350" s="35"/>
      <c r="M1350" s="35">
        <v>4</v>
      </c>
      <c r="N1350" s="28">
        <v>2</v>
      </c>
      <c r="O1350" s="18">
        <f t="shared" si="352"/>
        <v>6</v>
      </c>
      <c r="P1350" s="57">
        <v>45142</v>
      </c>
    </row>
    <row r="1351" spans="1:17" x14ac:dyDescent="0.15">
      <c r="A1351" s="15" t="s">
        <v>1574</v>
      </c>
      <c r="B1351" s="8"/>
      <c r="C1351" s="10">
        <v>1</v>
      </c>
      <c r="D1351" s="10">
        <v>2</v>
      </c>
      <c r="E1351" s="10"/>
      <c r="F1351" s="30"/>
      <c r="G1351" s="7">
        <f t="shared" si="353"/>
        <v>3</v>
      </c>
      <c r="H1351" s="58">
        <v>45064</v>
      </c>
      <c r="I1351" s="15" t="s">
        <v>4</v>
      </c>
      <c r="J1351" s="8"/>
      <c r="K1351" s="10"/>
      <c r="L1351" s="10"/>
      <c r="M1351" s="10"/>
      <c r="N1351" s="28"/>
      <c r="O1351" s="9">
        <f t="shared" si="352"/>
        <v>0</v>
      </c>
    </row>
    <row r="1352" spans="1:17" x14ac:dyDescent="0.15">
      <c r="A1352" s="15" t="s">
        <v>1574</v>
      </c>
      <c r="B1352" s="8">
        <v>1</v>
      </c>
      <c r="C1352" s="10"/>
      <c r="D1352" s="10"/>
      <c r="E1352" s="10"/>
      <c r="F1352" s="30"/>
      <c r="G1352" s="7">
        <f t="shared" si="353"/>
        <v>1</v>
      </c>
      <c r="H1352" s="58">
        <v>45065</v>
      </c>
      <c r="I1352" s="15" t="s">
        <v>5</v>
      </c>
      <c r="J1352" s="8"/>
      <c r="K1352" s="10"/>
      <c r="L1352" s="10"/>
      <c r="M1352" s="10"/>
      <c r="N1352" s="28"/>
      <c r="O1352" s="9">
        <f t="shared" si="352"/>
        <v>0</v>
      </c>
    </row>
    <row r="1353" spans="1:17" x14ac:dyDescent="0.15">
      <c r="A1353" s="15" t="s">
        <v>1574</v>
      </c>
      <c r="B1353" s="8"/>
      <c r="C1353" s="10"/>
      <c r="D1353" s="10">
        <v>1</v>
      </c>
      <c r="E1353" s="10"/>
      <c r="F1353" s="30"/>
      <c r="G1353" s="7">
        <f t="shared" si="353"/>
        <v>1</v>
      </c>
      <c r="H1353" s="58">
        <v>45096</v>
      </c>
      <c r="I1353" s="15" t="s">
        <v>6</v>
      </c>
      <c r="J1353" s="8"/>
      <c r="K1353" s="10"/>
      <c r="L1353" s="10"/>
      <c r="M1353" s="10"/>
      <c r="N1353" s="28"/>
      <c r="O1353" s="9">
        <f t="shared" si="352"/>
        <v>0</v>
      </c>
    </row>
    <row r="1354" spans="1:17" x14ac:dyDescent="0.15">
      <c r="A1354" s="15" t="s">
        <v>6</v>
      </c>
      <c r="B1354" s="8">
        <v>2</v>
      </c>
      <c r="C1354" s="10">
        <v>2</v>
      </c>
      <c r="D1354" s="10"/>
      <c r="E1354" s="10">
        <v>2</v>
      </c>
      <c r="F1354" s="30">
        <v>2</v>
      </c>
      <c r="G1354" s="7">
        <f t="shared" si="353"/>
        <v>8</v>
      </c>
      <c r="H1354" s="58">
        <v>45148</v>
      </c>
      <c r="I1354" s="15" t="s">
        <v>84</v>
      </c>
      <c r="J1354" s="11"/>
      <c r="K1354" s="12"/>
      <c r="L1354" s="12"/>
      <c r="M1354" s="12"/>
      <c r="N1354" s="31"/>
      <c r="O1354" s="7">
        <f t="shared" si="352"/>
        <v>0</v>
      </c>
    </row>
    <row r="1355" spans="1:17" x14ac:dyDescent="0.15">
      <c r="A1355" s="15" t="s">
        <v>1348</v>
      </c>
      <c r="B1355" s="8">
        <v>1</v>
      </c>
      <c r="C1355" s="10">
        <v>-1</v>
      </c>
      <c r="D1355" s="10"/>
      <c r="E1355" s="10"/>
      <c r="F1355" s="30"/>
      <c r="G1355" s="7">
        <f t="shared" si="350"/>
        <v>0</v>
      </c>
      <c r="H1355" s="58">
        <v>45162</v>
      </c>
      <c r="I1355" s="15" t="s">
        <v>85</v>
      </c>
      <c r="J1355" s="8"/>
      <c r="K1355" s="10"/>
      <c r="L1355" s="10"/>
      <c r="M1355" s="10"/>
      <c r="N1355" s="30"/>
      <c r="O1355" s="7">
        <f t="shared" si="352"/>
        <v>0</v>
      </c>
    </row>
    <row r="1356" spans="1:17" x14ac:dyDescent="0.15">
      <c r="A1356" s="15" t="s">
        <v>85</v>
      </c>
      <c r="B1356" s="8"/>
      <c r="C1356" s="10"/>
      <c r="D1356" s="10"/>
      <c r="E1356" s="10"/>
      <c r="F1356" s="30"/>
      <c r="G1356" s="7">
        <f t="shared" si="350"/>
        <v>0</v>
      </c>
      <c r="H1356" s="58"/>
      <c r="I1356" s="15" t="s">
        <v>86</v>
      </c>
      <c r="J1356" s="8"/>
      <c r="K1356" s="10"/>
      <c r="L1356" s="10"/>
      <c r="M1356" s="10"/>
      <c r="N1356" s="30"/>
      <c r="O1356" s="7">
        <f t="shared" si="352"/>
        <v>0</v>
      </c>
    </row>
    <row r="1357" spans="1:17" ht="14.25" thickBot="1" x14ac:dyDescent="0.2">
      <c r="A1357" s="15" t="s">
        <v>86</v>
      </c>
      <c r="B1357" s="11"/>
      <c r="C1357" s="100"/>
      <c r="D1357" s="100"/>
      <c r="E1357" s="100"/>
      <c r="F1357" s="101"/>
      <c r="G1357" s="102">
        <f t="shared" si="350"/>
        <v>0</v>
      </c>
      <c r="H1357" s="58"/>
      <c r="I1357" s="15" t="s">
        <v>87</v>
      </c>
      <c r="J1357" s="11"/>
      <c r="K1357" s="100"/>
      <c r="L1357" s="100"/>
      <c r="M1357" s="100"/>
      <c r="N1357" s="101"/>
      <c r="O1357" s="102">
        <f t="shared" si="352"/>
        <v>0</v>
      </c>
    </row>
    <row r="1358" spans="1:17" ht="14.25" thickBot="1" x14ac:dyDescent="0.2">
      <c r="A1358" s="72" t="s">
        <v>7</v>
      </c>
      <c r="B1358" s="73">
        <f>SUM(B1349:B1357)</f>
        <v>12</v>
      </c>
      <c r="C1358" s="74">
        <f t="shared" ref="C1358:F1358" si="354">SUM(C1349:C1357)</f>
        <v>9</v>
      </c>
      <c r="D1358" s="74">
        <f t="shared" si="354"/>
        <v>14</v>
      </c>
      <c r="E1358" s="74">
        <f t="shared" si="354"/>
        <v>11</v>
      </c>
      <c r="F1358" s="105">
        <f t="shared" si="354"/>
        <v>8</v>
      </c>
      <c r="G1358" s="76">
        <f t="shared" si="350"/>
        <v>54</v>
      </c>
      <c r="H1358" s="56"/>
      <c r="I1358" s="72" t="s">
        <v>7</v>
      </c>
      <c r="J1358" s="73">
        <f>SUM(J1349:J1357)</f>
        <v>163</v>
      </c>
      <c r="K1358" s="74">
        <f t="shared" ref="K1358:N1358" si="355">SUM(K1349:K1357)</f>
        <v>97</v>
      </c>
      <c r="L1358" s="74">
        <f t="shared" si="355"/>
        <v>85</v>
      </c>
      <c r="M1358" s="74">
        <f t="shared" si="355"/>
        <v>116</v>
      </c>
      <c r="N1358" s="105">
        <f t="shared" si="355"/>
        <v>116</v>
      </c>
      <c r="O1358" s="76">
        <f t="shared" si="352"/>
        <v>577</v>
      </c>
    </row>
    <row r="1359" spans="1:17" x14ac:dyDescent="0.15">
      <c r="A1359" s="16" t="s">
        <v>29</v>
      </c>
      <c r="B1359" s="8"/>
      <c r="C1359" s="10">
        <v>1</v>
      </c>
      <c r="D1359" s="10"/>
      <c r="E1359" s="10"/>
      <c r="F1359" s="30"/>
      <c r="G1359" s="9">
        <f t="shared" ref="G1359:G1382" si="356">SUM(B1359:F1359)</f>
        <v>1</v>
      </c>
      <c r="H1359" s="58">
        <v>45047</v>
      </c>
      <c r="I1359" s="15" t="s">
        <v>24</v>
      </c>
      <c r="J1359" s="8"/>
      <c r="K1359" s="10"/>
      <c r="L1359" s="10"/>
      <c r="M1359" s="10"/>
      <c r="N1359" s="30">
        <v>5</v>
      </c>
      <c r="O1359" s="7">
        <f t="shared" si="352"/>
        <v>5</v>
      </c>
      <c r="P1359" s="58">
        <v>45054</v>
      </c>
      <c r="Q1359" s="56"/>
    </row>
    <row r="1360" spans="1:17" x14ac:dyDescent="0.15">
      <c r="A1360" s="16" t="s">
        <v>1573</v>
      </c>
      <c r="B1360" s="8"/>
      <c r="C1360" s="10"/>
      <c r="D1360" s="10"/>
      <c r="E1360" s="10">
        <v>1</v>
      </c>
      <c r="F1360" s="30"/>
      <c r="G1360" s="9">
        <f t="shared" si="356"/>
        <v>1</v>
      </c>
      <c r="H1360" s="58">
        <v>45047</v>
      </c>
      <c r="I1360" s="15" t="s">
        <v>24</v>
      </c>
      <c r="J1360" s="8">
        <v>2</v>
      </c>
      <c r="K1360" s="10">
        <v>2</v>
      </c>
      <c r="L1360" s="10"/>
      <c r="M1360" s="10">
        <v>2</v>
      </c>
      <c r="N1360" s="30">
        <v>2</v>
      </c>
      <c r="O1360" s="7">
        <f t="shared" si="352"/>
        <v>8</v>
      </c>
      <c r="P1360" s="58">
        <v>45148</v>
      </c>
    </row>
    <row r="1361" spans="1:15" x14ac:dyDescent="0.15">
      <c r="A1361" s="16" t="s">
        <v>29</v>
      </c>
      <c r="B1361" s="8"/>
      <c r="C1361" s="10"/>
      <c r="D1361" s="10"/>
      <c r="E1361" s="10">
        <v>1</v>
      </c>
      <c r="F1361" s="30"/>
      <c r="G1361" s="9">
        <f t="shared" si="356"/>
        <v>1</v>
      </c>
      <c r="H1361" s="58">
        <v>45054</v>
      </c>
      <c r="I1361" s="15"/>
      <c r="J1361" s="8"/>
      <c r="K1361" s="10"/>
      <c r="L1361" s="10"/>
      <c r="M1361" s="10"/>
      <c r="N1361" s="30"/>
      <c r="O1361" s="7">
        <f t="shared" ref="O1361" si="357">SUM(J1361:N1361)</f>
        <v>0</v>
      </c>
    </row>
    <row r="1362" spans="1:15" x14ac:dyDescent="0.15">
      <c r="A1362" s="16" t="s">
        <v>29</v>
      </c>
      <c r="B1362" s="8"/>
      <c r="C1362" s="10"/>
      <c r="D1362" s="10">
        <v>1</v>
      </c>
      <c r="E1362" s="10"/>
      <c r="F1362" s="30"/>
      <c r="G1362" s="9">
        <f t="shared" si="356"/>
        <v>1</v>
      </c>
      <c r="H1362" s="58">
        <v>45064</v>
      </c>
      <c r="I1362" s="15"/>
      <c r="J1362" s="8"/>
      <c r="K1362" s="10"/>
      <c r="L1362" s="10"/>
      <c r="M1362" s="10"/>
      <c r="N1362" s="30"/>
      <c r="O1362" s="7">
        <f t="shared" si="352"/>
        <v>0</v>
      </c>
    </row>
    <row r="1363" spans="1:15" x14ac:dyDescent="0.15">
      <c r="A1363" s="16" t="s">
        <v>29</v>
      </c>
      <c r="B1363" s="8">
        <v>1</v>
      </c>
      <c r="C1363" s="10"/>
      <c r="D1363" s="10"/>
      <c r="E1363" s="10"/>
      <c r="F1363" s="30"/>
      <c r="G1363" s="9">
        <f t="shared" si="356"/>
        <v>1</v>
      </c>
      <c r="H1363" s="58">
        <v>45084</v>
      </c>
      <c r="I1363" s="15"/>
      <c r="J1363" s="8"/>
      <c r="K1363" s="10"/>
      <c r="L1363" s="10"/>
      <c r="M1363" s="10"/>
      <c r="N1363" s="30"/>
      <c r="O1363" s="7">
        <f t="shared" si="352"/>
        <v>0</v>
      </c>
    </row>
    <row r="1364" spans="1:15" x14ac:dyDescent="0.15">
      <c r="A1364" s="16" t="s">
        <v>29</v>
      </c>
      <c r="B1364" s="8"/>
      <c r="C1364" s="10">
        <v>1</v>
      </c>
      <c r="D1364" s="10">
        <v>1</v>
      </c>
      <c r="E1364" s="10"/>
      <c r="F1364" s="30"/>
      <c r="G1364" s="9">
        <f t="shared" si="356"/>
        <v>2</v>
      </c>
      <c r="H1364" s="58">
        <v>45089</v>
      </c>
      <c r="I1364" s="15"/>
      <c r="J1364" s="8"/>
      <c r="K1364" s="10"/>
      <c r="L1364" s="10"/>
      <c r="M1364" s="10"/>
      <c r="N1364" s="30"/>
      <c r="O1364" s="7">
        <f t="shared" si="352"/>
        <v>0</v>
      </c>
    </row>
    <row r="1365" spans="1:15" x14ac:dyDescent="0.15">
      <c r="A1365" s="16" t="s">
        <v>29</v>
      </c>
      <c r="B1365" s="8"/>
      <c r="C1365" s="10"/>
      <c r="D1365" s="10"/>
      <c r="E1365" s="10"/>
      <c r="F1365" s="30">
        <v>2</v>
      </c>
      <c r="G1365" s="9">
        <f t="shared" si="356"/>
        <v>2</v>
      </c>
      <c r="H1365" s="58">
        <v>45093</v>
      </c>
      <c r="I1365" s="15"/>
      <c r="J1365" s="8"/>
      <c r="K1365" s="10"/>
      <c r="L1365" s="10"/>
      <c r="M1365" s="10"/>
      <c r="N1365" s="30"/>
      <c r="O1365" s="7">
        <f t="shared" si="352"/>
        <v>0</v>
      </c>
    </row>
    <row r="1366" spans="1:15" x14ac:dyDescent="0.15">
      <c r="A1366" s="16" t="s">
        <v>29</v>
      </c>
      <c r="B1366" s="8"/>
      <c r="C1366" s="10"/>
      <c r="D1366" s="10">
        <v>1</v>
      </c>
      <c r="E1366" s="10"/>
      <c r="F1366" s="30"/>
      <c r="G1366" s="9">
        <f t="shared" si="356"/>
        <v>1</v>
      </c>
      <c r="H1366" s="58">
        <v>45103</v>
      </c>
      <c r="I1366" s="14"/>
      <c r="J1366" s="8"/>
      <c r="K1366" s="10"/>
      <c r="L1366" s="10"/>
      <c r="M1366" s="10"/>
      <c r="N1366" s="28"/>
      <c r="O1366" s="9">
        <f t="shared" si="352"/>
        <v>0</v>
      </c>
    </row>
    <row r="1367" spans="1:15" x14ac:dyDescent="0.15">
      <c r="A1367" s="16" t="s">
        <v>29</v>
      </c>
      <c r="B1367" s="8"/>
      <c r="C1367" s="10">
        <v>1</v>
      </c>
      <c r="D1367" s="10"/>
      <c r="E1367" s="10"/>
      <c r="F1367" s="30"/>
      <c r="G1367" s="9">
        <f t="shared" si="356"/>
        <v>1</v>
      </c>
      <c r="H1367" s="58">
        <v>45104</v>
      </c>
      <c r="I1367" s="14"/>
      <c r="J1367" s="8"/>
      <c r="K1367" s="10"/>
      <c r="L1367" s="10"/>
      <c r="M1367" s="10"/>
      <c r="N1367" s="30"/>
      <c r="O1367" s="9">
        <f t="shared" si="352"/>
        <v>0</v>
      </c>
    </row>
    <row r="1368" spans="1:15" x14ac:dyDescent="0.15">
      <c r="A1368" s="16" t="s">
        <v>117</v>
      </c>
      <c r="B1368" s="8"/>
      <c r="C1368" s="10"/>
      <c r="D1368" s="10">
        <v>1</v>
      </c>
      <c r="E1368" s="10"/>
      <c r="F1368" s="30"/>
      <c r="G1368" s="9">
        <f t="shared" si="356"/>
        <v>1</v>
      </c>
      <c r="H1368" s="58">
        <v>45111</v>
      </c>
      <c r="I1368" s="14"/>
      <c r="J1368" s="37"/>
      <c r="K1368" s="35"/>
      <c r="L1368" s="35"/>
      <c r="M1368" s="35"/>
      <c r="N1368" s="28"/>
      <c r="O1368" s="7">
        <f t="shared" si="352"/>
        <v>0</v>
      </c>
    </row>
    <row r="1369" spans="1:15" x14ac:dyDescent="0.15">
      <c r="A1369" s="16" t="s">
        <v>29</v>
      </c>
      <c r="B1369" s="8">
        <v>1</v>
      </c>
      <c r="C1369" s="10"/>
      <c r="D1369" s="10"/>
      <c r="E1369" s="10"/>
      <c r="F1369" s="30"/>
      <c r="G1369" s="9">
        <f t="shared" si="356"/>
        <v>1</v>
      </c>
      <c r="H1369" s="58">
        <v>45110</v>
      </c>
      <c r="I1369" s="15"/>
      <c r="J1369" s="8"/>
      <c r="K1369" s="10"/>
      <c r="L1369" s="10"/>
      <c r="M1369" s="10"/>
      <c r="N1369" s="28"/>
      <c r="O1369" s="9">
        <f t="shared" si="352"/>
        <v>0</v>
      </c>
    </row>
    <row r="1370" spans="1:15" x14ac:dyDescent="0.15">
      <c r="A1370" s="16" t="s">
        <v>29</v>
      </c>
      <c r="B1370" s="8"/>
      <c r="C1370" s="10"/>
      <c r="D1370" s="10"/>
      <c r="E1370" s="10">
        <v>1</v>
      </c>
      <c r="F1370" s="30"/>
      <c r="G1370" s="9">
        <f t="shared" si="356"/>
        <v>1</v>
      </c>
      <c r="H1370" s="58">
        <v>45113</v>
      </c>
      <c r="I1370" s="14"/>
      <c r="J1370" s="8"/>
      <c r="K1370" s="10"/>
      <c r="L1370" s="10"/>
      <c r="M1370" s="10"/>
      <c r="N1370" s="30"/>
      <c r="O1370" s="7">
        <f t="shared" si="352"/>
        <v>0</v>
      </c>
    </row>
    <row r="1371" spans="1:15" x14ac:dyDescent="0.15">
      <c r="A1371" s="16" t="s">
        <v>29</v>
      </c>
      <c r="B1371" s="8"/>
      <c r="C1371" s="10"/>
      <c r="D1371" s="10"/>
      <c r="E1371" s="10">
        <v>1</v>
      </c>
      <c r="F1371" s="30"/>
      <c r="G1371" s="9">
        <f t="shared" si="356"/>
        <v>1</v>
      </c>
      <c r="H1371" s="58">
        <v>45117</v>
      </c>
      <c r="I1371" s="15"/>
      <c r="J1371" s="8"/>
      <c r="K1371" s="10"/>
      <c r="L1371" s="10"/>
      <c r="M1371" s="10"/>
      <c r="N1371" s="30"/>
      <c r="O1371" s="7">
        <f t="shared" si="352"/>
        <v>0</v>
      </c>
    </row>
    <row r="1372" spans="1:15" x14ac:dyDescent="0.15">
      <c r="A1372" s="16" t="s">
        <v>29</v>
      </c>
      <c r="B1372" s="8">
        <v>1</v>
      </c>
      <c r="C1372" s="10"/>
      <c r="D1372" s="10"/>
      <c r="E1372" s="10"/>
      <c r="F1372" s="30"/>
      <c r="G1372" s="9">
        <f t="shared" si="356"/>
        <v>1</v>
      </c>
      <c r="H1372" s="58">
        <v>45118</v>
      </c>
      <c r="I1372" s="16"/>
      <c r="J1372" s="8"/>
      <c r="K1372" s="10"/>
      <c r="L1372" s="10"/>
      <c r="M1372" s="10"/>
      <c r="N1372" s="30"/>
      <c r="O1372" s="7">
        <f t="shared" si="352"/>
        <v>0</v>
      </c>
    </row>
    <row r="1373" spans="1:15" x14ac:dyDescent="0.15">
      <c r="A1373" s="16" t="s">
        <v>29</v>
      </c>
      <c r="B1373" s="8"/>
      <c r="C1373" s="10"/>
      <c r="D1373" s="10"/>
      <c r="E1373" s="10">
        <v>2</v>
      </c>
      <c r="F1373" s="30"/>
      <c r="G1373" s="9">
        <f t="shared" si="356"/>
        <v>2</v>
      </c>
      <c r="H1373" s="58">
        <v>45119</v>
      </c>
      <c r="I1373" s="16"/>
      <c r="J1373" s="8"/>
      <c r="K1373" s="10"/>
      <c r="L1373" s="10"/>
      <c r="M1373" s="10"/>
      <c r="N1373" s="30"/>
      <c r="O1373" s="7">
        <f t="shared" si="352"/>
        <v>0</v>
      </c>
    </row>
    <row r="1374" spans="1:15" x14ac:dyDescent="0.15">
      <c r="A1374" s="16" t="s">
        <v>29</v>
      </c>
      <c r="B1374" s="8"/>
      <c r="C1374" s="10"/>
      <c r="D1374" s="10"/>
      <c r="E1374" s="10">
        <v>-1</v>
      </c>
      <c r="F1374" s="30">
        <v>1</v>
      </c>
      <c r="G1374" s="9">
        <f t="shared" si="356"/>
        <v>0</v>
      </c>
      <c r="H1374" s="58">
        <v>45121</v>
      </c>
      <c r="I1374" s="16"/>
      <c r="J1374" s="8"/>
      <c r="K1374" s="10"/>
      <c r="L1374" s="10"/>
      <c r="M1374" s="10"/>
      <c r="N1374" s="30"/>
      <c r="O1374" s="7">
        <f t="shared" si="352"/>
        <v>0</v>
      </c>
    </row>
    <row r="1375" spans="1:15" x14ac:dyDescent="0.15">
      <c r="A1375" s="16" t="s">
        <v>117</v>
      </c>
      <c r="B1375" s="8">
        <v>1</v>
      </c>
      <c r="C1375" s="10"/>
      <c r="D1375" s="10"/>
      <c r="E1375" s="10"/>
      <c r="F1375" s="30"/>
      <c r="G1375" s="9">
        <f t="shared" si="356"/>
        <v>1</v>
      </c>
      <c r="H1375" s="58">
        <v>45126</v>
      </c>
      <c r="I1375" s="16"/>
      <c r="J1375" s="11"/>
      <c r="K1375" s="12"/>
      <c r="L1375" s="12"/>
      <c r="M1375" s="12"/>
      <c r="N1375" s="31"/>
      <c r="O1375" s="7">
        <f t="shared" si="352"/>
        <v>0</v>
      </c>
    </row>
    <row r="1376" spans="1:15" x14ac:dyDescent="0.15">
      <c r="A1376" s="16" t="s">
        <v>29</v>
      </c>
      <c r="B1376" s="8"/>
      <c r="C1376" s="10">
        <v>1</v>
      </c>
      <c r="D1376" s="10"/>
      <c r="E1376" s="10"/>
      <c r="F1376" s="30"/>
      <c r="G1376" s="9">
        <f t="shared" si="356"/>
        <v>1</v>
      </c>
      <c r="H1376" s="58">
        <v>45140</v>
      </c>
      <c r="I1376" s="16"/>
      <c r="J1376" s="11"/>
      <c r="K1376" s="12"/>
      <c r="L1376" s="12"/>
      <c r="M1376" s="12"/>
      <c r="N1376" s="31"/>
      <c r="O1376" s="7">
        <f t="shared" si="352"/>
        <v>0</v>
      </c>
    </row>
    <row r="1377" spans="1:15" x14ac:dyDescent="0.15">
      <c r="A1377" s="16" t="s">
        <v>29</v>
      </c>
      <c r="B1377" s="8"/>
      <c r="C1377" s="10"/>
      <c r="D1377" s="10"/>
      <c r="E1377" s="10">
        <v>1</v>
      </c>
      <c r="F1377" s="30"/>
      <c r="G1377" s="9">
        <f t="shared" si="356"/>
        <v>1</v>
      </c>
      <c r="H1377" s="58">
        <v>45142</v>
      </c>
      <c r="I1377" s="16"/>
      <c r="J1377" s="11"/>
      <c r="K1377" s="12"/>
      <c r="L1377" s="12"/>
      <c r="M1377" s="12"/>
      <c r="N1377" s="31"/>
      <c r="O1377" s="7">
        <f t="shared" si="352"/>
        <v>0</v>
      </c>
    </row>
    <row r="1378" spans="1:15" x14ac:dyDescent="0.15">
      <c r="A1378" s="16" t="s">
        <v>1577</v>
      </c>
      <c r="B1378" s="8">
        <v>1</v>
      </c>
      <c r="C1378" s="10"/>
      <c r="D1378" s="10"/>
      <c r="E1378" s="10"/>
      <c r="F1378" s="30"/>
      <c r="G1378" s="9">
        <f t="shared" si="356"/>
        <v>1</v>
      </c>
      <c r="H1378" s="58">
        <v>45146</v>
      </c>
      <c r="I1378" s="16"/>
      <c r="J1378" s="11"/>
      <c r="K1378" s="12"/>
      <c r="L1378" s="12"/>
      <c r="M1378" s="12"/>
      <c r="N1378" s="31"/>
      <c r="O1378" s="7">
        <f t="shared" si="352"/>
        <v>0</v>
      </c>
    </row>
    <row r="1379" spans="1:15" x14ac:dyDescent="0.15">
      <c r="A1379" s="16" t="s">
        <v>29</v>
      </c>
      <c r="B1379" s="8"/>
      <c r="C1379" s="10"/>
      <c r="D1379" s="10"/>
      <c r="E1379" s="10">
        <v>1</v>
      </c>
      <c r="F1379" s="30"/>
      <c r="G1379" s="9">
        <f t="shared" si="356"/>
        <v>1</v>
      </c>
      <c r="H1379" s="58">
        <v>45143</v>
      </c>
      <c r="I1379" s="16"/>
      <c r="J1379" s="8"/>
      <c r="K1379" s="10"/>
      <c r="L1379" s="10"/>
      <c r="M1379" s="10"/>
      <c r="N1379" s="30"/>
      <c r="O1379" s="7">
        <f t="shared" si="352"/>
        <v>0</v>
      </c>
    </row>
    <row r="1380" spans="1:15" x14ac:dyDescent="0.15">
      <c r="A1380" s="16" t="s">
        <v>29</v>
      </c>
      <c r="B1380" s="8">
        <v>1</v>
      </c>
      <c r="C1380" s="10"/>
      <c r="D1380" s="10"/>
      <c r="E1380" s="10"/>
      <c r="F1380" s="30"/>
      <c r="G1380" s="9">
        <f t="shared" si="356"/>
        <v>1</v>
      </c>
      <c r="H1380" s="58">
        <v>45145</v>
      </c>
      <c r="I1380" s="16"/>
      <c r="J1380" s="11"/>
      <c r="K1380" s="12"/>
      <c r="L1380" s="12"/>
      <c r="M1380" s="12"/>
      <c r="N1380" s="31"/>
      <c r="O1380" s="7">
        <f t="shared" si="352"/>
        <v>0</v>
      </c>
    </row>
    <row r="1381" spans="1:15" x14ac:dyDescent="0.15">
      <c r="A1381" s="16" t="s">
        <v>29</v>
      </c>
      <c r="B1381" s="8"/>
      <c r="C1381" s="10"/>
      <c r="D1381" s="10">
        <v>1</v>
      </c>
      <c r="E1381" s="10"/>
      <c r="F1381" s="30"/>
      <c r="G1381" s="9">
        <f t="shared" si="356"/>
        <v>1</v>
      </c>
      <c r="H1381" s="58">
        <v>45146</v>
      </c>
      <c r="I1381" s="16"/>
      <c r="J1381" s="11"/>
      <c r="K1381" s="12"/>
      <c r="L1381" s="12"/>
      <c r="M1381" s="12"/>
      <c r="N1381" s="31"/>
      <c r="O1381" s="7">
        <f t="shared" si="352"/>
        <v>0</v>
      </c>
    </row>
    <row r="1382" spans="1:15" x14ac:dyDescent="0.15">
      <c r="A1382" s="16" t="s">
        <v>29</v>
      </c>
      <c r="B1382" s="8"/>
      <c r="C1382" s="10">
        <v>1</v>
      </c>
      <c r="D1382" s="10">
        <v>1</v>
      </c>
      <c r="E1382" s="10"/>
      <c r="F1382" s="30"/>
      <c r="G1382" s="9">
        <f t="shared" si="356"/>
        <v>2</v>
      </c>
      <c r="H1382" s="58">
        <v>45148</v>
      </c>
      <c r="I1382" s="16"/>
      <c r="J1382" s="11"/>
      <c r="K1382" s="12"/>
      <c r="L1382" s="12"/>
      <c r="M1382" s="12"/>
      <c r="N1382" s="31"/>
      <c r="O1382" s="7">
        <f t="shared" si="352"/>
        <v>0</v>
      </c>
    </row>
    <row r="1383" spans="1:15" x14ac:dyDescent="0.15">
      <c r="A1383" s="16" t="s">
        <v>29</v>
      </c>
      <c r="B1383" s="8"/>
      <c r="C1383" s="10">
        <v>1</v>
      </c>
      <c r="D1383" s="10"/>
      <c r="E1383" s="10"/>
      <c r="F1383" s="30"/>
      <c r="G1383" s="9">
        <f t="shared" si="350"/>
        <v>1</v>
      </c>
      <c r="H1383" s="58">
        <v>45162</v>
      </c>
      <c r="I1383" s="14"/>
      <c r="J1383" s="11"/>
      <c r="K1383" s="12"/>
      <c r="L1383" s="12"/>
      <c r="M1383" s="12"/>
      <c r="N1383" s="31"/>
      <c r="O1383" s="7">
        <f t="shared" si="352"/>
        <v>0</v>
      </c>
    </row>
    <row r="1384" spans="1:15" ht="14.25" thickBot="1" x14ac:dyDescent="0.2">
      <c r="A1384" s="16" t="s">
        <v>29</v>
      </c>
      <c r="B1384" s="37"/>
      <c r="C1384" s="35"/>
      <c r="D1384" s="35"/>
      <c r="E1384" s="35">
        <v>1</v>
      </c>
      <c r="F1384" s="28"/>
      <c r="G1384" s="7">
        <f t="shared" si="350"/>
        <v>1</v>
      </c>
      <c r="H1384" s="58">
        <v>45166</v>
      </c>
      <c r="I1384" s="14"/>
      <c r="J1384" s="11"/>
      <c r="K1384" s="12"/>
      <c r="L1384" s="12"/>
      <c r="M1384" s="12"/>
      <c r="N1384" s="31"/>
      <c r="O1384" s="7">
        <f t="shared" ref="O1384" si="358">SUM(J1384:N1384)</f>
        <v>0</v>
      </c>
    </row>
    <row r="1385" spans="1:15" ht="14.25" thickBot="1" x14ac:dyDescent="0.2">
      <c r="A1385" s="3" t="s">
        <v>11</v>
      </c>
      <c r="B1385" s="23">
        <f>SUM(B1359:B1384)</f>
        <v>6</v>
      </c>
      <c r="C1385" s="4">
        <f>SUM(C1359:C1384)</f>
        <v>6</v>
      </c>
      <c r="D1385" s="4">
        <f>SUM(D1359:D1384)</f>
        <v>6</v>
      </c>
      <c r="E1385" s="6">
        <f>SUM(E1359:E1384)</f>
        <v>8</v>
      </c>
      <c r="F1385" s="32">
        <f>SUM(F1359:F1384)</f>
        <v>3</v>
      </c>
      <c r="G1385" s="5">
        <f>SUM(B1385:F1385)</f>
        <v>29</v>
      </c>
      <c r="H1385" s="56"/>
      <c r="I1385" s="3" t="s">
        <v>11</v>
      </c>
      <c r="J1385" s="23">
        <f>SUM(J1359:J1384)</f>
        <v>2</v>
      </c>
      <c r="K1385" s="4">
        <f>SUM(K1359:K1384)</f>
        <v>2</v>
      </c>
      <c r="L1385" s="4">
        <f>SUM(L1359:L1384)</f>
        <v>0</v>
      </c>
      <c r="M1385" s="6">
        <f>SUM(M1359:M1384)</f>
        <v>2</v>
      </c>
      <c r="N1385" s="32">
        <f>SUM(N1359:N1384)</f>
        <v>7</v>
      </c>
      <c r="O1385" s="5">
        <f>SUM(J1385:N1385)</f>
        <v>13</v>
      </c>
    </row>
    <row r="1386" spans="1:15" ht="14.25" thickBot="1" x14ac:dyDescent="0.2">
      <c r="A1386" s="25" t="s">
        <v>12</v>
      </c>
      <c r="B1386" s="63">
        <f>B1358-B1385</f>
        <v>6</v>
      </c>
      <c r="C1386" s="26">
        <f t="shared" ref="C1386:G1386" si="359">C1358-C1385</f>
        <v>3</v>
      </c>
      <c r="D1386" s="71">
        <f t="shared" si="359"/>
        <v>8</v>
      </c>
      <c r="E1386" s="26">
        <f t="shared" si="359"/>
        <v>3</v>
      </c>
      <c r="F1386" s="70">
        <f t="shared" si="359"/>
        <v>5</v>
      </c>
      <c r="G1386" s="27">
        <f t="shared" si="359"/>
        <v>25</v>
      </c>
      <c r="H1386" s="56"/>
      <c r="I1386" s="25" t="s">
        <v>12</v>
      </c>
      <c r="J1386" s="63">
        <f>J1358-J1385</f>
        <v>161</v>
      </c>
      <c r="K1386" s="26">
        <f t="shared" ref="K1386:M1386" si="360">K1358-K1385</f>
        <v>95</v>
      </c>
      <c r="L1386" s="71">
        <f t="shared" si="360"/>
        <v>85</v>
      </c>
      <c r="M1386" s="26">
        <f t="shared" si="360"/>
        <v>114</v>
      </c>
      <c r="N1386" s="70">
        <f>N1358-N1385</f>
        <v>109</v>
      </c>
      <c r="O1386" s="27">
        <f t="shared" ref="O1386" si="361">O1358-O1385</f>
        <v>564</v>
      </c>
    </row>
    <row r="1387" spans="1:15" ht="21" x14ac:dyDescent="0.2">
      <c r="A1387" s="83" t="s">
        <v>415</v>
      </c>
      <c r="B1387" s="77"/>
      <c r="C1387" s="77"/>
      <c r="D1387" s="77"/>
      <c r="E1387" s="77"/>
      <c r="F1387" s="77"/>
      <c r="G1387" s="77"/>
      <c r="H1387" s="56"/>
      <c r="I1387" s="83" t="s">
        <v>415</v>
      </c>
      <c r="J1387" s="77"/>
      <c r="K1387" s="77"/>
      <c r="L1387" s="77"/>
      <c r="M1387" s="77"/>
      <c r="N1387" s="77"/>
      <c r="O1387" s="77"/>
    </row>
    <row r="1388" spans="1:15" ht="21.75" thickBot="1" x14ac:dyDescent="0.25">
      <c r="A1388" s="83" t="s">
        <v>47</v>
      </c>
      <c r="B1388" s="77"/>
      <c r="C1388" s="77"/>
      <c r="D1388" s="77"/>
      <c r="E1388" s="84"/>
      <c r="F1388" s="78" t="s">
        <v>53</v>
      </c>
      <c r="G1388" s="77"/>
      <c r="H1388" s="56"/>
      <c r="I1388" s="83" t="s">
        <v>47</v>
      </c>
      <c r="J1388" s="77"/>
      <c r="K1388" s="77"/>
      <c r="L1388" s="77"/>
      <c r="M1388" s="84"/>
      <c r="N1388" s="78" t="s">
        <v>54</v>
      </c>
      <c r="O1388" s="77"/>
    </row>
    <row r="1389" spans="1:15" ht="14.25" thickBot="1" x14ac:dyDescent="0.2">
      <c r="A1389" s="13" t="s">
        <v>0</v>
      </c>
      <c r="B1389" s="228" t="s">
        <v>49</v>
      </c>
      <c r="C1389" s="229"/>
      <c r="D1389" s="229"/>
      <c r="E1389" s="229"/>
      <c r="F1389" s="230"/>
      <c r="G1389" s="231"/>
      <c r="H1389" s="56"/>
      <c r="I1389" s="13" t="s">
        <v>0</v>
      </c>
      <c r="J1389" s="228" t="s">
        <v>49</v>
      </c>
      <c r="K1389" s="229"/>
      <c r="L1389" s="229"/>
      <c r="M1389" s="229"/>
      <c r="N1389" s="230"/>
      <c r="O1389" s="231"/>
    </row>
    <row r="1390" spans="1:15" ht="14.25" thickBot="1" x14ac:dyDescent="0.2">
      <c r="A1390" s="3" t="s">
        <v>1</v>
      </c>
      <c r="B1390" s="2" t="s">
        <v>42</v>
      </c>
      <c r="C1390" s="21" t="s">
        <v>43</v>
      </c>
      <c r="D1390" s="21" t="s">
        <v>44</v>
      </c>
      <c r="E1390" s="24" t="s">
        <v>45</v>
      </c>
      <c r="F1390" s="33" t="s">
        <v>46</v>
      </c>
      <c r="G1390" s="34" t="s">
        <v>2</v>
      </c>
      <c r="H1390" s="56"/>
      <c r="I1390" s="3" t="s">
        <v>1</v>
      </c>
      <c r="J1390" s="2" t="s">
        <v>42</v>
      </c>
      <c r="K1390" s="21" t="s">
        <v>43</v>
      </c>
      <c r="L1390" s="21" t="s">
        <v>44</v>
      </c>
      <c r="M1390" s="24" t="s">
        <v>45</v>
      </c>
      <c r="N1390" s="33" t="s">
        <v>46</v>
      </c>
      <c r="O1390" s="3" t="s">
        <v>2</v>
      </c>
    </row>
    <row r="1391" spans="1:15" ht="14.25" thickBot="1" x14ac:dyDescent="0.2">
      <c r="A1391" s="72" t="s">
        <v>527</v>
      </c>
      <c r="B1391" s="73">
        <f>B1386</f>
        <v>6</v>
      </c>
      <c r="C1391" s="74">
        <f t="shared" ref="C1391:F1391" si="362">C1386</f>
        <v>3</v>
      </c>
      <c r="D1391" s="74">
        <f t="shared" si="362"/>
        <v>8</v>
      </c>
      <c r="E1391" s="74">
        <f t="shared" si="362"/>
        <v>3</v>
      </c>
      <c r="F1391" s="212">
        <f t="shared" si="362"/>
        <v>5</v>
      </c>
      <c r="G1391" s="76">
        <f t="shared" ref="G1391:G1400" si="363">SUM(B1391:F1391)</f>
        <v>25</v>
      </c>
      <c r="H1391" s="56"/>
      <c r="I1391" s="72" t="s">
        <v>12</v>
      </c>
      <c r="J1391" s="73">
        <f>J1386</f>
        <v>161</v>
      </c>
      <c r="K1391" s="74">
        <f t="shared" ref="K1391:N1391" si="364">K1386</f>
        <v>95</v>
      </c>
      <c r="L1391" s="74">
        <f t="shared" si="364"/>
        <v>85</v>
      </c>
      <c r="M1391" s="74">
        <f t="shared" si="364"/>
        <v>114</v>
      </c>
      <c r="N1391" s="131">
        <f t="shared" si="364"/>
        <v>109</v>
      </c>
      <c r="O1391" s="52">
        <f t="shared" ref="O1391:O1404" si="365">SUM(J1391:N1391)</f>
        <v>564</v>
      </c>
    </row>
    <row r="1392" spans="1:15" x14ac:dyDescent="0.15">
      <c r="A1392" s="15" t="s">
        <v>14</v>
      </c>
      <c r="B1392" s="8"/>
      <c r="C1392" s="10">
        <v>3</v>
      </c>
      <c r="D1392" s="10"/>
      <c r="E1392" s="10">
        <v>3</v>
      </c>
      <c r="F1392" s="30"/>
      <c r="G1392" s="7">
        <f t="shared" ref="G1392:G1397" si="366">SUM(B1392:F1392)</f>
        <v>6</v>
      </c>
      <c r="H1392" s="58">
        <v>45180</v>
      </c>
      <c r="I1392" s="15" t="s">
        <v>3</v>
      </c>
      <c r="J1392" s="8"/>
      <c r="K1392" s="10"/>
      <c r="L1392" s="10"/>
      <c r="M1392" s="10"/>
      <c r="N1392" s="30"/>
      <c r="O1392" s="7">
        <f t="shared" ref="O1392:O1397" si="367">SUM(J1392:N1392)</f>
        <v>0</v>
      </c>
    </row>
    <row r="1393" spans="1:18" x14ac:dyDescent="0.15">
      <c r="A1393" s="15" t="s">
        <v>3</v>
      </c>
      <c r="B1393" s="8"/>
      <c r="C1393" s="10"/>
      <c r="D1393" s="10"/>
      <c r="E1393" s="10">
        <v>5</v>
      </c>
      <c r="F1393" s="30"/>
      <c r="G1393" s="7">
        <f t="shared" si="366"/>
        <v>5</v>
      </c>
      <c r="H1393" s="58">
        <v>45210</v>
      </c>
      <c r="I1393" s="15" t="s">
        <v>4</v>
      </c>
      <c r="J1393" s="8"/>
      <c r="K1393" s="10"/>
      <c r="L1393" s="10"/>
      <c r="M1393" s="10"/>
      <c r="N1393" s="30"/>
      <c r="O1393" s="7">
        <f t="shared" si="367"/>
        <v>0</v>
      </c>
    </row>
    <row r="1394" spans="1:18" x14ac:dyDescent="0.15">
      <c r="A1394" s="15" t="s">
        <v>4</v>
      </c>
      <c r="B1394" s="8">
        <v>3</v>
      </c>
      <c r="C1394" s="10"/>
      <c r="D1394" s="10"/>
      <c r="E1394" s="10"/>
      <c r="F1394" s="30">
        <v>3</v>
      </c>
      <c r="G1394" s="7">
        <f t="shared" si="366"/>
        <v>6</v>
      </c>
      <c r="H1394" s="58">
        <v>45245</v>
      </c>
      <c r="I1394" s="15" t="s">
        <v>5</v>
      </c>
      <c r="J1394" s="8"/>
      <c r="K1394" s="10"/>
      <c r="L1394" s="10"/>
      <c r="M1394" s="10"/>
      <c r="N1394" s="30"/>
      <c r="O1394" s="7">
        <f t="shared" si="367"/>
        <v>0</v>
      </c>
    </row>
    <row r="1395" spans="1:18" x14ac:dyDescent="0.15">
      <c r="A1395" s="15" t="s">
        <v>5</v>
      </c>
      <c r="B1395" s="8"/>
      <c r="C1395" s="10">
        <v>5</v>
      </c>
      <c r="D1395" s="10"/>
      <c r="E1395" s="10"/>
      <c r="F1395" s="30">
        <v>3</v>
      </c>
      <c r="G1395" s="7">
        <f t="shared" si="366"/>
        <v>8</v>
      </c>
      <c r="H1395" s="58">
        <v>45276</v>
      </c>
      <c r="I1395" s="15" t="s">
        <v>6</v>
      </c>
      <c r="J1395" s="8"/>
      <c r="K1395" s="10"/>
      <c r="L1395" s="10"/>
      <c r="M1395" s="10"/>
      <c r="N1395" s="30"/>
      <c r="O1395" s="7">
        <f t="shared" si="367"/>
        <v>0</v>
      </c>
    </row>
    <row r="1396" spans="1:18" x14ac:dyDescent="0.15">
      <c r="A1396" s="15" t="s">
        <v>6</v>
      </c>
      <c r="B1396" s="8"/>
      <c r="C1396" s="10"/>
      <c r="D1396" s="10"/>
      <c r="E1396" s="10"/>
      <c r="F1396" s="30"/>
      <c r="G1396" s="7">
        <f t="shared" si="366"/>
        <v>0</v>
      </c>
      <c r="H1396" s="58"/>
      <c r="I1396" s="15" t="s">
        <v>84</v>
      </c>
      <c r="J1396" s="8"/>
      <c r="K1396" s="10"/>
      <c r="L1396" s="10"/>
      <c r="M1396" s="10"/>
      <c r="N1396" s="30"/>
      <c r="O1396" s="7">
        <f t="shared" si="367"/>
        <v>0</v>
      </c>
    </row>
    <row r="1397" spans="1:18" x14ac:dyDescent="0.15">
      <c r="A1397" s="15" t="s">
        <v>84</v>
      </c>
      <c r="B1397" s="8"/>
      <c r="C1397" s="10"/>
      <c r="D1397" s="10"/>
      <c r="E1397" s="10"/>
      <c r="F1397" s="30"/>
      <c r="G1397" s="7">
        <f t="shared" si="366"/>
        <v>0</v>
      </c>
      <c r="H1397" s="58"/>
      <c r="I1397" s="15" t="s">
        <v>85</v>
      </c>
      <c r="J1397" s="8"/>
      <c r="K1397" s="10"/>
      <c r="L1397" s="10"/>
      <c r="M1397" s="10"/>
      <c r="N1397" s="30"/>
      <c r="O1397" s="7">
        <f t="shared" si="367"/>
        <v>0</v>
      </c>
    </row>
    <row r="1398" spans="1:18" x14ac:dyDescent="0.15">
      <c r="A1398" s="15" t="s">
        <v>85</v>
      </c>
      <c r="B1398" s="8"/>
      <c r="C1398" s="10"/>
      <c r="D1398" s="10"/>
      <c r="E1398" s="10"/>
      <c r="F1398" s="30"/>
      <c r="G1398" s="7">
        <f t="shared" si="363"/>
        <v>0</v>
      </c>
      <c r="H1398" s="58"/>
      <c r="I1398" s="15" t="s">
        <v>86</v>
      </c>
      <c r="J1398" s="8"/>
      <c r="K1398" s="10"/>
      <c r="L1398" s="10"/>
      <c r="M1398" s="10"/>
      <c r="N1398" s="30"/>
      <c r="O1398" s="7">
        <f t="shared" ref="O1398:O1399" si="368">SUM(J1398:N1398)</f>
        <v>0</v>
      </c>
    </row>
    <row r="1399" spans="1:18" ht="14.25" thickBot="1" x14ac:dyDescent="0.2">
      <c r="A1399" s="15" t="s">
        <v>1348</v>
      </c>
      <c r="B1399" s="11"/>
      <c r="C1399" s="100">
        <v>2</v>
      </c>
      <c r="D1399" s="100">
        <v>-2</v>
      </c>
      <c r="E1399" s="100"/>
      <c r="F1399" s="101"/>
      <c r="G1399" s="102">
        <f t="shared" si="363"/>
        <v>0</v>
      </c>
      <c r="H1399" s="58"/>
      <c r="I1399" s="15" t="s">
        <v>87</v>
      </c>
      <c r="J1399" s="8"/>
      <c r="K1399" s="10"/>
      <c r="L1399" s="10"/>
      <c r="M1399" s="10"/>
      <c r="N1399" s="30"/>
      <c r="O1399" s="7">
        <f t="shared" si="368"/>
        <v>0</v>
      </c>
    </row>
    <row r="1400" spans="1:18" ht="14.25" thickBot="1" x14ac:dyDescent="0.2">
      <c r="A1400" s="72" t="s">
        <v>7</v>
      </c>
      <c r="B1400" s="73">
        <f>SUM(B1391:B1399)</f>
        <v>9</v>
      </c>
      <c r="C1400" s="74">
        <f t="shared" ref="C1400:F1400" si="369">SUM(C1391:C1399)</f>
        <v>13</v>
      </c>
      <c r="D1400" s="74">
        <f t="shared" si="369"/>
        <v>6</v>
      </c>
      <c r="E1400" s="74">
        <f t="shared" si="369"/>
        <v>11</v>
      </c>
      <c r="F1400" s="105">
        <f t="shared" si="369"/>
        <v>11</v>
      </c>
      <c r="G1400" s="76">
        <f t="shared" si="363"/>
        <v>50</v>
      </c>
      <c r="H1400" s="56"/>
      <c r="I1400" s="72" t="s">
        <v>7</v>
      </c>
      <c r="J1400" s="73">
        <f>SUM(J1391:J1399)</f>
        <v>161</v>
      </c>
      <c r="K1400" s="74">
        <f t="shared" ref="K1400:N1400" si="370">SUM(K1391:K1399)</f>
        <v>95</v>
      </c>
      <c r="L1400" s="74">
        <f t="shared" si="370"/>
        <v>85</v>
      </c>
      <c r="M1400" s="74">
        <f t="shared" si="370"/>
        <v>114</v>
      </c>
      <c r="N1400" s="105">
        <f t="shared" si="370"/>
        <v>109</v>
      </c>
      <c r="O1400" s="76">
        <f t="shared" si="365"/>
        <v>564</v>
      </c>
    </row>
    <row r="1401" spans="1:18" x14ac:dyDescent="0.15">
      <c r="A1401" s="16" t="s">
        <v>117</v>
      </c>
      <c r="B1401" s="8"/>
      <c r="C1401" s="10"/>
      <c r="D1401" s="10"/>
      <c r="E1401" s="10">
        <v>1</v>
      </c>
      <c r="F1401" s="30"/>
      <c r="G1401" s="9">
        <f t="shared" ref="G1401:G1424" si="371">SUM(B1401:F1401)</f>
        <v>1</v>
      </c>
      <c r="H1401" s="58">
        <v>45170</v>
      </c>
      <c r="I1401" s="15" t="s">
        <v>24</v>
      </c>
      <c r="J1401" s="11"/>
      <c r="K1401" s="12">
        <v>3</v>
      </c>
      <c r="L1401" s="12"/>
      <c r="M1401" s="12">
        <v>3</v>
      </c>
      <c r="N1401" s="31"/>
      <c r="O1401" s="7">
        <f t="shared" si="365"/>
        <v>6</v>
      </c>
      <c r="P1401" s="58">
        <v>45180</v>
      </c>
      <c r="Q1401" s="56"/>
      <c r="R1401" s="56"/>
    </row>
    <row r="1402" spans="1:18" x14ac:dyDescent="0.15">
      <c r="A1402" s="16" t="s">
        <v>117</v>
      </c>
      <c r="B1402" s="8"/>
      <c r="C1402" s="10"/>
      <c r="D1402" s="10">
        <v>1</v>
      </c>
      <c r="E1402" s="10"/>
      <c r="F1402" s="30"/>
      <c r="G1402" s="9">
        <f t="shared" si="371"/>
        <v>1</v>
      </c>
      <c r="H1402" s="58">
        <v>45171</v>
      </c>
      <c r="I1402" s="15" t="s">
        <v>24</v>
      </c>
      <c r="J1402" s="11"/>
      <c r="K1402" s="12"/>
      <c r="L1402" s="12"/>
      <c r="M1402" s="12">
        <v>5</v>
      </c>
      <c r="N1402" s="31"/>
      <c r="O1402" s="7">
        <f t="shared" si="365"/>
        <v>5</v>
      </c>
      <c r="P1402" s="58">
        <v>45210</v>
      </c>
      <c r="Q1402" s="56"/>
      <c r="R1402" s="56"/>
    </row>
    <row r="1403" spans="1:18" x14ac:dyDescent="0.15">
      <c r="A1403" s="16" t="s">
        <v>117</v>
      </c>
      <c r="B1403" s="8"/>
      <c r="C1403" s="10"/>
      <c r="D1403" s="10">
        <v>1</v>
      </c>
      <c r="E1403" s="10"/>
      <c r="F1403" s="30"/>
      <c r="G1403" s="9">
        <f t="shared" si="371"/>
        <v>1</v>
      </c>
      <c r="H1403" s="58">
        <v>45175</v>
      </c>
      <c r="I1403" s="15" t="s">
        <v>24</v>
      </c>
      <c r="J1403" s="11">
        <v>3</v>
      </c>
      <c r="K1403" s="12"/>
      <c r="L1403" s="12"/>
      <c r="M1403" s="12"/>
      <c r="N1403" s="31">
        <v>3</v>
      </c>
      <c r="O1403" s="7">
        <f t="shared" si="365"/>
        <v>6</v>
      </c>
      <c r="P1403" s="58">
        <v>45245</v>
      </c>
      <c r="Q1403" s="56"/>
      <c r="R1403" s="56"/>
    </row>
    <row r="1404" spans="1:18" x14ac:dyDescent="0.15">
      <c r="A1404" s="16" t="s">
        <v>1581</v>
      </c>
      <c r="B1404" s="8">
        <v>1</v>
      </c>
      <c r="C1404" s="10"/>
      <c r="D1404" s="10"/>
      <c r="E1404" s="10"/>
      <c r="F1404" s="30"/>
      <c r="G1404" s="9">
        <f t="shared" si="371"/>
        <v>1</v>
      </c>
      <c r="H1404" s="58">
        <v>45176</v>
      </c>
      <c r="I1404" s="15" t="s">
        <v>24</v>
      </c>
      <c r="J1404" s="11"/>
      <c r="K1404" s="12">
        <v>5</v>
      </c>
      <c r="L1404" s="12"/>
      <c r="M1404" s="12"/>
      <c r="N1404" s="31">
        <v>3</v>
      </c>
      <c r="O1404" s="7">
        <f t="shared" si="365"/>
        <v>8</v>
      </c>
      <c r="P1404" s="58">
        <v>45275</v>
      </c>
      <c r="Q1404" s="56"/>
      <c r="R1404" s="56"/>
    </row>
    <row r="1405" spans="1:18" x14ac:dyDescent="0.15">
      <c r="A1405" s="16" t="s">
        <v>60</v>
      </c>
      <c r="B1405" s="8"/>
      <c r="C1405" s="10"/>
      <c r="D1405" s="10"/>
      <c r="E1405" s="10">
        <v>1</v>
      </c>
      <c r="F1405" s="30"/>
      <c r="G1405" s="9">
        <f t="shared" si="371"/>
        <v>1</v>
      </c>
      <c r="H1405" s="58">
        <v>45181</v>
      </c>
      <c r="I1405" s="14"/>
      <c r="J1405" s="11"/>
      <c r="K1405" s="12"/>
      <c r="L1405" s="12"/>
      <c r="M1405" s="12"/>
      <c r="N1405" s="31"/>
      <c r="O1405" s="7">
        <f t="shared" ref="O1405:O1423" si="372">SUM(J1405:N1405)</f>
        <v>0</v>
      </c>
    </row>
    <row r="1406" spans="1:18" x14ac:dyDescent="0.15">
      <c r="A1406" s="16" t="s">
        <v>29</v>
      </c>
      <c r="B1406" s="8"/>
      <c r="C1406" s="10">
        <v>1</v>
      </c>
      <c r="D1406" s="10"/>
      <c r="E1406" s="10">
        <v>1</v>
      </c>
      <c r="F1406" s="30"/>
      <c r="G1406" s="9">
        <f t="shared" si="371"/>
        <v>2</v>
      </c>
      <c r="H1406" s="58">
        <v>45182</v>
      </c>
      <c r="I1406" s="14"/>
      <c r="J1406" s="11"/>
      <c r="K1406" s="12"/>
      <c r="L1406" s="12"/>
      <c r="M1406" s="12"/>
      <c r="N1406" s="31"/>
      <c r="O1406" s="7">
        <f t="shared" si="372"/>
        <v>0</v>
      </c>
    </row>
    <row r="1407" spans="1:18" x14ac:dyDescent="0.15">
      <c r="A1407" s="16" t="s">
        <v>29</v>
      </c>
      <c r="B1407" s="8"/>
      <c r="C1407" s="10">
        <v>1</v>
      </c>
      <c r="D1407" s="10"/>
      <c r="E1407" s="10">
        <v>1</v>
      </c>
      <c r="F1407" s="30">
        <v>1</v>
      </c>
      <c r="G1407" s="9">
        <f t="shared" si="371"/>
        <v>3</v>
      </c>
      <c r="H1407" s="58">
        <v>45189</v>
      </c>
      <c r="I1407" s="14"/>
      <c r="J1407" s="11"/>
      <c r="K1407" s="12"/>
      <c r="L1407" s="12"/>
      <c r="M1407" s="12"/>
      <c r="N1407" s="31"/>
      <c r="O1407" s="7">
        <f t="shared" si="372"/>
        <v>0</v>
      </c>
    </row>
    <row r="1408" spans="1:18" x14ac:dyDescent="0.15">
      <c r="A1408" s="16" t="s">
        <v>485</v>
      </c>
      <c r="B1408" s="8"/>
      <c r="C1408" s="10">
        <v>1</v>
      </c>
      <c r="D1408" s="10">
        <v>-1</v>
      </c>
      <c r="E1408" s="10"/>
      <c r="F1408" s="30"/>
      <c r="G1408" s="9">
        <f t="shared" si="371"/>
        <v>0</v>
      </c>
      <c r="H1408" s="58">
        <v>45197</v>
      </c>
      <c r="I1408" s="14"/>
      <c r="J1408" s="11"/>
      <c r="K1408" s="12"/>
      <c r="L1408" s="12"/>
      <c r="M1408" s="12"/>
      <c r="N1408" s="31"/>
      <c r="O1408" s="7">
        <f t="shared" si="372"/>
        <v>0</v>
      </c>
    </row>
    <row r="1409" spans="1:15" x14ac:dyDescent="0.15">
      <c r="A1409" s="16" t="s">
        <v>1584</v>
      </c>
      <c r="B1409" s="8">
        <v>1</v>
      </c>
      <c r="C1409" s="10"/>
      <c r="D1409" s="10"/>
      <c r="E1409" s="10"/>
      <c r="F1409" s="30"/>
      <c r="G1409" s="9">
        <f t="shared" si="371"/>
        <v>1</v>
      </c>
      <c r="H1409" s="58">
        <v>45204</v>
      </c>
      <c r="I1409" s="14"/>
      <c r="J1409" s="11"/>
      <c r="K1409" s="12"/>
      <c r="L1409" s="12"/>
      <c r="M1409" s="12"/>
      <c r="N1409" s="31"/>
      <c r="O1409" s="7">
        <f t="shared" si="372"/>
        <v>0</v>
      </c>
    </row>
    <row r="1410" spans="1:15" x14ac:dyDescent="0.15">
      <c r="A1410" s="16" t="s">
        <v>29</v>
      </c>
      <c r="B1410" s="8"/>
      <c r="C1410" s="10"/>
      <c r="D1410" s="10"/>
      <c r="E1410" s="10">
        <v>1</v>
      </c>
      <c r="F1410" s="30"/>
      <c r="G1410" s="9">
        <f t="shared" si="371"/>
        <v>1</v>
      </c>
      <c r="H1410" s="58">
        <v>45209</v>
      </c>
      <c r="I1410" s="14"/>
      <c r="J1410" s="11"/>
      <c r="K1410" s="12"/>
      <c r="L1410" s="12"/>
      <c r="M1410" s="12"/>
      <c r="N1410" s="31"/>
      <c r="O1410" s="7">
        <f t="shared" si="372"/>
        <v>0</v>
      </c>
    </row>
    <row r="1411" spans="1:15" x14ac:dyDescent="0.15">
      <c r="A1411" s="16" t="s">
        <v>1586</v>
      </c>
      <c r="B1411" s="8">
        <v>1</v>
      </c>
      <c r="C1411" s="10"/>
      <c r="D1411" s="10"/>
      <c r="E1411" s="10"/>
      <c r="F1411" s="30"/>
      <c r="G1411" s="9">
        <f t="shared" si="371"/>
        <v>1</v>
      </c>
      <c r="H1411" s="58">
        <v>45217</v>
      </c>
      <c r="I1411" s="14"/>
      <c r="J1411" s="11"/>
      <c r="K1411" s="12"/>
      <c r="L1411" s="12"/>
      <c r="M1411" s="12"/>
      <c r="N1411" s="31"/>
      <c r="O1411" s="7">
        <f t="shared" si="372"/>
        <v>0</v>
      </c>
    </row>
    <row r="1412" spans="1:15" x14ac:dyDescent="0.15">
      <c r="A1412" s="16" t="s">
        <v>29</v>
      </c>
      <c r="B1412" s="8"/>
      <c r="C1412" s="10">
        <v>1</v>
      </c>
      <c r="D1412" s="10"/>
      <c r="E1412" s="10"/>
      <c r="F1412" s="30"/>
      <c r="G1412" s="9">
        <f t="shared" si="371"/>
        <v>1</v>
      </c>
      <c r="H1412" s="58">
        <v>45225</v>
      </c>
      <c r="I1412" s="14"/>
      <c r="J1412" s="11"/>
      <c r="K1412" s="12"/>
      <c r="L1412" s="12"/>
      <c r="M1412" s="12"/>
      <c r="N1412" s="31"/>
      <c r="O1412" s="7">
        <f t="shared" si="372"/>
        <v>0</v>
      </c>
    </row>
    <row r="1413" spans="1:15" x14ac:dyDescent="0.15">
      <c r="A1413" s="16" t="s">
        <v>29</v>
      </c>
      <c r="B1413" s="8"/>
      <c r="C1413" s="10"/>
      <c r="D1413" s="10"/>
      <c r="E1413" s="10"/>
      <c r="F1413" s="30">
        <v>1</v>
      </c>
      <c r="G1413" s="9">
        <f t="shared" si="371"/>
        <v>1</v>
      </c>
      <c r="H1413" s="58">
        <v>45243</v>
      </c>
      <c r="I1413" s="14"/>
      <c r="J1413" s="11"/>
      <c r="K1413" s="12"/>
      <c r="L1413" s="12"/>
      <c r="M1413" s="12"/>
      <c r="N1413" s="31"/>
      <c r="O1413" s="7">
        <f t="shared" si="372"/>
        <v>0</v>
      </c>
    </row>
    <row r="1414" spans="1:15" x14ac:dyDescent="0.15">
      <c r="A1414" s="16" t="s">
        <v>1589</v>
      </c>
      <c r="B1414" s="8"/>
      <c r="C1414" s="10"/>
      <c r="D1414" s="10"/>
      <c r="E1414" s="10"/>
      <c r="F1414" s="30">
        <v>1</v>
      </c>
      <c r="G1414" s="9">
        <f t="shared" si="371"/>
        <v>1</v>
      </c>
      <c r="H1414" s="58">
        <v>45245</v>
      </c>
      <c r="I1414" s="14"/>
      <c r="J1414" s="11"/>
      <c r="K1414" s="12"/>
      <c r="L1414" s="12"/>
      <c r="M1414" s="12"/>
      <c r="N1414" s="31"/>
      <c r="O1414" s="7">
        <f t="shared" si="372"/>
        <v>0</v>
      </c>
    </row>
    <row r="1415" spans="1:15" x14ac:dyDescent="0.15">
      <c r="A1415" s="16" t="s">
        <v>29</v>
      </c>
      <c r="B1415" s="8"/>
      <c r="C1415" s="10">
        <v>1</v>
      </c>
      <c r="D1415" s="10"/>
      <c r="E1415" s="10"/>
      <c r="F1415" s="30"/>
      <c r="G1415" s="9">
        <f t="shared" si="371"/>
        <v>1</v>
      </c>
      <c r="H1415" s="58">
        <v>45247</v>
      </c>
      <c r="I1415" s="14"/>
      <c r="J1415" s="11"/>
      <c r="K1415" s="12"/>
      <c r="L1415" s="12"/>
      <c r="M1415" s="12"/>
      <c r="N1415" s="31"/>
      <c r="O1415" s="7">
        <f t="shared" si="372"/>
        <v>0</v>
      </c>
    </row>
    <row r="1416" spans="1:15" x14ac:dyDescent="0.15">
      <c r="A1416" s="16" t="s">
        <v>1590</v>
      </c>
      <c r="B1416" s="8"/>
      <c r="C1416" s="10">
        <v>-1</v>
      </c>
      <c r="D1416" s="10">
        <v>1</v>
      </c>
      <c r="E1416" s="10"/>
      <c r="F1416" s="30"/>
      <c r="G1416" s="9">
        <f t="shared" si="371"/>
        <v>0</v>
      </c>
      <c r="H1416" s="58">
        <v>45251</v>
      </c>
      <c r="I1416" s="14"/>
      <c r="J1416" s="11"/>
      <c r="K1416" s="12"/>
      <c r="L1416" s="12"/>
      <c r="M1416" s="12"/>
      <c r="N1416" s="31"/>
      <c r="O1416" s="7">
        <f t="shared" si="372"/>
        <v>0</v>
      </c>
    </row>
    <row r="1417" spans="1:15" x14ac:dyDescent="0.15">
      <c r="A1417" s="16" t="s">
        <v>1591</v>
      </c>
      <c r="B1417" s="8"/>
      <c r="C1417" s="10"/>
      <c r="D1417" s="10"/>
      <c r="E1417" s="10"/>
      <c r="F1417" s="30">
        <v>1</v>
      </c>
      <c r="G1417" s="9">
        <f t="shared" si="371"/>
        <v>1</v>
      </c>
      <c r="H1417" s="58">
        <v>45254</v>
      </c>
      <c r="I1417" s="14"/>
      <c r="J1417" s="11"/>
      <c r="K1417" s="12"/>
      <c r="L1417" s="12"/>
      <c r="M1417" s="12"/>
      <c r="N1417" s="31"/>
      <c r="O1417" s="7">
        <f t="shared" si="372"/>
        <v>0</v>
      </c>
    </row>
    <row r="1418" spans="1:15" x14ac:dyDescent="0.15">
      <c r="A1418" s="16" t="s">
        <v>29</v>
      </c>
      <c r="B1418" s="8"/>
      <c r="C1418" s="10"/>
      <c r="D1418" s="10"/>
      <c r="E1418" s="10"/>
      <c r="F1418" s="30">
        <v>1</v>
      </c>
      <c r="G1418" s="9">
        <f t="shared" si="371"/>
        <v>1</v>
      </c>
      <c r="H1418" s="58">
        <v>45257</v>
      </c>
      <c r="I1418" s="14"/>
      <c r="J1418" s="11"/>
      <c r="K1418" s="12"/>
      <c r="L1418" s="12"/>
      <c r="M1418" s="12"/>
      <c r="N1418" s="31"/>
      <c r="O1418" s="7">
        <f t="shared" si="372"/>
        <v>0</v>
      </c>
    </row>
    <row r="1419" spans="1:15" x14ac:dyDescent="0.15">
      <c r="A1419" s="16" t="s">
        <v>29</v>
      </c>
      <c r="B1419" s="8"/>
      <c r="C1419" s="10"/>
      <c r="D1419" s="10"/>
      <c r="E1419" s="10"/>
      <c r="F1419" s="30">
        <v>1</v>
      </c>
      <c r="G1419" s="9">
        <f t="shared" si="371"/>
        <v>1</v>
      </c>
      <c r="H1419" s="58">
        <v>45258</v>
      </c>
      <c r="I1419" s="14"/>
      <c r="J1419" s="11"/>
      <c r="K1419" s="12"/>
      <c r="L1419" s="12"/>
      <c r="M1419" s="12"/>
      <c r="N1419" s="31"/>
      <c r="O1419" s="7">
        <f t="shared" si="372"/>
        <v>0</v>
      </c>
    </row>
    <row r="1420" spans="1:15" x14ac:dyDescent="0.15">
      <c r="A1420" s="16" t="s">
        <v>696</v>
      </c>
      <c r="B1420" s="8"/>
      <c r="C1420" s="10"/>
      <c r="D1420" s="10"/>
      <c r="E1420" s="10"/>
      <c r="F1420" s="30">
        <v>-1</v>
      </c>
      <c r="G1420" s="9">
        <f t="shared" si="371"/>
        <v>-1</v>
      </c>
      <c r="H1420" s="58">
        <v>45264</v>
      </c>
      <c r="I1420" s="14"/>
      <c r="J1420" s="11"/>
      <c r="K1420" s="12"/>
      <c r="L1420" s="12"/>
      <c r="M1420" s="12"/>
      <c r="N1420" s="31"/>
      <c r="O1420" s="7">
        <f t="shared" si="372"/>
        <v>0</v>
      </c>
    </row>
    <row r="1421" spans="1:15" x14ac:dyDescent="0.15">
      <c r="A1421" s="16" t="s">
        <v>29</v>
      </c>
      <c r="B1421" s="8"/>
      <c r="C1421" s="10"/>
      <c r="D1421" s="10">
        <v>1</v>
      </c>
      <c r="E1421" s="10"/>
      <c r="F1421" s="30"/>
      <c r="G1421" s="9">
        <f t="shared" si="371"/>
        <v>1</v>
      </c>
      <c r="H1421" s="58">
        <v>45271</v>
      </c>
      <c r="I1421" s="14"/>
      <c r="J1421" s="11"/>
      <c r="K1421" s="12"/>
      <c r="L1421" s="12"/>
      <c r="M1421" s="12"/>
      <c r="N1421" s="31"/>
      <c r="O1421" s="7">
        <f t="shared" si="372"/>
        <v>0</v>
      </c>
    </row>
    <row r="1422" spans="1:15" x14ac:dyDescent="0.15">
      <c r="A1422" s="16" t="s">
        <v>29</v>
      </c>
      <c r="B1422" s="8"/>
      <c r="C1422" s="10">
        <v>1</v>
      </c>
      <c r="D1422" s="10"/>
      <c r="E1422" s="10"/>
      <c r="F1422" s="30"/>
      <c r="G1422" s="9">
        <f t="shared" si="371"/>
        <v>1</v>
      </c>
      <c r="H1422" s="58">
        <v>45273</v>
      </c>
      <c r="I1422" s="14"/>
      <c r="J1422" s="11"/>
      <c r="K1422" s="12"/>
      <c r="L1422" s="12"/>
      <c r="M1422" s="12"/>
      <c r="N1422" s="31"/>
      <c r="O1422" s="7">
        <f t="shared" si="372"/>
        <v>0</v>
      </c>
    </row>
    <row r="1423" spans="1:15" x14ac:dyDescent="0.15">
      <c r="A1423" s="16" t="s">
        <v>29</v>
      </c>
      <c r="B1423" s="8"/>
      <c r="C1423" s="10"/>
      <c r="D1423" s="10"/>
      <c r="E1423" s="10"/>
      <c r="F1423" s="30">
        <v>1</v>
      </c>
      <c r="G1423" s="9">
        <f t="shared" si="371"/>
        <v>1</v>
      </c>
      <c r="H1423" s="58">
        <v>45285</v>
      </c>
      <c r="I1423" s="14"/>
      <c r="J1423" s="11"/>
      <c r="K1423" s="12"/>
      <c r="L1423" s="12"/>
      <c r="M1423" s="12"/>
      <c r="N1423" s="31"/>
      <c r="O1423" s="7">
        <f t="shared" si="372"/>
        <v>0</v>
      </c>
    </row>
    <row r="1424" spans="1:15" x14ac:dyDescent="0.15">
      <c r="A1424" s="16" t="s">
        <v>29</v>
      </c>
      <c r="B1424" s="8"/>
      <c r="C1424" s="10"/>
      <c r="D1424" s="10">
        <v>1</v>
      </c>
      <c r="E1424" s="10"/>
      <c r="F1424" s="30"/>
      <c r="G1424" s="9">
        <f t="shared" si="371"/>
        <v>1</v>
      </c>
      <c r="H1424" s="58">
        <v>45296</v>
      </c>
      <c r="I1424" s="14"/>
      <c r="J1424" s="11"/>
      <c r="K1424" s="12"/>
      <c r="L1424" s="12"/>
      <c r="M1424" s="12"/>
      <c r="N1424" s="31"/>
      <c r="O1424" s="7">
        <f t="shared" ref="O1424:O1426" si="373">SUM(J1424:N1424)</f>
        <v>0</v>
      </c>
    </row>
    <row r="1425" spans="1:16" x14ac:dyDescent="0.15">
      <c r="A1425" s="64" t="s">
        <v>1595</v>
      </c>
      <c r="B1425" s="8">
        <v>1</v>
      </c>
      <c r="C1425" s="10"/>
      <c r="D1425" s="10"/>
      <c r="E1425" s="10"/>
      <c r="F1425" s="30"/>
      <c r="G1425" s="9">
        <f t="shared" ref="G1425:G1426" si="374">SUM(B1425:F1425)</f>
        <v>1</v>
      </c>
      <c r="H1425" s="58">
        <v>45310</v>
      </c>
      <c r="I1425" s="14"/>
      <c r="J1425" s="11"/>
      <c r="K1425" s="12"/>
      <c r="L1425" s="12"/>
      <c r="M1425" s="12"/>
      <c r="N1425" s="31"/>
      <c r="O1425" s="7">
        <f t="shared" si="373"/>
        <v>0</v>
      </c>
    </row>
    <row r="1426" spans="1:16" ht="14.25" thickBot="1" x14ac:dyDescent="0.2">
      <c r="A1426" s="16" t="s">
        <v>29</v>
      </c>
      <c r="B1426" s="8">
        <v>1</v>
      </c>
      <c r="C1426" s="10"/>
      <c r="D1426" s="10"/>
      <c r="E1426" s="10"/>
      <c r="F1426" s="30"/>
      <c r="G1426" s="9">
        <f t="shared" si="374"/>
        <v>1</v>
      </c>
      <c r="H1426" s="58">
        <v>45317</v>
      </c>
      <c r="I1426" s="14"/>
      <c r="J1426" s="11"/>
      <c r="K1426" s="12"/>
      <c r="L1426" s="12"/>
      <c r="M1426" s="12"/>
      <c r="N1426" s="31"/>
      <c r="O1426" s="7">
        <f t="shared" si="373"/>
        <v>0</v>
      </c>
    </row>
    <row r="1427" spans="1:16" ht="14.25" thickBot="1" x14ac:dyDescent="0.2">
      <c r="A1427" s="3" t="s">
        <v>11</v>
      </c>
      <c r="B1427" s="23">
        <f>SUM(B1401:B1426)</f>
        <v>5</v>
      </c>
      <c r="C1427" s="4">
        <f>SUM(C1401:C1426)</f>
        <v>5</v>
      </c>
      <c r="D1427" s="4">
        <f>SUM(D1401:D1426)</f>
        <v>4</v>
      </c>
      <c r="E1427" s="6">
        <f>SUM(E1401:E1426)</f>
        <v>5</v>
      </c>
      <c r="F1427" s="32">
        <f>SUM(F1401:F1426)</f>
        <v>6</v>
      </c>
      <c r="G1427" s="5">
        <f>SUM(B1427:F1427)</f>
        <v>25</v>
      </c>
      <c r="H1427" s="56"/>
      <c r="I1427" s="3" t="s">
        <v>11</v>
      </c>
      <c r="J1427" s="23">
        <f>SUM(J1401:J1426)</f>
        <v>3</v>
      </c>
      <c r="K1427" s="4">
        <f>SUM(K1401:K1426)</f>
        <v>8</v>
      </c>
      <c r="L1427" s="4">
        <f>SUM(L1401:L1426)</f>
        <v>0</v>
      </c>
      <c r="M1427" s="6">
        <f>SUM(M1401:M1426)</f>
        <v>8</v>
      </c>
      <c r="N1427" s="32">
        <f>SUM(N1401:N1426)</f>
        <v>6</v>
      </c>
      <c r="O1427" s="5">
        <f>SUM(J1427:N1427)</f>
        <v>25</v>
      </c>
    </row>
    <row r="1428" spans="1:16" ht="14.25" thickBot="1" x14ac:dyDescent="0.2">
      <c r="A1428" s="25" t="s">
        <v>12</v>
      </c>
      <c r="B1428" s="63">
        <f>B1400-B1427</f>
        <v>4</v>
      </c>
      <c r="C1428" s="26">
        <f t="shared" ref="C1428:G1428" si="375">C1400-C1427</f>
        <v>8</v>
      </c>
      <c r="D1428" s="71">
        <f t="shared" si="375"/>
        <v>2</v>
      </c>
      <c r="E1428" s="26">
        <f t="shared" si="375"/>
        <v>6</v>
      </c>
      <c r="F1428" s="70">
        <f t="shared" si="375"/>
        <v>5</v>
      </c>
      <c r="G1428" s="27">
        <f t="shared" si="375"/>
        <v>25</v>
      </c>
      <c r="H1428" s="56"/>
      <c r="I1428" s="25" t="s">
        <v>12</v>
      </c>
      <c r="J1428" s="63">
        <f>J1400-J1427</f>
        <v>158</v>
      </c>
      <c r="K1428" s="26">
        <f t="shared" ref="K1428:M1428" si="376">K1400-K1427</f>
        <v>87</v>
      </c>
      <c r="L1428" s="71">
        <f t="shared" si="376"/>
        <v>85</v>
      </c>
      <c r="M1428" s="26">
        <f t="shared" si="376"/>
        <v>106</v>
      </c>
      <c r="N1428" s="70">
        <f>N1400-N1427</f>
        <v>103</v>
      </c>
      <c r="O1428" s="27">
        <f t="shared" ref="O1428" si="377">O1400-O1427</f>
        <v>539</v>
      </c>
    </row>
    <row r="1429" spans="1:16" ht="21" x14ac:dyDescent="0.2">
      <c r="A1429" s="83" t="s">
        <v>415</v>
      </c>
      <c r="B1429" s="77"/>
      <c r="C1429" s="77"/>
      <c r="D1429" s="77"/>
      <c r="E1429" s="77"/>
      <c r="F1429" s="77"/>
      <c r="G1429" s="77"/>
      <c r="H1429" s="56"/>
      <c r="I1429" s="83" t="s">
        <v>415</v>
      </c>
      <c r="J1429" s="77"/>
      <c r="K1429" s="77"/>
      <c r="L1429" s="77"/>
      <c r="M1429" s="77"/>
      <c r="N1429" s="77"/>
      <c r="O1429" s="77"/>
    </row>
    <row r="1430" spans="1:16" ht="21.75" thickBot="1" x14ac:dyDescent="0.25">
      <c r="A1430" s="83" t="s">
        <v>47</v>
      </c>
      <c r="B1430" s="77"/>
      <c r="C1430" s="77"/>
      <c r="D1430" s="77"/>
      <c r="E1430" s="84"/>
      <c r="F1430" s="78" t="s">
        <v>53</v>
      </c>
      <c r="G1430" s="77"/>
      <c r="H1430" s="56"/>
      <c r="I1430" s="83" t="s">
        <v>47</v>
      </c>
      <c r="J1430" s="77"/>
      <c r="K1430" s="77"/>
      <c r="L1430" s="77"/>
      <c r="M1430" s="84"/>
      <c r="N1430" s="78" t="s">
        <v>54</v>
      </c>
      <c r="O1430" s="77"/>
    </row>
    <row r="1431" spans="1:16" ht="14.25" thickBot="1" x14ac:dyDescent="0.2">
      <c r="A1431" s="13" t="s">
        <v>0</v>
      </c>
      <c r="B1431" s="228" t="s">
        <v>49</v>
      </c>
      <c r="C1431" s="229"/>
      <c r="D1431" s="229"/>
      <c r="E1431" s="229"/>
      <c r="F1431" s="230"/>
      <c r="G1431" s="231"/>
      <c r="H1431" s="56"/>
      <c r="I1431" s="13" t="s">
        <v>0</v>
      </c>
      <c r="J1431" s="228" t="s">
        <v>49</v>
      </c>
      <c r="K1431" s="229"/>
      <c r="L1431" s="229"/>
      <c r="M1431" s="229"/>
      <c r="N1431" s="230"/>
      <c r="O1431" s="231"/>
    </row>
    <row r="1432" spans="1:16" ht="14.25" thickBot="1" x14ac:dyDescent="0.2">
      <c r="A1432" s="3" t="s">
        <v>1</v>
      </c>
      <c r="B1432" s="2" t="s">
        <v>42</v>
      </c>
      <c r="C1432" s="21" t="s">
        <v>43</v>
      </c>
      <c r="D1432" s="21" t="s">
        <v>44</v>
      </c>
      <c r="E1432" s="24" t="s">
        <v>45</v>
      </c>
      <c r="F1432" s="33" t="s">
        <v>46</v>
      </c>
      <c r="G1432" s="34" t="s">
        <v>2</v>
      </c>
      <c r="H1432" s="56"/>
      <c r="I1432" s="3" t="s">
        <v>1</v>
      </c>
      <c r="J1432" s="2" t="s">
        <v>42</v>
      </c>
      <c r="K1432" s="21" t="s">
        <v>43</v>
      </c>
      <c r="L1432" s="21" t="s">
        <v>44</v>
      </c>
      <c r="M1432" s="24" t="s">
        <v>45</v>
      </c>
      <c r="N1432" s="33" t="s">
        <v>46</v>
      </c>
      <c r="O1432" s="3" t="s">
        <v>2</v>
      </c>
    </row>
    <row r="1433" spans="1:16" ht="14.25" thickBot="1" x14ac:dyDescent="0.2">
      <c r="A1433" s="72" t="s">
        <v>527</v>
      </c>
      <c r="B1433" s="73">
        <f>B1428</f>
        <v>4</v>
      </c>
      <c r="C1433" s="74">
        <f t="shared" ref="C1433:F1433" si="378">C1428</f>
        <v>8</v>
      </c>
      <c r="D1433" s="74">
        <f t="shared" si="378"/>
        <v>2</v>
      </c>
      <c r="E1433" s="74">
        <f t="shared" si="378"/>
        <v>6</v>
      </c>
      <c r="F1433" s="212">
        <f t="shared" si="378"/>
        <v>5</v>
      </c>
      <c r="G1433" s="76">
        <f t="shared" ref="G1433:G1468" si="379">SUM(B1433:F1433)</f>
        <v>25</v>
      </c>
      <c r="H1433" s="56"/>
      <c r="I1433" s="72" t="s">
        <v>12</v>
      </c>
      <c r="J1433" s="73">
        <f>J1428</f>
        <v>158</v>
      </c>
      <c r="K1433" s="74">
        <f t="shared" ref="K1433:N1433" si="380">K1428</f>
        <v>87</v>
      </c>
      <c r="L1433" s="74">
        <f t="shared" si="380"/>
        <v>85</v>
      </c>
      <c r="M1433" s="74">
        <f t="shared" si="380"/>
        <v>106</v>
      </c>
      <c r="N1433" s="131">
        <f t="shared" si="380"/>
        <v>103</v>
      </c>
      <c r="O1433" s="52">
        <f t="shared" ref="O1433:O1468" si="381">SUM(J1433:N1433)</f>
        <v>539</v>
      </c>
    </row>
    <row r="1434" spans="1:16" x14ac:dyDescent="0.15">
      <c r="A1434" s="15" t="s">
        <v>14</v>
      </c>
      <c r="B1434" s="8"/>
      <c r="C1434" s="10">
        <v>5</v>
      </c>
      <c r="D1434" s="10">
        <v>5</v>
      </c>
      <c r="E1434" s="10"/>
      <c r="F1434" s="30"/>
      <c r="G1434" s="7">
        <f t="shared" ref="G1434:G1438" si="382">SUM(B1434:F1434)</f>
        <v>10</v>
      </c>
      <c r="H1434" s="58">
        <v>45357</v>
      </c>
      <c r="I1434" s="15" t="s">
        <v>3</v>
      </c>
      <c r="J1434" s="8">
        <v>2</v>
      </c>
      <c r="K1434" s="10">
        <v>12</v>
      </c>
      <c r="L1434" s="10">
        <v>9</v>
      </c>
      <c r="M1434" s="10">
        <v>6</v>
      </c>
      <c r="N1434" s="30"/>
      <c r="O1434" s="7">
        <f t="shared" si="381"/>
        <v>29</v>
      </c>
      <c r="P1434" s="57">
        <v>45458</v>
      </c>
    </row>
    <row r="1435" spans="1:16" x14ac:dyDescent="0.15">
      <c r="A1435" s="15" t="s">
        <v>1602</v>
      </c>
      <c r="B1435" s="8"/>
      <c r="C1435" s="10">
        <v>1</v>
      </c>
      <c r="D1435" s="10"/>
      <c r="E1435" s="10"/>
      <c r="F1435" s="30"/>
      <c r="G1435" s="7">
        <f t="shared" si="382"/>
        <v>1</v>
      </c>
      <c r="H1435" s="58">
        <v>45400</v>
      </c>
      <c r="I1435" s="15" t="s">
        <v>4</v>
      </c>
      <c r="J1435" s="8"/>
      <c r="K1435" s="10"/>
      <c r="L1435" s="10"/>
      <c r="M1435" s="10"/>
      <c r="N1435" s="30"/>
      <c r="O1435" s="7">
        <f t="shared" ref="O1435:O1438" si="383">SUM(J1435:N1435)</f>
        <v>0</v>
      </c>
    </row>
    <row r="1436" spans="1:16" x14ac:dyDescent="0.15">
      <c r="A1436" s="15" t="s">
        <v>4</v>
      </c>
      <c r="B1436" s="8">
        <v>3</v>
      </c>
      <c r="C1436" s="10"/>
      <c r="D1436" s="10"/>
      <c r="E1436" s="10">
        <v>3</v>
      </c>
      <c r="F1436" s="30">
        <v>3</v>
      </c>
      <c r="G1436" s="7">
        <f t="shared" si="382"/>
        <v>9</v>
      </c>
      <c r="H1436" s="58">
        <v>45421</v>
      </c>
      <c r="I1436" s="15" t="s">
        <v>5</v>
      </c>
      <c r="J1436" s="8"/>
      <c r="K1436" s="10"/>
      <c r="L1436" s="10"/>
      <c r="M1436" s="10"/>
      <c r="N1436" s="30"/>
      <c r="O1436" s="7">
        <f t="shared" si="383"/>
        <v>0</v>
      </c>
    </row>
    <row r="1437" spans="1:16" x14ac:dyDescent="0.15">
      <c r="A1437" s="15" t="s">
        <v>5</v>
      </c>
      <c r="B1437" s="8"/>
      <c r="C1437" s="10"/>
      <c r="D1437" s="10"/>
      <c r="E1437" s="10"/>
      <c r="F1437" s="30">
        <v>3</v>
      </c>
      <c r="G1437" s="7">
        <f t="shared" si="382"/>
        <v>3</v>
      </c>
      <c r="H1437" s="58">
        <v>45442</v>
      </c>
      <c r="I1437" s="15" t="s">
        <v>6</v>
      </c>
      <c r="J1437" s="8"/>
      <c r="K1437" s="10"/>
      <c r="L1437" s="10"/>
      <c r="M1437" s="10"/>
      <c r="N1437" s="30"/>
      <c r="O1437" s="7">
        <f t="shared" si="383"/>
        <v>0</v>
      </c>
    </row>
    <row r="1438" spans="1:16" x14ac:dyDescent="0.15">
      <c r="A1438" s="15" t="s">
        <v>6</v>
      </c>
      <c r="B1438" s="8"/>
      <c r="C1438" s="10"/>
      <c r="D1438" s="10"/>
      <c r="E1438" s="10"/>
      <c r="F1438" s="30"/>
      <c r="G1438" s="7">
        <f t="shared" si="382"/>
        <v>0</v>
      </c>
      <c r="H1438" s="58"/>
      <c r="I1438" s="15" t="s">
        <v>84</v>
      </c>
      <c r="J1438" s="8"/>
      <c r="K1438" s="10"/>
      <c r="L1438" s="10"/>
      <c r="M1438" s="10"/>
      <c r="N1438" s="30"/>
      <c r="O1438" s="7">
        <f t="shared" si="383"/>
        <v>0</v>
      </c>
    </row>
    <row r="1439" spans="1:16" x14ac:dyDescent="0.15">
      <c r="A1439" s="15" t="s">
        <v>84</v>
      </c>
      <c r="B1439" s="8"/>
      <c r="C1439" s="10"/>
      <c r="D1439" s="10"/>
      <c r="E1439" s="10"/>
      <c r="F1439" s="30"/>
      <c r="G1439" s="7">
        <f t="shared" si="379"/>
        <v>0</v>
      </c>
      <c r="H1439" s="58"/>
      <c r="I1439" s="15" t="s">
        <v>85</v>
      </c>
      <c r="J1439" s="8"/>
      <c r="K1439" s="10"/>
      <c r="L1439" s="10"/>
      <c r="M1439" s="10"/>
      <c r="N1439" s="30"/>
      <c r="O1439" s="7">
        <f t="shared" si="381"/>
        <v>0</v>
      </c>
    </row>
    <row r="1440" spans="1:16" x14ac:dyDescent="0.15">
      <c r="A1440" s="15" t="s">
        <v>85</v>
      </c>
      <c r="B1440" s="8"/>
      <c r="C1440" s="10"/>
      <c r="D1440" s="10"/>
      <c r="E1440" s="10"/>
      <c r="F1440" s="30"/>
      <c r="G1440" s="7">
        <f t="shared" si="379"/>
        <v>0</v>
      </c>
      <c r="H1440" s="58"/>
      <c r="I1440" s="15" t="s">
        <v>86</v>
      </c>
      <c r="J1440" s="8"/>
      <c r="K1440" s="10"/>
      <c r="L1440" s="10"/>
      <c r="M1440" s="10"/>
      <c r="N1440" s="30"/>
      <c r="O1440" s="7">
        <f t="shared" si="381"/>
        <v>0</v>
      </c>
    </row>
    <row r="1441" spans="1:18" ht="14.25" thickBot="1" x14ac:dyDescent="0.2">
      <c r="A1441" s="15" t="s">
        <v>86</v>
      </c>
      <c r="B1441" s="11"/>
      <c r="C1441" s="100"/>
      <c r="D1441" s="100"/>
      <c r="E1441" s="100"/>
      <c r="F1441" s="101"/>
      <c r="G1441" s="102">
        <f t="shared" si="379"/>
        <v>0</v>
      </c>
      <c r="H1441" s="58"/>
      <c r="I1441" s="15" t="s">
        <v>1348</v>
      </c>
      <c r="J1441" s="8"/>
      <c r="K1441" s="10">
        <v>5</v>
      </c>
      <c r="L1441" s="10"/>
      <c r="M1441" s="10"/>
      <c r="N1441" s="30"/>
      <c r="O1441" s="7">
        <f t="shared" si="381"/>
        <v>5</v>
      </c>
      <c r="P1441" s="57">
        <v>45514</v>
      </c>
    </row>
    <row r="1442" spans="1:18" ht="14.25" thickBot="1" x14ac:dyDescent="0.2">
      <c r="A1442" s="72" t="s">
        <v>7</v>
      </c>
      <c r="B1442" s="73">
        <f>SUM(B1433:B1441)</f>
        <v>7</v>
      </c>
      <c r="C1442" s="74">
        <f t="shared" ref="C1442:F1442" si="384">SUM(C1433:C1441)</f>
        <v>14</v>
      </c>
      <c r="D1442" s="74">
        <f t="shared" si="384"/>
        <v>7</v>
      </c>
      <c r="E1442" s="74">
        <f t="shared" si="384"/>
        <v>9</v>
      </c>
      <c r="F1442" s="105">
        <f t="shared" si="384"/>
        <v>11</v>
      </c>
      <c r="G1442" s="76">
        <f t="shared" si="379"/>
        <v>48</v>
      </c>
      <c r="H1442" s="56"/>
      <c r="I1442" s="72" t="s">
        <v>7</v>
      </c>
      <c r="J1442" s="73">
        <f>SUM(J1433:J1441)</f>
        <v>160</v>
      </c>
      <c r="K1442" s="74">
        <f t="shared" ref="K1442:N1442" si="385">SUM(K1433:K1441)</f>
        <v>104</v>
      </c>
      <c r="L1442" s="74">
        <f t="shared" si="385"/>
        <v>94</v>
      </c>
      <c r="M1442" s="74">
        <f t="shared" si="385"/>
        <v>112</v>
      </c>
      <c r="N1442" s="105">
        <f t="shared" si="385"/>
        <v>103</v>
      </c>
      <c r="O1442" s="76">
        <f t="shared" si="381"/>
        <v>573</v>
      </c>
    </row>
    <row r="1443" spans="1:18" x14ac:dyDescent="0.15">
      <c r="A1443" s="16" t="s">
        <v>117</v>
      </c>
      <c r="B1443" s="8"/>
      <c r="C1443" s="10">
        <v>1</v>
      </c>
      <c r="D1443" s="10"/>
      <c r="E1443" s="10"/>
      <c r="F1443" s="30"/>
      <c r="G1443" s="9">
        <f t="shared" ref="G1443:G1463" si="386">SUM(B1443:F1443)</f>
        <v>1</v>
      </c>
      <c r="H1443" s="58">
        <v>45321</v>
      </c>
      <c r="I1443" s="14" t="s">
        <v>1596</v>
      </c>
      <c r="J1443" s="11">
        <v>10</v>
      </c>
      <c r="K1443" s="12">
        <v>11</v>
      </c>
      <c r="L1443" s="12">
        <v>7</v>
      </c>
      <c r="M1443" s="12">
        <v>7</v>
      </c>
      <c r="N1443" s="31"/>
      <c r="O1443" s="7">
        <f t="shared" ref="O1443:O1463" si="387">SUM(J1443:N1443)</f>
        <v>35</v>
      </c>
      <c r="P1443" s="58">
        <v>45350</v>
      </c>
      <c r="Q1443" s="56"/>
      <c r="R1443" s="56"/>
    </row>
    <row r="1444" spans="1:18" x14ac:dyDescent="0.15">
      <c r="A1444" s="16" t="s">
        <v>29</v>
      </c>
      <c r="B1444" s="8"/>
      <c r="C1444" s="10">
        <v>1</v>
      </c>
      <c r="D1444" s="10"/>
      <c r="E1444" s="10"/>
      <c r="F1444" s="30"/>
      <c r="G1444" s="9">
        <f t="shared" si="386"/>
        <v>1</v>
      </c>
      <c r="H1444" s="58">
        <v>45320</v>
      </c>
      <c r="I1444" s="15" t="s">
        <v>24</v>
      </c>
      <c r="J1444" s="11"/>
      <c r="K1444" s="12">
        <v>5</v>
      </c>
      <c r="L1444" s="12">
        <v>5</v>
      </c>
      <c r="M1444" s="12"/>
      <c r="N1444" s="31"/>
      <c r="O1444" s="7">
        <f t="shared" si="387"/>
        <v>10</v>
      </c>
      <c r="P1444" s="58">
        <v>45357</v>
      </c>
      <c r="Q1444" s="56"/>
      <c r="R1444" s="56"/>
    </row>
    <row r="1445" spans="1:18" x14ac:dyDescent="0.15">
      <c r="A1445" s="16" t="s">
        <v>485</v>
      </c>
      <c r="B1445" s="8">
        <v>-1</v>
      </c>
      <c r="C1445" s="10">
        <v>1</v>
      </c>
      <c r="D1445" s="10"/>
      <c r="E1445" s="10"/>
      <c r="F1445" s="30"/>
      <c r="G1445" s="9">
        <f t="shared" si="386"/>
        <v>0</v>
      </c>
      <c r="H1445" s="58">
        <v>45325</v>
      </c>
      <c r="I1445" s="14" t="s">
        <v>1600</v>
      </c>
      <c r="J1445" s="11">
        <v>25</v>
      </c>
      <c r="K1445" s="12">
        <v>25</v>
      </c>
      <c r="L1445" s="12">
        <v>25</v>
      </c>
      <c r="M1445" s="12">
        <v>25</v>
      </c>
      <c r="N1445" s="31"/>
      <c r="O1445" s="7">
        <f t="shared" si="387"/>
        <v>100</v>
      </c>
      <c r="P1445" s="58">
        <v>45397</v>
      </c>
      <c r="Q1445" s="56"/>
      <c r="R1445" s="56"/>
    </row>
    <row r="1446" spans="1:18" x14ac:dyDescent="0.15">
      <c r="A1446" s="16" t="s">
        <v>29</v>
      </c>
      <c r="B1446" s="8"/>
      <c r="C1446" s="10"/>
      <c r="D1446" s="10"/>
      <c r="E1446" s="10"/>
      <c r="F1446" s="30">
        <v>1</v>
      </c>
      <c r="G1446" s="9">
        <f t="shared" si="386"/>
        <v>1</v>
      </c>
      <c r="H1446" s="58">
        <v>45327</v>
      </c>
      <c r="I1446" s="14" t="s">
        <v>1604</v>
      </c>
      <c r="J1446" s="11"/>
      <c r="K1446" s="12">
        <v>5</v>
      </c>
      <c r="L1446" s="12"/>
      <c r="M1446" s="12"/>
      <c r="N1446" s="31"/>
      <c r="O1446" s="7">
        <f t="shared" si="387"/>
        <v>5</v>
      </c>
      <c r="P1446" s="58">
        <v>45421</v>
      </c>
      <c r="Q1446" s="56"/>
      <c r="R1446" s="56"/>
    </row>
    <row r="1447" spans="1:18" x14ac:dyDescent="0.15">
      <c r="A1447" s="16" t="s">
        <v>29</v>
      </c>
      <c r="B1447" s="8"/>
      <c r="C1447" s="10"/>
      <c r="D1447" s="10">
        <v>1</v>
      </c>
      <c r="E1447" s="10"/>
      <c r="F1447" s="30"/>
      <c r="G1447" s="9">
        <f t="shared" si="386"/>
        <v>1</v>
      </c>
      <c r="H1447" s="58">
        <v>45349</v>
      </c>
      <c r="I1447" s="14" t="s">
        <v>1606</v>
      </c>
      <c r="J1447" s="11"/>
      <c r="K1447" s="12"/>
      <c r="L1447" s="12">
        <v>6</v>
      </c>
      <c r="M1447" s="12"/>
      <c r="N1447" s="31"/>
      <c r="O1447" s="7">
        <f t="shared" si="387"/>
        <v>6</v>
      </c>
      <c r="P1447" s="58">
        <v>45415</v>
      </c>
    </row>
    <row r="1448" spans="1:18" x14ac:dyDescent="0.15">
      <c r="A1448" s="16" t="s">
        <v>29</v>
      </c>
      <c r="B1448" s="8"/>
      <c r="C1448" s="10">
        <v>1</v>
      </c>
      <c r="D1448" s="10"/>
      <c r="E1448" s="10"/>
      <c r="F1448" s="30"/>
      <c r="G1448" s="9">
        <f t="shared" si="386"/>
        <v>1</v>
      </c>
      <c r="H1448" s="58">
        <v>45355</v>
      </c>
      <c r="I1448" s="14" t="s">
        <v>1608</v>
      </c>
      <c r="J1448" s="11">
        <v>3</v>
      </c>
      <c r="K1448" s="12">
        <v>15</v>
      </c>
      <c r="L1448" s="12">
        <v>15</v>
      </c>
      <c r="M1448" s="12">
        <v>5</v>
      </c>
      <c r="N1448" s="31"/>
      <c r="O1448" s="7">
        <f t="shared" si="387"/>
        <v>38</v>
      </c>
      <c r="P1448" s="58">
        <v>45429</v>
      </c>
      <c r="Q1448" s="56"/>
    </row>
    <row r="1449" spans="1:18" x14ac:dyDescent="0.15">
      <c r="A1449" s="16" t="s">
        <v>29</v>
      </c>
      <c r="B1449" s="8"/>
      <c r="C1449" s="10">
        <v>1</v>
      </c>
      <c r="D1449" s="10"/>
      <c r="E1449" s="10"/>
      <c r="F1449" s="30"/>
      <c r="G1449" s="9">
        <f t="shared" si="386"/>
        <v>1</v>
      </c>
      <c r="H1449" s="58">
        <v>45356</v>
      </c>
      <c r="I1449" s="14" t="s">
        <v>1611</v>
      </c>
      <c r="J1449" s="11"/>
      <c r="K1449" s="12"/>
      <c r="L1449" s="12">
        <v>5</v>
      </c>
      <c r="M1449" s="12">
        <v>5</v>
      </c>
      <c r="N1449" s="31"/>
      <c r="O1449" s="7">
        <f t="shared" si="387"/>
        <v>10</v>
      </c>
      <c r="P1449" s="58">
        <v>45429</v>
      </c>
    </row>
    <row r="1450" spans="1:18" x14ac:dyDescent="0.15">
      <c r="A1450" s="16" t="s">
        <v>29</v>
      </c>
      <c r="B1450" s="8"/>
      <c r="C1450" s="10"/>
      <c r="D1450" s="10">
        <v>1</v>
      </c>
      <c r="E1450" s="10"/>
      <c r="F1450" s="30"/>
      <c r="G1450" s="9">
        <f t="shared" si="386"/>
        <v>1</v>
      </c>
      <c r="H1450" s="58">
        <v>45369</v>
      </c>
      <c r="I1450" s="15" t="s">
        <v>24</v>
      </c>
      <c r="J1450" s="11">
        <v>3</v>
      </c>
      <c r="K1450" s="12"/>
      <c r="L1450" s="12"/>
      <c r="M1450" s="12">
        <v>3</v>
      </c>
      <c r="N1450" s="31">
        <v>3</v>
      </c>
      <c r="O1450" s="7">
        <f t="shared" si="387"/>
        <v>9</v>
      </c>
      <c r="P1450" s="58">
        <v>45421</v>
      </c>
      <c r="Q1450" s="56"/>
    </row>
    <row r="1451" spans="1:18" x14ac:dyDescent="0.15">
      <c r="A1451" s="16" t="s">
        <v>696</v>
      </c>
      <c r="B1451" s="8"/>
      <c r="C1451" s="10"/>
      <c r="D1451" s="10">
        <v>-1</v>
      </c>
      <c r="E1451" s="10"/>
      <c r="F1451" s="30"/>
      <c r="G1451" s="9">
        <f t="shared" si="386"/>
        <v>-1</v>
      </c>
      <c r="H1451" s="58">
        <v>45372</v>
      </c>
      <c r="I1451" s="14" t="s">
        <v>1612</v>
      </c>
      <c r="J1451" s="11">
        <v>5</v>
      </c>
      <c r="K1451" s="12"/>
      <c r="L1451" s="12"/>
      <c r="M1451" s="12"/>
      <c r="N1451" s="31"/>
      <c r="O1451" s="7">
        <f t="shared" si="387"/>
        <v>5</v>
      </c>
      <c r="P1451" s="58">
        <v>45442</v>
      </c>
      <c r="Q1451" s="56"/>
    </row>
    <row r="1452" spans="1:18" x14ac:dyDescent="0.15">
      <c r="A1452" s="16" t="s">
        <v>29</v>
      </c>
      <c r="B1452" s="8"/>
      <c r="C1452" s="10"/>
      <c r="D1452" s="10"/>
      <c r="E1452" s="10">
        <v>1</v>
      </c>
      <c r="F1452" s="30"/>
      <c r="G1452" s="9">
        <f t="shared" si="386"/>
        <v>1</v>
      </c>
      <c r="H1452" s="58">
        <v>45372</v>
      </c>
      <c r="I1452" s="14" t="s">
        <v>1614</v>
      </c>
      <c r="J1452" s="11"/>
      <c r="K1452" s="12">
        <v>5</v>
      </c>
      <c r="L1452" s="12">
        <v>3</v>
      </c>
      <c r="M1452" s="12">
        <v>3</v>
      </c>
      <c r="N1452" s="31"/>
      <c r="O1452" s="7">
        <f t="shared" si="387"/>
        <v>11</v>
      </c>
      <c r="P1452" s="58">
        <v>45448</v>
      </c>
      <c r="Q1452" s="56"/>
    </row>
    <row r="1453" spans="1:18" x14ac:dyDescent="0.15">
      <c r="A1453" s="16" t="s">
        <v>117</v>
      </c>
      <c r="B1453" s="8"/>
      <c r="C1453" s="10"/>
      <c r="D1453" s="10"/>
      <c r="E1453" s="10">
        <v>2</v>
      </c>
      <c r="F1453" s="30"/>
      <c r="G1453" s="9">
        <f t="shared" si="386"/>
        <v>2</v>
      </c>
      <c r="H1453" s="58">
        <v>45373</v>
      </c>
      <c r="I1453" s="14" t="s">
        <v>1616</v>
      </c>
      <c r="J1453" s="11"/>
      <c r="K1453" s="12"/>
      <c r="L1453" s="12">
        <v>6</v>
      </c>
      <c r="M1453" s="12"/>
      <c r="N1453" s="31"/>
      <c r="O1453" s="7">
        <f t="shared" si="387"/>
        <v>6</v>
      </c>
      <c r="P1453" s="58">
        <v>45448</v>
      </c>
    </row>
    <row r="1454" spans="1:18" x14ac:dyDescent="0.15">
      <c r="A1454" s="16" t="s">
        <v>696</v>
      </c>
      <c r="B1454" s="8"/>
      <c r="C1454" s="10"/>
      <c r="D1454" s="10"/>
      <c r="E1454" s="10">
        <v>-1</v>
      </c>
      <c r="F1454" s="30"/>
      <c r="G1454" s="9">
        <f t="shared" ref="G1454:G1455" si="388">SUM(B1454:F1454)</f>
        <v>-1</v>
      </c>
      <c r="H1454" s="58">
        <v>45376</v>
      </c>
      <c r="I1454" s="15" t="s">
        <v>24</v>
      </c>
      <c r="J1454" s="11"/>
      <c r="K1454" s="12"/>
      <c r="L1454" s="12"/>
      <c r="M1454" s="12"/>
      <c r="N1454" s="31">
        <v>3</v>
      </c>
      <c r="O1454" s="7">
        <f t="shared" si="387"/>
        <v>3</v>
      </c>
      <c r="P1454" s="58">
        <v>45442</v>
      </c>
    </row>
    <row r="1455" spans="1:18" x14ac:dyDescent="0.15">
      <c r="A1455" s="16" t="s">
        <v>29</v>
      </c>
      <c r="B1455" s="8"/>
      <c r="C1455" s="10">
        <v>1</v>
      </c>
      <c r="D1455" s="10"/>
      <c r="E1455" s="10"/>
      <c r="F1455" s="30"/>
      <c r="G1455" s="9">
        <f t="shared" si="388"/>
        <v>1</v>
      </c>
      <c r="H1455" s="58">
        <v>45376</v>
      </c>
      <c r="I1455" s="14" t="s">
        <v>1618</v>
      </c>
      <c r="J1455" s="11">
        <v>5</v>
      </c>
      <c r="K1455" s="12">
        <v>5</v>
      </c>
      <c r="L1455" s="12">
        <v>5</v>
      </c>
      <c r="M1455" s="12">
        <v>5</v>
      </c>
      <c r="N1455" s="31"/>
      <c r="O1455" s="7">
        <f t="shared" si="387"/>
        <v>20</v>
      </c>
      <c r="P1455" s="58">
        <v>45463</v>
      </c>
      <c r="Q1455" s="56"/>
    </row>
    <row r="1456" spans="1:18" x14ac:dyDescent="0.15">
      <c r="A1456" s="16" t="s">
        <v>29</v>
      </c>
      <c r="B1456" s="8"/>
      <c r="C1456" s="10"/>
      <c r="D1456" s="10"/>
      <c r="E1456" s="10"/>
      <c r="F1456" s="30">
        <v>1</v>
      </c>
      <c r="G1456" s="9">
        <f t="shared" si="386"/>
        <v>1</v>
      </c>
      <c r="H1456" s="58">
        <v>45390</v>
      </c>
      <c r="I1456" s="14" t="s">
        <v>1623</v>
      </c>
      <c r="J1456" s="11"/>
      <c r="K1456" s="12">
        <v>2</v>
      </c>
      <c r="L1456" s="12"/>
      <c r="M1456" s="12"/>
      <c r="N1456" s="31"/>
      <c r="O1456" s="7">
        <f t="shared" si="387"/>
        <v>2</v>
      </c>
      <c r="P1456" s="58">
        <v>45469</v>
      </c>
      <c r="Q1456" s="56"/>
      <c r="R1456" s="56"/>
    </row>
    <row r="1457" spans="1:22" x14ac:dyDescent="0.15">
      <c r="A1457" s="16" t="s">
        <v>29</v>
      </c>
      <c r="B1457" s="8">
        <v>1</v>
      </c>
      <c r="C1457" s="10"/>
      <c r="D1457" s="10"/>
      <c r="E1457" s="10"/>
      <c r="F1457" s="30"/>
      <c r="G1457" s="9">
        <f t="shared" si="386"/>
        <v>1</v>
      </c>
      <c r="H1457" s="58">
        <v>45392</v>
      </c>
      <c r="I1457" s="14" t="s">
        <v>1624</v>
      </c>
      <c r="J1457" s="11">
        <v>3</v>
      </c>
      <c r="K1457" s="12"/>
      <c r="L1457" s="12"/>
      <c r="M1457" s="12">
        <v>4</v>
      </c>
      <c r="N1457" s="31"/>
      <c r="O1457" s="7">
        <f t="shared" si="387"/>
        <v>7</v>
      </c>
      <c r="P1457" s="58">
        <v>45484</v>
      </c>
      <c r="Q1457" s="56"/>
    </row>
    <row r="1458" spans="1:22" x14ac:dyDescent="0.15">
      <c r="A1458" s="16" t="s">
        <v>29</v>
      </c>
      <c r="B1458" s="8"/>
      <c r="C1458" s="10"/>
      <c r="D1458" s="10">
        <v>1</v>
      </c>
      <c r="E1458" s="10">
        <v>1</v>
      </c>
      <c r="F1458" s="30"/>
      <c r="G1458" s="9">
        <f t="shared" si="386"/>
        <v>2</v>
      </c>
      <c r="H1458" s="58">
        <v>45407</v>
      </c>
      <c r="I1458" s="14" t="s">
        <v>1626</v>
      </c>
      <c r="J1458" s="11"/>
      <c r="K1458" s="12">
        <v>6</v>
      </c>
      <c r="L1458" s="12"/>
      <c r="M1458" s="12"/>
      <c r="N1458" s="31"/>
      <c r="O1458" s="7">
        <f t="shared" si="387"/>
        <v>6</v>
      </c>
      <c r="P1458" s="58">
        <v>45491</v>
      </c>
      <c r="Q1458" s="56"/>
    </row>
    <row r="1459" spans="1:22" x14ac:dyDescent="0.15">
      <c r="A1459" s="16" t="s">
        <v>29</v>
      </c>
      <c r="B1459" s="8"/>
      <c r="C1459" s="10"/>
      <c r="D1459" s="10"/>
      <c r="E1459" s="10">
        <v>1</v>
      </c>
      <c r="F1459" s="30"/>
      <c r="G1459" s="9">
        <f t="shared" si="386"/>
        <v>1</v>
      </c>
      <c r="H1459" s="58">
        <v>45408</v>
      </c>
      <c r="I1459" s="14" t="s">
        <v>1627</v>
      </c>
      <c r="J1459" s="8"/>
      <c r="K1459" s="10"/>
      <c r="L1459" s="10">
        <v>3</v>
      </c>
      <c r="M1459" s="10"/>
      <c r="N1459" s="30"/>
      <c r="O1459" s="7">
        <f t="shared" si="387"/>
        <v>3</v>
      </c>
      <c r="P1459" s="58">
        <v>45504</v>
      </c>
    </row>
    <row r="1460" spans="1:22" x14ac:dyDescent="0.15">
      <c r="A1460" s="16" t="s">
        <v>29</v>
      </c>
      <c r="B1460" s="8">
        <v>1</v>
      </c>
      <c r="C1460" s="10"/>
      <c r="D1460" s="10"/>
      <c r="E1460" s="10"/>
      <c r="F1460" s="30"/>
      <c r="G1460" s="9">
        <f t="shared" si="386"/>
        <v>1</v>
      </c>
      <c r="H1460" s="58">
        <v>45412</v>
      </c>
      <c r="I1460" s="15" t="s">
        <v>24</v>
      </c>
      <c r="J1460" s="11"/>
      <c r="K1460" s="12">
        <v>3</v>
      </c>
      <c r="L1460" s="12"/>
      <c r="M1460" s="12">
        <v>3</v>
      </c>
      <c r="N1460" s="31">
        <v>3</v>
      </c>
      <c r="O1460" s="7">
        <f t="shared" si="387"/>
        <v>9</v>
      </c>
      <c r="P1460" s="58">
        <v>45502</v>
      </c>
      <c r="Q1460" s="56"/>
    </row>
    <row r="1461" spans="1:22" x14ac:dyDescent="0.15">
      <c r="A1461" s="16" t="s">
        <v>117</v>
      </c>
      <c r="B1461" s="8"/>
      <c r="C1461" s="10"/>
      <c r="D1461" s="10"/>
      <c r="E1461" s="10"/>
      <c r="F1461" s="30">
        <v>1</v>
      </c>
      <c r="G1461" s="9">
        <f t="shared" si="386"/>
        <v>1</v>
      </c>
      <c r="H1461" s="58">
        <v>45420</v>
      </c>
      <c r="I1461" s="14" t="s">
        <v>1628</v>
      </c>
      <c r="J1461" s="11"/>
      <c r="K1461" s="12">
        <v>3</v>
      </c>
      <c r="L1461" s="12">
        <v>3</v>
      </c>
      <c r="M1461" s="12"/>
      <c r="N1461" s="31"/>
      <c r="O1461" s="7">
        <f t="shared" si="387"/>
        <v>6</v>
      </c>
      <c r="P1461" s="58">
        <v>45511</v>
      </c>
      <c r="Q1461" s="56"/>
    </row>
    <row r="1462" spans="1:22" x14ac:dyDescent="0.15">
      <c r="A1462" s="16" t="s">
        <v>29</v>
      </c>
      <c r="B1462" s="8"/>
      <c r="C1462" s="10"/>
      <c r="D1462" s="10">
        <v>1</v>
      </c>
      <c r="E1462" s="10"/>
      <c r="F1462" s="30">
        <v>1</v>
      </c>
      <c r="G1462" s="9">
        <f t="shared" si="386"/>
        <v>2</v>
      </c>
      <c r="H1462" s="58">
        <v>45419</v>
      </c>
      <c r="I1462" s="15" t="s">
        <v>24</v>
      </c>
      <c r="J1462" s="11"/>
      <c r="K1462" s="12">
        <v>5</v>
      </c>
      <c r="L1462" s="12"/>
      <c r="M1462" s="12"/>
      <c r="N1462" s="31"/>
      <c r="O1462" s="7">
        <f t="shared" ref="O1462" si="389">SUM(J1462:N1462)</f>
        <v>5</v>
      </c>
      <c r="P1462" s="58">
        <v>45514</v>
      </c>
      <c r="Q1462" s="56"/>
    </row>
    <row r="1463" spans="1:22" x14ac:dyDescent="0.15">
      <c r="A1463" s="16" t="s">
        <v>29</v>
      </c>
      <c r="B1463" s="8">
        <v>1</v>
      </c>
      <c r="C1463" s="10">
        <v>1</v>
      </c>
      <c r="D1463" s="10"/>
      <c r="E1463" s="10"/>
      <c r="F1463" s="30"/>
      <c r="G1463" s="9">
        <f t="shared" si="386"/>
        <v>2</v>
      </c>
      <c r="H1463" s="58">
        <v>45425</v>
      </c>
      <c r="I1463" s="14" t="s">
        <v>1629</v>
      </c>
      <c r="J1463" s="11"/>
      <c r="K1463" s="12"/>
      <c r="L1463" s="12">
        <v>3</v>
      </c>
      <c r="M1463" s="12"/>
      <c r="N1463" s="31"/>
      <c r="O1463" s="7">
        <f t="shared" si="387"/>
        <v>3</v>
      </c>
      <c r="P1463" s="58">
        <v>45530</v>
      </c>
    </row>
    <row r="1464" spans="1:22" x14ac:dyDescent="0.15">
      <c r="A1464" s="16" t="s">
        <v>696</v>
      </c>
      <c r="B1464" s="8"/>
      <c r="C1464" s="10"/>
      <c r="D1464" s="10"/>
      <c r="E1464" s="10"/>
      <c r="F1464" s="30">
        <v>-1</v>
      </c>
      <c r="G1464" s="9">
        <f t="shared" si="379"/>
        <v>-1</v>
      </c>
      <c r="H1464" s="58">
        <v>45426</v>
      </c>
      <c r="I1464" s="14" t="s">
        <v>1636</v>
      </c>
      <c r="J1464" s="11"/>
      <c r="K1464" s="12"/>
      <c r="L1464" s="12"/>
      <c r="M1464" s="12">
        <v>1</v>
      </c>
      <c r="N1464" s="31"/>
      <c r="O1464" s="7">
        <f t="shared" si="381"/>
        <v>1</v>
      </c>
      <c r="P1464" s="58">
        <v>45554</v>
      </c>
      <c r="Q1464" s="56"/>
    </row>
    <row r="1465" spans="1:22" x14ac:dyDescent="0.15">
      <c r="A1465" s="16" t="s">
        <v>29</v>
      </c>
      <c r="B1465" s="8"/>
      <c r="C1465" s="10"/>
      <c r="D1465" s="10"/>
      <c r="E1465" s="10"/>
      <c r="F1465" s="30">
        <v>1</v>
      </c>
      <c r="G1465" s="9">
        <f t="shared" si="379"/>
        <v>1</v>
      </c>
      <c r="H1465" s="58">
        <v>45432</v>
      </c>
      <c r="I1465" s="14" t="s">
        <v>1638</v>
      </c>
      <c r="J1465" s="11"/>
      <c r="K1465" s="12"/>
      <c r="L1465" s="12"/>
      <c r="M1465" s="12">
        <v>1</v>
      </c>
      <c r="N1465" s="31"/>
      <c r="O1465" s="7">
        <f t="shared" si="381"/>
        <v>1</v>
      </c>
      <c r="P1465" s="58">
        <v>45554</v>
      </c>
      <c r="Q1465" s="56"/>
    </row>
    <row r="1466" spans="1:22" x14ac:dyDescent="0.15">
      <c r="A1466" s="16" t="s">
        <v>29</v>
      </c>
      <c r="B1466" s="8">
        <v>1</v>
      </c>
      <c r="C1466" s="10"/>
      <c r="D1466" s="10"/>
      <c r="E1466" s="10"/>
      <c r="F1466" s="30"/>
      <c r="G1466" s="9">
        <f t="shared" si="379"/>
        <v>1</v>
      </c>
      <c r="H1466" s="58">
        <v>45435</v>
      </c>
      <c r="I1466" s="14"/>
      <c r="J1466" s="11"/>
      <c r="K1466" s="12"/>
      <c r="L1466" s="12"/>
      <c r="M1466" s="12"/>
      <c r="N1466" s="31"/>
      <c r="O1466" s="7">
        <f t="shared" ref="O1466" si="390">SUM(J1466:N1466)</f>
        <v>0</v>
      </c>
    </row>
    <row r="1467" spans="1:22" x14ac:dyDescent="0.15">
      <c r="A1467" s="16" t="s">
        <v>29</v>
      </c>
      <c r="B1467" s="8"/>
      <c r="C1467" s="10"/>
      <c r="D1467" s="10"/>
      <c r="E1467" s="10"/>
      <c r="F1467" s="30">
        <v>1</v>
      </c>
      <c r="G1467" s="9">
        <f t="shared" si="379"/>
        <v>1</v>
      </c>
      <c r="H1467" s="58">
        <v>45436</v>
      </c>
      <c r="I1467" s="14" t="s">
        <v>1599</v>
      </c>
      <c r="J1467" s="11"/>
      <c r="K1467" s="12"/>
      <c r="L1467" s="12"/>
      <c r="M1467" s="12"/>
      <c r="N1467" s="31"/>
      <c r="O1467" s="7">
        <f t="shared" si="381"/>
        <v>0</v>
      </c>
      <c r="P1467" s="56"/>
      <c r="Q1467" s="56"/>
    </row>
    <row r="1468" spans="1:22" ht="14.25" thickBot="1" x14ac:dyDescent="0.2">
      <c r="A1468" s="16" t="s">
        <v>117</v>
      </c>
      <c r="B1468" s="8"/>
      <c r="C1468" s="10"/>
      <c r="D1468" s="10"/>
      <c r="E1468" s="10"/>
      <c r="F1468" s="30">
        <v>1</v>
      </c>
      <c r="G1468" s="9">
        <f t="shared" si="379"/>
        <v>1</v>
      </c>
      <c r="H1468" s="58">
        <v>45440</v>
      </c>
      <c r="I1468" s="14" t="s">
        <v>1582</v>
      </c>
      <c r="J1468" s="11"/>
      <c r="K1468" s="12"/>
      <c r="L1468" s="12"/>
      <c r="M1468" s="12"/>
      <c r="N1468" s="218"/>
      <c r="O1468" s="7">
        <f t="shared" si="381"/>
        <v>0</v>
      </c>
      <c r="P1468" s="56" t="s">
        <v>1593</v>
      </c>
      <c r="Q1468" s="56"/>
    </row>
    <row r="1469" spans="1:22" ht="14.25" thickBot="1" x14ac:dyDescent="0.2">
      <c r="A1469" s="3" t="s">
        <v>11</v>
      </c>
      <c r="B1469" s="23">
        <f>SUM(B1443:B1468)</f>
        <v>3</v>
      </c>
      <c r="C1469" s="4">
        <f>SUM(C1443:C1468)</f>
        <v>7</v>
      </c>
      <c r="D1469" s="4">
        <f>SUM(D1443:D1468)</f>
        <v>3</v>
      </c>
      <c r="E1469" s="6">
        <f>SUM(E1443:E1468)</f>
        <v>4</v>
      </c>
      <c r="F1469" s="32">
        <f>SUM(F1443:F1468)</f>
        <v>6</v>
      </c>
      <c r="G1469" s="5">
        <f>SUM(B1469:F1469)</f>
        <v>23</v>
      </c>
      <c r="H1469" s="56"/>
      <c r="I1469" s="3" t="s">
        <v>11</v>
      </c>
      <c r="J1469" s="23">
        <f>SUM(J1443:J1468)</f>
        <v>54</v>
      </c>
      <c r="K1469" s="4">
        <f>SUM(K1443:K1468)</f>
        <v>90</v>
      </c>
      <c r="L1469" s="4">
        <f>SUM(L1443:L1468)</f>
        <v>86</v>
      </c>
      <c r="M1469" s="6">
        <f>SUM(M1443:M1468)</f>
        <v>62</v>
      </c>
      <c r="N1469" s="32">
        <f>SUM(N1443:N1468)</f>
        <v>9</v>
      </c>
      <c r="O1469" s="5">
        <f>SUM(J1469:N1469)</f>
        <v>301</v>
      </c>
    </row>
    <row r="1470" spans="1:22" ht="14.25" thickBot="1" x14ac:dyDescent="0.2">
      <c r="A1470" s="25" t="s">
        <v>12</v>
      </c>
      <c r="B1470" s="63">
        <f>B1442-B1469</f>
        <v>4</v>
      </c>
      <c r="C1470" s="26">
        <f t="shared" ref="C1470:G1470" si="391">C1442-C1469</f>
        <v>7</v>
      </c>
      <c r="D1470" s="71">
        <f t="shared" si="391"/>
        <v>4</v>
      </c>
      <c r="E1470" s="26">
        <f t="shared" si="391"/>
        <v>5</v>
      </c>
      <c r="F1470" s="70">
        <f t="shared" si="391"/>
        <v>5</v>
      </c>
      <c r="G1470" s="27">
        <f t="shared" si="391"/>
        <v>25</v>
      </c>
      <c r="H1470" s="56"/>
      <c r="I1470" s="25" t="s">
        <v>12</v>
      </c>
      <c r="J1470" s="63">
        <f>J1442-J1469</f>
        <v>106</v>
      </c>
      <c r="K1470" s="26">
        <f t="shared" ref="K1470:M1470" si="392">K1442-K1469</f>
        <v>14</v>
      </c>
      <c r="L1470" s="71">
        <f t="shared" si="392"/>
        <v>8</v>
      </c>
      <c r="M1470" s="26">
        <f t="shared" si="392"/>
        <v>50</v>
      </c>
      <c r="N1470" s="70">
        <f>N1442-N1469</f>
        <v>94</v>
      </c>
      <c r="O1470" s="27">
        <f t="shared" ref="O1470" si="393">O1442-O1469</f>
        <v>272</v>
      </c>
    </row>
    <row r="1471" spans="1:22" ht="21" x14ac:dyDescent="0.2">
      <c r="A1471" s="83" t="s">
        <v>415</v>
      </c>
      <c r="B1471" s="77"/>
      <c r="C1471" s="77"/>
      <c r="D1471" s="77"/>
      <c r="E1471" s="77"/>
      <c r="F1471" s="77"/>
      <c r="G1471" s="77"/>
      <c r="H1471" s="56"/>
      <c r="I1471" s="83" t="s">
        <v>415</v>
      </c>
      <c r="J1471" s="77">
        <f>J1469+J1427+J1385+J1343+J1301+J1259+J1217+J1175+J1133+J1091+J1049+J1007+J965+J923+J881+J839+J797+J755+J713+J671+J629+J587+J545+J503+J461+J419+J377+J335+J293+J251+J209+J167+J125+J83+J41</f>
        <v>475</v>
      </c>
      <c r="K1471" s="77">
        <f t="shared" ref="K1471:O1471" si="394">K1469+K1427+K1385+K1343+K1301+K1259+K1217+K1175+K1133+K1091+K1049+K1007+K965+K923+K881+K839+K797+K755+K713+K671+K629+K587+K545+K503+K461+K419+K377+K335+K293+K251+K209+K167+K125+K83+K41</f>
        <v>804</v>
      </c>
      <c r="L1471" s="77">
        <f t="shared" si="394"/>
        <v>727</v>
      </c>
      <c r="M1471" s="77">
        <f t="shared" si="394"/>
        <v>681</v>
      </c>
      <c r="N1471" s="77">
        <f t="shared" si="394"/>
        <v>705</v>
      </c>
      <c r="O1471" s="77">
        <f t="shared" si="394"/>
        <v>3392</v>
      </c>
      <c r="Q1471" s="215">
        <f>J1471/$O$1471*100</f>
        <v>14.003537735849056</v>
      </c>
      <c r="R1471" s="215">
        <f t="shared" ref="R1471:V1471" si="395">K1471/$O$1471*100</f>
        <v>23.702830188679243</v>
      </c>
      <c r="S1471" s="215">
        <f t="shared" si="395"/>
        <v>21.432783018867923</v>
      </c>
      <c r="T1471" s="215">
        <f t="shared" si="395"/>
        <v>20.076650943396228</v>
      </c>
      <c r="U1471" s="215">
        <f t="shared" si="395"/>
        <v>20.784198113207548</v>
      </c>
      <c r="V1471" s="215">
        <f t="shared" si="395"/>
        <v>100</v>
      </c>
    </row>
    <row r="1472" spans="1:22" ht="21.75" thickBot="1" x14ac:dyDescent="0.25">
      <c r="A1472" s="83" t="s">
        <v>47</v>
      </c>
      <c r="B1472" s="77"/>
      <c r="C1472" s="77"/>
      <c r="D1472" s="77"/>
      <c r="E1472" s="84"/>
      <c r="F1472" s="78" t="s">
        <v>53</v>
      </c>
      <c r="G1472" s="77"/>
      <c r="H1472" s="56"/>
      <c r="I1472" s="83" t="s">
        <v>47</v>
      </c>
      <c r="J1472" s="77"/>
      <c r="K1472" s="77"/>
      <c r="L1472" s="77"/>
      <c r="M1472" s="84"/>
      <c r="N1472" s="78" t="s">
        <v>54</v>
      </c>
      <c r="O1472" s="77"/>
    </row>
    <row r="1473" spans="1:18" ht="14.25" thickBot="1" x14ac:dyDescent="0.2">
      <c r="A1473" s="13" t="s">
        <v>0</v>
      </c>
      <c r="B1473" s="228" t="s">
        <v>49</v>
      </c>
      <c r="C1473" s="229"/>
      <c r="D1473" s="229"/>
      <c r="E1473" s="229"/>
      <c r="F1473" s="230"/>
      <c r="G1473" s="231"/>
      <c r="H1473" s="56"/>
      <c r="I1473" s="13" t="s">
        <v>0</v>
      </c>
      <c r="J1473" s="228" t="s">
        <v>49</v>
      </c>
      <c r="K1473" s="229"/>
      <c r="L1473" s="229"/>
      <c r="M1473" s="229"/>
      <c r="N1473" s="230"/>
      <c r="O1473" s="231"/>
    </row>
    <row r="1474" spans="1:18" ht="14.25" thickBot="1" x14ac:dyDescent="0.2">
      <c r="A1474" s="3" t="s">
        <v>1</v>
      </c>
      <c r="B1474" s="2" t="s">
        <v>42</v>
      </c>
      <c r="C1474" s="21" t="s">
        <v>43</v>
      </c>
      <c r="D1474" s="21" t="s">
        <v>44</v>
      </c>
      <c r="E1474" s="24" t="s">
        <v>45</v>
      </c>
      <c r="F1474" s="33" t="s">
        <v>46</v>
      </c>
      <c r="G1474" s="34" t="s">
        <v>2</v>
      </c>
      <c r="H1474" s="56"/>
      <c r="I1474" s="3" t="s">
        <v>1</v>
      </c>
      <c r="J1474" s="2" t="s">
        <v>42</v>
      </c>
      <c r="K1474" s="21" t="s">
        <v>43</v>
      </c>
      <c r="L1474" s="21" t="s">
        <v>44</v>
      </c>
      <c r="M1474" s="24" t="s">
        <v>45</v>
      </c>
      <c r="N1474" s="33" t="s">
        <v>46</v>
      </c>
      <c r="O1474" s="3" t="s">
        <v>2</v>
      </c>
    </row>
    <row r="1475" spans="1:18" ht="14.25" thickBot="1" x14ac:dyDescent="0.2">
      <c r="A1475" s="72" t="s">
        <v>527</v>
      </c>
      <c r="B1475" s="73">
        <f>B1470</f>
        <v>4</v>
      </c>
      <c r="C1475" s="74">
        <f t="shared" ref="C1475:F1475" si="396">C1470</f>
        <v>7</v>
      </c>
      <c r="D1475" s="74">
        <f t="shared" si="396"/>
        <v>4</v>
      </c>
      <c r="E1475" s="74">
        <f t="shared" si="396"/>
        <v>5</v>
      </c>
      <c r="F1475" s="212">
        <f t="shared" si="396"/>
        <v>5</v>
      </c>
      <c r="G1475" s="76">
        <f t="shared" ref="G1475:G1510" si="397">SUM(B1475:F1475)</f>
        <v>25</v>
      </c>
      <c r="H1475" s="56"/>
      <c r="I1475" s="72" t="s">
        <v>12</v>
      </c>
      <c r="J1475" s="73">
        <f>J1470</f>
        <v>106</v>
      </c>
      <c r="K1475" s="74">
        <f t="shared" ref="K1475:N1475" si="398">K1470</f>
        <v>14</v>
      </c>
      <c r="L1475" s="74">
        <f t="shared" si="398"/>
        <v>8</v>
      </c>
      <c r="M1475" s="74">
        <f t="shared" si="398"/>
        <v>50</v>
      </c>
      <c r="N1475" s="131">
        <f t="shared" si="398"/>
        <v>94</v>
      </c>
      <c r="O1475" s="52">
        <f t="shared" ref="O1475:O1508" si="399">SUM(J1475:N1475)</f>
        <v>272</v>
      </c>
    </row>
    <row r="1476" spans="1:18" x14ac:dyDescent="0.15">
      <c r="A1476" s="15" t="s">
        <v>1620</v>
      </c>
      <c r="B1476" s="8">
        <v>1</v>
      </c>
      <c r="C1476" s="10"/>
      <c r="D1476" s="10">
        <v>1</v>
      </c>
      <c r="E1476" s="10">
        <v>1</v>
      </c>
      <c r="F1476" s="30"/>
      <c r="G1476" s="7">
        <f t="shared" ref="G1476:G1479" si="400">SUM(B1476:F1476)</f>
        <v>3</v>
      </c>
      <c r="H1476" s="58">
        <v>45456</v>
      </c>
      <c r="I1476" s="15" t="s">
        <v>9</v>
      </c>
      <c r="J1476" s="8">
        <v>1</v>
      </c>
      <c r="K1476" s="10">
        <v>5</v>
      </c>
      <c r="L1476" s="10">
        <v>4</v>
      </c>
      <c r="M1476" s="10">
        <v>3</v>
      </c>
      <c r="N1476" s="30"/>
      <c r="O1476" s="7">
        <f t="shared" ref="O1476" si="401">SUM(J1476:N1476)</f>
        <v>13</v>
      </c>
      <c r="P1476" s="58">
        <v>45535</v>
      </c>
      <c r="Q1476" s="56"/>
      <c r="R1476" s="56"/>
    </row>
    <row r="1477" spans="1:18" x14ac:dyDescent="0.15">
      <c r="A1477" s="15" t="s">
        <v>1620</v>
      </c>
      <c r="B1477" s="8">
        <v>5</v>
      </c>
      <c r="C1477" s="10">
        <f>13-1</f>
        <v>12</v>
      </c>
      <c r="D1477" s="10">
        <v>9</v>
      </c>
      <c r="E1477" s="10">
        <v>5</v>
      </c>
      <c r="F1477" s="30"/>
      <c r="G1477" s="7">
        <f t="shared" si="400"/>
        <v>31</v>
      </c>
      <c r="H1477" s="58">
        <v>45456</v>
      </c>
      <c r="I1477" s="15" t="s">
        <v>4</v>
      </c>
      <c r="J1477" s="8"/>
      <c r="K1477" s="10"/>
      <c r="L1477" s="10"/>
      <c r="M1477" s="10"/>
      <c r="N1477" s="30"/>
      <c r="O1477" s="7">
        <f t="shared" si="399"/>
        <v>0</v>
      </c>
      <c r="P1477" s="56"/>
      <c r="Q1477" s="56"/>
      <c r="R1477" s="56"/>
    </row>
    <row r="1478" spans="1:18" x14ac:dyDescent="0.15">
      <c r="A1478" s="15" t="s">
        <v>1620</v>
      </c>
      <c r="B1478" s="8"/>
      <c r="C1478" s="10"/>
      <c r="D1478" s="10">
        <v>1</v>
      </c>
      <c r="E1478" s="10">
        <v>1</v>
      </c>
      <c r="F1478" s="30"/>
      <c r="G1478" s="7">
        <f t="shared" si="400"/>
        <v>2</v>
      </c>
      <c r="H1478" s="58">
        <v>45489</v>
      </c>
      <c r="I1478" s="15" t="s">
        <v>5</v>
      </c>
      <c r="J1478" s="8"/>
      <c r="K1478" s="10"/>
      <c r="L1478" s="10"/>
      <c r="M1478" s="10"/>
      <c r="N1478" s="30"/>
      <c r="O1478" s="7">
        <f t="shared" si="399"/>
        <v>0</v>
      </c>
    </row>
    <row r="1479" spans="1:18" x14ac:dyDescent="0.15">
      <c r="A1479" s="15" t="s">
        <v>5</v>
      </c>
      <c r="B1479" s="8"/>
      <c r="C1479" s="10">
        <v>3</v>
      </c>
      <c r="D1479" s="10"/>
      <c r="E1479" s="10">
        <v>3</v>
      </c>
      <c r="F1479" s="30">
        <v>3</v>
      </c>
      <c r="G1479" s="7">
        <f t="shared" si="400"/>
        <v>9</v>
      </c>
      <c r="H1479" s="58">
        <v>45502</v>
      </c>
      <c r="I1479" s="15" t="s">
        <v>6</v>
      </c>
      <c r="J1479" s="8"/>
      <c r="K1479" s="10"/>
      <c r="L1479" s="10"/>
      <c r="M1479" s="10"/>
      <c r="N1479" s="30"/>
      <c r="O1479" s="7">
        <f t="shared" si="399"/>
        <v>0</v>
      </c>
    </row>
    <row r="1480" spans="1:18" x14ac:dyDescent="0.15">
      <c r="A1480" s="15" t="s">
        <v>6</v>
      </c>
      <c r="B1480" s="8"/>
      <c r="C1480" s="10">
        <v>5</v>
      </c>
      <c r="D1480" s="10"/>
      <c r="E1480" s="10"/>
      <c r="F1480" s="30"/>
      <c r="G1480" s="7">
        <f t="shared" si="397"/>
        <v>5</v>
      </c>
      <c r="H1480" s="58">
        <v>45514</v>
      </c>
      <c r="I1480" s="15" t="s">
        <v>84</v>
      </c>
      <c r="J1480" s="8"/>
      <c r="K1480" s="10"/>
      <c r="L1480" s="10"/>
      <c r="M1480" s="10"/>
      <c r="N1480" s="30"/>
      <c r="O1480" s="7">
        <f t="shared" si="399"/>
        <v>0</v>
      </c>
    </row>
    <row r="1481" spans="1:18" x14ac:dyDescent="0.15">
      <c r="A1481" s="15" t="s">
        <v>1349</v>
      </c>
      <c r="B1481" s="8">
        <v>1</v>
      </c>
      <c r="C1481" s="10">
        <v>-4</v>
      </c>
      <c r="D1481" s="10">
        <v>0</v>
      </c>
      <c r="E1481" s="10">
        <v>0</v>
      </c>
      <c r="F1481" s="30">
        <v>1</v>
      </c>
      <c r="G1481" s="7">
        <f t="shared" si="397"/>
        <v>-2</v>
      </c>
      <c r="H1481" s="58">
        <v>45530</v>
      </c>
      <c r="I1481" s="15" t="s">
        <v>85</v>
      </c>
      <c r="J1481" s="8"/>
      <c r="K1481" s="10"/>
      <c r="L1481" s="10"/>
      <c r="M1481" s="10"/>
      <c r="N1481" s="30"/>
      <c r="O1481" s="7">
        <f t="shared" si="399"/>
        <v>0</v>
      </c>
    </row>
    <row r="1482" spans="1:18" x14ac:dyDescent="0.15">
      <c r="A1482" s="15" t="s">
        <v>1620</v>
      </c>
      <c r="B1482" s="8">
        <v>1</v>
      </c>
      <c r="C1482" s="10">
        <v>5</v>
      </c>
      <c r="D1482" s="10">
        <v>4</v>
      </c>
      <c r="E1482" s="10">
        <v>3</v>
      </c>
      <c r="F1482" s="30"/>
      <c r="G1482" s="7">
        <f t="shared" si="397"/>
        <v>13</v>
      </c>
      <c r="H1482" s="58">
        <v>45531</v>
      </c>
      <c r="I1482" s="15" t="s">
        <v>86</v>
      </c>
      <c r="J1482" s="8"/>
      <c r="K1482" s="10"/>
      <c r="L1482" s="10"/>
      <c r="M1482" s="10"/>
      <c r="N1482" s="30"/>
      <c r="O1482" s="7">
        <f t="shared" si="399"/>
        <v>0</v>
      </c>
    </row>
    <row r="1483" spans="1:18" ht="14.25" thickBot="1" x14ac:dyDescent="0.2">
      <c r="A1483" s="15" t="s">
        <v>86</v>
      </c>
      <c r="B1483" s="11"/>
      <c r="C1483" s="100"/>
      <c r="D1483" s="100"/>
      <c r="E1483" s="100"/>
      <c r="F1483" s="101"/>
      <c r="G1483" s="102">
        <f t="shared" si="397"/>
        <v>0</v>
      </c>
      <c r="H1483" s="58"/>
      <c r="I1483" s="15" t="s">
        <v>87</v>
      </c>
      <c r="J1483" s="8"/>
      <c r="K1483" s="10"/>
      <c r="L1483" s="10"/>
      <c r="M1483" s="10"/>
      <c r="N1483" s="30"/>
      <c r="O1483" s="7">
        <f t="shared" si="399"/>
        <v>0</v>
      </c>
    </row>
    <row r="1484" spans="1:18" ht="14.25" thickBot="1" x14ac:dyDescent="0.2">
      <c r="A1484" s="72" t="s">
        <v>7</v>
      </c>
      <c r="B1484" s="73">
        <f>SUM(B1475:B1483)</f>
        <v>12</v>
      </c>
      <c r="C1484" s="74">
        <f t="shared" ref="C1484:F1484" si="402">SUM(C1475:C1483)</f>
        <v>28</v>
      </c>
      <c r="D1484" s="74">
        <f t="shared" si="402"/>
        <v>19</v>
      </c>
      <c r="E1484" s="74">
        <f t="shared" si="402"/>
        <v>18</v>
      </c>
      <c r="F1484" s="105">
        <f t="shared" si="402"/>
        <v>9</v>
      </c>
      <c r="G1484" s="76">
        <f t="shared" si="397"/>
        <v>86</v>
      </c>
      <c r="H1484" s="56"/>
      <c r="I1484" s="72" t="s">
        <v>7</v>
      </c>
      <c r="J1484" s="73">
        <f>SUM(J1475:J1483)</f>
        <v>107</v>
      </c>
      <c r="K1484" s="74">
        <f t="shared" ref="K1484:N1484" si="403">SUM(K1475:K1483)</f>
        <v>19</v>
      </c>
      <c r="L1484" s="74">
        <f t="shared" si="403"/>
        <v>12</v>
      </c>
      <c r="M1484" s="74">
        <f t="shared" si="403"/>
        <v>53</v>
      </c>
      <c r="N1484" s="105">
        <f t="shared" si="403"/>
        <v>94</v>
      </c>
      <c r="O1484" s="76">
        <f t="shared" si="399"/>
        <v>285</v>
      </c>
    </row>
    <row r="1485" spans="1:18" x14ac:dyDescent="0.15">
      <c r="A1485" s="16" t="s">
        <v>29</v>
      </c>
      <c r="B1485" s="8"/>
      <c r="C1485" s="10">
        <v>1</v>
      </c>
      <c r="D1485" s="10"/>
      <c r="E1485" s="10"/>
      <c r="F1485" s="30"/>
      <c r="G1485" s="9">
        <f t="shared" si="397"/>
        <v>1</v>
      </c>
      <c r="H1485" s="58">
        <v>45441</v>
      </c>
      <c r="I1485" s="14"/>
      <c r="J1485" s="11"/>
      <c r="K1485" s="12"/>
      <c r="L1485" s="12"/>
      <c r="M1485" s="12"/>
      <c r="N1485" s="31"/>
      <c r="O1485" s="7">
        <f t="shared" si="399"/>
        <v>0</v>
      </c>
    </row>
    <row r="1486" spans="1:18" x14ac:dyDescent="0.15">
      <c r="A1486" s="16" t="s">
        <v>29</v>
      </c>
      <c r="B1486" s="8"/>
      <c r="C1486" s="10">
        <v>1</v>
      </c>
      <c r="D1486" s="10"/>
      <c r="E1486" s="10"/>
      <c r="F1486" s="30"/>
      <c r="G1486" s="9">
        <f t="shared" si="397"/>
        <v>1</v>
      </c>
      <c r="H1486" s="58">
        <v>45442</v>
      </c>
      <c r="I1486" s="14"/>
      <c r="J1486" s="11"/>
      <c r="K1486" s="12"/>
      <c r="L1486" s="12"/>
      <c r="M1486" s="12"/>
      <c r="N1486" s="31"/>
      <c r="O1486" s="7">
        <f t="shared" ref="O1486:O1495" si="404">SUM(J1486:N1486)</f>
        <v>0</v>
      </c>
    </row>
    <row r="1487" spans="1:18" x14ac:dyDescent="0.15">
      <c r="A1487" s="16" t="s">
        <v>29</v>
      </c>
      <c r="B1487" s="8">
        <v>1</v>
      </c>
      <c r="C1487" s="10"/>
      <c r="D1487" s="10"/>
      <c r="E1487" s="10"/>
      <c r="F1487" s="30"/>
      <c r="G1487" s="9">
        <f t="shared" si="397"/>
        <v>1</v>
      </c>
      <c r="H1487" s="58">
        <v>45450</v>
      </c>
      <c r="I1487" s="14"/>
      <c r="J1487" s="11"/>
      <c r="K1487" s="12"/>
      <c r="L1487" s="12"/>
      <c r="M1487" s="12"/>
      <c r="N1487" s="31"/>
      <c r="O1487" s="7">
        <f t="shared" si="404"/>
        <v>0</v>
      </c>
    </row>
    <row r="1488" spans="1:18" x14ac:dyDescent="0.15">
      <c r="A1488" s="16" t="s">
        <v>117</v>
      </c>
      <c r="B1488" s="8"/>
      <c r="C1488" s="10">
        <v>1</v>
      </c>
      <c r="D1488" s="10"/>
      <c r="E1488" s="10"/>
      <c r="F1488" s="30"/>
      <c r="G1488" s="9">
        <f t="shared" si="397"/>
        <v>1</v>
      </c>
      <c r="H1488" s="58">
        <v>45455</v>
      </c>
      <c r="I1488" s="14"/>
      <c r="J1488" s="11"/>
      <c r="K1488" s="12"/>
      <c r="L1488" s="12"/>
      <c r="M1488" s="12"/>
      <c r="N1488" s="31"/>
      <c r="O1488" s="7">
        <f t="shared" si="404"/>
        <v>0</v>
      </c>
    </row>
    <row r="1489" spans="1:15" x14ac:dyDescent="0.15">
      <c r="A1489" s="16" t="s">
        <v>29</v>
      </c>
      <c r="B1489" s="8"/>
      <c r="C1489" s="10"/>
      <c r="D1489" s="10"/>
      <c r="E1489" s="10"/>
      <c r="F1489" s="30">
        <v>1</v>
      </c>
      <c r="G1489" s="9">
        <f t="shared" si="397"/>
        <v>1</v>
      </c>
      <c r="H1489" s="58">
        <v>45454</v>
      </c>
      <c r="I1489" s="14"/>
      <c r="J1489" s="11"/>
      <c r="K1489" s="12"/>
      <c r="L1489" s="12"/>
      <c r="M1489" s="12"/>
      <c r="N1489" s="31"/>
      <c r="O1489" s="7">
        <f t="shared" si="404"/>
        <v>0</v>
      </c>
    </row>
    <row r="1490" spans="1:15" x14ac:dyDescent="0.15">
      <c r="A1490" s="16" t="s">
        <v>29</v>
      </c>
      <c r="B1490" s="8"/>
      <c r="C1490" s="10"/>
      <c r="D1490" s="10"/>
      <c r="E1490" s="10">
        <v>1</v>
      </c>
      <c r="F1490" s="30"/>
      <c r="G1490" s="9">
        <f t="shared" si="397"/>
        <v>1</v>
      </c>
      <c r="H1490" s="58">
        <v>45455</v>
      </c>
      <c r="I1490" s="14"/>
      <c r="J1490" s="11"/>
      <c r="K1490" s="12"/>
      <c r="L1490" s="12"/>
      <c r="M1490" s="12"/>
      <c r="N1490" s="31"/>
      <c r="O1490" s="7">
        <f t="shared" si="404"/>
        <v>0</v>
      </c>
    </row>
    <row r="1491" spans="1:15" x14ac:dyDescent="0.15">
      <c r="A1491" s="16" t="s">
        <v>29</v>
      </c>
      <c r="B1491" s="8">
        <v>1</v>
      </c>
      <c r="C1491" s="10"/>
      <c r="D1491" s="10"/>
      <c r="E1491" s="10"/>
      <c r="F1491" s="30"/>
      <c r="G1491" s="9">
        <f t="shared" si="397"/>
        <v>1</v>
      </c>
      <c r="H1491" s="58">
        <v>45457</v>
      </c>
      <c r="I1491" s="14"/>
      <c r="J1491" s="11"/>
      <c r="K1491" s="12"/>
      <c r="L1491" s="12"/>
      <c r="M1491" s="12"/>
      <c r="N1491" s="31"/>
      <c r="O1491" s="7">
        <f t="shared" si="404"/>
        <v>0</v>
      </c>
    </row>
    <row r="1492" spans="1:15" x14ac:dyDescent="0.15">
      <c r="A1492" s="16" t="s">
        <v>1155</v>
      </c>
      <c r="B1492" s="8">
        <v>2</v>
      </c>
      <c r="C1492" s="10">
        <v>12</v>
      </c>
      <c r="D1492" s="10">
        <v>9</v>
      </c>
      <c r="E1492" s="10">
        <v>6</v>
      </c>
      <c r="F1492" s="30"/>
      <c r="G1492" s="9">
        <f t="shared" si="397"/>
        <v>29</v>
      </c>
      <c r="H1492" s="58">
        <v>45458</v>
      </c>
      <c r="I1492" s="14"/>
      <c r="J1492" s="11"/>
      <c r="K1492" s="12"/>
      <c r="L1492" s="12"/>
      <c r="M1492" s="12"/>
      <c r="N1492" s="31"/>
      <c r="O1492" s="7">
        <f t="shared" si="404"/>
        <v>0</v>
      </c>
    </row>
    <row r="1493" spans="1:15" x14ac:dyDescent="0.15">
      <c r="A1493" s="16" t="s">
        <v>29</v>
      </c>
      <c r="B1493" s="8"/>
      <c r="C1493" s="10">
        <v>1</v>
      </c>
      <c r="D1493" s="10"/>
      <c r="E1493" s="10">
        <v>1</v>
      </c>
      <c r="F1493" s="30"/>
      <c r="G1493" s="9">
        <f t="shared" si="397"/>
        <v>2</v>
      </c>
      <c r="H1493" s="58">
        <v>45460</v>
      </c>
      <c r="I1493" s="14"/>
      <c r="J1493" s="11"/>
      <c r="K1493" s="12"/>
      <c r="L1493" s="12"/>
      <c r="M1493" s="12"/>
      <c r="N1493" s="31"/>
      <c r="O1493" s="7">
        <f t="shared" si="404"/>
        <v>0</v>
      </c>
    </row>
    <row r="1494" spans="1:15" x14ac:dyDescent="0.15">
      <c r="A1494" s="16" t="s">
        <v>29</v>
      </c>
      <c r="B1494" s="8"/>
      <c r="C1494" s="10"/>
      <c r="D1494" s="10"/>
      <c r="E1494" s="10"/>
      <c r="F1494" s="30">
        <v>1</v>
      </c>
      <c r="G1494" s="9">
        <f t="shared" si="397"/>
        <v>1</v>
      </c>
      <c r="H1494" s="58">
        <v>45474</v>
      </c>
      <c r="I1494" s="14"/>
      <c r="J1494" s="11"/>
      <c r="K1494" s="12"/>
      <c r="L1494" s="12"/>
      <c r="M1494" s="12"/>
      <c r="N1494" s="31"/>
      <c r="O1494" s="7">
        <f t="shared" si="404"/>
        <v>0</v>
      </c>
    </row>
    <row r="1495" spans="1:15" x14ac:dyDescent="0.15">
      <c r="A1495" s="16" t="s">
        <v>29</v>
      </c>
      <c r="B1495" s="8"/>
      <c r="C1495" s="10"/>
      <c r="D1495" s="10"/>
      <c r="E1495" s="10">
        <v>1</v>
      </c>
      <c r="F1495" s="30"/>
      <c r="G1495" s="9">
        <f t="shared" si="397"/>
        <v>1</v>
      </c>
      <c r="H1495" s="58">
        <v>45479</v>
      </c>
      <c r="I1495" s="14"/>
      <c r="J1495" s="11"/>
      <c r="K1495" s="12"/>
      <c r="L1495" s="12"/>
      <c r="M1495" s="12"/>
      <c r="N1495" s="31"/>
      <c r="O1495" s="7">
        <f t="shared" si="404"/>
        <v>0</v>
      </c>
    </row>
    <row r="1496" spans="1:15" x14ac:dyDescent="0.15">
      <c r="A1496" s="16" t="s">
        <v>696</v>
      </c>
      <c r="B1496" s="8"/>
      <c r="C1496" s="10"/>
      <c r="D1496" s="10"/>
      <c r="E1496" s="10">
        <v>-1</v>
      </c>
      <c r="F1496" s="30"/>
      <c r="G1496" s="9">
        <f t="shared" si="397"/>
        <v>-1</v>
      </c>
      <c r="H1496" s="58">
        <v>45483</v>
      </c>
      <c r="I1496" s="14"/>
      <c r="J1496" s="11"/>
      <c r="K1496" s="12"/>
      <c r="L1496" s="12"/>
      <c r="M1496" s="12"/>
      <c r="N1496" s="31"/>
      <c r="O1496" s="7">
        <f t="shared" si="399"/>
        <v>0</v>
      </c>
    </row>
    <row r="1497" spans="1:15" x14ac:dyDescent="0.15">
      <c r="A1497" s="16" t="s">
        <v>29</v>
      </c>
      <c r="B1497" s="8"/>
      <c r="C1497" s="10"/>
      <c r="D1497" s="10"/>
      <c r="E1497" s="10"/>
      <c r="F1497" s="30">
        <v>1</v>
      </c>
      <c r="G1497" s="9">
        <f t="shared" si="397"/>
        <v>1</v>
      </c>
      <c r="H1497" s="58">
        <v>45484</v>
      </c>
      <c r="I1497" s="14"/>
      <c r="J1497" s="11"/>
      <c r="K1497" s="12"/>
      <c r="L1497" s="12"/>
      <c r="M1497" s="12"/>
      <c r="N1497" s="31"/>
      <c r="O1497" s="7">
        <f t="shared" si="399"/>
        <v>0</v>
      </c>
    </row>
    <row r="1498" spans="1:15" x14ac:dyDescent="0.15">
      <c r="A1498" s="16" t="s">
        <v>29</v>
      </c>
      <c r="B1498" s="8"/>
      <c r="C1498" s="10">
        <v>1</v>
      </c>
      <c r="D1498" s="10"/>
      <c r="E1498" s="10"/>
      <c r="F1498" s="30">
        <v>1</v>
      </c>
      <c r="G1498" s="9">
        <f t="shared" si="397"/>
        <v>2</v>
      </c>
      <c r="H1498" s="58">
        <v>45485</v>
      </c>
      <c r="I1498" s="14"/>
      <c r="J1498" s="11"/>
      <c r="K1498" s="12"/>
      <c r="L1498" s="12"/>
      <c r="M1498" s="12"/>
      <c r="N1498" s="31"/>
      <c r="O1498" s="7">
        <f t="shared" si="399"/>
        <v>0</v>
      </c>
    </row>
    <row r="1499" spans="1:15" x14ac:dyDescent="0.15">
      <c r="A1499" s="16" t="s">
        <v>29</v>
      </c>
      <c r="B1499" s="8">
        <v>1</v>
      </c>
      <c r="C1499" s="10"/>
      <c r="D1499" s="10">
        <v>1</v>
      </c>
      <c r="E1499" s="10"/>
      <c r="F1499" s="30"/>
      <c r="G1499" s="9">
        <f t="shared" si="397"/>
        <v>2</v>
      </c>
      <c r="H1499" s="58">
        <v>45489</v>
      </c>
      <c r="I1499" s="14"/>
      <c r="J1499" s="11"/>
      <c r="K1499" s="12"/>
      <c r="L1499" s="12"/>
      <c r="M1499" s="12"/>
      <c r="N1499" s="31"/>
      <c r="O1499" s="7">
        <f t="shared" si="399"/>
        <v>0</v>
      </c>
    </row>
    <row r="1500" spans="1:15" x14ac:dyDescent="0.15">
      <c r="A1500" s="16" t="s">
        <v>29</v>
      </c>
      <c r="B1500" s="8"/>
      <c r="C1500" s="10"/>
      <c r="D1500" s="10"/>
      <c r="E1500" s="10">
        <v>1</v>
      </c>
      <c r="F1500" s="30"/>
      <c r="G1500" s="9">
        <f t="shared" si="397"/>
        <v>1</v>
      </c>
      <c r="H1500" s="58">
        <v>45497</v>
      </c>
      <c r="I1500" s="14"/>
      <c r="J1500" s="11"/>
      <c r="K1500" s="12"/>
      <c r="L1500" s="12"/>
      <c r="M1500" s="12"/>
      <c r="N1500" s="31"/>
      <c r="O1500" s="7">
        <f t="shared" si="399"/>
        <v>0</v>
      </c>
    </row>
    <row r="1501" spans="1:15" x14ac:dyDescent="0.15">
      <c r="A1501" s="16" t="s">
        <v>29</v>
      </c>
      <c r="B1501" s="8"/>
      <c r="C1501" s="10">
        <v>1</v>
      </c>
      <c r="D1501" s="10"/>
      <c r="E1501" s="10"/>
      <c r="F1501" s="30"/>
      <c r="G1501" s="9">
        <f t="shared" si="397"/>
        <v>1</v>
      </c>
      <c r="H1501" s="58">
        <v>45502</v>
      </c>
      <c r="I1501" s="14"/>
      <c r="J1501" s="11"/>
      <c r="K1501" s="12"/>
      <c r="L1501" s="12"/>
      <c r="M1501" s="12"/>
      <c r="N1501" s="31"/>
      <c r="O1501" s="7">
        <f t="shared" si="399"/>
        <v>0</v>
      </c>
    </row>
    <row r="1502" spans="1:15" x14ac:dyDescent="0.15">
      <c r="A1502" s="16" t="s">
        <v>29</v>
      </c>
      <c r="B1502" s="8"/>
      <c r="C1502" s="10">
        <v>1</v>
      </c>
      <c r="D1502" s="10"/>
      <c r="E1502" s="10"/>
      <c r="F1502" s="30"/>
      <c r="G1502" s="9">
        <f t="shared" si="397"/>
        <v>1</v>
      </c>
      <c r="H1502" s="58">
        <v>45507</v>
      </c>
      <c r="I1502" s="14"/>
      <c r="J1502" s="11"/>
      <c r="K1502" s="12"/>
      <c r="L1502" s="12"/>
      <c r="M1502" s="12"/>
      <c r="N1502" s="31"/>
      <c r="O1502" s="7">
        <f t="shared" si="399"/>
        <v>0</v>
      </c>
    </row>
    <row r="1503" spans="1:15" x14ac:dyDescent="0.15">
      <c r="A1503" s="16" t="s">
        <v>29</v>
      </c>
      <c r="B1503" s="8"/>
      <c r="C1503" s="10">
        <v>1</v>
      </c>
      <c r="D1503" s="10"/>
      <c r="E1503" s="10"/>
      <c r="F1503" s="30"/>
      <c r="G1503" s="9">
        <f t="shared" si="397"/>
        <v>1</v>
      </c>
      <c r="H1503" s="58">
        <v>45511</v>
      </c>
      <c r="I1503" s="14"/>
      <c r="J1503" s="11"/>
      <c r="K1503" s="12"/>
      <c r="L1503" s="12"/>
      <c r="M1503" s="12"/>
      <c r="N1503" s="31"/>
      <c r="O1503" s="7">
        <f t="shared" si="399"/>
        <v>0</v>
      </c>
    </row>
    <row r="1504" spans="1:15" x14ac:dyDescent="0.15">
      <c r="A1504" s="16" t="s">
        <v>29</v>
      </c>
      <c r="B1504" s="8"/>
      <c r="C1504" s="10">
        <v>1</v>
      </c>
      <c r="D1504" s="10"/>
      <c r="E1504" s="10"/>
      <c r="F1504" s="30"/>
      <c r="G1504" s="9">
        <f t="shared" si="397"/>
        <v>1</v>
      </c>
      <c r="H1504" s="58">
        <v>45512</v>
      </c>
      <c r="I1504" s="14"/>
      <c r="J1504" s="11"/>
      <c r="K1504" s="12"/>
      <c r="L1504" s="12"/>
      <c r="M1504" s="12"/>
      <c r="N1504" s="31"/>
      <c r="O1504" s="7">
        <f t="shared" si="399"/>
        <v>0</v>
      </c>
    </row>
    <row r="1505" spans="1:15" x14ac:dyDescent="0.15">
      <c r="A1505" s="16" t="s">
        <v>29</v>
      </c>
      <c r="B1505" s="8"/>
      <c r="C1505" s="10"/>
      <c r="D1505" s="10"/>
      <c r="E1505" s="10"/>
      <c r="F1505" s="30">
        <v>1</v>
      </c>
      <c r="G1505" s="9">
        <f t="shared" si="397"/>
        <v>1</v>
      </c>
      <c r="H1505" s="58">
        <v>45513</v>
      </c>
      <c r="I1505" s="14"/>
      <c r="J1505" s="11"/>
      <c r="K1505" s="12"/>
      <c r="L1505" s="12"/>
      <c r="M1505" s="12"/>
      <c r="N1505" s="31"/>
      <c r="O1505" s="7">
        <f t="shared" si="399"/>
        <v>0</v>
      </c>
    </row>
    <row r="1506" spans="1:15" x14ac:dyDescent="0.15">
      <c r="A1506" s="16" t="s">
        <v>29</v>
      </c>
      <c r="B1506" s="8"/>
      <c r="C1506" s="10">
        <v>1</v>
      </c>
      <c r="D1506" s="10"/>
      <c r="E1506" s="10"/>
      <c r="F1506" s="30"/>
      <c r="G1506" s="9">
        <f t="shared" si="397"/>
        <v>1</v>
      </c>
      <c r="H1506" s="58">
        <v>45520</v>
      </c>
      <c r="I1506" s="14"/>
      <c r="J1506" s="11"/>
      <c r="K1506" s="12"/>
      <c r="L1506" s="12"/>
      <c r="M1506" s="12"/>
      <c r="N1506" s="31"/>
      <c r="O1506" s="7">
        <f t="shared" si="399"/>
        <v>0</v>
      </c>
    </row>
    <row r="1507" spans="1:15" x14ac:dyDescent="0.15">
      <c r="A1507" s="16" t="s">
        <v>117</v>
      </c>
      <c r="B1507" s="8"/>
      <c r="C1507" s="10"/>
      <c r="D1507" s="10"/>
      <c r="E1507" s="10">
        <v>1</v>
      </c>
      <c r="F1507" s="30"/>
      <c r="G1507" s="9">
        <f t="shared" si="397"/>
        <v>1</v>
      </c>
      <c r="H1507" s="58">
        <v>45526</v>
      </c>
      <c r="I1507" s="14"/>
      <c r="J1507" s="11"/>
      <c r="K1507" s="12"/>
      <c r="L1507" s="12"/>
      <c r="M1507" s="12"/>
      <c r="N1507" s="31"/>
      <c r="O1507" s="7">
        <f t="shared" si="399"/>
        <v>0</v>
      </c>
    </row>
    <row r="1508" spans="1:15" x14ac:dyDescent="0.15">
      <c r="A1508" s="16" t="s">
        <v>117</v>
      </c>
      <c r="B1508" s="8"/>
      <c r="C1508" s="10"/>
      <c r="D1508" s="10"/>
      <c r="E1508" s="10">
        <v>1</v>
      </c>
      <c r="F1508" s="30"/>
      <c r="G1508" s="9">
        <f t="shared" si="397"/>
        <v>1</v>
      </c>
      <c r="H1508" s="58">
        <v>45531</v>
      </c>
      <c r="I1508" s="14"/>
      <c r="J1508" s="11"/>
      <c r="K1508" s="12"/>
      <c r="L1508" s="12"/>
      <c r="M1508" s="12"/>
      <c r="N1508" s="31"/>
      <c r="O1508" s="7">
        <f t="shared" si="399"/>
        <v>0</v>
      </c>
    </row>
    <row r="1509" spans="1:15" x14ac:dyDescent="0.15">
      <c r="A1509" s="16" t="s">
        <v>1155</v>
      </c>
      <c r="B1509" s="8">
        <v>1</v>
      </c>
      <c r="C1509" s="10">
        <v>5</v>
      </c>
      <c r="D1509" s="10">
        <v>4</v>
      </c>
      <c r="E1509" s="10">
        <v>3</v>
      </c>
      <c r="F1509" s="30"/>
      <c r="G1509" s="9">
        <f t="shared" si="397"/>
        <v>13</v>
      </c>
      <c r="H1509" s="58">
        <v>45535</v>
      </c>
      <c r="I1509" s="14"/>
      <c r="J1509" s="11"/>
      <c r="K1509" s="12"/>
      <c r="L1509" s="12"/>
      <c r="M1509" s="12"/>
      <c r="N1509" s="31"/>
      <c r="O1509" s="7">
        <f t="shared" ref="O1509:O1510" si="405">SUM(J1509:N1509)</f>
        <v>0</v>
      </c>
    </row>
    <row r="1510" spans="1:15" ht="14.25" thickBot="1" x14ac:dyDescent="0.2">
      <c r="A1510" s="16"/>
      <c r="B1510" s="8"/>
      <c r="C1510" s="10"/>
      <c r="D1510" s="10"/>
      <c r="E1510" s="10"/>
      <c r="F1510" s="30"/>
      <c r="G1510" s="9">
        <f t="shared" si="397"/>
        <v>0</v>
      </c>
      <c r="H1510" s="58"/>
      <c r="I1510" s="14"/>
      <c r="J1510" s="11"/>
      <c r="K1510" s="12"/>
      <c r="L1510" s="12"/>
      <c r="M1510" s="12"/>
      <c r="N1510" s="31"/>
      <c r="O1510" s="7">
        <f t="shared" si="405"/>
        <v>0</v>
      </c>
    </row>
    <row r="1511" spans="1:15" ht="14.25" thickBot="1" x14ac:dyDescent="0.2">
      <c r="A1511" s="3" t="s">
        <v>11</v>
      </c>
      <c r="B1511" s="23">
        <f>SUM(B1485:B1510)</f>
        <v>6</v>
      </c>
      <c r="C1511" s="4">
        <f>SUM(C1485:C1510)</f>
        <v>27</v>
      </c>
      <c r="D1511" s="4">
        <f>SUM(D1485:D1510)</f>
        <v>14</v>
      </c>
      <c r="E1511" s="6">
        <f>SUM(E1485:E1510)</f>
        <v>14</v>
      </c>
      <c r="F1511" s="32">
        <f>SUM(F1485:F1510)</f>
        <v>5</v>
      </c>
      <c r="G1511" s="5">
        <f>SUM(B1511:F1511)</f>
        <v>66</v>
      </c>
      <c r="H1511" s="56"/>
      <c r="I1511" s="3" t="s">
        <v>11</v>
      </c>
      <c r="J1511" s="23">
        <f>SUM(J1485:J1510)</f>
        <v>0</v>
      </c>
      <c r="K1511" s="4">
        <f>SUM(K1485:K1510)</f>
        <v>0</v>
      </c>
      <c r="L1511" s="4">
        <f>SUM(L1485:L1510)</f>
        <v>0</v>
      </c>
      <c r="M1511" s="6">
        <f>SUM(M1485:M1510)</f>
        <v>0</v>
      </c>
      <c r="N1511" s="32">
        <f>SUM(N1485:N1510)</f>
        <v>0</v>
      </c>
      <c r="O1511" s="5">
        <f>SUM(J1511:N1511)</f>
        <v>0</v>
      </c>
    </row>
    <row r="1512" spans="1:15" ht="14.25" thickBot="1" x14ac:dyDescent="0.2">
      <c r="A1512" s="25" t="s">
        <v>12</v>
      </c>
      <c r="B1512" s="63">
        <f>B1484-B1511</f>
        <v>6</v>
      </c>
      <c r="C1512" s="26">
        <f t="shared" ref="C1512:G1512" si="406">C1484-C1511</f>
        <v>1</v>
      </c>
      <c r="D1512" s="71">
        <f t="shared" si="406"/>
        <v>5</v>
      </c>
      <c r="E1512" s="26">
        <f t="shared" si="406"/>
        <v>4</v>
      </c>
      <c r="F1512" s="70">
        <f t="shared" si="406"/>
        <v>4</v>
      </c>
      <c r="G1512" s="27">
        <f t="shared" si="406"/>
        <v>20</v>
      </c>
      <c r="H1512" s="56"/>
      <c r="I1512" s="25" t="s">
        <v>12</v>
      </c>
      <c r="J1512" s="63">
        <f>J1484-J1511</f>
        <v>107</v>
      </c>
      <c r="K1512" s="26">
        <f t="shared" ref="K1512:M1512" si="407">K1484-K1511</f>
        <v>19</v>
      </c>
      <c r="L1512" s="71">
        <f t="shared" si="407"/>
        <v>12</v>
      </c>
      <c r="M1512" s="26">
        <f t="shared" si="407"/>
        <v>53</v>
      </c>
      <c r="N1512" s="70">
        <f>N1484-N1511</f>
        <v>94</v>
      </c>
      <c r="O1512" s="27">
        <f t="shared" ref="O1512" si="408">O1484-O1511</f>
        <v>285</v>
      </c>
    </row>
    <row r="1513" spans="1:15" ht="21" x14ac:dyDescent="0.2">
      <c r="A1513" s="83" t="s">
        <v>415</v>
      </c>
      <c r="B1513" s="77"/>
      <c r="C1513" s="77"/>
      <c r="D1513" s="77"/>
      <c r="E1513" s="77"/>
      <c r="F1513" s="77"/>
      <c r="G1513" s="77"/>
      <c r="H1513" s="56"/>
      <c r="I1513" s="83" t="s">
        <v>415</v>
      </c>
      <c r="J1513" s="77">
        <f>J1511+J1469+J1427+J1385+J1343+J1301+J1259+J1217+J1175+J1133+J1091+J1049+J1007+J965+J923+J881+J839+J797+J755+J713+J671+J629+J587+J545+J503+J461+J419+J377+J335+J293+J251+J209+J167+J125+J83</f>
        <v>453</v>
      </c>
      <c r="K1513" s="77">
        <f t="shared" ref="K1513:O1513" si="409">K1511+K1469+K1427+K1385+K1343+K1301+K1259+K1217+K1175+K1133+K1091+K1049+K1007+K965+K923+K881+K839+K797+K755+K713+K671+K629+K587+K545+K503+K461+K419+K377+K335+K293+K251+K209+K167+K125+K83</f>
        <v>774</v>
      </c>
      <c r="L1513" s="77">
        <f t="shared" si="409"/>
        <v>707</v>
      </c>
      <c r="M1513" s="77">
        <f t="shared" si="409"/>
        <v>651</v>
      </c>
      <c r="N1513" s="77">
        <f t="shared" si="409"/>
        <v>665</v>
      </c>
      <c r="O1513" s="77">
        <f t="shared" si="409"/>
        <v>3250</v>
      </c>
    </row>
    <row r="1514" spans="1:15" ht="21.75" thickBot="1" x14ac:dyDescent="0.25">
      <c r="A1514" s="83" t="s">
        <v>47</v>
      </c>
      <c r="B1514" s="77"/>
      <c r="C1514" s="77"/>
      <c r="D1514" s="77"/>
      <c r="E1514" s="84"/>
      <c r="F1514" s="78" t="s">
        <v>53</v>
      </c>
      <c r="G1514" s="77"/>
      <c r="H1514" s="56"/>
      <c r="I1514" s="83" t="s">
        <v>47</v>
      </c>
      <c r="J1514" s="77"/>
      <c r="K1514" s="77"/>
      <c r="L1514" s="77"/>
      <c r="M1514" s="84"/>
      <c r="N1514" s="78" t="s">
        <v>54</v>
      </c>
      <c r="O1514" s="77"/>
    </row>
    <row r="1515" spans="1:15" ht="14.25" thickBot="1" x14ac:dyDescent="0.2">
      <c r="A1515" s="13" t="s">
        <v>0</v>
      </c>
      <c r="B1515" s="228" t="s">
        <v>49</v>
      </c>
      <c r="C1515" s="229"/>
      <c r="D1515" s="229"/>
      <c r="E1515" s="229"/>
      <c r="F1515" s="230"/>
      <c r="G1515" s="231"/>
      <c r="H1515" s="56"/>
      <c r="I1515" s="13" t="s">
        <v>0</v>
      </c>
      <c r="J1515" s="228" t="s">
        <v>49</v>
      </c>
      <c r="K1515" s="229"/>
      <c r="L1515" s="229"/>
      <c r="M1515" s="229"/>
      <c r="N1515" s="230"/>
      <c r="O1515" s="231"/>
    </row>
    <row r="1516" spans="1:15" ht="14.25" thickBot="1" x14ac:dyDescent="0.2">
      <c r="A1516" s="3" t="s">
        <v>1</v>
      </c>
      <c r="B1516" s="2" t="s">
        <v>42</v>
      </c>
      <c r="C1516" s="21" t="s">
        <v>43</v>
      </c>
      <c r="D1516" s="21" t="s">
        <v>44</v>
      </c>
      <c r="E1516" s="24" t="s">
        <v>45</v>
      </c>
      <c r="F1516" s="33" t="s">
        <v>46</v>
      </c>
      <c r="G1516" s="34" t="s">
        <v>2</v>
      </c>
      <c r="H1516" s="56"/>
      <c r="I1516" s="3" t="s">
        <v>1</v>
      </c>
      <c r="J1516" s="2" t="s">
        <v>42</v>
      </c>
      <c r="K1516" s="21" t="s">
        <v>43</v>
      </c>
      <c r="L1516" s="21" t="s">
        <v>44</v>
      </c>
      <c r="M1516" s="24" t="s">
        <v>45</v>
      </c>
      <c r="N1516" s="33" t="s">
        <v>46</v>
      </c>
      <c r="O1516" s="3" t="s">
        <v>2</v>
      </c>
    </row>
    <row r="1517" spans="1:15" ht="14.25" thickBot="1" x14ac:dyDescent="0.2">
      <c r="A1517" s="72" t="s">
        <v>527</v>
      </c>
      <c r="B1517" s="73">
        <f>B1512</f>
        <v>6</v>
      </c>
      <c r="C1517" s="74">
        <f t="shared" ref="C1517:F1517" si="410">C1512</f>
        <v>1</v>
      </c>
      <c r="D1517" s="74">
        <f t="shared" si="410"/>
        <v>5</v>
      </c>
      <c r="E1517" s="74">
        <f t="shared" si="410"/>
        <v>4</v>
      </c>
      <c r="F1517" s="212">
        <f t="shared" si="410"/>
        <v>4</v>
      </c>
      <c r="G1517" s="76">
        <f t="shared" ref="G1517" si="411">SUM(B1517:F1517)</f>
        <v>20</v>
      </c>
      <c r="H1517" s="56"/>
      <c r="I1517" s="72" t="s">
        <v>12</v>
      </c>
      <c r="J1517" s="73">
        <f>J1512</f>
        <v>107</v>
      </c>
      <c r="K1517" s="74">
        <f t="shared" ref="K1517:N1517" si="412">K1512</f>
        <v>19</v>
      </c>
      <c r="L1517" s="74">
        <f t="shared" si="412"/>
        <v>12</v>
      </c>
      <c r="M1517" s="74">
        <f t="shared" si="412"/>
        <v>53</v>
      </c>
      <c r="N1517" s="131">
        <f t="shared" si="412"/>
        <v>94</v>
      </c>
      <c r="O1517" s="52">
        <f t="shared" ref="O1517:O1552" si="413">SUM(J1517:N1517)</f>
        <v>285</v>
      </c>
    </row>
    <row r="1518" spans="1:15" x14ac:dyDescent="0.15">
      <c r="A1518" s="15" t="s">
        <v>3</v>
      </c>
      <c r="B1518" s="8"/>
      <c r="C1518" s="10">
        <v>5</v>
      </c>
      <c r="D1518" s="10">
        <v>3</v>
      </c>
      <c r="E1518" s="10">
        <v>3</v>
      </c>
      <c r="F1518" s="30">
        <v>3</v>
      </c>
      <c r="G1518" s="7">
        <f t="shared" ref="G1518:G1525" si="414">SUM(B1518:F1518)</f>
        <v>14</v>
      </c>
      <c r="H1518" s="58">
        <v>45541</v>
      </c>
      <c r="I1518" s="15" t="s">
        <v>3</v>
      </c>
      <c r="J1518" s="8"/>
      <c r="K1518" s="10"/>
      <c r="L1518" s="10"/>
      <c r="M1518" s="10"/>
      <c r="N1518" s="30"/>
      <c r="O1518" s="7">
        <f t="shared" ref="O1518" si="415">SUM(J1518:N1518)</f>
        <v>0</v>
      </c>
    </row>
    <row r="1519" spans="1:15" x14ac:dyDescent="0.15">
      <c r="A1519" s="15" t="s">
        <v>4</v>
      </c>
      <c r="B1519" s="8"/>
      <c r="C1519" s="10"/>
      <c r="D1519" s="10"/>
      <c r="E1519" s="10"/>
      <c r="F1519" s="30">
        <v>3</v>
      </c>
      <c r="G1519" s="7">
        <f t="shared" si="414"/>
        <v>3</v>
      </c>
      <c r="H1519" s="58">
        <v>45555</v>
      </c>
      <c r="I1519" s="15" t="s">
        <v>4</v>
      </c>
      <c r="J1519" s="8"/>
      <c r="K1519" s="10"/>
      <c r="L1519" s="10"/>
      <c r="M1519" s="10"/>
      <c r="N1519" s="30"/>
      <c r="O1519" s="7">
        <f t="shared" si="413"/>
        <v>0</v>
      </c>
    </row>
    <row r="1520" spans="1:15" x14ac:dyDescent="0.15">
      <c r="A1520" s="15" t="s">
        <v>5</v>
      </c>
      <c r="B1520" s="8"/>
      <c r="C1520" s="10"/>
      <c r="D1520" s="10">
        <v>3</v>
      </c>
      <c r="E1520" s="10"/>
      <c r="F1520" s="30"/>
      <c r="G1520" s="7">
        <f t="shared" si="414"/>
        <v>3</v>
      </c>
      <c r="H1520" s="58">
        <v>45565</v>
      </c>
      <c r="I1520" s="15" t="s">
        <v>5</v>
      </c>
      <c r="J1520" s="8"/>
      <c r="K1520" s="10"/>
      <c r="L1520" s="10"/>
      <c r="M1520" s="10"/>
      <c r="N1520" s="30"/>
      <c r="O1520" s="7">
        <f t="shared" si="413"/>
        <v>0</v>
      </c>
    </row>
    <row r="1521" spans="1:17" x14ac:dyDescent="0.15">
      <c r="A1521" s="15" t="s">
        <v>6</v>
      </c>
      <c r="B1521" s="8"/>
      <c r="C1521" s="10">
        <v>5</v>
      </c>
      <c r="D1521" s="10"/>
      <c r="E1521" s="10"/>
      <c r="F1521" s="30"/>
      <c r="G1521" s="7">
        <f t="shared" si="414"/>
        <v>5</v>
      </c>
      <c r="H1521" s="58">
        <v>45573</v>
      </c>
      <c r="I1521" s="15" t="s">
        <v>6</v>
      </c>
      <c r="J1521" s="8"/>
      <c r="K1521" s="10"/>
      <c r="L1521" s="10"/>
      <c r="M1521" s="10"/>
      <c r="N1521" s="30"/>
      <c r="O1521" s="7">
        <f t="shared" si="413"/>
        <v>0</v>
      </c>
    </row>
    <row r="1522" spans="1:17" x14ac:dyDescent="0.15">
      <c r="A1522" s="15" t="s">
        <v>84</v>
      </c>
      <c r="B1522" s="8"/>
      <c r="C1522" s="10"/>
      <c r="D1522" s="10">
        <v>6</v>
      </c>
      <c r="E1522" s="10"/>
      <c r="F1522" s="30"/>
      <c r="G1522" s="7">
        <f t="shared" si="414"/>
        <v>6</v>
      </c>
      <c r="H1522" s="58">
        <v>45575</v>
      </c>
      <c r="I1522" s="15" t="s">
        <v>84</v>
      </c>
      <c r="J1522" s="8"/>
      <c r="K1522" s="10"/>
      <c r="L1522" s="10"/>
      <c r="M1522" s="10"/>
      <c r="N1522" s="30"/>
      <c r="O1522" s="7">
        <f t="shared" si="413"/>
        <v>0</v>
      </c>
    </row>
    <row r="1523" spans="1:17" x14ac:dyDescent="0.15">
      <c r="A1523" s="15" t="s">
        <v>85</v>
      </c>
      <c r="B1523" s="8"/>
      <c r="C1523" s="10"/>
      <c r="D1523" s="10"/>
      <c r="E1523" s="10">
        <v>3</v>
      </c>
      <c r="F1523" s="30"/>
      <c r="G1523" s="7">
        <f t="shared" si="414"/>
        <v>3</v>
      </c>
      <c r="H1523" s="58">
        <v>45594</v>
      </c>
      <c r="I1523" s="15" t="s">
        <v>85</v>
      </c>
      <c r="J1523" s="8"/>
      <c r="K1523" s="10"/>
      <c r="L1523" s="10"/>
      <c r="M1523" s="10"/>
      <c r="N1523" s="30"/>
      <c r="O1523" s="7">
        <f t="shared" si="413"/>
        <v>0</v>
      </c>
    </row>
    <row r="1524" spans="1:17" x14ac:dyDescent="0.15">
      <c r="A1524" s="15" t="s">
        <v>86</v>
      </c>
      <c r="B1524" s="8"/>
      <c r="C1524" s="10">
        <v>3</v>
      </c>
      <c r="D1524" s="10"/>
      <c r="E1524" s="10"/>
      <c r="F1524" s="30">
        <v>3</v>
      </c>
      <c r="G1524" s="7">
        <f t="shared" si="414"/>
        <v>6</v>
      </c>
      <c r="H1524" s="58">
        <v>45612</v>
      </c>
      <c r="I1524" s="15" t="s">
        <v>86</v>
      </c>
      <c r="J1524" s="8"/>
      <c r="K1524" s="10"/>
      <c r="L1524" s="10"/>
      <c r="M1524" s="10"/>
      <c r="N1524" s="30"/>
      <c r="O1524" s="7">
        <f t="shared" si="413"/>
        <v>0</v>
      </c>
    </row>
    <row r="1525" spans="1:17" ht="14.25" thickBot="1" x14ac:dyDescent="0.2">
      <c r="A1525" s="15" t="s">
        <v>87</v>
      </c>
      <c r="B1525" s="8"/>
      <c r="C1525" s="10"/>
      <c r="D1525" s="10"/>
      <c r="E1525" s="10"/>
      <c r="F1525" s="30"/>
      <c r="G1525" s="7">
        <f t="shared" si="414"/>
        <v>0</v>
      </c>
      <c r="I1525" s="15" t="s">
        <v>87</v>
      </c>
      <c r="J1525" s="8"/>
      <c r="K1525" s="10"/>
      <c r="L1525" s="10"/>
      <c r="M1525" s="10"/>
      <c r="N1525" s="30"/>
      <c r="O1525" s="7">
        <f t="shared" si="413"/>
        <v>0</v>
      </c>
    </row>
    <row r="1526" spans="1:17" ht="14.25" thickBot="1" x14ac:dyDescent="0.2">
      <c r="A1526" s="72" t="s">
        <v>7</v>
      </c>
      <c r="B1526" s="73">
        <f>SUM(B1517:B1525)</f>
        <v>6</v>
      </c>
      <c r="C1526" s="74">
        <f t="shared" ref="C1526:F1526" si="416">SUM(C1517:C1525)</f>
        <v>14</v>
      </c>
      <c r="D1526" s="74">
        <f t="shared" si="416"/>
        <v>17</v>
      </c>
      <c r="E1526" s="74">
        <f t="shared" si="416"/>
        <v>10</v>
      </c>
      <c r="F1526" s="105">
        <f t="shared" si="416"/>
        <v>13</v>
      </c>
      <c r="G1526" s="76">
        <f t="shared" ref="G1526" si="417">SUM(B1526:F1526)</f>
        <v>60</v>
      </c>
      <c r="H1526" s="56"/>
      <c r="I1526" s="72" t="s">
        <v>7</v>
      </c>
      <c r="J1526" s="73">
        <f>SUM(J1517:J1525)</f>
        <v>107</v>
      </c>
      <c r="K1526" s="74">
        <f t="shared" ref="K1526:N1526" si="418">SUM(K1517:K1525)</f>
        <v>19</v>
      </c>
      <c r="L1526" s="74">
        <f t="shared" si="418"/>
        <v>12</v>
      </c>
      <c r="M1526" s="74">
        <f t="shared" si="418"/>
        <v>53</v>
      </c>
      <c r="N1526" s="105">
        <f t="shared" si="418"/>
        <v>94</v>
      </c>
      <c r="O1526" s="76">
        <f t="shared" si="413"/>
        <v>285</v>
      </c>
    </row>
    <row r="1527" spans="1:17" x14ac:dyDescent="0.15">
      <c r="A1527" s="16" t="s">
        <v>29</v>
      </c>
      <c r="B1527" s="11"/>
      <c r="C1527" s="12"/>
      <c r="D1527" s="12">
        <v>1</v>
      </c>
      <c r="E1527" s="12"/>
      <c r="F1527" s="31"/>
      <c r="G1527" s="7">
        <f t="shared" ref="G1527:G1552" si="419">SUM(B1527:F1527)</f>
        <v>1</v>
      </c>
      <c r="H1527" s="57">
        <v>45539</v>
      </c>
      <c r="I1527" s="15" t="s">
        <v>24</v>
      </c>
      <c r="J1527" s="11"/>
      <c r="K1527" s="12">
        <v>5</v>
      </c>
      <c r="L1527" s="12">
        <v>3</v>
      </c>
      <c r="M1527" s="12">
        <v>3</v>
      </c>
      <c r="N1527" s="31">
        <v>3</v>
      </c>
      <c r="O1527" s="7">
        <f t="shared" si="413"/>
        <v>14</v>
      </c>
      <c r="P1527" s="58">
        <v>45541</v>
      </c>
      <c r="Q1527" s="56"/>
    </row>
    <row r="1528" spans="1:17" x14ac:dyDescent="0.15">
      <c r="A1528" s="14" t="s">
        <v>1634</v>
      </c>
      <c r="B1528" s="11"/>
      <c r="C1528" s="12"/>
      <c r="D1528" s="12"/>
      <c r="E1528" s="12"/>
      <c r="F1528" s="31">
        <v>1</v>
      </c>
      <c r="G1528" s="7">
        <f t="shared" si="419"/>
        <v>1</v>
      </c>
      <c r="H1528" s="58">
        <v>45541</v>
      </c>
      <c r="I1528" s="15" t="s">
        <v>24</v>
      </c>
      <c r="J1528" s="11"/>
      <c r="K1528" s="12"/>
      <c r="L1528" s="12"/>
      <c r="M1528" s="12"/>
      <c r="N1528" s="31">
        <v>3</v>
      </c>
      <c r="O1528" s="7">
        <f t="shared" si="413"/>
        <v>3</v>
      </c>
      <c r="P1528" s="58">
        <v>45555</v>
      </c>
      <c r="Q1528" s="56"/>
    </row>
    <row r="1529" spans="1:17" x14ac:dyDescent="0.15">
      <c r="A1529" s="16" t="s">
        <v>29</v>
      </c>
      <c r="B1529" s="11"/>
      <c r="C1529" s="12">
        <v>1</v>
      </c>
      <c r="D1529" s="12">
        <v>2</v>
      </c>
      <c r="E1529" s="12">
        <v>1</v>
      </c>
      <c r="F1529" s="31"/>
      <c r="G1529" s="7">
        <f t="shared" si="419"/>
        <v>4</v>
      </c>
      <c r="H1529" s="58">
        <v>45540</v>
      </c>
      <c r="I1529" s="15" t="s">
        <v>24</v>
      </c>
      <c r="J1529" s="11"/>
      <c r="K1529" s="12"/>
      <c r="L1529" s="12">
        <v>3</v>
      </c>
      <c r="M1529" s="12"/>
      <c r="N1529" s="31"/>
      <c r="O1529" s="7">
        <f t="shared" si="413"/>
        <v>3</v>
      </c>
      <c r="P1529" s="58">
        <v>45565</v>
      </c>
      <c r="Q1529" s="56"/>
    </row>
    <row r="1530" spans="1:17" x14ac:dyDescent="0.15">
      <c r="A1530" s="16" t="s">
        <v>29</v>
      </c>
      <c r="B1530" s="11"/>
      <c r="C1530" s="12">
        <v>1</v>
      </c>
      <c r="D1530" s="12">
        <v>1</v>
      </c>
      <c r="E1530" s="12"/>
      <c r="F1530" s="31"/>
      <c r="G1530" s="7">
        <f t="shared" si="419"/>
        <v>2</v>
      </c>
      <c r="H1530" s="58">
        <v>45541</v>
      </c>
      <c r="I1530" s="15" t="s">
        <v>24</v>
      </c>
      <c r="J1530" s="11"/>
      <c r="K1530" s="12">
        <v>5</v>
      </c>
      <c r="L1530" s="12"/>
      <c r="M1530" s="12"/>
      <c r="N1530" s="31"/>
      <c r="O1530" s="7">
        <f t="shared" si="413"/>
        <v>5</v>
      </c>
      <c r="P1530" s="58">
        <v>45573</v>
      </c>
      <c r="Q1530" s="56"/>
    </row>
    <row r="1531" spans="1:17" x14ac:dyDescent="0.15">
      <c r="A1531" s="14" t="s">
        <v>1635</v>
      </c>
      <c r="B1531" s="11"/>
      <c r="C1531" s="12"/>
      <c r="D1531" s="12"/>
      <c r="E1531" s="12"/>
      <c r="F1531" s="31">
        <v>1</v>
      </c>
      <c r="G1531" s="7">
        <f t="shared" si="419"/>
        <v>1</v>
      </c>
      <c r="H1531" s="58">
        <v>45545</v>
      </c>
      <c r="I1531" s="15" t="s">
        <v>24</v>
      </c>
      <c r="J1531" s="11"/>
      <c r="K1531" s="12"/>
      <c r="L1531" s="12">
        <v>6</v>
      </c>
      <c r="M1531" s="12"/>
      <c r="N1531" s="31"/>
      <c r="O1531" s="7">
        <f t="shared" si="413"/>
        <v>6</v>
      </c>
      <c r="P1531" s="58">
        <v>45576</v>
      </c>
      <c r="Q1531" s="56"/>
    </row>
    <row r="1532" spans="1:17" x14ac:dyDescent="0.15">
      <c r="A1532" s="16" t="s">
        <v>29</v>
      </c>
      <c r="B1532" s="11"/>
      <c r="C1532" s="12">
        <v>-1</v>
      </c>
      <c r="D1532" s="12"/>
      <c r="E1532" s="12">
        <v>1</v>
      </c>
      <c r="F1532" s="31">
        <v>1</v>
      </c>
      <c r="G1532" s="7">
        <f t="shared" si="419"/>
        <v>1</v>
      </c>
      <c r="H1532" s="58">
        <v>45546</v>
      </c>
      <c r="I1532" s="15" t="s">
        <v>24</v>
      </c>
      <c r="J1532" s="11"/>
      <c r="K1532" s="12"/>
      <c r="L1532" s="12"/>
      <c r="M1532" s="12">
        <v>3</v>
      </c>
      <c r="N1532" s="31"/>
      <c r="O1532" s="7">
        <f t="shared" si="413"/>
        <v>3</v>
      </c>
      <c r="P1532" s="58">
        <v>45594</v>
      </c>
      <c r="Q1532" s="56"/>
    </row>
    <row r="1533" spans="1:17" x14ac:dyDescent="0.15">
      <c r="A1533" s="16" t="s">
        <v>29</v>
      </c>
      <c r="B1533" s="11"/>
      <c r="C1533" s="12"/>
      <c r="D1533" s="12"/>
      <c r="E1533" s="12"/>
      <c r="F1533" s="31">
        <v>2</v>
      </c>
      <c r="G1533" s="7">
        <f t="shared" si="419"/>
        <v>2</v>
      </c>
      <c r="H1533" s="57">
        <v>45552</v>
      </c>
      <c r="I1533" s="15" t="s">
        <v>24</v>
      </c>
      <c r="J1533" s="11"/>
      <c r="K1533" s="12">
        <v>3</v>
      </c>
      <c r="L1533" s="12"/>
      <c r="M1533" s="12"/>
      <c r="N1533" s="31">
        <v>3</v>
      </c>
      <c r="O1533" s="7">
        <f t="shared" si="413"/>
        <v>6</v>
      </c>
      <c r="P1533" s="58">
        <v>45612</v>
      </c>
      <c r="Q1533" s="56"/>
    </row>
    <row r="1534" spans="1:17" x14ac:dyDescent="0.15">
      <c r="A1534" s="16" t="s">
        <v>29</v>
      </c>
      <c r="B1534" s="11"/>
      <c r="C1534" s="12">
        <v>1</v>
      </c>
      <c r="D1534" s="12"/>
      <c r="E1534" s="12">
        <v>1</v>
      </c>
      <c r="F1534" s="31"/>
      <c r="G1534" s="7">
        <f t="shared" si="419"/>
        <v>2</v>
      </c>
      <c r="H1534" s="57">
        <v>45555</v>
      </c>
      <c r="I1534" s="14"/>
      <c r="J1534" s="11"/>
      <c r="K1534" s="12"/>
      <c r="L1534" s="12"/>
      <c r="M1534" s="12"/>
      <c r="N1534" s="31"/>
      <c r="O1534" s="7">
        <f t="shared" si="413"/>
        <v>0</v>
      </c>
      <c r="P1534" s="56"/>
    </row>
    <row r="1535" spans="1:17" x14ac:dyDescent="0.15">
      <c r="A1535" s="14" t="s">
        <v>713</v>
      </c>
      <c r="B1535" s="11"/>
      <c r="C1535" s="12"/>
      <c r="D1535" s="12">
        <v>1</v>
      </c>
      <c r="E1535" s="12"/>
      <c r="F1535" s="31"/>
      <c r="G1535" s="7">
        <f t="shared" si="419"/>
        <v>1</v>
      </c>
      <c r="H1535" s="57">
        <v>45556</v>
      </c>
      <c r="I1535" s="14"/>
      <c r="J1535" s="11"/>
      <c r="K1535" s="12"/>
      <c r="L1535" s="12"/>
      <c r="M1535" s="12"/>
      <c r="N1535" s="31"/>
      <c r="O1535" s="7">
        <f t="shared" si="413"/>
        <v>0</v>
      </c>
      <c r="P1535" s="56"/>
    </row>
    <row r="1536" spans="1:17" x14ac:dyDescent="0.15">
      <c r="A1536" s="14" t="s">
        <v>713</v>
      </c>
      <c r="B1536" s="11"/>
      <c r="C1536" s="12"/>
      <c r="D1536" s="12">
        <v>1</v>
      </c>
      <c r="E1536" s="12"/>
      <c r="F1536" s="31"/>
      <c r="G1536" s="7">
        <f t="shared" si="419"/>
        <v>1</v>
      </c>
      <c r="H1536" s="57">
        <v>45559</v>
      </c>
      <c r="I1536" s="14"/>
      <c r="J1536" s="11"/>
      <c r="K1536" s="12"/>
      <c r="L1536" s="12"/>
      <c r="M1536" s="12"/>
      <c r="N1536" s="31"/>
      <c r="O1536" s="7">
        <f t="shared" si="413"/>
        <v>0</v>
      </c>
      <c r="P1536" s="56"/>
    </row>
    <row r="1537" spans="1:16" x14ac:dyDescent="0.15">
      <c r="A1537" s="14" t="s">
        <v>713</v>
      </c>
      <c r="B1537" s="11"/>
      <c r="C1537" s="12">
        <v>1</v>
      </c>
      <c r="D1537" s="12"/>
      <c r="E1537" s="12"/>
      <c r="F1537" s="31"/>
      <c r="G1537" s="7">
        <f t="shared" si="419"/>
        <v>1</v>
      </c>
      <c r="H1537" s="57">
        <v>45567</v>
      </c>
      <c r="I1537" s="14"/>
      <c r="J1537" s="11"/>
      <c r="K1537" s="12"/>
      <c r="L1537" s="12"/>
      <c r="M1537" s="12"/>
      <c r="N1537" s="31"/>
      <c r="O1537" s="7">
        <f t="shared" si="413"/>
        <v>0</v>
      </c>
      <c r="P1537" s="56"/>
    </row>
    <row r="1538" spans="1:16" x14ac:dyDescent="0.15">
      <c r="A1538" s="14" t="s">
        <v>713</v>
      </c>
      <c r="B1538" s="11"/>
      <c r="C1538" s="12">
        <v>2</v>
      </c>
      <c r="D1538" s="12"/>
      <c r="E1538" s="12"/>
      <c r="F1538" s="31"/>
      <c r="G1538" s="7">
        <f t="shared" si="419"/>
        <v>2</v>
      </c>
      <c r="H1538" s="57">
        <v>45572</v>
      </c>
      <c r="I1538" s="14"/>
      <c r="J1538" s="11"/>
      <c r="K1538" s="12"/>
      <c r="L1538" s="12"/>
      <c r="M1538" s="12"/>
      <c r="N1538" s="31"/>
      <c r="O1538" s="7">
        <f t="shared" si="413"/>
        <v>0</v>
      </c>
      <c r="P1538" s="56"/>
    </row>
    <row r="1539" spans="1:16" x14ac:dyDescent="0.15">
      <c r="A1539" s="14" t="s">
        <v>713</v>
      </c>
      <c r="B1539" s="11"/>
      <c r="C1539" s="12"/>
      <c r="D1539" s="12">
        <v>1</v>
      </c>
      <c r="E1539" s="12"/>
      <c r="F1539" s="31"/>
      <c r="G1539" s="7">
        <f t="shared" si="419"/>
        <v>1</v>
      </c>
      <c r="H1539" s="57">
        <v>45573</v>
      </c>
      <c r="I1539" s="14"/>
      <c r="J1539" s="11"/>
      <c r="K1539" s="12"/>
      <c r="L1539" s="12"/>
      <c r="M1539" s="12"/>
      <c r="N1539" s="31"/>
      <c r="O1539" s="7">
        <f t="shared" si="413"/>
        <v>0</v>
      </c>
      <c r="P1539" s="56"/>
    </row>
    <row r="1540" spans="1:16" x14ac:dyDescent="0.15">
      <c r="A1540" s="14" t="s">
        <v>713</v>
      </c>
      <c r="B1540" s="11"/>
      <c r="C1540" s="12">
        <v>1</v>
      </c>
      <c r="D1540" s="12"/>
      <c r="E1540" s="12"/>
      <c r="F1540" s="31"/>
      <c r="G1540" s="7">
        <f t="shared" si="419"/>
        <v>1</v>
      </c>
      <c r="H1540" s="57">
        <v>45574</v>
      </c>
      <c r="I1540" s="14"/>
      <c r="J1540" s="11"/>
      <c r="K1540" s="12"/>
      <c r="L1540" s="12"/>
      <c r="M1540" s="12"/>
      <c r="N1540" s="31"/>
      <c r="O1540" s="7">
        <f t="shared" si="413"/>
        <v>0</v>
      </c>
    </row>
    <row r="1541" spans="1:16" x14ac:dyDescent="0.15">
      <c r="A1541" s="14" t="s">
        <v>713</v>
      </c>
      <c r="B1541" s="11"/>
      <c r="C1541" s="12">
        <v>-1</v>
      </c>
      <c r="D1541" s="12">
        <f>1+1</f>
        <v>2</v>
      </c>
      <c r="E1541" s="12"/>
      <c r="F1541" s="31"/>
      <c r="G1541" s="7">
        <f t="shared" si="419"/>
        <v>1</v>
      </c>
      <c r="H1541" s="57">
        <v>45575</v>
      </c>
      <c r="I1541" s="14"/>
      <c r="J1541" s="11"/>
      <c r="K1541" s="12"/>
      <c r="L1541" s="12"/>
      <c r="M1541" s="12"/>
      <c r="N1541" s="31"/>
      <c r="O1541" s="7">
        <f t="shared" si="413"/>
        <v>0</v>
      </c>
    </row>
    <row r="1542" spans="1:16" x14ac:dyDescent="0.15">
      <c r="A1542" s="14" t="s">
        <v>713</v>
      </c>
      <c r="B1542" s="11"/>
      <c r="C1542" s="12"/>
      <c r="D1542" s="12"/>
      <c r="E1542" s="12">
        <v>1</v>
      </c>
      <c r="F1542" s="31"/>
      <c r="G1542" s="7">
        <f t="shared" si="419"/>
        <v>1</v>
      </c>
      <c r="H1542" s="57">
        <v>45587</v>
      </c>
      <c r="I1542" s="14"/>
      <c r="J1542" s="11"/>
      <c r="K1542" s="12"/>
      <c r="L1542" s="12"/>
      <c r="M1542" s="12"/>
      <c r="N1542" s="31"/>
      <c r="O1542" s="7">
        <f t="shared" si="413"/>
        <v>0</v>
      </c>
    </row>
    <row r="1543" spans="1:16" x14ac:dyDescent="0.15">
      <c r="A1543" s="14" t="s">
        <v>713</v>
      </c>
      <c r="B1543" s="11"/>
      <c r="C1543" s="12">
        <v>1</v>
      </c>
      <c r="D1543" s="12"/>
      <c r="E1543" s="12"/>
      <c r="F1543" s="31"/>
      <c r="G1543" s="7">
        <f t="shared" si="419"/>
        <v>1</v>
      </c>
      <c r="H1543" s="57">
        <v>45588</v>
      </c>
      <c r="I1543" s="14"/>
      <c r="J1543" s="11"/>
      <c r="K1543" s="12"/>
      <c r="L1543" s="12"/>
      <c r="M1543" s="12"/>
      <c r="N1543" s="31"/>
      <c r="O1543" s="7">
        <f t="shared" si="413"/>
        <v>0</v>
      </c>
    </row>
    <row r="1544" spans="1:16" x14ac:dyDescent="0.15">
      <c r="A1544" s="14" t="s">
        <v>713</v>
      </c>
      <c r="B1544" s="11"/>
      <c r="C1544" s="12"/>
      <c r="D1544" s="12">
        <v>1</v>
      </c>
      <c r="E1544" s="12"/>
      <c r="F1544" s="31"/>
      <c r="G1544" s="7">
        <f t="shared" si="419"/>
        <v>1</v>
      </c>
      <c r="H1544" s="57">
        <v>45590</v>
      </c>
      <c r="I1544" s="14"/>
      <c r="J1544" s="11"/>
      <c r="K1544" s="12"/>
      <c r="L1544" s="12"/>
      <c r="M1544" s="12"/>
      <c r="N1544" s="31"/>
      <c r="O1544" s="7">
        <f t="shared" si="413"/>
        <v>0</v>
      </c>
    </row>
    <row r="1545" spans="1:16" x14ac:dyDescent="0.15">
      <c r="A1545" s="14" t="s">
        <v>713</v>
      </c>
      <c r="B1545" s="11"/>
      <c r="C1545" s="12"/>
      <c r="D1545" s="12"/>
      <c r="E1545" s="12"/>
      <c r="F1545" s="31">
        <v>1</v>
      </c>
      <c r="G1545" s="7">
        <f t="shared" si="419"/>
        <v>1</v>
      </c>
      <c r="H1545" s="57">
        <v>45594</v>
      </c>
      <c r="I1545" s="14"/>
      <c r="J1545" s="11"/>
      <c r="K1545" s="12"/>
      <c r="L1545" s="12"/>
      <c r="M1545" s="12"/>
      <c r="N1545" s="31"/>
      <c r="O1545" s="7">
        <f t="shared" si="413"/>
        <v>0</v>
      </c>
    </row>
    <row r="1546" spans="1:16" x14ac:dyDescent="0.15">
      <c r="A1546" s="14" t="s">
        <v>713</v>
      </c>
      <c r="B1546" s="11"/>
      <c r="C1546" s="12"/>
      <c r="D1546" s="12"/>
      <c r="E1546" s="12"/>
      <c r="F1546" s="31">
        <v>1</v>
      </c>
      <c r="G1546" s="7">
        <f t="shared" si="419"/>
        <v>1</v>
      </c>
      <c r="H1546" s="57">
        <v>45598</v>
      </c>
      <c r="I1546" s="14"/>
      <c r="J1546" s="11"/>
      <c r="K1546" s="12"/>
      <c r="L1546" s="12"/>
      <c r="M1546" s="12"/>
      <c r="N1546" s="31"/>
      <c r="O1546" s="7">
        <f t="shared" si="413"/>
        <v>0</v>
      </c>
    </row>
    <row r="1547" spans="1:16" x14ac:dyDescent="0.15">
      <c r="A1547" s="14" t="s">
        <v>713</v>
      </c>
      <c r="B1547" s="11"/>
      <c r="C1547" s="12">
        <v>1</v>
      </c>
      <c r="D1547" s="12"/>
      <c r="E1547" s="12">
        <v>1</v>
      </c>
      <c r="F1547" s="31"/>
      <c r="G1547" s="7">
        <f t="shared" si="419"/>
        <v>2</v>
      </c>
      <c r="H1547" s="57">
        <v>45607</v>
      </c>
      <c r="I1547" s="14"/>
      <c r="J1547" s="11"/>
      <c r="K1547" s="12"/>
      <c r="L1547" s="12"/>
      <c r="M1547" s="12"/>
      <c r="N1547" s="31"/>
      <c r="O1547" s="7">
        <f t="shared" si="413"/>
        <v>0</v>
      </c>
    </row>
    <row r="1548" spans="1:16" x14ac:dyDescent="0.15">
      <c r="A1548" s="14" t="s">
        <v>713</v>
      </c>
      <c r="B1548" s="11"/>
      <c r="C1548" s="12">
        <v>1</v>
      </c>
      <c r="D1548" s="12"/>
      <c r="E1548" s="12"/>
      <c r="F1548" s="31"/>
      <c r="G1548" s="7">
        <f t="shared" si="419"/>
        <v>1</v>
      </c>
      <c r="H1548" s="57">
        <v>45612</v>
      </c>
      <c r="I1548" s="14"/>
      <c r="J1548" s="11"/>
      <c r="K1548" s="12"/>
      <c r="L1548" s="12"/>
      <c r="M1548" s="12"/>
      <c r="N1548" s="31"/>
      <c r="O1548" s="7">
        <f t="shared" si="413"/>
        <v>0</v>
      </c>
    </row>
    <row r="1549" spans="1:16" x14ac:dyDescent="0.15">
      <c r="A1549" s="14" t="s">
        <v>713</v>
      </c>
      <c r="B1549" s="11"/>
      <c r="C1549" s="12"/>
      <c r="D1549" s="12"/>
      <c r="E1549" s="12">
        <v>-1</v>
      </c>
      <c r="F1549" s="31">
        <v>1</v>
      </c>
      <c r="G1549" s="7">
        <f t="shared" si="419"/>
        <v>0</v>
      </c>
      <c r="H1549" s="58">
        <v>45611</v>
      </c>
      <c r="I1549" s="14"/>
      <c r="J1549" s="11"/>
      <c r="K1549" s="12"/>
      <c r="L1549" s="12"/>
      <c r="M1549" s="12"/>
      <c r="N1549" s="31"/>
      <c r="O1549" s="7">
        <f t="shared" si="413"/>
        <v>0</v>
      </c>
    </row>
    <row r="1550" spans="1:16" x14ac:dyDescent="0.15">
      <c r="A1550" s="14" t="s">
        <v>117</v>
      </c>
      <c r="B1550" s="11"/>
      <c r="C1550" s="12"/>
      <c r="D1550" s="12">
        <v>1</v>
      </c>
      <c r="E1550" s="12"/>
      <c r="F1550" s="31"/>
      <c r="G1550" s="7">
        <f t="shared" si="419"/>
        <v>1</v>
      </c>
      <c r="H1550" s="58">
        <v>45622</v>
      </c>
      <c r="I1550" s="14"/>
      <c r="J1550" s="11"/>
      <c r="K1550" s="12"/>
      <c r="L1550" s="12"/>
      <c r="M1550" s="12"/>
      <c r="N1550" s="31"/>
      <c r="O1550" s="7">
        <f t="shared" si="413"/>
        <v>0</v>
      </c>
    </row>
    <row r="1551" spans="1:16" x14ac:dyDescent="0.15">
      <c r="A1551" s="14" t="s">
        <v>713</v>
      </c>
      <c r="B1551" s="11">
        <v>1</v>
      </c>
      <c r="C1551" s="12"/>
      <c r="D1551" s="12"/>
      <c r="E1551" s="12"/>
      <c r="F1551" s="31"/>
      <c r="G1551" s="7">
        <f t="shared" si="419"/>
        <v>1</v>
      </c>
      <c r="H1551" s="57">
        <v>45621</v>
      </c>
      <c r="I1551" s="14"/>
      <c r="J1551" s="11"/>
      <c r="K1551" s="12"/>
      <c r="L1551" s="12"/>
      <c r="M1551" s="12"/>
      <c r="N1551" s="31"/>
      <c r="O1551" s="7">
        <f t="shared" si="413"/>
        <v>0</v>
      </c>
    </row>
    <row r="1552" spans="1:16" ht="14.25" thickBot="1" x14ac:dyDescent="0.2">
      <c r="A1552" s="14" t="s">
        <v>117</v>
      </c>
      <c r="B1552" s="11"/>
      <c r="C1552" s="12"/>
      <c r="D1552" s="12"/>
      <c r="E1552" s="12"/>
      <c r="F1552" s="31"/>
      <c r="G1552" s="7">
        <f t="shared" si="419"/>
        <v>0</v>
      </c>
      <c r="H1552" s="58">
        <v>45626</v>
      </c>
      <c r="I1552" s="14"/>
      <c r="J1552" s="11"/>
      <c r="K1552" s="12"/>
      <c r="L1552" s="12"/>
      <c r="M1552" s="12"/>
      <c r="N1552" s="31"/>
      <c r="O1552" s="7">
        <f t="shared" si="413"/>
        <v>0</v>
      </c>
    </row>
    <row r="1553" spans="1:15" ht="14.25" thickBot="1" x14ac:dyDescent="0.2">
      <c r="A1553" s="3" t="s">
        <v>11</v>
      </c>
      <c r="B1553" s="23">
        <f>SUM(B1527:B1552)</f>
        <v>1</v>
      </c>
      <c r="C1553" s="4">
        <f>SUM(C1527:C1552)</f>
        <v>8</v>
      </c>
      <c r="D1553" s="4">
        <f>SUM(D1527:D1552)</f>
        <v>11</v>
      </c>
      <c r="E1553" s="6">
        <f>SUM(E1527:E1552)</f>
        <v>4</v>
      </c>
      <c r="F1553" s="32">
        <f>SUM(F1527:F1552)</f>
        <v>8</v>
      </c>
      <c r="G1553" s="5">
        <f>SUM(B1553:F1553)</f>
        <v>32</v>
      </c>
      <c r="H1553" s="56"/>
      <c r="I1553" s="3" t="s">
        <v>11</v>
      </c>
      <c r="J1553" s="23">
        <f>SUM(J1527:J1552)</f>
        <v>0</v>
      </c>
      <c r="K1553" s="4">
        <f>SUM(K1527:K1552)</f>
        <v>13</v>
      </c>
      <c r="L1553" s="219">
        <f>SUM(L1527:L1552)</f>
        <v>12</v>
      </c>
      <c r="M1553" s="6">
        <f>SUM(M1527:M1552)</f>
        <v>6</v>
      </c>
      <c r="N1553" s="32">
        <f>SUM(N1527:N1552)</f>
        <v>9</v>
      </c>
      <c r="O1553" s="5">
        <f>SUM(J1553:N1553)</f>
        <v>40</v>
      </c>
    </row>
    <row r="1554" spans="1:15" ht="14.25" thickBot="1" x14ac:dyDescent="0.2">
      <c r="A1554" s="25" t="s">
        <v>12</v>
      </c>
      <c r="B1554" s="63">
        <f>B1526-B1553</f>
        <v>5</v>
      </c>
      <c r="C1554" s="26">
        <f t="shared" ref="C1554:G1554" si="420">C1526-C1553</f>
        <v>6</v>
      </c>
      <c r="D1554" s="71">
        <f t="shared" si="420"/>
        <v>6</v>
      </c>
      <c r="E1554" s="26">
        <f t="shared" si="420"/>
        <v>6</v>
      </c>
      <c r="F1554" s="70">
        <f t="shared" si="420"/>
        <v>5</v>
      </c>
      <c r="G1554" s="27">
        <f t="shared" si="420"/>
        <v>28</v>
      </c>
      <c r="H1554" s="56"/>
      <c r="I1554" s="25" t="s">
        <v>12</v>
      </c>
      <c r="J1554" s="63">
        <f>J1526-J1553</f>
        <v>107</v>
      </c>
      <c r="K1554" s="26">
        <f t="shared" ref="K1554:M1554" si="421">K1526-K1553</f>
        <v>6</v>
      </c>
      <c r="L1554" s="220">
        <f t="shared" si="421"/>
        <v>0</v>
      </c>
      <c r="M1554" s="26">
        <f t="shared" si="421"/>
        <v>47</v>
      </c>
      <c r="N1554" s="70">
        <f>N1526-N1553</f>
        <v>85</v>
      </c>
      <c r="O1554" s="27">
        <f t="shared" ref="O1554" si="422">O1526-O1553</f>
        <v>245</v>
      </c>
    </row>
    <row r="1555" spans="1:15" ht="21" x14ac:dyDescent="0.2">
      <c r="A1555" s="83" t="s">
        <v>415</v>
      </c>
      <c r="B1555" s="77"/>
      <c r="C1555" s="77"/>
      <c r="D1555" s="77"/>
      <c r="E1555" s="77"/>
      <c r="F1555" s="77"/>
      <c r="G1555" s="77"/>
      <c r="H1555" s="56"/>
      <c r="I1555" s="83" t="s">
        <v>415</v>
      </c>
      <c r="J1555" s="77">
        <f>J1553+J1511+J1469+J1427+J1385+J1343+J1301+J1259+J1217+J1175+J1133+J1091+J1049+J1007+J965+J923+J881+J839+J797+J755+J713+J671+J629+J587+J545+J503+J461+J419+J377+J335+J293+J251+J209+J167+J125</f>
        <v>423</v>
      </c>
      <c r="K1555" s="77">
        <f t="shared" ref="K1555:O1555" si="423">K1553+K1511+K1469+K1427+K1385+K1343+K1301+K1259+K1217+K1175+K1133+K1091+K1049+K1007+K965+K923+K881+K839+K797+K755+K713+K671+K629+K587+K545+K503+K461+K419+K377+K335+K293+K251+K209+K167+K125</f>
        <v>747</v>
      </c>
      <c r="L1555" s="77">
        <f t="shared" si="423"/>
        <v>673</v>
      </c>
      <c r="M1555" s="77">
        <f t="shared" si="423"/>
        <v>597</v>
      </c>
      <c r="N1555" s="77">
        <f t="shared" si="423"/>
        <v>634</v>
      </c>
      <c r="O1555" s="77">
        <f t="shared" si="423"/>
        <v>3074</v>
      </c>
    </row>
    <row r="1556" spans="1:15" ht="21.75" thickBot="1" x14ac:dyDescent="0.25">
      <c r="A1556" s="83" t="s">
        <v>47</v>
      </c>
      <c r="B1556" s="77"/>
      <c r="C1556" s="77"/>
      <c r="D1556" s="77"/>
      <c r="E1556" s="84"/>
      <c r="F1556" s="78" t="s">
        <v>53</v>
      </c>
      <c r="G1556" s="77"/>
      <c r="H1556" s="56"/>
      <c r="I1556" s="83" t="s">
        <v>47</v>
      </c>
      <c r="J1556" s="77"/>
      <c r="K1556" s="77"/>
      <c r="L1556" s="77"/>
      <c r="M1556" s="84"/>
      <c r="N1556" s="78" t="s">
        <v>54</v>
      </c>
      <c r="O1556" s="77"/>
    </row>
    <row r="1557" spans="1:15" ht="14.25" thickBot="1" x14ac:dyDescent="0.2">
      <c r="A1557" s="13" t="s">
        <v>0</v>
      </c>
      <c r="B1557" s="228" t="s">
        <v>49</v>
      </c>
      <c r="C1557" s="229"/>
      <c r="D1557" s="229"/>
      <c r="E1557" s="229"/>
      <c r="F1557" s="230"/>
      <c r="G1557" s="231"/>
      <c r="H1557" s="56"/>
      <c r="I1557" s="13" t="s">
        <v>0</v>
      </c>
      <c r="J1557" s="228" t="s">
        <v>49</v>
      </c>
      <c r="K1557" s="229"/>
      <c r="L1557" s="229"/>
      <c r="M1557" s="229"/>
      <c r="N1557" s="230"/>
      <c r="O1557" s="231"/>
    </row>
    <row r="1558" spans="1:15" ht="14.25" thickBot="1" x14ac:dyDescent="0.2">
      <c r="A1558" s="3" t="s">
        <v>1</v>
      </c>
      <c r="B1558" s="2" t="s">
        <v>42</v>
      </c>
      <c r="C1558" s="21" t="s">
        <v>43</v>
      </c>
      <c r="D1558" s="21" t="s">
        <v>44</v>
      </c>
      <c r="E1558" s="24" t="s">
        <v>45</v>
      </c>
      <c r="F1558" s="33" t="s">
        <v>46</v>
      </c>
      <c r="G1558" s="34" t="s">
        <v>2</v>
      </c>
      <c r="H1558" s="56"/>
      <c r="I1558" s="3" t="s">
        <v>1</v>
      </c>
      <c r="J1558" s="2" t="s">
        <v>42</v>
      </c>
      <c r="K1558" s="21" t="s">
        <v>43</v>
      </c>
      <c r="L1558" s="21" t="s">
        <v>44</v>
      </c>
      <c r="M1558" s="24" t="s">
        <v>45</v>
      </c>
      <c r="N1558" s="33" t="s">
        <v>46</v>
      </c>
      <c r="O1558" s="3" t="s">
        <v>2</v>
      </c>
    </row>
    <row r="1559" spans="1:15" ht="14.25" thickBot="1" x14ac:dyDescent="0.2">
      <c r="A1559" s="72" t="s">
        <v>527</v>
      </c>
      <c r="B1559" s="73">
        <f>B1554</f>
        <v>5</v>
      </c>
      <c r="C1559" s="74">
        <f t="shared" ref="C1559:F1559" si="424">C1554</f>
        <v>6</v>
      </c>
      <c r="D1559" s="74">
        <f t="shared" si="424"/>
        <v>6</v>
      </c>
      <c r="E1559" s="74">
        <f t="shared" si="424"/>
        <v>6</v>
      </c>
      <c r="F1559" s="212">
        <f t="shared" si="424"/>
        <v>5</v>
      </c>
      <c r="G1559" s="76">
        <f t="shared" ref="G1559" si="425">SUM(B1559:F1559)</f>
        <v>28</v>
      </c>
      <c r="H1559" s="56"/>
      <c r="I1559" s="72" t="s">
        <v>12</v>
      </c>
      <c r="J1559" s="73">
        <f>J1554</f>
        <v>107</v>
      </c>
      <c r="K1559" s="74">
        <f t="shared" ref="K1559:N1559" si="426">K1554</f>
        <v>6</v>
      </c>
      <c r="L1559" s="74">
        <f t="shared" si="426"/>
        <v>0</v>
      </c>
      <c r="M1559" s="74">
        <f t="shared" si="426"/>
        <v>47</v>
      </c>
      <c r="N1559" s="131">
        <f t="shared" si="426"/>
        <v>85</v>
      </c>
      <c r="O1559" s="52">
        <f t="shared" ref="O1559:O1594" si="427">SUM(J1559:N1559)</f>
        <v>245</v>
      </c>
    </row>
    <row r="1560" spans="1:15" x14ac:dyDescent="0.15">
      <c r="A1560" s="15" t="s">
        <v>1620</v>
      </c>
      <c r="B1560" s="8">
        <v>3</v>
      </c>
      <c r="C1560" s="10">
        <v>4</v>
      </c>
      <c r="D1560" s="10">
        <v>6</v>
      </c>
      <c r="E1560" s="10">
        <v>2</v>
      </c>
      <c r="F1560" s="30"/>
      <c r="G1560" s="7">
        <f t="shared" ref="G1560" si="428">SUM(B1560:F1560)</f>
        <v>15</v>
      </c>
      <c r="H1560" s="58">
        <v>45630</v>
      </c>
      <c r="I1560" s="15" t="s">
        <v>3</v>
      </c>
      <c r="J1560" s="8"/>
      <c r="K1560" s="10"/>
      <c r="L1560" s="10"/>
      <c r="M1560" s="10"/>
      <c r="N1560" s="30"/>
      <c r="O1560" s="7">
        <f t="shared" si="427"/>
        <v>0</v>
      </c>
    </row>
    <row r="1561" spans="1:15" x14ac:dyDescent="0.15">
      <c r="A1561" s="15" t="s">
        <v>4</v>
      </c>
      <c r="B1561" s="8"/>
      <c r="C1561" s="10"/>
      <c r="D1561" s="10"/>
      <c r="E1561" s="10"/>
      <c r="F1561" s="30">
        <v>1</v>
      </c>
      <c r="G1561" s="7">
        <f t="shared" ref="G1561:G1567" si="429">SUM(B1561:F1561)</f>
        <v>1</v>
      </c>
      <c r="H1561" s="58">
        <v>45625</v>
      </c>
      <c r="I1561" s="15" t="s">
        <v>4</v>
      </c>
      <c r="J1561" s="8"/>
      <c r="K1561" s="10"/>
      <c r="L1561" s="10"/>
      <c r="M1561" s="10"/>
      <c r="N1561" s="30"/>
      <c r="O1561" s="7">
        <f t="shared" si="427"/>
        <v>0</v>
      </c>
    </row>
    <row r="1562" spans="1:15" x14ac:dyDescent="0.15">
      <c r="A1562" s="15" t="s">
        <v>5</v>
      </c>
      <c r="B1562" s="8"/>
      <c r="C1562" s="10">
        <v>6</v>
      </c>
      <c r="D1562" s="10"/>
      <c r="E1562" s="10"/>
      <c r="F1562" s="30"/>
      <c r="G1562" s="7">
        <f t="shared" si="429"/>
        <v>6</v>
      </c>
      <c r="H1562" s="58">
        <v>45675</v>
      </c>
      <c r="I1562" s="15" t="s">
        <v>5</v>
      </c>
      <c r="J1562" s="8"/>
      <c r="K1562" s="10"/>
      <c r="L1562" s="10"/>
      <c r="M1562" s="10"/>
      <c r="N1562" s="30"/>
      <c r="O1562" s="7">
        <f t="shared" si="427"/>
        <v>0</v>
      </c>
    </row>
    <row r="1563" spans="1:15" x14ac:dyDescent="0.15">
      <c r="A1563" s="15" t="s">
        <v>6</v>
      </c>
      <c r="B1563" s="8">
        <v>3</v>
      </c>
      <c r="C1563" s="10"/>
      <c r="D1563" s="10"/>
      <c r="E1563" s="10">
        <v>3</v>
      </c>
      <c r="F1563" s="30"/>
      <c r="G1563" s="7">
        <f t="shared" si="429"/>
        <v>6</v>
      </c>
      <c r="H1563" s="58">
        <v>45709</v>
      </c>
      <c r="I1563" s="15" t="s">
        <v>6</v>
      </c>
      <c r="J1563" s="8"/>
      <c r="K1563" s="10"/>
      <c r="L1563" s="10"/>
      <c r="M1563" s="10"/>
      <c r="N1563" s="30"/>
      <c r="O1563" s="7">
        <f t="shared" si="427"/>
        <v>0</v>
      </c>
    </row>
    <row r="1564" spans="1:15" x14ac:dyDescent="0.15">
      <c r="A1564" s="15" t="s">
        <v>84</v>
      </c>
      <c r="B1564" s="8"/>
      <c r="C1564" s="10"/>
      <c r="D1564" s="10"/>
      <c r="E1564" s="10"/>
      <c r="F1564" s="30">
        <v>2</v>
      </c>
      <c r="G1564" s="7">
        <f t="shared" si="429"/>
        <v>2</v>
      </c>
      <c r="H1564" s="58">
        <v>45723</v>
      </c>
      <c r="I1564" s="15" t="s">
        <v>84</v>
      </c>
      <c r="J1564" s="8"/>
      <c r="K1564" s="10"/>
      <c r="L1564" s="10"/>
      <c r="M1564" s="10"/>
      <c r="N1564" s="30"/>
      <c r="O1564" s="7">
        <f t="shared" si="427"/>
        <v>0</v>
      </c>
    </row>
    <row r="1565" spans="1:15" x14ac:dyDescent="0.15">
      <c r="A1565" s="14" t="s">
        <v>1641</v>
      </c>
      <c r="B1565" s="8"/>
      <c r="C1565" s="10"/>
      <c r="D1565" s="10"/>
      <c r="E1565" s="10">
        <v>1</v>
      </c>
      <c r="F1565" s="30"/>
      <c r="G1565" s="7">
        <f t="shared" si="429"/>
        <v>1</v>
      </c>
      <c r="H1565" s="57">
        <v>45733</v>
      </c>
      <c r="I1565" s="15" t="s">
        <v>85</v>
      </c>
      <c r="J1565" s="8"/>
      <c r="K1565" s="10"/>
      <c r="L1565" s="10"/>
      <c r="M1565" s="10"/>
      <c r="N1565" s="30"/>
      <c r="O1565" s="7">
        <f t="shared" si="427"/>
        <v>0</v>
      </c>
    </row>
    <row r="1566" spans="1:15" x14ac:dyDescent="0.15">
      <c r="A1566" s="15" t="s">
        <v>86</v>
      </c>
      <c r="B1566" s="8"/>
      <c r="C1566" s="10"/>
      <c r="D1566" s="10"/>
      <c r="E1566" s="10"/>
      <c r="F1566" s="30"/>
      <c r="G1566" s="7">
        <f t="shared" si="429"/>
        <v>0</v>
      </c>
      <c r="I1566" s="15" t="s">
        <v>86</v>
      </c>
      <c r="J1566" s="8"/>
      <c r="K1566" s="10"/>
      <c r="L1566" s="10"/>
      <c r="M1566" s="10"/>
      <c r="N1566" s="30"/>
      <c r="O1566" s="7">
        <f t="shared" si="427"/>
        <v>0</v>
      </c>
    </row>
    <row r="1567" spans="1:15" ht="14.25" thickBot="1" x14ac:dyDescent="0.2">
      <c r="A1567" s="15" t="s">
        <v>87</v>
      </c>
      <c r="B1567" s="8"/>
      <c r="C1567" s="10"/>
      <c r="D1567" s="10"/>
      <c r="E1567" s="10"/>
      <c r="F1567" s="30"/>
      <c r="G1567" s="7">
        <f t="shared" si="429"/>
        <v>0</v>
      </c>
      <c r="I1567" s="15" t="s">
        <v>87</v>
      </c>
      <c r="J1567" s="8"/>
      <c r="K1567" s="10"/>
      <c r="L1567" s="10"/>
      <c r="M1567" s="10"/>
      <c r="N1567" s="30"/>
      <c r="O1567" s="7">
        <f t="shared" si="427"/>
        <v>0</v>
      </c>
    </row>
    <row r="1568" spans="1:15" ht="14.25" thickBot="1" x14ac:dyDescent="0.2">
      <c r="A1568" s="72" t="s">
        <v>7</v>
      </c>
      <c r="B1568" s="73">
        <f>SUM(B1559:B1567)</f>
        <v>11</v>
      </c>
      <c r="C1568" s="74">
        <f t="shared" ref="C1568:F1568" si="430">SUM(C1559:C1567)</f>
        <v>16</v>
      </c>
      <c r="D1568" s="74">
        <f t="shared" si="430"/>
        <v>12</v>
      </c>
      <c r="E1568" s="74">
        <f t="shared" si="430"/>
        <v>12</v>
      </c>
      <c r="F1568" s="105">
        <f t="shared" si="430"/>
        <v>8</v>
      </c>
      <c r="G1568" s="76">
        <f t="shared" ref="G1568:G1593" si="431">SUM(B1568:F1568)</f>
        <v>59</v>
      </c>
      <c r="H1568" s="56"/>
      <c r="I1568" s="72" t="s">
        <v>7</v>
      </c>
      <c r="J1568" s="73">
        <f>SUM(J1559:J1567)</f>
        <v>107</v>
      </c>
      <c r="K1568" s="74">
        <f t="shared" ref="K1568:N1568" si="432">SUM(K1559:K1567)</f>
        <v>6</v>
      </c>
      <c r="L1568" s="74">
        <f t="shared" si="432"/>
        <v>0</v>
      </c>
      <c r="M1568" s="74">
        <f t="shared" si="432"/>
        <v>47</v>
      </c>
      <c r="N1568" s="105">
        <f t="shared" si="432"/>
        <v>85</v>
      </c>
      <c r="O1568" s="76">
        <f t="shared" si="427"/>
        <v>245</v>
      </c>
    </row>
    <row r="1569" spans="1:17" x14ac:dyDescent="0.15">
      <c r="A1569" s="14" t="s">
        <v>713</v>
      </c>
      <c r="B1569" s="11"/>
      <c r="C1569" s="12"/>
      <c r="D1569" s="12"/>
      <c r="E1569" s="12"/>
      <c r="F1569" s="31">
        <v>1</v>
      </c>
      <c r="G1569" s="7">
        <f t="shared" si="431"/>
        <v>1</v>
      </c>
      <c r="H1569" s="58">
        <v>45628</v>
      </c>
      <c r="I1569" s="15" t="s">
        <v>24</v>
      </c>
      <c r="J1569" s="11"/>
      <c r="K1569" s="12">
        <v>6</v>
      </c>
      <c r="L1569" s="12"/>
      <c r="M1569" s="12"/>
      <c r="N1569" s="31"/>
      <c r="O1569" s="7">
        <f t="shared" si="427"/>
        <v>6</v>
      </c>
      <c r="P1569" s="58">
        <v>45675</v>
      </c>
    </row>
    <row r="1570" spans="1:17" x14ac:dyDescent="0.15">
      <c r="A1570" s="14" t="s">
        <v>713</v>
      </c>
      <c r="B1570" s="11"/>
      <c r="C1570" s="12">
        <v>1</v>
      </c>
      <c r="D1570" s="12"/>
      <c r="E1570" s="12"/>
      <c r="F1570" s="31"/>
      <c r="G1570" s="7">
        <f t="shared" si="431"/>
        <v>1</v>
      </c>
      <c r="H1570" s="58">
        <v>45631</v>
      </c>
      <c r="I1570" s="15" t="s">
        <v>24</v>
      </c>
      <c r="J1570" s="11">
        <v>3</v>
      </c>
      <c r="K1570" s="12"/>
      <c r="L1570" s="12"/>
      <c r="M1570" s="12">
        <v>3</v>
      </c>
      <c r="N1570" s="31"/>
      <c r="O1570" s="7">
        <f t="shared" si="427"/>
        <v>6</v>
      </c>
      <c r="P1570" s="58">
        <v>45709</v>
      </c>
      <c r="Q1570" s="56"/>
    </row>
    <row r="1571" spans="1:17" x14ac:dyDescent="0.15">
      <c r="A1571" s="14" t="s">
        <v>713</v>
      </c>
      <c r="B1571" s="11"/>
      <c r="C1571" s="12">
        <v>1</v>
      </c>
      <c r="D1571" s="12"/>
      <c r="E1571" s="12"/>
      <c r="F1571" s="31"/>
      <c r="G1571" s="7">
        <f t="shared" si="431"/>
        <v>1</v>
      </c>
      <c r="H1571" s="58">
        <v>45635</v>
      </c>
      <c r="I1571" s="15" t="s">
        <v>24</v>
      </c>
      <c r="J1571" s="11"/>
      <c r="K1571" s="12"/>
      <c r="L1571" s="12"/>
      <c r="M1571" s="12"/>
      <c r="N1571" s="31">
        <v>2</v>
      </c>
      <c r="O1571" s="7">
        <f t="shared" si="427"/>
        <v>2</v>
      </c>
      <c r="P1571" s="58">
        <v>45723</v>
      </c>
      <c r="Q1571" s="56"/>
    </row>
    <row r="1572" spans="1:17" x14ac:dyDescent="0.15">
      <c r="A1572" s="14" t="s">
        <v>713</v>
      </c>
      <c r="B1572" s="11"/>
      <c r="C1572" s="12"/>
      <c r="D1572" s="12"/>
      <c r="E1572" s="12">
        <v>1</v>
      </c>
      <c r="F1572" s="31"/>
      <c r="G1572" s="7">
        <f t="shared" si="431"/>
        <v>1</v>
      </c>
      <c r="H1572" s="58">
        <v>45636</v>
      </c>
      <c r="I1572" s="14"/>
      <c r="J1572" s="11"/>
      <c r="K1572" s="12"/>
      <c r="L1572" s="12"/>
      <c r="M1572" s="12"/>
      <c r="N1572" s="31"/>
      <c r="O1572" s="7">
        <f t="shared" ref="O1572:O1578" si="433">SUM(J1572:N1572)</f>
        <v>0</v>
      </c>
      <c r="P1572" s="56"/>
      <c r="Q1572" s="56"/>
    </row>
    <row r="1573" spans="1:17" x14ac:dyDescent="0.15">
      <c r="A1573" s="14" t="s">
        <v>713</v>
      </c>
      <c r="B1573" s="11"/>
      <c r="C1573" s="12"/>
      <c r="D1573" s="12">
        <v>1</v>
      </c>
      <c r="E1573" s="12"/>
      <c r="F1573" s="31"/>
      <c r="G1573" s="7">
        <f t="shared" si="431"/>
        <v>1</v>
      </c>
      <c r="H1573" s="58">
        <v>45651</v>
      </c>
      <c r="I1573" s="14"/>
      <c r="J1573" s="11"/>
      <c r="K1573" s="12"/>
      <c r="L1573" s="12"/>
      <c r="M1573" s="12"/>
      <c r="N1573" s="31"/>
      <c r="O1573" s="7">
        <f t="shared" si="433"/>
        <v>0</v>
      </c>
      <c r="P1573" s="56"/>
      <c r="Q1573" s="56"/>
    </row>
    <row r="1574" spans="1:17" x14ac:dyDescent="0.15">
      <c r="A1574" s="14" t="s">
        <v>713</v>
      </c>
      <c r="B1574" s="11">
        <v>1</v>
      </c>
      <c r="C1574" s="12"/>
      <c r="D1574" s="12"/>
      <c r="E1574" s="12"/>
      <c r="F1574" s="31"/>
      <c r="G1574" s="7">
        <f t="shared" si="431"/>
        <v>1</v>
      </c>
      <c r="H1574" s="58">
        <v>45664</v>
      </c>
      <c r="I1574" s="14"/>
      <c r="J1574" s="11"/>
      <c r="K1574" s="12"/>
      <c r="L1574" s="12"/>
      <c r="M1574" s="12"/>
      <c r="N1574" s="31"/>
      <c r="O1574" s="7">
        <f t="shared" si="433"/>
        <v>0</v>
      </c>
      <c r="P1574" s="56"/>
      <c r="Q1574" s="56"/>
    </row>
    <row r="1575" spans="1:17" x14ac:dyDescent="0.15">
      <c r="A1575" s="14" t="s">
        <v>713</v>
      </c>
      <c r="B1575" s="11"/>
      <c r="C1575" s="12">
        <v>1</v>
      </c>
      <c r="D1575" s="12"/>
      <c r="E1575" s="12"/>
      <c r="F1575" s="31"/>
      <c r="G1575" s="7">
        <f t="shared" si="431"/>
        <v>1</v>
      </c>
      <c r="H1575" s="58">
        <v>45677</v>
      </c>
      <c r="I1575" s="14"/>
      <c r="J1575" s="11"/>
      <c r="K1575" s="12"/>
      <c r="L1575" s="12"/>
      <c r="M1575" s="12"/>
      <c r="N1575" s="31"/>
      <c r="O1575" s="7">
        <f t="shared" si="433"/>
        <v>0</v>
      </c>
      <c r="P1575" s="56"/>
    </row>
    <row r="1576" spans="1:17" x14ac:dyDescent="0.15">
      <c r="A1576" s="14" t="s">
        <v>713</v>
      </c>
      <c r="B1576" s="11">
        <v>2</v>
      </c>
      <c r="C1576" s="12">
        <v>1</v>
      </c>
      <c r="D1576" s="12"/>
      <c r="E1576" s="12"/>
      <c r="F1576" s="31"/>
      <c r="G1576" s="7">
        <f t="shared" si="431"/>
        <v>3</v>
      </c>
      <c r="H1576" s="58">
        <v>45684</v>
      </c>
      <c r="I1576" s="14"/>
      <c r="J1576" s="11"/>
      <c r="K1576" s="12"/>
      <c r="L1576" s="12"/>
      <c r="M1576" s="12"/>
      <c r="N1576" s="31"/>
      <c r="O1576" s="7">
        <f t="shared" si="433"/>
        <v>0</v>
      </c>
      <c r="P1576" s="56"/>
    </row>
    <row r="1577" spans="1:17" x14ac:dyDescent="0.15">
      <c r="A1577" s="14" t="s">
        <v>713</v>
      </c>
      <c r="B1577" s="11"/>
      <c r="C1577" s="12"/>
      <c r="D1577" s="12"/>
      <c r="E1577" s="12">
        <v>1</v>
      </c>
      <c r="F1577" s="31"/>
      <c r="G1577" s="7">
        <f t="shared" si="431"/>
        <v>1</v>
      </c>
      <c r="H1577" s="58">
        <v>45685</v>
      </c>
      <c r="I1577" s="14"/>
      <c r="J1577" s="11"/>
      <c r="K1577" s="12"/>
      <c r="L1577" s="12"/>
      <c r="M1577" s="12"/>
      <c r="N1577" s="31"/>
      <c r="O1577" s="7">
        <f t="shared" si="433"/>
        <v>0</v>
      </c>
      <c r="P1577" s="56"/>
    </row>
    <row r="1578" spans="1:17" x14ac:dyDescent="0.15">
      <c r="A1578" s="14" t="s">
        <v>713</v>
      </c>
      <c r="B1578" s="11"/>
      <c r="C1578" s="12"/>
      <c r="D1578" s="12">
        <v>1</v>
      </c>
      <c r="E1578" s="12"/>
      <c r="F1578" s="31"/>
      <c r="G1578" s="7">
        <f t="shared" si="431"/>
        <v>1</v>
      </c>
      <c r="H1578" s="58">
        <v>45686</v>
      </c>
      <c r="I1578" s="14"/>
      <c r="J1578" s="11"/>
      <c r="K1578" s="12"/>
      <c r="L1578" s="12"/>
      <c r="M1578" s="12"/>
      <c r="N1578" s="31"/>
      <c r="O1578" s="7">
        <f t="shared" si="433"/>
        <v>0</v>
      </c>
      <c r="P1578" s="56"/>
    </row>
    <row r="1579" spans="1:17" x14ac:dyDescent="0.15">
      <c r="A1579" s="14" t="s">
        <v>713</v>
      </c>
      <c r="B1579" s="11"/>
      <c r="C1579" s="12"/>
      <c r="D1579" s="12">
        <v>1</v>
      </c>
      <c r="E1579" s="12"/>
      <c r="F1579" s="31"/>
      <c r="G1579" s="7">
        <f t="shared" si="431"/>
        <v>1</v>
      </c>
      <c r="H1579" s="58">
        <v>45691</v>
      </c>
      <c r="I1579" s="14"/>
      <c r="J1579" s="11"/>
      <c r="K1579" s="12"/>
      <c r="L1579" s="12"/>
      <c r="M1579" s="12"/>
      <c r="N1579" s="31"/>
      <c r="O1579" s="7">
        <f t="shared" si="427"/>
        <v>0</v>
      </c>
      <c r="P1579" s="56"/>
    </row>
    <row r="1580" spans="1:17" x14ac:dyDescent="0.15">
      <c r="A1580" s="14" t="s">
        <v>713</v>
      </c>
      <c r="B1580" s="11"/>
      <c r="C1580" s="12"/>
      <c r="D1580" s="12"/>
      <c r="E1580" s="12"/>
      <c r="F1580" s="31">
        <v>1</v>
      </c>
      <c r="G1580" s="7">
        <f t="shared" si="431"/>
        <v>1</v>
      </c>
      <c r="H1580" s="58">
        <v>45693</v>
      </c>
      <c r="I1580" s="14"/>
      <c r="J1580" s="11"/>
      <c r="K1580" s="12"/>
      <c r="L1580" s="12"/>
      <c r="M1580" s="12"/>
      <c r="N1580" s="31"/>
      <c r="O1580" s="7">
        <f t="shared" si="427"/>
        <v>0</v>
      </c>
      <c r="P1580" s="56"/>
    </row>
    <row r="1581" spans="1:17" x14ac:dyDescent="0.15">
      <c r="A1581" s="14" t="s">
        <v>713</v>
      </c>
      <c r="B1581" s="11">
        <v>1</v>
      </c>
      <c r="C1581" s="12"/>
      <c r="D1581" s="12"/>
      <c r="E1581" s="12"/>
      <c r="F1581" s="31"/>
      <c r="G1581" s="7">
        <f t="shared" si="431"/>
        <v>1</v>
      </c>
      <c r="H1581" s="58">
        <v>45694</v>
      </c>
      <c r="I1581" s="14"/>
      <c r="J1581" s="11"/>
      <c r="K1581" s="12"/>
      <c r="L1581" s="12"/>
      <c r="M1581" s="12"/>
      <c r="N1581" s="31"/>
      <c r="O1581" s="7">
        <f t="shared" si="427"/>
        <v>0</v>
      </c>
      <c r="P1581" s="56"/>
    </row>
    <row r="1582" spans="1:17" x14ac:dyDescent="0.15">
      <c r="A1582" s="14" t="s">
        <v>713</v>
      </c>
      <c r="B1582" s="11"/>
      <c r="C1582" s="12">
        <v>1</v>
      </c>
      <c r="D1582" s="12"/>
      <c r="E1582" s="12"/>
      <c r="F1582" s="31"/>
      <c r="G1582" s="7">
        <f t="shared" si="431"/>
        <v>1</v>
      </c>
      <c r="H1582" s="57">
        <v>45695</v>
      </c>
      <c r="I1582" s="14"/>
      <c r="J1582" s="11"/>
      <c r="K1582" s="12"/>
      <c r="L1582" s="12"/>
      <c r="M1582" s="12"/>
      <c r="N1582" s="31"/>
      <c r="O1582" s="7">
        <f t="shared" si="427"/>
        <v>0</v>
      </c>
    </row>
    <row r="1583" spans="1:17" x14ac:dyDescent="0.15">
      <c r="A1583" s="14" t="s">
        <v>713</v>
      </c>
      <c r="B1583" s="11"/>
      <c r="C1583" s="12"/>
      <c r="D1583" s="12"/>
      <c r="E1583" s="12">
        <v>1</v>
      </c>
      <c r="F1583" s="31"/>
      <c r="G1583" s="7">
        <f t="shared" si="431"/>
        <v>1</v>
      </c>
      <c r="H1583" s="57">
        <v>45698</v>
      </c>
      <c r="I1583" s="14"/>
      <c r="J1583" s="11"/>
      <c r="K1583" s="12"/>
      <c r="L1583" s="12"/>
      <c r="M1583" s="12"/>
      <c r="N1583" s="31"/>
      <c r="O1583" s="7">
        <f t="shared" si="427"/>
        <v>0</v>
      </c>
    </row>
    <row r="1584" spans="1:17" x14ac:dyDescent="0.15">
      <c r="A1584" s="14" t="s">
        <v>713</v>
      </c>
      <c r="B1584" s="11"/>
      <c r="C1584" s="12">
        <v>1</v>
      </c>
      <c r="D1584" s="12"/>
      <c r="E1584" s="12"/>
      <c r="F1584" s="31"/>
      <c r="G1584" s="7">
        <f t="shared" si="431"/>
        <v>1</v>
      </c>
      <c r="H1584" s="57">
        <v>45700</v>
      </c>
      <c r="I1584" s="14"/>
      <c r="J1584" s="11"/>
      <c r="K1584" s="12"/>
      <c r="L1584" s="12"/>
      <c r="M1584" s="12"/>
      <c r="N1584" s="31"/>
      <c r="O1584" s="7">
        <f t="shared" si="427"/>
        <v>0</v>
      </c>
    </row>
    <row r="1585" spans="1:15" x14ac:dyDescent="0.15">
      <c r="A1585" s="14" t="s">
        <v>713</v>
      </c>
      <c r="B1585" s="11"/>
      <c r="C1585" s="12"/>
      <c r="D1585" s="12"/>
      <c r="E1585" s="12">
        <v>1</v>
      </c>
      <c r="F1585" s="31"/>
      <c r="G1585" s="7">
        <f t="shared" si="431"/>
        <v>1</v>
      </c>
      <c r="H1585" s="57">
        <v>45705</v>
      </c>
      <c r="I1585" s="14"/>
      <c r="J1585" s="11"/>
      <c r="K1585" s="12"/>
      <c r="L1585" s="12"/>
      <c r="M1585" s="12"/>
      <c r="N1585" s="31"/>
      <c r="O1585" s="7">
        <f t="shared" si="427"/>
        <v>0</v>
      </c>
    </row>
    <row r="1586" spans="1:15" x14ac:dyDescent="0.15">
      <c r="A1586" s="14" t="s">
        <v>713</v>
      </c>
      <c r="B1586" s="11"/>
      <c r="C1586" s="12"/>
      <c r="D1586" s="12"/>
      <c r="E1586" s="12">
        <v>1</v>
      </c>
      <c r="F1586" s="31"/>
      <c r="G1586" s="7">
        <f t="shared" si="431"/>
        <v>1</v>
      </c>
      <c r="H1586" s="57">
        <v>45708</v>
      </c>
      <c r="I1586" s="14"/>
      <c r="J1586" s="11"/>
      <c r="K1586" s="12"/>
      <c r="L1586" s="12"/>
      <c r="M1586" s="12"/>
      <c r="N1586" s="31"/>
      <c r="O1586" s="7">
        <f t="shared" si="427"/>
        <v>0</v>
      </c>
    </row>
    <row r="1587" spans="1:15" x14ac:dyDescent="0.15">
      <c r="A1587" s="14" t="s">
        <v>713</v>
      </c>
      <c r="B1587" s="11">
        <v>1</v>
      </c>
      <c r="C1587" s="12">
        <v>1</v>
      </c>
      <c r="D1587" s="12"/>
      <c r="E1587" s="12"/>
      <c r="F1587" s="31">
        <v>1</v>
      </c>
      <c r="G1587" s="7">
        <f t="shared" si="431"/>
        <v>3</v>
      </c>
      <c r="H1587" s="57">
        <v>45714</v>
      </c>
      <c r="I1587" s="14"/>
      <c r="J1587" s="11"/>
      <c r="K1587" s="12"/>
      <c r="L1587" s="12"/>
      <c r="M1587" s="12"/>
      <c r="N1587" s="31"/>
      <c r="O1587" s="7">
        <f t="shared" si="427"/>
        <v>0</v>
      </c>
    </row>
    <row r="1588" spans="1:15" x14ac:dyDescent="0.15">
      <c r="A1588" s="14" t="s">
        <v>713</v>
      </c>
      <c r="B1588" s="11"/>
      <c r="C1588" s="12">
        <v>1</v>
      </c>
      <c r="D1588" s="12"/>
      <c r="E1588" s="12"/>
      <c r="F1588" s="31"/>
      <c r="G1588" s="7">
        <f t="shared" si="431"/>
        <v>1</v>
      </c>
      <c r="H1588" s="57">
        <v>45721</v>
      </c>
      <c r="I1588" s="14"/>
      <c r="J1588" s="11"/>
      <c r="K1588" s="12"/>
      <c r="L1588" s="12"/>
      <c r="M1588" s="12"/>
      <c r="N1588" s="31"/>
      <c r="O1588" s="7">
        <f t="shared" si="427"/>
        <v>0</v>
      </c>
    </row>
    <row r="1589" spans="1:15" x14ac:dyDescent="0.15">
      <c r="A1589" s="14" t="s">
        <v>713</v>
      </c>
      <c r="B1589" s="11"/>
      <c r="C1589" s="12">
        <v>1</v>
      </c>
      <c r="D1589" s="12"/>
      <c r="E1589" s="12"/>
      <c r="F1589" s="31"/>
      <c r="G1589" s="7">
        <f t="shared" si="431"/>
        <v>1</v>
      </c>
      <c r="H1589" s="57">
        <v>45722</v>
      </c>
      <c r="I1589" s="14"/>
      <c r="J1589" s="11"/>
      <c r="K1589" s="12"/>
      <c r="L1589" s="12"/>
      <c r="M1589" s="12"/>
      <c r="N1589" s="31"/>
      <c r="O1589" s="7">
        <f t="shared" si="427"/>
        <v>0</v>
      </c>
    </row>
    <row r="1590" spans="1:15" x14ac:dyDescent="0.15">
      <c r="A1590" s="14" t="s">
        <v>1640</v>
      </c>
      <c r="B1590" s="11"/>
      <c r="C1590" s="12"/>
      <c r="D1590" s="12"/>
      <c r="E1590" s="12">
        <v>1</v>
      </c>
      <c r="F1590" s="31"/>
      <c r="G1590" s="7">
        <f t="shared" si="431"/>
        <v>1</v>
      </c>
      <c r="H1590" s="58">
        <v>45724</v>
      </c>
      <c r="I1590" s="14"/>
      <c r="J1590" s="11"/>
      <c r="K1590" s="12"/>
      <c r="L1590" s="12"/>
      <c r="M1590" s="12"/>
      <c r="N1590" s="31"/>
      <c r="O1590" s="7">
        <f t="shared" si="427"/>
        <v>0</v>
      </c>
    </row>
    <row r="1591" spans="1:15" x14ac:dyDescent="0.15">
      <c r="A1591" s="14" t="s">
        <v>1145</v>
      </c>
      <c r="B1591" s="11"/>
      <c r="C1591" s="12">
        <v>1</v>
      </c>
      <c r="D1591" s="12">
        <v>2</v>
      </c>
      <c r="E1591" s="12"/>
      <c r="F1591" s="31"/>
      <c r="G1591" s="7">
        <f t="shared" si="431"/>
        <v>3</v>
      </c>
      <c r="I1591" s="14"/>
      <c r="J1591" s="11"/>
      <c r="K1591" s="12"/>
      <c r="L1591" s="12"/>
      <c r="M1591" s="12"/>
      <c r="N1591" s="31"/>
      <c r="O1591" s="7">
        <f t="shared" si="427"/>
        <v>0</v>
      </c>
    </row>
    <row r="1592" spans="1:15" x14ac:dyDescent="0.15">
      <c r="A1592" s="14" t="s">
        <v>713</v>
      </c>
      <c r="B1592" s="11"/>
      <c r="C1592" s="12">
        <v>1</v>
      </c>
      <c r="D1592" s="12"/>
      <c r="E1592" s="12"/>
      <c r="F1592" s="31">
        <v>-1</v>
      </c>
      <c r="G1592" s="7">
        <f t="shared" si="431"/>
        <v>0</v>
      </c>
      <c r="H1592" s="57">
        <v>45727</v>
      </c>
      <c r="I1592" s="14"/>
      <c r="J1592" s="11"/>
      <c r="K1592" s="12"/>
      <c r="L1592" s="12"/>
      <c r="M1592" s="12"/>
      <c r="N1592" s="31"/>
      <c r="O1592" s="7">
        <f t="shared" si="427"/>
        <v>0</v>
      </c>
    </row>
    <row r="1593" spans="1:15" x14ac:dyDescent="0.15">
      <c r="A1593" s="14" t="s">
        <v>713</v>
      </c>
      <c r="B1593" s="11">
        <v>1</v>
      </c>
      <c r="C1593" s="12"/>
      <c r="D1593" s="12"/>
      <c r="E1593" s="12"/>
      <c r="F1593" s="31"/>
      <c r="G1593" s="7">
        <f t="shared" si="431"/>
        <v>1</v>
      </c>
      <c r="H1593" s="57">
        <v>45728</v>
      </c>
      <c r="I1593" s="14"/>
      <c r="J1593" s="11"/>
      <c r="K1593" s="12"/>
      <c r="L1593" s="12"/>
      <c r="M1593" s="12"/>
      <c r="N1593" s="31"/>
      <c r="O1593" s="7">
        <f t="shared" si="427"/>
        <v>0</v>
      </c>
    </row>
    <row r="1594" spans="1:15" ht="14.25" thickBot="1" x14ac:dyDescent="0.2">
      <c r="A1594" s="14" t="s">
        <v>713</v>
      </c>
      <c r="B1594" s="11"/>
      <c r="C1594" s="12">
        <v>1</v>
      </c>
      <c r="D1594" s="12">
        <v>1</v>
      </c>
      <c r="E1594" s="12"/>
      <c r="F1594" s="31"/>
      <c r="G1594" s="7">
        <f t="shared" ref="G1594" si="434">SUM(B1594:F1594)</f>
        <v>2</v>
      </c>
      <c r="H1594" s="57">
        <v>45733</v>
      </c>
      <c r="I1594" s="14"/>
      <c r="J1594" s="11"/>
      <c r="K1594" s="12"/>
      <c r="L1594" s="12"/>
      <c r="M1594" s="12"/>
      <c r="N1594" s="31"/>
      <c r="O1594" s="7">
        <f t="shared" si="427"/>
        <v>0</v>
      </c>
    </row>
    <row r="1595" spans="1:15" ht="14.25" thickBot="1" x14ac:dyDescent="0.2">
      <c r="A1595" s="3" t="s">
        <v>11</v>
      </c>
      <c r="B1595" s="23">
        <f>SUM(B1569:B1594)</f>
        <v>6</v>
      </c>
      <c r="C1595" s="4">
        <f>SUM(C1569:C1594)</f>
        <v>12</v>
      </c>
      <c r="D1595" s="4">
        <f>SUM(D1569:D1594)</f>
        <v>6</v>
      </c>
      <c r="E1595" s="6">
        <f>SUM(E1569:E1594)</f>
        <v>6</v>
      </c>
      <c r="F1595" s="32">
        <f>SUM(F1569:F1594)</f>
        <v>2</v>
      </c>
      <c r="G1595" s="5">
        <f>SUM(B1595:F1595)</f>
        <v>32</v>
      </c>
      <c r="H1595" s="56"/>
      <c r="I1595" s="3" t="s">
        <v>11</v>
      </c>
      <c r="J1595" s="23">
        <f>SUM(J1569:J1594)</f>
        <v>3</v>
      </c>
      <c r="K1595" s="203">
        <f>SUM(K1569:K1594)</f>
        <v>6</v>
      </c>
      <c r="L1595" s="203">
        <f>SUM(L1569:L1594)</f>
        <v>0</v>
      </c>
      <c r="M1595" s="6">
        <f>SUM(M1569:M1594)</f>
        <v>3</v>
      </c>
      <c r="N1595" s="32">
        <f>SUM(N1569:N1594)</f>
        <v>2</v>
      </c>
      <c r="O1595" s="5">
        <f>SUM(J1595:N1595)</f>
        <v>14</v>
      </c>
    </row>
    <row r="1596" spans="1:15" ht="14.25" thickBot="1" x14ac:dyDescent="0.2">
      <c r="A1596" s="25" t="s">
        <v>12</v>
      </c>
      <c r="B1596" s="63">
        <f>B1568-B1595</f>
        <v>5</v>
      </c>
      <c r="C1596" s="26">
        <f t="shared" ref="C1596:G1596" si="435">C1568-C1595</f>
        <v>4</v>
      </c>
      <c r="D1596" s="71">
        <f t="shared" si="435"/>
        <v>6</v>
      </c>
      <c r="E1596" s="26">
        <f t="shared" si="435"/>
        <v>6</v>
      </c>
      <c r="F1596" s="70">
        <f t="shared" si="435"/>
        <v>6</v>
      </c>
      <c r="G1596" s="27">
        <f t="shared" si="435"/>
        <v>27</v>
      </c>
      <c r="H1596" s="56"/>
      <c r="I1596" s="25" t="s">
        <v>12</v>
      </c>
      <c r="J1596" s="63">
        <f>J1568-J1595</f>
        <v>104</v>
      </c>
      <c r="K1596" s="206">
        <f t="shared" ref="K1596:O1596" si="436">K1568-K1595</f>
        <v>0</v>
      </c>
      <c r="L1596" s="207">
        <f t="shared" si="436"/>
        <v>0</v>
      </c>
      <c r="M1596" s="26">
        <f t="shared" si="436"/>
        <v>44</v>
      </c>
      <c r="N1596" s="70">
        <f t="shared" si="436"/>
        <v>83</v>
      </c>
      <c r="O1596" s="27">
        <f t="shared" si="436"/>
        <v>231</v>
      </c>
    </row>
    <row r="1597" spans="1:15" ht="21" x14ac:dyDescent="0.2">
      <c r="A1597" s="83" t="s">
        <v>415</v>
      </c>
      <c r="B1597" s="77"/>
      <c r="C1597" s="77"/>
      <c r="D1597" s="77"/>
      <c r="E1597" s="77"/>
      <c r="F1597" s="77"/>
      <c r="G1597" s="77"/>
      <c r="H1597" s="56"/>
      <c r="I1597" s="83" t="s">
        <v>415</v>
      </c>
      <c r="J1597" s="77">
        <f>J1595+J1553+J1511+J1469+J1427+J1385+J1343+J1301+J1259+J1217+J1175+J1133+J1091+J1049+J1007+J965+J923+J881+J839+J797+J755+J713+J671+J629+J587+J545+J503+J461+J419+J377+J335+J293+J251+J209+J167</f>
        <v>411</v>
      </c>
      <c r="K1597" s="77">
        <f t="shared" ref="K1597:O1597" si="437">K1595+K1553+K1511+K1469+K1427+K1385+K1343+K1301+K1259+K1217+K1175+K1133+K1091+K1049+K1007+K965+K923+K881+K839+K797+K755+K713+K671+K629+K587+K545+K503+K461+K419+K377+K335+K293+K251+K209+K167</f>
        <v>733</v>
      </c>
      <c r="L1597" s="77">
        <f t="shared" si="437"/>
        <v>658</v>
      </c>
      <c r="M1597" s="77">
        <f t="shared" si="437"/>
        <v>585</v>
      </c>
      <c r="N1597" s="77">
        <f t="shared" si="437"/>
        <v>626</v>
      </c>
      <c r="O1597" s="77">
        <f t="shared" si="437"/>
        <v>3013</v>
      </c>
    </row>
    <row r="1598" spans="1:15" ht="21.75" thickBot="1" x14ac:dyDescent="0.25">
      <c r="A1598" s="83" t="s">
        <v>47</v>
      </c>
      <c r="B1598" s="77"/>
      <c r="C1598" s="77"/>
      <c r="D1598" s="77"/>
      <c r="E1598" s="84"/>
      <c r="F1598" s="78" t="s">
        <v>53</v>
      </c>
      <c r="G1598" s="77"/>
      <c r="H1598" s="56"/>
      <c r="I1598" s="83" t="s">
        <v>47</v>
      </c>
      <c r="J1598" s="77"/>
      <c r="K1598" s="77"/>
      <c r="L1598" s="77"/>
      <c r="M1598" s="84"/>
      <c r="N1598" s="78" t="s">
        <v>54</v>
      </c>
      <c r="O1598" s="77"/>
    </row>
    <row r="1599" spans="1:15" ht="14.25" thickBot="1" x14ac:dyDescent="0.2">
      <c r="A1599" s="13" t="s">
        <v>0</v>
      </c>
      <c r="B1599" s="228" t="s">
        <v>49</v>
      </c>
      <c r="C1599" s="229"/>
      <c r="D1599" s="229"/>
      <c r="E1599" s="229"/>
      <c r="F1599" s="230"/>
      <c r="G1599" s="231"/>
      <c r="H1599" s="56"/>
      <c r="I1599" s="13" t="s">
        <v>0</v>
      </c>
      <c r="J1599" s="228" t="s">
        <v>49</v>
      </c>
      <c r="K1599" s="229"/>
      <c r="L1599" s="229"/>
      <c r="M1599" s="229"/>
      <c r="N1599" s="230"/>
      <c r="O1599" s="231"/>
    </row>
    <row r="1600" spans="1:15" ht="14.25" thickBot="1" x14ac:dyDescent="0.2">
      <c r="A1600" s="3" t="s">
        <v>1</v>
      </c>
      <c r="B1600" s="2" t="s">
        <v>42</v>
      </c>
      <c r="C1600" s="21" t="s">
        <v>43</v>
      </c>
      <c r="D1600" s="21" t="s">
        <v>44</v>
      </c>
      <c r="E1600" s="24" t="s">
        <v>45</v>
      </c>
      <c r="F1600" s="33" t="s">
        <v>46</v>
      </c>
      <c r="G1600" s="34" t="s">
        <v>2</v>
      </c>
      <c r="H1600" s="56"/>
      <c r="I1600" s="3" t="s">
        <v>1</v>
      </c>
      <c r="J1600" s="2" t="s">
        <v>42</v>
      </c>
      <c r="K1600" s="21" t="s">
        <v>43</v>
      </c>
      <c r="L1600" s="21" t="s">
        <v>44</v>
      </c>
      <c r="M1600" s="24" t="s">
        <v>45</v>
      </c>
      <c r="N1600" s="33" t="s">
        <v>46</v>
      </c>
      <c r="O1600" s="3" t="s">
        <v>2</v>
      </c>
    </row>
    <row r="1601" spans="1:18" ht="14.25" thickBot="1" x14ac:dyDescent="0.2">
      <c r="A1601" s="72" t="s">
        <v>527</v>
      </c>
      <c r="B1601" s="73">
        <f>B1596</f>
        <v>5</v>
      </c>
      <c r="C1601" s="74">
        <f t="shared" ref="C1601:F1601" si="438">C1596</f>
        <v>4</v>
      </c>
      <c r="D1601" s="74">
        <f t="shared" si="438"/>
        <v>6</v>
      </c>
      <c r="E1601" s="74">
        <f t="shared" si="438"/>
        <v>6</v>
      </c>
      <c r="F1601" s="212">
        <f t="shared" si="438"/>
        <v>6</v>
      </c>
      <c r="G1601" s="76">
        <f t="shared" ref="G1601" si="439">SUM(B1601:F1601)</f>
        <v>27</v>
      </c>
      <c r="H1601" s="56"/>
      <c r="I1601" s="72" t="s">
        <v>12</v>
      </c>
      <c r="J1601" s="73">
        <f>J1596</f>
        <v>104</v>
      </c>
      <c r="K1601" s="74">
        <f t="shared" ref="K1601:N1601" si="440">K1596</f>
        <v>0</v>
      </c>
      <c r="L1601" s="74">
        <f t="shared" si="440"/>
        <v>0</v>
      </c>
      <c r="M1601" s="74">
        <f t="shared" si="440"/>
        <v>44</v>
      </c>
      <c r="N1601" s="131">
        <f t="shared" si="440"/>
        <v>83</v>
      </c>
      <c r="O1601" s="52">
        <f t="shared" ref="O1601:O1636" si="441">SUM(J1601:N1601)</f>
        <v>231</v>
      </c>
    </row>
    <row r="1602" spans="1:18" x14ac:dyDescent="0.15">
      <c r="A1602" s="15" t="s">
        <v>3</v>
      </c>
      <c r="B1602" s="8">
        <v>3</v>
      </c>
      <c r="C1602" s="10"/>
      <c r="D1602" s="10"/>
      <c r="E1602" s="10"/>
      <c r="F1602" s="30"/>
      <c r="G1602" s="7">
        <f t="shared" ref="G1602:G1606" si="442">SUM(B1602:F1602)</f>
        <v>3</v>
      </c>
      <c r="H1602" s="58">
        <v>45772</v>
      </c>
      <c r="I1602" s="15" t="s">
        <v>3</v>
      </c>
      <c r="J1602" s="8"/>
      <c r="K1602" s="10"/>
      <c r="L1602" s="10"/>
      <c r="M1602" s="10"/>
      <c r="N1602" s="30"/>
      <c r="O1602" s="7">
        <f t="shared" si="441"/>
        <v>0</v>
      </c>
    </row>
    <row r="1603" spans="1:18" x14ac:dyDescent="0.15">
      <c r="A1603" s="15" t="s">
        <v>4</v>
      </c>
      <c r="B1603" s="8">
        <v>3</v>
      </c>
      <c r="C1603" s="10"/>
      <c r="D1603" s="10"/>
      <c r="E1603" s="10">
        <v>3</v>
      </c>
      <c r="F1603" s="30">
        <v>3</v>
      </c>
      <c r="G1603" s="7">
        <f t="shared" si="442"/>
        <v>9</v>
      </c>
      <c r="H1603" s="58">
        <v>45796</v>
      </c>
      <c r="I1603" s="15" t="s">
        <v>4</v>
      </c>
      <c r="J1603" s="8"/>
      <c r="K1603" s="10"/>
      <c r="L1603" s="10"/>
      <c r="M1603" s="10"/>
      <c r="N1603" s="30"/>
      <c r="O1603" s="7">
        <f t="shared" si="441"/>
        <v>0</v>
      </c>
    </row>
    <row r="1604" spans="1:18" x14ac:dyDescent="0.15">
      <c r="A1604" s="15" t="s">
        <v>5</v>
      </c>
      <c r="B1604" s="8"/>
      <c r="C1604" s="10"/>
      <c r="D1604" s="10"/>
      <c r="E1604" s="10">
        <v>3</v>
      </c>
      <c r="F1604" s="30">
        <v>3</v>
      </c>
      <c r="G1604" s="7">
        <f t="shared" si="442"/>
        <v>6</v>
      </c>
      <c r="H1604" s="58">
        <v>45818</v>
      </c>
      <c r="I1604" s="15" t="s">
        <v>5</v>
      </c>
      <c r="J1604" s="8"/>
      <c r="K1604" s="10"/>
      <c r="L1604" s="10"/>
      <c r="M1604" s="10"/>
      <c r="N1604" s="30"/>
      <c r="O1604" s="7">
        <f t="shared" si="441"/>
        <v>0</v>
      </c>
    </row>
    <row r="1605" spans="1:18" x14ac:dyDescent="0.15">
      <c r="A1605" s="15" t="s">
        <v>6</v>
      </c>
      <c r="B1605" s="8"/>
      <c r="C1605" s="10"/>
      <c r="D1605" s="10"/>
      <c r="E1605" s="10"/>
      <c r="F1605" s="30"/>
      <c r="G1605" s="7">
        <f t="shared" si="442"/>
        <v>0</v>
      </c>
      <c r="H1605" s="56"/>
      <c r="I1605" s="15" t="s">
        <v>6</v>
      </c>
      <c r="J1605" s="8"/>
      <c r="K1605" s="10"/>
      <c r="L1605" s="10"/>
      <c r="M1605" s="10"/>
      <c r="N1605" s="30"/>
      <c r="O1605" s="7">
        <f t="shared" si="441"/>
        <v>0</v>
      </c>
    </row>
    <row r="1606" spans="1:18" x14ac:dyDescent="0.15">
      <c r="A1606" s="15" t="s">
        <v>84</v>
      </c>
      <c r="B1606" s="8"/>
      <c r="C1606" s="10"/>
      <c r="D1606" s="10"/>
      <c r="E1606" s="10"/>
      <c r="F1606" s="30"/>
      <c r="G1606" s="7">
        <f t="shared" si="442"/>
        <v>0</v>
      </c>
      <c r="H1606" s="56"/>
      <c r="I1606" s="15" t="s">
        <v>84</v>
      </c>
      <c r="J1606" s="8"/>
      <c r="K1606" s="10"/>
      <c r="L1606" s="10"/>
      <c r="M1606" s="10"/>
      <c r="N1606" s="30"/>
      <c r="O1606" s="7">
        <f t="shared" si="441"/>
        <v>0</v>
      </c>
    </row>
    <row r="1607" spans="1:18" x14ac:dyDescent="0.15">
      <c r="A1607" s="15" t="s">
        <v>85</v>
      </c>
      <c r="B1607" s="8"/>
      <c r="C1607" s="10"/>
      <c r="D1607" s="10"/>
      <c r="E1607" s="10"/>
      <c r="F1607" s="30"/>
      <c r="G1607" s="7">
        <f t="shared" ref="G1607:G1636" si="443">SUM(B1607:F1607)</f>
        <v>0</v>
      </c>
      <c r="H1607" s="56"/>
      <c r="I1607" s="15" t="s">
        <v>85</v>
      </c>
      <c r="J1607" s="8"/>
      <c r="K1607" s="10"/>
      <c r="L1607" s="10"/>
      <c r="M1607" s="10"/>
      <c r="N1607" s="30"/>
      <c r="O1607" s="7">
        <f t="shared" si="441"/>
        <v>0</v>
      </c>
    </row>
    <row r="1608" spans="1:18" x14ac:dyDescent="0.15">
      <c r="A1608" s="15" t="s">
        <v>86</v>
      </c>
      <c r="B1608" s="8"/>
      <c r="C1608" s="10"/>
      <c r="D1608" s="10"/>
      <c r="E1608" s="10"/>
      <c r="F1608" s="30"/>
      <c r="G1608" s="7">
        <f t="shared" si="443"/>
        <v>0</v>
      </c>
      <c r="I1608" s="15" t="s">
        <v>86</v>
      </c>
      <c r="J1608" s="8"/>
      <c r="K1608" s="10"/>
      <c r="L1608" s="10"/>
      <c r="M1608" s="10"/>
      <c r="N1608" s="30"/>
      <c r="O1608" s="7">
        <f t="shared" si="441"/>
        <v>0</v>
      </c>
    </row>
    <row r="1609" spans="1:18" ht="14.25" thickBot="1" x14ac:dyDescent="0.2">
      <c r="A1609" s="15" t="s">
        <v>1348</v>
      </c>
      <c r="B1609" s="8"/>
      <c r="C1609" s="10"/>
      <c r="D1609" s="10"/>
      <c r="E1609" s="10">
        <v>-2</v>
      </c>
      <c r="F1609" s="30"/>
      <c r="G1609" s="7">
        <f t="shared" si="443"/>
        <v>-2</v>
      </c>
      <c r="H1609" s="57">
        <v>45853</v>
      </c>
      <c r="I1609" s="15" t="s">
        <v>87</v>
      </c>
      <c r="J1609" s="8"/>
      <c r="K1609" s="10"/>
      <c r="L1609" s="10"/>
      <c r="M1609" s="10"/>
      <c r="N1609" s="30"/>
      <c r="O1609" s="7">
        <f t="shared" si="441"/>
        <v>0</v>
      </c>
    </row>
    <row r="1610" spans="1:18" ht="14.25" thickBot="1" x14ac:dyDescent="0.2">
      <c r="A1610" s="72" t="s">
        <v>7</v>
      </c>
      <c r="B1610" s="73">
        <f>SUM(B1601:B1609)</f>
        <v>11</v>
      </c>
      <c r="C1610" s="74">
        <f t="shared" ref="C1610:F1610" si="444">SUM(C1601:C1609)</f>
        <v>4</v>
      </c>
      <c r="D1610" s="74">
        <f t="shared" si="444"/>
        <v>6</v>
      </c>
      <c r="E1610" s="74">
        <f t="shared" si="444"/>
        <v>10</v>
      </c>
      <c r="F1610" s="105">
        <f t="shared" si="444"/>
        <v>12</v>
      </c>
      <c r="G1610" s="76">
        <f t="shared" si="443"/>
        <v>43</v>
      </c>
      <c r="H1610" s="56"/>
      <c r="I1610" s="72" t="s">
        <v>7</v>
      </c>
      <c r="J1610" s="73">
        <f>SUM(J1601:J1609)</f>
        <v>104</v>
      </c>
      <c r="K1610" s="74">
        <f t="shared" ref="K1610:N1610" si="445">SUM(K1601:K1609)</f>
        <v>0</v>
      </c>
      <c r="L1610" s="74">
        <f t="shared" si="445"/>
        <v>0</v>
      </c>
      <c r="M1610" s="74">
        <f t="shared" si="445"/>
        <v>44</v>
      </c>
      <c r="N1610" s="105">
        <f t="shared" si="445"/>
        <v>83</v>
      </c>
      <c r="O1610" s="76">
        <f t="shared" si="441"/>
        <v>231</v>
      </c>
    </row>
    <row r="1611" spans="1:18" x14ac:dyDescent="0.15">
      <c r="A1611" s="14" t="s">
        <v>713</v>
      </c>
      <c r="B1611" s="11"/>
      <c r="C1611" s="12">
        <v>1</v>
      </c>
      <c r="D1611" s="12"/>
      <c r="E1611" s="12"/>
      <c r="F1611" s="31">
        <v>1</v>
      </c>
      <c r="G1611" s="7">
        <f t="shared" ref="G1611:G1631" si="446">SUM(B1611:F1611)</f>
        <v>2</v>
      </c>
      <c r="H1611" s="57">
        <v>45734</v>
      </c>
      <c r="I1611" s="15" t="s">
        <v>24</v>
      </c>
      <c r="J1611" s="11">
        <v>3</v>
      </c>
      <c r="K1611" s="12"/>
      <c r="L1611" s="12"/>
      <c r="M1611" s="12"/>
      <c r="N1611" s="31"/>
      <c r="O1611" s="7">
        <f t="shared" si="441"/>
        <v>3</v>
      </c>
      <c r="P1611" s="58">
        <v>45772</v>
      </c>
      <c r="Q1611" s="56"/>
    </row>
    <row r="1612" spans="1:18" x14ac:dyDescent="0.15">
      <c r="A1612" s="14" t="s">
        <v>713</v>
      </c>
      <c r="B1612" s="11"/>
      <c r="C1612" s="12"/>
      <c r="D1612" s="12">
        <v>1</v>
      </c>
      <c r="E1612" s="12"/>
      <c r="F1612" s="31"/>
      <c r="G1612" s="7">
        <f t="shared" si="446"/>
        <v>1</v>
      </c>
      <c r="H1612" s="57">
        <v>45740</v>
      </c>
      <c r="I1612" s="15" t="s">
        <v>24</v>
      </c>
      <c r="J1612" s="11">
        <v>3</v>
      </c>
      <c r="K1612" s="12"/>
      <c r="L1612" s="12"/>
      <c r="M1612" s="12">
        <v>3</v>
      </c>
      <c r="N1612" s="31">
        <v>3</v>
      </c>
      <c r="O1612" s="7">
        <f t="shared" si="441"/>
        <v>9</v>
      </c>
      <c r="P1612" s="58">
        <v>45796</v>
      </c>
      <c r="Q1612" s="56"/>
      <c r="R1612" s="56"/>
    </row>
    <row r="1613" spans="1:18" x14ac:dyDescent="0.15">
      <c r="A1613" s="14" t="s">
        <v>713</v>
      </c>
      <c r="B1613" s="11"/>
      <c r="C1613" s="12">
        <f>-1</f>
        <v>-1</v>
      </c>
      <c r="D1613" s="12"/>
      <c r="E1613" s="12">
        <v>1</v>
      </c>
      <c r="F1613" s="31"/>
      <c r="G1613" s="7">
        <f t="shared" si="446"/>
        <v>0</v>
      </c>
      <c r="H1613" s="57">
        <v>45741</v>
      </c>
      <c r="I1613" s="15" t="s">
        <v>24</v>
      </c>
      <c r="J1613" s="11"/>
      <c r="K1613" s="12"/>
      <c r="L1613" s="12"/>
      <c r="M1613" s="12">
        <v>3</v>
      </c>
      <c r="N1613" s="31">
        <v>3</v>
      </c>
      <c r="O1613" s="7">
        <f t="shared" si="441"/>
        <v>6</v>
      </c>
      <c r="P1613" s="58">
        <v>45818</v>
      </c>
      <c r="Q1613" s="56"/>
      <c r="R1613" s="56"/>
    </row>
    <row r="1614" spans="1:18" x14ac:dyDescent="0.15">
      <c r="A1614" s="14" t="s">
        <v>713</v>
      </c>
      <c r="B1614" s="11"/>
      <c r="C1614" s="12">
        <v>2</v>
      </c>
      <c r="D1614" s="12"/>
      <c r="E1614" s="12"/>
      <c r="F1614" s="31"/>
      <c r="G1614" s="7">
        <f t="shared" si="446"/>
        <v>2</v>
      </c>
      <c r="H1614" s="57">
        <v>45747</v>
      </c>
      <c r="I1614" s="14"/>
      <c r="J1614" s="11"/>
      <c r="K1614" s="12"/>
      <c r="L1614" s="12"/>
      <c r="M1614" s="12"/>
      <c r="N1614" s="31"/>
      <c r="O1614" s="7">
        <f t="shared" si="441"/>
        <v>0</v>
      </c>
      <c r="P1614" s="56"/>
      <c r="Q1614" s="56"/>
      <c r="R1614" s="56"/>
    </row>
    <row r="1615" spans="1:18" x14ac:dyDescent="0.15">
      <c r="A1615" s="14" t="s">
        <v>713</v>
      </c>
      <c r="B1615" s="11"/>
      <c r="C1615" s="12"/>
      <c r="D1615" s="12"/>
      <c r="E1615" s="12"/>
      <c r="F1615" s="31">
        <v>1</v>
      </c>
      <c r="G1615" s="7">
        <f t="shared" si="446"/>
        <v>1</v>
      </c>
      <c r="H1615" s="57">
        <v>45756</v>
      </c>
      <c r="I1615" s="14"/>
      <c r="J1615" s="11"/>
      <c r="K1615" s="12"/>
      <c r="L1615" s="12"/>
      <c r="M1615" s="12"/>
      <c r="N1615" s="31"/>
      <c r="O1615" s="7">
        <f t="shared" si="441"/>
        <v>0</v>
      </c>
      <c r="P1615" s="56"/>
      <c r="Q1615" s="56"/>
      <c r="R1615" s="56"/>
    </row>
    <row r="1616" spans="1:18" x14ac:dyDescent="0.15">
      <c r="A1616" s="14" t="s">
        <v>713</v>
      </c>
      <c r="B1616" s="11">
        <v>1</v>
      </c>
      <c r="C1616" s="12"/>
      <c r="D1616" s="12"/>
      <c r="E1616" s="12"/>
      <c r="F1616" s="31"/>
      <c r="G1616" s="7">
        <f t="shared" si="446"/>
        <v>1</v>
      </c>
      <c r="H1616" s="57">
        <v>45761</v>
      </c>
      <c r="I1616" s="14"/>
      <c r="J1616" s="11"/>
      <c r="K1616" s="12"/>
      <c r="L1616" s="12"/>
      <c r="M1616" s="12"/>
      <c r="N1616" s="31"/>
      <c r="O1616" s="7">
        <f t="shared" si="441"/>
        <v>0</v>
      </c>
      <c r="P1616" s="56"/>
      <c r="Q1616" s="56"/>
      <c r="R1616" s="56"/>
    </row>
    <row r="1617" spans="1:18" x14ac:dyDescent="0.15">
      <c r="A1617" s="14" t="s">
        <v>713</v>
      </c>
      <c r="B1617" s="11">
        <v>1</v>
      </c>
      <c r="C1617" s="12"/>
      <c r="D1617" s="12"/>
      <c r="E1617" s="12"/>
      <c r="F1617" s="31"/>
      <c r="G1617" s="7">
        <f t="shared" si="446"/>
        <v>1</v>
      </c>
      <c r="H1617" s="57">
        <v>45762</v>
      </c>
      <c r="I1617" s="14"/>
      <c r="J1617" s="11"/>
      <c r="K1617" s="12"/>
      <c r="L1617" s="12"/>
      <c r="M1617" s="12"/>
      <c r="N1617" s="31"/>
      <c r="O1617" s="7">
        <f t="shared" si="441"/>
        <v>0</v>
      </c>
      <c r="P1617" s="56"/>
      <c r="Q1617" s="56"/>
      <c r="R1617" s="56"/>
    </row>
    <row r="1618" spans="1:18" x14ac:dyDescent="0.15">
      <c r="A1618" s="14" t="s">
        <v>713</v>
      </c>
      <c r="B1618" s="11">
        <v>1</v>
      </c>
      <c r="C1618" s="12"/>
      <c r="D1618" s="12"/>
      <c r="E1618" s="12"/>
      <c r="F1618" s="31"/>
      <c r="G1618" s="7">
        <f t="shared" si="446"/>
        <v>1</v>
      </c>
      <c r="H1618" s="57">
        <v>45770</v>
      </c>
      <c r="I1618" s="14"/>
      <c r="J1618" s="11"/>
      <c r="K1618" s="12"/>
      <c r="L1618" s="12"/>
      <c r="M1618" s="12"/>
      <c r="N1618" s="31"/>
      <c r="O1618" s="7">
        <f t="shared" si="441"/>
        <v>0</v>
      </c>
    </row>
    <row r="1619" spans="1:18" x14ac:dyDescent="0.15">
      <c r="A1619" s="14" t="s">
        <v>713</v>
      </c>
      <c r="B1619" s="11">
        <v>-1</v>
      </c>
      <c r="C1619" s="12">
        <v>1</v>
      </c>
      <c r="D1619" s="12"/>
      <c r="E1619" s="12"/>
      <c r="F1619" s="31"/>
      <c r="G1619" s="7">
        <f t="shared" si="446"/>
        <v>0</v>
      </c>
      <c r="H1619" s="57">
        <v>45771</v>
      </c>
      <c r="I1619" s="14"/>
      <c r="J1619" s="11"/>
      <c r="K1619" s="12"/>
      <c r="L1619" s="12"/>
      <c r="M1619" s="12"/>
      <c r="N1619" s="31"/>
      <c r="O1619" s="7">
        <f t="shared" si="441"/>
        <v>0</v>
      </c>
    </row>
    <row r="1620" spans="1:18" x14ac:dyDescent="0.15">
      <c r="A1620" s="14" t="s">
        <v>713</v>
      </c>
      <c r="B1620" s="11"/>
      <c r="C1620" s="12"/>
      <c r="D1620" s="12">
        <v>1</v>
      </c>
      <c r="E1620" s="12"/>
      <c r="F1620" s="31"/>
      <c r="G1620" s="7">
        <f t="shared" si="446"/>
        <v>1</v>
      </c>
      <c r="H1620" s="57">
        <v>45775</v>
      </c>
      <c r="I1620" s="14"/>
      <c r="J1620" s="11"/>
      <c r="K1620" s="12"/>
      <c r="L1620" s="12"/>
      <c r="M1620" s="12"/>
      <c r="N1620" s="31"/>
      <c r="O1620" s="7">
        <f t="shared" si="441"/>
        <v>0</v>
      </c>
    </row>
    <row r="1621" spans="1:18" x14ac:dyDescent="0.15">
      <c r="A1621" s="14" t="s">
        <v>713</v>
      </c>
      <c r="B1621" s="11"/>
      <c r="C1621" s="12"/>
      <c r="D1621" s="12"/>
      <c r="E1621" s="12"/>
      <c r="F1621" s="31">
        <v>1</v>
      </c>
      <c r="G1621" s="7">
        <f t="shared" si="446"/>
        <v>1</v>
      </c>
      <c r="H1621" s="57">
        <v>45779</v>
      </c>
      <c r="I1621" s="14"/>
      <c r="J1621" s="11"/>
      <c r="K1621" s="12"/>
      <c r="L1621" s="12"/>
      <c r="M1621" s="12"/>
      <c r="N1621" s="31"/>
      <c r="O1621" s="7">
        <f t="shared" si="441"/>
        <v>0</v>
      </c>
    </row>
    <row r="1622" spans="1:18" x14ac:dyDescent="0.15">
      <c r="A1622" s="14" t="s">
        <v>713</v>
      </c>
      <c r="B1622" s="11">
        <v>1</v>
      </c>
      <c r="C1622" s="12">
        <v>1</v>
      </c>
      <c r="D1622" s="12"/>
      <c r="E1622" s="12">
        <v>1</v>
      </c>
      <c r="F1622" s="31"/>
      <c r="G1622" s="7">
        <f t="shared" si="446"/>
        <v>3</v>
      </c>
      <c r="H1622" s="57">
        <v>45784</v>
      </c>
      <c r="I1622" s="14"/>
      <c r="J1622" s="11"/>
      <c r="K1622" s="12"/>
      <c r="L1622" s="12"/>
      <c r="M1622" s="12"/>
      <c r="N1622" s="31"/>
      <c r="O1622" s="7">
        <f t="shared" si="441"/>
        <v>0</v>
      </c>
    </row>
    <row r="1623" spans="1:18" x14ac:dyDescent="0.15">
      <c r="A1623" s="14" t="s">
        <v>713</v>
      </c>
      <c r="B1623" s="11">
        <v>1</v>
      </c>
      <c r="C1623" s="12"/>
      <c r="D1623" s="12"/>
      <c r="E1623" s="12"/>
      <c r="F1623" s="31"/>
      <c r="G1623" s="7">
        <f t="shared" si="446"/>
        <v>1</v>
      </c>
      <c r="H1623" s="57">
        <v>45789</v>
      </c>
      <c r="I1623" s="14"/>
      <c r="J1623" s="11"/>
      <c r="K1623" s="12"/>
      <c r="L1623" s="12"/>
      <c r="M1623" s="12"/>
      <c r="N1623" s="31"/>
      <c r="O1623" s="7">
        <f t="shared" si="441"/>
        <v>0</v>
      </c>
    </row>
    <row r="1624" spans="1:18" x14ac:dyDescent="0.15">
      <c r="A1624" s="14" t="s">
        <v>713</v>
      </c>
      <c r="B1624" s="11">
        <v>1</v>
      </c>
      <c r="C1624" s="12"/>
      <c r="D1624" s="12">
        <v>1</v>
      </c>
      <c r="E1624" s="12"/>
      <c r="F1624" s="31"/>
      <c r="G1624" s="7">
        <f t="shared" si="446"/>
        <v>2</v>
      </c>
      <c r="H1624" s="57">
        <v>45790</v>
      </c>
      <c r="I1624" s="14"/>
      <c r="J1624" s="11"/>
      <c r="K1624" s="12"/>
      <c r="L1624" s="12"/>
      <c r="M1624" s="12"/>
      <c r="N1624" s="31"/>
      <c r="O1624" s="7">
        <f t="shared" si="441"/>
        <v>0</v>
      </c>
    </row>
    <row r="1625" spans="1:18" x14ac:dyDescent="0.15">
      <c r="A1625" s="14" t="s">
        <v>713</v>
      </c>
      <c r="B1625" s="11"/>
      <c r="C1625" s="12"/>
      <c r="D1625" s="12">
        <v>1</v>
      </c>
      <c r="E1625" s="12">
        <v>1</v>
      </c>
      <c r="F1625" s="31"/>
      <c r="G1625" s="7">
        <f t="shared" si="446"/>
        <v>2</v>
      </c>
      <c r="H1625" s="57">
        <v>45793</v>
      </c>
      <c r="I1625" s="14"/>
      <c r="J1625" s="11"/>
      <c r="K1625" s="12"/>
      <c r="L1625" s="12"/>
      <c r="M1625" s="12"/>
      <c r="N1625" s="31"/>
      <c r="O1625" s="7">
        <f t="shared" si="441"/>
        <v>0</v>
      </c>
    </row>
    <row r="1626" spans="1:18" x14ac:dyDescent="0.15">
      <c r="A1626" s="14" t="s">
        <v>713</v>
      </c>
      <c r="B1626" s="11"/>
      <c r="C1626" s="12"/>
      <c r="D1626" s="12"/>
      <c r="E1626" s="12">
        <v>-1</v>
      </c>
      <c r="F1626" s="31"/>
      <c r="G1626" s="7">
        <f t="shared" si="446"/>
        <v>-1</v>
      </c>
      <c r="H1626" s="57">
        <v>45798</v>
      </c>
      <c r="I1626" s="14"/>
      <c r="J1626" s="11"/>
      <c r="K1626" s="12"/>
      <c r="L1626" s="12"/>
      <c r="M1626" s="12"/>
      <c r="N1626" s="31"/>
      <c r="O1626" s="7">
        <f t="shared" si="441"/>
        <v>0</v>
      </c>
    </row>
    <row r="1627" spans="1:18" x14ac:dyDescent="0.15">
      <c r="A1627" s="14" t="s">
        <v>713</v>
      </c>
      <c r="B1627" s="11">
        <v>1</v>
      </c>
      <c r="C1627" s="12"/>
      <c r="D1627" s="12"/>
      <c r="E1627" s="12"/>
      <c r="F1627" s="31"/>
      <c r="G1627" s="7">
        <f t="shared" si="446"/>
        <v>1</v>
      </c>
      <c r="H1627" s="57">
        <v>45799</v>
      </c>
      <c r="I1627" s="14"/>
      <c r="J1627" s="11"/>
      <c r="K1627" s="12"/>
      <c r="L1627" s="12"/>
      <c r="M1627" s="12"/>
      <c r="N1627" s="31"/>
      <c r="O1627" s="7">
        <f t="shared" si="441"/>
        <v>0</v>
      </c>
    </row>
    <row r="1628" spans="1:18" x14ac:dyDescent="0.15">
      <c r="A1628" s="14" t="s">
        <v>1644</v>
      </c>
      <c r="B1628" s="11"/>
      <c r="C1628" s="12"/>
      <c r="D1628" s="12">
        <v>-1</v>
      </c>
      <c r="E1628" s="12"/>
      <c r="F1628" s="31"/>
      <c r="G1628" s="7">
        <f t="shared" si="446"/>
        <v>-1</v>
      </c>
      <c r="H1628" s="57">
        <v>45799</v>
      </c>
      <c r="I1628" s="14"/>
      <c r="J1628" s="11"/>
      <c r="K1628" s="12"/>
      <c r="L1628" s="12"/>
      <c r="M1628" s="12"/>
      <c r="N1628" s="31"/>
      <c r="O1628" s="7">
        <f t="shared" si="441"/>
        <v>0</v>
      </c>
    </row>
    <row r="1629" spans="1:18" x14ac:dyDescent="0.15">
      <c r="A1629" s="14" t="s">
        <v>713</v>
      </c>
      <c r="B1629" s="11"/>
      <c r="C1629" s="12"/>
      <c r="D1629" s="12">
        <v>1</v>
      </c>
      <c r="E1629" s="12"/>
      <c r="F1629" s="31"/>
      <c r="G1629" s="7">
        <f t="shared" si="446"/>
        <v>1</v>
      </c>
      <c r="H1629" s="57">
        <v>45800</v>
      </c>
      <c r="I1629" s="14"/>
      <c r="J1629" s="11"/>
      <c r="K1629" s="12"/>
      <c r="L1629" s="12"/>
      <c r="M1629" s="12"/>
      <c r="N1629" s="31"/>
      <c r="O1629" s="7">
        <f t="shared" si="441"/>
        <v>0</v>
      </c>
    </row>
    <row r="1630" spans="1:18" x14ac:dyDescent="0.15">
      <c r="A1630" s="14" t="s">
        <v>713</v>
      </c>
      <c r="B1630" s="11"/>
      <c r="C1630" s="12"/>
      <c r="D1630" s="12"/>
      <c r="E1630" s="12"/>
      <c r="F1630" s="31">
        <v>1</v>
      </c>
      <c r="G1630" s="7">
        <f t="shared" si="446"/>
        <v>1</v>
      </c>
      <c r="H1630" s="57">
        <v>45805</v>
      </c>
      <c r="I1630" s="14"/>
      <c r="J1630" s="11"/>
      <c r="K1630" s="12"/>
      <c r="L1630" s="12"/>
      <c r="M1630" s="12"/>
      <c r="N1630" s="31"/>
      <c r="O1630" s="7">
        <f t="shared" si="441"/>
        <v>0</v>
      </c>
    </row>
    <row r="1631" spans="1:18" x14ac:dyDescent="0.15">
      <c r="A1631" s="14" t="s">
        <v>713</v>
      </c>
      <c r="B1631" s="11"/>
      <c r="C1631" s="12"/>
      <c r="D1631" s="12"/>
      <c r="E1631" s="12">
        <f>1+1</f>
        <v>2</v>
      </c>
      <c r="F1631" s="31"/>
      <c r="G1631" s="7">
        <f t="shared" si="446"/>
        <v>2</v>
      </c>
      <c r="H1631" s="57">
        <v>45807</v>
      </c>
      <c r="I1631" s="14"/>
      <c r="J1631" s="11"/>
      <c r="K1631" s="12"/>
      <c r="L1631" s="12"/>
      <c r="M1631" s="12"/>
      <c r="N1631" s="31"/>
      <c r="O1631" s="7">
        <f t="shared" si="441"/>
        <v>0</v>
      </c>
    </row>
    <row r="1632" spans="1:18" x14ac:dyDescent="0.15">
      <c r="A1632" s="14" t="s">
        <v>713</v>
      </c>
      <c r="B1632" s="11"/>
      <c r="C1632" s="12"/>
      <c r="D1632" s="12"/>
      <c r="E1632" s="12"/>
      <c r="F1632" s="31">
        <v>1</v>
      </c>
      <c r="G1632" s="7">
        <f t="shared" si="443"/>
        <v>1</v>
      </c>
      <c r="H1632" s="57">
        <v>45813</v>
      </c>
      <c r="I1632" s="14"/>
      <c r="J1632" s="11"/>
      <c r="K1632" s="12"/>
      <c r="L1632" s="12"/>
      <c r="M1632" s="12"/>
      <c r="N1632" s="31"/>
      <c r="O1632" s="7">
        <f t="shared" si="441"/>
        <v>0</v>
      </c>
    </row>
    <row r="1633" spans="1:15" x14ac:dyDescent="0.15">
      <c r="A1633" s="14" t="s">
        <v>713</v>
      </c>
      <c r="B1633" s="11"/>
      <c r="C1633" s="12"/>
      <c r="D1633" s="12"/>
      <c r="E1633" s="12">
        <v>1</v>
      </c>
      <c r="F1633" s="31"/>
      <c r="G1633" s="7">
        <f t="shared" si="443"/>
        <v>1</v>
      </c>
      <c r="H1633" s="57">
        <v>45814</v>
      </c>
      <c r="I1633" s="14"/>
      <c r="J1633" s="11"/>
      <c r="K1633" s="12"/>
      <c r="L1633" s="12"/>
      <c r="M1633" s="12"/>
      <c r="N1633" s="31"/>
      <c r="O1633" s="7">
        <f t="shared" si="441"/>
        <v>0</v>
      </c>
    </row>
    <row r="1634" spans="1:15" x14ac:dyDescent="0.15">
      <c r="A1634" s="14" t="s">
        <v>713</v>
      </c>
      <c r="B1634" s="11"/>
      <c r="C1634" s="12"/>
      <c r="D1634" s="12"/>
      <c r="E1634" s="12">
        <v>1</v>
      </c>
      <c r="F1634" s="31"/>
      <c r="G1634" s="7">
        <f t="shared" si="443"/>
        <v>1</v>
      </c>
      <c r="H1634" s="57">
        <v>45815</v>
      </c>
      <c r="I1634" s="14"/>
      <c r="J1634" s="11"/>
      <c r="K1634" s="12"/>
      <c r="L1634" s="12"/>
      <c r="M1634" s="12"/>
      <c r="N1634" s="31"/>
      <c r="O1634" s="7">
        <f t="shared" si="441"/>
        <v>0</v>
      </c>
    </row>
    <row r="1635" spans="1:15" x14ac:dyDescent="0.15">
      <c r="A1635" s="14" t="s">
        <v>713</v>
      </c>
      <c r="B1635" s="11"/>
      <c r="C1635" s="12"/>
      <c r="D1635" s="12"/>
      <c r="E1635" s="12"/>
      <c r="F1635" s="31">
        <v>1</v>
      </c>
      <c r="G1635" s="7">
        <f t="shared" si="443"/>
        <v>1</v>
      </c>
      <c r="H1635" s="57">
        <v>45817</v>
      </c>
      <c r="I1635" s="14"/>
      <c r="J1635" s="11"/>
      <c r="K1635" s="12"/>
      <c r="L1635" s="12"/>
      <c r="M1635" s="12"/>
      <c r="N1635" s="31"/>
      <c r="O1635" s="7">
        <f t="shared" si="441"/>
        <v>0</v>
      </c>
    </row>
    <row r="1636" spans="1:15" ht="14.25" thickBot="1" x14ac:dyDescent="0.2">
      <c r="A1636" s="14" t="s">
        <v>713</v>
      </c>
      <c r="B1636" s="11"/>
      <c r="C1636" s="12"/>
      <c r="D1636" s="12"/>
      <c r="E1636" s="12">
        <v>1</v>
      </c>
      <c r="F1636" s="31"/>
      <c r="G1636" s="7">
        <f t="shared" si="443"/>
        <v>1</v>
      </c>
      <c r="H1636" s="57">
        <v>45821</v>
      </c>
      <c r="I1636" s="14"/>
      <c r="J1636" s="11"/>
      <c r="K1636" s="12"/>
      <c r="L1636" s="12"/>
      <c r="M1636" s="12"/>
      <c r="N1636" s="31"/>
      <c r="O1636" s="7">
        <f t="shared" si="441"/>
        <v>0</v>
      </c>
    </row>
    <row r="1637" spans="1:15" ht="14.25" thickBot="1" x14ac:dyDescent="0.2">
      <c r="A1637" s="3" t="s">
        <v>11</v>
      </c>
      <c r="B1637" s="23">
        <f>SUM(B1611:B1636)</f>
        <v>6</v>
      </c>
      <c r="C1637" s="203">
        <f>SUM(C1611:C1636)</f>
        <v>4</v>
      </c>
      <c r="D1637" s="4">
        <f>SUM(D1611:D1636)</f>
        <v>4</v>
      </c>
      <c r="E1637" s="6">
        <f>SUM(E1611:E1636)</f>
        <v>7</v>
      </c>
      <c r="F1637" s="32">
        <f>SUM(F1611:F1636)</f>
        <v>6</v>
      </c>
      <c r="G1637" s="5">
        <f>SUM(B1637:F1637)</f>
        <v>27</v>
      </c>
      <c r="H1637" s="56"/>
      <c r="I1637" s="3" t="s">
        <v>11</v>
      </c>
      <c r="J1637" s="23">
        <f>SUM(J1611:J1636)</f>
        <v>6</v>
      </c>
      <c r="K1637" s="203">
        <f>SUM(K1611:K1636)</f>
        <v>0</v>
      </c>
      <c r="L1637" s="203">
        <f>SUM(L1611:L1636)</f>
        <v>0</v>
      </c>
      <c r="M1637" s="6">
        <f>SUM(M1611:M1636)</f>
        <v>6</v>
      </c>
      <c r="N1637" s="32">
        <f>SUM(N1611:N1636)</f>
        <v>6</v>
      </c>
      <c r="O1637" s="5">
        <f>SUM(J1637:N1637)</f>
        <v>18</v>
      </c>
    </row>
    <row r="1638" spans="1:15" ht="14.25" thickBot="1" x14ac:dyDescent="0.2">
      <c r="A1638" s="25" t="s">
        <v>12</v>
      </c>
      <c r="B1638" s="63">
        <f>B1610-B1637</f>
        <v>5</v>
      </c>
      <c r="C1638" s="206">
        <f t="shared" ref="C1638:G1638" si="447">C1610-C1637</f>
        <v>0</v>
      </c>
      <c r="D1638" s="71">
        <f t="shared" si="447"/>
        <v>2</v>
      </c>
      <c r="E1638" s="26">
        <f t="shared" si="447"/>
        <v>3</v>
      </c>
      <c r="F1638" s="70">
        <f t="shared" si="447"/>
        <v>6</v>
      </c>
      <c r="G1638" s="27">
        <f t="shared" si="447"/>
        <v>16</v>
      </c>
      <c r="H1638" s="56"/>
      <c r="I1638" s="25" t="s">
        <v>12</v>
      </c>
      <c r="J1638" s="63">
        <f>J1610-J1637</f>
        <v>98</v>
      </c>
      <c r="K1638" s="206">
        <f t="shared" ref="K1638:O1638" si="448">K1610-K1637</f>
        <v>0</v>
      </c>
      <c r="L1638" s="207">
        <f t="shared" si="448"/>
        <v>0</v>
      </c>
      <c r="M1638" s="26">
        <f t="shared" si="448"/>
        <v>38</v>
      </c>
      <c r="N1638" s="70">
        <f t="shared" si="448"/>
        <v>77</v>
      </c>
      <c r="O1638" s="27">
        <f t="shared" si="448"/>
        <v>213</v>
      </c>
    </row>
    <row r="1639" spans="1:15" ht="21" x14ac:dyDescent="0.2">
      <c r="A1639" s="83" t="s">
        <v>415</v>
      </c>
      <c r="B1639" s="77"/>
      <c r="C1639" s="77"/>
      <c r="D1639" s="77"/>
      <c r="E1639" s="77"/>
      <c r="F1639" s="77"/>
      <c r="G1639" s="77"/>
      <c r="H1639" s="56"/>
      <c r="I1639" s="83" t="s">
        <v>415</v>
      </c>
      <c r="J1639" s="77">
        <f>J1637+J1595+J1553+J1511+J1469+J1427+J1385+J1343+J1301+J1259+J1217+J1175+J1133+J1091+J1049+J1007+J965+J923+J881+J839+J797+J755+J713+J671+J629+J587+J545+J503+J461+J419+J377+J335+J293+J251+J209</f>
        <v>397</v>
      </c>
      <c r="K1639" s="77">
        <f t="shared" ref="K1639:O1639" si="449">K1637+K1595+K1553+K1511+K1469+K1427+K1385+K1343+K1301+K1259+K1217+K1175+K1133+K1091+K1049+K1007+K965+K923+K881+K839+K797+K755+K713+K671+K629+K587+K545+K503+K461+K419+K377+K335+K293+K251+K209</f>
        <v>718</v>
      </c>
      <c r="L1639" s="77">
        <f t="shared" si="449"/>
        <v>638</v>
      </c>
      <c r="M1639" s="77">
        <f t="shared" si="449"/>
        <v>581</v>
      </c>
      <c r="N1639" s="77">
        <f t="shared" si="449"/>
        <v>617</v>
      </c>
      <c r="O1639" s="77">
        <f t="shared" si="449"/>
        <v>2951</v>
      </c>
    </row>
    <row r="1640" spans="1:15" ht="21.75" thickBot="1" x14ac:dyDescent="0.25">
      <c r="A1640" s="83" t="s">
        <v>47</v>
      </c>
      <c r="B1640" s="77"/>
      <c r="C1640" s="77"/>
      <c r="D1640" s="77"/>
      <c r="E1640" s="84"/>
      <c r="F1640" s="78" t="s">
        <v>53</v>
      </c>
      <c r="G1640" s="77"/>
      <c r="H1640" s="56"/>
      <c r="I1640" s="83" t="s">
        <v>47</v>
      </c>
      <c r="J1640" s="77"/>
      <c r="K1640" s="77"/>
      <c r="L1640" s="77"/>
      <c r="M1640" s="84"/>
      <c r="N1640" s="78" t="s">
        <v>54</v>
      </c>
      <c r="O1640" s="77"/>
    </row>
    <row r="1641" spans="1:15" ht="14.25" thickBot="1" x14ac:dyDescent="0.2">
      <c r="A1641" s="13" t="s">
        <v>0</v>
      </c>
      <c r="B1641" s="228" t="s">
        <v>49</v>
      </c>
      <c r="C1641" s="229"/>
      <c r="D1641" s="229"/>
      <c r="E1641" s="229"/>
      <c r="F1641" s="230"/>
      <c r="G1641" s="231"/>
      <c r="H1641" s="56"/>
      <c r="I1641" s="13" t="s">
        <v>0</v>
      </c>
      <c r="J1641" s="228" t="s">
        <v>49</v>
      </c>
      <c r="K1641" s="229"/>
      <c r="L1641" s="229"/>
      <c r="M1641" s="229"/>
      <c r="N1641" s="230"/>
      <c r="O1641" s="231"/>
    </row>
    <row r="1642" spans="1:15" ht="14.25" thickBot="1" x14ac:dyDescent="0.2">
      <c r="A1642" s="3" t="s">
        <v>1</v>
      </c>
      <c r="B1642" s="2" t="s">
        <v>42</v>
      </c>
      <c r="C1642" s="21" t="s">
        <v>43</v>
      </c>
      <c r="D1642" s="21" t="s">
        <v>44</v>
      </c>
      <c r="E1642" s="24" t="s">
        <v>45</v>
      </c>
      <c r="F1642" s="33" t="s">
        <v>46</v>
      </c>
      <c r="G1642" s="34" t="s">
        <v>2</v>
      </c>
      <c r="H1642" s="56"/>
      <c r="I1642" s="3" t="s">
        <v>1</v>
      </c>
      <c r="J1642" s="2" t="s">
        <v>42</v>
      </c>
      <c r="K1642" s="21" t="s">
        <v>43</v>
      </c>
      <c r="L1642" s="21" t="s">
        <v>44</v>
      </c>
      <c r="M1642" s="24" t="s">
        <v>45</v>
      </c>
      <c r="N1642" s="33" t="s">
        <v>46</v>
      </c>
      <c r="O1642" s="3" t="s">
        <v>2</v>
      </c>
    </row>
    <row r="1643" spans="1:15" ht="14.25" thickBot="1" x14ac:dyDescent="0.2">
      <c r="A1643" s="72" t="s">
        <v>527</v>
      </c>
      <c r="B1643" s="73">
        <f>B1638</f>
        <v>5</v>
      </c>
      <c r="C1643" s="74">
        <f t="shared" ref="C1643:F1643" si="450">C1638</f>
        <v>0</v>
      </c>
      <c r="D1643" s="74">
        <f t="shared" si="450"/>
        <v>2</v>
      </c>
      <c r="E1643" s="74">
        <f t="shared" si="450"/>
        <v>3</v>
      </c>
      <c r="F1643" s="212">
        <f t="shared" si="450"/>
        <v>6</v>
      </c>
      <c r="G1643" s="76">
        <f t="shared" ref="G1643" si="451">SUM(B1643:F1643)</f>
        <v>16</v>
      </c>
      <c r="H1643" s="56"/>
      <c r="I1643" s="72" t="s">
        <v>12</v>
      </c>
      <c r="J1643" s="73">
        <f>J1638</f>
        <v>98</v>
      </c>
      <c r="K1643" s="74">
        <f t="shared" ref="K1643:N1643" si="452">K1638</f>
        <v>0</v>
      </c>
      <c r="L1643" s="74">
        <f t="shared" si="452"/>
        <v>0</v>
      </c>
      <c r="M1643" s="74">
        <f t="shared" si="452"/>
        <v>38</v>
      </c>
      <c r="N1643" s="131">
        <f t="shared" si="452"/>
        <v>77</v>
      </c>
      <c r="O1643" s="52">
        <f t="shared" ref="O1643:O1678" si="453">SUM(J1643:N1643)</f>
        <v>213</v>
      </c>
    </row>
    <row r="1644" spans="1:15" x14ac:dyDescent="0.15">
      <c r="A1644" s="15" t="s">
        <v>3</v>
      </c>
      <c r="B1644" s="8">
        <v>1</v>
      </c>
      <c r="C1644" s="10"/>
      <c r="D1644" s="10"/>
      <c r="E1644" s="10">
        <v>5</v>
      </c>
      <c r="F1644" s="30"/>
      <c r="G1644" s="7">
        <f t="shared" ref="G1644:G1645" si="454">SUM(B1644:F1644)</f>
        <v>6</v>
      </c>
      <c r="H1644" s="58">
        <v>45854</v>
      </c>
      <c r="I1644" s="15" t="s">
        <v>3</v>
      </c>
      <c r="J1644" s="8"/>
      <c r="K1644" s="10"/>
      <c r="L1644" s="10"/>
      <c r="M1644" s="10"/>
      <c r="N1644" s="30"/>
      <c r="O1644" s="7">
        <f t="shared" si="453"/>
        <v>0</v>
      </c>
    </row>
    <row r="1645" spans="1:15" x14ac:dyDescent="0.15">
      <c r="A1645" s="15" t="s">
        <v>1348</v>
      </c>
      <c r="B1645" s="8">
        <v>0</v>
      </c>
      <c r="C1645" s="10">
        <v>0</v>
      </c>
      <c r="D1645" s="10">
        <v>0</v>
      </c>
      <c r="E1645" s="10">
        <v>-1</v>
      </c>
      <c r="F1645" s="30">
        <v>0</v>
      </c>
      <c r="G1645" s="7">
        <f t="shared" si="454"/>
        <v>-1</v>
      </c>
      <c r="H1645" s="58">
        <v>45894</v>
      </c>
      <c r="I1645" s="15" t="s">
        <v>4</v>
      </c>
      <c r="J1645" s="8"/>
      <c r="K1645" s="10"/>
      <c r="L1645" s="10"/>
      <c r="M1645" s="10"/>
      <c r="N1645" s="30"/>
      <c r="O1645" s="7">
        <f t="shared" si="453"/>
        <v>0</v>
      </c>
    </row>
    <row r="1646" spans="1:15" x14ac:dyDescent="0.15">
      <c r="A1646" s="15" t="s">
        <v>5</v>
      </c>
      <c r="B1646" s="8">
        <v>6</v>
      </c>
      <c r="C1646" s="10"/>
      <c r="D1646" s="10"/>
      <c r="E1646" s="10"/>
      <c r="F1646" s="30"/>
      <c r="G1646" s="7">
        <f t="shared" ref="G1646:G1678" si="455">SUM(B1646:F1646)</f>
        <v>6</v>
      </c>
      <c r="H1646" s="58">
        <v>45899</v>
      </c>
      <c r="I1646" s="15" t="s">
        <v>5</v>
      </c>
      <c r="J1646" s="8"/>
      <c r="K1646" s="10"/>
      <c r="L1646" s="10"/>
      <c r="M1646" s="10"/>
      <c r="N1646" s="30"/>
      <c r="O1646" s="7">
        <f t="shared" si="453"/>
        <v>0</v>
      </c>
    </row>
    <row r="1647" spans="1:15" x14ac:dyDescent="0.15">
      <c r="A1647" s="15" t="s">
        <v>6</v>
      </c>
      <c r="B1647" s="8"/>
      <c r="C1647" s="10"/>
      <c r="D1647" s="10"/>
      <c r="E1647" s="10">
        <v>5</v>
      </c>
      <c r="F1647" s="30"/>
      <c r="G1647" s="7">
        <f t="shared" si="455"/>
        <v>5</v>
      </c>
      <c r="H1647" s="58">
        <v>45906</v>
      </c>
      <c r="I1647" s="15" t="s">
        <v>6</v>
      </c>
      <c r="J1647" s="8"/>
      <c r="K1647" s="10"/>
      <c r="L1647" s="10"/>
      <c r="M1647" s="10"/>
      <c r="N1647" s="30"/>
      <c r="O1647" s="7">
        <f t="shared" si="453"/>
        <v>0</v>
      </c>
    </row>
    <row r="1648" spans="1:15" x14ac:dyDescent="0.15">
      <c r="A1648" s="223" t="s">
        <v>84</v>
      </c>
      <c r="B1648" s="158"/>
      <c r="C1648" s="159"/>
      <c r="D1648" s="159"/>
      <c r="E1648" s="159">
        <v>5</v>
      </c>
      <c r="F1648" s="160">
        <v>5</v>
      </c>
      <c r="G1648" s="161">
        <f t="shared" si="455"/>
        <v>10</v>
      </c>
      <c r="H1648" s="162">
        <v>45932</v>
      </c>
      <c r="I1648" s="15" t="s">
        <v>84</v>
      </c>
      <c r="J1648" s="8"/>
      <c r="K1648" s="10"/>
      <c r="L1648" s="10"/>
      <c r="M1648" s="10"/>
      <c r="N1648" s="30"/>
      <c r="O1648" s="7">
        <f t="shared" si="453"/>
        <v>0</v>
      </c>
    </row>
    <row r="1649" spans="1:16" x14ac:dyDescent="0.15">
      <c r="A1649" s="223" t="s">
        <v>85</v>
      </c>
      <c r="B1649" s="158"/>
      <c r="C1649" s="159"/>
      <c r="D1649" s="159"/>
      <c r="E1649" s="159"/>
      <c r="F1649" s="160">
        <v>5</v>
      </c>
      <c r="G1649" s="161">
        <f t="shared" si="455"/>
        <v>5</v>
      </c>
      <c r="H1649" s="162">
        <v>45993</v>
      </c>
      <c r="I1649" s="15" t="s">
        <v>85</v>
      </c>
      <c r="J1649" s="8"/>
      <c r="K1649" s="10"/>
      <c r="L1649" s="10"/>
      <c r="M1649" s="10"/>
      <c r="N1649" s="30"/>
      <c r="O1649" s="7">
        <f t="shared" si="453"/>
        <v>0</v>
      </c>
    </row>
    <row r="1650" spans="1:16" x14ac:dyDescent="0.15">
      <c r="A1650" s="15" t="s">
        <v>86</v>
      </c>
      <c r="B1650" s="8"/>
      <c r="C1650" s="10"/>
      <c r="D1650" s="10"/>
      <c r="E1650" s="10"/>
      <c r="F1650" s="30"/>
      <c r="G1650" s="7">
        <f t="shared" si="455"/>
        <v>0</v>
      </c>
      <c r="I1650" s="15" t="s">
        <v>86</v>
      </c>
      <c r="J1650" s="8"/>
      <c r="K1650" s="10"/>
      <c r="L1650" s="10"/>
      <c r="M1650" s="10"/>
      <c r="N1650" s="30"/>
      <c r="O1650" s="7">
        <f t="shared" si="453"/>
        <v>0</v>
      </c>
    </row>
    <row r="1651" spans="1:16" ht="14.25" thickBot="1" x14ac:dyDescent="0.2">
      <c r="A1651" s="15" t="s">
        <v>87</v>
      </c>
      <c r="B1651" s="8"/>
      <c r="C1651" s="10"/>
      <c r="D1651" s="10"/>
      <c r="E1651" s="10"/>
      <c r="F1651" s="30"/>
      <c r="G1651" s="7">
        <f t="shared" si="455"/>
        <v>0</v>
      </c>
      <c r="I1651" s="15" t="s">
        <v>87</v>
      </c>
      <c r="J1651" s="8"/>
      <c r="K1651" s="10"/>
      <c r="L1651" s="10"/>
      <c r="M1651" s="10"/>
      <c r="N1651" s="30"/>
      <c r="O1651" s="7">
        <f t="shared" si="453"/>
        <v>0</v>
      </c>
    </row>
    <row r="1652" spans="1:16" ht="14.25" thickBot="1" x14ac:dyDescent="0.2">
      <c r="A1652" s="72" t="s">
        <v>7</v>
      </c>
      <c r="B1652" s="73">
        <f>SUM(B1643:B1651)</f>
        <v>12</v>
      </c>
      <c r="C1652" s="74">
        <f t="shared" ref="C1652:F1652" si="456">SUM(C1643:C1651)</f>
        <v>0</v>
      </c>
      <c r="D1652" s="74">
        <f t="shared" si="456"/>
        <v>2</v>
      </c>
      <c r="E1652" s="74">
        <f t="shared" si="456"/>
        <v>17</v>
      </c>
      <c r="F1652" s="105">
        <f t="shared" si="456"/>
        <v>16</v>
      </c>
      <c r="G1652" s="76">
        <f t="shared" si="455"/>
        <v>47</v>
      </c>
      <c r="H1652" s="56"/>
      <c r="I1652" s="72" t="s">
        <v>7</v>
      </c>
      <c r="J1652" s="73">
        <f>SUM(J1643:J1651)</f>
        <v>98</v>
      </c>
      <c r="K1652" s="74">
        <f t="shared" ref="K1652:N1652" si="457">SUM(K1643:K1651)</f>
        <v>0</v>
      </c>
      <c r="L1652" s="74">
        <f t="shared" si="457"/>
        <v>0</v>
      </c>
      <c r="M1652" s="74">
        <f t="shared" si="457"/>
        <v>38</v>
      </c>
      <c r="N1652" s="105">
        <f t="shared" si="457"/>
        <v>77</v>
      </c>
      <c r="O1652" s="76">
        <f t="shared" si="453"/>
        <v>213</v>
      </c>
    </row>
    <row r="1653" spans="1:16" x14ac:dyDescent="0.15">
      <c r="A1653" s="14" t="s">
        <v>713</v>
      </c>
      <c r="B1653" s="11"/>
      <c r="C1653" s="12"/>
      <c r="D1653" s="12"/>
      <c r="E1653" s="12">
        <v>1</v>
      </c>
      <c r="F1653" s="31"/>
      <c r="G1653" s="7">
        <f t="shared" si="455"/>
        <v>1</v>
      </c>
      <c r="H1653" s="57">
        <v>45826</v>
      </c>
      <c r="I1653" s="15" t="s">
        <v>24</v>
      </c>
      <c r="J1653" s="11"/>
      <c r="K1653" s="12"/>
      <c r="L1653" s="12"/>
      <c r="M1653" s="12">
        <v>5</v>
      </c>
      <c r="N1653" s="31"/>
      <c r="O1653" s="7">
        <f t="shared" si="453"/>
        <v>5</v>
      </c>
      <c r="P1653" s="58">
        <v>45854</v>
      </c>
    </row>
    <row r="1654" spans="1:16" x14ac:dyDescent="0.15">
      <c r="A1654" s="14" t="s">
        <v>713</v>
      </c>
      <c r="B1654" s="11"/>
      <c r="C1654" s="12"/>
      <c r="D1654" s="12"/>
      <c r="E1654" s="12"/>
      <c r="F1654" s="31">
        <v>1</v>
      </c>
      <c r="G1654" s="7">
        <f t="shared" si="455"/>
        <v>1</v>
      </c>
      <c r="H1654" s="57">
        <v>45834</v>
      </c>
      <c r="I1654" s="15" t="s">
        <v>24</v>
      </c>
      <c r="J1654" s="11">
        <v>6</v>
      </c>
      <c r="K1654" s="12"/>
      <c r="L1654" s="12"/>
      <c r="M1654" s="12"/>
      <c r="N1654" s="31"/>
      <c r="O1654" s="7">
        <f t="shared" si="453"/>
        <v>6</v>
      </c>
      <c r="P1654" s="58">
        <v>45899</v>
      </c>
    </row>
    <row r="1655" spans="1:16" x14ac:dyDescent="0.15">
      <c r="A1655" s="14" t="s">
        <v>713</v>
      </c>
      <c r="B1655" s="11"/>
      <c r="C1655" s="12"/>
      <c r="D1655" s="12"/>
      <c r="E1655" s="12">
        <v>1</v>
      </c>
      <c r="F1655" s="31"/>
      <c r="G1655" s="7">
        <f t="shared" si="455"/>
        <v>1</v>
      </c>
      <c r="H1655" s="57">
        <v>45852</v>
      </c>
      <c r="I1655" s="15" t="s">
        <v>24</v>
      </c>
      <c r="J1655" s="11"/>
      <c r="K1655" s="12"/>
      <c r="L1655" s="12"/>
      <c r="M1655" s="12">
        <v>5</v>
      </c>
      <c r="N1655" s="31"/>
      <c r="O1655" s="7">
        <f t="shared" si="453"/>
        <v>5</v>
      </c>
      <c r="P1655" s="58">
        <v>45906</v>
      </c>
    </row>
    <row r="1656" spans="1:16" x14ac:dyDescent="0.15">
      <c r="A1656" s="14" t="s">
        <v>713</v>
      </c>
      <c r="B1656" s="11"/>
      <c r="C1656" s="12"/>
      <c r="D1656" s="12"/>
      <c r="E1656" s="12">
        <v>1</v>
      </c>
      <c r="F1656" s="31"/>
      <c r="G1656" s="7">
        <f t="shared" si="455"/>
        <v>1</v>
      </c>
      <c r="H1656" s="57">
        <v>45853</v>
      </c>
      <c r="I1656" s="223" t="s">
        <v>24</v>
      </c>
      <c r="J1656" s="166"/>
      <c r="K1656" s="167"/>
      <c r="L1656" s="167"/>
      <c r="M1656" s="167">
        <v>5</v>
      </c>
      <c r="N1656" s="168">
        <v>5</v>
      </c>
      <c r="O1656" s="161">
        <f t="shared" ref="O1656:O1676" si="458">SUM(J1656:N1656)</f>
        <v>10</v>
      </c>
      <c r="P1656" s="162">
        <v>45932</v>
      </c>
    </row>
    <row r="1657" spans="1:16" x14ac:dyDescent="0.15">
      <c r="A1657" s="14" t="s">
        <v>713</v>
      </c>
      <c r="B1657" s="11"/>
      <c r="C1657" s="12"/>
      <c r="D1657" s="12"/>
      <c r="E1657" s="12">
        <v>1</v>
      </c>
      <c r="F1657" s="31"/>
      <c r="G1657" s="7">
        <f t="shared" si="455"/>
        <v>1</v>
      </c>
      <c r="H1657" s="57">
        <v>45854</v>
      </c>
      <c r="I1657" s="223" t="s">
        <v>24</v>
      </c>
      <c r="J1657" s="166"/>
      <c r="K1657" s="167"/>
      <c r="L1657" s="167"/>
      <c r="M1657" s="167"/>
      <c r="N1657" s="168">
        <v>5</v>
      </c>
      <c r="O1657" s="161">
        <f t="shared" si="458"/>
        <v>5</v>
      </c>
      <c r="P1657" s="162">
        <v>45993</v>
      </c>
    </row>
    <row r="1658" spans="1:16" x14ac:dyDescent="0.15">
      <c r="A1658" s="14" t="s">
        <v>713</v>
      </c>
      <c r="B1658" s="11"/>
      <c r="C1658" s="12"/>
      <c r="D1658" s="12"/>
      <c r="E1658" s="12"/>
      <c r="F1658" s="31">
        <v>1</v>
      </c>
      <c r="G1658" s="7">
        <f t="shared" si="455"/>
        <v>1</v>
      </c>
      <c r="H1658" s="57">
        <v>45873</v>
      </c>
      <c r="I1658" s="223" t="s">
        <v>24</v>
      </c>
      <c r="J1658" s="166"/>
      <c r="K1658" s="167"/>
      <c r="L1658" s="167"/>
      <c r="M1658" s="167">
        <v>10</v>
      </c>
      <c r="N1658" s="168">
        <v>3</v>
      </c>
      <c r="O1658" s="161">
        <f t="shared" si="458"/>
        <v>13</v>
      </c>
      <c r="P1658" s="162">
        <v>46105</v>
      </c>
    </row>
    <row r="1659" spans="1:16" x14ac:dyDescent="0.15">
      <c r="A1659" s="14" t="s">
        <v>713</v>
      </c>
      <c r="B1659" s="11"/>
      <c r="C1659" s="12"/>
      <c r="D1659" s="12"/>
      <c r="E1659" s="12">
        <v>1</v>
      </c>
      <c r="F1659" s="31"/>
      <c r="G1659" s="7">
        <f t="shared" si="455"/>
        <v>1</v>
      </c>
      <c r="H1659" s="57">
        <v>45890</v>
      </c>
      <c r="I1659" s="223" t="s">
        <v>24</v>
      </c>
      <c r="J1659" s="166"/>
      <c r="K1659" s="167"/>
      <c r="L1659" s="167"/>
      <c r="M1659" s="167">
        <v>3</v>
      </c>
      <c r="N1659" s="168"/>
      <c r="O1659" s="161">
        <f t="shared" si="458"/>
        <v>3</v>
      </c>
      <c r="P1659" s="162">
        <v>46140</v>
      </c>
    </row>
    <row r="1660" spans="1:16" x14ac:dyDescent="0.15">
      <c r="A1660" s="14" t="s">
        <v>713</v>
      </c>
      <c r="B1660" s="11">
        <v>1</v>
      </c>
      <c r="C1660" s="12"/>
      <c r="D1660" s="12"/>
      <c r="E1660" s="12"/>
      <c r="F1660" s="31"/>
      <c r="G1660" s="7">
        <f t="shared" si="455"/>
        <v>1</v>
      </c>
      <c r="H1660" s="57">
        <v>45895</v>
      </c>
      <c r="I1660" s="14"/>
      <c r="J1660" s="11"/>
      <c r="K1660" s="12"/>
      <c r="L1660" s="12"/>
      <c r="M1660" s="12"/>
      <c r="N1660" s="31"/>
      <c r="O1660" s="7">
        <f t="shared" si="458"/>
        <v>0</v>
      </c>
    </row>
    <row r="1661" spans="1:16" x14ac:dyDescent="0.15">
      <c r="A1661" s="14" t="s">
        <v>713</v>
      </c>
      <c r="B1661" s="11">
        <v>1</v>
      </c>
      <c r="C1661" s="12"/>
      <c r="D1661" s="12"/>
      <c r="E1661" s="12"/>
      <c r="F1661" s="31"/>
      <c r="G1661" s="7">
        <f t="shared" si="455"/>
        <v>1</v>
      </c>
      <c r="H1661" s="57">
        <v>45898</v>
      </c>
      <c r="I1661" s="14"/>
      <c r="J1661" s="11"/>
      <c r="K1661" s="12"/>
      <c r="L1661" s="12"/>
      <c r="M1661" s="12"/>
      <c r="N1661" s="31"/>
      <c r="O1661" s="7">
        <f t="shared" si="458"/>
        <v>0</v>
      </c>
    </row>
    <row r="1662" spans="1:16" x14ac:dyDescent="0.15">
      <c r="A1662" s="14" t="s">
        <v>713</v>
      </c>
      <c r="B1662" s="11">
        <v>1</v>
      </c>
      <c r="C1662" s="12"/>
      <c r="D1662" s="12"/>
      <c r="E1662" s="12"/>
      <c r="F1662" s="31"/>
      <c r="G1662" s="7">
        <f t="shared" si="455"/>
        <v>1</v>
      </c>
      <c r="H1662" s="57">
        <v>45902</v>
      </c>
      <c r="I1662" s="14"/>
      <c r="J1662" s="11"/>
      <c r="K1662" s="12"/>
      <c r="L1662" s="12"/>
      <c r="M1662" s="12"/>
      <c r="N1662" s="31"/>
      <c r="O1662" s="7">
        <f t="shared" si="458"/>
        <v>0</v>
      </c>
    </row>
    <row r="1663" spans="1:16" x14ac:dyDescent="0.15">
      <c r="A1663" s="14" t="s">
        <v>713</v>
      </c>
      <c r="B1663" s="11"/>
      <c r="C1663" s="12"/>
      <c r="D1663" s="12"/>
      <c r="E1663" s="12">
        <v>1</v>
      </c>
      <c r="F1663" s="31"/>
      <c r="G1663" s="7">
        <f t="shared" si="455"/>
        <v>1</v>
      </c>
      <c r="H1663" s="57">
        <v>45905</v>
      </c>
      <c r="I1663" s="14"/>
      <c r="J1663" s="11"/>
      <c r="K1663" s="12"/>
      <c r="L1663" s="12"/>
      <c r="M1663" s="12"/>
      <c r="N1663" s="31"/>
      <c r="O1663" s="7">
        <f t="shared" si="458"/>
        <v>0</v>
      </c>
    </row>
    <row r="1664" spans="1:16" x14ac:dyDescent="0.15">
      <c r="A1664" s="14" t="s">
        <v>713</v>
      </c>
      <c r="B1664" s="11"/>
      <c r="C1664" s="12"/>
      <c r="D1664" s="12"/>
      <c r="E1664" s="12">
        <v>2</v>
      </c>
      <c r="F1664" s="31"/>
      <c r="G1664" s="7">
        <f t="shared" si="455"/>
        <v>2</v>
      </c>
      <c r="H1664" s="57">
        <v>45911</v>
      </c>
      <c r="I1664" s="14"/>
      <c r="J1664" s="11"/>
      <c r="K1664" s="12"/>
      <c r="L1664" s="12"/>
      <c r="M1664" s="12"/>
      <c r="N1664" s="31"/>
      <c r="O1664" s="7">
        <f t="shared" si="458"/>
        <v>0</v>
      </c>
    </row>
    <row r="1665" spans="1:15" x14ac:dyDescent="0.15">
      <c r="A1665" s="14" t="s">
        <v>713</v>
      </c>
      <c r="B1665" s="11"/>
      <c r="C1665" s="12"/>
      <c r="D1665" s="12"/>
      <c r="E1665" s="12">
        <v>1</v>
      </c>
      <c r="F1665" s="31">
        <v>1</v>
      </c>
      <c r="G1665" s="7">
        <f t="shared" si="455"/>
        <v>2</v>
      </c>
      <c r="H1665" s="57">
        <v>45916</v>
      </c>
      <c r="I1665" s="14"/>
      <c r="J1665" s="11"/>
      <c r="K1665" s="12"/>
      <c r="L1665" s="12"/>
      <c r="M1665" s="12"/>
      <c r="N1665" s="31"/>
      <c r="O1665" s="7">
        <f t="shared" si="458"/>
        <v>0</v>
      </c>
    </row>
    <row r="1666" spans="1:15" x14ac:dyDescent="0.15">
      <c r="A1666" s="14" t="s">
        <v>713</v>
      </c>
      <c r="B1666" s="11"/>
      <c r="C1666" s="12"/>
      <c r="D1666" s="12"/>
      <c r="E1666" s="12">
        <v>1</v>
      </c>
      <c r="F1666" s="31"/>
      <c r="G1666" s="7">
        <f t="shared" si="455"/>
        <v>1</v>
      </c>
      <c r="H1666" s="57">
        <v>45924</v>
      </c>
      <c r="I1666" s="14"/>
      <c r="J1666" s="11"/>
      <c r="K1666" s="12"/>
      <c r="L1666" s="12"/>
      <c r="M1666" s="12"/>
      <c r="N1666" s="31"/>
      <c r="O1666" s="7">
        <f t="shared" si="458"/>
        <v>0</v>
      </c>
    </row>
    <row r="1667" spans="1:15" x14ac:dyDescent="0.15">
      <c r="A1667" s="14" t="s">
        <v>713</v>
      </c>
      <c r="B1667" s="11"/>
      <c r="C1667" s="12"/>
      <c r="D1667" s="12"/>
      <c r="E1667" s="12"/>
      <c r="F1667" s="31">
        <v>1</v>
      </c>
      <c r="G1667" s="7">
        <f t="shared" si="455"/>
        <v>1</v>
      </c>
      <c r="H1667" s="57">
        <v>45926</v>
      </c>
      <c r="I1667" s="14"/>
      <c r="J1667" s="11"/>
      <c r="K1667" s="12"/>
      <c r="L1667" s="12"/>
      <c r="M1667" s="12"/>
      <c r="N1667" s="31"/>
      <c r="O1667" s="7">
        <f t="shared" si="458"/>
        <v>0</v>
      </c>
    </row>
    <row r="1668" spans="1:15" x14ac:dyDescent="0.15">
      <c r="A1668" s="14" t="s">
        <v>713</v>
      </c>
      <c r="B1668" s="11"/>
      <c r="C1668" s="12"/>
      <c r="D1668" s="12"/>
      <c r="E1668" s="12">
        <v>1</v>
      </c>
      <c r="F1668" s="31"/>
      <c r="G1668" s="7">
        <f t="shared" si="455"/>
        <v>1</v>
      </c>
      <c r="H1668" s="57">
        <v>45937</v>
      </c>
      <c r="I1668" s="14"/>
      <c r="J1668" s="11"/>
      <c r="K1668" s="12"/>
      <c r="L1668" s="12"/>
      <c r="M1668" s="12"/>
      <c r="N1668" s="31"/>
      <c r="O1668" s="7">
        <f t="shared" si="458"/>
        <v>0</v>
      </c>
    </row>
    <row r="1669" spans="1:15" x14ac:dyDescent="0.15">
      <c r="A1669" s="14" t="s">
        <v>713</v>
      </c>
      <c r="B1669" s="11">
        <v>1</v>
      </c>
      <c r="C1669" s="12"/>
      <c r="D1669" s="12"/>
      <c r="E1669" s="12"/>
      <c r="F1669" s="31">
        <v>2</v>
      </c>
      <c r="G1669" s="7">
        <f t="shared" si="455"/>
        <v>3</v>
      </c>
      <c r="H1669" s="57">
        <v>45939</v>
      </c>
      <c r="I1669" s="14"/>
      <c r="J1669" s="11"/>
      <c r="K1669" s="12"/>
      <c r="L1669" s="12"/>
      <c r="M1669" s="12"/>
      <c r="N1669" s="31"/>
      <c r="O1669" s="7">
        <f t="shared" si="458"/>
        <v>0</v>
      </c>
    </row>
    <row r="1670" spans="1:15" x14ac:dyDescent="0.15">
      <c r="A1670" s="14" t="s">
        <v>713</v>
      </c>
      <c r="B1670" s="11"/>
      <c r="C1670" s="12"/>
      <c r="D1670" s="12"/>
      <c r="E1670" s="12"/>
      <c r="F1670" s="31">
        <v>1</v>
      </c>
      <c r="G1670" s="7">
        <f t="shared" si="455"/>
        <v>1</v>
      </c>
      <c r="H1670" s="57">
        <v>45959</v>
      </c>
      <c r="I1670" s="14"/>
      <c r="J1670" s="11"/>
      <c r="K1670" s="12"/>
      <c r="L1670" s="12"/>
      <c r="M1670" s="12"/>
      <c r="N1670" s="31"/>
      <c r="O1670" s="7">
        <f t="shared" si="458"/>
        <v>0</v>
      </c>
    </row>
    <row r="1671" spans="1:15" x14ac:dyDescent="0.15">
      <c r="A1671" s="14" t="s">
        <v>713</v>
      </c>
      <c r="B1671" s="11">
        <v>1</v>
      </c>
      <c r="C1671" s="12"/>
      <c r="D1671" s="12"/>
      <c r="E1671" s="12"/>
      <c r="F1671" s="31"/>
      <c r="G1671" s="7">
        <f t="shared" si="455"/>
        <v>1</v>
      </c>
      <c r="H1671" s="57">
        <v>45981</v>
      </c>
      <c r="I1671" s="14"/>
      <c r="J1671" s="11"/>
      <c r="K1671" s="12"/>
      <c r="L1671" s="12"/>
      <c r="M1671" s="12"/>
      <c r="N1671" s="31"/>
      <c r="O1671" s="7">
        <f t="shared" si="458"/>
        <v>0</v>
      </c>
    </row>
    <row r="1672" spans="1:15" x14ac:dyDescent="0.15">
      <c r="A1672" s="14" t="s">
        <v>713</v>
      </c>
      <c r="B1672" s="11"/>
      <c r="C1672" s="12"/>
      <c r="D1672" s="12"/>
      <c r="E1672" s="12"/>
      <c r="F1672" s="31">
        <v>1</v>
      </c>
      <c r="G1672" s="7">
        <f t="shared" si="455"/>
        <v>1</v>
      </c>
      <c r="H1672" s="57">
        <v>45986</v>
      </c>
      <c r="I1672" s="14"/>
      <c r="J1672" s="11"/>
      <c r="K1672" s="12"/>
      <c r="L1672" s="12"/>
      <c r="M1672" s="12"/>
      <c r="N1672" s="31"/>
      <c r="O1672" s="7">
        <f t="shared" si="458"/>
        <v>0</v>
      </c>
    </row>
    <row r="1673" spans="1:15" x14ac:dyDescent="0.15">
      <c r="A1673" s="14" t="s">
        <v>713</v>
      </c>
      <c r="B1673" s="11">
        <v>1</v>
      </c>
      <c r="C1673" s="12"/>
      <c r="D1673" s="12"/>
      <c r="E1673" s="12"/>
      <c r="F1673" s="31">
        <v>1</v>
      </c>
      <c r="G1673" s="7">
        <f t="shared" si="455"/>
        <v>2</v>
      </c>
      <c r="H1673" s="57">
        <v>45992</v>
      </c>
      <c r="I1673" s="14"/>
      <c r="J1673" s="11"/>
      <c r="K1673" s="12"/>
      <c r="L1673" s="12"/>
      <c r="M1673" s="12"/>
      <c r="N1673" s="31"/>
      <c r="O1673" s="7">
        <f t="shared" si="458"/>
        <v>0</v>
      </c>
    </row>
    <row r="1674" spans="1:15" x14ac:dyDescent="0.15">
      <c r="A1674" s="14" t="s">
        <v>713</v>
      </c>
      <c r="B1674" s="11">
        <v>1</v>
      </c>
      <c r="C1674" s="12"/>
      <c r="D1674" s="12"/>
      <c r="E1674" s="12"/>
      <c r="F1674" s="31"/>
      <c r="G1674" s="7">
        <f t="shared" si="455"/>
        <v>1</v>
      </c>
      <c r="H1674" s="57">
        <v>45993</v>
      </c>
      <c r="I1674" s="14"/>
      <c r="J1674" s="11"/>
      <c r="K1674" s="12"/>
      <c r="L1674" s="12"/>
      <c r="M1674" s="12"/>
      <c r="N1674" s="31"/>
      <c r="O1674" s="7">
        <f t="shared" si="458"/>
        <v>0</v>
      </c>
    </row>
    <row r="1675" spans="1:15" x14ac:dyDescent="0.15">
      <c r="A1675" s="14" t="s">
        <v>713</v>
      </c>
      <c r="B1675" s="11"/>
      <c r="C1675" s="12"/>
      <c r="D1675" s="12"/>
      <c r="E1675" s="12">
        <v>1</v>
      </c>
      <c r="F1675" s="31"/>
      <c r="G1675" s="7">
        <f t="shared" si="455"/>
        <v>1</v>
      </c>
      <c r="H1675" s="57">
        <v>46000</v>
      </c>
      <c r="I1675" s="14"/>
      <c r="J1675" s="11"/>
      <c r="K1675" s="12"/>
      <c r="L1675" s="12"/>
      <c r="M1675" s="12"/>
      <c r="N1675" s="31"/>
      <c r="O1675" s="7">
        <f t="shared" si="458"/>
        <v>0</v>
      </c>
    </row>
    <row r="1676" spans="1:15" x14ac:dyDescent="0.15">
      <c r="A1676" s="14" t="s">
        <v>1649</v>
      </c>
      <c r="B1676" s="11"/>
      <c r="C1676" s="12"/>
      <c r="D1676" s="12">
        <v>1</v>
      </c>
      <c r="E1676" s="12"/>
      <c r="F1676" s="31"/>
      <c r="G1676" s="7">
        <f t="shared" si="455"/>
        <v>1</v>
      </c>
      <c r="I1676" s="14"/>
      <c r="J1676" s="11"/>
      <c r="K1676" s="12"/>
      <c r="L1676" s="12"/>
      <c r="M1676" s="12"/>
      <c r="N1676" s="31"/>
      <c r="O1676" s="7">
        <f t="shared" si="458"/>
        <v>0</v>
      </c>
    </row>
    <row r="1677" spans="1:15" x14ac:dyDescent="0.15">
      <c r="A1677" s="14" t="s">
        <v>29</v>
      </c>
      <c r="B1677" s="11"/>
      <c r="C1677" s="12"/>
      <c r="D1677" s="12">
        <v>1</v>
      </c>
      <c r="E1677" s="12"/>
      <c r="F1677" s="31"/>
      <c r="G1677" s="7">
        <f t="shared" si="455"/>
        <v>1</v>
      </c>
      <c r="H1677" s="57">
        <v>46006</v>
      </c>
      <c r="I1677" s="14"/>
      <c r="J1677" s="11"/>
      <c r="K1677" s="12"/>
      <c r="L1677" s="12"/>
      <c r="M1677" s="12"/>
      <c r="N1677" s="31"/>
      <c r="O1677" s="7">
        <f t="shared" si="453"/>
        <v>0</v>
      </c>
    </row>
    <row r="1678" spans="1:15" ht="14.25" thickBot="1" x14ac:dyDescent="0.2">
      <c r="A1678" s="14" t="s">
        <v>29</v>
      </c>
      <c r="B1678" s="11"/>
      <c r="C1678" s="12"/>
      <c r="D1678" s="12"/>
      <c r="E1678" s="12"/>
      <c r="F1678" s="31">
        <v>1</v>
      </c>
      <c r="G1678" s="7">
        <f t="shared" si="455"/>
        <v>1</v>
      </c>
      <c r="H1678" s="57">
        <v>46008</v>
      </c>
      <c r="I1678" s="14"/>
      <c r="J1678" s="11"/>
      <c r="K1678" s="12"/>
      <c r="L1678" s="12"/>
      <c r="M1678" s="12"/>
      <c r="N1678" s="31"/>
      <c r="O1678" s="7">
        <f t="shared" si="453"/>
        <v>0</v>
      </c>
    </row>
    <row r="1679" spans="1:15" ht="14.25" thickBot="1" x14ac:dyDescent="0.2">
      <c r="A1679" s="3" t="s">
        <v>11</v>
      </c>
      <c r="B1679" s="23">
        <f>SUM(B1653:B1678)</f>
        <v>7</v>
      </c>
      <c r="C1679" s="203">
        <f>SUM(C1653:C1678)</f>
        <v>0</v>
      </c>
      <c r="D1679" s="4">
        <f>SUM(D1653:D1678)</f>
        <v>2</v>
      </c>
      <c r="E1679" s="6">
        <f>SUM(E1653:E1678)</f>
        <v>12</v>
      </c>
      <c r="F1679" s="32">
        <f>SUM(F1653:F1678)</f>
        <v>10</v>
      </c>
      <c r="G1679" s="5">
        <f>SUM(B1679:F1679)</f>
        <v>31</v>
      </c>
      <c r="H1679" s="56"/>
      <c r="I1679" s="3" t="s">
        <v>11</v>
      </c>
      <c r="J1679" s="23">
        <f>SUM(J1653:J1678)</f>
        <v>6</v>
      </c>
      <c r="K1679" s="203">
        <f>SUM(K1653:K1678)</f>
        <v>0</v>
      </c>
      <c r="L1679" s="203">
        <f>SUM(L1653:L1678)</f>
        <v>0</v>
      </c>
      <c r="M1679" s="6">
        <f>SUM(M1653:M1678)</f>
        <v>28</v>
      </c>
      <c r="N1679" s="32">
        <f>SUM(N1653:N1678)</f>
        <v>13</v>
      </c>
      <c r="O1679" s="5">
        <f>SUM(J1679:N1679)</f>
        <v>47</v>
      </c>
    </row>
    <row r="1680" spans="1:15" ht="14.25" thickBot="1" x14ac:dyDescent="0.2">
      <c r="A1680" s="25" t="s">
        <v>12</v>
      </c>
      <c r="B1680" s="63">
        <f>B1652-B1679</f>
        <v>5</v>
      </c>
      <c r="C1680" s="206">
        <f t="shared" ref="C1680:G1680" si="459">C1652-C1679</f>
        <v>0</v>
      </c>
      <c r="D1680" s="71">
        <f t="shared" si="459"/>
        <v>0</v>
      </c>
      <c r="E1680" s="26">
        <f t="shared" si="459"/>
        <v>5</v>
      </c>
      <c r="F1680" s="70">
        <f t="shared" si="459"/>
        <v>6</v>
      </c>
      <c r="G1680" s="27">
        <f t="shared" si="459"/>
        <v>16</v>
      </c>
      <c r="H1680" s="56"/>
      <c r="I1680" s="25" t="s">
        <v>12</v>
      </c>
      <c r="J1680" s="63">
        <f>J1652-J1679</f>
        <v>92</v>
      </c>
      <c r="K1680" s="206">
        <f t="shared" ref="K1680:O1680" si="460">K1652-K1679</f>
        <v>0</v>
      </c>
      <c r="L1680" s="207">
        <f t="shared" si="460"/>
        <v>0</v>
      </c>
      <c r="M1680" s="26">
        <f t="shared" si="460"/>
        <v>10</v>
      </c>
      <c r="N1680" s="70">
        <f t="shared" si="460"/>
        <v>64</v>
      </c>
      <c r="O1680" s="27">
        <f t="shared" si="460"/>
        <v>166</v>
      </c>
    </row>
    <row r="1681" spans="1:16" ht="21" x14ac:dyDescent="0.2">
      <c r="A1681" s="83" t="s">
        <v>415</v>
      </c>
      <c r="B1681" s="77"/>
      <c r="C1681" s="77"/>
      <c r="D1681" s="77"/>
      <c r="E1681" s="77"/>
      <c r="F1681" s="77"/>
      <c r="G1681" s="77"/>
      <c r="I1681" s="83" t="s">
        <v>415</v>
      </c>
      <c r="J1681" s="77">
        <f>J1679+J1637+J1595+J1553+J1511+J1469+J1427+J1385+J1343+J1301+J1259+J1217+J1175+J1133+J1091+J1049+J1007+J965+J923+J881+J839+J797+J755+J713+J671+J629+J587+J545+J503+J461+J419+J377+J335+J293+J251</f>
        <v>393</v>
      </c>
      <c r="K1681" s="77">
        <f t="shared" ref="K1681:O1681" si="461">K1679+K1637+K1595+K1553+K1511+K1469+K1427+K1385+K1343+K1301+K1259+K1217+K1175+K1133+K1091+K1049+K1007+K965+K923+K881+K839+K797+K755+K713+K671+K629+K587+K545+K503+K461+K419+K377+K335+K293+K251</f>
        <v>688</v>
      </c>
      <c r="L1681" s="77">
        <f t="shared" si="461"/>
        <v>608</v>
      </c>
      <c r="M1681" s="77">
        <f t="shared" si="461"/>
        <v>604</v>
      </c>
      <c r="N1681" s="77">
        <f t="shared" si="461"/>
        <v>600</v>
      </c>
      <c r="O1681" s="77">
        <f t="shared" si="461"/>
        <v>2893</v>
      </c>
    </row>
    <row r="1682" spans="1:16" ht="21.75" thickBot="1" x14ac:dyDescent="0.25">
      <c r="A1682" s="83" t="s">
        <v>47</v>
      </c>
      <c r="B1682" s="77"/>
      <c r="C1682" s="77"/>
      <c r="D1682" s="77"/>
      <c r="E1682" s="84"/>
      <c r="F1682" s="78" t="s">
        <v>53</v>
      </c>
      <c r="G1682" s="77"/>
      <c r="I1682" s="83" t="s">
        <v>47</v>
      </c>
      <c r="J1682" s="77"/>
      <c r="K1682" s="77"/>
      <c r="L1682" s="77"/>
      <c r="M1682" s="84"/>
      <c r="N1682" s="78" t="s">
        <v>54</v>
      </c>
      <c r="O1682" s="77"/>
    </row>
    <row r="1683" spans="1:16" ht="14.25" thickBot="1" x14ac:dyDescent="0.2">
      <c r="A1683" s="13" t="s">
        <v>0</v>
      </c>
      <c r="B1683" s="228" t="s">
        <v>49</v>
      </c>
      <c r="C1683" s="229"/>
      <c r="D1683" s="229"/>
      <c r="E1683" s="229"/>
      <c r="F1683" s="230"/>
      <c r="G1683" s="231"/>
      <c r="I1683" s="13" t="s">
        <v>0</v>
      </c>
      <c r="J1683" s="228" t="s">
        <v>49</v>
      </c>
      <c r="K1683" s="229"/>
      <c r="L1683" s="229"/>
      <c r="M1683" s="229"/>
      <c r="N1683" s="230"/>
      <c r="O1683" s="231"/>
    </row>
    <row r="1684" spans="1:16" ht="14.25" thickBot="1" x14ac:dyDescent="0.2">
      <c r="A1684" s="3" t="s">
        <v>1</v>
      </c>
      <c r="B1684" s="2" t="s">
        <v>42</v>
      </c>
      <c r="C1684" s="21" t="s">
        <v>43</v>
      </c>
      <c r="D1684" s="21" t="s">
        <v>44</v>
      </c>
      <c r="E1684" s="24" t="s">
        <v>45</v>
      </c>
      <c r="F1684" s="33" t="s">
        <v>46</v>
      </c>
      <c r="G1684" s="34" t="s">
        <v>2</v>
      </c>
      <c r="I1684" s="3" t="s">
        <v>1</v>
      </c>
      <c r="J1684" s="2" t="s">
        <v>42</v>
      </c>
      <c r="K1684" s="21" t="s">
        <v>43</v>
      </c>
      <c r="L1684" s="21" t="s">
        <v>44</v>
      </c>
      <c r="M1684" s="24" t="s">
        <v>45</v>
      </c>
      <c r="N1684" s="33" t="s">
        <v>46</v>
      </c>
      <c r="O1684" s="3" t="s">
        <v>2</v>
      </c>
    </row>
    <row r="1685" spans="1:16" ht="14.25" thickBot="1" x14ac:dyDescent="0.2">
      <c r="A1685" s="72" t="s">
        <v>527</v>
      </c>
      <c r="B1685" s="73">
        <f>B1680</f>
        <v>5</v>
      </c>
      <c r="C1685" s="74">
        <f t="shared" ref="C1685:F1685" si="462">C1680</f>
        <v>0</v>
      </c>
      <c r="D1685" s="74">
        <f t="shared" si="462"/>
        <v>0</v>
      </c>
      <c r="E1685" s="74">
        <f t="shared" si="462"/>
        <v>5</v>
      </c>
      <c r="F1685" s="212">
        <f t="shared" si="462"/>
        <v>6</v>
      </c>
      <c r="G1685" s="76">
        <f t="shared" ref="G1685" si="463">SUM(B1685:F1685)</f>
        <v>16</v>
      </c>
      <c r="I1685" s="72" t="s">
        <v>12</v>
      </c>
      <c r="J1685" s="73">
        <f>J1680</f>
        <v>92</v>
      </c>
      <c r="K1685" s="74">
        <f t="shared" ref="K1685:N1685" si="464">K1680</f>
        <v>0</v>
      </c>
      <c r="L1685" s="74">
        <f t="shared" si="464"/>
        <v>0</v>
      </c>
      <c r="M1685" s="74">
        <f t="shared" si="464"/>
        <v>10</v>
      </c>
      <c r="N1685" s="131">
        <f t="shared" si="464"/>
        <v>64</v>
      </c>
      <c r="O1685" s="52">
        <f t="shared" ref="O1685:O1720" si="465">SUM(J1685:N1685)</f>
        <v>166</v>
      </c>
    </row>
    <row r="1686" spans="1:16" x14ac:dyDescent="0.15">
      <c r="A1686" s="15" t="s">
        <v>15</v>
      </c>
      <c r="B1686" s="8">
        <v>3</v>
      </c>
      <c r="C1686" s="10"/>
      <c r="D1686" s="10"/>
      <c r="E1686" s="10"/>
      <c r="F1686" s="30"/>
      <c r="G1686" s="7">
        <f t="shared" ref="G1686:G1720" si="466">SUM(B1686:F1686)</f>
        <v>3</v>
      </c>
      <c r="I1686" s="15" t="s">
        <v>3</v>
      </c>
      <c r="J1686" s="8"/>
      <c r="K1686" s="10"/>
      <c r="L1686" s="10"/>
      <c r="M1686" s="10"/>
      <c r="N1686" s="30"/>
      <c r="O1686" s="7">
        <f t="shared" si="465"/>
        <v>0</v>
      </c>
    </row>
    <row r="1687" spans="1:16" x14ac:dyDescent="0.15">
      <c r="A1687" s="223" t="s">
        <v>16</v>
      </c>
      <c r="B1687" s="158"/>
      <c r="C1687" s="159"/>
      <c r="D1687" s="159"/>
      <c r="E1687" s="159">
        <v>10</v>
      </c>
      <c r="F1687" s="160">
        <v>3</v>
      </c>
      <c r="G1687" s="161">
        <f t="shared" si="466"/>
        <v>13</v>
      </c>
      <c r="H1687" s="162">
        <v>46105</v>
      </c>
      <c r="I1687" s="15" t="s">
        <v>4</v>
      </c>
      <c r="J1687" s="8"/>
      <c r="K1687" s="10"/>
      <c r="L1687" s="10"/>
      <c r="M1687" s="10"/>
      <c r="N1687" s="30"/>
      <c r="O1687" s="7">
        <f t="shared" si="465"/>
        <v>0</v>
      </c>
    </row>
    <row r="1688" spans="1:16" x14ac:dyDescent="0.15">
      <c r="A1688" s="223" t="s">
        <v>18</v>
      </c>
      <c r="B1688" s="158"/>
      <c r="C1688" s="159"/>
      <c r="D1688" s="159"/>
      <c r="E1688" s="159">
        <v>3</v>
      </c>
      <c r="F1688" s="160"/>
      <c r="G1688" s="161">
        <f t="shared" si="466"/>
        <v>3</v>
      </c>
      <c r="H1688" s="162">
        <v>46140</v>
      </c>
      <c r="I1688" s="15" t="s">
        <v>5</v>
      </c>
      <c r="J1688" s="8"/>
      <c r="K1688" s="10"/>
      <c r="L1688" s="10"/>
      <c r="M1688" s="10"/>
      <c r="N1688" s="30"/>
      <c r="O1688" s="7">
        <f t="shared" si="465"/>
        <v>0</v>
      </c>
    </row>
    <row r="1689" spans="1:16" x14ac:dyDescent="0.15">
      <c r="A1689" s="15" t="s">
        <v>1583</v>
      </c>
      <c r="B1689" s="8"/>
      <c r="C1689" s="10"/>
      <c r="D1689" s="10"/>
      <c r="E1689" s="10">
        <v>1</v>
      </c>
      <c r="F1689" s="30"/>
      <c r="G1689" s="7">
        <f t="shared" si="466"/>
        <v>1</v>
      </c>
      <c r="H1689" s="57">
        <v>46140</v>
      </c>
      <c r="I1689" s="15" t="s">
        <v>6</v>
      </c>
      <c r="J1689" s="8"/>
      <c r="K1689" s="10"/>
      <c r="L1689" s="10"/>
      <c r="M1689" s="10"/>
      <c r="N1689" s="30"/>
      <c r="O1689" s="7">
        <f t="shared" si="465"/>
        <v>0</v>
      </c>
    </row>
    <row r="1690" spans="1:16" x14ac:dyDescent="0.15">
      <c r="A1690" s="15" t="s">
        <v>80</v>
      </c>
      <c r="B1690" s="8"/>
      <c r="C1690" s="10"/>
      <c r="D1690" s="10"/>
      <c r="E1690" s="10">
        <v>5</v>
      </c>
      <c r="F1690" s="30">
        <v>5</v>
      </c>
      <c r="G1690" s="7">
        <f t="shared" si="466"/>
        <v>10</v>
      </c>
      <c r="H1690" s="58">
        <v>46158</v>
      </c>
      <c r="I1690" s="15" t="s">
        <v>84</v>
      </c>
      <c r="J1690" s="8"/>
      <c r="K1690" s="10"/>
      <c r="L1690" s="10"/>
      <c r="M1690" s="10"/>
      <c r="N1690" s="30"/>
      <c r="O1690" s="7">
        <f t="shared" si="465"/>
        <v>0</v>
      </c>
    </row>
    <row r="1691" spans="1:16" x14ac:dyDescent="0.15">
      <c r="A1691" s="223" t="s">
        <v>81</v>
      </c>
      <c r="B1691" s="158">
        <v>3</v>
      </c>
      <c r="C1691" s="159"/>
      <c r="D1691" s="159"/>
      <c r="E1691" s="159"/>
      <c r="F1691" s="160"/>
      <c r="G1691" s="161">
        <f t="shared" si="466"/>
        <v>3</v>
      </c>
      <c r="H1691" s="162">
        <v>46184</v>
      </c>
      <c r="I1691" s="15" t="s">
        <v>85</v>
      </c>
      <c r="J1691" s="8"/>
      <c r="K1691" s="10"/>
      <c r="L1691" s="10"/>
      <c r="M1691" s="10"/>
      <c r="N1691" s="30"/>
      <c r="O1691" s="7">
        <f t="shared" si="465"/>
        <v>0</v>
      </c>
    </row>
    <row r="1692" spans="1:16" x14ac:dyDescent="0.15">
      <c r="A1692" s="15" t="s">
        <v>82</v>
      </c>
      <c r="B1692" s="8"/>
      <c r="C1692" s="10"/>
      <c r="D1692" s="10"/>
      <c r="E1692" s="10"/>
      <c r="F1692" s="30"/>
      <c r="G1692" s="7">
        <f t="shared" si="466"/>
        <v>0</v>
      </c>
      <c r="I1692" s="15" t="s">
        <v>86</v>
      </c>
      <c r="J1692" s="8"/>
      <c r="K1692" s="10"/>
      <c r="L1692" s="10"/>
      <c r="M1692" s="10"/>
      <c r="N1692" s="30"/>
      <c r="O1692" s="7">
        <f t="shared" si="465"/>
        <v>0</v>
      </c>
    </row>
    <row r="1693" spans="1:16" ht="14.25" thickBot="1" x14ac:dyDescent="0.2">
      <c r="A1693" s="15" t="s">
        <v>83</v>
      </c>
      <c r="B1693" s="8"/>
      <c r="C1693" s="10"/>
      <c r="D1693" s="10"/>
      <c r="E1693" s="10"/>
      <c r="F1693" s="30"/>
      <c r="G1693" s="7">
        <f t="shared" si="466"/>
        <v>0</v>
      </c>
      <c r="I1693" s="15" t="s">
        <v>87</v>
      </c>
      <c r="J1693" s="8"/>
      <c r="K1693" s="10"/>
      <c r="L1693" s="10"/>
      <c r="M1693" s="10"/>
      <c r="N1693" s="30"/>
      <c r="O1693" s="7">
        <f t="shared" si="465"/>
        <v>0</v>
      </c>
    </row>
    <row r="1694" spans="1:16" ht="14.25" thickBot="1" x14ac:dyDescent="0.2">
      <c r="A1694" s="72" t="s">
        <v>7</v>
      </c>
      <c r="B1694" s="73">
        <f>SUM(B1685:B1693)</f>
        <v>11</v>
      </c>
      <c r="C1694" s="74">
        <f t="shared" ref="C1694:F1694" si="467">SUM(C1685:C1693)</f>
        <v>0</v>
      </c>
      <c r="D1694" s="74">
        <f t="shared" si="467"/>
        <v>0</v>
      </c>
      <c r="E1694" s="74">
        <f t="shared" si="467"/>
        <v>24</v>
      </c>
      <c r="F1694" s="105">
        <f t="shared" si="467"/>
        <v>14</v>
      </c>
      <c r="G1694" s="76">
        <f t="shared" si="466"/>
        <v>49</v>
      </c>
      <c r="I1694" s="72" t="s">
        <v>7</v>
      </c>
      <c r="J1694" s="73">
        <f>SUM(J1685:J1693)</f>
        <v>92</v>
      </c>
      <c r="K1694" s="74">
        <f t="shared" ref="K1694:N1694" si="468">SUM(K1685:K1693)</f>
        <v>0</v>
      </c>
      <c r="L1694" s="74">
        <f t="shared" si="468"/>
        <v>0</v>
      </c>
      <c r="M1694" s="74">
        <f t="shared" si="468"/>
        <v>10</v>
      </c>
      <c r="N1694" s="105">
        <f t="shared" si="468"/>
        <v>64</v>
      </c>
      <c r="O1694" s="76">
        <f t="shared" si="465"/>
        <v>166</v>
      </c>
    </row>
    <row r="1695" spans="1:16" x14ac:dyDescent="0.15">
      <c r="A1695" s="14" t="s">
        <v>29</v>
      </c>
      <c r="B1695" s="11">
        <v>1</v>
      </c>
      <c r="C1695" s="12"/>
      <c r="D1695" s="12"/>
      <c r="E1695" s="12"/>
      <c r="F1695" s="31"/>
      <c r="G1695" s="7">
        <f t="shared" si="466"/>
        <v>1</v>
      </c>
      <c r="H1695" s="57">
        <v>46013</v>
      </c>
      <c r="I1695" s="15" t="s">
        <v>1664</v>
      </c>
      <c r="J1695" s="11"/>
      <c r="K1695" s="12"/>
      <c r="L1695" s="12"/>
      <c r="M1695" s="12">
        <v>5</v>
      </c>
      <c r="N1695" s="31">
        <v>5</v>
      </c>
      <c r="O1695" s="7">
        <f t="shared" si="465"/>
        <v>10</v>
      </c>
      <c r="P1695" s="58">
        <v>46158</v>
      </c>
    </row>
    <row r="1696" spans="1:16" x14ac:dyDescent="0.15">
      <c r="A1696" s="14" t="s">
        <v>29</v>
      </c>
      <c r="B1696" s="11"/>
      <c r="C1696" s="12"/>
      <c r="D1696" s="12"/>
      <c r="E1696" s="12"/>
      <c r="F1696" s="31">
        <v>1</v>
      </c>
      <c r="G1696" s="7">
        <f t="shared" si="466"/>
        <v>1</v>
      </c>
      <c r="H1696" s="57">
        <v>46027</v>
      </c>
      <c r="I1696" s="223" t="s">
        <v>1652</v>
      </c>
      <c r="J1696" s="166">
        <v>3</v>
      </c>
      <c r="K1696" s="167"/>
      <c r="L1696" s="167"/>
      <c r="M1696" s="167"/>
      <c r="N1696" s="168"/>
      <c r="O1696" s="161">
        <f t="shared" si="465"/>
        <v>3</v>
      </c>
      <c r="P1696" s="162">
        <v>46184</v>
      </c>
    </row>
    <row r="1697" spans="1:16" x14ac:dyDescent="0.15">
      <c r="A1697" s="14" t="s">
        <v>29</v>
      </c>
      <c r="B1697" s="11">
        <v>1</v>
      </c>
      <c r="C1697" s="12"/>
      <c r="D1697" s="12"/>
      <c r="E1697" s="12"/>
      <c r="F1697" s="31"/>
      <c r="G1697" s="7">
        <f t="shared" si="466"/>
        <v>1</v>
      </c>
      <c r="H1697" s="57">
        <v>46028</v>
      </c>
      <c r="I1697" s="15"/>
      <c r="J1697" s="11"/>
      <c r="K1697" s="12"/>
      <c r="L1697" s="12"/>
      <c r="M1697" s="12"/>
      <c r="N1697" s="31"/>
      <c r="O1697" s="7">
        <f t="shared" si="465"/>
        <v>0</v>
      </c>
      <c r="P1697" s="56"/>
    </row>
    <row r="1698" spans="1:16" x14ac:dyDescent="0.15">
      <c r="A1698" s="14" t="s">
        <v>29</v>
      </c>
      <c r="B1698" s="11"/>
      <c r="C1698" s="12"/>
      <c r="D1698" s="12"/>
      <c r="E1698" s="12">
        <v>1</v>
      </c>
      <c r="F1698" s="31"/>
      <c r="G1698" s="7">
        <f t="shared" si="466"/>
        <v>1</v>
      </c>
      <c r="H1698" s="57">
        <v>46038</v>
      </c>
      <c r="I1698" s="15"/>
      <c r="J1698" s="11"/>
      <c r="K1698" s="12"/>
      <c r="L1698" s="12"/>
      <c r="M1698" s="12"/>
      <c r="N1698" s="31"/>
      <c r="O1698" s="7">
        <f t="shared" si="465"/>
        <v>0</v>
      </c>
      <c r="P1698" s="56"/>
    </row>
    <row r="1699" spans="1:16" x14ac:dyDescent="0.15">
      <c r="A1699" s="14" t="s">
        <v>29</v>
      </c>
      <c r="B1699" s="11"/>
      <c r="C1699" s="12"/>
      <c r="D1699" s="12"/>
      <c r="E1699" s="12"/>
      <c r="F1699" s="31">
        <v>1</v>
      </c>
      <c r="G1699" s="7">
        <f t="shared" si="466"/>
        <v>1</v>
      </c>
      <c r="H1699" s="57">
        <v>46053</v>
      </c>
      <c r="I1699" s="223"/>
      <c r="J1699" s="166"/>
      <c r="K1699" s="167"/>
      <c r="L1699" s="167"/>
      <c r="M1699" s="167"/>
      <c r="N1699" s="168"/>
      <c r="O1699" s="161">
        <f t="shared" si="465"/>
        <v>0</v>
      </c>
    </row>
    <row r="1700" spans="1:16" x14ac:dyDescent="0.15">
      <c r="A1700" s="14" t="s">
        <v>29</v>
      </c>
      <c r="B1700" s="11"/>
      <c r="C1700" s="12"/>
      <c r="D1700" s="12"/>
      <c r="E1700" s="12">
        <v>2</v>
      </c>
      <c r="F1700" s="31"/>
      <c r="G1700" s="7">
        <f t="shared" si="466"/>
        <v>2</v>
      </c>
      <c r="H1700" s="57">
        <v>46055</v>
      </c>
      <c r="I1700" s="14"/>
      <c r="J1700" s="11"/>
      <c r="K1700" s="12"/>
      <c r="L1700" s="12"/>
      <c r="M1700" s="12"/>
      <c r="N1700" s="31"/>
      <c r="O1700" s="7">
        <f t="shared" si="465"/>
        <v>0</v>
      </c>
    </row>
    <row r="1701" spans="1:16" x14ac:dyDescent="0.15">
      <c r="A1701" s="14" t="s">
        <v>1632</v>
      </c>
      <c r="B1701" s="11">
        <v>1</v>
      </c>
      <c r="C1701" s="12"/>
      <c r="D1701" s="12"/>
      <c r="E1701" s="12">
        <v>-1</v>
      </c>
      <c r="F1701" s="31">
        <v>-1</v>
      </c>
      <c r="G1701" s="7">
        <f t="shared" si="466"/>
        <v>-1</v>
      </c>
      <c r="H1701" s="57">
        <v>46058</v>
      </c>
      <c r="I1701" s="14"/>
      <c r="J1701" s="11"/>
      <c r="K1701" s="12"/>
      <c r="L1701" s="12"/>
      <c r="M1701" s="12"/>
      <c r="N1701" s="31"/>
      <c r="O1701" s="7">
        <f t="shared" si="465"/>
        <v>0</v>
      </c>
    </row>
    <row r="1702" spans="1:16" x14ac:dyDescent="0.15">
      <c r="A1702" s="14" t="s">
        <v>29</v>
      </c>
      <c r="B1702" s="11"/>
      <c r="C1702" s="12"/>
      <c r="D1702" s="12"/>
      <c r="E1702" s="12">
        <v>1</v>
      </c>
      <c r="F1702" s="31"/>
      <c r="G1702" s="7">
        <f t="shared" si="466"/>
        <v>1</v>
      </c>
      <c r="H1702" s="57">
        <v>46069</v>
      </c>
      <c r="I1702" s="14"/>
      <c r="J1702" s="11"/>
      <c r="K1702" s="12"/>
      <c r="L1702" s="12"/>
      <c r="M1702" s="12"/>
      <c r="N1702" s="31"/>
      <c r="O1702" s="7">
        <f t="shared" si="465"/>
        <v>0</v>
      </c>
    </row>
    <row r="1703" spans="1:16" x14ac:dyDescent="0.15">
      <c r="A1703" s="14" t="s">
        <v>29</v>
      </c>
      <c r="B1703" s="11"/>
      <c r="C1703" s="12"/>
      <c r="D1703" s="12"/>
      <c r="E1703" s="12">
        <v>3</v>
      </c>
      <c r="F1703" s="31">
        <v>3</v>
      </c>
      <c r="G1703" s="7">
        <f t="shared" si="466"/>
        <v>6</v>
      </c>
      <c r="H1703" s="57">
        <v>46104</v>
      </c>
      <c r="I1703" s="14"/>
      <c r="J1703" s="11"/>
      <c r="K1703" s="12"/>
      <c r="L1703" s="12"/>
      <c r="M1703" s="12"/>
      <c r="N1703" s="31"/>
      <c r="O1703" s="7">
        <f t="shared" si="465"/>
        <v>0</v>
      </c>
    </row>
    <row r="1704" spans="1:16" x14ac:dyDescent="0.15">
      <c r="A1704" s="157" t="s">
        <v>29</v>
      </c>
      <c r="B1704" s="166"/>
      <c r="C1704" s="167"/>
      <c r="D1704" s="167"/>
      <c r="E1704" s="167">
        <v>2</v>
      </c>
      <c r="F1704" s="168"/>
      <c r="G1704" s="161">
        <f t="shared" si="466"/>
        <v>2</v>
      </c>
      <c r="H1704" s="162">
        <v>46105</v>
      </c>
      <c r="I1704" s="14"/>
      <c r="J1704" s="11"/>
      <c r="K1704" s="12"/>
      <c r="L1704" s="12"/>
      <c r="M1704" s="12"/>
      <c r="N1704" s="31"/>
      <c r="O1704" s="7">
        <f t="shared" si="465"/>
        <v>0</v>
      </c>
    </row>
    <row r="1705" spans="1:16" x14ac:dyDescent="0.15">
      <c r="A1705" s="157" t="s">
        <v>29</v>
      </c>
      <c r="B1705" s="166"/>
      <c r="C1705" s="167"/>
      <c r="D1705" s="167"/>
      <c r="E1705" s="167">
        <v>2</v>
      </c>
      <c r="F1705" s="168"/>
      <c r="G1705" s="161">
        <f t="shared" si="466"/>
        <v>2</v>
      </c>
      <c r="H1705" s="162">
        <v>46105</v>
      </c>
      <c r="I1705" s="14"/>
      <c r="J1705" s="11"/>
      <c r="K1705" s="12"/>
      <c r="L1705" s="12"/>
      <c r="M1705" s="12"/>
      <c r="N1705" s="31"/>
      <c r="O1705" s="7">
        <f t="shared" si="465"/>
        <v>0</v>
      </c>
    </row>
    <row r="1706" spans="1:16" x14ac:dyDescent="0.15">
      <c r="A1706" s="157" t="s">
        <v>29</v>
      </c>
      <c r="B1706" s="11"/>
      <c r="C1706" s="12"/>
      <c r="D1706" s="12"/>
      <c r="E1706" s="12">
        <v>1</v>
      </c>
      <c r="F1706" s="31"/>
      <c r="G1706" s="7">
        <f t="shared" si="466"/>
        <v>1</v>
      </c>
      <c r="H1706" s="162">
        <v>46106</v>
      </c>
      <c r="I1706" s="14"/>
      <c r="J1706" s="11"/>
      <c r="K1706" s="12"/>
      <c r="L1706" s="12"/>
      <c r="M1706" s="12"/>
      <c r="N1706" s="31"/>
      <c r="O1706" s="7">
        <f t="shared" si="465"/>
        <v>0</v>
      </c>
    </row>
    <row r="1707" spans="1:16" x14ac:dyDescent="0.15">
      <c r="A1707" s="157" t="s">
        <v>29</v>
      </c>
      <c r="B1707" s="11"/>
      <c r="C1707" s="12"/>
      <c r="D1707" s="12"/>
      <c r="E1707" s="12">
        <v>1</v>
      </c>
      <c r="F1707" s="31"/>
      <c r="G1707" s="7">
        <f t="shared" si="466"/>
        <v>1</v>
      </c>
      <c r="H1707" s="57">
        <v>46111</v>
      </c>
      <c r="I1707" s="14"/>
      <c r="J1707" s="11"/>
      <c r="K1707" s="12"/>
      <c r="L1707" s="12"/>
      <c r="M1707" s="12"/>
      <c r="N1707" s="31"/>
      <c r="O1707" s="7">
        <f t="shared" si="465"/>
        <v>0</v>
      </c>
    </row>
    <row r="1708" spans="1:16" x14ac:dyDescent="0.15">
      <c r="A1708" s="157" t="s">
        <v>29</v>
      </c>
      <c r="B1708" s="11"/>
      <c r="C1708" s="12"/>
      <c r="D1708" s="12"/>
      <c r="E1708" s="12"/>
      <c r="F1708" s="31">
        <v>1</v>
      </c>
      <c r="G1708" s="7">
        <f t="shared" si="466"/>
        <v>1</v>
      </c>
      <c r="H1708" s="57">
        <v>46112</v>
      </c>
      <c r="I1708" s="14"/>
      <c r="J1708" s="11"/>
      <c r="K1708" s="12"/>
      <c r="L1708" s="12"/>
      <c r="M1708" s="12"/>
      <c r="N1708" s="31"/>
      <c r="O1708" s="7">
        <f t="shared" si="465"/>
        <v>0</v>
      </c>
    </row>
    <row r="1709" spans="1:16" x14ac:dyDescent="0.15">
      <c r="A1709" s="157" t="s">
        <v>29</v>
      </c>
      <c r="B1709" s="11"/>
      <c r="C1709" s="12"/>
      <c r="D1709" s="12"/>
      <c r="E1709" s="12">
        <v>2</v>
      </c>
      <c r="F1709" s="31"/>
      <c r="G1709" s="7">
        <f t="shared" si="466"/>
        <v>2</v>
      </c>
      <c r="H1709" s="57">
        <v>46132</v>
      </c>
      <c r="I1709" s="14"/>
      <c r="J1709" s="11"/>
      <c r="K1709" s="12"/>
      <c r="L1709" s="12"/>
      <c r="M1709" s="12"/>
      <c r="N1709" s="31"/>
      <c r="O1709" s="7">
        <f t="shared" si="465"/>
        <v>0</v>
      </c>
    </row>
    <row r="1710" spans="1:16" x14ac:dyDescent="0.15">
      <c r="A1710" s="157" t="s">
        <v>29</v>
      </c>
      <c r="B1710" s="11"/>
      <c r="C1710" s="12"/>
      <c r="D1710" s="12"/>
      <c r="E1710" s="12">
        <v>2</v>
      </c>
      <c r="F1710" s="31"/>
      <c r="G1710" s="7">
        <f t="shared" si="466"/>
        <v>2</v>
      </c>
      <c r="H1710" s="57">
        <v>46139</v>
      </c>
      <c r="I1710" s="14"/>
      <c r="J1710" s="11"/>
      <c r="K1710" s="12"/>
      <c r="L1710" s="12"/>
      <c r="M1710" s="12"/>
      <c r="N1710" s="31"/>
      <c r="O1710" s="7">
        <f t="shared" si="465"/>
        <v>0</v>
      </c>
    </row>
    <row r="1711" spans="1:16" x14ac:dyDescent="0.15">
      <c r="A1711" s="157" t="s">
        <v>29</v>
      </c>
      <c r="B1711" s="11"/>
      <c r="C1711" s="12"/>
      <c r="D1711" s="12"/>
      <c r="E1711" s="12">
        <v>1</v>
      </c>
      <c r="F1711" s="31"/>
      <c r="G1711" s="7">
        <f t="shared" si="466"/>
        <v>1</v>
      </c>
      <c r="H1711" s="57">
        <v>46160</v>
      </c>
      <c r="I1711" s="14"/>
      <c r="J1711" s="11"/>
      <c r="K1711" s="12"/>
      <c r="L1711" s="12"/>
      <c r="M1711" s="12"/>
      <c r="N1711" s="31"/>
      <c r="O1711" s="7">
        <f t="shared" si="465"/>
        <v>0</v>
      </c>
    </row>
    <row r="1712" spans="1:16" x14ac:dyDescent="0.15">
      <c r="A1712" s="157" t="s">
        <v>29</v>
      </c>
      <c r="B1712" s="11"/>
      <c r="C1712" s="12"/>
      <c r="D1712" s="12"/>
      <c r="E1712" s="12"/>
      <c r="F1712" s="31">
        <v>1</v>
      </c>
      <c r="G1712" s="7">
        <f t="shared" si="466"/>
        <v>1</v>
      </c>
      <c r="H1712" s="57">
        <v>46168</v>
      </c>
      <c r="I1712" s="14"/>
      <c r="J1712" s="11"/>
      <c r="K1712" s="12"/>
      <c r="L1712" s="12"/>
      <c r="M1712" s="12"/>
      <c r="N1712" s="31"/>
      <c r="O1712" s="7">
        <f t="shared" si="465"/>
        <v>0</v>
      </c>
    </row>
    <row r="1713" spans="1:15" x14ac:dyDescent="0.15">
      <c r="A1713" s="157" t="s">
        <v>29</v>
      </c>
      <c r="B1713" s="11">
        <v>3</v>
      </c>
      <c r="C1713" s="12"/>
      <c r="D1713" s="12"/>
      <c r="E1713" s="12"/>
      <c r="F1713" s="31">
        <v>1</v>
      </c>
      <c r="G1713" s="7">
        <f t="shared" si="466"/>
        <v>4</v>
      </c>
      <c r="H1713" s="57">
        <v>46181</v>
      </c>
      <c r="I1713" s="14"/>
      <c r="J1713" s="11"/>
      <c r="K1713" s="12"/>
      <c r="L1713" s="12"/>
      <c r="M1713" s="12"/>
      <c r="N1713" s="31"/>
      <c r="O1713" s="7">
        <f t="shared" si="465"/>
        <v>0</v>
      </c>
    </row>
    <row r="1714" spans="1:15" x14ac:dyDescent="0.15">
      <c r="A1714" s="157" t="s">
        <v>29</v>
      </c>
      <c r="B1714" s="11">
        <v>1</v>
      </c>
      <c r="C1714" s="12"/>
      <c r="D1714" s="12"/>
      <c r="E1714" s="12"/>
      <c r="F1714" s="31"/>
      <c r="G1714" s="7">
        <f t="shared" si="466"/>
        <v>1</v>
      </c>
      <c r="H1714" s="57">
        <v>46184</v>
      </c>
      <c r="I1714" s="14"/>
      <c r="J1714" s="11"/>
      <c r="K1714" s="12"/>
      <c r="L1714" s="12"/>
      <c r="M1714" s="12"/>
      <c r="N1714" s="31"/>
      <c r="O1714" s="7">
        <f t="shared" si="465"/>
        <v>0</v>
      </c>
    </row>
    <row r="1715" spans="1:15" x14ac:dyDescent="0.15">
      <c r="A1715" s="157" t="s">
        <v>29</v>
      </c>
      <c r="B1715" s="11"/>
      <c r="C1715" s="12"/>
      <c r="D1715" s="12"/>
      <c r="E1715" s="12"/>
      <c r="F1715" s="31">
        <v>1</v>
      </c>
      <c r="G1715" s="7">
        <f t="shared" si="466"/>
        <v>1</v>
      </c>
      <c r="H1715" s="57">
        <v>46185</v>
      </c>
      <c r="I1715" s="14"/>
      <c r="J1715" s="11"/>
      <c r="K1715" s="12"/>
      <c r="L1715" s="12"/>
      <c r="M1715" s="12"/>
      <c r="N1715" s="31"/>
      <c r="O1715" s="7">
        <f t="shared" si="465"/>
        <v>0</v>
      </c>
    </row>
    <row r="1716" spans="1:15" x14ac:dyDescent="0.15">
      <c r="A1716" s="157" t="s">
        <v>29</v>
      </c>
      <c r="B1716" s="11"/>
      <c r="C1716" s="12"/>
      <c r="D1716" s="12"/>
      <c r="E1716" s="12"/>
      <c r="F1716" s="31">
        <v>1</v>
      </c>
      <c r="G1716" s="7">
        <f t="shared" si="466"/>
        <v>1</v>
      </c>
      <c r="H1716" s="57">
        <v>46189</v>
      </c>
      <c r="I1716" s="14"/>
      <c r="J1716" s="11"/>
      <c r="K1716" s="12"/>
      <c r="L1716" s="12"/>
      <c r="M1716" s="12"/>
      <c r="N1716" s="31"/>
      <c r="O1716" s="7">
        <f t="shared" si="465"/>
        <v>0</v>
      </c>
    </row>
    <row r="1717" spans="1:15" x14ac:dyDescent="0.15">
      <c r="A1717" s="157" t="s">
        <v>29</v>
      </c>
      <c r="B1717" s="11"/>
      <c r="C1717" s="12"/>
      <c r="D1717" s="12"/>
      <c r="E1717" s="12"/>
      <c r="F1717" s="31">
        <v>1</v>
      </c>
      <c r="G1717" s="7">
        <f t="shared" si="466"/>
        <v>1</v>
      </c>
      <c r="H1717" s="57">
        <v>46190</v>
      </c>
      <c r="I1717" s="14"/>
      <c r="J1717" s="11"/>
      <c r="K1717" s="12"/>
      <c r="L1717" s="12"/>
      <c r="M1717" s="12"/>
      <c r="N1717" s="31"/>
      <c r="O1717" s="7">
        <f t="shared" si="465"/>
        <v>0</v>
      </c>
    </row>
    <row r="1718" spans="1:15" x14ac:dyDescent="0.15">
      <c r="A1718" s="14"/>
      <c r="B1718" s="11"/>
      <c r="C1718" s="12"/>
      <c r="D1718" s="12"/>
      <c r="E1718" s="12"/>
      <c r="F1718" s="31"/>
      <c r="G1718" s="7">
        <f t="shared" si="466"/>
        <v>0</v>
      </c>
      <c r="I1718" s="14"/>
      <c r="J1718" s="11"/>
      <c r="K1718" s="12"/>
      <c r="L1718" s="12"/>
      <c r="M1718" s="12"/>
      <c r="N1718" s="31"/>
      <c r="O1718" s="7">
        <f t="shared" si="465"/>
        <v>0</v>
      </c>
    </row>
    <row r="1719" spans="1:15" x14ac:dyDescent="0.15">
      <c r="A1719" s="14"/>
      <c r="B1719" s="11"/>
      <c r="C1719" s="12"/>
      <c r="D1719" s="12"/>
      <c r="E1719" s="12"/>
      <c r="F1719" s="31"/>
      <c r="G1719" s="7">
        <f t="shared" si="466"/>
        <v>0</v>
      </c>
      <c r="I1719" s="14"/>
      <c r="J1719" s="11"/>
      <c r="K1719" s="12"/>
      <c r="L1719" s="12"/>
      <c r="M1719" s="12"/>
      <c r="N1719" s="31"/>
      <c r="O1719" s="7">
        <f t="shared" si="465"/>
        <v>0</v>
      </c>
    </row>
    <row r="1720" spans="1:15" ht="14.25" thickBot="1" x14ac:dyDescent="0.2">
      <c r="A1720" s="14"/>
      <c r="B1720" s="11"/>
      <c r="C1720" s="12"/>
      <c r="D1720" s="12"/>
      <c r="E1720" s="12"/>
      <c r="F1720" s="31"/>
      <c r="G1720" s="7">
        <f t="shared" si="466"/>
        <v>0</v>
      </c>
      <c r="I1720" s="14"/>
      <c r="J1720" s="11"/>
      <c r="K1720" s="12"/>
      <c r="L1720" s="12"/>
      <c r="M1720" s="12"/>
      <c r="N1720" s="31"/>
      <c r="O1720" s="7">
        <f t="shared" si="465"/>
        <v>0</v>
      </c>
    </row>
    <row r="1721" spans="1:15" ht="14.25" thickBot="1" x14ac:dyDescent="0.2">
      <c r="A1721" s="3" t="s">
        <v>11</v>
      </c>
      <c r="B1721" s="23">
        <f>SUM(B1695:B1720)</f>
        <v>7</v>
      </c>
      <c r="C1721" s="203">
        <f>SUM(C1695:C1720)</f>
        <v>0</v>
      </c>
      <c r="D1721" s="203">
        <f>SUM(D1695:D1720)</f>
        <v>0</v>
      </c>
      <c r="E1721" s="6">
        <f>SUM(E1695:E1720)</f>
        <v>17</v>
      </c>
      <c r="F1721" s="32">
        <f>SUM(F1695:F1720)</f>
        <v>10</v>
      </c>
      <c r="G1721" s="5">
        <f>SUM(B1721:F1721)</f>
        <v>34</v>
      </c>
      <c r="I1721" s="3" t="s">
        <v>11</v>
      </c>
      <c r="J1721" s="23">
        <f>SUM(J1695:J1720)</f>
        <v>3</v>
      </c>
      <c r="K1721" s="203">
        <f>SUM(K1695:K1720)</f>
        <v>0</v>
      </c>
      <c r="L1721" s="203">
        <f>SUM(L1695:L1720)</f>
        <v>0</v>
      </c>
      <c r="M1721" s="6">
        <f>SUM(M1695:M1720)</f>
        <v>5</v>
      </c>
      <c r="N1721" s="32">
        <f>SUM(N1695:N1720)</f>
        <v>5</v>
      </c>
      <c r="O1721" s="5">
        <f>SUM(J1721:N1721)</f>
        <v>13</v>
      </c>
    </row>
    <row r="1722" spans="1:15" ht="14.25" thickBot="1" x14ac:dyDescent="0.2">
      <c r="A1722" s="25" t="s">
        <v>12</v>
      </c>
      <c r="B1722" s="63">
        <f>B1694-B1721</f>
        <v>4</v>
      </c>
      <c r="C1722" s="206">
        <f t="shared" ref="C1722:G1722" si="469">C1694-C1721</f>
        <v>0</v>
      </c>
      <c r="D1722" s="207">
        <f t="shared" si="469"/>
        <v>0</v>
      </c>
      <c r="E1722" s="26">
        <f t="shared" si="469"/>
        <v>7</v>
      </c>
      <c r="F1722" s="70">
        <f t="shared" si="469"/>
        <v>4</v>
      </c>
      <c r="G1722" s="27">
        <f t="shared" si="469"/>
        <v>15</v>
      </c>
      <c r="I1722" s="25" t="s">
        <v>12</v>
      </c>
      <c r="J1722" s="63">
        <f>J1694-J1721</f>
        <v>89</v>
      </c>
      <c r="K1722" s="206">
        <f t="shared" ref="K1722:O1722" si="470">K1694-K1721</f>
        <v>0</v>
      </c>
      <c r="L1722" s="207">
        <f t="shared" si="470"/>
        <v>0</v>
      </c>
      <c r="M1722" s="26">
        <f t="shared" si="470"/>
        <v>5</v>
      </c>
      <c r="N1722" s="70">
        <f t="shared" si="470"/>
        <v>59</v>
      </c>
      <c r="O1722" s="27">
        <f t="shared" si="470"/>
        <v>153</v>
      </c>
    </row>
    <row r="1723" spans="1:15" ht="21" x14ac:dyDescent="0.2">
      <c r="A1723" s="83" t="s">
        <v>415</v>
      </c>
      <c r="B1723" s="77"/>
      <c r="C1723" s="77"/>
      <c r="D1723" s="77"/>
      <c r="E1723" s="77"/>
      <c r="F1723" s="77"/>
      <c r="G1723" s="77"/>
      <c r="I1723" s="83" t="s">
        <v>415</v>
      </c>
      <c r="J1723" s="77">
        <f>J1721+J1679+J1637+J1595+J1553+J1511+J1469+J1427+J1385+J1343+J1301+J1259+J1217+J1175+J1133+J1091+J1049+J1007+J965+J923+J881+J839+J797+J755+J713+J671+J629+J587+J545+J503+J461+J419+J377+J335+J293</f>
        <v>381</v>
      </c>
      <c r="K1723" s="77">
        <f t="shared" ref="K1723:O1723" si="471">K1721+K1679+K1637+K1595+K1553+K1511+K1469+K1427+K1385+K1343+K1301+K1259+K1217+K1175+K1133+K1091+K1049+K1007+K965+K923+K881+K839+K797+K755+K713+K671+K629+K587+K545+K503+K461+K419+K377+K335+K293</f>
        <v>643</v>
      </c>
      <c r="L1723" s="77">
        <f t="shared" si="471"/>
        <v>563</v>
      </c>
      <c r="M1723" s="77">
        <f t="shared" si="471"/>
        <v>564</v>
      </c>
      <c r="N1723" s="77">
        <f t="shared" si="471"/>
        <v>570</v>
      </c>
      <c r="O1723" s="77">
        <f t="shared" si="471"/>
        <v>2721</v>
      </c>
    </row>
    <row r="1724" spans="1:15" ht="21.75" thickBot="1" x14ac:dyDescent="0.25">
      <c r="A1724" s="83" t="s">
        <v>47</v>
      </c>
      <c r="B1724" s="77"/>
      <c r="C1724" s="77"/>
      <c r="D1724" s="77"/>
      <c r="E1724" s="84"/>
      <c r="F1724" s="78" t="s">
        <v>53</v>
      </c>
      <c r="G1724" s="77"/>
      <c r="I1724" s="83" t="s">
        <v>47</v>
      </c>
      <c r="J1724" s="77"/>
      <c r="K1724" s="77"/>
      <c r="L1724" s="77"/>
      <c r="M1724" s="84"/>
      <c r="N1724" s="78" t="s">
        <v>54</v>
      </c>
      <c r="O1724" s="77"/>
    </row>
    <row r="1725" spans="1:15" ht="14.25" thickBot="1" x14ac:dyDescent="0.2">
      <c r="A1725" s="13" t="s">
        <v>0</v>
      </c>
      <c r="B1725" s="228" t="s">
        <v>49</v>
      </c>
      <c r="C1725" s="229"/>
      <c r="D1725" s="229"/>
      <c r="E1725" s="229"/>
      <c r="F1725" s="230"/>
      <c r="G1725" s="231"/>
      <c r="I1725" s="13" t="s">
        <v>0</v>
      </c>
      <c r="J1725" s="228" t="s">
        <v>49</v>
      </c>
      <c r="K1725" s="229"/>
      <c r="L1725" s="229"/>
      <c r="M1725" s="229"/>
      <c r="N1725" s="230"/>
      <c r="O1725" s="231"/>
    </row>
    <row r="1726" spans="1:15" ht="14.25" thickBot="1" x14ac:dyDescent="0.2">
      <c r="A1726" s="3" t="s">
        <v>1</v>
      </c>
      <c r="B1726" s="2" t="s">
        <v>42</v>
      </c>
      <c r="C1726" s="21" t="s">
        <v>43</v>
      </c>
      <c r="D1726" s="21" t="s">
        <v>44</v>
      </c>
      <c r="E1726" s="24" t="s">
        <v>45</v>
      </c>
      <c r="F1726" s="33" t="s">
        <v>46</v>
      </c>
      <c r="G1726" s="34" t="s">
        <v>2</v>
      </c>
      <c r="I1726" s="3" t="s">
        <v>1</v>
      </c>
      <c r="J1726" s="2" t="s">
        <v>42</v>
      </c>
      <c r="K1726" s="21" t="s">
        <v>43</v>
      </c>
      <c r="L1726" s="21" t="s">
        <v>44</v>
      </c>
      <c r="M1726" s="24" t="s">
        <v>45</v>
      </c>
      <c r="N1726" s="33" t="s">
        <v>46</v>
      </c>
      <c r="O1726" s="3" t="s">
        <v>2</v>
      </c>
    </row>
    <row r="1727" spans="1:15" ht="14.25" thickBot="1" x14ac:dyDescent="0.2">
      <c r="A1727" s="72" t="s">
        <v>527</v>
      </c>
      <c r="B1727" s="73">
        <f>B1722</f>
        <v>4</v>
      </c>
      <c r="C1727" s="74">
        <f t="shared" ref="C1727:F1727" si="472">C1722</f>
        <v>0</v>
      </c>
      <c r="D1727" s="74">
        <f t="shared" si="472"/>
        <v>0</v>
      </c>
      <c r="E1727" s="74">
        <f t="shared" si="472"/>
        <v>7</v>
      </c>
      <c r="F1727" s="212">
        <f t="shared" si="472"/>
        <v>4</v>
      </c>
      <c r="G1727" s="76">
        <f t="shared" ref="G1727:G1762" si="473">SUM(B1727:F1727)</f>
        <v>15</v>
      </c>
      <c r="I1727" s="72" t="s">
        <v>12</v>
      </c>
      <c r="J1727" s="73">
        <f>J1722</f>
        <v>89</v>
      </c>
      <c r="K1727" s="74">
        <f t="shared" ref="K1727:N1727" si="474">K1722</f>
        <v>0</v>
      </c>
      <c r="L1727" s="74">
        <f t="shared" si="474"/>
        <v>0</v>
      </c>
      <c r="M1727" s="74">
        <f t="shared" si="474"/>
        <v>5</v>
      </c>
      <c r="N1727" s="131">
        <f t="shared" si="474"/>
        <v>59</v>
      </c>
      <c r="O1727" s="52">
        <f t="shared" ref="O1727:O1762" si="475">SUM(J1727:N1727)</f>
        <v>153</v>
      </c>
    </row>
    <row r="1728" spans="1:15" x14ac:dyDescent="0.15">
      <c r="A1728" s="15" t="s">
        <v>15</v>
      </c>
      <c r="B1728" s="8"/>
      <c r="C1728" s="10"/>
      <c r="D1728" s="10"/>
      <c r="E1728" s="10"/>
      <c r="F1728" s="30"/>
      <c r="G1728" s="7">
        <f t="shared" ref="G1728:G1733" si="476">SUM(B1728:F1728)</f>
        <v>0</v>
      </c>
      <c r="I1728" s="15" t="s">
        <v>3</v>
      </c>
      <c r="J1728" s="8"/>
      <c r="K1728" s="10"/>
      <c r="L1728" s="10"/>
      <c r="M1728" s="10"/>
      <c r="N1728" s="30"/>
      <c r="O1728" s="7">
        <f t="shared" si="475"/>
        <v>0</v>
      </c>
    </row>
    <row r="1729" spans="1:15" x14ac:dyDescent="0.15">
      <c r="A1729" s="15" t="s">
        <v>16</v>
      </c>
      <c r="B1729" s="8"/>
      <c r="C1729" s="10"/>
      <c r="D1729" s="10"/>
      <c r="E1729" s="10"/>
      <c r="F1729" s="30"/>
      <c r="G1729" s="7">
        <f t="shared" si="476"/>
        <v>0</v>
      </c>
      <c r="I1729" s="15" t="s">
        <v>4</v>
      </c>
      <c r="J1729" s="8"/>
      <c r="K1729" s="10"/>
      <c r="L1729" s="10"/>
      <c r="M1729" s="10"/>
      <c r="N1729" s="30"/>
      <c r="O1729" s="7">
        <f t="shared" si="475"/>
        <v>0</v>
      </c>
    </row>
    <row r="1730" spans="1:15" x14ac:dyDescent="0.15">
      <c r="A1730" s="15" t="s">
        <v>18</v>
      </c>
      <c r="B1730" s="8"/>
      <c r="C1730" s="10"/>
      <c r="D1730" s="10"/>
      <c r="E1730" s="10"/>
      <c r="F1730" s="30"/>
      <c r="G1730" s="7">
        <f t="shared" si="476"/>
        <v>0</v>
      </c>
      <c r="I1730" s="15" t="s">
        <v>5</v>
      </c>
      <c r="J1730" s="8"/>
      <c r="K1730" s="10"/>
      <c r="L1730" s="10"/>
      <c r="M1730" s="10"/>
      <c r="N1730" s="30"/>
      <c r="O1730" s="7">
        <f t="shared" si="475"/>
        <v>0</v>
      </c>
    </row>
    <row r="1731" spans="1:15" x14ac:dyDescent="0.15">
      <c r="A1731" s="15" t="s">
        <v>20</v>
      </c>
      <c r="B1731" s="8"/>
      <c r="C1731" s="10"/>
      <c r="D1731" s="10"/>
      <c r="E1731" s="10"/>
      <c r="F1731" s="30"/>
      <c r="G1731" s="7">
        <f t="shared" si="476"/>
        <v>0</v>
      </c>
      <c r="I1731" s="15" t="s">
        <v>6</v>
      </c>
      <c r="J1731" s="8"/>
      <c r="K1731" s="10"/>
      <c r="L1731" s="10"/>
      <c r="M1731" s="10"/>
      <c r="N1731" s="30"/>
      <c r="O1731" s="7">
        <f t="shared" si="475"/>
        <v>0</v>
      </c>
    </row>
    <row r="1732" spans="1:15" x14ac:dyDescent="0.15">
      <c r="A1732" s="15" t="s">
        <v>80</v>
      </c>
      <c r="B1732" s="8"/>
      <c r="C1732" s="10"/>
      <c r="D1732" s="10"/>
      <c r="E1732" s="10"/>
      <c r="F1732" s="30"/>
      <c r="G1732" s="7">
        <f t="shared" si="476"/>
        <v>0</v>
      </c>
      <c r="I1732" s="15" t="s">
        <v>84</v>
      </c>
      <c r="J1732" s="8"/>
      <c r="K1732" s="10"/>
      <c r="L1732" s="10"/>
      <c r="M1732" s="10"/>
      <c r="N1732" s="30"/>
      <c r="O1732" s="7">
        <f t="shared" si="475"/>
        <v>0</v>
      </c>
    </row>
    <row r="1733" spans="1:15" x14ac:dyDescent="0.15">
      <c r="A1733" s="15" t="s">
        <v>81</v>
      </c>
      <c r="B1733" s="8"/>
      <c r="C1733" s="10"/>
      <c r="D1733" s="10"/>
      <c r="E1733" s="10"/>
      <c r="F1733" s="30"/>
      <c r="G1733" s="7">
        <f t="shared" si="476"/>
        <v>0</v>
      </c>
      <c r="I1733" s="15" t="s">
        <v>85</v>
      </c>
      <c r="J1733" s="8"/>
      <c r="K1733" s="10"/>
      <c r="L1733" s="10"/>
      <c r="M1733" s="10"/>
      <c r="N1733" s="30"/>
      <c r="O1733" s="7">
        <f t="shared" si="475"/>
        <v>0</v>
      </c>
    </row>
    <row r="1734" spans="1:15" x14ac:dyDescent="0.15">
      <c r="A1734" s="15" t="s">
        <v>82</v>
      </c>
      <c r="B1734" s="8"/>
      <c r="C1734" s="10"/>
      <c r="D1734" s="10"/>
      <c r="E1734" s="10"/>
      <c r="F1734" s="30"/>
      <c r="G1734" s="7">
        <f t="shared" si="473"/>
        <v>0</v>
      </c>
      <c r="I1734" s="15" t="s">
        <v>86</v>
      </c>
      <c r="J1734" s="8"/>
      <c r="K1734" s="10"/>
      <c r="L1734" s="10"/>
      <c r="M1734" s="10"/>
      <c r="N1734" s="30"/>
      <c r="O1734" s="7">
        <f t="shared" si="475"/>
        <v>0</v>
      </c>
    </row>
    <row r="1735" spans="1:15" ht="14.25" thickBot="1" x14ac:dyDescent="0.2">
      <c r="A1735" s="15" t="s">
        <v>83</v>
      </c>
      <c r="B1735" s="8"/>
      <c r="C1735" s="10"/>
      <c r="D1735" s="10"/>
      <c r="E1735" s="10"/>
      <c r="F1735" s="30"/>
      <c r="G1735" s="7">
        <f t="shared" si="473"/>
        <v>0</v>
      </c>
      <c r="I1735" s="15" t="s">
        <v>87</v>
      </c>
      <c r="J1735" s="8"/>
      <c r="K1735" s="10"/>
      <c r="L1735" s="10"/>
      <c r="M1735" s="10"/>
      <c r="N1735" s="30"/>
      <c r="O1735" s="7">
        <f t="shared" si="475"/>
        <v>0</v>
      </c>
    </row>
    <row r="1736" spans="1:15" ht="14.25" thickBot="1" x14ac:dyDescent="0.2">
      <c r="A1736" s="72" t="s">
        <v>7</v>
      </c>
      <c r="B1736" s="73">
        <f>SUM(B1727:B1735)</f>
        <v>4</v>
      </c>
      <c r="C1736" s="74">
        <f t="shared" ref="C1736:F1736" si="477">SUM(C1727:C1735)</f>
        <v>0</v>
      </c>
      <c r="D1736" s="74">
        <f t="shared" si="477"/>
        <v>0</v>
      </c>
      <c r="E1736" s="74">
        <f t="shared" si="477"/>
        <v>7</v>
      </c>
      <c r="F1736" s="105">
        <f t="shared" si="477"/>
        <v>4</v>
      </c>
      <c r="G1736" s="76">
        <f t="shared" si="473"/>
        <v>15</v>
      </c>
      <c r="I1736" s="72" t="s">
        <v>7</v>
      </c>
      <c r="J1736" s="73">
        <f>SUM(J1727:J1735)</f>
        <v>89</v>
      </c>
      <c r="K1736" s="74">
        <f t="shared" ref="K1736:N1736" si="478">SUM(K1727:K1735)</f>
        <v>0</v>
      </c>
      <c r="L1736" s="74">
        <f t="shared" si="478"/>
        <v>0</v>
      </c>
      <c r="M1736" s="74">
        <f t="shared" si="478"/>
        <v>5</v>
      </c>
      <c r="N1736" s="105">
        <f t="shared" si="478"/>
        <v>59</v>
      </c>
      <c r="O1736" s="76">
        <f t="shared" si="475"/>
        <v>153</v>
      </c>
    </row>
    <row r="1737" spans="1:15" x14ac:dyDescent="0.15">
      <c r="A1737" s="14"/>
      <c r="B1737" s="11"/>
      <c r="C1737" s="12"/>
      <c r="D1737" s="12"/>
      <c r="E1737" s="12"/>
      <c r="F1737" s="31"/>
      <c r="G1737" s="7">
        <f t="shared" ref="G1737:G1759" si="479">SUM(B1737:F1737)</f>
        <v>0</v>
      </c>
      <c r="I1737" s="15"/>
      <c r="J1737" s="11"/>
      <c r="K1737" s="12"/>
      <c r="L1737" s="12"/>
      <c r="M1737" s="12"/>
      <c r="N1737" s="31"/>
      <c r="O1737" s="7">
        <f t="shared" ref="O1737:O1738" si="480">SUM(J1737:N1737)</f>
        <v>0</v>
      </c>
    </row>
    <row r="1738" spans="1:15" x14ac:dyDescent="0.15">
      <c r="A1738" s="14"/>
      <c r="B1738" s="11"/>
      <c r="C1738" s="12"/>
      <c r="D1738" s="12"/>
      <c r="E1738" s="12"/>
      <c r="F1738" s="31"/>
      <c r="G1738" s="7">
        <f t="shared" si="479"/>
        <v>0</v>
      </c>
      <c r="I1738" s="15"/>
      <c r="J1738" s="11"/>
      <c r="K1738" s="12"/>
      <c r="L1738" s="12"/>
      <c r="M1738" s="12"/>
      <c r="N1738" s="31"/>
      <c r="O1738" s="7">
        <f t="shared" si="480"/>
        <v>0</v>
      </c>
    </row>
    <row r="1739" spans="1:15" x14ac:dyDescent="0.15">
      <c r="A1739" s="14"/>
      <c r="B1739" s="11"/>
      <c r="C1739" s="12"/>
      <c r="D1739" s="12"/>
      <c r="E1739" s="12"/>
      <c r="F1739" s="31"/>
      <c r="G1739" s="7">
        <f t="shared" si="479"/>
        <v>0</v>
      </c>
      <c r="I1739" s="15"/>
      <c r="J1739" s="11"/>
      <c r="K1739" s="12"/>
      <c r="L1739" s="12"/>
      <c r="M1739" s="12"/>
      <c r="N1739" s="31"/>
      <c r="O1739" s="7">
        <f t="shared" si="475"/>
        <v>0</v>
      </c>
    </row>
    <row r="1740" spans="1:15" x14ac:dyDescent="0.15">
      <c r="A1740" s="14"/>
      <c r="B1740" s="11"/>
      <c r="C1740" s="12"/>
      <c r="D1740" s="12"/>
      <c r="E1740" s="12"/>
      <c r="F1740" s="31"/>
      <c r="G1740" s="7">
        <f t="shared" si="479"/>
        <v>0</v>
      </c>
      <c r="I1740" s="15"/>
      <c r="J1740" s="11"/>
      <c r="K1740" s="12"/>
      <c r="L1740" s="12"/>
      <c r="M1740" s="12"/>
      <c r="N1740" s="31"/>
      <c r="O1740" s="7">
        <f t="shared" si="475"/>
        <v>0</v>
      </c>
    </row>
    <row r="1741" spans="1:15" x14ac:dyDescent="0.15">
      <c r="A1741" s="14"/>
      <c r="B1741" s="11"/>
      <c r="C1741" s="12"/>
      <c r="D1741" s="12"/>
      <c r="E1741" s="12"/>
      <c r="F1741" s="31"/>
      <c r="G1741" s="7">
        <f t="shared" si="479"/>
        <v>0</v>
      </c>
      <c r="I1741" s="223"/>
      <c r="J1741" s="166"/>
      <c r="K1741" s="167"/>
      <c r="L1741" s="167"/>
      <c r="M1741" s="167"/>
      <c r="N1741" s="168"/>
      <c r="O1741" s="161">
        <f t="shared" si="475"/>
        <v>0</v>
      </c>
    </row>
    <row r="1742" spans="1:15" x14ac:dyDescent="0.15">
      <c r="A1742" s="14"/>
      <c r="B1742" s="11"/>
      <c r="C1742" s="12"/>
      <c r="D1742" s="12"/>
      <c r="E1742" s="12"/>
      <c r="F1742" s="31"/>
      <c r="G1742" s="7">
        <f t="shared" si="479"/>
        <v>0</v>
      </c>
      <c r="I1742" s="14"/>
      <c r="J1742" s="11"/>
      <c r="K1742" s="12"/>
      <c r="L1742" s="12"/>
      <c r="M1742" s="12"/>
      <c r="N1742" s="31"/>
      <c r="O1742" s="7">
        <f t="shared" si="475"/>
        <v>0</v>
      </c>
    </row>
    <row r="1743" spans="1:15" x14ac:dyDescent="0.15">
      <c r="A1743" s="14"/>
      <c r="B1743" s="11"/>
      <c r="C1743" s="12"/>
      <c r="D1743" s="12"/>
      <c r="E1743" s="12"/>
      <c r="F1743" s="31"/>
      <c r="G1743" s="7">
        <f t="shared" si="479"/>
        <v>0</v>
      </c>
      <c r="I1743" s="14"/>
      <c r="J1743" s="11"/>
      <c r="K1743" s="12"/>
      <c r="L1743" s="12"/>
      <c r="M1743" s="12"/>
      <c r="N1743" s="31"/>
      <c r="O1743" s="7">
        <f t="shared" si="475"/>
        <v>0</v>
      </c>
    </row>
    <row r="1744" spans="1:15" x14ac:dyDescent="0.15">
      <c r="A1744" s="14"/>
      <c r="B1744" s="11"/>
      <c r="C1744" s="12"/>
      <c r="D1744" s="12"/>
      <c r="E1744" s="12"/>
      <c r="F1744" s="31"/>
      <c r="G1744" s="7">
        <f t="shared" si="479"/>
        <v>0</v>
      </c>
      <c r="I1744" s="14"/>
      <c r="J1744" s="11"/>
      <c r="K1744" s="12"/>
      <c r="L1744" s="12"/>
      <c r="M1744" s="12"/>
      <c r="N1744" s="31"/>
      <c r="O1744" s="7">
        <f t="shared" si="475"/>
        <v>0</v>
      </c>
    </row>
    <row r="1745" spans="1:15" x14ac:dyDescent="0.15">
      <c r="A1745" s="14"/>
      <c r="B1745" s="11"/>
      <c r="C1745" s="12"/>
      <c r="D1745" s="12"/>
      <c r="E1745" s="12"/>
      <c r="F1745" s="31"/>
      <c r="G1745" s="7">
        <f t="shared" si="479"/>
        <v>0</v>
      </c>
      <c r="I1745" s="14"/>
      <c r="J1745" s="11"/>
      <c r="K1745" s="12"/>
      <c r="L1745" s="12"/>
      <c r="M1745" s="12"/>
      <c r="N1745" s="31"/>
      <c r="O1745" s="7">
        <f t="shared" si="475"/>
        <v>0</v>
      </c>
    </row>
    <row r="1746" spans="1:15" x14ac:dyDescent="0.15">
      <c r="A1746" s="14"/>
      <c r="B1746" s="11"/>
      <c r="C1746" s="12"/>
      <c r="D1746" s="12"/>
      <c r="E1746" s="12"/>
      <c r="F1746" s="31"/>
      <c r="G1746" s="7">
        <f t="shared" si="479"/>
        <v>0</v>
      </c>
      <c r="I1746" s="14"/>
      <c r="J1746" s="11"/>
      <c r="K1746" s="12"/>
      <c r="L1746" s="12"/>
      <c r="M1746" s="12"/>
      <c r="N1746" s="31"/>
      <c r="O1746" s="7">
        <f t="shared" si="475"/>
        <v>0</v>
      </c>
    </row>
    <row r="1747" spans="1:15" x14ac:dyDescent="0.15">
      <c r="A1747" s="14"/>
      <c r="B1747" s="11"/>
      <c r="C1747" s="12"/>
      <c r="D1747" s="12"/>
      <c r="E1747" s="12"/>
      <c r="F1747" s="31"/>
      <c r="G1747" s="7">
        <f t="shared" si="479"/>
        <v>0</v>
      </c>
      <c r="I1747" s="14"/>
      <c r="J1747" s="11"/>
      <c r="K1747" s="12"/>
      <c r="L1747" s="12"/>
      <c r="M1747" s="12"/>
      <c r="N1747" s="31"/>
      <c r="O1747" s="7">
        <f t="shared" si="475"/>
        <v>0</v>
      </c>
    </row>
    <row r="1748" spans="1:15" x14ac:dyDescent="0.15">
      <c r="A1748" s="14"/>
      <c r="B1748" s="11"/>
      <c r="C1748" s="12"/>
      <c r="D1748" s="12"/>
      <c r="E1748" s="12"/>
      <c r="F1748" s="31"/>
      <c r="G1748" s="7">
        <f t="shared" si="479"/>
        <v>0</v>
      </c>
      <c r="I1748" s="14"/>
      <c r="J1748" s="11"/>
      <c r="K1748" s="12"/>
      <c r="L1748" s="12"/>
      <c r="M1748" s="12"/>
      <c r="N1748" s="31"/>
      <c r="O1748" s="7">
        <f t="shared" si="475"/>
        <v>0</v>
      </c>
    </row>
    <row r="1749" spans="1:15" x14ac:dyDescent="0.15">
      <c r="A1749" s="14"/>
      <c r="B1749" s="11"/>
      <c r="C1749" s="12"/>
      <c r="D1749" s="12"/>
      <c r="E1749" s="12"/>
      <c r="F1749" s="31"/>
      <c r="G1749" s="7">
        <f t="shared" si="479"/>
        <v>0</v>
      </c>
      <c r="I1749" s="14"/>
      <c r="J1749" s="11"/>
      <c r="K1749" s="12"/>
      <c r="L1749" s="12"/>
      <c r="M1749" s="12"/>
      <c r="N1749" s="31"/>
      <c r="O1749" s="7">
        <f t="shared" si="475"/>
        <v>0</v>
      </c>
    </row>
    <row r="1750" spans="1:15" x14ac:dyDescent="0.15">
      <c r="A1750" s="14"/>
      <c r="B1750" s="11"/>
      <c r="C1750" s="12"/>
      <c r="D1750" s="12"/>
      <c r="E1750" s="12"/>
      <c r="F1750" s="31"/>
      <c r="G1750" s="7">
        <f t="shared" si="479"/>
        <v>0</v>
      </c>
      <c r="I1750" s="14"/>
      <c r="J1750" s="11"/>
      <c r="K1750" s="12"/>
      <c r="L1750" s="12"/>
      <c r="M1750" s="12"/>
      <c r="N1750" s="31"/>
      <c r="O1750" s="7">
        <f t="shared" si="475"/>
        <v>0</v>
      </c>
    </row>
    <row r="1751" spans="1:15" x14ac:dyDescent="0.15">
      <c r="A1751" s="14"/>
      <c r="B1751" s="11"/>
      <c r="C1751" s="12"/>
      <c r="D1751" s="12"/>
      <c r="E1751" s="12"/>
      <c r="F1751" s="31"/>
      <c r="G1751" s="7">
        <f t="shared" si="479"/>
        <v>0</v>
      </c>
      <c r="I1751" s="14"/>
      <c r="J1751" s="11"/>
      <c r="K1751" s="12"/>
      <c r="L1751" s="12"/>
      <c r="M1751" s="12"/>
      <c r="N1751" s="31"/>
      <c r="O1751" s="7">
        <f t="shared" si="475"/>
        <v>0</v>
      </c>
    </row>
    <row r="1752" spans="1:15" x14ac:dyDescent="0.15">
      <c r="A1752" s="14"/>
      <c r="B1752" s="11"/>
      <c r="C1752" s="12"/>
      <c r="D1752" s="12"/>
      <c r="E1752" s="12"/>
      <c r="F1752" s="31"/>
      <c r="G1752" s="7">
        <f t="shared" si="479"/>
        <v>0</v>
      </c>
      <c r="I1752" s="14"/>
      <c r="J1752" s="11"/>
      <c r="K1752" s="12"/>
      <c r="L1752" s="12"/>
      <c r="M1752" s="12"/>
      <c r="N1752" s="31"/>
      <c r="O1752" s="7">
        <f t="shared" si="475"/>
        <v>0</v>
      </c>
    </row>
    <row r="1753" spans="1:15" x14ac:dyDescent="0.15">
      <c r="A1753" s="14"/>
      <c r="B1753" s="11"/>
      <c r="C1753" s="12"/>
      <c r="D1753" s="12"/>
      <c r="E1753" s="12"/>
      <c r="F1753" s="31"/>
      <c r="G1753" s="7">
        <f t="shared" si="479"/>
        <v>0</v>
      </c>
      <c r="I1753" s="14"/>
      <c r="J1753" s="11"/>
      <c r="K1753" s="12"/>
      <c r="L1753" s="12"/>
      <c r="M1753" s="12"/>
      <c r="N1753" s="31"/>
      <c r="O1753" s="7">
        <f t="shared" si="475"/>
        <v>0</v>
      </c>
    </row>
    <row r="1754" spans="1:15" x14ac:dyDescent="0.15">
      <c r="A1754" s="14"/>
      <c r="B1754" s="11"/>
      <c r="C1754" s="12"/>
      <c r="D1754" s="12"/>
      <c r="E1754" s="12"/>
      <c r="F1754" s="31"/>
      <c r="G1754" s="7">
        <f t="shared" si="479"/>
        <v>0</v>
      </c>
      <c r="I1754" s="14"/>
      <c r="J1754" s="11"/>
      <c r="K1754" s="12"/>
      <c r="L1754" s="12"/>
      <c r="M1754" s="12"/>
      <c r="N1754" s="31"/>
      <c r="O1754" s="7">
        <f t="shared" si="475"/>
        <v>0</v>
      </c>
    </row>
    <row r="1755" spans="1:15" x14ac:dyDescent="0.15">
      <c r="A1755" s="14"/>
      <c r="B1755" s="11"/>
      <c r="C1755" s="12"/>
      <c r="D1755" s="12"/>
      <c r="E1755" s="12"/>
      <c r="F1755" s="31"/>
      <c r="G1755" s="7">
        <f t="shared" si="479"/>
        <v>0</v>
      </c>
      <c r="I1755" s="14"/>
      <c r="J1755" s="11"/>
      <c r="K1755" s="12"/>
      <c r="L1755" s="12"/>
      <c r="M1755" s="12"/>
      <c r="N1755" s="31"/>
      <c r="O1755" s="7">
        <f t="shared" si="475"/>
        <v>0</v>
      </c>
    </row>
    <row r="1756" spans="1:15" x14ac:dyDescent="0.15">
      <c r="A1756" s="14"/>
      <c r="B1756" s="11"/>
      <c r="C1756" s="12"/>
      <c r="D1756" s="12"/>
      <c r="E1756" s="12"/>
      <c r="F1756" s="31"/>
      <c r="G1756" s="7">
        <f t="shared" si="479"/>
        <v>0</v>
      </c>
      <c r="I1756" s="14"/>
      <c r="J1756" s="11"/>
      <c r="K1756" s="12"/>
      <c r="L1756" s="12"/>
      <c r="M1756" s="12"/>
      <c r="N1756" s="31"/>
      <c r="O1756" s="7">
        <f t="shared" si="475"/>
        <v>0</v>
      </c>
    </row>
    <row r="1757" spans="1:15" x14ac:dyDescent="0.15">
      <c r="A1757" s="14"/>
      <c r="B1757" s="11"/>
      <c r="C1757" s="12"/>
      <c r="D1757" s="12"/>
      <c r="E1757" s="12"/>
      <c r="F1757" s="31"/>
      <c r="G1757" s="7">
        <f t="shared" si="479"/>
        <v>0</v>
      </c>
      <c r="I1757" s="14"/>
      <c r="J1757" s="11"/>
      <c r="K1757" s="12"/>
      <c r="L1757" s="12"/>
      <c r="M1757" s="12"/>
      <c r="N1757" s="31"/>
      <c r="O1757" s="7">
        <f t="shared" si="475"/>
        <v>0</v>
      </c>
    </row>
    <row r="1758" spans="1:15" x14ac:dyDescent="0.15">
      <c r="A1758" s="14"/>
      <c r="B1758" s="11"/>
      <c r="C1758" s="12"/>
      <c r="D1758" s="12"/>
      <c r="E1758" s="12"/>
      <c r="F1758" s="31"/>
      <c r="G1758" s="7">
        <f t="shared" si="479"/>
        <v>0</v>
      </c>
      <c r="I1758" s="14"/>
      <c r="J1758" s="11"/>
      <c r="K1758" s="12"/>
      <c r="L1758" s="12"/>
      <c r="M1758" s="12"/>
      <c r="N1758" s="31"/>
      <c r="O1758" s="7">
        <f t="shared" si="475"/>
        <v>0</v>
      </c>
    </row>
    <row r="1759" spans="1:15" x14ac:dyDescent="0.15">
      <c r="A1759" s="14"/>
      <c r="B1759" s="11"/>
      <c r="C1759" s="12"/>
      <c r="D1759" s="12"/>
      <c r="E1759" s="12"/>
      <c r="F1759" s="31"/>
      <c r="G1759" s="7">
        <f t="shared" si="479"/>
        <v>0</v>
      </c>
      <c r="I1759" s="14"/>
      <c r="J1759" s="11"/>
      <c r="K1759" s="12"/>
      <c r="L1759" s="12"/>
      <c r="M1759" s="12"/>
      <c r="N1759" s="31"/>
      <c r="O1759" s="7">
        <f t="shared" si="475"/>
        <v>0</v>
      </c>
    </row>
    <row r="1760" spans="1:15" x14ac:dyDescent="0.15">
      <c r="A1760" s="14"/>
      <c r="B1760" s="11"/>
      <c r="C1760" s="12"/>
      <c r="D1760" s="12"/>
      <c r="E1760" s="12"/>
      <c r="F1760" s="31"/>
      <c r="G1760" s="7">
        <f t="shared" si="473"/>
        <v>0</v>
      </c>
      <c r="I1760" s="14"/>
      <c r="J1760" s="11"/>
      <c r="K1760" s="12"/>
      <c r="L1760" s="12"/>
      <c r="M1760" s="12"/>
      <c r="N1760" s="31"/>
      <c r="O1760" s="7">
        <f t="shared" si="475"/>
        <v>0</v>
      </c>
    </row>
    <row r="1761" spans="1:15" x14ac:dyDescent="0.15">
      <c r="A1761" s="14"/>
      <c r="B1761" s="11"/>
      <c r="C1761" s="12"/>
      <c r="D1761" s="12"/>
      <c r="E1761" s="12"/>
      <c r="F1761" s="31"/>
      <c r="G1761" s="7">
        <f t="shared" si="473"/>
        <v>0</v>
      </c>
      <c r="I1761" s="14"/>
      <c r="J1761" s="11"/>
      <c r="K1761" s="12"/>
      <c r="L1761" s="12"/>
      <c r="M1761" s="12"/>
      <c r="N1761" s="31"/>
      <c r="O1761" s="7">
        <f t="shared" si="475"/>
        <v>0</v>
      </c>
    </row>
    <row r="1762" spans="1:15" ht="14.25" thickBot="1" x14ac:dyDescent="0.2">
      <c r="A1762" s="14"/>
      <c r="B1762" s="11"/>
      <c r="C1762" s="12"/>
      <c r="D1762" s="12"/>
      <c r="E1762" s="12"/>
      <c r="F1762" s="31"/>
      <c r="G1762" s="7">
        <f t="shared" si="473"/>
        <v>0</v>
      </c>
      <c r="I1762" s="14"/>
      <c r="J1762" s="11"/>
      <c r="K1762" s="12"/>
      <c r="L1762" s="12"/>
      <c r="M1762" s="12"/>
      <c r="N1762" s="31"/>
      <c r="O1762" s="7">
        <f t="shared" si="475"/>
        <v>0</v>
      </c>
    </row>
    <row r="1763" spans="1:15" ht="14.25" thickBot="1" x14ac:dyDescent="0.2">
      <c r="A1763" s="3" t="s">
        <v>11</v>
      </c>
      <c r="B1763" s="23">
        <f>SUM(B1737:B1762)</f>
        <v>0</v>
      </c>
      <c r="C1763" s="203">
        <f>SUM(C1737:C1762)</f>
        <v>0</v>
      </c>
      <c r="D1763" s="203">
        <f>SUM(D1737:D1762)</f>
        <v>0</v>
      </c>
      <c r="E1763" s="6">
        <f>SUM(E1737:E1762)</f>
        <v>0</v>
      </c>
      <c r="F1763" s="32">
        <f>SUM(F1737:F1762)</f>
        <v>0</v>
      </c>
      <c r="G1763" s="5">
        <f>SUM(B1763:F1763)</f>
        <v>0</v>
      </c>
      <c r="I1763" s="3" t="s">
        <v>11</v>
      </c>
      <c r="J1763" s="23">
        <f>SUM(J1737:J1762)</f>
        <v>0</v>
      </c>
      <c r="K1763" s="203">
        <f>SUM(K1737:K1762)</f>
        <v>0</v>
      </c>
      <c r="L1763" s="203">
        <f>SUM(L1737:L1762)</f>
        <v>0</v>
      </c>
      <c r="M1763" s="6">
        <f>SUM(M1737:M1762)</f>
        <v>0</v>
      </c>
      <c r="N1763" s="32">
        <f>SUM(N1737:N1762)</f>
        <v>0</v>
      </c>
      <c r="O1763" s="5">
        <f>SUM(J1763:N1763)</f>
        <v>0</v>
      </c>
    </row>
    <row r="1764" spans="1:15" ht="14.25" thickBot="1" x14ac:dyDescent="0.2">
      <c r="A1764" s="25" t="s">
        <v>12</v>
      </c>
      <c r="B1764" s="63">
        <f>B1736-B1763</f>
        <v>4</v>
      </c>
      <c r="C1764" s="206">
        <f t="shared" ref="C1764:G1764" si="481">C1736-C1763</f>
        <v>0</v>
      </c>
      <c r="D1764" s="207">
        <f t="shared" si="481"/>
        <v>0</v>
      </c>
      <c r="E1764" s="26">
        <f t="shared" si="481"/>
        <v>7</v>
      </c>
      <c r="F1764" s="70">
        <f t="shared" si="481"/>
        <v>4</v>
      </c>
      <c r="G1764" s="27">
        <f t="shared" si="481"/>
        <v>15</v>
      </c>
      <c r="I1764" s="25" t="s">
        <v>12</v>
      </c>
      <c r="J1764" s="63">
        <f>J1736-J1763</f>
        <v>89</v>
      </c>
      <c r="K1764" s="206">
        <f t="shared" ref="K1764:O1764" si="482">K1736-K1763</f>
        <v>0</v>
      </c>
      <c r="L1764" s="207">
        <f t="shared" si="482"/>
        <v>0</v>
      </c>
      <c r="M1764" s="26">
        <f t="shared" si="482"/>
        <v>5</v>
      </c>
      <c r="N1764" s="70">
        <f t="shared" si="482"/>
        <v>59</v>
      </c>
      <c r="O1764" s="27">
        <f t="shared" si="482"/>
        <v>153</v>
      </c>
    </row>
  </sheetData>
  <mergeCells count="84">
    <mergeCell ref="B1683:G1683"/>
    <mergeCell ref="J1683:O1683"/>
    <mergeCell ref="B1515:G1515"/>
    <mergeCell ref="J1515:O1515"/>
    <mergeCell ref="B1431:G1431"/>
    <mergeCell ref="J1431:O1431"/>
    <mergeCell ref="B1347:G1347"/>
    <mergeCell ref="J1347:O1347"/>
    <mergeCell ref="B1473:G1473"/>
    <mergeCell ref="J1473:O1473"/>
    <mergeCell ref="B1305:G1305"/>
    <mergeCell ref="J1305:O1305"/>
    <mergeCell ref="B1389:G1389"/>
    <mergeCell ref="J1389:O1389"/>
    <mergeCell ref="B1263:G1263"/>
    <mergeCell ref="J1263:O1263"/>
    <mergeCell ref="B1221:G1221"/>
    <mergeCell ref="J1221:O1221"/>
    <mergeCell ref="B1179:G1179"/>
    <mergeCell ref="J1179:O1179"/>
    <mergeCell ref="B1137:G1137"/>
    <mergeCell ref="J1137:O1137"/>
    <mergeCell ref="B129:G129"/>
    <mergeCell ref="J129:O129"/>
    <mergeCell ref="B465:G465"/>
    <mergeCell ref="J465:O465"/>
    <mergeCell ref="B507:G507"/>
    <mergeCell ref="J507:O507"/>
    <mergeCell ref="J171:O171"/>
    <mergeCell ref="J297:O297"/>
    <mergeCell ref="B339:G339"/>
    <mergeCell ref="J339:O339"/>
    <mergeCell ref="B297:G297"/>
    <mergeCell ref="B255:G255"/>
    <mergeCell ref="B171:G171"/>
    <mergeCell ref="J255:O255"/>
    <mergeCell ref="B213:G213"/>
    <mergeCell ref="J213:O213"/>
    <mergeCell ref="B3:G3"/>
    <mergeCell ref="J3:O3"/>
    <mergeCell ref="B45:G45"/>
    <mergeCell ref="J45:O45"/>
    <mergeCell ref="J87:O87"/>
    <mergeCell ref="B87:G87"/>
    <mergeCell ref="B633:G633"/>
    <mergeCell ref="J633:O633"/>
    <mergeCell ref="B423:G423"/>
    <mergeCell ref="J423:O423"/>
    <mergeCell ref="B381:G381"/>
    <mergeCell ref="J381:O381"/>
    <mergeCell ref="B549:G549"/>
    <mergeCell ref="J549:O549"/>
    <mergeCell ref="B1053:G1053"/>
    <mergeCell ref="J1053:O1053"/>
    <mergeCell ref="B1011:G1011"/>
    <mergeCell ref="J1011:O1011"/>
    <mergeCell ref="B591:G591"/>
    <mergeCell ref="J591:O591"/>
    <mergeCell ref="B843:G843"/>
    <mergeCell ref="J843:O843"/>
    <mergeCell ref="B801:G801"/>
    <mergeCell ref="J801:O801"/>
    <mergeCell ref="B759:G759"/>
    <mergeCell ref="J759:O759"/>
    <mergeCell ref="B717:G717"/>
    <mergeCell ref="J717:O717"/>
    <mergeCell ref="B675:G675"/>
    <mergeCell ref="J675:O675"/>
    <mergeCell ref="B1725:G1725"/>
    <mergeCell ref="J1725:O1725"/>
    <mergeCell ref="B927:G927"/>
    <mergeCell ref="J927:O927"/>
    <mergeCell ref="B885:G885"/>
    <mergeCell ref="J885:O885"/>
    <mergeCell ref="B1641:G1641"/>
    <mergeCell ref="J1641:O1641"/>
    <mergeCell ref="B1599:G1599"/>
    <mergeCell ref="J1599:O1599"/>
    <mergeCell ref="B1557:G1557"/>
    <mergeCell ref="J1557:O1557"/>
    <mergeCell ref="B969:G969"/>
    <mergeCell ref="J969:O969"/>
    <mergeCell ref="B1095:G1095"/>
    <mergeCell ref="J1095:O1095"/>
  </mergeCells>
  <phoneticPr fontId="10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U1219"/>
  <sheetViews>
    <sheetView topLeftCell="A1207" zoomScale="90" zoomScaleNormal="90" zoomScaleSheetLayoutView="91" workbookViewId="0">
      <selection activeCell="A1215" sqref="A1215"/>
    </sheetView>
  </sheetViews>
  <sheetFormatPr defaultRowHeight="13.5" x14ac:dyDescent="0.15"/>
  <cols>
    <col min="1" max="1" width="28.125" customWidth="1"/>
    <col min="8" max="8" width="9.25" bestFit="1" customWidth="1"/>
    <col min="9" max="9" width="32.5" customWidth="1"/>
    <col min="16" max="16" width="10.125" customWidth="1"/>
  </cols>
  <sheetData>
    <row r="1" spans="1:16" ht="21" x14ac:dyDescent="0.2">
      <c r="A1" s="86" t="s">
        <v>413</v>
      </c>
      <c r="B1" s="87"/>
      <c r="C1" s="87"/>
      <c r="D1" s="87"/>
      <c r="E1" s="87"/>
      <c r="F1" s="87"/>
      <c r="G1" s="87"/>
      <c r="H1" s="1"/>
      <c r="I1" s="86" t="s">
        <v>413</v>
      </c>
      <c r="J1" s="87"/>
      <c r="K1" s="87"/>
      <c r="L1" s="87"/>
      <c r="M1" s="87"/>
      <c r="N1" s="87"/>
      <c r="O1" s="87"/>
      <c r="P1" s="1"/>
    </row>
    <row r="2" spans="1:16" ht="21.75" thickBot="1" x14ac:dyDescent="0.25">
      <c r="A2" s="86" t="s">
        <v>51</v>
      </c>
      <c r="B2" s="87"/>
      <c r="C2" s="87"/>
      <c r="D2" s="87"/>
      <c r="E2" s="85"/>
      <c r="F2" s="88" t="s">
        <v>53</v>
      </c>
      <c r="G2" s="87"/>
      <c r="H2" s="1"/>
      <c r="I2" s="86" t="s">
        <v>51</v>
      </c>
      <c r="J2" s="87"/>
      <c r="K2" s="87"/>
      <c r="L2" s="87"/>
      <c r="M2" s="89"/>
      <c r="N2" s="88" t="s">
        <v>54</v>
      </c>
      <c r="O2" s="87"/>
      <c r="P2" s="1"/>
    </row>
    <row r="3" spans="1:16" ht="14.25" thickBot="1" x14ac:dyDescent="0.2">
      <c r="A3" s="13" t="s">
        <v>0</v>
      </c>
      <c r="B3" s="228" t="s">
        <v>52</v>
      </c>
      <c r="C3" s="229"/>
      <c r="D3" s="229"/>
      <c r="E3" s="229"/>
      <c r="F3" s="230"/>
      <c r="G3" s="231"/>
      <c r="H3" s="1"/>
      <c r="I3" s="13" t="s">
        <v>0</v>
      </c>
      <c r="J3" s="228" t="s">
        <v>52</v>
      </c>
      <c r="K3" s="229"/>
      <c r="L3" s="229"/>
      <c r="M3" s="229"/>
      <c r="N3" s="230"/>
      <c r="O3" s="231"/>
      <c r="P3" s="1"/>
    </row>
    <row r="4" spans="1:16" ht="14.25" thickBot="1" x14ac:dyDescent="0.2">
      <c r="A4" s="3" t="s">
        <v>1</v>
      </c>
      <c r="B4" s="2" t="s">
        <v>42</v>
      </c>
      <c r="C4" s="21" t="s">
        <v>43</v>
      </c>
      <c r="D4" s="21" t="s">
        <v>44</v>
      </c>
      <c r="E4" s="24" t="s">
        <v>45</v>
      </c>
      <c r="F4" s="33" t="s">
        <v>46</v>
      </c>
      <c r="G4" s="3" t="s">
        <v>2</v>
      </c>
      <c r="H4" s="1"/>
      <c r="I4" s="3" t="s">
        <v>1</v>
      </c>
      <c r="J4" s="41" t="s">
        <v>42</v>
      </c>
      <c r="K4" s="42" t="s">
        <v>43</v>
      </c>
      <c r="L4" s="42" t="s">
        <v>44</v>
      </c>
      <c r="M4" s="43" t="s">
        <v>45</v>
      </c>
      <c r="N4" s="44" t="s">
        <v>46</v>
      </c>
      <c r="O4" s="3" t="s">
        <v>2</v>
      </c>
      <c r="P4" s="1"/>
    </row>
    <row r="5" spans="1:16" x14ac:dyDescent="0.15">
      <c r="A5" s="15" t="s">
        <v>14</v>
      </c>
      <c r="B5" s="17">
        <v>9</v>
      </c>
      <c r="C5" s="22">
        <v>10</v>
      </c>
      <c r="D5" s="22">
        <v>10</v>
      </c>
      <c r="E5" s="22">
        <v>10</v>
      </c>
      <c r="F5" s="103">
        <v>10</v>
      </c>
      <c r="G5" s="18">
        <f t="shared" ref="G5:G40" si="0">SUM(B5:F5)</f>
        <v>49</v>
      </c>
      <c r="H5" s="36">
        <v>42896</v>
      </c>
      <c r="I5" s="15" t="s">
        <v>14</v>
      </c>
      <c r="J5" s="17">
        <v>10</v>
      </c>
      <c r="K5" s="111">
        <v>10</v>
      </c>
      <c r="L5" s="111">
        <v>10</v>
      </c>
      <c r="M5" s="111">
        <v>10</v>
      </c>
      <c r="N5" s="112">
        <v>10</v>
      </c>
      <c r="O5" s="18">
        <f t="shared" ref="O5:O13" si="1">SUM(J5:N5)</f>
        <v>50</v>
      </c>
      <c r="P5" s="36">
        <v>42896</v>
      </c>
    </row>
    <row r="6" spans="1:16" x14ac:dyDescent="0.15">
      <c r="A6" s="15" t="s">
        <v>3</v>
      </c>
      <c r="B6" s="8">
        <v>1</v>
      </c>
      <c r="C6" s="10">
        <v>1</v>
      </c>
      <c r="D6" s="10"/>
      <c r="E6" s="10"/>
      <c r="F6" s="104"/>
      <c r="G6" s="9">
        <f t="shared" si="0"/>
        <v>2</v>
      </c>
      <c r="H6" s="36">
        <v>42906</v>
      </c>
      <c r="I6" s="15" t="s">
        <v>3</v>
      </c>
      <c r="J6" s="37">
        <v>108</v>
      </c>
      <c r="K6" s="135">
        <v>111</v>
      </c>
      <c r="L6" s="135">
        <v>109</v>
      </c>
      <c r="M6" s="135">
        <v>110</v>
      </c>
      <c r="N6" s="136">
        <v>107</v>
      </c>
      <c r="O6" s="7">
        <f t="shared" ref="O6:O7" si="2">SUM(J6:N6)</f>
        <v>545</v>
      </c>
      <c r="P6" s="36">
        <v>42915</v>
      </c>
    </row>
    <row r="7" spans="1:16" x14ac:dyDescent="0.15">
      <c r="A7" s="15" t="s">
        <v>4</v>
      </c>
      <c r="B7" s="8">
        <v>2</v>
      </c>
      <c r="C7" s="10"/>
      <c r="D7" s="10"/>
      <c r="E7" s="10"/>
      <c r="F7" s="104"/>
      <c r="G7" s="9">
        <f t="shared" si="0"/>
        <v>2</v>
      </c>
      <c r="H7" s="36">
        <v>42928</v>
      </c>
      <c r="I7" s="15" t="s">
        <v>4</v>
      </c>
      <c r="J7" s="8"/>
      <c r="K7" s="45"/>
      <c r="L7" s="45"/>
      <c r="M7" s="45"/>
      <c r="N7" s="46">
        <v>2</v>
      </c>
      <c r="O7" s="9">
        <f t="shared" si="2"/>
        <v>2</v>
      </c>
      <c r="P7" s="36">
        <v>42915</v>
      </c>
    </row>
    <row r="8" spans="1:16" x14ac:dyDescent="0.15">
      <c r="A8" s="15" t="s">
        <v>5</v>
      </c>
      <c r="B8" s="8"/>
      <c r="C8" s="10"/>
      <c r="D8" s="10"/>
      <c r="E8" s="10"/>
      <c r="F8" s="104">
        <v>11</v>
      </c>
      <c r="G8" s="9">
        <f t="shared" si="0"/>
        <v>11</v>
      </c>
      <c r="H8" s="36">
        <v>42942</v>
      </c>
      <c r="I8" s="15" t="s">
        <v>5</v>
      </c>
      <c r="J8" s="8"/>
      <c r="K8" s="45"/>
      <c r="L8" s="45"/>
      <c r="M8" s="45"/>
      <c r="N8" s="46"/>
      <c r="O8" s="9">
        <f t="shared" si="1"/>
        <v>0</v>
      </c>
      <c r="P8" s="1"/>
    </row>
    <row r="9" spans="1:16" x14ac:dyDescent="0.15">
      <c r="A9" s="15" t="s">
        <v>6</v>
      </c>
      <c r="B9" s="11"/>
      <c r="C9" s="12">
        <v>10</v>
      </c>
      <c r="D9" s="12"/>
      <c r="E9" s="12"/>
      <c r="F9" s="108"/>
      <c r="G9" s="9">
        <f t="shared" si="0"/>
        <v>10</v>
      </c>
      <c r="H9" s="36">
        <v>42949</v>
      </c>
      <c r="I9" s="15" t="s">
        <v>6</v>
      </c>
      <c r="J9" s="8"/>
      <c r="K9" s="45"/>
      <c r="L9" s="45"/>
      <c r="M9" s="45"/>
      <c r="N9" s="46"/>
      <c r="O9" s="9">
        <f t="shared" si="1"/>
        <v>0</v>
      </c>
      <c r="P9" s="1"/>
    </row>
    <row r="10" spans="1:16" x14ac:dyDescent="0.15">
      <c r="A10" s="15" t="s">
        <v>84</v>
      </c>
      <c r="B10" s="8"/>
      <c r="C10" s="10"/>
      <c r="D10" s="10">
        <v>11</v>
      </c>
      <c r="E10" s="10"/>
      <c r="F10" s="30"/>
      <c r="G10" s="7">
        <f t="shared" si="0"/>
        <v>11</v>
      </c>
      <c r="H10" s="36">
        <v>42956</v>
      </c>
      <c r="I10" s="15" t="s">
        <v>84</v>
      </c>
      <c r="J10" s="8"/>
      <c r="K10" s="45"/>
      <c r="L10" s="45"/>
      <c r="M10" s="45"/>
      <c r="N10" s="46"/>
      <c r="O10" s="7">
        <f t="shared" si="1"/>
        <v>0</v>
      </c>
      <c r="P10" s="1"/>
    </row>
    <row r="11" spans="1:16" x14ac:dyDescent="0.15">
      <c r="A11" s="16" t="s">
        <v>89</v>
      </c>
      <c r="B11" s="8"/>
      <c r="C11" s="10"/>
      <c r="D11" s="10"/>
      <c r="E11" s="10">
        <v>10</v>
      </c>
      <c r="F11" s="30"/>
      <c r="G11" s="7">
        <f t="shared" si="0"/>
        <v>10</v>
      </c>
      <c r="H11" s="36">
        <v>42963</v>
      </c>
      <c r="I11" s="15" t="s">
        <v>85</v>
      </c>
      <c r="J11" s="8"/>
      <c r="K11" s="45"/>
      <c r="L11" s="45"/>
      <c r="M11" s="45"/>
      <c r="N11" s="46"/>
      <c r="O11" s="7">
        <f t="shared" si="1"/>
        <v>0</v>
      </c>
      <c r="P11" s="1"/>
    </row>
    <row r="12" spans="1:16" x14ac:dyDescent="0.15">
      <c r="A12" s="15" t="s">
        <v>86</v>
      </c>
      <c r="B12" s="8"/>
      <c r="C12" s="45"/>
      <c r="D12" s="45"/>
      <c r="E12" s="45"/>
      <c r="F12" s="46">
        <v>10</v>
      </c>
      <c r="G12" s="102">
        <f t="shared" si="0"/>
        <v>10</v>
      </c>
      <c r="H12" s="36">
        <v>42966</v>
      </c>
      <c r="I12" s="15" t="s">
        <v>86</v>
      </c>
      <c r="J12" s="8"/>
      <c r="K12" s="45"/>
      <c r="L12" s="45"/>
      <c r="M12" s="45"/>
      <c r="N12" s="46"/>
      <c r="O12" s="102">
        <f t="shared" si="1"/>
        <v>0</v>
      </c>
      <c r="P12" s="1"/>
    </row>
    <row r="13" spans="1:16" ht="14.25" thickBot="1" x14ac:dyDescent="0.2">
      <c r="A13" s="15" t="s">
        <v>87</v>
      </c>
      <c r="B13" s="11"/>
      <c r="C13" s="100"/>
      <c r="D13" s="100">
        <v>10</v>
      </c>
      <c r="E13" s="100"/>
      <c r="F13" s="109">
        <v>10</v>
      </c>
      <c r="G13" s="40">
        <f t="shared" si="0"/>
        <v>20</v>
      </c>
      <c r="H13" s="36">
        <v>42991</v>
      </c>
      <c r="I13" s="15" t="s">
        <v>87</v>
      </c>
      <c r="J13" s="47"/>
      <c r="K13" s="48"/>
      <c r="L13" s="48"/>
      <c r="M13" s="48"/>
      <c r="N13" s="49"/>
      <c r="O13" s="40">
        <f t="shared" si="1"/>
        <v>0</v>
      </c>
      <c r="P13" s="1"/>
    </row>
    <row r="14" spans="1:16" ht="14.25" thickBot="1" x14ac:dyDescent="0.2">
      <c r="A14" s="72" t="s">
        <v>7</v>
      </c>
      <c r="B14" s="73">
        <f>SUM(B5:B13)</f>
        <v>12</v>
      </c>
      <c r="C14" s="74">
        <f t="shared" ref="C14:G14" si="3">SUM(C5:C13)</f>
        <v>21</v>
      </c>
      <c r="D14" s="74">
        <f t="shared" si="3"/>
        <v>31</v>
      </c>
      <c r="E14" s="74">
        <f t="shared" si="3"/>
        <v>20</v>
      </c>
      <c r="F14" s="105">
        <f t="shared" si="3"/>
        <v>41</v>
      </c>
      <c r="G14" s="76">
        <f t="shared" si="3"/>
        <v>125</v>
      </c>
      <c r="H14" s="1"/>
      <c r="I14" s="72" t="s">
        <v>7</v>
      </c>
      <c r="J14" s="73">
        <f>SUM(J5:J13)</f>
        <v>118</v>
      </c>
      <c r="K14" s="74">
        <f t="shared" ref="K14:O14" si="4">SUM(K5:K13)</f>
        <v>121</v>
      </c>
      <c r="L14" s="74">
        <f t="shared" si="4"/>
        <v>119</v>
      </c>
      <c r="M14" s="74">
        <f t="shared" si="4"/>
        <v>120</v>
      </c>
      <c r="N14" s="105">
        <f t="shared" si="4"/>
        <v>119</v>
      </c>
      <c r="O14" s="76">
        <f t="shared" si="4"/>
        <v>597</v>
      </c>
      <c r="P14" s="69"/>
    </row>
    <row r="15" spans="1:16" x14ac:dyDescent="0.15">
      <c r="A15" s="16" t="s">
        <v>443</v>
      </c>
      <c r="B15" s="37">
        <v>9</v>
      </c>
      <c r="C15" s="35">
        <v>10</v>
      </c>
      <c r="D15" s="35">
        <v>10</v>
      </c>
      <c r="E15" s="35">
        <v>10</v>
      </c>
      <c r="F15" s="28">
        <v>10</v>
      </c>
      <c r="G15" s="18">
        <f t="shared" si="0"/>
        <v>49</v>
      </c>
      <c r="H15" s="36">
        <v>42905</v>
      </c>
      <c r="I15" s="16" t="s">
        <v>444</v>
      </c>
      <c r="J15" s="17">
        <v>9</v>
      </c>
      <c r="K15" s="22">
        <v>10</v>
      </c>
      <c r="L15" s="22">
        <v>10</v>
      </c>
      <c r="M15" s="22">
        <v>10</v>
      </c>
      <c r="N15" s="29">
        <v>10</v>
      </c>
      <c r="O15" s="18">
        <f t="shared" ref="O15:O40" si="5">SUM(J15:N15)</f>
        <v>49</v>
      </c>
      <c r="P15" s="36">
        <v>42896</v>
      </c>
    </row>
    <row r="16" spans="1:16" x14ac:dyDescent="0.15">
      <c r="A16" s="39" t="s">
        <v>449</v>
      </c>
      <c r="B16" s="8"/>
      <c r="C16" s="10">
        <v>1</v>
      </c>
      <c r="D16" s="10"/>
      <c r="E16" s="10"/>
      <c r="F16" s="30"/>
      <c r="G16" s="7">
        <f t="shared" si="0"/>
        <v>1</v>
      </c>
      <c r="H16" s="36">
        <v>42881</v>
      </c>
      <c r="I16" s="16" t="s">
        <v>24</v>
      </c>
      <c r="J16" s="8">
        <v>1</v>
      </c>
      <c r="K16" s="10"/>
      <c r="L16" s="10"/>
      <c r="M16" s="10"/>
      <c r="N16" s="30"/>
      <c r="O16" s="7">
        <f t="shared" si="5"/>
        <v>1</v>
      </c>
      <c r="P16" s="36">
        <v>42906</v>
      </c>
    </row>
    <row r="17" spans="1:16" x14ac:dyDescent="0.15">
      <c r="A17" s="39" t="s">
        <v>471</v>
      </c>
      <c r="B17" s="8"/>
      <c r="C17" s="10">
        <v>-1</v>
      </c>
      <c r="D17" s="10"/>
      <c r="E17" s="10"/>
      <c r="F17" s="30"/>
      <c r="G17" s="7">
        <f t="shared" si="0"/>
        <v>-1</v>
      </c>
      <c r="H17" s="36">
        <v>42919</v>
      </c>
      <c r="I17" s="16" t="s">
        <v>24</v>
      </c>
      <c r="J17" s="8">
        <v>2</v>
      </c>
      <c r="K17" s="10"/>
      <c r="L17" s="10"/>
      <c r="M17" s="10"/>
      <c r="N17" s="30"/>
      <c r="O17" s="7">
        <f t="shared" si="5"/>
        <v>2</v>
      </c>
      <c r="P17" s="36">
        <v>42928</v>
      </c>
    </row>
    <row r="18" spans="1:16" x14ac:dyDescent="0.15">
      <c r="A18" s="16" t="s">
        <v>22</v>
      </c>
      <c r="B18" s="8"/>
      <c r="C18" s="10"/>
      <c r="D18" s="10"/>
      <c r="E18" s="10"/>
      <c r="F18" s="30">
        <v>10</v>
      </c>
      <c r="G18" s="7">
        <f t="shared" si="0"/>
        <v>10</v>
      </c>
      <c r="H18" s="36">
        <v>42948</v>
      </c>
      <c r="I18" s="16" t="s">
        <v>24</v>
      </c>
      <c r="J18" s="8"/>
      <c r="K18" s="10"/>
      <c r="L18" s="10"/>
      <c r="M18" s="10"/>
      <c r="N18" s="30">
        <v>11</v>
      </c>
      <c r="O18" s="7">
        <f t="shared" si="5"/>
        <v>11</v>
      </c>
      <c r="P18" s="36">
        <v>42942</v>
      </c>
    </row>
    <row r="19" spans="1:16" x14ac:dyDescent="0.15">
      <c r="A19" s="16" t="s">
        <v>22</v>
      </c>
      <c r="B19" s="8"/>
      <c r="C19" s="10">
        <v>10</v>
      </c>
      <c r="D19" s="10"/>
      <c r="E19" s="10"/>
      <c r="F19" s="30"/>
      <c r="G19" s="7">
        <f t="shared" si="0"/>
        <v>10</v>
      </c>
      <c r="H19" s="36">
        <v>42954</v>
      </c>
      <c r="I19" s="16" t="s">
        <v>24</v>
      </c>
      <c r="J19" s="8"/>
      <c r="K19" s="10">
        <v>10</v>
      </c>
      <c r="L19" s="10"/>
      <c r="M19" s="10"/>
      <c r="N19" s="30"/>
      <c r="O19" s="7">
        <f t="shared" si="5"/>
        <v>10</v>
      </c>
      <c r="P19" s="36">
        <v>42949</v>
      </c>
    </row>
    <row r="20" spans="1:16" x14ac:dyDescent="0.15">
      <c r="A20" s="16" t="s">
        <v>505</v>
      </c>
      <c r="B20" s="8"/>
      <c r="C20" s="10"/>
      <c r="D20" s="10">
        <v>-2</v>
      </c>
      <c r="E20" s="10">
        <v>-1</v>
      </c>
      <c r="F20" s="30">
        <v>-1</v>
      </c>
      <c r="G20" s="7">
        <f t="shared" si="0"/>
        <v>-4</v>
      </c>
      <c r="H20" s="36">
        <v>42950</v>
      </c>
      <c r="I20" s="16" t="s">
        <v>24</v>
      </c>
      <c r="J20" s="8"/>
      <c r="K20" s="10"/>
      <c r="L20" s="10">
        <v>11</v>
      </c>
      <c r="M20" s="10"/>
      <c r="N20" s="30"/>
      <c r="O20" s="7">
        <f t="shared" si="5"/>
        <v>11</v>
      </c>
      <c r="P20" s="36">
        <v>42956</v>
      </c>
    </row>
    <row r="21" spans="1:16" x14ac:dyDescent="0.15">
      <c r="A21" s="16" t="s">
        <v>22</v>
      </c>
      <c r="B21" s="8"/>
      <c r="C21" s="10"/>
      <c r="D21" s="10">
        <v>10</v>
      </c>
      <c r="E21" s="10"/>
      <c r="F21" s="30"/>
      <c r="G21" s="7">
        <f t="shared" si="0"/>
        <v>10</v>
      </c>
      <c r="H21" s="36">
        <v>42965</v>
      </c>
      <c r="I21" s="16" t="s">
        <v>24</v>
      </c>
      <c r="J21" s="8"/>
      <c r="K21" s="10"/>
      <c r="L21" s="10"/>
      <c r="M21" s="10">
        <v>10</v>
      </c>
      <c r="N21" s="30"/>
      <c r="O21" s="7">
        <f t="shared" si="5"/>
        <v>10</v>
      </c>
      <c r="P21" s="36">
        <v>42963</v>
      </c>
    </row>
    <row r="22" spans="1:16" x14ac:dyDescent="0.15">
      <c r="A22" s="16" t="s">
        <v>22</v>
      </c>
      <c r="B22" s="8"/>
      <c r="C22" s="10"/>
      <c r="D22" s="10"/>
      <c r="E22" s="10">
        <v>10</v>
      </c>
      <c r="F22" s="30"/>
      <c r="G22" s="7">
        <f t="shared" si="0"/>
        <v>10</v>
      </c>
      <c r="H22" s="36">
        <v>42968</v>
      </c>
      <c r="I22" s="16" t="s">
        <v>24</v>
      </c>
      <c r="J22" s="8"/>
      <c r="K22" s="10"/>
      <c r="L22" s="10"/>
      <c r="M22" s="10"/>
      <c r="N22" s="30">
        <v>10</v>
      </c>
      <c r="O22" s="7">
        <f t="shared" si="5"/>
        <v>10</v>
      </c>
      <c r="P22" s="36">
        <v>42966</v>
      </c>
    </row>
    <row r="23" spans="1:16" x14ac:dyDescent="0.15">
      <c r="A23" s="16" t="s">
        <v>23</v>
      </c>
      <c r="B23" s="8"/>
      <c r="C23" s="10">
        <v>-1</v>
      </c>
      <c r="D23" s="10">
        <v>-2</v>
      </c>
      <c r="E23" s="10"/>
      <c r="F23" s="30">
        <v>-1</v>
      </c>
      <c r="G23" s="7">
        <f t="shared" si="0"/>
        <v>-4</v>
      </c>
      <c r="H23" s="36">
        <v>42963</v>
      </c>
      <c r="I23" s="16" t="s">
        <v>24</v>
      </c>
      <c r="J23" s="11"/>
      <c r="K23" s="100"/>
      <c r="L23" s="100">
        <v>10</v>
      </c>
      <c r="M23" s="100"/>
      <c r="N23" s="109">
        <v>10</v>
      </c>
      <c r="O23" s="9">
        <f t="shared" si="5"/>
        <v>20</v>
      </c>
      <c r="P23" s="36">
        <v>42991</v>
      </c>
    </row>
    <row r="24" spans="1:16" x14ac:dyDescent="0.15">
      <c r="A24" s="16" t="s">
        <v>22</v>
      </c>
      <c r="B24" s="8"/>
      <c r="C24" s="10"/>
      <c r="D24" s="10"/>
      <c r="E24" s="10"/>
      <c r="F24" s="30">
        <v>10</v>
      </c>
      <c r="G24" s="7">
        <f t="shared" si="0"/>
        <v>10</v>
      </c>
      <c r="H24" s="36">
        <v>42971</v>
      </c>
      <c r="I24" s="16" t="s">
        <v>24</v>
      </c>
      <c r="J24" s="11">
        <v>10</v>
      </c>
      <c r="K24" s="12"/>
      <c r="L24" s="12"/>
      <c r="M24" s="12">
        <v>10</v>
      </c>
      <c r="N24" s="31"/>
      <c r="O24" s="7">
        <f t="shared" si="5"/>
        <v>20</v>
      </c>
      <c r="P24" s="36">
        <v>43005</v>
      </c>
    </row>
    <row r="25" spans="1:16" x14ac:dyDescent="0.15">
      <c r="A25" s="16" t="s">
        <v>23</v>
      </c>
      <c r="B25" s="11"/>
      <c r="C25" s="12"/>
      <c r="D25" s="12">
        <v>-1</v>
      </c>
      <c r="E25" s="12"/>
      <c r="F25" s="31">
        <v>-1</v>
      </c>
      <c r="G25" s="7">
        <f t="shared" si="0"/>
        <v>-2</v>
      </c>
      <c r="H25" s="36">
        <v>42975</v>
      </c>
      <c r="I25" s="16" t="s">
        <v>24</v>
      </c>
      <c r="J25" s="8"/>
      <c r="K25" s="10"/>
      <c r="L25" s="10"/>
      <c r="M25" s="10"/>
      <c r="N25" s="30">
        <v>10</v>
      </c>
      <c r="O25" s="7">
        <f t="shared" si="5"/>
        <v>10</v>
      </c>
      <c r="P25" s="36">
        <v>43013</v>
      </c>
    </row>
    <row r="26" spans="1:16" x14ac:dyDescent="0.15">
      <c r="A26" s="16" t="s">
        <v>22</v>
      </c>
      <c r="B26" s="8"/>
      <c r="C26" s="10"/>
      <c r="D26" s="10">
        <v>10</v>
      </c>
      <c r="E26" s="10"/>
      <c r="F26" s="30">
        <v>10</v>
      </c>
      <c r="G26" s="7">
        <f t="shared" si="0"/>
        <v>20</v>
      </c>
      <c r="H26" s="36">
        <v>42997</v>
      </c>
      <c r="I26" s="16" t="s">
        <v>24</v>
      </c>
      <c r="J26" s="8"/>
      <c r="K26" s="10">
        <v>10</v>
      </c>
      <c r="L26" s="10"/>
      <c r="M26" s="10"/>
      <c r="N26" s="30"/>
      <c r="O26" s="7">
        <f t="shared" si="5"/>
        <v>10</v>
      </c>
      <c r="P26" s="36">
        <v>43026</v>
      </c>
    </row>
    <row r="27" spans="1:16" x14ac:dyDescent="0.15">
      <c r="A27" s="16" t="s">
        <v>23</v>
      </c>
      <c r="B27" s="8"/>
      <c r="C27" s="10"/>
      <c r="D27" s="10">
        <v>-2</v>
      </c>
      <c r="E27" s="10">
        <v>-1</v>
      </c>
      <c r="F27" s="30">
        <v>-1</v>
      </c>
      <c r="G27" s="7">
        <f t="shared" si="0"/>
        <v>-4</v>
      </c>
      <c r="H27" s="36">
        <v>43003</v>
      </c>
      <c r="I27" s="16" t="s">
        <v>24</v>
      </c>
      <c r="J27" s="8">
        <v>5</v>
      </c>
      <c r="K27" s="10">
        <v>5</v>
      </c>
      <c r="L27" s="10">
        <v>5</v>
      </c>
      <c r="M27" s="10">
        <v>15</v>
      </c>
      <c r="N27" s="30"/>
      <c r="O27" s="7">
        <f t="shared" si="5"/>
        <v>30</v>
      </c>
      <c r="P27" s="36">
        <v>43047</v>
      </c>
    </row>
    <row r="28" spans="1:16" x14ac:dyDescent="0.15">
      <c r="A28" s="16" t="s">
        <v>22</v>
      </c>
      <c r="B28" s="8">
        <v>10</v>
      </c>
      <c r="C28" s="10"/>
      <c r="D28" s="10"/>
      <c r="E28" s="10">
        <v>10</v>
      </c>
      <c r="F28" s="30"/>
      <c r="G28" s="7">
        <f t="shared" si="0"/>
        <v>20</v>
      </c>
      <c r="H28" s="36">
        <v>43011</v>
      </c>
      <c r="I28" s="16"/>
      <c r="J28" s="8"/>
      <c r="K28" s="10"/>
      <c r="L28" s="10"/>
      <c r="M28" s="10"/>
      <c r="N28" s="30"/>
      <c r="O28" s="7">
        <f t="shared" si="5"/>
        <v>0</v>
      </c>
      <c r="P28" s="1"/>
    </row>
    <row r="29" spans="1:16" x14ac:dyDescent="0.15">
      <c r="A29" s="16" t="s">
        <v>537</v>
      </c>
      <c r="B29" s="8">
        <v>-10</v>
      </c>
      <c r="C29" s="10"/>
      <c r="D29" s="10"/>
      <c r="E29" s="10">
        <v>-10</v>
      </c>
      <c r="F29" s="30"/>
      <c r="G29" s="7">
        <f t="shared" si="0"/>
        <v>-20</v>
      </c>
      <c r="H29" s="36">
        <v>43005</v>
      </c>
      <c r="I29" s="16"/>
      <c r="J29" s="8"/>
      <c r="K29" s="10"/>
      <c r="L29" s="10"/>
      <c r="M29" s="10"/>
      <c r="N29" s="30"/>
      <c r="O29" s="7">
        <f t="shared" si="5"/>
        <v>0</v>
      </c>
      <c r="P29" s="1"/>
    </row>
    <row r="30" spans="1:16" x14ac:dyDescent="0.15">
      <c r="A30" s="16" t="s">
        <v>546</v>
      </c>
      <c r="B30" s="8">
        <v>1</v>
      </c>
      <c r="C30" s="10"/>
      <c r="D30" s="10"/>
      <c r="E30" s="10"/>
      <c r="F30" s="30"/>
      <c r="G30" s="7">
        <f t="shared" si="0"/>
        <v>1</v>
      </c>
      <c r="H30" s="36">
        <v>43010</v>
      </c>
      <c r="I30" s="16"/>
      <c r="J30" s="8"/>
      <c r="K30" s="10"/>
      <c r="L30" s="10"/>
      <c r="M30" s="10"/>
      <c r="N30" s="30"/>
      <c r="O30" s="7">
        <f t="shared" si="5"/>
        <v>0</v>
      </c>
      <c r="P30" s="1"/>
    </row>
    <row r="31" spans="1:16" x14ac:dyDescent="0.15">
      <c r="A31" s="16" t="s">
        <v>22</v>
      </c>
      <c r="B31" s="8"/>
      <c r="C31" s="10"/>
      <c r="D31" s="10"/>
      <c r="E31" s="10"/>
      <c r="F31" s="30">
        <v>10</v>
      </c>
      <c r="G31" s="7">
        <f t="shared" si="0"/>
        <v>10</v>
      </c>
      <c r="H31" s="36">
        <v>43018</v>
      </c>
      <c r="I31" s="14"/>
      <c r="J31" s="8"/>
      <c r="K31" s="10"/>
      <c r="L31" s="10"/>
      <c r="M31" s="10"/>
      <c r="N31" s="30"/>
      <c r="O31" s="7">
        <f t="shared" si="5"/>
        <v>0</v>
      </c>
      <c r="P31" s="1"/>
    </row>
    <row r="32" spans="1:16" x14ac:dyDescent="0.15">
      <c r="A32" s="16" t="s">
        <v>28</v>
      </c>
      <c r="B32" s="8"/>
      <c r="C32" s="10"/>
      <c r="D32" s="10"/>
      <c r="E32" s="10"/>
      <c r="F32" s="30">
        <v>-10</v>
      </c>
      <c r="G32" s="7">
        <f t="shared" si="0"/>
        <v>-10</v>
      </c>
      <c r="H32" s="36">
        <v>43013</v>
      </c>
      <c r="I32" s="16"/>
      <c r="J32" s="8"/>
      <c r="K32" s="10"/>
      <c r="L32" s="10"/>
      <c r="M32" s="10"/>
      <c r="N32" s="30"/>
      <c r="O32" s="7">
        <f t="shared" si="5"/>
        <v>0</v>
      </c>
      <c r="P32" s="1"/>
    </row>
    <row r="33" spans="1:17" x14ac:dyDescent="0.15">
      <c r="A33" s="16" t="s">
        <v>22</v>
      </c>
      <c r="B33" s="8"/>
      <c r="C33" s="10">
        <v>10</v>
      </c>
      <c r="D33" s="10"/>
      <c r="E33" s="10"/>
      <c r="F33" s="30"/>
      <c r="G33" s="7">
        <f t="shared" si="0"/>
        <v>10</v>
      </c>
      <c r="H33" s="36">
        <v>43031</v>
      </c>
      <c r="I33" s="16"/>
      <c r="J33" s="8"/>
      <c r="K33" s="10"/>
      <c r="L33" s="10"/>
      <c r="M33" s="10"/>
      <c r="N33" s="30"/>
      <c r="O33" s="7">
        <f t="shared" si="5"/>
        <v>0</v>
      </c>
      <c r="P33" s="1"/>
    </row>
    <row r="34" spans="1:17" x14ac:dyDescent="0.15">
      <c r="A34" s="16" t="s">
        <v>28</v>
      </c>
      <c r="B34" s="8"/>
      <c r="C34" s="10">
        <v>-10</v>
      </c>
      <c r="D34" s="10"/>
      <c r="E34" s="10"/>
      <c r="F34" s="30"/>
      <c r="G34" s="7">
        <f t="shared" si="0"/>
        <v>-10</v>
      </c>
      <c r="H34" s="36">
        <v>43026</v>
      </c>
      <c r="I34" s="16"/>
      <c r="J34" s="8"/>
      <c r="K34" s="10"/>
      <c r="L34" s="10"/>
      <c r="M34" s="10"/>
      <c r="N34" s="30"/>
      <c r="O34" s="7">
        <f t="shared" si="5"/>
        <v>0</v>
      </c>
      <c r="P34" s="1"/>
    </row>
    <row r="35" spans="1:17" x14ac:dyDescent="0.15">
      <c r="A35" s="16" t="s">
        <v>554</v>
      </c>
      <c r="B35" s="8">
        <v>-1</v>
      </c>
      <c r="C35" s="10"/>
      <c r="D35" s="10">
        <v>-3</v>
      </c>
      <c r="E35" s="10">
        <v>-1</v>
      </c>
      <c r="F35" s="30">
        <v>-4</v>
      </c>
      <c r="G35" s="7">
        <f t="shared" si="0"/>
        <v>-9</v>
      </c>
      <c r="H35" s="36">
        <v>43029</v>
      </c>
      <c r="I35" s="14"/>
      <c r="J35" s="8"/>
      <c r="K35" s="10"/>
      <c r="L35" s="10"/>
      <c r="M35" s="10"/>
      <c r="N35" s="30"/>
      <c r="O35" s="7">
        <f t="shared" si="5"/>
        <v>0</v>
      </c>
      <c r="P35" s="1"/>
      <c r="Q35" s="56"/>
    </row>
    <row r="36" spans="1:17" x14ac:dyDescent="0.15">
      <c r="A36" s="50" t="s">
        <v>558</v>
      </c>
      <c r="B36" s="8">
        <v>-1</v>
      </c>
      <c r="C36" s="10"/>
      <c r="D36" s="10"/>
      <c r="E36" s="10"/>
      <c r="F36" s="59"/>
      <c r="G36" s="7">
        <f t="shared" si="0"/>
        <v>-1</v>
      </c>
      <c r="H36" s="36">
        <v>43038</v>
      </c>
      <c r="I36" s="16"/>
      <c r="J36" s="11"/>
      <c r="K36" s="12"/>
      <c r="L36" s="12"/>
      <c r="M36" s="12"/>
      <c r="N36" s="31"/>
      <c r="O36" s="7">
        <f t="shared" si="5"/>
        <v>0</v>
      </c>
      <c r="P36" s="1"/>
      <c r="Q36" s="56"/>
    </row>
    <row r="37" spans="1:17" x14ac:dyDescent="0.15">
      <c r="A37" s="16" t="s">
        <v>566</v>
      </c>
      <c r="B37" s="37"/>
      <c r="C37" s="35">
        <v>1</v>
      </c>
      <c r="D37" s="35"/>
      <c r="E37" s="35"/>
      <c r="F37" s="28"/>
      <c r="G37" s="7">
        <f t="shared" si="0"/>
        <v>1</v>
      </c>
      <c r="H37" s="36">
        <v>43043</v>
      </c>
      <c r="I37" s="14"/>
      <c r="J37" s="11"/>
      <c r="K37" s="12"/>
      <c r="L37" s="12"/>
      <c r="M37" s="12"/>
      <c r="N37" s="31"/>
      <c r="O37" s="7">
        <f t="shared" si="5"/>
        <v>0</v>
      </c>
      <c r="P37" s="1"/>
      <c r="Q37" s="56"/>
    </row>
    <row r="38" spans="1:17" x14ac:dyDescent="0.15">
      <c r="A38" s="16" t="s">
        <v>25</v>
      </c>
      <c r="B38" s="8">
        <v>1</v>
      </c>
      <c r="C38" s="10"/>
      <c r="D38" s="10">
        <v>1</v>
      </c>
      <c r="E38" s="10">
        <v>1</v>
      </c>
      <c r="F38" s="30"/>
      <c r="G38" s="7">
        <f t="shared" si="0"/>
        <v>3</v>
      </c>
      <c r="H38" s="36">
        <v>43046</v>
      </c>
      <c r="I38" s="14"/>
      <c r="J38" s="8"/>
      <c r="K38" s="10"/>
      <c r="L38" s="10"/>
      <c r="M38" s="10"/>
      <c r="N38" s="30"/>
      <c r="O38" s="7">
        <f t="shared" si="5"/>
        <v>0</v>
      </c>
      <c r="P38" s="36"/>
      <c r="Q38" s="56"/>
    </row>
    <row r="39" spans="1:17" x14ac:dyDescent="0.15">
      <c r="A39" s="16" t="s">
        <v>22</v>
      </c>
      <c r="B39" s="8"/>
      <c r="C39" s="10"/>
      <c r="D39" s="10">
        <v>10</v>
      </c>
      <c r="E39" s="10">
        <v>10</v>
      </c>
      <c r="F39" s="30"/>
      <c r="G39" s="9">
        <f t="shared" si="0"/>
        <v>20</v>
      </c>
      <c r="H39" s="36">
        <v>43052</v>
      </c>
      <c r="I39" s="20"/>
      <c r="J39" s="8"/>
      <c r="K39" s="10"/>
      <c r="L39" s="10"/>
      <c r="M39" s="10"/>
      <c r="N39" s="30"/>
      <c r="O39" s="7">
        <f t="shared" si="5"/>
        <v>0</v>
      </c>
      <c r="P39" s="36"/>
      <c r="Q39" s="56"/>
    </row>
    <row r="40" spans="1:17" ht="14.25" thickBot="1" x14ac:dyDescent="0.2">
      <c r="A40" s="16" t="s">
        <v>28</v>
      </c>
      <c r="B40" s="37">
        <v>-5</v>
      </c>
      <c r="C40" s="35">
        <v>-5</v>
      </c>
      <c r="D40" s="35">
        <v>-5</v>
      </c>
      <c r="E40" s="35">
        <v>-15</v>
      </c>
      <c r="F40" s="28"/>
      <c r="G40" s="7">
        <f t="shared" si="0"/>
        <v>-30</v>
      </c>
      <c r="H40" s="36">
        <v>43047</v>
      </c>
      <c r="I40" s="20"/>
      <c r="J40" s="11"/>
      <c r="K40" s="12"/>
      <c r="L40" s="12"/>
      <c r="M40" s="12"/>
      <c r="N40" s="31"/>
      <c r="O40" s="7">
        <f t="shared" si="5"/>
        <v>0</v>
      </c>
      <c r="P40" s="36"/>
      <c r="Q40" s="56"/>
    </row>
    <row r="41" spans="1:17" ht="14.25" thickBot="1" x14ac:dyDescent="0.2">
      <c r="A41" s="3" t="s">
        <v>11</v>
      </c>
      <c r="B41" s="23">
        <f>SUM(B15:B40)</f>
        <v>4</v>
      </c>
      <c r="C41" s="4">
        <f>SUM(C15:C40)</f>
        <v>15</v>
      </c>
      <c r="D41" s="4">
        <f>SUM(D15:D40)</f>
        <v>26</v>
      </c>
      <c r="E41" s="6">
        <f>SUM(E15:E40)</f>
        <v>13</v>
      </c>
      <c r="F41" s="32">
        <f>SUM(F15:F40)</f>
        <v>32</v>
      </c>
      <c r="G41" s="5">
        <f>SUM(B41:F41)</f>
        <v>90</v>
      </c>
      <c r="H41" s="1"/>
      <c r="I41" s="3" t="s">
        <v>11</v>
      </c>
      <c r="J41" s="23">
        <f>SUM(J15:J40)</f>
        <v>27</v>
      </c>
      <c r="K41" s="4">
        <f>SUM(K15:K40)</f>
        <v>35</v>
      </c>
      <c r="L41" s="4">
        <f>SUM(L15:L40)</f>
        <v>36</v>
      </c>
      <c r="M41" s="6">
        <f>SUM(M15:M40)</f>
        <v>45</v>
      </c>
      <c r="N41" s="32">
        <f>SUM(N15:N40)</f>
        <v>51</v>
      </c>
      <c r="O41" s="5">
        <f>SUM(J41:N41)</f>
        <v>194</v>
      </c>
      <c r="P41" s="1"/>
    </row>
    <row r="42" spans="1:17" ht="14.25" thickBot="1" x14ac:dyDescent="0.2">
      <c r="A42" s="25" t="s">
        <v>12</v>
      </c>
      <c r="B42" s="63">
        <f>B14-B41</f>
        <v>8</v>
      </c>
      <c r="C42" s="26">
        <f t="shared" ref="C42:G42" si="6">C14-C41</f>
        <v>6</v>
      </c>
      <c r="D42" s="71">
        <f t="shared" si="6"/>
        <v>5</v>
      </c>
      <c r="E42" s="26">
        <f t="shared" si="6"/>
        <v>7</v>
      </c>
      <c r="F42" s="70">
        <f t="shared" si="6"/>
        <v>9</v>
      </c>
      <c r="G42" s="27">
        <f t="shared" si="6"/>
        <v>35</v>
      </c>
      <c r="H42" s="1"/>
      <c r="I42" s="25" t="s">
        <v>12</v>
      </c>
      <c r="J42" s="63">
        <f>J14-J41</f>
        <v>91</v>
      </c>
      <c r="K42" s="26">
        <f t="shared" ref="K42:O42" si="7">K14-K41</f>
        <v>86</v>
      </c>
      <c r="L42" s="71">
        <f t="shared" si="7"/>
        <v>83</v>
      </c>
      <c r="M42" s="26">
        <f t="shared" si="7"/>
        <v>75</v>
      </c>
      <c r="N42" s="70">
        <f t="shared" si="7"/>
        <v>68</v>
      </c>
      <c r="O42" s="27">
        <f t="shared" si="7"/>
        <v>403</v>
      </c>
      <c r="P42" s="1"/>
    </row>
    <row r="43" spans="1:17" ht="21" x14ac:dyDescent="0.2">
      <c r="A43" s="86" t="s">
        <v>413</v>
      </c>
      <c r="B43" s="87"/>
      <c r="C43" s="87"/>
      <c r="D43" s="87"/>
      <c r="E43" s="87"/>
      <c r="F43" s="87"/>
      <c r="G43" s="87"/>
      <c r="H43" s="1"/>
      <c r="I43" s="86" t="s">
        <v>413</v>
      </c>
      <c r="J43" s="87"/>
      <c r="K43" s="87"/>
      <c r="L43" s="87"/>
      <c r="M43" s="87"/>
      <c r="N43" s="87"/>
      <c r="O43" s="87"/>
      <c r="P43" s="1"/>
    </row>
    <row r="44" spans="1:17" ht="21.75" thickBot="1" x14ac:dyDescent="0.25">
      <c r="A44" s="86" t="s">
        <v>51</v>
      </c>
      <c r="B44" s="87"/>
      <c r="C44" s="87"/>
      <c r="D44" s="87"/>
      <c r="E44" s="85"/>
      <c r="F44" s="88" t="s">
        <v>53</v>
      </c>
      <c r="G44" s="87"/>
      <c r="H44" s="1"/>
      <c r="I44" s="86" t="s">
        <v>51</v>
      </c>
      <c r="J44" s="87"/>
      <c r="K44" s="87"/>
      <c r="L44" s="87"/>
      <c r="M44" s="89"/>
      <c r="N44" s="88" t="s">
        <v>54</v>
      </c>
      <c r="O44" s="87"/>
      <c r="P44" s="1"/>
    </row>
    <row r="45" spans="1:17" ht="14.25" thickBot="1" x14ac:dyDescent="0.2">
      <c r="A45" s="13" t="s">
        <v>0</v>
      </c>
      <c r="B45" s="228" t="s">
        <v>52</v>
      </c>
      <c r="C45" s="229"/>
      <c r="D45" s="229"/>
      <c r="E45" s="229"/>
      <c r="F45" s="230"/>
      <c r="G45" s="231"/>
      <c r="H45" s="1"/>
      <c r="I45" s="13" t="s">
        <v>0</v>
      </c>
      <c r="J45" s="228" t="s">
        <v>52</v>
      </c>
      <c r="K45" s="229"/>
      <c r="L45" s="229"/>
      <c r="M45" s="229"/>
      <c r="N45" s="230"/>
      <c r="O45" s="231"/>
      <c r="P45" s="1"/>
    </row>
    <row r="46" spans="1:17" ht="14.25" thickBot="1" x14ac:dyDescent="0.2">
      <c r="A46" s="3" t="s">
        <v>1</v>
      </c>
      <c r="B46" s="2" t="s">
        <v>42</v>
      </c>
      <c r="C46" s="21" t="s">
        <v>43</v>
      </c>
      <c r="D46" s="21" t="s">
        <v>44</v>
      </c>
      <c r="E46" s="24" t="s">
        <v>45</v>
      </c>
      <c r="F46" s="33" t="s">
        <v>46</v>
      </c>
      <c r="G46" s="3" t="s">
        <v>2</v>
      </c>
      <c r="H46" s="1"/>
      <c r="I46" s="3" t="s">
        <v>1</v>
      </c>
      <c r="J46" s="41" t="s">
        <v>42</v>
      </c>
      <c r="K46" s="42" t="s">
        <v>43</v>
      </c>
      <c r="L46" s="42" t="s">
        <v>44</v>
      </c>
      <c r="M46" s="43" t="s">
        <v>45</v>
      </c>
      <c r="N46" s="44" t="s">
        <v>46</v>
      </c>
      <c r="O46" s="3" t="s">
        <v>2</v>
      </c>
      <c r="P46" s="1"/>
    </row>
    <row r="47" spans="1:17" x14ac:dyDescent="0.15">
      <c r="A47" s="96" t="s">
        <v>13</v>
      </c>
      <c r="B47" s="95">
        <f>B42</f>
        <v>8</v>
      </c>
      <c r="C47" s="97">
        <f t="shared" ref="C47:F47" si="8">C42</f>
        <v>6</v>
      </c>
      <c r="D47" s="97">
        <f t="shared" si="8"/>
        <v>5</v>
      </c>
      <c r="E47" s="97">
        <f t="shared" si="8"/>
        <v>7</v>
      </c>
      <c r="F47" s="139">
        <f t="shared" si="8"/>
        <v>9</v>
      </c>
      <c r="G47" s="52">
        <f t="shared" ref="G47:G55" si="9">SUM(B47:F47)</f>
        <v>35</v>
      </c>
      <c r="H47" s="36"/>
      <c r="I47" s="96" t="s">
        <v>13</v>
      </c>
      <c r="J47" s="95">
        <f>J42</f>
        <v>91</v>
      </c>
      <c r="K47" s="97">
        <f t="shared" ref="K47:N47" si="10">K42</f>
        <v>86</v>
      </c>
      <c r="L47" s="97">
        <f t="shared" si="10"/>
        <v>83</v>
      </c>
      <c r="M47" s="97">
        <f t="shared" si="10"/>
        <v>75</v>
      </c>
      <c r="N47" s="139">
        <f t="shared" si="10"/>
        <v>68</v>
      </c>
      <c r="O47" s="52">
        <f t="shared" ref="O47" si="11">SUM(J47:N47)</f>
        <v>403</v>
      </c>
      <c r="P47" s="36"/>
    </row>
    <row r="48" spans="1:17" x14ac:dyDescent="0.15">
      <c r="A48" s="15" t="s">
        <v>3</v>
      </c>
      <c r="B48" s="8">
        <v>5</v>
      </c>
      <c r="C48" s="10">
        <v>5</v>
      </c>
      <c r="D48" s="10">
        <v>10</v>
      </c>
      <c r="E48" s="10">
        <v>10</v>
      </c>
      <c r="F48" s="104">
        <v>5</v>
      </c>
      <c r="G48" s="9">
        <f t="shared" si="9"/>
        <v>35</v>
      </c>
      <c r="H48" s="36">
        <v>43052</v>
      </c>
      <c r="I48" s="15" t="s">
        <v>3</v>
      </c>
      <c r="J48" s="37"/>
      <c r="K48" s="135"/>
      <c r="L48" s="135"/>
      <c r="M48" s="135"/>
      <c r="N48" s="136"/>
      <c r="O48" s="7">
        <f t="shared" ref="O48:O55" si="12">SUM(J48:N48)</f>
        <v>0</v>
      </c>
      <c r="P48" s="36"/>
    </row>
    <row r="49" spans="1:16" x14ac:dyDescent="0.15">
      <c r="A49" s="15" t="s">
        <v>4</v>
      </c>
      <c r="B49" s="8"/>
      <c r="C49" s="10"/>
      <c r="D49" s="10"/>
      <c r="E49" s="10"/>
      <c r="F49" s="104">
        <v>5</v>
      </c>
      <c r="G49" s="9">
        <f t="shared" si="9"/>
        <v>5</v>
      </c>
      <c r="H49" s="36">
        <v>43068</v>
      </c>
      <c r="I49" s="15" t="s">
        <v>4</v>
      </c>
      <c r="J49" s="8"/>
      <c r="K49" s="45"/>
      <c r="L49" s="45"/>
      <c r="M49" s="45"/>
      <c r="N49" s="46"/>
      <c r="O49" s="9">
        <f t="shared" si="12"/>
        <v>0</v>
      </c>
      <c r="P49" s="36"/>
    </row>
    <row r="50" spans="1:16" x14ac:dyDescent="0.15">
      <c r="A50" s="15" t="s">
        <v>5</v>
      </c>
      <c r="B50" s="8"/>
      <c r="C50" s="10">
        <v>15</v>
      </c>
      <c r="D50" s="10"/>
      <c r="E50" s="10"/>
      <c r="F50" s="104"/>
      <c r="G50" s="9">
        <f t="shared" si="9"/>
        <v>15</v>
      </c>
      <c r="H50" s="36">
        <v>43069</v>
      </c>
      <c r="I50" s="15" t="s">
        <v>5</v>
      </c>
      <c r="J50" s="8"/>
      <c r="K50" s="45"/>
      <c r="L50" s="45"/>
      <c r="M50" s="45"/>
      <c r="N50" s="46"/>
      <c r="O50" s="9">
        <f t="shared" si="12"/>
        <v>0</v>
      </c>
      <c r="P50" s="1"/>
    </row>
    <row r="51" spans="1:16" x14ac:dyDescent="0.15">
      <c r="A51" s="15" t="s">
        <v>17</v>
      </c>
      <c r="B51" s="11"/>
      <c r="C51" s="12">
        <v>1</v>
      </c>
      <c r="D51" s="12">
        <v>1</v>
      </c>
      <c r="E51" s="12"/>
      <c r="F51" s="108"/>
      <c r="G51" s="9">
        <f t="shared" si="9"/>
        <v>2</v>
      </c>
      <c r="H51" s="36">
        <v>43067</v>
      </c>
      <c r="I51" s="15" t="s">
        <v>6</v>
      </c>
      <c r="J51" s="8"/>
      <c r="K51" s="45"/>
      <c r="L51" s="45"/>
      <c r="M51" s="45"/>
      <c r="N51" s="46"/>
      <c r="O51" s="9">
        <f t="shared" si="12"/>
        <v>0</v>
      </c>
      <c r="P51" s="1"/>
    </row>
    <row r="52" spans="1:16" x14ac:dyDescent="0.15">
      <c r="A52" s="15" t="s">
        <v>19</v>
      </c>
      <c r="B52" s="8"/>
      <c r="C52" s="10"/>
      <c r="D52" s="10">
        <v>1</v>
      </c>
      <c r="E52" s="10">
        <v>3</v>
      </c>
      <c r="F52" s="30">
        <v>3</v>
      </c>
      <c r="G52" s="7">
        <f t="shared" si="9"/>
        <v>7</v>
      </c>
      <c r="H52" s="36">
        <v>43070</v>
      </c>
      <c r="I52" s="15" t="s">
        <v>84</v>
      </c>
      <c r="J52" s="8"/>
      <c r="K52" s="45"/>
      <c r="L52" s="45"/>
      <c r="M52" s="45"/>
      <c r="N52" s="46"/>
      <c r="O52" s="7">
        <f t="shared" si="12"/>
        <v>0</v>
      </c>
      <c r="P52" s="1"/>
    </row>
    <row r="53" spans="1:16" x14ac:dyDescent="0.15">
      <c r="A53" s="16" t="s">
        <v>89</v>
      </c>
      <c r="B53" s="8"/>
      <c r="C53" s="10"/>
      <c r="D53" s="10"/>
      <c r="E53" s="10"/>
      <c r="F53" s="30">
        <v>5</v>
      </c>
      <c r="G53" s="7">
        <f t="shared" si="9"/>
        <v>5</v>
      </c>
      <c r="H53" s="36">
        <v>43075</v>
      </c>
      <c r="I53" s="15" t="s">
        <v>85</v>
      </c>
      <c r="J53" s="8"/>
      <c r="K53" s="45"/>
      <c r="L53" s="45"/>
      <c r="M53" s="45"/>
      <c r="N53" s="46"/>
      <c r="O53" s="7">
        <f t="shared" si="12"/>
        <v>0</v>
      </c>
      <c r="P53" s="1"/>
    </row>
    <row r="54" spans="1:16" x14ac:dyDescent="0.15">
      <c r="A54" s="15" t="s">
        <v>17</v>
      </c>
      <c r="B54" s="8"/>
      <c r="C54" s="45"/>
      <c r="D54" s="45"/>
      <c r="E54" s="45">
        <v>1</v>
      </c>
      <c r="F54" s="46">
        <v>1</v>
      </c>
      <c r="G54" s="102">
        <f t="shared" si="9"/>
        <v>2</v>
      </c>
      <c r="H54" s="36">
        <v>43075</v>
      </c>
      <c r="I54" s="15" t="s">
        <v>86</v>
      </c>
      <c r="J54" s="8"/>
      <c r="K54" s="45"/>
      <c r="L54" s="45"/>
      <c r="M54" s="45"/>
      <c r="N54" s="46"/>
      <c r="O54" s="102">
        <f t="shared" si="12"/>
        <v>0</v>
      </c>
      <c r="P54" s="1"/>
    </row>
    <row r="55" spans="1:16" ht="14.25" thickBot="1" x14ac:dyDescent="0.2">
      <c r="A55" s="15" t="s">
        <v>87</v>
      </c>
      <c r="B55" s="11">
        <v>10</v>
      </c>
      <c r="C55" s="100"/>
      <c r="D55" s="100"/>
      <c r="E55" s="100"/>
      <c r="F55" s="109">
        <v>15</v>
      </c>
      <c r="G55" s="40">
        <f t="shared" si="9"/>
        <v>25</v>
      </c>
      <c r="H55" s="36">
        <v>43083</v>
      </c>
      <c r="I55" s="15" t="s">
        <v>87</v>
      </c>
      <c r="J55" s="47"/>
      <c r="K55" s="48"/>
      <c r="L55" s="48"/>
      <c r="M55" s="48"/>
      <c r="N55" s="49"/>
      <c r="O55" s="40">
        <f t="shared" si="12"/>
        <v>0</v>
      </c>
      <c r="P55" s="1"/>
    </row>
    <row r="56" spans="1:16" ht="14.25" thickBot="1" x14ac:dyDescent="0.2">
      <c r="A56" s="72" t="s">
        <v>7</v>
      </c>
      <c r="B56" s="73">
        <f>SUM(B47:B55)</f>
        <v>23</v>
      </c>
      <c r="C56" s="74">
        <f t="shared" ref="C56:G56" si="13">SUM(C47:C55)</f>
        <v>27</v>
      </c>
      <c r="D56" s="74">
        <f t="shared" si="13"/>
        <v>17</v>
      </c>
      <c r="E56" s="74">
        <f t="shared" si="13"/>
        <v>21</v>
      </c>
      <c r="F56" s="105">
        <f t="shared" si="13"/>
        <v>43</v>
      </c>
      <c r="G56" s="76">
        <f t="shared" si="13"/>
        <v>131</v>
      </c>
      <c r="H56" s="1"/>
      <c r="I56" s="72" t="s">
        <v>7</v>
      </c>
      <c r="J56" s="73">
        <f>SUM(J47:J55)</f>
        <v>91</v>
      </c>
      <c r="K56" s="74">
        <f t="shared" ref="K56:O56" si="14">SUM(K47:K55)</f>
        <v>86</v>
      </c>
      <c r="L56" s="74">
        <f t="shared" si="14"/>
        <v>83</v>
      </c>
      <c r="M56" s="74">
        <f t="shared" si="14"/>
        <v>75</v>
      </c>
      <c r="N56" s="105">
        <f t="shared" si="14"/>
        <v>68</v>
      </c>
      <c r="O56" s="76">
        <f t="shared" si="14"/>
        <v>403</v>
      </c>
      <c r="P56" s="69"/>
    </row>
    <row r="57" spans="1:16" x14ac:dyDescent="0.15">
      <c r="A57" s="16" t="s">
        <v>25</v>
      </c>
      <c r="B57" s="37"/>
      <c r="C57" s="35"/>
      <c r="D57" s="35">
        <v>1</v>
      </c>
      <c r="E57" s="35">
        <v>1</v>
      </c>
      <c r="F57" s="28"/>
      <c r="G57" s="18">
        <f t="shared" ref="G57:G82" si="15">SUM(B57:F57)</f>
        <v>2</v>
      </c>
      <c r="H57" s="36">
        <v>43048</v>
      </c>
      <c r="I57" s="16" t="s">
        <v>571</v>
      </c>
      <c r="J57" s="17">
        <v>5</v>
      </c>
      <c r="K57" s="22">
        <v>5</v>
      </c>
      <c r="L57" s="22">
        <v>10</v>
      </c>
      <c r="M57" s="22">
        <v>10</v>
      </c>
      <c r="N57" s="29">
        <v>5</v>
      </c>
      <c r="O57" s="18">
        <f t="shared" ref="O57:O82" si="16">SUM(J57:N57)</f>
        <v>35</v>
      </c>
      <c r="P57" s="36">
        <v>43052</v>
      </c>
    </row>
    <row r="58" spans="1:16" x14ac:dyDescent="0.15">
      <c r="A58" s="16" t="s">
        <v>25</v>
      </c>
      <c r="B58" s="8"/>
      <c r="C58" s="10"/>
      <c r="D58" s="10"/>
      <c r="E58" s="10">
        <v>2</v>
      </c>
      <c r="F58" s="30">
        <v>1</v>
      </c>
      <c r="G58" s="7">
        <f t="shared" si="15"/>
        <v>3</v>
      </c>
      <c r="H58" s="36">
        <v>43050</v>
      </c>
      <c r="I58" s="16" t="s">
        <v>24</v>
      </c>
      <c r="J58" s="8"/>
      <c r="K58" s="10"/>
      <c r="L58" s="10"/>
      <c r="M58" s="10"/>
      <c r="N58" s="30">
        <v>5</v>
      </c>
      <c r="O58" s="7">
        <f t="shared" si="16"/>
        <v>5</v>
      </c>
      <c r="P58" s="36">
        <v>43068</v>
      </c>
    </row>
    <row r="59" spans="1:16" x14ac:dyDescent="0.15">
      <c r="A59" s="16" t="s">
        <v>25</v>
      </c>
      <c r="B59" s="8"/>
      <c r="C59" s="10">
        <v>1</v>
      </c>
      <c r="D59" s="10">
        <v>2</v>
      </c>
      <c r="E59" s="10"/>
      <c r="F59" s="30"/>
      <c r="G59" s="7">
        <f t="shared" si="15"/>
        <v>3</v>
      </c>
      <c r="H59" s="36">
        <v>43054</v>
      </c>
      <c r="I59" s="16" t="s">
        <v>24</v>
      </c>
      <c r="J59" s="8"/>
      <c r="K59" s="10">
        <v>15</v>
      </c>
      <c r="L59" s="10"/>
      <c r="M59" s="10"/>
      <c r="N59" s="30"/>
      <c r="O59" s="7">
        <f t="shared" si="16"/>
        <v>15</v>
      </c>
      <c r="P59" s="36">
        <v>43069</v>
      </c>
    </row>
    <row r="60" spans="1:16" x14ac:dyDescent="0.15">
      <c r="A60" s="16" t="s">
        <v>25</v>
      </c>
      <c r="B60" s="8"/>
      <c r="C60" s="10"/>
      <c r="D60" s="10"/>
      <c r="E60" s="10"/>
      <c r="F60" s="30">
        <v>1</v>
      </c>
      <c r="G60" s="7">
        <f t="shared" si="15"/>
        <v>1</v>
      </c>
      <c r="H60" s="36">
        <v>43055</v>
      </c>
      <c r="I60" s="16" t="s">
        <v>24</v>
      </c>
      <c r="J60" s="8"/>
      <c r="K60" s="10"/>
      <c r="L60" s="10"/>
      <c r="M60" s="10"/>
      <c r="N60" s="30">
        <v>5</v>
      </c>
      <c r="O60" s="7">
        <f t="shared" si="16"/>
        <v>5</v>
      </c>
      <c r="P60" s="36">
        <v>43075</v>
      </c>
    </row>
    <row r="61" spans="1:16" x14ac:dyDescent="0.15">
      <c r="A61" s="16" t="s">
        <v>25</v>
      </c>
      <c r="B61" s="8"/>
      <c r="C61" s="10"/>
      <c r="D61" s="10">
        <v>1</v>
      </c>
      <c r="E61" s="10"/>
      <c r="F61" s="30"/>
      <c r="G61" s="7">
        <f t="shared" si="15"/>
        <v>1</v>
      </c>
      <c r="H61" s="36">
        <v>43057</v>
      </c>
      <c r="I61" s="16" t="s">
        <v>24</v>
      </c>
      <c r="J61" s="8">
        <v>10</v>
      </c>
      <c r="K61" s="10"/>
      <c r="L61" s="10"/>
      <c r="M61" s="10"/>
      <c r="N61" s="30">
        <v>15</v>
      </c>
      <c r="O61" s="7">
        <f t="shared" si="16"/>
        <v>25</v>
      </c>
      <c r="P61" s="36">
        <v>43083</v>
      </c>
    </row>
    <row r="62" spans="1:16" x14ac:dyDescent="0.15">
      <c r="A62" s="16" t="s">
        <v>25</v>
      </c>
      <c r="B62" s="8"/>
      <c r="C62" s="10"/>
      <c r="D62" s="10"/>
      <c r="E62" s="10">
        <v>1</v>
      </c>
      <c r="F62" s="30">
        <v>1</v>
      </c>
      <c r="G62" s="7">
        <f t="shared" si="15"/>
        <v>2</v>
      </c>
      <c r="H62" s="36">
        <v>43060</v>
      </c>
      <c r="I62" s="16" t="s">
        <v>24</v>
      </c>
      <c r="J62" s="8"/>
      <c r="K62" s="10">
        <v>5</v>
      </c>
      <c r="L62" s="10">
        <v>5</v>
      </c>
      <c r="M62" s="10"/>
      <c r="N62" s="30">
        <v>5</v>
      </c>
      <c r="O62" s="7">
        <f t="shared" si="16"/>
        <v>15</v>
      </c>
      <c r="P62" s="36">
        <v>43095</v>
      </c>
    </row>
    <row r="63" spans="1:16" x14ac:dyDescent="0.15">
      <c r="A63" s="16" t="s">
        <v>25</v>
      </c>
      <c r="B63" s="8"/>
      <c r="C63" s="10"/>
      <c r="D63" s="10"/>
      <c r="E63" s="10">
        <v>1</v>
      </c>
      <c r="F63" s="30"/>
      <c r="G63" s="7">
        <f t="shared" si="15"/>
        <v>1</v>
      </c>
      <c r="H63" s="36">
        <v>43064</v>
      </c>
      <c r="I63" s="16"/>
      <c r="J63" s="8"/>
      <c r="K63" s="10"/>
      <c r="L63" s="10"/>
      <c r="M63" s="10"/>
      <c r="N63" s="30"/>
      <c r="O63" s="7">
        <f t="shared" si="16"/>
        <v>0</v>
      </c>
      <c r="P63" s="36"/>
    </row>
    <row r="64" spans="1:16" x14ac:dyDescent="0.15">
      <c r="A64" s="16" t="s">
        <v>576</v>
      </c>
      <c r="B64" s="8"/>
      <c r="C64" s="10"/>
      <c r="D64" s="10"/>
      <c r="E64" s="10"/>
      <c r="F64" s="30">
        <v>10</v>
      </c>
      <c r="G64" s="7">
        <f t="shared" si="15"/>
        <v>10</v>
      </c>
      <c r="H64" s="36">
        <v>43070</v>
      </c>
      <c r="I64" s="16"/>
      <c r="J64" s="8"/>
      <c r="K64" s="10"/>
      <c r="L64" s="10"/>
      <c r="M64" s="10"/>
      <c r="N64" s="30"/>
      <c r="O64" s="7">
        <f t="shared" si="16"/>
        <v>0</v>
      </c>
      <c r="P64" s="36"/>
    </row>
    <row r="65" spans="1:20" x14ac:dyDescent="0.15">
      <c r="A65" s="16" t="s">
        <v>25</v>
      </c>
      <c r="B65" s="8"/>
      <c r="C65" s="10">
        <v>2</v>
      </c>
      <c r="D65" s="10">
        <v>1</v>
      </c>
      <c r="E65" s="10">
        <v>4</v>
      </c>
      <c r="F65" s="30"/>
      <c r="G65" s="7">
        <f t="shared" si="15"/>
        <v>7</v>
      </c>
      <c r="H65" s="36">
        <v>43067</v>
      </c>
      <c r="I65" s="16"/>
      <c r="J65" s="11"/>
      <c r="K65" s="100"/>
      <c r="L65" s="100"/>
      <c r="M65" s="100"/>
      <c r="N65" s="109"/>
      <c r="O65" s="9">
        <f t="shared" si="16"/>
        <v>0</v>
      </c>
      <c r="P65" s="36"/>
    </row>
    <row r="66" spans="1:20" x14ac:dyDescent="0.15">
      <c r="A66" s="16" t="s">
        <v>25</v>
      </c>
      <c r="B66" s="8"/>
      <c r="C66" s="10">
        <v>5</v>
      </c>
      <c r="D66" s="10">
        <v>1</v>
      </c>
      <c r="E66" s="10"/>
      <c r="F66" s="30"/>
      <c r="G66" s="7">
        <f t="shared" si="15"/>
        <v>6</v>
      </c>
      <c r="H66" s="36">
        <v>43068</v>
      </c>
      <c r="I66" s="16"/>
      <c r="J66" s="11"/>
      <c r="K66" s="12"/>
      <c r="L66" s="12"/>
      <c r="M66" s="12"/>
      <c r="N66" s="31"/>
      <c r="O66" s="7">
        <f t="shared" si="16"/>
        <v>0</v>
      </c>
      <c r="P66" s="36"/>
    </row>
    <row r="67" spans="1:20" x14ac:dyDescent="0.15">
      <c r="A67" s="16" t="s">
        <v>581</v>
      </c>
      <c r="B67" s="11"/>
      <c r="C67" s="12">
        <v>10</v>
      </c>
      <c r="D67" s="12"/>
      <c r="E67" s="12"/>
      <c r="F67" s="31"/>
      <c r="G67" s="7">
        <f t="shared" si="15"/>
        <v>10</v>
      </c>
      <c r="H67" s="36">
        <v>43073</v>
      </c>
      <c r="I67" s="16"/>
      <c r="J67" s="8"/>
      <c r="K67" s="10"/>
      <c r="L67" s="10"/>
      <c r="M67" s="10"/>
      <c r="N67" s="30"/>
      <c r="O67" s="7">
        <f t="shared" si="16"/>
        <v>0</v>
      </c>
      <c r="P67" s="36"/>
    </row>
    <row r="68" spans="1:20" x14ac:dyDescent="0.15">
      <c r="A68" s="16" t="s">
        <v>25</v>
      </c>
      <c r="B68" s="8"/>
      <c r="C68" s="10"/>
      <c r="D68" s="10"/>
      <c r="E68" s="10">
        <v>1</v>
      </c>
      <c r="F68" s="30"/>
      <c r="G68" s="7">
        <f t="shared" si="15"/>
        <v>1</v>
      </c>
      <c r="H68" s="36">
        <v>43069</v>
      </c>
      <c r="I68" s="16"/>
      <c r="J68" s="8"/>
      <c r="K68" s="10"/>
      <c r="L68" s="10"/>
      <c r="M68" s="10"/>
      <c r="N68" s="30"/>
      <c r="O68" s="7">
        <f t="shared" si="16"/>
        <v>0</v>
      </c>
      <c r="P68" s="36"/>
    </row>
    <row r="69" spans="1:20" x14ac:dyDescent="0.15">
      <c r="A69" s="16" t="s">
        <v>25</v>
      </c>
      <c r="B69" s="8"/>
      <c r="C69" s="10"/>
      <c r="D69" s="10">
        <v>3</v>
      </c>
      <c r="E69" s="10"/>
      <c r="F69" s="30">
        <v>4</v>
      </c>
      <c r="G69" s="7">
        <f t="shared" si="15"/>
        <v>7</v>
      </c>
      <c r="H69" s="36">
        <v>43073</v>
      </c>
      <c r="I69" s="16"/>
      <c r="J69" s="8"/>
      <c r="K69" s="10"/>
      <c r="L69" s="10"/>
      <c r="M69" s="10"/>
      <c r="N69" s="30"/>
      <c r="O69" s="7">
        <f t="shared" si="16"/>
        <v>0</v>
      </c>
      <c r="P69" s="36"/>
      <c r="Q69" s="56"/>
      <c r="R69" s="56"/>
      <c r="S69" s="56"/>
      <c r="T69" s="56"/>
    </row>
    <row r="70" spans="1:20" x14ac:dyDescent="0.15">
      <c r="A70" s="16" t="s">
        <v>25</v>
      </c>
      <c r="B70" s="8"/>
      <c r="C70" s="10"/>
      <c r="D70" s="10"/>
      <c r="E70" s="10"/>
      <c r="F70" s="30">
        <v>1</v>
      </c>
      <c r="G70" s="7">
        <f t="shared" si="15"/>
        <v>1</v>
      </c>
      <c r="H70" s="36">
        <v>43075</v>
      </c>
      <c r="I70" s="16"/>
      <c r="J70" s="8"/>
      <c r="K70" s="10"/>
      <c r="L70" s="10"/>
      <c r="M70" s="10"/>
      <c r="N70" s="30"/>
      <c r="O70" s="7">
        <f t="shared" si="16"/>
        <v>0</v>
      </c>
      <c r="P70" s="1"/>
    </row>
    <row r="71" spans="1:20" x14ac:dyDescent="0.15">
      <c r="A71" s="16" t="s">
        <v>25</v>
      </c>
      <c r="B71" s="8">
        <v>1</v>
      </c>
      <c r="C71" s="10"/>
      <c r="D71" s="10"/>
      <c r="E71" s="10">
        <v>1</v>
      </c>
      <c r="F71" s="30">
        <v>2</v>
      </c>
      <c r="G71" s="7">
        <f t="shared" si="15"/>
        <v>4</v>
      </c>
      <c r="H71" s="36">
        <v>43077</v>
      </c>
      <c r="I71" s="16"/>
      <c r="J71" s="8"/>
      <c r="K71" s="10"/>
      <c r="L71" s="10"/>
      <c r="M71" s="10"/>
      <c r="N71" s="30"/>
      <c r="O71" s="7">
        <f t="shared" si="16"/>
        <v>0</v>
      </c>
      <c r="P71" s="1"/>
    </row>
    <row r="72" spans="1:20" x14ac:dyDescent="0.15">
      <c r="A72" s="16" t="s">
        <v>25</v>
      </c>
      <c r="B72" s="8"/>
      <c r="C72" s="10"/>
      <c r="D72" s="10"/>
      <c r="E72" s="10"/>
      <c r="F72" s="30">
        <v>2</v>
      </c>
      <c r="G72" s="7">
        <f t="shared" si="15"/>
        <v>2</v>
      </c>
      <c r="H72" s="36">
        <v>43081</v>
      </c>
      <c r="I72" s="16"/>
      <c r="J72" s="8"/>
      <c r="K72" s="10"/>
      <c r="L72" s="10"/>
      <c r="M72" s="10"/>
      <c r="N72" s="30"/>
      <c r="O72" s="7">
        <f t="shared" si="16"/>
        <v>0</v>
      </c>
      <c r="P72" s="1"/>
    </row>
    <row r="73" spans="1:20" x14ac:dyDescent="0.15">
      <c r="A73" s="16" t="s">
        <v>22</v>
      </c>
      <c r="B73" s="8">
        <v>10</v>
      </c>
      <c r="C73" s="10"/>
      <c r="D73" s="10"/>
      <c r="E73" s="10"/>
      <c r="F73" s="30">
        <v>10</v>
      </c>
      <c r="G73" s="7">
        <f t="shared" si="15"/>
        <v>20</v>
      </c>
      <c r="H73" s="36">
        <v>43087</v>
      </c>
      <c r="I73" s="14"/>
      <c r="J73" s="8"/>
      <c r="K73" s="10"/>
      <c r="L73" s="10"/>
      <c r="M73" s="10"/>
      <c r="N73" s="30"/>
      <c r="O73" s="7">
        <f t="shared" si="16"/>
        <v>0</v>
      </c>
      <c r="P73" s="1"/>
    </row>
    <row r="74" spans="1:20" x14ac:dyDescent="0.15">
      <c r="A74" s="16" t="s">
        <v>17</v>
      </c>
      <c r="B74" s="8"/>
      <c r="C74" s="10">
        <v>-1</v>
      </c>
      <c r="D74" s="10">
        <v>-1</v>
      </c>
      <c r="E74" s="10">
        <v>-2</v>
      </c>
      <c r="F74" s="30"/>
      <c r="G74" s="7">
        <f t="shared" si="15"/>
        <v>-4</v>
      </c>
      <c r="H74" s="36">
        <v>43083</v>
      </c>
      <c r="I74" s="16"/>
      <c r="J74" s="8"/>
      <c r="K74" s="10"/>
      <c r="L74" s="10"/>
      <c r="M74" s="10"/>
      <c r="N74" s="30"/>
      <c r="O74" s="7">
        <f t="shared" si="16"/>
        <v>0</v>
      </c>
      <c r="P74" s="1"/>
    </row>
    <row r="75" spans="1:20" x14ac:dyDescent="0.15">
      <c r="A75" s="16" t="s">
        <v>25</v>
      </c>
      <c r="B75" s="8"/>
      <c r="C75" s="10"/>
      <c r="D75" s="10"/>
      <c r="E75" s="10">
        <v>1</v>
      </c>
      <c r="F75" s="30"/>
      <c r="G75" s="7">
        <f t="shared" si="15"/>
        <v>1</v>
      </c>
      <c r="H75" s="36">
        <v>43088</v>
      </c>
      <c r="I75" s="16"/>
      <c r="J75" s="8"/>
      <c r="K75" s="10"/>
      <c r="L75" s="10"/>
      <c r="M75" s="10"/>
      <c r="N75" s="30"/>
      <c r="O75" s="7">
        <f t="shared" si="16"/>
        <v>0</v>
      </c>
      <c r="P75" s="1"/>
    </row>
    <row r="76" spans="1:20" x14ac:dyDescent="0.15">
      <c r="A76" s="16" t="s">
        <v>25</v>
      </c>
      <c r="B76" s="8"/>
      <c r="C76" s="10"/>
      <c r="D76" s="10"/>
      <c r="E76" s="10"/>
      <c r="F76" s="30">
        <v>2</v>
      </c>
      <c r="G76" s="7">
        <f t="shared" si="15"/>
        <v>2</v>
      </c>
      <c r="H76" s="36">
        <v>43089</v>
      </c>
      <c r="I76" s="16"/>
      <c r="J76" s="8"/>
      <c r="K76" s="10"/>
      <c r="L76" s="10"/>
      <c r="M76" s="10"/>
      <c r="N76" s="30"/>
      <c r="O76" s="7">
        <f t="shared" si="16"/>
        <v>0</v>
      </c>
      <c r="P76" s="1"/>
    </row>
    <row r="77" spans="1:20" x14ac:dyDescent="0.15">
      <c r="A77" s="16" t="s">
        <v>25</v>
      </c>
      <c r="B77" s="8"/>
      <c r="C77" s="10">
        <v>3</v>
      </c>
      <c r="D77" s="10">
        <v>2</v>
      </c>
      <c r="E77" s="10"/>
      <c r="F77" s="30"/>
      <c r="G77" s="7">
        <f t="shared" si="15"/>
        <v>5</v>
      </c>
      <c r="H77" s="36">
        <v>43091</v>
      </c>
      <c r="I77" s="14"/>
      <c r="J77" s="8"/>
      <c r="K77" s="10"/>
      <c r="L77" s="10"/>
      <c r="M77" s="10"/>
      <c r="N77" s="30"/>
      <c r="O77" s="7">
        <f t="shared" si="16"/>
        <v>0</v>
      </c>
      <c r="P77" s="1"/>
    </row>
    <row r="78" spans="1:20" x14ac:dyDescent="0.15">
      <c r="A78" s="50" t="s">
        <v>596</v>
      </c>
      <c r="B78" s="8"/>
      <c r="C78" s="10">
        <v>-5</v>
      </c>
      <c r="D78" s="10">
        <v>-5</v>
      </c>
      <c r="E78" s="10"/>
      <c r="F78" s="59">
        <v>-5</v>
      </c>
      <c r="G78" s="7">
        <f t="shared" si="15"/>
        <v>-15</v>
      </c>
      <c r="H78" s="36">
        <v>43095</v>
      </c>
      <c r="I78" s="16"/>
      <c r="J78" s="11"/>
      <c r="K78" s="12"/>
      <c r="L78" s="12"/>
      <c r="M78" s="12"/>
      <c r="N78" s="31"/>
      <c r="O78" s="7">
        <f t="shared" si="16"/>
        <v>0</v>
      </c>
      <c r="P78" s="36"/>
    </row>
    <row r="79" spans="1:20" x14ac:dyDescent="0.15">
      <c r="A79" s="16" t="s">
        <v>25</v>
      </c>
      <c r="B79" s="37">
        <v>2</v>
      </c>
      <c r="C79" s="35"/>
      <c r="D79" s="35">
        <v>5</v>
      </c>
      <c r="E79" s="35"/>
      <c r="F79" s="28">
        <v>1</v>
      </c>
      <c r="G79" s="7">
        <f t="shared" si="15"/>
        <v>8</v>
      </c>
      <c r="H79" s="36">
        <v>43095</v>
      </c>
      <c r="I79" s="16"/>
      <c r="J79" s="11"/>
      <c r="K79" s="12"/>
      <c r="L79" s="12"/>
      <c r="M79" s="12"/>
      <c r="N79" s="31"/>
      <c r="O79" s="7">
        <f t="shared" si="16"/>
        <v>0</v>
      </c>
      <c r="P79" s="36"/>
    </row>
    <row r="80" spans="1:20" x14ac:dyDescent="0.15">
      <c r="A80" s="16"/>
      <c r="B80" s="8"/>
      <c r="C80" s="10"/>
      <c r="D80" s="10"/>
      <c r="E80" s="10"/>
      <c r="F80" s="30"/>
      <c r="G80" s="7">
        <f t="shared" si="15"/>
        <v>0</v>
      </c>
      <c r="H80" s="36"/>
      <c r="I80" s="14"/>
      <c r="J80" s="8"/>
      <c r="K80" s="10"/>
      <c r="L80" s="10"/>
      <c r="M80" s="10"/>
      <c r="N80" s="30"/>
      <c r="O80" s="7">
        <f t="shared" si="16"/>
        <v>0</v>
      </c>
      <c r="P80" s="36"/>
    </row>
    <row r="81" spans="1:16" x14ac:dyDescent="0.15">
      <c r="A81" s="16"/>
      <c r="B81" s="8"/>
      <c r="C81" s="10"/>
      <c r="D81" s="10"/>
      <c r="E81" s="10"/>
      <c r="F81" s="30"/>
      <c r="G81" s="9">
        <f t="shared" si="15"/>
        <v>0</v>
      </c>
      <c r="H81" s="36"/>
      <c r="I81" s="20"/>
      <c r="J81" s="8"/>
      <c r="K81" s="10"/>
      <c r="L81" s="10"/>
      <c r="M81" s="10"/>
      <c r="N81" s="30"/>
      <c r="O81" s="7">
        <f t="shared" si="16"/>
        <v>0</v>
      </c>
      <c r="P81" s="36"/>
    </row>
    <row r="82" spans="1:16" ht="14.25" thickBot="1" x14ac:dyDescent="0.2">
      <c r="A82" s="16"/>
      <c r="B82" s="37"/>
      <c r="C82" s="35"/>
      <c r="D82" s="35"/>
      <c r="E82" s="35"/>
      <c r="F82" s="28"/>
      <c r="G82" s="7">
        <f t="shared" si="15"/>
        <v>0</v>
      </c>
      <c r="H82" s="36"/>
      <c r="I82" s="20"/>
      <c r="J82" s="11"/>
      <c r="K82" s="12"/>
      <c r="L82" s="12"/>
      <c r="M82" s="12"/>
      <c r="N82" s="31"/>
      <c r="O82" s="7">
        <f t="shared" si="16"/>
        <v>0</v>
      </c>
      <c r="P82" s="36"/>
    </row>
    <row r="83" spans="1:16" ht="14.25" thickBot="1" x14ac:dyDescent="0.2">
      <c r="A83" s="3" t="s">
        <v>11</v>
      </c>
      <c r="B83" s="23">
        <f>SUM(B57:B82)</f>
        <v>13</v>
      </c>
      <c r="C83" s="4">
        <f>SUM(C57:C82)</f>
        <v>15</v>
      </c>
      <c r="D83" s="4">
        <f>SUM(D57:D82)</f>
        <v>10</v>
      </c>
      <c r="E83" s="6">
        <f>SUM(E57:E82)</f>
        <v>10</v>
      </c>
      <c r="F83" s="32">
        <f>SUM(F57:F82)</f>
        <v>30</v>
      </c>
      <c r="G83" s="5">
        <f>SUM(B83:F83)</f>
        <v>78</v>
      </c>
      <c r="H83" s="1"/>
      <c r="I83" s="3" t="s">
        <v>11</v>
      </c>
      <c r="J83" s="23">
        <f>SUM(J57:J82)</f>
        <v>15</v>
      </c>
      <c r="K83" s="4">
        <f>SUM(K57:K82)</f>
        <v>25</v>
      </c>
      <c r="L83" s="4">
        <f>SUM(L57:L82)</f>
        <v>15</v>
      </c>
      <c r="M83" s="6">
        <f>SUM(M57:M82)</f>
        <v>10</v>
      </c>
      <c r="N83" s="32">
        <f>SUM(N57:N82)</f>
        <v>35</v>
      </c>
      <c r="O83" s="5">
        <f>SUM(J83:N83)</f>
        <v>100</v>
      </c>
      <c r="P83" s="1"/>
    </row>
    <row r="84" spans="1:16" ht="14.25" thickBot="1" x14ac:dyDescent="0.2">
      <c r="A84" s="25" t="s">
        <v>12</v>
      </c>
      <c r="B84" s="63">
        <f>B56-B83</f>
        <v>10</v>
      </c>
      <c r="C84" s="26">
        <f t="shared" ref="C84:G84" si="17">C56-C83</f>
        <v>12</v>
      </c>
      <c r="D84" s="71">
        <f t="shared" si="17"/>
        <v>7</v>
      </c>
      <c r="E84" s="26">
        <f t="shared" si="17"/>
        <v>11</v>
      </c>
      <c r="F84" s="70">
        <f t="shared" si="17"/>
        <v>13</v>
      </c>
      <c r="G84" s="27">
        <f t="shared" si="17"/>
        <v>53</v>
      </c>
      <c r="H84" s="1"/>
      <c r="I84" s="25" t="s">
        <v>12</v>
      </c>
      <c r="J84" s="63">
        <f>J56-J83</f>
        <v>76</v>
      </c>
      <c r="K84" s="26">
        <f t="shared" ref="K84:O84" si="18">K56-K83</f>
        <v>61</v>
      </c>
      <c r="L84" s="71">
        <f t="shared" si="18"/>
        <v>68</v>
      </c>
      <c r="M84" s="26">
        <f t="shared" si="18"/>
        <v>65</v>
      </c>
      <c r="N84" s="70">
        <f t="shared" si="18"/>
        <v>33</v>
      </c>
      <c r="O84" s="27">
        <f t="shared" si="18"/>
        <v>303</v>
      </c>
      <c r="P84" s="1"/>
    </row>
    <row r="85" spans="1:16" ht="21" x14ac:dyDescent="0.2">
      <c r="A85" s="86" t="s">
        <v>413</v>
      </c>
      <c r="B85" s="87"/>
      <c r="C85" s="87"/>
      <c r="D85" s="87"/>
      <c r="E85" s="87"/>
      <c r="F85" s="87"/>
      <c r="G85" s="87"/>
      <c r="H85" s="56"/>
      <c r="I85" s="86" t="s">
        <v>413</v>
      </c>
      <c r="J85" s="87"/>
      <c r="K85" s="87"/>
      <c r="L85" s="87"/>
      <c r="M85" s="87"/>
      <c r="N85" s="87"/>
      <c r="O85" s="87"/>
    </row>
    <row r="86" spans="1:16" ht="21.75" thickBot="1" x14ac:dyDescent="0.25">
      <c r="A86" s="86" t="s">
        <v>51</v>
      </c>
      <c r="B86" s="87"/>
      <c r="C86" s="87"/>
      <c r="D86" s="87"/>
      <c r="E86" s="85"/>
      <c r="F86" s="88" t="s">
        <v>53</v>
      </c>
      <c r="G86" s="87"/>
      <c r="H86" s="56"/>
      <c r="I86" s="86" t="s">
        <v>51</v>
      </c>
      <c r="J86" s="87"/>
      <c r="K86" s="87"/>
      <c r="L86" s="87"/>
      <c r="M86" s="89"/>
      <c r="N86" s="88" t="s">
        <v>54</v>
      </c>
      <c r="O86" s="87"/>
    </row>
    <row r="87" spans="1:16" ht="14.25" thickBot="1" x14ac:dyDescent="0.2">
      <c r="A87" s="13" t="s">
        <v>0</v>
      </c>
      <c r="B87" s="228" t="s">
        <v>52</v>
      </c>
      <c r="C87" s="229"/>
      <c r="D87" s="229"/>
      <c r="E87" s="229"/>
      <c r="F87" s="230"/>
      <c r="G87" s="231"/>
      <c r="H87" s="56"/>
      <c r="I87" s="13" t="s">
        <v>0</v>
      </c>
      <c r="J87" s="228" t="s">
        <v>52</v>
      </c>
      <c r="K87" s="229"/>
      <c r="L87" s="229"/>
      <c r="M87" s="229"/>
      <c r="N87" s="230"/>
      <c r="O87" s="231"/>
    </row>
    <row r="88" spans="1:16" ht="14.25" thickBot="1" x14ac:dyDescent="0.2">
      <c r="A88" s="3" t="s">
        <v>1</v>
      </c>
      <c r="B88" s="2" t="s">
        <v>42</v>
      </c>
      <c r="C88" s="21" t="s">
        <v>583</v>
      </c>
      <c r="D88" s="21" t="s">
        <v>44</v>
      </c>
      <c r="E88" s="24" t="s">
        <v>45</v>
      </c>
      <c r="F88" s="33" t="s">
        <v>46</v>
      </c>
      <c r="G88" s="3" t="s">
        <v>2</v>
      </c>
      <c r="H88" s="56"/>
      <c r="I88" s="3" t="s">
        <v>1</v>
      </c>
      <c r="J88" s="41" t="s">
        <v>42</v>
      </c>
      <c r="K88" s="42" t="s">
        <v>43</v>
      </c>
      <c r="L88" s="42" t="s">
        <v>44</v>
      </c>
      <c r="M88" s="43" t="s">
        <v>45</v>
      </c>
      <c r="N88" s="44" t="s">
        <v>46</v>
      </c>
      <c r="O88" s="3" t="s">
        <v>2</v>
      </c>
    </row>
    <row r="89" spans="1:16" x14ac:dyDescent="0.15">
      <c r="A89" s="96" t="s">
        <v>13</v>
      </c>
      <c r="B89" s="95">
        <f>B84</f>
        <v>10</v>
      </c>
      <c r="C89" s="97">
        <f t="shared" ref="C89:F89" si="19">C84</f>
        <v>12</v>
      </c>
      <c r="D89" s="97">
        <f t="shared" si="19"/>
        <v>7</v>
      </c>
      <c r="E89" s="97">
        <f t="shared" si="19"/>
        <v>11</v>
      </c>
      <c r="F89" s="139">
        <f t="shared" si="19"/>
        <v>13</v>
      </c>
      <c r="G89" s="52">
        <f t="shared" ref="G89:G97" si="20">SUM(B89:F89)</f>
        <v>53</v>
      </c>
      <c r="H89" s="56"/>
      <c r="I89" s="96" t="s">
        <v>13</v>
      </c>
      <c r="J89" s="95">
        <f>J84</f>
        <v>76</v>
      </c>
      <c r="K89" s="97">
        <f t="shared" ref="K89:N89" si="21">K84</f>
        <v>61</v>
      </c>
      <c r="L89" s="97">
        <f t="shared" si="21"/>
        <v>68</v>
      </c>
      <c r="M89" s="97">
        <f t="shared" si="21"/>
        <v>65</v>
      </c>
      <c r="N89" s="139">
        <f t="shared" si="21"/>
        <v>33</v>
      </c>
      <c r="O89" s="52">
        <f t="shared" ref="O89:O97" si="22">SUM(J89:N89)</f>
        <v>303</v>
      </c>
    </row>
    <row r="90" spans="1:16" x14ac:dyDescent="0.15">
      <c r="A90" s="15" t="s">
        <v>3</v>
      </c>
      <c r="B90" s="8"/>
      <c r="C90" s="10"/>
      <c r="D90" s="10">
        <v>10</v>
      </c>
      <c r="E90" s="10"/>
      <c r="F90" s="104"/>
      <c r="G90" s="9">
        <f t="shared" si="20"/>
        <v>10</v>
      </c>
      <c r="H90" s="58">
        <v>43096</v>
      </c>
      <c r="I90" s="15" t="s">
        <v>3</v>
      </c>
      <c r="J90" s="37"/>
      <c r="K90" s="135"/>
      <c r="L90" s="135"/>
      <c r="M90" s="135"/>
      <c r="N90" s="136"/>
      <c r="O90" s="7">
        <f t="shared" si="22"/>
        <v>0</v>
      </c>
    </row>
    <row r="91" spans="1:16" x14ac:dyDescent="0.15">
      <c r="A91" s="15" t="s">
        <v>17</v>
      </c>
      <c r="B91" s="8"/>
      <c r="C91" s="10"/>
      <c r="D91" s="10">
        <v>1</v>
      </c>
      <c r="E91" s="10"/>
      <c r="F91" s="104">
        <v>1</v>
      </c>
      <c r="G91" s="9">
        <f t="shared" si="20"/>
        <v>2</v>
      </c>
      <c r="H91" s="58">
        <v>43096</v>
      </c>
      <c r="I91" s="15" t="s">
        <v>4</v>
      </c>
      <c r="J91" s="8">
        <v>79</v>
      </c>
      <c r="K91" s="45">
        <v>90</v>
      </c>
      <c r="L91" s="45">
        <v>140</v>
      </c>
      <c r="M91" s="45">
        <v>160</v>
      </c>
      <c r="N91" s="46">
        <v>130</v>
      </c>
      <c r="O91" s="9">
        <f t="shared" si="22"/>
        <v>599</v>
      </c>
      <c r="P91" s="58">
        <v>43111</v>
      </c>
    </row>
    <row r="92" spans="1:16" x14ac:dyDescent="0.15">
      <c r="A92" s="15" t="s">
        <v>5</v>
      </c>
      <c r="B92" s="8"/>
      <c r="C92" s="10">
        <v>15</v>
      </c>
      <c r="D92" s="10">
        <v>10</v>
      </c>
      <c r="E92" s="10">
        <v>15</v>
      </c>
      <c r="F92" s="104">
        <v>5</v>
      </c>
      <c r="G92" s="9">
        <f t="shared" si="20"/>
        <v>45</v>
      </c>
      <c r="H92" s="58">
        <v>43113</v>
      </c>
      <c r="I92" s="15" t="s">
        <v>5</v>
      </c>
      <c r="J92" s="8"/>
      <c r="K92" s="45"/>
      <c r="L92" s="45"/>
      <c r="M92" s="45"/>
      <c r="N92" s="46"/>
      <c r="O92" s="9">
        <f t="shared" si="22"/>
        <v>0</v>
      </c>
    </row>
    <row r="93" spans="1:16" x14ac:dyDescent="0.15">
      <c r="A93" s="15" t="s">
        <v>611</v>
      </c>
      <c r="B93" s="11">
        <v>1</v>
      </c>
      <c r="C93" s="12"/>
      <c r="D93" s="12"/>
      <c r="E93" s="12"/>
      <c r="F93" s="108"/>
      <c r="G93" s="9">
        <f t="shared" si="20"/>
        <v>1</v>
      </c>
      <c r="H93" s="58">
        <v>43113</v>
      </c>
      <c r="I93" s="15" t="s">
        <v>6</v>
      </c>
      <c r="J93" s="8"/>
      <c r="K93" s="45"/>
      <c r="L93" s="45"/>
      <c r="M93" s="45"/>
      <c r="N93" s="46"/>
      <c r="O93" s="9">
        <f t="shared" si="22"/>
        <v>0</v>
      </c>
    </row>
    <row r="94" spans="1:16" x14ac:dyDescent="0.15">
      <c r="A94" s="15" t="s">
        <v>84</v>
      </c>
      <c r="B94" s="8"/>
      <c r="C94" s="10">
        <v>5</v>
      </c>
      <c r="D94" s="10"/>
      <c r="E94" s="10"/>
      <c r="F94" s="30"/>
      <c r="G94" s="7">
        <f t="shared" si="20"/>
        <v>5</v>
      </c>
      <c r="H94" s="58">
        <v>43118</v>
      </c>
      <c r="I94" s="15" t="s">
        <v>84</v>
      </c>
      <c r="J94" s="8"/>
      <c r="K94" s="45"/>
      <c r="L94" s="45"/>
      <c r="M94" s="45"/>
      <c r="N94" s="46"/>
      <c r="O94" s="7">
        <f t="shared" si="22"/>
        <v>0</v>
      </c>
    </row>
    <row r="95" spans="1:16" x14ac:dyDescent="0.15">
      <c r="A95" s="16" t="s">
        <v>23</v>
      </c>
      <c r="B95" s="8"/>
      <c r="C95" s="10">
        <v>1</v>
      </c>
      <c r="D95" s="10"/>
      <c r="E95" s="10">
        <v>3</v>
      </c>
      <c r="F95" s="30">
        <v>2</v>
      </c>
      <c r="G95" s="7">
        <f t="shared" si="20"/>
        <v>6</v>
      </c>
      <c r="H95" s="58">
        <v>43118</v>
      </c>
      <c r="I95" s="15" t="s">
        <v>85</v>
      </c>
      <c r="J95" s="8"/>
      <c r="K95" s="45"/>
      <c r="L95" s="45"/>
      <c r="M95" s="45"/>
      <c r="N95" s="46"/>
      <c r="O95" s="7">
        <f t="shared" si="22"/>
        <v>0</v>
      </c>
    </row>
    <row r="96" spans="1:16" x14ac:dyDescent="0.15">
      <c r="A96" s="15" t="s">
        <v>17</v>
      </c>
      <c r="B96" s="8"/>
      <c r="C96" s="45"/>
      <c r="D96" s="45">
        <v>2</v>
      </c>
      <c r="E96" s="45"/>
      <c r="F96" s="46"/>
      <c r="G96" s="102">
        <f t="shared" si="20"/>
        <v>2</v>
      </c>
      <c r="H96" s="58">
        <v>43119</v>
      </c>
      <c r="I96" s="15" t="s">
        <v>86</v>
      </c>
      <c r="J96" s="8"/>
      <c r="K96" s="45"/>
      <c r="L96" s="45"/>
      <c r="M96" s="45"/>
      <c r="N96" s="46"/>
      <c r="O96" s="102">
        <f t="shared" si="22"/>
        <v>0</v>
      </c>
    </row>
    <row r="97" spans="1:16" ht="14.25" thickBot="1" x14ac:dyDescent="0.2">
      <c r="A97" s="15" t="s">
        <v>17</v>
      </c>
      <c r="B97" s="11"/>
      <c r="C97" s="100">
        <v>1</v>
      </c>
      <c r="D97" s="100">
        <v>1</v>
      </c>
      <c r="E97" s="100"/>
      <c r="F97" s="109">
        <v>1</v>
      </c>
      <c r="G97" s="40">
        <f t="shared" si="20"/>
        <v>3</v>
      </c>
      <c r="H97" s="58">
        <v>43131</v>
      </c>
      <c r="I97" s="15" t="s">
        <v>87</v>
      </c>
      <c r="J97" s="47"/>
      <c r="K97" s="48"/>
      <c r="L97" s="48"/>
      <c r="M97" s="48"/>
      <c r="N97" s="49"/>
      <c r="O97" s="40">
        <f t="shared" si="22"/>
        <v>0</v>
      </c>
    </row>
    <row r="98" spans="1:16" ht="14.25" thickBot="1" x14ac:dyDescent="0.2">
      <c r="A98" s="72" t="s">
        <v>7</v>
      </c>
      <c r="B98" s="73">
        <f>SUM(B89:B97)</f>
        <v>11</v>
      </c>
      <c r="C98" s="74">
        <f t="shared" ref="C98:G98" si="23">SUM(C89:C97)</f>
        <v>34</v>
      </c>
      <c r="D98" s="74">
        <f t="shared" si="23"/>
        <v>31</v>
      </c>
      <c r="E98" s="74">
        <f t="shared" si="23"/>
        <v>29</v>
      </c>
      <c r="F98" s="105">
        <f t="shared" si="23"/>
        <v>22</v>
      </c>
      <c r="G98" s="76">
        <f t="shared" si="23"/>
        <v>127</v>
      </c>
      <c r="H98" s="56"/>
      <c r="I98" s="72" t="s">
        <v>7</v>
      </c>
      <c r="J98" s="73">
        <f>SUM(J89:J97)</f>
        <v>155</v>
      </c>
      <c r="K98" s="74">
        <f t="shared" ref="K98:O98" si="24">SUM(K89:K97)</f>
        <v>151</v>
      </c>
      <c r="L98" s="74">
        <f t="shared" si="24"/>
        <v>208</v>
      </c>
      <c r="M98" s="74">
        <f t="shared" si="24"/>
        <v>225</v>
      </c>
      <c r="N98" s="105">
        <f t="shared" si="24"/>
        <v>163</v>
      </c>
      <c r="O98" s="76">
        <f t="shared" si="24"/>
        <v>902</v>
      </c>
    </row>
    <row r="99" spans="1:16" x14ac:dyDescent="0.15">
      <c r="A99" s="16" t="s">
        <v>599</v>
      </c>
      <c r="B99" s="37"/>
      <c r="C99" s="35"/>
      <c r="D99" s="35">
        <v>10</v>
      </c>
      <c r="E99" s="35"/>
      <c r="F99" s="28"/>
      <c r="G99" s="18">
        <f t="shared" ref="G99:G124" si="25">SUM(B99:F99)</f>
        <v>10</v>
      </c>
      <c r="H99" s="58">
        <v>42744</v>
      </c>
      <c r="I99" s="16" t="s">
        <v>600</v>
      </c>
      <c r="J99" s="17"/>
      <c r="K99" s="22"/>
      <c r="L99" s="22">
        <v>10</v>
      </c>
      <c r="M99" s="22"/>
      <c r="N99" s="29"/>
      <c r="O99" s="18">
        <f t="shared" ref="O99:O119" si="26">SUM(J99:N99)</f>
        <v>10</v>
      </c>
      <c r="P99" s="58">
        <v>43096</v>
      </c>
    </row>
    <row r="100" spans="1:16" x14ac:dyDescent="0.15">
      <c r="A100" s="16" t="s">
        <v>25</v>
      </c>
      <c r="B100" s="8"/>
      <c r="C100" s="10"/>
      <c r="D100" s="10"/>
      <c r="E100" s="10"/>
      <c r="F100" s="30">
        <v>1</v>
      </c>
      <c r="G100" s="7">
        <f t="shared" si="25"/>
        <v>1</v>
      </c>
      <c r="H100" s="58">
        <v>43097</v>
      </c>
      <c r="I100" s="16" t="s">
        <v>24</v>
      </c>
      <c r="J100" s="8"/>
      <c r="K100" s="10">
        <v>15</v>
      </c>
      <c r="L100" s="10">
        <v>10</v>
      </c>
      <c r="M100" s="10">
        <v>15</v>
      </c>
      <c r="N100" s="30">
        <v>5</v>
      </c>
      <c r="O100" s="7">
        <f t="shared" si="26"/>
        <v>45</v>
      </c>
      <c r="P100" s="58">
        <v>43113</v>
      </c>
    </row>
    <row r="101" spans="1:16" x14ac:dyDescent="0.15">
      <c r="A101" s="16" t="s">
        <v>25</v>
      </c>
      <c r="B101" s="8"/>
      <c r="C101" s="10"/>
      <c r="D101" s="10"/>
      <c r="E101" s="10">
        <v>1</v>
      </c>
      <c r="F101" s="30"/>
      <c r="G101" s="7">
        <f t="shared" si="25"/>
        <v>1</v>
      </c>
      <c r="H101" s="58">
        <v>43110</v>
      </c>
      <c r="I101" s="16" t="s">
        <v>24</v>
      </c>
      <c r="J101" s="8"/>
      <c r="K101" s="10">
        <v>5</v>
      </c>
      <c r="L101" s="10"/>
      <c r="M101" s="10"/>
      <c r="N101" s="30"/>
      <c r="O101" s="7">
        <f t="shared" si="26"/>
        <v>5</v>
      </c>
      <c r="P101" s="58">
        <v>43118</v>
      </c>
    </row>
    <row r="102" spans="1:16" x14ac:dyDescent="0.15">
      <c r="A102" s="16" t="s">
        <v>25</v>
      </c>
      <c r="B102" s="8"/>
      <c r="C102" s="10">
        <v>1</v>
      </c>
      <c r="D102" s="10">
        <v>1</v>
      </c>
      <c r="E102" s="10">
        <v>1</v>
      </c>
      <c r="F102" s="30">
        <v>6</v>
      </c>
      <c r="G102" s="7">
        <f t="shared" si="25"/>
        <v>9</v>
      </c>
      <c r="H102" s="58">
        <v>43111</v>
      </c>
      <c r="I102" s="16" t="s">
        <v>24</v>
      </c>
      <c r="J102" s="8"/>
      <c r="K102" s="10"/>
      <c r="L102" s="10"/>
      <c r="M102" s="10">
        <v>15</v>
      </c>
      <c r="N102" s="30">
        <v>15</v>
      </c>
      <c r="O102" s="7">
        <f t="shared" si="26"/>
        <v>30</v>
      </c>
      <c r="P102" s="58">
        <v>43139</v>
      </c>
    </row>
    <row r="103" spans="1:16" x14ac:dyDescent="0.15">
      <c r="A103" s="16" t="s">
        <v>608</v>
      </c>
      <c r="B103" s="8"/>
      <c r="C103" s="10"/>
      <c r="D103" s="10"/>
      <c r="E103" s="10">
        <v>1</v>
      </c>
      <c r="F103" s="30"/>
      <c r="G103" s="7">
        <f t="shared" si="25"/>
        <v>1</v>
      </c>
      <c r="H103" s="58">
        <v>43110</v>
      </c>
      <c r="I103" s="16" t="s">
        <v>24</v>
      </c>
      <c r="J103" s="8">
        <v>5</v>
      </c>
      <c r="K103" s="10"/>
      <c r="L103" s="10">
        <v>10</v>
      </c>
      <c r="M103" s="10"/>
      <c r="N103" s="30"/>
      <c r="O103" s="7">
        <f t="shared" si="26"/>
        <v>15</v>
      </c>
      <c r="P103" s="58">
        <v>43150</v>
      </c>
    </row>
    <row r="104" spans="1:16" x14ac:dyDescent="0.15">
      <c r="A104" s="16" t="s">
        <v>25</v>
      </c>
      <c r="B104" s="8"/>
      <c r="C104" s="10">
        <v>6</v>
      </c>
      <c r="D104" s="10">
        <v>3</v>
      </c>
      <c r="E104" s="10"/>
      <c r="F104" s="30"/>
      <c r="G104" s="7">
        <f t="shared" si="25"/>
        <v>9</v>
      </c>
      <c r="H104" s="58">
        <v>43112</v>
      </c>
      <c r="I104" s="16"/>
      <c r="J104" s="8"/>
      <c r="K104" s="10"/>
      <c r="L104" s="10"/>
      <c r="M104" s="10"/>
      <c r="N104" s="30"/>
      <c r="O104" s="7">
        <f t="shared" si="26"/>
        <v>0</v>
      </c>
      <c r="P104" s="56"/>
    </row>
    <row r="105" spans="1:16" x14ac:dyDescent="0.15">
      <c r="A105" s="16" t="s">
        <v>22</v>
      </c>
      <c r="B105" s="8"/>
      <c r="C105" s="10">
        <v>10</v>
      </c>
      <c r="D105" s="10"/>
      <c r="E105" s="10">
        <v>10</v>
      </c>
      <c r="F105" s="30"/>
      <c r="G105" s="7">
        <f t="shared" si="25"/>
        <v>20</v>
      </c>
      <c r="H105" s="58">
        <v>43117</v>
      </c>
      <c r="I105" s="16"/>
      <c r="J105" s="8"/>
      <c r="K105" s="10"/>
      <c r="L105" s="10"/>
      <c r="M105" s="10"/>
      <c r="N105" s="30"/>
      <c r="O105" s="7">
        <f t="shared" si="26"/>
        <v>0</v>
      </c>
    </row>
    <row r="106" spans="1:16" x14ac:dyDescent="0.15">
      <c r="A106" s="16" t="s">
        <v>25</v>
      </c>
      <c r="B106" s="8">
        <v>1</v>
      </c>
      <c r="C106" s="10">
        <v>1</v>
      </c>
      <c r="D106" s="10"/>
      <c r="E106" s="10">
        <v>1</v>
      </c>
      <c r="F106" s="30">
        <v>1</v>
      </c>
      <c r="G106" s="7">
        <f t="shared" si="25"/>
        <v>4</v>
      </c>
      <c r="H106" s="58">
        <v>43115</v>
      </c>
      <c r="I106" s="16"/>
      <c r="J106" s="8"/>
      <c r="K106" s="10"/>
      <c r="L106" s="10"/>
      <c r="M106" s="10"/>
      <c r="N106" s="30"/>
      <c r="O106" s="7">
        <f t="shared" si="26"/>
        <v>0</v>
      </c>
    </row>
    <row r="107" spans="1:16" x14ac:dyDescent="0.15">
      <c r="A107" s="16" t="s">
        <v>25</v>
      </c>
      <c r="B107" s="8"/>
      <c r="C107" s="10">
        <v>2</v>
      </c>
      <c r="D107" s="10"/>
      <c r="E107" s="10">
        <v>1</v>
      </c>
      <c r="F107" s="30">
        <v>1</v>
      </c>
      <c r="G107" s="7">
        <f t="shared" si="25"/>
        <v>4</v>
      </c>
      <c r="H107" s="58">
        <v>43117</v>
      </c>
      <c r="I107" s="16"/>
      <c r="J107" s="11"/>
      <c r="K107" s="100"/>
      <c r="L107" s="100"/>
      <c r="M107" s="100"/>
      <c r="N107" s="109"/>
      <c r="O107" s="9">
        <f t="shared" si="26"/>
        <v>0</v>
      </c>
    </row>
    <row r="108" spans="1:16" x14ac:dyDescent="0.15">
      <c r="A108" s="51" t="s">
        <v>615</v>
      </c>
      <c r="B108" s="8">
        <v>1</v>
      </c>
      <c r="C108" s="10"/>
      <c r="D108" s="10"/>
      <c r="E108" s="10"/>
      <c r="F108" s="30"/>
      <c r="G108" s="7">
        <f t="shared" si="25"/>
        <v>1</v>
      </c>
      <c r="H108" s="58">
        <v>43119</v>
      </c>
      <c r="I108" s="16"/>
      <c r="J108" s="11"/>
      <c r="K108" s="12"/>
      <c r="L108" s="12"/>
      <c r="M108" s="12"/>
      <c r="N108" s="31"/>
      <c r="O108" s="7">
        <f t="shared" si="26"/>
        <v>0</v>
      </c>
    </row>
    <row r="109" spans="1:16" x14ac:dyDescent="0.15">
      <c r="A109" s="16" t="s">
        <v>25</v>
      </c>
      <c r="B109" s="11"/>
      <c r="C109" s="12"/>
      <c r="D109" s="12">
        <v>1</v>
      </c>
      <c r="E109" s="12"/>
      <c r="F109" s="31"/>
      <c r="G109" s="7">
        <f t="shared" si="25"/>
        <v>1</v>
      </c>
      <c r="H109" s="58">
        <v>43122</v>
      </c>
      <c r="I109" s="16"/>
      <c r="J109" s="8"/>
      <c r="K109" s="10"/>
      <c r="L109" s="10"/>
      <c r="M109" s="10"/>
      <c r="N109" s="30"/>
      <c r="O109" s="7">
        <f t="shared" si="26"/>
        <v>0</v>
      </c>
    </row>
    <row r="110" spans="1:16" x14ac:dyDescent="0.15">
      <c r="A110" s="16" t="s">
        <v>25</v>
      </c>
      <c r="B110" s="8"/>
      <c r="C110" s="10"/>
      <c r="D110" s="10"/>
      <c r="E110" s="10">
        <v>2</v>
      </c>
      <c r="F110" s="30"/>
      <c r="G110" s="7">
        <f t="shared" si="25"/>
        <v>2</v>
      </c>
      <c r="H110" s="58">
        <v>43124</v>
      </c>
      <c r="I110" s="16"/>
      <c r="J110" s="8"/>
      <c r="K110" s="10"/>
      <c r="L110" s="10"/>
      <c r="M110" s="10"/>
      <c r="N110" s="30"/>
      <c r="O110" s="7">
        <f t="shared" si="26"/>
        <v>0</v>
      </c>
    </row>
    <row r="111" spans="1:16" x14ac:dyDescent="0.15">
      <c r="A111" s="16" t="s">
        <v>25</v>
      </c>
      <c r="B111" s="8"/>
      <c r="C111" s="10"/>
      <c r="D111" s="10"/>
      <c r="E111" s="10">
        <v>1</v>
      </c>
      <c r="F111" s="30">
        <v>3</v>
      </c>
      <c r="G111" s="7">
        <f t="shared" si="25"/>
        <v>4</v>
      </c>
      <c r="H111" s="58">
        <v>43126</v>
      </c>
      <c r="I111" s="16"/>
      <c r="J111" s="8"/>
      <c r="K111" s="10"/>
      <c r="L111" s="10"/>
      <c r="M111" s="10"/>
      <c r="N111" s="30"/>
      <c r="O111" s="7">
        <f t="shared" si="26"/>
        <v>0</v>
      </c>
    </row>
    <row r="112" spans="1:16" x14ac:dyDescent="0.15">
      <c r="A112" s="16" t="s">
        <v>25</v>
      </c>
      <c r="B112" s="8"/>
      <c r="C112" s="10"/>
      <c r="D112" s="10"/>
      <c r="E112" s="10">
        <v>1</v>
      </c>
      <c r="F112" s="30"/>
      <c r="G112" s="7">
        <f t="shared" si="25"/>
        <v>1</v>
      </c>
      <c r="H112" s="58">
        <v>43130</v>
      </c>
      <c r="I112" s="16"/>
      <c r="J112" s="8"/>
      <c r="K112" s="10"/>
      <c r="L112" s="10"/>
      <c r="M112" s="10"/>
      <c r="N112" s="30"/>
      <c r="O112" s="7">
        <f t="shared" si="26"/>
        <v>0</v>
      </c>
    </row>
    <row r="113" spans="1:16" x14ac:dyDescent="0.15">
      <c r="A113" s="16" t="s">
        <v>25</v>
      </c>
      <c r="B113" s="8"/>
      <c r="C113" s="10">
        <v>1</v>
      </c>
      <c r="D113" s="10"/>
      <c r="E113" s="10"/>
      <c r="F113" s="30"/>
      <c r="G113" s="7">
        <f t="shared" si="25"/>
        <v>1</v>
      </c>
      <c r="H113" s="58">
        <v>43134</v>
      </c>
      <c r="I113" s="16"/>
      <c r="J113" s="8"/>
      <c r="K113" s="10"/>
      <c r="L113" s="10"/>
      <c r="M113" s="10"/>
      <c r="N113" s="30"/>
      <c r="O113" s="7">
        <f t="shared" si="26"/>
        <v>0</v>
      </c>
    </row>
    <row r="114" spans="1:16" x14ac:dyDescent="0.15">
      <c r="A114" s="16" t="s">
        <v>619</v>
      </c>
      <c r="B114" s="8"/>
      <c r="C114" s="10"/>
      <c r="D114" s="10">
        <v>2</v>
      </c>
      <c r="E114" s="10"/>
      <c r="F114" s="30"/>
      <c r="G114" s="7">
        <f t="shared" si="25"/>
        <v>2</v>
      </c>
      <c r="H114" s="58">
        <v>43145</v>
      </c>
      <c r="I114" s="16"/>
      <c r="J114" s="8"/>
      <c r="K114" s="10"/>
      <c r="L114" s="10"/>
      <c r="M114" s="10"/>
      <c r="N114" s="30"/>
      <c r="O114" s="7">
        <f t="shared" si="26"/>
        <v>0</v>
      </c>
    </row>
    <row r="115" spans="1:16" x14ac:dyDescent="0.15">
      <c r="A115" s="16" t="s">
        <v>22</v>
      </c>
      <c r="B115" s="8"/>
      <c r="C115" s="10"/>
      <c r="D115" s="10"/>
      <c r="E115" s="10">
        <v>10</v>
      </c>
      <c r="F115" s="30">
        <v>10</v>
      </c>
      <c r="G115" s="7">
        <f t="shared" si="25"/>
        <v>20</v>
      </c>
      <c r="H115" s="58">
        <v>43144</v>
      </c>
      <c r="I115" s="16"/>
      <c r="J115" s="11"/>
      <c r="K115" s="12"/>
      <c r="L115" s="12"/>
      <c r="M115" s="12"/>
      <c r="N115" s="31"/>
      <c r="O115" s="7">
        <f t="shared" si="26"/>
        <v>0</v>
      </c>
      <c r="P115" s="58"/>
    </row>
    <row r="116" spans="1:16" x14ac:dyDescent="0.15">
      <c r="A116" s="16" t="s">
        <v>621</v>
      </c>
      <c r="B116" s="8"/>
      <c r="C116" s="10"/>
      <c r="D116" s="10"/>
      <c r="E116" s="10">
        <v>-15</v>
      </c>
      <c r="F116" s="30">
        <v>-15</v>
      </c>
      <c r="G116" s="7">
        <f t="shared" si="25"/>
        <v>-30</v>
      </c>
      <c r="H116" s="58">
        <v>43139</v>
      </c>
      <c r="I116" s="16"/>
      <c r="J116" s="11"/>
      <c r="K116" s="12"/>
      <c r="L116" s="12"/>
      <c r="M116" s="12"/>
      <c r="N116" s="31"/>
      <c r="O116" s="7">
        <f t="shared" si="26"/>
        <v>0</v>
      </c>
      <c r="P116" s="36"/>
    </row>
    <row r="117" spans="1:16" x14ac:dyDescent="0.15">
      <c r="A117" s="16" t="s">
        <v>25</v>
      </c>
      <c r="B117" s="8">
        <v>1</v>
      </c>
      <c r="C117" s="10">
        <v>1</v>
      </c>
      <c r="D117" s="10">
        <v>1</v>
      </c>
      <c r="E117" s="10"/>
      <c r="F117" s="30"/>
      <c r="G117" s="7">
        <f t="shared" si="25"/>
        <v>3</v>
      </c>
      <c r="H117" s="58">
        <v>43140</v>
      </c>
      <c r="I117" s="16"/>
      <c r="J117" s="11"/>
      <c r="K117" s="12"/>
      <c r="L117" s="12"/>
      <c r="M117" s="12"/>
      <c r="N117" s="31"/>
      <c r="O117" s="7">
        <f t="shared" si="26"/>
        <v>0</v>
      </c>
      <c r="P117" s="36"/>
    </row>
    <row r="118" spans="1:16" x14ac:dyDescent="0.15">
      <c r="A118" s="16" t="s">
        <v>25</v>
      </c>
      <c r="B118" s="8"/>
      <c r="C118" s="10"/>
      <c r="D118" s="10"/>
      <c r="E118" s="10">
        <v>1</v>
      </c>
      <c r="F118" s="30"/>
      <c r="G118" s="7">
        <f t="shared" si="25"/>
        <v>1</v>
      </c>
      <c r="H118" s="58">
        <v>43145</v>
      </c>
      <c r="I118" s="20"/>
      <c r="J118" s="8"/>
      <c r="K118" s="10"/>
      <c r="L118" s="10"/>
      <c r="M118" s="10"/>
      <c r="N118" s="30"/>
      <c r="O118" s="7">
        <f t="shared" si="26"/>
        <v>0</v>
      </c>
      <c r="P118" s="36"/>
    </row>
    <row r="119" spans="1:16" x14ac:dyDescent="0.15">
      <c r="A119" s="16" t="s">
        <v>622</v>
      </c>
      <c r="B119" s="8"/>
      <c r="C119" s="10"/>
      <c r="D119" s="10"/>
      <c r="E119" s="10"/>
      <c r="F119" s="30">
        <v>1</v>
      </c>
      <c r="G119" s="7">
        <f t="shared" si="25"/>
        <v>1</v>
      </c>
      <c r="H119" s="58">
        <v>43144</v>
      </c>
      <c r="I119" s="141"/>
      <c r="J119" s="11"/>
      <c r="K119" s="12"/>
      <c r="L119" s="12"/>
      <c r="M119" s="12"/>
      <c r="N119" s="31"/>
      <c r="O119" s="7">
        <f t="shared" si="26"/>
        <v>0</v>
      </c>
      <c r="P119" s="36"/>
    </row>
    <row r="120" spans="1:16" x14ac:dyDescent="0.15">
      <c r="A120" s="16" t="s">
        <v>29</v>
      </c>
      <c r="B120" s="8"/>
      <c r="C120" s="10"/>
      <c r="D120" s="10">
        <v>1</v>
      </c>
      <c r="E120" s="10"/>
      <c r="F120" s="59"/>
      <c r="G120" s="7">
        <f t="shared" si="25"/>
        <v>1</v>
      </c>
      <c r="H120" s="58">
        <v>43145</v>
      </c>
      <c r="I120" s="14"/>
      <c r="J120" s="11"/>
      <c r="K120" s="12"/>
      <c r="L120" s="12"/>
      <c r="M120" s="12"/>
      <c r="N120" s="31"/>
      <c r="O120" s="7">
        <f t="shared" ref="O120:O122" si="27">SUM(J120:N120)</f>
        <v>0</v>
      </c>
      <c r="P120" s="36"/>
    </row>
    <row r="121" spans="1:16" x14ac:dyDescent="0.15">
      <c r="A121" s="16" t="s">
        <v>22</v>
      </c>
      <c r="B121" s="37"/>
      <c r="C121" s="35"/>
      <c r="D121" s="35">
        <v>10</v>
      </c>
      <c r="E121" s="35"/>
      <c r="F121" s="28"/>
      <c r="G121" s="7">
        <f t="shared" si="25"/>
        <v>10</v>
      </c>
      <c r="H121" s="58">
        <v>43154</v>
      </c>
      <c r="I121" s="14"/>
      <c r="J121" s="11"/>
      <c r="K121" s="12"/>
      <c r="L121" s="12"/>
      <c r="M121" s="12"/>
      <c r="N121" s="31"/>
      <c r="O121" s="7">
        <f t="shared" ref="O121" si="28">SUM(J121:N121)</f>
        <v>0</v>
      </c>
      <c r="P121" s="36"/>
    </row>
    <row r="122" spans="1:16" x14ac:dyDescent="0.15">
      <c r="A122" s="16" t="s">
        <v>623</v>
      </c>
      <c r="B122" s="8">
        <v>-5</v>
      </c>
      <c r="C122" s="10"/>
      <c r="D122" s="10">
        <v>-10</v>
      </c>
      <c r="E122" s="10"/>
      <c r="F122" s="30"/>
      <c r="G122" s="7">
        <f t="shared" si="25"/>
        <v>-15</v>
      </c>
      <c r="H122" s="58">
        <v>43150</v>
      </c>
      <c r="I122" s="14"/>
      <c r="J122" s="11"/>
      <c r="K122" s="12"/>
      <c r="L122" s="12"/>
      <c r="M122" s="12"/>
      <c r="N122" s="31"/>
      <c r="O122" s="7">
        <f t="shared" si="27"/>
        <v>0</v>
      </c>
      <c r="P122" s="36"/>
    </row>
    <row r="123" spans="1:16" x14ac:dyDescent="0.15">
      <c r="A123" s="16" t="s">
        <v>25</v>
      </c>
      <c r="B123" s="8"/>
      <c r="C123" s="10">
        <v>1</v>
      </c>
      <c r="D123" s="10">
        <v>1</v>
      </c>
      <c r="E123" s="10"/>
      <c r="F123" s="30"/>
      <c r="G123" s="9">
        <f t="shared" si="25"/>
        <v>2</v>
      </c>
      <c r="H123" s="58">
        <v>43150</v>
      </c>
      <c r="I123" s="16"/>
      <c r="J123" s="11"/>
      <c r="K123" s="12"/>
      <c r="L123" s="12"/>
      <c r="M123" s="12"/>
      <c r="N123" s="31"/>
      <c r="O123" s="7">
        <f t="shared" ref="O123" si="29">SUM(J123:N123)</f>
        <v>0</v>
      </c>
      <c r="P123" s="58"/>
    </row>
    <row r="124" spans="1:16" ht="14.25" thickBot="1" x14ac:dyDescent="0.2">
      <c r="A124" s="16" t="s">
        <v>25</v>
      </c>
      <c r="B124" s="37"/>
      <c r="C124" s="35"/>
      <c r="D124" s="35">
        <v>1</v>
      </c>
      <c r="E124" s="35"/>
      <c r="F124" s="28"/>
      <c r="G124" s="7">
        <f t="shared" si="25"/>
        <v>1</v>
      </c>
      <c r="H124" s="58">
        <v>43152</v>
      </c>
      <c r="I124" s="16"/>
      <c r="J124" s="11"/>
      <c r="K124" s="12"/>
      <c r="L124" s="12"/>
      <c r="M124" s="12"/>
      <c r="N124" s="31"/>
      <c r="O124" s="7">
        <f t="shared" ref="O124" si="30">SUM(J124:N124)</f>
        <v>0</v>
      </c>
      <c r="P124" s="36"/>
    </row>
    <row r="125" spans="1:16" ht="14.25" thickBot="1" x14ac:dyDescent="0.2">
      <c r="A125" s="3" t="s">
        <v>11</v>
      </c>
      <c r="B125" s="23">
        <f>SUM(B99:B124)</f>
        <v>-2</v>
      </c>
      <c r="C125" s="4">
        <f>SUM(C99:C124)</f>
        <v>23</v>
      </c>
      <c r="D125" s="4">
        <f>SUM(D99:D124)</f>
        <v>21</v>
      </c>
      <c r="E125" s="6">
        <f>SUM(E99:E124)</f>
        <v>15</v>
      </c>
      <c r="F125" s="32">
        <f>SUM(F99:F124)</f>
        <v>8</v>
      </c>
      <c r="G125" s="5">
        <f>SUM(B125:F125)</f>
        <v>65</v>
      </c>
      <c r="H125" s="56"/>
      <c r="I125" s="3" t="s">
        <v>11</v>
      </c>
      <c r="J125" s="23">
        <f>SUM(J99:J124)</f>
        <v>5</v>
      </c>
      <c r="K125" s="4">
        <f>SUM(K99:K124)</f>
        <v>20</v>
      </c>
      <c r="L125" s="4">
        <f>SUM(L99:L124)</f>
        <v>30</v>
      </c>
      <c r="M125" s="6">
        <f>SUM(M99:M124)</f>
        <v>30</v>
      </c>
      <c r="N125" s="32">
        <f>SUM(N99:N124)</f>
        <v>20</v>
      </c>
      <c r="O125" s="5">
        <f>SUM(J125:N125)</f>
        <v>105</v>
      </c>
    </row>
    <row r="126" spans="1:16" ht="14.25" thickBot="1" x14ac:dyDescent="0.2">
      <c r="A126" s="25" t="s">
        <v>12</v>
      </c>
      <c r="B126" s="63">
        <f>B98-B125</f>
        <v>13</v>
      </c>
      <c r="C126" s="26">
        <f t="shared" ref="C126:G126" si="31">C98-C125</f>
        <v>11</v>
      </c>
      <c r="D126" s="71">
        <f t="shared" si="31"/>
        <v>10</v>
      </c>
      <c r="E126" s="26">
        <f t="shared" si="31"/>
        <v>14</v>
      </c>
      <c r="F126" s="70">
        <f t="shared" si="31"/>
        <v>14</v>
      </c>
      <c r="G126" s="27">
        <f t="shared" si="31"/>
        <v>62</v>
      </c>
      <c r="H126" s="56"/>
      <c r="I126" s="25" t="s">
        <v>12</v>
      </c>
      <c r="J126" s="63">
        <f>J98-J125</f>
        <v>150</v>
      </c>
      <c r="K126" s="26">
        <f t="shared" ref="K126:O126" si="32">K98-K125</f>
        <v>131</v>
      </c>
      <c r="L126" s="71">
        <f t="shared" si="32"/>
        <v>178</v>
      </c>
      <c r="M126" s="26">
        <f t="shared" si="32"/>
        <v>195</v>
      </c>
      <c r="N126" s="70">
        <f t="shared" si="32"/>
        <v>143</v>
      </c>
      <c r="O126" s="27">
        <f t="shared" si="32"/>
        <v>797</v>
      </c>
    </row>
    <row r="127" spans="1:16" ht="21" x14ac:dyDescent="0.2">
      <c r="A127" s="86" t="s">
        <v>413</v>
      </c>
      <c r="B127" s="87"/>
      <c r="C127" s="87"/>
      <c r="D127" s="87"/>
      <c r="E127" s="87"/>
      <c r="F127" s="87"/>
      <c r="G127" s="87"/>
      <c r="H127" s="56"/>
      <c r="I127" s="86" t="s">
        <v>413</v>
      </c>
      <c r="J127" s="87"/>
      <c r="K127" s="87"/>
      <c r="L127" s="87"/>
      <c r="M127" s="87"/>
      <c r="N127" s="87"/>
      <c r="O127" s="87"/>
    </row>
    <row r="128" spans="1:16" ht="21.75" thickBot="1" x14ac:dyDescent="0.25">
      <c r="A128" s="86" t="s">
        <v>51</v>
      </c>
      <c r="B128" s="87"/>
      <c r="C128" s="87"/>
      <c r="D128" s="87"/>
      <c r="E128" s="85"/>
      <c r="F128" s="88" t="s">
        <v>53</v>
      </c>
      <c r="G128" s="87"/>
      <c r="H128" s="56"/>
      <c r="I128" s="86" t="s">
        <v>51</v>
      </c>
      <c r="J128" s="87"/>
      <c r="K128" s="87"/>
      <c r="L128" s="87"/>
      <c r="M128" s="89"/>
      <c r="N128" s="88" t="s">
        <v>54</v>
      </c>
      <c r="O128" s="87"/>
    </row>
    <row r="129" spans="1:16" ht="14.25" thickBot="1" x14ac:dyDescent="0.2">
      <c r="A129" s="13" t="s">
        <v>0</v>
      </c>
      <c r="B129" s="228" t="s">
        <v>52</v>
      </c>
      <c r="C129" s="229"/>
      <c r="D129" s="229"/>
      <c r="E129" s="229"/>
      <c r="F129" s="230"/>
      <c r="G129" s="231"/>
      <c r="H129" s="56"/>
      <c r="I129" s="13" t="s">
        <v>0</v>
      </c>
      <c r="J129" s="228" t="s">
        <v>52</v>
      </c>
      <c r="K129" s="229"/>
      <c r="L129" s="229"/>
      <c r="M129" s="229"/>
      <c r="N129" s="230"/>
      <c r="O129" s="231"/>
    </row>
    <row r="130" spans="1:16" ht="14.25" thickBot="1" x14ac:dyDescent="0.2">
      <c r="A130" s="3" t="s">
        <v>1</v>
      </c>
      <c r="B130" s="2" t="s">
        <v>42</v>
      </c>
      <c r="C130" s="21" t="s">
        <v>43</v>
      </c>
      <c r="D130" s="21" t="s">
        <v>44</v>
      </c>
      <c r="E130" s="24" t="s">
        <v>45</v>
      </c>
      <c r="F130" s="33" t="s">
        <v>46</v>
      </c>
      <c r="G130" s="3" t="s">
        <v>2</v>
      </c>
      <c r="H130" s="56"/>
      <c r="I130" s="3" t="s">
        <v>1</v>
      </c>
      <c r="J130" s="41" t="s">
        <v>42</v>
      </c>
      <c r="K130" s="42" t="s">
        <v>43</v>
      </c>
      <c r="L130" s="42" t="s">
        <v>44</v>
      </c>
      <c r="M130" s="43" t="s">
        <v>45</v>
      </c>
      <c r="N130" s="44" t="s">
        <v>46</v>
      </c>
      <c r="O130" s="3" t="s">
        <v>2</v>
      </c>
    </row>
    <row r="131" spans="1:16" x14ac:dyDescent="0.15">
      <c r="A131" s="96" t="s">
        <v>13</v>
      </c>
      <c r="B131" s="95">
        <f>B126</f>
        <v>13</v>
      </c>
      <c r="C131" s="97">
        <f t="shared" ref="C131:F131" si="33">C126</f>
        <v>11</v>
      </c>
      <c r="D131" s="97">
        <f t="shared" si="33"/>
        <v>10</v>
      </c>
      <c r="E131" s="97">
        <f t="shared" si="33"/>
        <v>14</v>
      </c>
      <c r="F131" s="139">
        <f t="shared" si="33"/>
        <v>14</v>
      </c>
      <c r="G131" s="52">
        <f t="shared" ref="G131:G139" si="34">SUM(B131:F131)</f>
        <v>62</v>
      </c>
      <c r="H131" s="56"/>
      <c r="I131" s="96" t="s">
        <v>13</v>
      </c>
      <c r="J131" s="95">
        <f>J126</f>
        <v>150</v>
      </c>
      <c r="K131" s="97">
        <f t="shared" ref="K131:N131" si="35">K126</f>
        <v>131</v>
      </c>
      <c r="L131" s="97">
        <f t="shared" si="35"/>
        <v>178</v>
      </c>
      <c r="M131" s="97">
        <f t="shared" si="35"/>
        <v>195</v>
      </c>
      <c r="N131" s="139">
        <f t="shared" si="35"/>
        <v>143</v>
      </c>
      <c r="O131" s="52">
        <f t="shared" ref="O131:O139" si="36">SUM(J131:N131)</f>
        <v>797</v>
      </c>
    </row>
    <row r="132" spans="1:16" x14ac:dyDescent="0.15">
      <c r="A132" s="15" t="s">
        <v>3</v>
      </c>
      <c r="B132" s="8">
        <v>10</v>
      </c>
      <c r="C132" s="10">
        <v>10</v>
      </c>
      <c r="D132" s="10"/>
      <c r="E132" s="10"/>
      <c r="F132" s="104"/>
      <c r="G132" s="9">
        <f t="shared" si="34"/>
        <v>20</v>
      </c>
      <c r="H132" s="58">
        <v>43153</v>
      </c>
      <c r="I132" s="15" t="s">
        <v>3</v>
      </c>
      <c r="J132" s="37"/>
      <c r="K132" s="135"/>
      <c r="L132" s="135"/>
      <c r="M132" s="135"/>
      <c r="N132" s="136"/>
      <c r="O132" s="7">
        <f t="shared" si="36"/>
        <v>0</v>
      </c>
    </row>
    <row r="133" spans="1:16" x14ac:dyDescent="0.15">
      <c r="A133" s="15" t="s">
        <v>23</v>
      </c>
      <c r="B133" s="8">
        <v>3</v>
      </c>
      <c r="C133" s="10">
        <v>2</v>
      </c>
      <c r="D133" s="10">
        <v>2</v>
      </c>
      <c r="E133" s="10">
        <v>2</v>
      </c>
      <c r="F133" s="104"/>
      <c r="G133" s="9">
        <f t="shared" si="34"/>
        <v>9</v>
      </c>
      <c r="H133" s="58">
        <v>43157</v>
      </c>
      <c r="I133" s="15" t="s">
        <v>4</v>
      </c>
      <c r="J133" s="8"/>
      <c r="K133" s="45"/>
      <c r="L133" s="45"/>
      <c r="M133" s="45"/>
      <c r="N133" s="46"/>
      <c r="O133" s="9">
        <f t="shared" si="36"/>
        <v>0</v>
      </c>
      <c r="P133" s="58"/>
    </row>
    <row r="134" spans="1:16" x14ac:dyDescent="0.15">
      <c r="A134" s="15" t="s">
        <v>5</v>
      </c>
      <c r="B134" s="8"/>
      <c r="C134" s="10">
        <v>5</v>
      </c>
      <c r="D134" s="10">
        <v>5</v>
      </c>
      <c r="E134" s="10"/>
      <c r="F134" s="104"/>
      <c r="G134" s="9">
        <f t="shared" si="34"/>
        <v>10</v>
      </c>
      <c r="H134" s="58">
        <v>43161</v>
      </c>
      <c r="I134" s="15" t="s">
        <v>5</v>
      </c>
      <c r="J134" s="8"/>
      <c r="K134" s="45"/>
      <c r="L134" s="45"/>
      <c r="M134" s="45"/>
      <c r="N134" s="46"/>
      <c r="O134" s="9">
        <f t="shared" si="36"/>
        <v>0</v>
      </c>
    </row>
    <row r="135" spans="1:16" x14ac:dyDescent="0.15">
      <c r="A135" s="15" t="s">
        <v>411</v>
      </c>
      <c r="B135" s="11"/>
      <c r="C135" s="12"/>
      <c r="D135" s="12">
        <v>3</v>
      </c>
      <c r="E135" s="12"/>
      <c r="F135" s="108"/>
      <c r="G135" s="9">
        <f t="shared" si="34"/>
        <v>3</v>
      </c>
      <c r="H135" s="58">
        <v>43167</v>
      </c>
      <c r="I135" s="15" t="s">
        <v>6</v>
      </c>
      <c r="J135" s="8"/>
      <c r="K135" s="45"/>
      <c r="L135" s="45"/>
      <c r="M135" s="45"/>
      <c r="N135" s="46"/>
      <c r="O135" s="9">
        <f t="shared" si="36"/>
        <v>0</v>
      </c>
    </row>
    <row r="136" spans="1:16" x14ac:dyDescent="0.15">
      <c r="A136" s="15" t="s">
        <v>84</v>
      </c>
      <c r="B136" s="8"/>
      <c r="C136" s="10">
        <v>5</v>
      </c>
      <c r="D136" s="10"/>
      <c r="E136" s="10"/>
      <c r="F136" s="30"/>
      <c r="G136" s="7">
        <f t="shared" si="34"/>
        <v>5</v>
      </c>
      <c r="H136" s="58">
        <v>43173</v>
      </c>
      <c r="I136" s="15" t="s">
        <v>84</v>
      </c>
      <c r="J136" s="8"/>
      <c r="K136" s="45"/>
      <c r="L136" s="45"/>
      <c r="M136" s="45"/>
      <c r="N136" s="46"/>
      <c r="O136" s="7">
        <f t="shared" si="36"/>
        <v>0</v>
      </c>
    </row>
    <row r="137" spans="1:16" x14ac:dyDescent="0.15">
      <c r="A137" s="15" t="s">
        <v>23</v>
      </c>
      <c r="B137" s="8"/>
      <c r="C137" s="10">
        <v>2</v>
      </c>
      <c r="D137" s="10">
        <v>2</v>
      </c>
      <c r="E137" s="10"/>
      <c r="F137" s="30">
        <v>5</v>
      </c>
      <c r="G137" s="7">
        <f t="shared" si="34"/>
        <v>9</v>
      </c>
      <c r="H137" s="58">
        <v>43174</v>
      </c>
      <c r="I137" s="15" t="s">
        <v>85</v>
      </c>
      <c r="J137" s="8"/>
      <c r="K137" s="45"/>
      <c r="L137" s="45"/>
      <c r="M137" s="45"/>
      <c r="N137" s="46"/>
      <c r="O137" s="7">
        <f t="shared" si="36"/>
        <v>0</v>
      </c>
    </row>
    <row r="138" spans="1:16" x14ac:dyDescent="0.15">
      <c r="A138" s="15" t="s">
        <v>86</v>
      </c>
      <c r="B138" s="8">
        <v>5</v>
      </c>
      <c r="C138" s="45"/>
      <c r="D138" s="45"/>
      <c r="E138" s="45">
        <v>10</v>
      </c>
      <c r="F138" s="46"/>
      <c r="G138" s="102">
        <f t="shared" si="34"/>
        <v>15</v>
      </c>
      <c r="H138" s="58">
        <v>43179</v>
      </c>
      <c r="I138" s="15" t="s">
        <v>86</v>
      </c>
      <c r="J138" s="8"/>
      <c r="K138" s="45"/>
      <c r="L138" s="45"/>
      <c r="M138" s="45"/>
      <c r="N138" s="46"/>
      <c r="O138" s="102">
        <f t="shared" si="36"/>
        <v>0</v>
      </c>
    </row>
    <row r="139" spans="1:16" ht="14.25" thickBot="1" x14ac:dyDescent="0.2">
      <c r="A139" s="15" t="s">
        <v>87</v>
      </c>
      <c r="B139" s="11"/>
      <c r="C139" s="100">
        <v>5</v>
      </c>
      <c r="D139" s="100">
        <v>5</v>
      </c>
      <c r="E139" s="100"/>
      <c r="F139" s="109">
        <v>5</v>
      </c>
      <c r="G139" s="40">
        <f t="shared" si="34"/>
        <v>15</v>
      </c>
      <c r="H139" s="58">
        <v>43187</v>
      </c>
      <c r="I139" s="15" t="s">
        <v>87</v>
      </c>
      <c r="J139" s="47"/>
      <c r="K139" s="48"/>
      <c r="L139" s="48"/>
      <c r="M139" s="48"/>
      <c r="N139" s="49"/>
      <c r="O139" s="40">
        <f t="shared" si="36"/>
        <v>0</v>
      </c>
    </row>
    <row r="140" spans="1:16" ht="14.25" thickBot="1" x14ac:dyDescent="0.2">
      <c r="A140" s="72" t="s">
        <v>7</v>
      </c>
      <c r="B140" s="73">
        <f>SUM(B131:B139)</f>
        <v>31</v>
      </c>
      <c r="C140" s="74">
        <f t="shared" ref="C140:G140" si="37">SUM(C131:C139)</f>
        <v>40</v>
      </c>
      <c r="D140" s="74">
        <f t="shared" si="37"/>
        <v>27</v>
      </c>
      <c r="E140" s="74">
        <f t="shared" si="37"/>
        <v>26</v>
      </c>
      <c r="F140" s="105">
        <f t="shared" si="37"/>
        <v>24</v>
      </c>
      <c r="G140" s="76">
        <f t="shared" si="37"/>
        <v>148</v>
      </c>
      <c r="H140" s="56"/>
      <c r="I140" s="72" t="s">
        <v>7</v>
      </c>
      <c r="J140" s="73">
        <f>SUM(J131:J139)</f>
        <v>150</v>
      </c>
      <c r="K140" s="74">
        <f t="shared" ref="K140:O140" si="38">SUM(K131:K139)</f>
        <v>131</v>
      </c>
      <c r="L140" s="74">
        <f t="shared" si="38"/>
        <v>178</v>
      </c>
      <c r="M140" s="74">
        <f t="shared" si="38"/>
        <v>195</v>
      </c>
      <c r="N140" s="105">
        <f t="shared" si="38"/>
        <v>143</v>
      </c>
      <c r="O140" s="76">
        <f t="shared" si="38"/>
        <v>797</v>
      </c>
    </row>
    <row r="141" spans="1:16" x14ac:dyDescent="0.15">
      <c r="A141" s="16" t="s">
        <v>628</v>
      </c>
      <c r="B141" s="37">
        <v>10</v>
      </c>
      <c r="C141" s="35">
        <v>10</v>
      </c>
      <c r="D141" s="35"/>
      <c r="E141" s="35"/>
      <c r="F141" s="28"/>
      <c r="G141" s="18">
        <f t="shared" ref="G141:G166" si="39">SUM(B141:F141)</f>
        <v>20</v>
      </c>
      <c r="H141" s="58">
        <v>43158</v>
      </c>
      <c r="I141" s="16" t="s">
        <v>629</v>
      </c>
      <c r="J141" s="17">
        <v>10</v>
      </c>
      <c r="K141" s="22">
        <v>10</v>
      </c>
      <c r="L141" s="22"/>
      <c r="M141" s="22"/>
      <c r="N141" s="29"/>
      <c r="O141" s="18">
        <f t="shared" ref="O141:O166" si="40">SUM(J141:N141)</f>
        <v>20</v>
      </c>
      <c r="P141" s="58">
        <v>43153</v>
      </c>
    </row>
    <row r="142" spans="1:16" x14ac:dyDescent="0.15">
      <c r="A142" s="16" t="s">
        <v>631</v>
      </c>
      <c r="B142" s="8">
        <v>2</v>
      </c>
      <c r="C142" s="10">
        <v>2</v>
      </c>
      <c r="D142" s="10">
        <v>2</v>
      </c>
      <c r="E142" s="10">
        <v>2</v>
      </c>
      <c r="F142" s="30">
        <v>2</v>
      </c>
      <c r="G142" s="7">
        <f t="shared" si="39"/>
        <v>10</v>
      </c>
      <c r="H142" s="58">
        <v>43165</v>
      </c>
      <c r="I142" s="16" t="s">
        <v>24</v>
      </c>
      <c r="J142" s="8"/>
      <c r="K142" s="10">
        <v>5</v>
      </c>
      <c r="L142" s="10">
        <v>5</v>
      </c>
      <c r="M142" s="10"/>
      <c r="N142" s="30"/>
      <c r="O142" s="7">
        <f t="shared" si="40"/>
        <v>10</v>
      </c>
      <c r="P142" s="58">
        <v>43161</v>
      </c>
    </row>
    <row r="143" spans="1:16" x14ac:dyDescent="0.15">
      <c r="A143" s="16" t="s">
        <v>25</v>
      </c>
      <c r="B143" s="8"/>
      <c r="C143" s="10"/>
      <c r="D143" s="10"/>
      <c r="E143" s="10">
        <v>1</v>
      </c>
      <c r="F143" s="30"/>
      <c r="G143" s="7">
        <f t="shared" si="39"/>
        <v>1</v>
      </c>
      <c r="H143" s="58">
        <v>43154</v>
      </c>
      <c r="I143" s="16" t="s">
        <v>24</v>
      </c>
      <c r="J143" s="8"/>
      <c r="K143" s="10">
        <v>5</v>
      </c>
      <c r="L143" s="10"/>
      <c r="M143" s="10"/>
      <c r="N143" s="30"/>
      <c r="O143" s="7">
        <f t="shared" si="40"/>
        <v>5</v>
      </c>
      <c r="P143" s="58">
        <v>43173</v>
      </c>
    </row>
    <row r="144" spans="1:16" x14ac:dyDescent="0.15">
      <c r="A144" s="16" t="s">
        <v>588</v>
      </c>
      <c r="B144" s="8">
        <v>1</v>
      </c>
      <c r="C144" s="10">
        <v>3</v>
      </c>
      <c r="D144" s="10">
        <v>1</v>
      </c>
      <c r="E144" s="10"/>
      <c r="F144" s="30"/>
      <c r="G144" s="7">
        <f t="shared" si="39"/>
        <v>5</v>
      </c>
      <c r="H144" s="58">
        <v>43164</v>
      </c>
      <c r="I144" s="16" t="s">
        <v>24</v>
      </c>
      <c r="J144" s="8">
        <v>5</v>
      </c>
      <c r="K144" s="10"/>
      <c r="L144" s="10"/>
      <c r="M144" s="10">
        <v>10</v>
      </c>
      <c r="N144" s="30"/>
      <c r="O144" s="7">
        <f t="shared" si="40"/>
        <v>15</v>
      </c>
      <c r="P144" s="58">
        <v>43179</v>
      </c>
    </row>
    <row r="145" spans="1:16" x14ac:dyDescent="0.15">
      <c r="A145" s="50" t="s">
        <v>638</v>
      </c>
      <c r="B145" s="8"/>
      <c r="C145" s="10">
        <v>1</v>
      </c>
      <c r="D145" s="10"/>
      <c r="E145" s="10"/>
      <c r="F145" s="30"/>
      <c r="G145" s="7">
        <f t="shared" si="39"/>
        <v>1</v>
      </c>
      <c r="H145" s="58">
        <v>43162</v>
      </c>
      <c r="I145" s="16" t="s">
        <v>24</v>
      </c>
      <c r="J145" s="8"/>
      <c r="K145" s="10">
        <v>5</v>
      </c>
      <c r="L145" s="10">
        <v>5</v>
      </c>
      <c r="M145" s="10"/>
      <c r="N145" s="30">
        <v>5</v>
      </c>
      <c r="O145" s="7">
        <f t="shared" si="40"/>
        <v>15</v>
      </c>
      <c r="P145" s="58">
        <v>43187</v>
      </c>
    </row>
    <row r="146" spans="1:16" x14ac:dyDescent="0.15">
      <c r="A146" s="16" t="s">
        <v>639</v>
      </c>
      <c r="B146" s="8"/>
      <c r="C146" s="10">
        <v>1</v>
      </c>
      <c r="D146" s="10">
        <v>1</v>
      </c>
      <c r="E146" s="10">
        <v>2</v>
      </c>
      <c r="F146" s="30"/>
      <c r="G146" s="7">
        <f t="shared" si="39"/>
        <v>4</v>
      </c>
      <c r="H146" s="58">
        <v>43167</v>
      </c>
      <c r="I146" s="16"/>
      <c r="J146" s="8"/>
      <c r="K146" s="10"/>
      <c r="L146" s="10"/>
      <c r="M146" s="10"/>
      <c r="N146" s="30"/>
      <c r="O146" s="7">
        <f t="shared" si="40"/>
        <v>0</v>
      </c>
      <c r="P146" s="58"/>
    </row>
    <row r="147" spans="1:16" x14ac:dyDescent="0.15">
      <c r="A147" s="16" t="s">
        <v>29</v>
      </c>
      <c r="B147" s="8"/>
      <c r="C147" s="10"/>
      <c r="D147" s="10">
        <v>1</v>
      </c>
      <c r="E147" s="10"/>
      <c r="F147" s="30"/>
      <c r="G147" s="7">
        <f t="shared" si="39"/>
        <v>1</v>
      </c>
      <c r="H147" s="58">
        <v>43167</v>
      </c>
      <c r="I147" s="16"/>
      <c r="J147" s="8"/>
      <c r="K147" s="10"/>
      <c r="L147" s="10"/>
      <c r="M147" s="10"/>
      <c r="N147" s="30"/>
      <c r="O147" s="7">
        <f t="shared" si="40"/>
        <v>0</v>
      </c>
    </row>
    <row r="148" spans="1:16" x14ac:dyDescent="0.15">
      <c r="A148" s="16" t="s">
        <v>643</v>
      </c>
      <c r="B148" s="8">
        <v>1</v>
      </c>
      <c r="C148" s="10">
        <v>1</v>
      </c>
      <c r="D148" s="10"/>
      <c r="E148" s="10">
        <v>1</v>
      </c>
      <c r="F148" s="30"/>
      <c r="G148" s="7">
        <f t="shared" si="39"/>
        <v>3</v>
      </c>
      <c r="H148" s="58">
        <v>43169</v>
      </c>
      <c r="I148" s="16"/>
      <c r="J148" s="8"/>
      <c r="K148" s="10"/>
      <c r="L148" s="10"/>
      <c r="M148" s="10"/>
      <c r="N148" s="30"/>
      <c r="O148" s="7">
        <f t="shared" si="40"/>
        <v>0</v>
      </c>
    </row>
    <row r="149" spans="1:16" x14ac:dyDescent="0.15">
      <c r="A149" s="16" t="s">
        <v>25</v>
      </c>
      <c r="B149" s="8">
        <v>1</v>
      </c>
      <c r="C149" s="10"/>
      <c r="D149" s="10">
        <v>1</v>
      </c>
      <c r="E149" s="10"/>
      <c r="F149" s="30"/>
      <c r="G149" s="7">
        <f t="shared" si="39"/>
        <v>2</v>
      </c>
      <c r="H149" s="58">
        <v>43172</v>
      </c>
      <c r="I149" s="16"/>
      <c r="J149" s="11"/>
      <c r="K149" s="100"/>
      <c r="L149" s="100"/>
      <c r="M149" s="100"/>
      <c r="N149" s="109"/>
      <c r="O149" s="9">
        <f t="shared" si="40"/>
        <v>0</v>
      </c>
    </row>
    <row r="150" spans="1:16" x14ac:dyDescent="0.15">
      <c r="A150" s="16" t="s">
        <v>645</v>
      </c>
      <c r="B150" s="8"/>
      <c r="C150" s="10">
        <v>3</v>
      </c>
      <c r="D150" s="10">
        <v>2</v>
      </c>
      <c r="E150" s="10">
        <v>2</v>
      </c>
      <c r="F150" s="30"/>
      <c r="G150" s="7">
        <f t="shared" si="39"/>
        <v>7</v>
      </c>
      <c r="H150" s="58">
        <v>43174</v>
      </c>
      <c r="I150" s="16"/>
      <c r="J150" s="11"/>
      <c r="K150" s="12"/>
      <c r="L150" s="12"/>
      <c r="M150" s="12"/>
      <c r="N150" s="31"/>
      <c r="O150" s="7">
        <f t="shared" si="40"/>
        <v>0</v>
      </c>
    </row>
    <row r="151" spans="1:16" x14ac:dyDescent="0.15">
      <c r="A151" s="16" t="s">
        <v>647</v>
      </c>
      <c r="B151" s="11"/>
      <c r="C151" s="12"/>
      <c r="D151" s="12">
        <v>-1</v>
      </c>
      <c r="E151" s="12">
        <v>1</v>
      </c>
      <c r="F151" s="31"/>
      <c r="G151" s="7">
        <f t="shared" si="39"/>
        <v>0</v>
      </c>
      <c r="H151" s="58">
        <v>43171</v>
      </c>
      <c r="I151" s="16"/>
      <c r="J151" s="8"/>
      <c r="K151" s="10"/>
      <c r="L151" s="10"/>
      <c r="M151" s="10"/>
      <c r="N151" s="30"/>
      <c r="O151" s="7">
        <f t="shared" si="40"/>
        <v>0</v>
      </c>
    </row>
    <row r="152" spans="1:16" x14ac:dyDescent="0.15">
      <c r="A152" s="16" t="s">
        <v>25</v>
      </c>
      <c r="B152" s="8"/>
      <c r="C152" s="10">
        <v>2</v>
      </c>
      <c r="D152" s="10"/>
      <c r="E152" s="10">
        <v>2</v>
      </c>
      <c r="F152" s="30"/>
      <c r="G152" s="7">
        <f t="shared" si="39"/>
        <v>4</v>
      </c>
      <c r="H152" s="58">
        <v>43174</v>
      </c>
      <c r="I152" s="16"/>
      <c r="J152" s="8"/>
      <c r="K152" s="10"/>
      <c r="L152" s="10"/>
      <c r="M152" s="10"/>
      <c r="N152" s="30"/>
      <c r="O152" s="7">
        <f t="shared" si="40"/>
        <v>0</v>
      </c>
    </row>
    <row r="153" spans="1:16" x14ac:dyDescent="0.15">
      <c r="A153" s="16" t="s">
        <v>648</v>
      </c>
      <c r="B153" s="8">
        <v>1</v>
      </c>
      <c r="C153" s="10"/>
      <c r="D153" s="10">
        <v>1</v>
      </c>
      <c r="E153" s="10">
        <v>1</v>
      </c>
      <c r="F153" s="30"/>
      <c r="G153" s="7">
        <f t="shared" si="39"/>
        <v>3</v>
      </c>
      <c r="H153" s="58">
        <v>43178</v>
      </c>
      <c r="I153" s="16"/>
      <c r="J153" s="8"/>
      <c r="K153" s="10"/>
      <c r="L153" s="10"/>
      <c r="M153" s="10"/>
      <c r="N153" s="30"/>
      <c r="O153" s="7">
        <f t="shared" si="40"/>
        <v>0</v>
      </c>
    </row>
    <row r="154" spans="1:16" x14ac:dyDescent="0.15">
      <c r="A154" s="16" t="s">
        <v>25</v>
      </c>
      <c r="B154" s="8">
        <v>1</v>
      </c>
      <c r="C154" s="10">
        <v>2</v>
      </c>
      <c r="D154" s="10"/>
      <c r="E154" s="10"/>
      <c r="F154" s="30"/>
      <c r="G154" s="7">
        <f t="shared" si="39"/>
        <v>3</v>
      </c>
      <c r="H154" s="58">
        <v>43176</v>
      </c>
      <c r="I154" s="16"/>
      <c r="J154" s="8"/>
      <c r="K154" s="10"/>
      <c r="L154" s="10"/>
      <c r="M154" s="10"/>
      <c r="N154" s="30"/>
      <c r="O154" s="7">
        <f t="shared" si="40"/>
        <v>0</v>
      </c>
    </row>
    <row r="155" spans="1:16" x14ac:dyDescent="0.15">
      <c r="A155" s="16" t="s">
        <v>25</v>
      </c>
      <c r="B155" s="8">
        <v>1</v>
      </c>
      <c r="C155" s="10"/>
      <c r="D155" s="10"/>
      <c r="E155" s="10"/>
      <c r="F155" s="30"/>
      <c r="G155" s="7">
        <f t="shared" si="39"/>
        <v>1</v>
      </c>
      <c r="H155" s="58">
        <v>43179</v>
      </c>
      <c r="I155" s="16"/>
      <c r="J155" s="8"/>
      <c r="K155" s="10"/>
      <c r="L155" s="10"/>
      <c r="M155" s="10"/>
      <c r="N155" s="30"/>
      <c r="O155" s="7">
        <f t="shared" si="40"/>
        <v>0</v>
      </c>
    </row>
    <row r="156" spans="1:16" x14ac:dyDescent="0.15">
      <c r="A156" s="16" t="s">
        <v>653</v>
      </c>
      <c r="B156" s="8"/>
      <c r="C156" s="10">
        <v>2</v>
      </c>
      <c r="D156" s="10"/>
      <c r="E156" s="10">
        <v>1</v>
      </c>
      <c r="F156" s="30">
        <v>1</v>
      </c>
      <c r="G156" s="7">
        <f t="shared" si="39"/>
        <v>4</v>
      </c>
      <c r="H156" s="58">
        <v>43181</v>
      </c>
      <c r="I156" s="16"/>
      <c r="J156" s="8"/>
      <c r="K156" s="10"/>
      <c r="L156" s="10"/>
      <c r="M156" s="10"/>
      <c r="N156" s="30"/>
      <c r="O156" s="7">
        <f t="shared" si="40"/>
        <v>0</v>
      </c>
    </row>
    <row r="157" spans="1:16" x14ac:dyDescent="0.15">
      <c r="A157" s="16" t="s">
        <v>22</v>
      </c>
      <c r="B157" s="8"/>
      <c r="C157" s="10"/>
      <c r="D157" s="10"/>
      <c r="E157" s="10"/>
      <c r="F157" s="30">
        <v>10</v>
      </c>
      <c r="G157" s="7">
        <f t="shared" si="39"/>
        <v>10</v>
      </c>
      <c r="H157" s="58">
        <v>43185</v>
      </c>
      <c r="I157" s="16"/>
      <c r="J157" s="11"/>
      <c r="K157" s="12"/>
      <c r="L157" s="12"/>
      <c r="M157" s="12"/>
      <c r="N157" s="31"/>
      <c r="O157" s="7">
        <f t="shared" si="40"/>
        <v>0</v>
      </c>
      <c r="P157" s="58"/>
    </row>
    <row r="158" spans="1:16" x14ac:dyDescent="0.15">
      <c r="A158" s="16" t="s">
        <v>659</v>
      </c>
      <c r="B158" s="8"/>
      <c r="C158" s="10"/>
      <c r="D158" s="10">
        <v>1</v>
      </c>
      <c r="E158" s="10"/>
      <c r="F158" s="30"/>
      <c r="G158" s="7">
        <f t="shared" si="39"/>
        <v>1</v>
      </c>
      <c r="H158" s="58">
        <v>43179</v>
      </c>
      <c r="I158" s="16"/>
      <c r="J158" s="11"/>
      <c r="K158" s="12"/>
      <c r="L158" s="12"/>
      <c r="M158" s="12"/>
      <c r="N158" s="31"/>
      <c r="O158" s="7">
        <f t="shared" si="40"/>
        <v>0</v>
      </c>
      <c r="P158" s="36"/>
    </row>
    <row r="159" spans="1:16" x14ac:dyDescent="0.15">
      <c r="A159" s="16" t="s">
        <v>25</v>
      </c>
      <c r="B159" s="8">
        <v>1</v>
      </c>
      <c r="C159" s="10"/>
      <c r="D159" s="10"/>
      <c r="E159" s="10">
        <v>2</v>
      </c>
      <c r="F159" s="30">
        <v>1</v>
      </c>
      <c r="G159" s="7">
        <f t="shared" si="39"/>
        <v>4</v>
      </c>
      <c r="H159" s="58">
        <v>43182</v>
      </c>
      <c r="I159" s="16"/>
      <c r="J159" s="11"/>
      <c r="K159" s="12"/>
      <c r="L159" s="12"/>
      <c r="M159" s="12"/>
      <c r="N159" s="31"/>
      <c r="O159" s="7">
        <f t="shared" si="40"/>
        <v>0</v>
      </c>
      <c r="P159" s="36"/>
    </row>
    <row r="160" spans="1:16" x14ac:dyDescent="0.15">
      <c r="A160" s="16" t="s">
        <v>25</v>
      </c>
      <c r="B160" s="8"/>
      <c r="C160" s="10"/>
      <c r="D160" s="10">
        <v>1</v>
      </c>
      <c r="E160" s="10">
        <v>1</v>
      </c>
      <c r="F160" s="30"/>
      <c r="G160" s="7">
        <f t="shared" si="39"/>
        <v>2</v>
      </c>
      <c r="H160" s="58">
        <v>43186</v>
      </c>
      <c r="I160" s="20"/>
      <c r="J160" s="8"/>
      <c r="K160" s="10"/>
      <c r="L160" s="10"/>
      <c r="M160" s="10"/>
      <c r="N160" s="30"/>
      <c r="O160" s="7">
        <f t="shared" si="40"/>
        <v>0</v>
      </c>
      <c r="P160" s="36"/>
    </row>
    <row r="161" spans="1:16" x14ac:dyDescent="0.15">
      <c r="A161" s="16" t="s">
        <v>661</v>
      </c>
      <c r="B161" s="8"/>
      <c r="C161" s="10">
        <v>1</v>
      </c>
      <c r="D161" s="10">
        <v>1</v>
      </c>
      <c r="E161" s="10"/>
      <c r="F161" s="30">
        <v>1</v>
      </c>
      <c r="G161" s="7">
        <f t="shared" si="39"/>
        <v>3</v>
      </c>
      <c r="H161" s="58">
        <v>43188</v>
      </c>
      <c r="I161" s="20"/>
      <c r="J161" s="11"/>
      <c r="K161" s="12"/>
      <c r="L161" s="12"/>
      <c r="M161" s="12"/>
      <c r="N161" s="31"/>
      <c r="O161" s="7">
        <f t="shared" si="40"/>
        <v>0</v>
      </c>
      <c r="P161" s="36"/>
    </row>
    <row r="162" spans="1:16" x14ac:dyDescent="0.15">
      <c r="A162" s="16" t="s">
        <v>25</v>
      </c>
      <c r="B162" s="8"/>
      <c r="C162" s="10"/>
      <c r="D162" s="10">
        <v>1</v>
      </c>
      <c r="E162" s="10"/>
      <c r="F162" s="59"/>
      <c r="G162" s="7">
        <f t="shared" si="39"/>
        <v>1</v>
      </c>
      <c r="H162" s="58">
        <v>43189</v>
      </c>
      <c r="I162" s="141"/>
      <c r="J162" s="11"/>
      <c r="K162" s="12"/>
      <c r="L162" s="12"/>
      <c r="M162" s="12"/>
      <c r="N162" s="31"/>
      <c r="O162" s="7">
        <f t="shared" si="40"/>
        <v>0</v>
      </c>
      <c r="P162" s="36"/>
    </row>
    <row r="163" spans="1:16" x14ac:dyDescent="0.15">
      <c r="A163" s="16" t="s">
        <v>671</v>
      </c>
      <c r="B163" s="37"/>
      <c r="C163" s="35"/>
      <c r="D163" s="35">
        <v>-3</v>
      </c>
      <c r="E163" s="35"/>
      <c r="F163" s="28">
        <v>-1</v>
      </c>
      <c r="G163" s="7">
        <f t="shared" si="39"/>
        <v>-4</v>
      </c>
      <c r="H163" s="58">
        <v>43190</v>
      </c>
      <c r="I163" s="14"/>
      <c r="J163" s="11"/>
      <c r="K163" s="12"/>
      <c r="L163" s="12"/>
      <c r="M163" s="12"/>
      <c r="N163" s="31"/>
      <c r="O163" s="7">
        <f t="shared" si="40"/>
        <v>0</v>
      </c>
      <c r="P163" s="36"/>
    </row>
    <row r="164" spans="1:16" x14ac:dyDescent="0.15">
      <c r="A164" s="16" t="s">
        <v>25</v>
      </c>
      <c r="B164" s="8"/>
      <c r="C164" s="10">
        <v>1</v>
      </c>
      <c r="D164" s="10">
        <v>2</v>
      </c>
      <c r="E164" s="10">
        <v>1</v>
      </c>
      <c r="F164" s="30">
        <v>1</v>
      </c>
      <c r="G164" s="7">
        <f t="shared" si="39"/>
        <v>5</v>
      </c>
      <c r="H164" s="58">
        <v>43193</v>
      </c>
      <c r="I164" s="51"/>
      <c r="J164" s="11"/>
      <c r="K164" s="12"/>
      <c r="L164" s="12"/>
      <c r="M164" s="12"/>
      <c r="N164" s="31"/>
      <c r="O164" s="7">
        <f t="shared" si="40"/>
        <v>0</v>
      </c>
      <c r="P164" s="36"/>
    </row>
    <row r="165" spans="1:16" x14ac:dyDescent="0.15">
      <c r="A165" s="16"/>
      <c r="B165" s="8"/>
      <c r="C165" s="10"/>
      <c r="D165" s="10"/>
      <c r="E165" s="10"/>
      <c r="F165" s="30"/>
      <c r="G165" s="9">
        <f t="shared" si="39"/>
        <v>0</v>
      </c>
      <c r="H165" s="58"/>
      <c r="I165" s="14"/>
      <c r="J165" s="11"/>
      <c r="K165" s="12"/>
      <c r="L165" s="12"/>
      <c r="M165" s="12"/>
      <c r="N165" s="31"/>
      <c r="O165" s="7">
        <f t="shared" ref="O165" si="41">SUM(J165:N165)</f>
        <v>0</v>
      </c>
      <c r="P165" s="36"/>
    </row>
    <row r="166" spans="1:16" ht="14.25" thickBot="1" x14ac:dyDescent="0.2">
      <c r="A166" s="16"/>
      <c r="B166" s="37"/>
      <c r="C166" s="35"/>
      <c r="D166" s="35"/>
      <c r="E166" s="35"/>
      <c r="F166" s="28"/>
      <c r="G166" s="7">
        <f t="shared" si="39"/>
        <v>0</v>
      </c>
      <c r="H166" s="58"/>
      <c r="I166" s="16"/>
      <c r="J166" s="11"/>
      <c r="K166" s="12"/>
      <c r="L166" s="12"/>
      <c r="M166" s="12"/>
      <c r="N166" s="31"/>
      <c r="O166" s="7">
        <f t="shared" si="40"/>
        <v>0</v>
      </c>
      <c r="P166" s="36"/>
    </row>
    <row r="167" spans="1:16" ht="14.25" thickBot="1" x14ac:dyDescent="0.2">
      <c r="A167" s="3" t="s">
        <v>11</v>
      </c>
      <c r="B167" s="23">
        <f>SUM(B141:B166)</f>
        <v>19</v>
      </c>
      <c r="C167" s="4">
        <f>SUM(C141:C166)</f>
        <v>29</v>
      </c>
      <c r="D167" s="4">
        <f>SUM(D141:D166)</f>
        <v>11</v>
      </c>
      <c r="E167" s="6">
        <f>SUM(E141:E166)</f>
        <v>17</v>
      </c>
      <c r="F167" s="32">
        <f>SUM(F141:F166)</f>
        <v>15</v>
      </c>
      <c r="G167" s="5">
        <f>SUM(B167:F167)</f>
        <v>91</v>
      </c>
      <c r="H167" s="56"/>
      <c r="I167" s="3" t="s">
        <v>11</v>
      </c>
      <c r="J167" s="23">
        <f>SUM(J141:J166)</f>
        <v>15</v>
      </c>
      <c r="K167" s="4">
        <f>SUM(K141:K166)</f>
        <v>25</v>
      </c>
      <c r="L167" s="4">
        <f>SUM(L141:L166)</f>
        <v>10</v>
      </c>
      <c r="M167" s="6">
        <f>SUM(M141:M166)</f>
        <v>10</v>
      </c>
      <c r="N167" s="32">
        <f>SUM(N141:N166)</f>
        <v>5</v>
      </c>
      <c r="O167" s="5">
        <f>SUM(J167:N167)</f>
        <v>65</v>
      </c>
    </row>
    <row r="168" spans="1:16" ht="14.25" thickBot="1" x14ac:dyDescent="0.2">
      <c r="A168" s="25" t="s">
        <v>12</v>
      </c>
      <c r="B168" s="63">
        <f>B140-B167</f>
        <v>12</v>
      </c>
      <c r="C168" s="26">
        <f t="shared" ref="C168:G168" si="42">C140-C167</f>
        <v>11</v>
      </c>
      <c r="D168" s="71">
        <f t="shared" si="42"/>
        <v>16</v>
      </c>
      <c r="E168" s="26">
        <f t="shared" si="42"/>
        <v>9</v>
      </c>
      <c r="F168" s="70">
        <f t="shared" si="42"/>
        <v>9</v>
      </c>
      <c r="G168" s="27">
        <f t="shared" si="42"/>
        <v>57</v>
      </c>
      <c r="H168" s="56"/>
      <c r="I168" s="25" t="s">
        <v>12</v>
      </c>
      <c r="J168" s="63">
        <f>J140-J167</f>
        <v>135</v>
      </c>
      <c r="K168" s="26">
        <f t="shared" ref="K168:O168" si="43">K140-K167</f>
        <v>106</v>
      </c>
      <c r="L168" s="71">
        <f t="shared" si="43"/>
        <v>168</v>
      </c>
      <c r="M168" s="26">
        <f t="shared" si="43"/>
        <v>185</v>
      </c>
      <c r="N168" s="70">
        <f t="shared" si="43"/>
        <v>138</v>
      </c>
      <c r="O168" s="27">
        <f t="shared" si="43"/>
        <v>732</v>
      </c>
    </row>
    <row r="169" spans="1:16" ht="21" x14ac:dyDescent="0.2">
      <c r="A169" s="86" t="s">
        <v>413</v>
      </c>
      <c r="B169" s="87"/>
      <c r="C169" s="87"/>
      <c r="D169" s="87"/>
      <c r="E169" s="87"/>
      <c r="F169" s="87"/>
      <c r="G169" s="87"/>
      <c r="H169" s="56"/>
      <c r="I169" s="86" t="s">
        <v>413</v>
      </c>
      <c r="J169" s="87"/>
      <c r="K169" s="87"/>
      <c r="L169" s="87"/>
      <c r="M169" s="87"/>
      <c r="N169" s="87"/>
      <c r="O169" s="87"/>
    </row>
    <row r="170" spans="1:16" ht="21.75" thickBot="1" x14ac:dyDescent="0.25">
      <c r="A170" s="86" t="s">
        <v>51</v>
      </c>
      <c r="B170" s="87"/>
      <c r="C170" s="87"/>
      <c r="D170" s="87"/>
      <c r="E170" s="85"/>
      <c r="F170" s="88" t="s">
        <v>53</v>
      </c>
      <c r="G170" s="87"/>
      <c r="H170" s="56"/>
      <c r="I170" s="86" t="s">
        <v>51</v>
      </c>
      <c r="J170" s="87"/>
      <c r="K170" s="87"/>
      <c r="L170" s="87"/>
      <c r="M170" s="89"/>
      <c r="N170" s="88" t="s">
        <v>54</v>
      </c>
      <c r="O170" s="87"/>
    </row>
    <row r="171" spans="1:16" ht="14.25" thickBot="1" x14ac:dyDescent="0.2">
      <c r="A171" s="13" t="s">
        <v>0</v>
      </c>
      <c r="B171" s="228" t="s">
        <v>52</v>
      </c>
      <c r="C171" s="229"/>
      <c r="D171" s="229"/>
      <c r="E171" s="229"/>
      <c r="F171" s="230"/>
      <c r="G171" s="231"/>
      <c r="H171" s="56"/>
      <c r="I171" s="13" t="s">
        <v>0</v>
      </c>
      <c r="J171" s="228" t="s">
        <v>52</v>
      </c>
      <c r="K171" s="229"/>
      <c r="L171" s="229"/>
      <c r="M171" s="229"/>
      <c r="N171" s="230"/>
      <c r="O171" s="231"/>
    </row>
    <row r="172" spans="1:16" ht="14.25" thickBot="1" x14ac:dyDescent="0.2">
      <c r="A172" s="3" t="s">
        <v>1</v>
      </c>
      <c r="B172" s="2" t="s">
        <v>42</v>
      </c>
      <c r="C172" s="21" t="s">
        <v>43</v>
      </c>
      <c r="D172" s="21" t="s">
        <v>44</v>
      </c>
      <c r="E172" s="24" t="s">
        <v>45</v>
      </c>
      <c r="F172" s="33" t="s">
        <v>46</v>
      </c>
      <c r="G172" s="3" t="s">
        <v>2</v>
      </c>
      <c r="H172" s="56"/>
      <c r="I172" s="3" t="s">
        <v>1</v>
      </c>
      <c r="J172" s="41" t="s">
        <v>42</v>
      </c>
      <c r="K172" s="42" t="s">
        <v>43</v>
      </c>
      <c r="L172" s="42" t="s">
        <v>44</v>
      </c>
      <c r="M172" s="43" t="s">
        <v>45</v>
      </c>
      <c r="N172" s="44" t="s">
        <v>46</v>
      </c>
      <c r="O172" s="3" t="s">
        <v>2</v>
      </c>
    </row>
    <row r="173" spans="1:16" x14ac:dyDescent="0.15">
      <c r="A173" s="96" t="s">
        <v>13</v>
      </c>
      <c r="B173" s="95">
        <f>B168</f>
        <v>12</v>
      </c>
      <c r="C173" s="97">
        <f t="shared" ref="C173:F173" si="44">C168</f>
        <v>11</v>
      </c>
      <c r="D173" s="97">
        <f t="shared" si="44"/>
        <v>16</v>
      </c>
      <c r="E173" s="97">
        <f t="shared" si="44"/>
        <v>9</v>
      </c>
      <c r="F173" s="139">
        <f t="shared" si="44"/>
        <v>9</v>
      </c>
      <c r="G173" s="52">
        <f t="shared" ref="G173:G181" si="45">SUM(B173:F173)</f>
        <v>57</v>
      </c>
      <c r="H173" s="56"/>
      <c r="I173" s="96" t="s">
        <v>13</v>
      </c>
      <c r="J173" s="95">
        <f>J168</f>
        <v>135</v>
      </c>
      <c r="K173" s="97">
        <f t="shared" ref="K173:N173" si="46">K168</f>
        <v>106</v>
      </c>
      <c r="L173" s="97">
        <f t="shared" si="46"/>
        <v>168</v>
      </c>
      <c r="M173" s="97">
        <f t="shared" si="46"/>
        <v>185</v>
      </c>
      <c r="N173" s="139">
        <f t="shared" si="46"/>
        <v>138</v>
      </c>
      <c r="O173" s="52">
        <f t="shared" ref="O173:O181" si="47">SUM(J173:N173)</f>
        <v>732</v>
      </c>
    </row>
    <row r="174" spans="1:16" x14ac:dyDescent="0.15">
      <c r="A174" s="15" t="s">
        <v>3</v>
      </c>
      <c r="B174" s="8"/>
      <c r="C174" s="10"/>
      <c r="D174" s="10"/>
      <c r="E174" s="10"/>
      <c r="F174" s="104"/>
      <c r="G174" s="9">
        <f t="shared" si="45"/>
        <v>0</v>
      </c>
      <c r="H174" s="58"/>
      <c r="I174" s="15" t="s">
        <v>3</v>
      </c>
      <c r="J174" s="37"/>
      <c r="K174" s="135"/>
      <c r="L174" s="135"/>
      <c r="M174" s="135"/>
      <c r="N174" s="136"/>
      <c r="O174" s="7">
        <f t="shared" si="47"/>
        <v>0</v>
      </c>
    </row>
    <row r="175" spans="1:16" x14ac:dyDescent="0.15">
      <c r="A175" s="16" t="s">
        <v>24</v>
      </c>
      <c r="B175" s="8">
        <v>10</v>
      </c>
      <c r="C175" s="10"/>
      <c r="D175" s="10"/>
      <c r="E175" s="10">
        <v>10</v>
      </c>
      <c r="F175" s="30"/>
      <c r="G175" s="7">
        <f t="shared" si="45"/>
        <v>20</v>
      </c>
      <c r="H175" s="58">
        <v>43196</v>
      </c>
      <c r="I175" s="15" t="s">
        <v>4</v>
      </c>
      <c r="J175" s="8"/>
      <c r="K175" s="10"/>
      <c r="L175" s="10"/>
      <c r="M175" s="10"/>
      <c r="N175" s="30"/>
      <c r="O175" s="7">
        <f t="shared" si="47"/>
        <v>0</v>
      </c>
      <c r="P175" s="58"/>
    </row>
    <row r="176" spans="1:16" x14ac:dyDescent="0.15">
      <c r="A176" s="15" t="s">
        <v>17</v>
      </c>
      <c r="B176" s="8">
        <v>2</v>
      </c>
      <c r="C176" s="10"/>
      <c r="D176" s="10"/>
      <c r="E176" s="10"/>
      <c r="F176" s="104"/>
      <c r="G176" s="9">
        <f t="shared" si="45"/>
        <v>2</v>
      </c>
      <c r="H176" s="58">
        <v>43197</v>
      </c>
      <c r="I176" s="15" t="s">
        <v>5</v>
      </c>
      <c r="J176" s="8"/>
      <c r="K176" s="45"/>
      <c r="L176" s="45"/>
      <c r="M176" s="45"/>
      <c r="N176" s="46"/>
      <c r="O176" s="9">
        <f t="shared" si="47"/>
        <v>0</v>
      </c>
      <c r="P176" s="56"/>
    </row>
    <row r="177" spans="1:17" x14ac:dyDescent="0.15">
      <c r="A177" s="15" t="s">
        <v>6</v>
      </c>
      <c r="B177" s="11"/>
      <c r="C177" s="12"/>
      <c r="D177" s="12"/>
      <c r="E177" s="12"/>
      <c r="F177" s="108">
        <v>15</v>
      </c>
      <c r="G177" s="9">
        <f t="shared" si="45"/>
        <v>15</v>
      </c>
      <c r="H177" s="58">
        <v>43202</v>
      </c>
      <c r="I177" s="15" t="s">
        <v>6</v>
      </c>
      <c r="J177" s="8"/>
      <c r="K177" s="45"/>
      <c r="L177" s="45"/>
      <c r="M177" s="45"/>
      <c r="N177" s="46"/>
      <c r="O177" s="9">
        <f t="shared" si="47"/>
        <v>0</v>
      </c>
    </row>
    <row r="178" spans="1:17" x14ac:dyDescent="0.15">
      <c r="A178" s="15" t="s">
        <v>84</v>
      </c>
      <c r="B178" s="8"/>
      <c r="C178" s="10">
        <v>5</v>
      </c>
      <c r="D178" s="10">
        <v>10</v>
      </c>
      <c r="E178" s="10">
        <v>5</v>
      </c>
      <c r="F178" s="30"/>
      <c r="G178" s="7">
        <f t="shared" si="45"/>
        <v>20</v>
      </c>
      <c r="H178" s="58">
        <v>43206</v>
      </c>
      <c r="I178" s="15" t="s">
        <v>84</v>
      </c>
      <c r="J178" s="8"/>
      <c r="K178" s="45"/>
      <c r="L178" s="45"/>
      <c r="M178" s="45"/>
      <c r="N178" s="46"/>
      <c r="O178" s="7">
        <f t="shared" si="47"/>
        <v>0</v>
      </c>
    </row>
    <row r="179" spans="1:17" x14ac:dyDescent="0.15">
      <c r="A179" s="15" t="s">
        <v>17</v>
      </c>
      <c r="B179" s="8"/>
      <c r="C179" s="10">
        <v>1</v>
      </c>
      <c r="D179" s="10">
        <v>1</v>
      </c>
      <c r="E179" s="10"/>
      <c r="F179" s="30"/>
      <c r="G179" s="7">
        <f t="shared" si="45"/>
        <v>2</v>
      </c>
      <c r="H179" s="58">
        <v>43208</v>
      </c>
      <c r="I179" s="15" t="s">
        <v>85</v>
      </c>
      <c r="J179" s="8"/>
      <c r="K179" s="45"/>
      <c r="L179" s="45"/>
      <c r="M179" s="45"/>
      <c r="N179" s="46"/>
      <c r="O179" s="7">
        <f t="shared" si="47"/>
        <v>0</v>
      </c>
    </row>
    <row r="180" spans="1:17" x14ac:dyDescent="0.15">
      <c r="A180" s="15" t="s">
        <v>86</v>
      </c>
      <c r="B180" s="8">
        <v>5</v>
      </c>
      <c r="C180" s="45"/>
      <c r="D180" s="45"/>
      <c r="E180" s="45">
        <v>5</v>
      </c>
      <c r="F180" s="46">
        <v>15</v>
      </c>
      <c r="G180" s="102">
        <f t="shared" si="45"/>
        <v>25</v>
      </c>
      <c r="H180" s="58">
        <v>43216</v>
      </c>
      <c r="I180" s="15" t="s">
        <v>86</v>
      </c>
      <c r="J180" s="8"/>
      <c r="K180" s="45"/>
      <c r="L180" s="45"/>
      <c r="M180" s="45"/>
      <c r="N180" s="46"/>
      <c r="O180" s="102">
        <f t="shared" si="47"/>
        <v>0</v>
      </c>
    </row>
    <row r="181" spans="1:17" ht="14.25" thickBot="1" x14ac:dyDescent="0.2">
      <c r="A181" s="15" t="s">
        <v>87</v>
      </c>
      <c r="B181" s="11"/>
      <c r="C181" s="100"/>
      <c r="D181" s="100"/>
      <c r="E181" s="100"/>
      <c r="F181" s="109">
        <v>5</v>
      </c>
      <c r="G181" s="40">
        <f t="shared" si="45"/>
        <v>5</v>
      </c>
      <c r="H181" s="58">
        <v>43231</v>
      </c>
      <c r="I181" s="15" t="s">
        <v>87</v>
      </c>
      <c r="J181" s="47"/>
      <c r="K181" s="48"/>
      <c r="L181" s="48"/>
      <c r="M181" s="48"/>
      <c r="N181" s="49"/>
      <c r="O181" s="40">
        <f t="shared" si="47"/>
        <v>0</v>
      </c>
    </row>
    <row r="182" spans="1:17" ht="14.25" thickBot="1" x14ac:dyDescent="0.2">
      <c r="A182" s="72" t="s">
        <v>7</v>
      </c>
      <c r="B182" s="73">
        <f>SUM(B173:B181)</f>
        <v>29</v>
      </c>
      <c r="C182" s="74">
        <f t="shared" ref="C182:G182" si="48">SUM(C173:C181)</f>
        <v>17</v>
      </c>
      <c r="D182" s="74">
        <f t="shared" si="48"/>
        <v>27</v>
      </c>
      <c r="E182" s="74">
        <f t="shared" si="48"/>
        <v>29</v>
      </c>
      <c r="F182" s="105">
        <f t="shared" si="48"/>
        <v>44</v>
      </c>
      <c r="G182" s="76">
        <f t="shared" si="48"/>
        <v>146</v>
      </c>
      <c r="H182" s="56"/>
      <c r="I182" s="72" t="s">
        <v>7</v>
      </c>
      <c r="J182" s="73">
        <f>SUM(J173:J181)</f>
        <v>135</v>
      </c>
      <c r="K182" s="74">
        <f t="shared" ref="K182:O182" si="49">SUM(K173:K181)</f>
        <v>106</v>
      </c>
      <c r="L182" s="74">
        <f t="shared" si="49"/>
        <v>168</v>
      </c>
      <c r="M182" s="74">
        <f t="shared" si="49"/>
        <v>185</v>
      </c>
      <c r="N182" s="105">
        <f t="shared" si="49"/>
        <v>138</v>
      </c>
      <c r="O182" s="76">
        <f t="shared" si="49"/>
        <v>732</v>
      </c>
    </row>
    <row r="183" spans="1:17" x14ac:dyDescent="0.15">
      <c r="A183" s="16" t="s">
        <v>25</v>
      </c>
      <c r="B183" s="37"/>
      <c r="C183" s="35"/>
      <c r="D183" s="35">
        <v>1</v>
      </c>
      <c r="E183" s="35">
        <v>2</v>
      </c>
      <c r="F183" s="28"/>
      <c r="G183" s="18">
        <f t="shared" ref="G183:G208" si="50">SUM(B183:F183)</f>
        <v>3</v>
      </c>
      <c r="H183" s="58">
        <v>43195</v>
      </c>
      <c r="I183" s="16" t="s">
        <v>24</v>
      </c>
      <c r="J183" s="8">
        <v>10</v>
      </c>
      <c r="K183" s="10"/>
      <c r="L183" s="10"/>
      <c r="M183" s="10">
        <v>10</v>
      </c>
      <c r="N183" s="30"/>
      <c r="O183" s="7">
        <f t="shared" ref="O183" si="51">SUM(J183:N183)</f>
        <v>20</v>
      </c>
      <c r="P183" s="58">
        <v>43196</v>
      </c>
      <c r="Q183" s="56"/>
    </row>
    <row r="184" spans="1:17" x14ac:dyDescent="0.15">
      <c r="A184" s="16" t="s">
        <v>22</v>
      </c>
      <c r="B184" s="8">
        <v>10</v>
      </c>
      <c r="C184" s="10"/>
      <c r="D184" s="10"/>
      <c r="E184" s="10">
        <v>10</v>
      </c>
      <c r="F184" s="30"/>
      <c r="G184" s="9">
        <f t="shared" si="50"/>
        <v>20</v>
      </c>
      <c r="H184" s="58">
        <v>43201</v>
      </c>
      <c r="I184" s="16" t="s">
        <v>24</v>
      </c>
      <c r="J184" s="8"/>
      <c r="K184" s="10"/>
      <c r="L184" s="10"/>
      <c r="M184" s="10"/>
      <c r="N184" s="30">
        <v>15</v>
      </c>
      <c r="O184" s="7">
        <f t="shared" ref="O184:O208" si="52">SUM(J184:N184)</f>
        <v>15</v>
      </c>
      <c r="P184" s="58">
        <v>43202</v>
      </c>
    </row>
    <row r="185" spans="1:17" x14ac:dyDescent="0.15">
      <c r="A185" s="16" t="s">
        <v>25</v>
      </c>
      <c r="B185" s="8">
        <v>1</v>
      </c>
      <c r="C185" s="10">
        <v>2</v>
      </c>
      <c r="D185" s="10"/>
      <c r="E185" s="10">
        <v>2</v>
      </c>
      <c r="F185" s="30"/>
      <c r="G185" s="7">
        <f t="shared" si="50"/>
        <v>5</v>
      </c>
      <c r="H185" s="58">
        <v>43200</v>
      </c>
      <c r="I185" s="16" t="s">
        <v>24</v>
      </c>
      <c r="J185" s="8"/>
      <c r="K185" s="10">
        <v>5</v>
      </c>
      <c r="L185" s="10">
        <v>10</v>
      </c>
      <c r="M185" s="10">
        <v>5</v>
      </c>
      <c r="N185" s="30"/>
      <c r="O185" s="7">
        <f t="shared" si="52"/>
        <v>20</v>
      </c>
      <c r="P185" s="58">
        <v>43206</v>
      </c>
    </row>
    <row r="186" spans="1:17" x14ac:dyDescent="0.15">
      <c r="A186" s="16" t="s">
        <v>22</v>
      </c>
      <c r="B186" s="8"/>
      <c r="C186" s="10"/>
      <c r="D186" s="10"/>
      <c r="E186" s="10"/>
      <c r="F186" s="30">
        <v>10</v>
      </c>
      <c r="G186" s="7">
        <f t="shared" si="50"/>
        <v>10</v>
      </c>
      <c r="H186" s="58">
        <v>43206</v>
      </c>
      <c r="I186" s="16" t="s">
        <v>24</v>
      </c>
      <c r="J186" s="8">
        <v>5</v>
      </c>
      <c r="K186" s="10"/>
      <c r="L186" s="10"/>
      <c r="M186" s="10">
        <v>5</v>
      </c>
      <c r="N186" s="30">
        <v>15</v>
      </c>
      <c r="O186" s="7">
        <f t="shared" si="52"/>
        <v>25</v>
      </c>
      <c r="P186" s="58">
        <v>43216</v>
      </c>
    </row>
    <row r="187" spans="1:17" x14ac:dyDescent="0.15">
      <c r="A187" s="16" t="s">
        <v>25</v>
      </c>
      <c r="B187" s="8"/>
      <c r="C187" s="10"/>
      <c r="D187" s="10">
        <v>1</v>
      </c>
      <c r="E187" s="10"/>
      <c r="F187" s="30">
        <v>1</v>
      </c>
      <c r="G187" s="7">
        <f t="shared" si="50"/>
        <v>2</v>
      </c>
      <c r="H187" s="58">
        <v>43202</v>
      </c>
      <c r="I187" s="16" t="s">
        <v>24</v>
      </c>
      <c r="J187" s="8"/>
      <c r="K187" s="10"/>
      <c r="L187" s="10"/>
      <c r="M187" s="10"/>
      <c r="N187" s="30">
        <v>5</v>
      </c>
      <c r="O187" s="7">
        <f t="shared" si="52"/>
        <v>5</v>
      </c>
      <c r="P187" s="58">
        <v>43231</v>
      </c>
    </row>
    <row r="188" spans="1:17" x14ac:dyDescent="0.15">
      <c r="A188" s="16" t="s">
        <v>667</v>
      </c>
      <c r="B188" s="8"/>
      <c r="C188" s="10">
        <v>2</v>
      </c>
      <c r="D188" s="10">
        <v>1</v>
      </c>
      <c r="E188" s="10"/>
      <c r="F188" s="30"/>
      <c r="G188" s="7">
        <f t="shared" si="50"/>
        <v>3</v>
      </c>
      <c r="H188" s="58">
        <v>43204</v>
      </c>
      <c r="I188" s="16"/>
      <c r="J188" s="8"/>
      <c r="K188" s="10"/>
      <c r="L188" s="10"/>
      <c r="M188" s="10"/>
      <c r="N188" s="30"/>
      <c r="O188" s="7">
        <f t="shared" si="52"/>
        <v>0</v>
      </c>
    </row>
    <row r="189" spans="1:17" x14ac:dyDescent="0.15">
      <c r="A189" s="16" t="s">
        <v>25</v>
      </c>
      <c r="B189" s="8"/>
      <c r="C189" s="10"/>
      <c r="D189" s="10"/>
      <c r="E189" s="10">
        <v>1</v>
      </c>
      <c r="F189" s="30">
        <v>2</v>
      </c>
      <c r="G189" s="7">
        <f t="shared" si="50"/>
        <v>3</v>
      </c>
      <c r="H189" s="58">
        <v>43204</v>
      </c>
      <c r="I189" s="16"/>
      <c r="J189" s="8"/>
      <c r="K189" s="10"/>
      <c r="L189" s="10"/>
      <c r="M189" s="10"/>
      <c r="N189" s="30"/>
      <c r="O189" s="7">
        <f t="shared" si="52"/>
        <v>0</v>
      </c>
    </row>
    <row r="190" spans="1:17" x14ac:dyDescent="0.15">
      <c r="A190" s="16" t="s">
        <v>22</v>
      </c>
      <c r="B190" s="8"/>
      <c r="C190" s="10"/>
      <c r="D190" s="10">
        <v>10</v>
      </c>
      <c r="E190" s="10"/>
      <c r="F190" s="30"/>
      <c r="G190" s="7">
        <f t="shared" si="50"/>
        <v>10</v>
      </c>
      <c r="H190" s="58">
        <v>43209</v>
      </c>
      <c r="I190" s="16"/>
      <c r="J190" s="8"/>
      <c r="K190" s="10"/>
      <c r="L190" s="10"/>
      <c r="M190" s="10"/>
      <c r="N190" s="30"/>
      <c r="O190" s="7">
        <f t="shared" si="52"/>
        <v>0</v>
      </c>
    </row>
    <row r="191" spans="1:17" x14ac:dyDescent="0.15">
      <c r="A191" s="16" t="s">
        <v>25</v>
      </c>
      <c r="B191" s="8">
        <v>1</v>
      </c>
      <c r="C191" s="10">
        <v>1</v>
      </c>
      <c r="D191" s="10"/>
      <c r="E191" s="10">
        <v>1</v>
      </c>
      <c r="F191" s="30">
        <v>1</v>
      </c>
      <c r="G191" s="7">
        <f t="shared" si="50"/>
        <v>4</v>
      </c>
      <c r="H191" s="58">
        <v>43207</v>
      </c>
      <c r="I191" s="16"/>
      <c r="J191" s="11"/>
      <c r="K191" s="100"/>
      <c r="L191" s="100"/>
      <c r="M191" s="100"/>
      <c r="N191" s="109"/>
      <c r="O191" s="9">
        <f t="shared" si="52"/>
        <v>0</v>
      </c>
    </row>
    <row r="192" spans="1:17" x14ac:dyDescent="0.15">
      <c r="A192" s="51" t="s">
        <v>689</v>
      </c>
      <c r="B192" s="8"/>
      <c r="C192" s="10"/>
      <c r="D192" s="10"/>
      <c r="E192" s="10"/>
      <c r="F192" s="30">
        <v>1</v>
      </c>
      <c r="G192" s="7">
        <f t="shared" si="50"/>
        <v>1</v>
      </c>
      <c r="H192" s="58">
        <v>43206</v>
      </c>
      <c r="I192" s="16"/>
      <c r="J192" s="11"/>
      <c r="K192" s="12"/>
      <c r="L192" s="12"/>
      <c r="M192" s="12"/>
      <c r="N192" s="31"/>
      <c r="O192" s="7">
        <f t="shared" si="52"/>
        <v>0</v>
      </c>
    </row>
    <row r="193" spans="1:17" x14ac:dyDescent="0.15">
      <c r="A193" s="51" t="s">
        <v>29</v>
      </c>
      <c r="B193" s="11">
        <v>1</v>
      </c>
      <c r="C193" s="12"/>
      <c r="D193" s="12"/>
      <c r="E193" s="12"/>
      <c r="F193" s="31"/>
      <c r="G193" s="7">
        <f t="shared" si="50"/>
        <v>1</v>
      </c>
      <c r="H193" s="58">
        <v>43207</v>
      </c>
      <c r="I193" s="16"/>
      <c r="J193" s="8"/>
      <c r="K193" s="10"/>
      <c r="L193" s="10"/>
      <c r="M193" s="10"/>
      <c r="N193" s="30"/>
      <c r="O193" s="7">
        <f t="shared" si="52"/>
        <v>0</v>
      </c>
    </row>
    <row r="194" spans="1:17" x14ac:dyDescent="0.15">
      <c r="A194" s="16" t="s">
        <v>25</v>
      </c>
      <c r="B194" s="8">
        <v>1</v>
      </c>
      <c r="C194" s="10"/>
      <c r="D194" s="10"/>
      <c r="E194" s="10">
        <v>1</v>
      </c>
      <c r="F194" s="30">
        <v>1</v>
      </c>
      <c r="G194" s="7">
        <f t="shared" si="50"/>
        <v>3</v>
      </c>
      <c r="H194" s="58">
        <v>43209</v>
      </c>
      <c r="I194" s="16"/>
      <c r="J194" s="8"/>
      <c r="K194" s="10"/>
      <c r="L194" s="10"/>
      <c r="M194" s="10"/>
      <c r="N194" s="30"/>
      <c r="O194" s="7">
        <f t="shared" si="52"/>
        <v>0</v>
      </c>
    </row>
    <row r="195" spans="1:17" x14ac:dyDescent="0.15">
      <c r="A195" s="16" t="s">
        <v>25</v>
      </c>
      <c r="B195" s="8"/>
      <c r="C195" s="10"/>
      <c r="D195" s="10">
        <v>1</v>
      </c>
      <c r="E195" s="10"/>
      <c r="F195" s="30">
        <v>1</v>
      </c>
      <c r="G195" s="7">
        <f t="shared" si="50"/>
        <v>2</v>
      </c>
      <c r="H195" s="58">
        <v>43211</v>
      </c>
      <c r="I195" s="16"/>
      <c r="J195" s="8"/>
      <c r="K195" s="10"/>
      <c r="L195" s="10"/>
      <c r="M195" s="10"/>
      <c r="N195" s="30"/>
      <c r="O195" s="7">
        <f t="shared" si="52"/>
        <v>0</v>
      </c>
    </row>
    <row r="196" spans="1:17" x14ac:dyDescent="0.15">
      <c r="A196" s="16" t="s">
        <v>25</v>
      </c>
      <c r="B196" s="8">
        <v>1</v>
      </c>
      <c r="C196" s="10"/>
      <c r="D196" s="10"/>
      <c r="E196" s="10"/>
      <c r="F196" s="30">
        <v>2</v>
      </c>
      <c r="G196" s="7">
        <f t="shared" si="50"/>
        <v>3</v>
      </c>
      <c r="H196" s="58">
        <v>43214</v>
      </c>
      <c r="I196" s="16"/>
      <c r="J196" s="8"/>
      <c r="K196" s="10"/>
      <c r="L196" s="10"/>
      <c r="M196" s="10"/>
      <c r="N196" s="30"/>
      <c r="O196" s="7">
        <f t="shared" si="52"/>
        <v>0</v>
      </c>
    </row>
    <row r="197" spans="1:17" x14ac:dyDescent="0.15">
      <c r="A197" s="16" t="s">
        <v>672</v>
      </c>
      <c r="B197" s="8"/>
      <c r="C197" s="10"/>
      <c r="D197" s="10">
        <v>2</v>
      </c>
      <c r="E197" s="10"/>
      <c r="F197" s="30"/>
      <c r="G197" s="7">
        <f t="shared" si="50"/>
        <v>2</v>
      </c>
      <c r="H197" s="58">
        <v>43217</v>
      </c>
      <c r="I197" s="16"/>
      <c r="J197" s="8"/>
      <c r="K197" s="10"/>
      <c r="L197" s="10"/>
      <c r="M197" s="10"/>
      <c r="N197" s="30"/>
      <c r="O197" s="7">
        <f t="shared" si="52"/>
        <v>0</v>
      </c>
    </row>
    <row r="198" spans="1:17" x14ac:dyDescent="0.15">
      <c r="A198" s="16" t="s">
        <v>25</v>
      </c>
      <c r="B198" s="8">
        <v>1</v>
      </c>
      <c r="C198" s="10"/>
      <c r="D198" s="10">
        <v>1</v>
      </c>
      <c r="E198" s="10">
        <v>1</v>
      </c>
      <c r="F198" s="30">
        <v>2</v>
      </c>
      <c r="G198" s="7">
        <f t="shared" si="50"/>
        <v>5</v>
      </c>
      <c r="H198" s="58">
        <v>43215</v>
      </c>
      <c r="I198" s="16"/>
      <c r="J198" s="8"/>
      <c r="K198" s="10"/>
      <c r="L198" s="10"/>
      <c r="M198" s="10"/>
      <c r="N198" s="30"/>
      <c r="O198" s="7">
        <f t="shared" si="52"/>
        <v>0</v>
      </c>
    </row>
    <row r="199" spans="1:17" x14ac:dyDescent="0.15">
      <c r="A199" s="16" t="s">
        <v>22</v>
      </c>
      <c r="B199" s="8"/>
      <c r="C199" s="10"/>
      <c r="D199" s="10"/>
      <c r="E199" s="10"/>
      <c r="F199" s="30">
        <v>10</v>
      </c>
      <c r="G199" s="7">
        <f t="shared" si="50"/>
        <v>10</v>
      </c>
      <c r="H199" s="58">
        <v>43222</v>
      </c>
      <c r="I199" s="16"/>
      <c r="J199" s="11"/>
      <c r="K199" s="12"/>
      <c r="L199" s="12"/>
      <c r="M199" s="12"/>
      <c r="N199" s="31"/>
      <c r="O199" s="7">
        <f t="shared" si="52"/>
        <v>0</v>
      </c>
    </row>
    <row r="200" spans="1:17" x14ac:dyDescent="0.15">
      <c r="A200" s="16" t="s">
        <v>698</v>
      </c>
      <c r="B200" s="8"/>
      <c r="C200" s="10"/>
      <c r="D200" s="10">
        <v>1</v>
      </c>
      <c r="E200" s="10"/>
      <c r="F200" s="30"/>
      <c r="G200" s="7">
        <f t="shared" si="50"/>
        <v>1</v>
      </c>
      <c r="H200" s="58">
        <v>43234</v>
      </c>
      <c r="I200" s="16"/>
      <c r="J200" s="11"/>
      <c r="K200" s="12"/>
      <c r="L200" s="12"/>
      <c r="M200" s="12"/>
      <c r="N200" s="31"/>
      <c r="O200" s="7">
        <f t="shared" si="52"/>
        <v>0</v>
      </c>
    </row>
    <row r="201" spans="1:17" x14ac:dyDescent="0.15">
      <c r="A201" s="16" t="s">
        <v>25</v>
      </c>
      <c r="B201" s="8"/>
      <c r="C201" s="10">
        <v>1</v>
      </c>
      <c r="D201" s="10"/>
      <c r="E201" s="10">
        <v>1</v>
      </c>
      <c r="F201" s="30"/>
      <c r="G201" s="7">
        <f t="shared" si="50"/>
        <v>2</v>
      </c>
      <c r="H201" s="58">
        <v>43228</v>
      </c>
      <c r="I201" s="16"/>
      <c r="J201" s="11"/>
      <c r="K201" s="12"/>
      <c r="L201" s="12"/>
      <c r="M201" s="12"/>
      <c r="N201" s="31"/>
      <c r="O201" s="7">
        <f t="shared" si="52"/>
        <v>0</v>
      </c>
    </row>
    <row r="202" spans="1:17" x14ac:dyDescent="0.15">
      <c r="A202" s="16" t="s">
        <v>110</v>
      </c>
      <c r="B202" s="8"/>
      <c r="C202" s="10"/>
      <c r="D202" s="10"/>
      <c r="E202" s="10"/>
      <c r="F202" s="30">
        <v>3</v>
      </c>
      <c r="G202" s="7">
        <f t="shared" si="50"/>
        <v>3</v>
      </c>
      <c r="H202" s="58">
        <v>43235</v>
      </c>
      <c r="I202" s="16"/>
      <c r="J202" s="8"/>
      <c r="K202" s="10"/>
      <c r="L202" s="10"/>
      <c r="M202" s="10"/>
      <c r="N202" s="30"/>
      <c r="O202" s="7">
        <f t="shared" si="52"/>
        <v>0</v>
      </c>
      <c r="P202" s="56"/>
    </row>
    <row r="203" spans="1:17" x14ac:dyDescent="0.15">
      <c r="A203" s="16" t="s">
        <v>110</v>
      </c>
      <c r="B203" s="8"/>
      <c r="C203" s="10"/>
      <c r="D203" s="10"/>
      <c r="E203" s="10">
        <v>2</v>
      </c>
      <c r="F203" s="30"/>
      <c r="G203" s="7">
        <f t="shared" si="50"/>
        <v>2</v>
      </c>
      <c r="H203" s="58">
        <v>43235</v>
      </c>
      <c r="I203" s="16"/>
      <c r="J203" s="11"/>
      <c r="K203" s="12"/>
      <c r="L203" s="12"/>
      <c r="M203" s="12"/>
      <c r="N203" s="31"/>
      <c r="O203" s="7">
        <f t="shared" si="52"/>
        <v>0</v>
      </c>
      <c r="P203" s="36"/>
    </row>
    <row r="204" spans="1:17" x14ac:dyDescent="0.15">
      <c r="A204" s="16" t="s">
        <v>25</v>
      </c>
      <c r="B204" s="8"/>
      <c r="C204" s="10">
        <v>1</v>
      </c>
      <c r="D204" s="10"/>
      <c r="E204" s="10"/>
      <c r="F204" s="59"/>
      <c r="G204" s="7">
        <f t="shared" si="50"/>
        <v>1</v>
      </c>
      <c r="H204" s="58">
        <v>43230</v>
      </c>
      <c r="I204" s="14"/>
      <c r="J204" s="11"/>
      <c r="K204" s="12"/>
      <c r="L204" s="12"/>
      <c r="M204" s="12"/>
      <c r="N204" s="31"/>
      <c r="O204" s="7">
        <f t="shared" si="52"/>
        <v>0</v>
      </c>
      <c r="P204" s="36"/>
    </row>
    <row r="205" spans="1:17" x14ac:dyDescent="0.15">
      <c r="A205" s="16" t="s">
        <v>17</v>
      </c>
      <c r="B205" s="37">
        <v>-2</v>
      </c>
      <c r="C205" s="35"/>
      <c r="D205" s="35"/>
      <c r="E205" s="35"/>
      <c r="F205" s="28">
        <v>-1</v>
      </c>
      <c r="G205" s="7">
        <f t="shared" si="50"/>
        <v>-3</v>
      </c>
      <c r="H205" s="58">
        <v>43230</v>
      </c>
      <c r="I205" s="16"/>
      <c r="J205" s="11"/>
      <c r="K205" s="12"/>
      <c r="L205" s="12"/>
      <c r="M205" s="12"/>
      <c r="N205" s="31"/>
      <c r="O205" s="7">
        <f t="shared" ref="O205" si="53">SUM(J205:N205)</f>
        <v>0</v>
      </c>
      <c r="P205" s="58"/>
    </row>
    <row r="206" spans="1:17" x14ac:dyDescent="0.15">
      <c r="A206" s="16" t="s">
        <v>703</v>
      </c>
      <c r="B206" s="10">
        <v>1</v>
      </c>
      <c r="C206" s="10"/>
      <c r="D206" s="10"/>
      <c r="E206" s="10"/>
      <c r="F206" s="30"/>
      <c r="G206" s="7">
        <f t="shared" si="50"/>
        <v>1</v>
      </c>
      <c r="H206" s="58">
        <v>43230</v>
      </c>
      <c r="I206" s="14"/>
      <c r="J206" s="11"/>
      <c r="K206" s="12"/>
      <c r="L206" s="12"/>
      <c r="M206" s="12"/>
      <c r="N206" s="31"/>
      <c r="O206" s="7">
        <f t="shared" si="52"/>
        <v>0</v>
      </c>
      <c r="P206" s="36"/>
      <c r="Q206" s="56"/>
    </row>
    <row r="207" spans="1:17" x14ac:dyDescent="0.15">
      <c r="A207" s="16" t="s">
        <v>25</v>
      </c>
      <c r="B207" s="8">
        <v>1</v>
      </c>
      <c r="C207" s="10"/>
      <c r="D207" s="10"/>
      <c r="E207" s="10">
        <v>1</v>
      </c>
      <c r="F207" s="30"/>
      <c r="G207" s="9">
        <f t="shared" si="50"/>
        <v>2</v>
      </c>
      <c r="H207" s="58">
        <v>43232</v>
      </c>
      <c r="I207" s="16"/>
      <c r="J207" s="11"/>
      <c r="K207" s="12"/>
      <c r="L207" s="12"/>
      <c r="M207" s="12"/>
      <c r="N207" s="31"/>
      <c r="O207" s="7">
        <f t="shared" si="52"/>
        <v>0</v>
      </c>
      <c r="P207" s="36"/>
      <c r="Q207" s="56"/>
    </row>
    <row r="208" spans="1:17" ht="14.25" thickBot="1" x14ac:dyDescent="0.2">
      <c r="A208" s="16"/>
      <c r="B208" s="37"/>
      <c r="C208" s="35"/>
      <c r="D208" s="35"/>
      <c r="E208" s="35"/>
      <c r="F208" s="28"/>
      <c r="G208" s="7">
        <f t="shared" si="50"/>
        <v>0</v>
      </c>
      <c r="H208" s="56"/>
      <c r="I208" s="16"/>
      <c r="J208" s="11"/>
      <c r="K208" s="12"/>
      <c r="L208" s="12"/>
      <c r="M208" s="12"/>
      <c r="N208" s="31"/>
      <c r="O208" s="7">
        <f t="shared" si="52"/>
        <v>0</v>
      </c>
      <c r="P208" s="58"/>
    </row>
    <row r="209" spans="1:15" ht="14.25" thickBot="1" x14ac:dyDescent="0.2">
      <c r="A209" s="3" t="s">
        <v>11</v>
      </c>
      <c r="B209" s="23">
        <f>SUM(B183:B208)</f>
        <v>16</v>
      </c>
      <c r="C209" s="4">
        <f>SUM(C183:C208)</f>
        <v>7</v>
      </c>
      <c r="D209" s="4">
        <f>SUM(D183:D208)</f>
        <v>18</v>
      </c>
      <c r="E209" s="6">
        <f>SUM(E183:E208)</f>
        <v>22</v>
      </c>
      <c r="F209" s="32">
        <f>SUM(F183:F208)</f>
        <v>33</v>
      </c>
      <c r="G209" s="5">
        <f>SUM(B209:F209)</f>
        <v>96</v>
      </c>
      <c r="H209" s="56"/>
      <c r="I209" s="3" t="s">
        <v>11</v>
      </c>
      <c r="J209" s="23">
        <f>SUM(J183:J208)</f>
        <v>15</v>
      </c>
      <c r="K209" s="4">
        <f>SUM(K183:K208)</f>
        <v>5</v>
      </c>
      <c r="L209" s="4">
        <f>SUM(L183:L208)</f>
        <v>10</v>
      </c>
      <c r="M209" s="6">
        <f>SUM(M183:M208)</f>
        <v>20</v>
      </c>
      <c r="N209" s="32">
        <f>SUM(N183:N208)</f>
        <v>35</v>
      </c>
      <c r="O209" s="5">
        <f>SUM(J209:N209)</f>
        <v>85</v>
      </c>
    </row>
    <row r="210" spans="1:15" ht="14.25" thickBot="1" x14ac:dyDescent="0.2">
      <c r="A210" s="25" t="s">
        <v>12</v>
      </c>
      <c r="B210" s="63">
        <f>B182-B209</f>
        <v>13</v>
      </c>
      <c r="C210" s="26">
        <f t="shared" ref="C210:G210" si="54">C182-C209</f>
        <v>10</v>
      </c>
      <c r="D210" s="71">
        <f t="shared" si="54"/>
        <v>9</v>
      </c>
      <c r="E210" s="26">
        <f t="shared" si="54"/>
        <v>7</v>
      </c>
      <c r="F210" s="70">
        <f t="shared" si="54"/>
        <v>11</v>
      </c>
      <c r="G210" s="27">
        <f t="shared" si="54"/>
        <v>50</v>
      </c>
      <c r="H210" s="56"/>
      <c r="I210" s="25" t="s">
        <v>12</v>
      </c>
      <c r="J210" s="63">
        <f>J182-J209</f>
        <v>120</v>
      </c>
      <c r="K210" s="26">
        <f t="shared" ref="K210:O210" si="55">K182-K209</f>
        <v>101</v>
      </c>
      <c r="L210" s="71">
        <f t="shared" si="55"/>
        <v>158</v>
      </c>
      <c r="M210" s="26">
        <f t="shared" si="55"/>
        <v>165</v>
      </c>
      <c r="N210" s="70">
        <f t="shared" si="55"/>
        <v>103</v>
      </c>
      <c r="O210" s="27">
        <f t="shared" si="55"/>
        <v>647</v>
      </c>
    </row>
    <row r="211" spans="1:15" ht="21" x14ac:dyDescent="0.2">
      <c r="A211" s="86" t="s">
        <v>413</v>
      </c>
      <c r="B211" s="87"/>
      <c r="C211" s="87"/>
      <c r="D211" s="87"/>
      <c r="E211" s="87"/>
      <c r="F211" s="87"/>
      <c r="G211" s="87"/>
      <c r="H211" s="56"/>
      <c r="I211" s="86" t="s">
        <v>413</v>
      </c>
      <c r="J211" s="87"/>
      <c r="K211" s="87"/>
      <c r="L211" s="87"/>
      <c r="M211" s="87"/>
      <c r="N211" s="87"/>
      <c r="O211" s="87"/>
    </row>
    <row r="212" spans="1:15" ht="21.75" thickBot="1" x14ac:dyDescent="0.25">
      <c r="A212" s="86" t="s">
        <v>51</v>
      </c>
      <c r="B212" s="87"/>
      <c r="C212" s="87"/>
      <c r="D212" s="87"/>
      <c r="E212" s="85"/>
      <c r="F212" s="88" t="s">
        <v>53</v>
      </c>
      <c r="G212" s="87"/>
      <c r="H212" s="56"/>
      <c r="I212" s="86" t="s">
        <v>51</v>
      </c>
      <c r="J212" s="87"/>
      <c r="K212" s="87"/>
      <c r="L212" s="87"/>
      <c r="M212" s="89"/>
      <c r="N212" s="88" t="s">
        <v>54</v>
      </c>
      <c r="O212" s="87"/>
    </row>
    <row r="213" spans="1:15" ht="14.25" thickBot="1" x14ac:dyDescent="0.2">
      <c r="A213" s="13" t="s">
        <v>0</v>
      </c>
      <c r="B213" s="228" t="s">
        <v>52</v>
      </c>
      <c r="C213" s="229"/>
      <c r="D213" s="229"/>
      <c r="E213" s="229"/>
      <c r="F213" s="230"/>
      <c r="G213" s="231"/>
      <c r="H213" s="56"/>
      <c r="I213" s="13" t="s">
        <v>0</v>
      </c>
      <c r="J213" s="228" t="s">
        <v>52</v>
      </c>
      <c r="K213" s="229"/>
      <c r="L213" s="229"/>
      <c r="M213" s="229"/>
      <c r="N213" s="230"/>
      <c r="O213" s="231"/>
    </row>
    <row r="214" spans="1:15" ht="14.25" thickBot="1" x14ac:dyDescent="0.2">
      <c r="A214" s="3" t="s">
        <v>1</v>
      </c>
      <c r="B214" s="2" t="s">
        <v>42</v>
      </c>
      <c r="C214" s="21" t="s">
        <v>43</v>
      </c>
      <c r="D214" s="21" t="s">
        <v>44</v>
      </c>
      <c r="E214" s="24" t="s">
        <v>45</v>
      </c>
      <c r="F214" s="33" t="s">
        <v>46</v>
      </c>
      <c r="G214" s="3" t="s">
        <v>2</v>
      </c>
      <c r="H214" s="56"/>
      <c r="I214" s="3" t="s">
        <v>1</v>
      </c>
      <c r="J214" s="41" t="s">
        <v>42</v>
      </c>
      <c r="K214" s="42" t="s">
        <v>43</v>
      </c>
      <c r="L214" s="42" t="s">
        <v>44</v>
      </c>
      <c r="M214" s="43" t="s">
        <v>45</v>
      </c>
      <c r="N214" s="44" t="s">
        <v>46</v>
      </c>
      <c r="O214" s="3" t="s">
        <v>2</v>
      </c>
    </row>
    <row r="215" spans="1:15" x14ac:dyDescent="0.15">
      <c r="A215" s="96" t="s">
        <v>13</v>
      </c>
      <c r="B215" s="95">
        <f>B210</f>
        <v>13</v>
      </c>
      <c r="C215" s="97">
        <f t="shared" ref="C215:F215" si="56">C210</f>
        <v>10</v>
      </c>
      <c r="D215" s="97">
        <f t="shared" si="56"/>
        <v>9</v>
      </c>
      <c r="E215" s="97">
        <f t="shared" si="56"/>
        <v>7</v>
      </c>
      <c r="F215" s="139">
        <f t="shared" si="56"/>
        <v>11</v>
      </c>
      <c r="G215" s="52">
        <f t="shared" ref="G215:G223" si="57">SUM(B215:F215)</f>
        <v>50</v>
      </c>
      <c r="H215" s="56"/>
      <c r="I215" s="96" t="s">
        <v>13</v>
      </c>
      <c r="J215" s="95">
        <f>J210</f>
        <v>120</v>
      </c>
      <c r="K215" s="97">
        <f t="shared" ref="K215:N215" si="58">K210</f>
        <v>101</v>
      </c>
      <c r="L215" s="97">
        <f t="shared" si="58"/>
        <v>158</v>
      </c>
      <c r="M215" s="97">
        <f t="shared" si="58"/>
        <v>165</v>
      </c>
      <c r="N215" s="139">
        <f t="shared" si="58"/>
        <v>103</v>
      </c>
      <c r="O215" s="52">
        <f t="shared" ref="O215:O223" si="59">SUM(J215:N215)</f>
        <v>647</v>
      </c>
    </row>
    <row r="216" spans="1:15" x14ac:dyDescent="0.15">
      <c r="A216" s="15" t="s">
        <v>19</v>
      </c>
      <c r="B216" s="8">
        <v>1</v>
      </c>
      <c r="C216" s="10">
        <v>2</v>
      </c>
      <c r="D216" s="10">
        <v>2</v>
      </c>
      <c r="E216" s="10">
        <v>4</v>
      </c>
      <c r="F216" s="104">
        <v>2</v>
      </c>
      <c r="G216" s="9">
        <f t="shared" si="57"/>
        <v>11</v>
      </c>
      <c r="H216" s="58">
        <v>43234</v>
      </c>
      <c r="I216" s="15" t="s">
        <v>3</v>
      </c>
      <c r="J216" s="37"/>
      <c r="K216" s="135"/>
      <c r="L216" s="135"/>
      <c r="M216" s="135"/>
      <c r="N216" s="136"/>
      <c r="O216" s="7">
        <f t="shared" si="59"/>
        <v>0</v>
      </c>
    </row>
    <row r="217" spans="1:15" x14ac:dyDescent="0.15">
      <c r="A217" s="15" t="s">
        <v>4</v>
      </c>
      <c r="B217" s="8"/>
      <c r="C217" s="10">
        <v>10</v>
      </c>
      <c r="D217" s="10"/>
      <c r="E217" s="10">
        <v>10</v>
      </c>
      <c r="F217" s="104"/>
      <c r="G217" s="9">
        <f t="shared" si="57"/>
        <v>20</v>
      </c>
      <c r="H217" s="58">
        <v>43237</v>
      </c>
      <c r="I217" s="15" t="s">
        <v>4</v>
      </c>
      <c r="J217" s="8"/>
      <c r="K217" s="45"/>
      <c r="L217" s="45"/>
      <c r="M217" s="45"/>
      <c r="N217" s="46"/>
      <c r="O217" s="9">
        <f t="shared" si="59"/>
        <v>0</v>
      </c>
    </row>
    <row r="218" spans="1:15" x14ac:dyDescent="0.15">
      <c r="A218" s="15" t="s">
        <v>17</v>
      </c>
      <c r="B218" s="8"/>
      <c r="C218" s="10">
        <v>2</v>
      </c>
      <c r="D218" s="10"/>
      <c r="E218" s="10">
        <v>1</v>
      </c>
      <c r="F218" s="104">
        <v>1</v>
      </c>
      <c r="G218" s="9">
        <f t="shared" si="57"/>
        <v>4</v>
      </c>
      <c r="H218" s="58">
        <v>43238</v>
      </c>
      <c r="I218" s="15" t="s">
        <v>5</v>
      </c>
      <c r="J218" s="8"/>
      <c r="K218" s="45"/>
      <c r="L218" s="45"/>
      <c r="M218" s="45"/>
      <c r="N218" s="46"/>
      <c r="O218" s="9">
        <f t="shared" si="59"/>
        <v>0</v>
      </c>
    </row>
    <row r="219" spans="1:15" x14ac:dyDescent="0.15">
      <c r="A219" s="15" t="s">
        <v>6</v>
      </c>
      <c r="B219" s="11"/>
      <c r="C219" s="12"/>
      <c r="D219" s="12"/>
      <c r="E219" s="12"/>
      <c r="F219" s="108">
        <v>5</v>
      </c>
      <c r="G219" s="9">
        <f t="shared" si="57"/>
        <v>5</v>
      </c>
      <c r="H219" s="58">
        <v>43241</v>
      </c>
      <c r="I219" s="15" t="s">
        <v>6</v>
      </c>
      <c r="J219" s="8"/>
      <c r="K219" s="45"/>
      <c r="L219" s="45"/>
      <c r="M219" s="45"/>
      <c r="N219" s="46"/>
      <c r="O219" s="9">
        <f t="shared" si="59"/>
        <v>0</v>
      </c>
    </row>
    <row r="220" spans="1:15" x14ac:dyDescent="0.15">
      <c r="A220" s="15" t="s">
        <v>137</v>
      </c>
      <c r="B220" s="8"/>
      <c r="C220" s="10">
        <v>1</v>
      </c>
      <c r="D220" s="10">
        <v>1</v>
      </c>
      <c r="E220" s="10"/>
      <c r="F220" s="30">
        <v>1</v>
      </c>
      <c r="G220" s="7">
        <f t="shared" si="57"/>
        <v>3</v>
      </c>
      <c r="H220" s="58">
        <v>43244</v>
      </c>
      <c r="I220" s="15" t="s">
        <v>84</v>
      </c>
      <c r="J220" s="8"/>
      <c r="K220" s="45"/>
      <c r="L220" s="45"/>
      <c r="M220" s="45"/>
      <c r="N220" s="46"/>
      <c r="O220" s="7">
        <f t="shared" si="59"/>
        <v>0</v>
      </c>
    </row>
    <row r="221" spans="1:15" x14ac:dyDescent="0.15">
      <c r="A221" s="15" t="s">
        <v>85</v>
      </c>
      <c r="B221" s="8"/>
      <c r="C221" s="10">
        <v>5</v>
      </c>
      <c r="D221" s="10">
        <v>5</v>
      </c>
      <c r="E221" s="10">
        <v>10</v>
      </c>
      <c r="F221" s="30"/>
      <c r="G221" s="7">
        <f t="shared" si="57"/>
        <v>20</v>
      </c>
      <c r="H221" s="58">
        <v>43249</v>
      </c>
      <c r="I221" s="15" t="s">
        <v>85</v>
      </c>
      <c r="J221" s="8"/>
      <c r="K221" s="45"/>
      <c r="L221" s="45"/>
      <c r="M221" s="45"/>
      <c r="N221" s="46"/>
      <c r="O221" s="7">
        <f t="shared" si="59"/>
        <v>0</v>
      </c>
    </row>
    <row r="222" spans="1:15" x14ac:dyDescent="0.15">
      <c r="A222" s="15" t="s">
        <v>17</v>
      </c>
      <c r="B222" s="8"/>
      <c r="C222" s="45">
        <v>1</v>
      </c>
      <c r="D222" s="45"/>
      <c r="E222" s="45">
        <v>2</v>
      </c>
      <c r="F222" s="46"/>
      <c r="G222" s="102">
        <f t="shared" si="57"/>
        <v>3</v>
      </c>
      <c r="H222" s="58">
        <v>43250</v>
      </c>
      <c r="I222" s="15" t="s">
        <v>86</v>
      </c>
      <c r="J222" s="8"/>
      <c r="K222" s="45"/>
      <c r="L222" s="45"/>
      <c r="M222" s="45"/>
      <c r="N222" s="46"/>
      <c r="O222" s="102">
        <f t="shared" si="59"/>
        <v>0</v>
      </c>
    </row>
    <row r="223" spans="1:15" ht="14.25" thickBot="1" x14ac:dyDescent="0.2">
      <c r="A223" s="15" t="s">
        <v>17</v>
      </c>
      <c r="B223" s="11"/>
      <c r="C223" s="100"/>
      <c r="D223" s="100">
        <v>1</v>
      </c>
      <c r="E223" s="100">
        <v>2</v>
      </c>
      <c r="F223" s="109"/>
      <c r="G223" s="40">
        <f t="shared" si="57"/>
        <v>3</v>
      </c>
      <c r="H223" s="58">
        <v>43259</v>
      </c>
      <c r="I223" s="15" t="s">
        <v>87</v>
      </c>
      <c r="J223" s="47"/>
      <c r="K223" s="48"/>
      <c r="L223" s="48"/>
      <c r="M223" s="48"/>
      <c r="N223" s="49"/>
      <c r="O223" s="40">
        <f t="shared" si="59"/>
        <v>0</v>
      </c>
    </row>
    <row r="224" spans="1:15" ht="14.25" thickBot="1" x14ac:dyDescent="0.2">
      <c r="A224" s="72" t="s">
        <v>7</v>
      </c>
      <c r="B224" s="73">
        <f>SUM(B215:B223)</f>
        <v>14</v>
      </c>
      <c r="C224" s="74">
        <f t="shared" ref="C224:G224" si="60">SUM(C215:C223)</f>
        <v>31</v>
      </c>
      <c r="D224" s="74">
        <f t="shared" si="60"/>
        <v>18</v>
      </c>
      <c r="E224" s="74">
        <f t="shared" si="60"/>
        <v>36</v>
      </c>
      <c r="F224" s="105">
        <f t="shared" si="60"/>
        <v>20</v>
      </c>
      <c r="G224" s="76">
        <f t="shared" si="60"/>
        <v>119</v>
      </c>
      <c r="H224" s="56"/>
      <c r="I224" s="72" t="s">
        <v>7</v>
      </c>
      <c r="J224" s="73">
        <f>SUM(J215:J223)</f>
        <v>120</v>
      </c>
      <c r="K224" s="74">
        <f t="shared" ref="K224:O224" si="61">SUM(K215:K223)</f>
        <v>101</v>
      </c>
      <c r="L224" s="74">
        <f t="shared" si="61"/>
        <v>158</v>
      </c>
      <c r="M224" s="74">
        <f t="shared" si="61"/>
        <v>165</v>
      </c>
      <c r="N224" s="105">
        <f t="shared" si="61"/>
        <v>103</v>
      </c>
      <c r="O224" s="76">
        <f t="shared" si="61"/>
        <v>647</v>
      </c>
    </row>
    <row r="225" spans="1:17" x14ac:dyDescent="0.15">
      <c r="A225" s="16" t="s">
        <v>22</v>
      </c>
      <c r="B225" s="37"/>
      <c r="C225" s="35">
        <v>10</v>
      </c>
      <c r="D225" s="35"/>
      <c r="E225" s="35">
        <v>10</v>
      </c>
      <c r="F225" s="28"/>
      <c r="G225" s="18">
        <f t="shared" ref="G225:G250" si="62">SUM(B225:F225)</f>
        <v>20</v>
      </c>
      <c r="H225" s="58">
        <v>43241</v>
      </c>
      <c r="I225" s="16" t="s">
        <v>708</v>
      </c>
      <c r="J225" s="17"/>
      <c r="K225" s="22">
        <v>10</v>
      </c>
      <c r="L225" s="22"/>
      <c r="M225" s="22">
        <v>10</v>
      </c>
      <c r="N225" s="29"/>
      <c r="O225" s="18">
        <f t="shared" ref="O225:O250" si="63">SUM(J225:N225)</f>
        <v>20</v>
      </c>
      <c r="P225" s="58">
        <v>43237</v>
      </c>
    </row>
    <row r="226" spans="1:17" x14ac:dyDescent="0.15">
      <c r="A226" s="16" t="s">
        <v>25</v>
      </c>
      <c r="B226" s="8"/>
      <c r="C226" s="10"/>
      <c r="D226" s="10"/>
      <c r="E226" s="10">
        <v>5</v>
      </c>
      <c r="F226" s="30"/>
      <c r="G226" s="7">
        <f t="shared" si="62"/>
        <v>5</v>
      </c>
      <c r="H226" s="58">
        <v>43237</v>
      </c>
      <c r="I226" s="16" t="s">
        <v>24</v>
      </c>
      <c r="J226" s="8"/>
      <c r="K226" s="10"/>
      <c r="L226" s="10"/>
      <c r="M226" s="10"/>
      <c r="N226" s="30">
        <v>5</v>
      </c>
      <c r="O226" s="7">
        <f t="shared" ref="O226" si="64">SUM(J226:N226)</f>
        <v>5</v>
      </c>
      <c r="P226" s="58">
        <v>43241</v>
      </c>
    </row>
    <row r="227" spans="1:17" x14ac:dyDescent="0.15">
      <c r="A227" s="14" t="s">
        <v>38</v>
      </c>
      <c r="B227" s="8"/>
      <c r="C227" s="10">
        <v>2</v>
      </c>
      <c r="D227" s="10"/>
      <c r="E227" s="10"/>
      <c r="F227" s="30"/>
      <c r="G227" s="7">
        <f t="shared" si="62"/>
        <v>2</v>
      </c>
      <c r="H227" s="58">
        <v>43238</v>
      </c>
      <c r="I227" s="16" t="s">
        <v>24</v>
      </c>
      <c r="J227" s="8"/>
      <c r="K227" s="10">
        <v>5</v>
      </c>
      <c r="L227" s="10">
        <v>5</v>
      </c>
      <c r="M227" s="10">
        <v>10</v>
      </c>
      <c r="N227" s="30"/>
      <c r="O227" s="7">
        <f t="shared" si="63"/>
        <v>20</v>
      </c>
      <c r="P227" s="58">
        <v>43249</v>
      </c>
    </row>
    <row r="228" spans="1:17" x14ac:dyDescent="0.15">
      <c r="A228" s="16" t="s">
        <v>25</v>
      </c>
      <c r="B228" s="8"/>
      <c r="C228" s="10">
        <v>1</v>
      </c>
      <c r="D228" s="10">
        <v>1</v>
      </c>
      <c r="E228" s="10"/>
      <c r="F228" s="30">
        <v>4</v>
      </c>
      <c r="G228" s="7">
        <f t="shared" si="62"/>
        <v>6</v>
      </c>
      <c r="H228" s="58">
        <v>43239</v>
      </c>
      <c r="I228" s="16" t="s">
        <v>24</v>
      </c>
      <c r="J228" s="8">
        <v>5</v>
      </c>
      <c r="K228" s="10">
        <v>5</v>
      </c>
      <c r="L228" s="10"/>
      <c r="M228" s="10"/>
      <c r="N228" s="30">
        <v>5</v>
      </c>
      <c r="O228" s="7">
        <f t="shared" si="63"/>
        <v>15</v>
      </c>
      <c r="P228" s="58">
        <v>43264</v>
      </c>
    </row>
    <row r="229" spans="1:17" x14ac:dyDescent="0.15">
      <c r="A229" s="16" t="s">
        <v>710</v>
      </c>
      <c r="B229" s="8">
        <v>5</v>
      </c>
      <c r="C229" s="10">
        <v>5</v>
      </c>
      <c r="D229" s="10">
        <v>5</v>
      </c>
      <c r="E229" s="10">
        <v>5</v>
      </c>
      <c r="F229" s="30">
        <v>5</v>
      </c>
      <c r="G229" s="7">
        <f t="shared" si="62"/>
        <v>25</v>
      </c>
      <c r="H229" s="58">
        <v>43248</v>
      </c>
      <c r="I229" s="16" t="s">
        <v>24</v>
      </c>
      <c r="J229" s="8"/>
      <c r="K229" s="10"/>
      <c r="L229" s="10">
        <v>5</v>
      </c>
      <c r="M229" s="10"/>
      <c r="N229" s="30">
        <v>10</v>
      </c>
      <c r="O229" s="7">
        <f t="shared" si="63"/>
        <v>15</v>
      </c>
      <c r="P229" s="58">
        <v>43266</v>
      </c>
      <c r="Q229" s="56"/>
    </row>
    <row r="230" spans="1:17" x14ac:dyDescent="0.15">
      <c r="A230" s="16" t="s">
        <v>25</v>
      </c>
      <c r="B230" s="8">
        <v>1</v>
      </c>
      <c r="C230" s="10"/>
      <c r="D230" s="10"/>
      <c r="E230" s="10"/>
      <c r="F230" s="30"/>
      <c r="G230" s="7">
        <f t="shared" si="62"/>
        <v>1</v>
      </c>
      <c r="H230" s="58">
        <v>43242</v>
      </c>
      <c r="I230" s="16"/>
      <c r="J230" s="8"/>
      <c r="K230" s="10"/>
      <c r="L230" s="10"/>
      <c r="M230" s="10"/>
      <c r="N230" s="30"/>
      <c r="O230" s="7">
        <f t="shared" si="63"/>
        <v>0</v>
      </c>
    </row>
    <row r="231" spans="1:17" x14ac:dyDescent="0.15">
      <c r="A231" s="16" t="s">
        <v>25</v>
      </c>
      <c r="B231" s="8">
        <v>1</v>
      </c>
      <c r="C231" s="10"/>
      <c r="D231" s="10">
        <v>1</v>
      </c>
      <c r="E231" s="10"/>
      <c r="F231" s="30"/>
      <c r="G231" s="7">
        <f t="shared" si="62"/>
        <v>2</v>
      </c>
      <c r="H231" s="58">
        <v>43244</v>
      </c>
      <c r="I231" s="16"/>
      <c r="J231" s="8"/>
      <c r="K231" s="10"/>
      <c r="L231" s="10"/>
      <c r="M231" s="10"/>
      <c r="N231" s="30"/>
      <c r="O231" s="7">
        <f t="shared" si="63"/>
        <v>0</v>
      </c>
      <c r="P231" s="56"/>
    </row>
    <row r="232" spans="1:17" x14ac:dyDescent="0.15">
      <c r="A232" s="16" t="s">
        <v>25</v>
      </c>
      <c r="B232" s="8"/>
      <c r="C232" s="10">
        <v>2</v>
      </c>
      <c r="D232" s="10"/>
      <c r="E232" s="10">
        <v>1</v>
      </c>
      <c r="F232" s="30"/>
      <c r="G232" s="7">
        <f t="shared" si="62"/>
        <v>3</v>
      </c>
      <c r="H232" s="58">
        <v>43249</v>
      </c>
      <c r="I232" s="16"/>
      <c r="J232" s="8"/>
      <c r="K232" s="10"/>
      <c r="L232" s="10"/>
      <c r="M232" s="10"/>
      <c r="N232" s="30"/>
      <c r="O232" s="7">
        <f t="shared" si="63"/>
        <v>0</v>
      </c>
    </row>
    <row r="233" spans="1:17" x14ac:dyDescent="0.15">
      <c r="A233" s="16" t="s">
        <v>25</v>
      </c>
      <c r="B233" s="8">
        <v>1</v>
      </c>
      <c r="C233" s="10">
        <v>1</v>
      </c>
      <c r="D233" s="10"/>
      <c r="E233" s="10"/>
      <c r="F233" s="30"/>
      <c r="G233" s="7">
        <f t="shared" si="62"/>
        <v>2</v>
      </c>
      <c r="H233" s="58">
        <v>43251</v>
      </c>
      <c r="I233" s="16"/>
      <c r="J233" s="11"/>
      <c r="K233" s="100"/>
      <c r="L233" s="100"/>
      <c r="M233" s="100"/>
      <c r="N233" s="109"/>
      <c r="O233" s="9">
        <f t="shared" si="63"/>
        <v>0</v>
      </c>
    </row>
    <row r="234" spans="1:17" x14ac:dyDescent="0.15">
      <c r="A234" s="16" t="s">
        <v>722</v>
      </c>
      <c r="B234" s="8"/>
      <c r="C234" s="10"/>
      <c r="D234" s="10"/>
      <c r="E234" s="10"/>
      <c r="F234" s="30">
        <v>1</v>
      </c>
      <c r="G234" s="7">
        <f t="shared" si="62"/>
        <v>1</v>
      </c>
      <c r="H234" s="58">
        <v>43255</v>
      </c>
      <c r="I234" s="16"/>
      <c r="J234" s="11"/>
      <c r="K234" s="12"/>
      <c r="L234" s="12"/>
      <c r="M234" s="12"/>
      <c r="N234" s="31"/>
      <c r="O234" s="7">
        <f t="shared" si="63"/>
        <v>0</v>
      </c>
    </row>
    <row r="235" spans="1:17" x14ac:dyDescent="0.15">
      <c r="A235" s="16" t="s">
        <v>719</v>
      </c>
      <c r="B235" s="11"/>
      <c r="C235" s="12">
        <v>2</v>
      </c>
      <c r="D235" s="12"/>
      <c r="E235" s="12"/>
      <c r="F235" s="31"/>
      <c r="G235" s="7">
        <f t="shared" si="62"/>
        <v>2</v>
      </c>
      <c r="H235" s="58">
        <v>43259</v>
      </c>
      <c r="I235" s="16"/>
      <c r="J235" s="8"/>
      <c r="K235" s="10"/>
      <c r="L235" s="10"/>
      <c r="M235" s="10"/>
      <c r="N235" s="30"/>
      <c r="O235" s="7">
        <f t="shared" si="63"/>
        <v>0</v>
      </c>
    </row>
    <row r="236" spans="1:17" x14ac:dyDescent="0.15">
      <c r="A236" s="16" t="s">
        <v>721</v>
      </c>
      <c r="B236" s="8"/>
      <c r="C236" s="10"/>
      <c r="D236" s="10"/>
      <c r="E236" s="10"/>
      <c r="F236" s="30">
        <v>1</v>
      </c>
      <c r="G236" s="7">
        <f t="shared" si="62"/>
        <v>1</v>
      </c>
      <c r="H236" s="58">
        <v>43255</v>
      </c>
      <c r="I236" s="16"/>
      <c r="J236" s="8"/>
      <c r="K236" s="10"/>
      <c r="L236" s="10"/>
      <c r="M236" s="10"/>
      <c r="N236" s="30"/>
      <c r="O236" s="7">
        <f t="shared" si="63"/>
        <v>0</v>
      </c>
    </row>
    <row r="237" spans="1:17" x14ac:dyDescent="0.15">
      <c r="A237" s="16" t="s">
        <v>25</v>
      </c>
      <c r="B237" s="8"/>
      <c r="C237" s="10">
        <v>1</v>
      </c>
      <c r="D237" s="10"/>
      <c r="E237" s="10">
        <v>1</v>
      </c>
      <c r="F237" s="30"/>
      <c r="G237" s="7">
        <f t="shared" si="62"/>
        <v>2</v>
      </c>
      <c r="H237" s="58">
        <v>43257</v>
      </c>
      <c r="I237" s="16"/>
      <c r="J237" s="8"/>
      <c r="K237" s="10"/>
      <c r="L237" s="10"/>
      <c r="M237" s="10"/>
      <c r="N237" s="30"/>
      <c r="O237" s="7">
        <f t="shared" si="63"/>
        <v>0</v>
      </c>
    </row>
    <row r="238" spans="1:17" x14ac:dyDescent="0.15">
      <c r="A238" s="16" t="s">
        <v>723</v>
      </c>
      <c r="B238" s="8"/>
      <c r="C238" s="10"/>
      <c r="D238" s="10"/>
      <c r="E238" s="10">
        <v>1</v>
      </c>
      <c r="F238" s="30"/>
      <c r="G238" s="7">
        <f t="shared" si="62"/>
        <v>1</v>
      </c>
      <c r="H238" s="58">
        <v>43257</v>
      </c>
      <c r="I238" s="16"/>
      <c r="J238" s="8"/>
      <c r="K238" s="10"/>
      <c r="L238" s="10"/>
      <c r="M238" s="10"/>
      <c r="N238" s="30"/>
      <c r="O238" s="7">
        <f t="shared" si="63"/>
        <v>0</v>
      </c>
    </row>
    <row r="239" spans="1:17" x14ac:dyDescent="0.15">
      <c r="A239" s="16" t="s">
        <v>724</v>
      </c>
      <c r="B239" s="8"/>
      <c r="C239" s="10">
        <v>1</v>
      </c>
      <c r="D239" s="10"/>
      <c r="E239" s="10"/>
      <c r="F239" s="30"/>
      <c r="G239" s="7">
        <f t="shared" si="62"/>
        <v>1</v>
      </c>
      <c r="H239" s="58">
        <v>43262</v>
      </c>
      <c r="I239" s="16"/>
      <c r="J239" s="8"/>
      <c r="K239" s="10"/>
      <c r="L239" s="10"/>
      <c r="M239" s="10"/>
      <c r="N239" s="30"/>
      <c r="O239" s="7">
        <f t="shared" si="63"/>
        <v>0</v>
      </c>
    </row>
    <row r="240" spans="1:17" x14ac:dyDescent="0.15">
      <c r="A240" s="16" t="s">
        <v>29</v>
      </c>
      <c r="B240" s="8"/>
      <c r="C240" s="10">
        <v>1</v>
      </c>
      <c r="D240" s="10"/>
      <c r="E240" s="10"/>
      <c r="F240" s="30"/>
      <c r="G240" s="7">
        <f t="shared" si="62"/>
        <v>1</v>
      </c>
      <c r="H240" s="58">
        <v>43259</v>
      </c>
      <c r="I240" s="16"/>
      <c r="J240" s="8"/>
      <c r="K240" s="10"/>
      <c r="L240" s="10"/>
      <c r="M240" s="10"/>
      <c r="N240" s="30"/>
      <c r="O240" s="7">
        <f t="shared" si="63"/>
        <v>0</v>
      </c>
      <c r="P240" s="56"/>
    </row>
    <row r="241" spans="1:16" x14ac:dyDescent="0.15">
      <c r="A241" s="16" t="s">
        <v>25</v>
      </c>
      <c r="B241" s="8"/>
      <c r="C241" s="10"/>
      <c r="D241" s="10">
        <v>1</v>
      </c>
      <c r="E241" s="10">
        <v>1</v>
      </c>
      <c r="F241" s="30"/>
      <c r="G241" s="7">
        <f t="shared" si="62"/>
        <v>2</v>
      </c>
      <c r="H241" s="58">
        <v>43263</v>
      </c>
      <c r="I241" s="16"/>
      <c r="J241" s="11"/>
      <c r="K241" s="12"/>
      <c r="L241" s="12"/>
      <c r="M241" s="12"/>
      <c r="N241" s="31"/>
      <c r="O241" s="7">
        <f t="shared" si="63"/>
        <v>0</v>
      </c>
      <c r="P241" s="58"/>
    </row>
    <row r="242" spans="1:16" x14ac:dyDescent="0.15">
      <c r="A242" s="16" t="s">
        <v>136</v>
      </c>
      <c r="B242" s="8"/>
      <c r="C242" s="10"/>
      <c r="D242" s="10"/>
      <c r="E242" s="10"/>
      <c r="F242" s="30">
        <v>2</v>
      </c>
      <c r="G242" s="7">
        <f t="shared" si="62"/>
        <v>2</v>
      </c>
      <c r="H242" s="58">
        <v>43266</v>
      </c>
      <c r="I242" s="14"/>
      <c r="J242" s="11"/>
      <c r="K242" s="12"/>
      <c r="L242" s="12"/>
      <c r="M242" s="12"/>
      <c r="N242" s="31"/>
      <c r="O242" s="7">
        <f t="shared" si="63"/>
        <v>0</v>
      </c>
      <c r="P242" s="36"/>
    </row>
    <row r="243" spans="1:16" x14ac:dyDescent="0.15">
      <c r="A243" s="16" t="s">
        <v>726</v>
      </c>
      <c r="B243" s="8">
        <v>-5</v>
      </c>
      <c r="C243" s="10">
        <v>-5</v>
      </c>
      <c r="D243" s="10"/>
      <c r="E243" s="10"/>
      <c r="F243" s="30">
        <v>-5</v>
      </c>
      <c r="G243" s="7">
        <f t="shared" si="62"/>
        <v>-15</v>
      </c>
      <c r="H243" s="58">
        <v>43264</v>
      </c>
      <c r="I243" s="14"/>
      <c r="J243" s="11"/>
      <c r="K243" s="12"/>
      <c r="L243" s="12"/>
      <c r="M243" s="12"/>
      <c r="N243" s="31"/>
      <c r="O243" s="7">
        <f t="shared" si="63"/>
        <v>0</v>
      </c>
      <c r="P243" s="36"/>
    </row>
    <row r="244" spans="1:16" x14ac:dyDescent="0.15">
      <c r="A244" s="16" t="s">
        <v>25</v>
      </c>
      <c r="B244" s="8"/>
      <c r="C244" s="10">
        <v>1</v>
      </c>
      <c r="D244" s="10"/>
      <c r="E244" s="10"/>
      <c r="F244" s="30"/>
      <c r="G244" s="7">
        <f t="shared" si="62"/>
        <v>1</v>
      </c>
      <c r="H244" s="58">
        <v>43265</v>
      </c>
      <c r="I244" s="14"/>
      <c r="J244" s="11"/>
      <c r="K244" s="12"/>
      <c r="L244" s="12"/>
      <c r="M244" s="12"/>
      <c r="N244" s="31"/>
      <c r="O244" s="7">
        <f t="shared" si="63"/>
        <v>0</v>
      </c>
      <c r="P244" s="58"/>
    </row>
    <row r="245" spans="1:16" x14ac:dyDescent="0.15">
      <c r="A245" s="16" t="s">
        <v>28</v>
      </c>
      <c r="B245" s="8"/>
      <c r="C245" s="10"/>
      <c r="D245" s="10">
        <v>-5</v>
      </c>
      <c r="E245" s="10"/>
      <c r="F245" s="30">
        <v>-10</v>
      </c>
      <c r="G245" s="7">
        <f t="shared" si="62"/>
        <v>-15</v>
      </c>
      <c r="H245" s="58">
        <v>43266</v>
      </c>
      <c r="I245" s="16"/>
      <c r="J245" s="11"/>
      <c r="K245" s="12"/>
      <c r="L245" s="12"/>
      <c r="M245" s="12"/>
      <c r="N245" s="31"/>
      <c r="O245" s="7">
        <f t="shared" si="63"/>
        <v>0</v>
      </c>
      <c r="P245" s="58"/>
    </row>
    <row r="246" spans="1:16" x14ac:dyDescent="0.15">
      <c r="A246" s="16" t="s">
        <v>739</v>
      </c>
      <c r="B246" s="8"/>
      <c r="C246" s="10"/>
      <c r="D246" s="10">
        <v>5</v>
      </c>
      <c r="E246" s="10"/>
      <c r="F246" s="30">
        <v>10</v>
      </c>
      <c r="G246" s="7">
        <f t="shared" si="62"/>
        <v>15</v>
      </c>
      <c r="H246" s="58">
        <v>43269</v>
      </c>
      <c r="I246" s="16"/>
      <c r="J246" s="11"/>
      <c r="K246" s="12"/>
      <c r="L246" s="12"/>
      <c r="M246" s="12"/>
      <c r="N246" s="31"/>
      <c r="O246" s="7">
        <f t="shared" si="63"/>
        <v>0</v>
      </c>
      <c r="P246" s="58"/>
    </row>
    <row r="247" spans="1:16" x14ac:dyDescent="0.15">
      <c r="A247" s="16" t="s">
        <v>737</v>
      </c>
      <c r="B247" s="37">
        <v>1</v>
      </c>
      <c r="C247" s="35"/>
      <c r="D247" s="35"/>
      <c r="E247" s="35"/>
      <c r="F247" s="28"/>
      <c r="G247" s="7">
        <f t="shared" si="62"/>
        <v>1</v>
      </c>
      <c r="H247" s="58">
        <v>43266</v>
      </c>
      <c r="I247" s="14"/>
      <c r="J247" s="8"/>
      <c r="K247" s="10"/>
      <c r="L247" s="10"/>
      <c r="M247" s="10"/>
      <c r="N247" s="30"/>
      <c r="O247" s="7">
        <f t="shared" si="63"/>
        <v>0</v>
      </c>
      <c r="P247" s="56"/>
    </row>
    <row r="248" spans="1:16" x14ac:dyDescent="0.15">
      <c r="A248" s="16" t="s">
        <v>738</v>
      </c>
      <c r="B248" s="8">
        <v>1</v>
      </c>
      <c r="C248" s="10">
        <v>1</v>
      </c>
      <c r="D248" s="10">
        <v>1</v>
      </c>
      <c r="E248" s="10">
        <v>1</v>
      </c>
      <c r="F248" s="30"/>
      <c r="G248" s="7">
        <f t="shared" si="62"/>
        <v>4</v>
      </c>
      <c r="H248" s="58">
        <v>43271</v>
      </c>
      <c r="I248" s="14"/>
      <c r="J248" s="11"/>
      <c r="K248" s="12"/>
      <c r="L248" s="12"/>
      <c r="M248" s="12"/>
      <c r="N248" s="31"/>
      <c r="O248" s="7">
        <f t="shared" si="63"/>
        <v>0</v>
      </c>
      <c r="P248" s="58"/>
    </row>
    <row r="249" spans="1:16" x14ac:dyDescent="0.15">
      <c r="A249" s="16" t="s">
        <v>25</v>
      </c>
      <c r="B249" s="8"/>
      <c r="C249" s="10"/>
      <c r="D249" s="10"/>
      <c r="E249" s="10">
        <v>1</v>
      </c>
      <c r="F249" s="30">
        <v>2</v>
      </c>
      <c r="G249" s="9">
        <f t="shared" si="62"/>
        <v>3</v>
      </c>
      <c r="H249" s="58">
        <v>43267</v>
      </c>
      <c r="I249" s="51"/>
      <c r="J249" s="8"/>
      <c r="K249" s="10"/>
      <c r="L249" s="10"/>
      <c r="M249" s="10"/>
      <c r="N249" s="30"/>
      <c r="O249" s="147">
        <f t="shared" si="63"/>
        <v>0</v>
      </c>
      <c r="P249" s="163"/>
    </row>
    <row r="250" spans="1:16" ht="14.25" thickBot="1" x14ac:dyDescent="0.2">
      <c r="A250" s="16" t="s">
        <v>25</v>
      </c>
      <c r="B250" s="37"/>
      <c r="C250" s="35"/>
      <c r="D250" s="35"/>
      <c r="E250" s="35">
        <v>1</v>
      </c>
      <c r="F250" s="28"/>
      <c r="G250" s="7">
        <f t="shared" si="62"/>
        <v>1</v>
      </c>
      <c r="H250" s="58">
        <v>43270</v>
      </c>
      <c r="I250" s="16"/>
      <c r="J250" s="11"/>
      <c r="K250" s="12"/>
      <c r="L250" s="12"/>
      <c r="M250" s="12"/>
      <c r="N250" s="31"/>
      <c r="O250" s="7">
        <f t="shared" si="63"/>
        <v>0</v>
      </c>
      <c r="P250" s="56"/>
    </row>
    <row r="251" spans="1:16" ht="14.25" thickBot="1" x14ac:dyDescent="0.2">
      <c r="A251" s="3" t="s">
        <v>11</v>
      </c>
      <c r="B251" s="23">
        <f>SUM(B225:B250)</f>
        <v>5</v>
      </c>
      <c r="C251" s="4">
        <f>SUM(C225:C250)</f>
        <v>23</v>
      </c>
      <c r="D251" s="4">
        <f>SUM(D225:D250)</f>
        <v>9</v>
      </c>
      <c r="E251" s="6">
        <f>SUM(E225:E250)</f>
        <v>27</v>
      </c>
      <c r="F251" s="32">
        <f>SUM(F225:F250)</f>
        <v>10</v>
      </c>
      <c r="G251" s="5">
        <f>SUM(B251:F251)</f>
        <v>74</v>
      </c>
      <c r="H251" s="56"/>
      <c r="I251" s="3" t="s">
        <v>11</v>
      </c>
      <c r="J251" s="23">
        <f>SUM(J225:J250)</f>
        <v>5</v>
      </c>
      <c r="K251" s="4">
        <f>SUM(K225:K250)</f>
        <v>20</v>
      </c>
      <c r="L251" s="4">
        <f>SUM(L225:L250)</f>
        <v>10</v>
      </c>
      <c r="M251" s="6">
        <f>SUM(M225:M250)</f>
        <v>20</v>
      </c>
      <c r="N251" s="32">
        <f>SUM(N225:N250)</f>
        <v>20</v>
      </c>
      <c r="O251" s="5">
        <f>SUM(J251:N251)</f>
        <v>75</v>
      </c>
    </row>
    <row r="252" spans="1:16" ht="14.25" thickBot="1" x14ac:dyDescent="0.2">
      <c r="A252" s="25" t="s">
        <v>12</v>
      </c>
      <c r="B252" s="63">
        <f>B224-B251</f>
        <v>9</v>
      </c>
      <c r="C252" s="26">
        <f t="shared" ref="C252:G252" si="65">C224-C251</f>
        <v>8</v>
      </c>
      <c r="D252" s="71">
        <f t="shared" si="65"/>
        <v>9</v>
      </c>
      <c r="E252" s="26">
        <f t="shared" si="65"/>
        <v>9</v>
      </c>
      <c r="F252" s="70">
        <f t="shared" si="65"/>
        <v>10</v>
      </c>
      <c r="G252" s="27">
        <f t="shared" si="65"/>
        <v>45</v>
      </c>
      <c r="H252" s="56"/>
      <c r="I252" s="25" t="s">
        <v>12</v>
      </c>
      <c r="J252" s="63">
        <f>J224-J251</f>
        <v>115</v>
      </c>
      <c r="K252" s="26">
        <f t="shared" ref="K252:O252" si="66">K224-K251</f>
        <v>81</v>
      </c>
      <c r="L252" s="71">
        <f t="shared" si="66"/>
        <v>148</v>
      </c>
      <c r="M252" s="26">
        <f t="shared" si="66"/>
        <v>145</v>
      </c>
      <c r="N252" s="70">
        <f t="shared" si="66"/>
        <v>83</v>
      </c>
      <c r="O252" s="27">
        <f t="shared" si="66"/>
        <v>572</v>
      </c>
    </row>
    <row r="253" spans="1:16" ht="21" x14ac:dyDescent="0.2">
      <c r="A253" s="86" t="s">
        <v>413</v>
      </c>
      <c r="B253" s="87"/>
      <c r="C253" s="87"/>
      <c r="D253" s="87"/>
      <c r="E253" s="87"/>
      <c r="F253" s="87"/>
      <c r="G253" s="87"/>
      <c r="H253" s="56"/>
      <c r="I253" s="86" t="s">
        <v>413</v>
      </c>
      <c r="J253" s="87"/>
      <c r="K253" s="87"/>
      <c r="L253" s="87"/>
      <c r="M253" s="87"/>
      <c r="N253" s="87"/>
      <c r="O253" s="87"/>
    </row>
    <row r="254" spans="1:16" ht="21.75" thickBot="1" x14ac:dyDescent="0.25">
      <c r="A254" s="86" t="s">
        <v>51</v>
      </c>
      <c r="B254" s="87"/>
      <c r="C254" s="87"/>
      <c r="D254" s="87"/>
      <c r="E254" s="85"/>
      <c r="F254" s="88" t="s">
        <v>53</v>
      </c>
      <c r="G254" s="87"/>
      <c r="H254" s="56"/>
      <c r="I254" s="86" t="s">
        <v>51</v>
      </c>
      <c r="J254" s="87"/>
      <c r="K254" s="87"/>
      <c r="L254" s="87"/>
      <c r="M254" s="89"/>
      <c r="N254" s="88" t="s">
        <v>54</v>
      </c>
      <c r="O254" s="87"/>
    </row>
    <row r="255" spans="1:16" ht="14.25" thickBot="1" x14ac:dyDescent="0.2">
      <c r="A255" s="13" t="s">
        <v>0</v>
      </c>
      <c r="B255" s="228" t="s">
        <v>52</v>
      </c>
      <c r="C255" s="229"/>
      <c r="D255" s="229"/>
      <c r="E255" s="229"/>
      <c r="F255" s="230"/>
      <c r="G255" s="231"/>
      <c r="H255" s="56"/>
      <c r="I255" s="13" t="s">
        <v>0</v>
      </c>
      <c r="J255" s="228" t="s">
        <v>52</v>
      </c>
      <c r="K255" s="229"/>
      <c r="L255" s="229"/>
      <c r="M255" s="229"/>
      <c r="N255" s="230"/>
      <c r="O255" s="231"/>
    </row>
    <row r="256" spans="1:16" ht="14.25" thickBot="1" x14ac:dyDescent="0.2">
      <c r="A256" s="3" t="s">
        <v>1</v>
      </c>
      <c r="B256" s="2" t="s">
        <v>42</v>
      </c>
      <c r="C256" s="21" t="s">
        <v>43</v>
      </c>
      <c r="D256" s="21" t="s">
        <v>44</v>
      </c>
      <c r="E256" s="24" t="s">
        <v>45</v>
      </c>
      <c r="F256" s="33" t="s">
        <v>46</v>
      </c>
      <c r="G256" s="3" t="s">
        <v>2</v>
      </c>
      <c r="H256" s="56"/>
      <c r="I256" s="3" t="s">
        <v>1</v>
      </c>
      <c r="J256" s="41" t="s">
        <v>42</v>
      </c>
      <c r="K256" s="42" t="s">
        <v>43</v>
      </c>
      <c r="L256" s="42" t="s">
        <v>44</v>
      </c>
      <c r="M256" s="43" t="s">
        <v>45</v>
      </c>
      <c r="N256" s="44" t="s">
        <v>46</v>
      </c>
      <c r="O256" s="3" t="s">
        <v>2</v>
      </c>
    </row>
    <row r="257" spans="1:17" x14ac:dyDescent="0.15">
      <c r="A257" s="96" t="s">
        <v>13</v>
      </c>
      <c r="B257" s="95">
        <f>B252</f>
        <v>9</v>
      </c>
      <c r="C257" s="97">
        <f t="shared" ref="C257:F257" si="67">C252</f>
        <v>8</v>
      </c>
      <c r="D257" s="97">
        <f t="shared" si="67"/>
        <v>9</v>
      </c>
      <c r="E257" s="97">
        <f t="shared" si="67"/>
        <v>9</v>
      </c>
      <c r="F257" s="139">
        <f t="shared" si="67"/>
        <v>10</v>
      </c>
      <c r="G257" s="52">
        <f t="shared" ref="G257:G265" si="68">SUM(B257:F257)</f>
        <v>45</v>
      </c>
      <c r="H257" s="56"/>
      <c r="I257" s="96" t="s">
        <v>13</v>
      </c>
      <c r="J257" s="95">
        <f>J252</f>
        <v>115</v>
      </c>
      <c r="K257" s="97">
        <f t="shared" ref="K257:N257" si="69">K252</f>
        <v>81</v>
      </c>
      <c r="L257" s="97">
        <f t="shared" si="69"/>
        <v>148</v>
      </c>
      <c r="M257" s="97">
        <f t="shared" si="69"/>
        <v>145</v>
      </c>
      <c r="N257" s="139">
        <f t="shared" si="69"/>
        <v>83</v>
      </c>
      <c r="O257" s="52">
        <f t="shared" ref="O257:O265" si="70">SUM(J257:N257)</f>
        <v>572</v>
      </c>
    </row>
    <row r="258" spans="1:17" x14ac:dyDescent="0.15">
      <c r="A258" s="15" t="s">
        <v>17</v>
      </c>
      <c r="B258" s="8"/>
      <c r="C258" s="10">
        <v>1</v>
      </c>
      <c r="D258" s="10">
        <v>1</v>
      </c>
      <c r="E258" s="10"/>
      <c r="F258" s="104">
        <v>2</v>
      </c>
      <c r="G258" s="9">
        <f t="shared" si="68"/>
        <v>4</v>
      </c>
      <c r="H258" s="58">
        <v>43271</v>
      </c>
      <c r="I258" s="15" t="s">
        <v>3</v>
      </c>
      <c r="J258" s="37"/>
      <c r="K258" s="135"/>
      <c r="L258" s="135"/>
      <c r="M258" s="135"/>
      <c r="N258" s="136"/>
      <c r="O258" s="7">
        <f t="shared" si="70"/>
        <v>0</v>
      </c>
    </row>
    <row r="259" spans="1:17" x14ac:dyDescent="0.15">
      <c r="A259" s="15" t="s">
        <v>4</v>
      </c>
      <c r="B259" s="8"/>
      <c r="C259" s="10"/>
      <c r="D259" s="10"/>
      <c r="E259" s="10">
        <v>5</v>
      </c>
      <c r="F259" s="104"/>
      <c r="G259" s="9">
        <f t="shared" si="68"/>
        <v>5</v>
      </c>
      <c r="H259" s="58">
        <v>43274</v>
      </c>
      <c r="I259" s="15" t="s">
        <v>4</v>
      </c>
      <c r="J259" s="8"/>
      <c r="K259" s="45"/>
      <c r="L259" s="45"/>
      <c r="M259" s="45"/>
      <c r="N259" s="46"/>
      <c r="O259" s="9">
        <f t="shared" si="70"/>
        <v>0</v>
      </c>
      <c r="P259" s="58"/>
      <c r="Q259" s="130"/>
    </row>
    <row r="260" spans="1:17" x14ac:dyDescent="0.15">
      <c r="A260" s="15" t="s">
        <v>19</v>
      </c>
      <c r="B260" s="8"/>
      <c r="C260" s="10">
        <v>2</v>
      </c>
      <c r="D260" s="10">
        <v>1</v>
      </c>
      <c r="E260" s="10"/>
      <c r="F260" s="104">
        <v>2</v>
      </c>
      <c r="G260" s="9">
        <f t="shared" si="68"/>
        <v>5</v>
      </c>
      <c r="H260" s="58">
        <v>43273</v>
      </c>
      <c r="I260" s="15" t="s">
        <v>5</v>
      </c>
      <c r="J260" s="8"/>
      <c r="K260" s="45"/>
      <c r="L260" s="45"/>
      <c r="M260" s="45"/>
      <c r="N260" s="46"/>
      <c r="O260" s="9">
        <f t="shared" si="70"/>
        <v>0</v>
      </c>
    </row>
    <row r="261" spans="1:17" x14ac:dyDescent="0.15">
      <c r="A261" s="15" t="s">
        <v>6</v>
      </c>
      <c r="B261" s="11"/>
      <c r="C261" s="12"/>
      <c r="D261" s="12">
        <v>10</v>
      </c>
      <c r="E261" s="12"/>
      <c r="F261" s="108"/>
      <c r="G261" s="9">
        <f t="shared" si="68"/>
        <v>10</v>
      </c>
      <c r="H261" s="58">
        <v>43278</v>
      </c>
      <c r="I261" s="15" t="s">
        <v>6</v>
      </c>
      <c r="J261" s="8"/>
      <c r="K261" s="45"/>
      <c r="L261" s="45"/>
      <c r="M261" s="45"/>
      <c r="N261" s="46"/>
      <c r="O261" s="9">
        <f t="shared" si="70"/>
        <v>0</v>
      </c>
    </row>
    <row r="262" spans="1:17" x14ac:dyDescent="0.15">
      <c r="A262" s="15" t="s">
        <v>84</v>
      </c>
      <c r="B262" s="8">
        <v>5</v>
      </c>
      <c r="C262" s="10">
        <v>5</v>
      </c>
      <c r="D262" s="10">
        <v>5</v>
      </c>
      <c r="E262" s="10">
        <v>5</v>
      </c>
      <c r="F262" s="30"/>
      <c r="G262" s="7">
        <f t="shared" si="68"/>
        <v>20</v>
      </c>
      <c r="H262" s="58">
        <v>43279</v>
      </c>
      <c r="I262" s="15" t="s">
        <v>84</v>
      </c>
      <c r="J262" s="8"/>
      <c r="K262" s="45"/>
      <c r="L262" s="45"/>
      <c r="M262" s="45"/>
      <c r="N262" s="46"/>
      <c r="O262" s="7">
        <f t="shared" si="70"/>
        <v>0</v>
      </c>
    </row>
    <row r="263" spans="1:17" x14ac:dyDescent="0.15">
      <c r="A263" s="15" t="s">
        <v>17</v>
      </c>
      <c r="B263" s="8"/>
      <c r="C263" s="10"/>
      <c r="D263" s="10"/>
      <c r="E263" s="10">
        <v>1</v>
      </c>
      <c r="F263" s="30"/>
      <c r="G263" s="7">
        <f t="shared" si="68"/>
        <v>1</v>
      </c>
      <c r="H263" s="58">
        <v>43279</v>
      </c>
      <c r="I263" s="15" t="s">
        <v>85</v>
      </c>
      <c r="J263" s="8"/>
      <c r="K263" s="45"/>
      <c r="L263" s="45"/>
      <c r="M263" s="45"/>
      <c r="N263" s="46"/>
      <c r="O263" s="7">
        <f t="shared" si="70"/>
        <v>0</v>
      </c>
    </row>
    <row r="264" spans="1:17" x14ac:dyDescent="0.15">
      <c r="A264" s="15" t="s">
        <v>86</v>
      </c>
      <c r="B264" s="8"/>
      <c r="C264" s="45"/>
      <c r="D264" s="45"/>
      <c r="E264" s="45"/>
      <c r="F264" s="46">
        <v>10</v>
      </c>
      <c r="G264" s="102">
        <f t="shared" si="68"/>
        <v>10</v>
      </c>
      <c r="H264" s="58">
        <v>43281</v>
      </c>
      <c r="I264" s="15" t="s">
        <v>86</v>
      </c>
      <c r="J264" s="8"/>
      <c r="K264" s="45"/>
      <c r="L264" s="45"/>
      <c r="M264" s="45"/>
      <c r="N264" s="46"/>
      <c r="O264" s="102">
        <f t="shared" si="70"/>
        <v>0</v>
      </c>
    </row>
    <row r="265" spans="1:17" ht="14.25" thickBot="1" x14ac:dyDescent="0.2">
      <c r="A265" s="15" t="s">
        <v>87</v>
      </c>
      <c r="B265" s="11"/>
      <c r="C265" s="100">
        <v>5</v>
      </c>
      <c r="D265" s="100"/>
      <c r="E265" s="100"/>
      <c r="F265" s="109">
        <v>10</v>
      </c>
      <c r="G265" s="40">
        <f t="shared" si="68"/>
        <v>15</v>
      </c>
      <c r="H265" s="58">
        <v>43287</v>
      </c>
      <c r="I265" s="15" t="s">
        <v>87</v>
      </c>
      <c r="J265" s="47"/>
      <c r="K265" s="48"/>
      <c r="L265" s="48"/>
      <c r="M265" s="48"/>
      <c r="N265" s="49"/>
      <c r="O265" s="40">
        <f t="shared" si="70"/>
        <v>0</v>
      </c>
    </row>
    <row r="266" spans="1:17" ht="14.25" thickBot="1" x14ac:dyDescent="0.2">
      <c r="A266" s="72" t="s">
        <v>7</v>
      </c>
      <c r="B266" s="73">
        <f>SUM(B257:B265)</f>
        <v>14</v>
      </c>
      <c r="C266" s="74">
        <f t="shared" ref="C266:G266" si="71">SUM(C257:C265)</f>
        <v>21</v>
      </c>
      <c r="D266" s="74">
        <f t="shared" si="71"/>
        <v>26</v>
      </c>
      <c r="E266" s="74">
        <f t="shared" si="71"/>
        <v>20</v>
      </c>
      <c r="F266" s="105">
        <f t="shared" si="71"/>
        <v>34</v>
      </c>
      <c r="G266" s="76">
        <f t="shared" si="71"/>
        <v>115</v>
      </c>
      <c r="H266" s="56"/>
      <c r="I266" s="72" t="s">
        <v>7</v>
      </c>
      <c r="J266" s="73">
        <f>SUM(J257:J265)</f>
        <v>115</v>
      </c>
      <c r="K266" s="74">
        <f t="shared" ref="K266:O266" si="72">SUM(K257:K265)</f>
        <v>81</v>
      </c>
      <c r="L266" s="74">
        <f t="shared" si="72"/>
        <v>148</v>
      </c>
      <c r="M266" s="74">
        <f t="shared" si="72"/>
        <v>145</v>
      </c>
      <c r="N266" s="105">
        <f t="shared" si="72"/>
        <v>83</v>
      </c>
      <c r="O266" s="76">
        <f t="shared" si="72"/>
        <v>572</v>
      </c>
    </row>
    <row r="267" spans="1:17" x14ac:dyDescent="0.15">
      <c r="A267" s="16" t="s">
        <v>25</v>
      </c>
      <c r="B267" s="37"/>
      <c r="C267" s="35">
        <v>1</v>
      </c>
      <c r="D267" s="35"/>
      <c r="E267" s="35"/>
      <c r="F267" s="28">
        <v>1</v>
      </c>
      <c r="G267" s="18">
        <f t="shared" ref="G267:G292" si="73">SUM(B267:F267)</f>
        <v>2</v>
      </c>
      <c r="H267" s="58">
        <v>43272</v>
      </c>
      <c r="I267" s="16" t="s">
        <v>743</v>
      </c>
      <c r="J267" s="17"/>
      <c r="K267" s="22"/>
      <c r="L267" s="22"/>
      <c r="M267" s="22">
        <v>5</v>
      </c>
      <c r="N267" s="29"/>
      <c r="O267" s="18">
        <f t="shared" ref="O267:O292" si="74">SUM(J267:N267)</f>
        <v>5</v>
      </c>
      <c r="P267" s="58">
        <v>43274</v>
      </c>
    </row>
    <row r="268" spans="1:17" x14ac:dyDescent="0.15">
      <c r="A268" s="16" t="s">
        <v>136</v>
      </c>
      <c r="B268" s="8"/>
      <c r="C268" s="10"/>
      <c r="D268" s="10">
        <v>2</v>
      </c>
      <c r="E268" s="10"/>
      <c r="F268" s="30"/>
      <c r="G268" s="7">
        <f t="shared" si="73"/>
        <v>2</v>
      </c>
      <c r="H268" s="58">
        <v>43278</v>
      </c>
      <c r="I268" s="16" t="s">
        <v>744</v>
      </c>
      <c r="J268" s="8"/>
      <c r="K268" s="10"/>
      <c r="L268" s="10">
        <v>10</v>
      </c>
      <c r="M268" s="10"/>
      <c r="N268" s="30"/>
      <c r="O268" s="7">
        <f t="shared" si="74"/>
        <v>10</v>
      </c>
      <c r="P268" s="58">
        <v>43278</v>
      </c>
      <c r="Q268" s="56"/>
    </row>
    <row r="269" spans="1:17" x14ac:dyDescent="0.15">
      <c r="A269" s="16" t="s">
        <v>25</v>
      </c>
      <c r="B269" s="8"/>
      <c r="C269" s="10"/>
      <c r="D269" s="10"/>
      <c r="E269" s="10"/>
      <c r="F269" s="30">
        <v>2</v>
      </c>
      <c r="G269" s="7">
        <f t="shared" si="73"/>
        <v>2</v>
      </c>
      <c r="H269" s="58">
        <v>43274</v>
      </c>
      <c r="I269" s="16" t="s">
        <v>24</v>
      </c>
      <c r="J269" s="8">
        <v>5</v>
      </c>
      <c r="K269" s="10">
        <v>5</v>
      </c>
      <c r="L269" s="10">
        <v>5</v>
      </c>
      <c r="M269" s="10">
        <v>5</v>
      </c>
      <c r="N269" s="30"/>
      <c r="O269" s="7">
        <f t="shared" si="74"/>
        <v>20</v>
      </c>
      <c r="P269" s="58">
        <v>43279</v>
      </c>
    </row>
    <row r="270" spans="1:17" x14ac:dyDescent="0.15">
      <c r="A270" s="16" t="s">
        <v>710</v>
      </c>
      <c r="B270" s="8"/>
      <c r="C270" s="10"/>
      <c r="D270" s="10"/>
      <c r="E270" s="10">
        <v>5</v>
      </c>
      <c r="F270" s="30"/>
      <c r="G270" s="7">
        <f t="shared" si="73"/>
        <v>5</v>
      </c>
      <c r="H270" s="58">
        <v>43280</v>
      </c>
      <c r="I270" s="16" t="s">
        <v>743</v>
      </c>
      <c r="J270" s="8"/>
      <c r="K270" s="10"/>
      <c r="L270" s="10"/>
      <c r="M270" s="10"/>
      <c r="N270" s="30">
        <v>10</v>
      </c>
      <c r="O270" s="7">
        <f t="shared" si="74"/>
        <v>10</v>
      </c>
      <c r="P270" s="58">
        <v>43281</v>
      </c>
    </row>
    <row r="271" spans="1:17" x14ac:dyDescent="0.15">
      <c r="A271" s="16" t="s">
        <v>182</v>
      </c>
      <c r="B271" s="8">
        <v>3</v>
      </c>
      <c r="C271" s="10">
        <v>6</v>
      </c>
      <c r="D271" s="10">
        <v>5</v>
      </c>
      <c r="E271" s="10">
        <v>3</v>
      </c>
      <c r="F271" s="30">
        <v>2</v>
      </c>
      <c r="G271" s="7">
        <f t="shared" si="73"/>
        <v>19</v>
      </c>
      <c r="H271" s="58">
        <v>43278</v>
      </c>
      <c r="I271" s="16" t="s">
        <v>24</v>
      </c>
      <c r="J271" s="8"/>
      <c r="K271" s="10">
        <v>5</v>
      </c>
      <c r="L271" s="10"/>
      <c r="M271" s="10"/>
      <c r="N271" s="30">
        <v>10</v>
      </c>
      <c r="O271" s="7">
        <f t="shared" si="74"/>
        <v>15</v>
      </c>
      <c r="P271" s="58">
        <v>43287</v>
      </c>
    </row>
    <row r="272" spans="1:17" x14ac:dyDescent="0.15">
      <c r="A272" s="16" t="s">
        <v>25</v>
      </c>
      <c r="B272" s="8"/>
      <c r="C272" s="10"/>
      <c r="D272" s="10">
        <v>1</v>
      </c>
      <c r="E272" s="10">
        <v>1</v>
      </c>
      <c r="F272" s="30"/>
      <c r="G272" s="7">
        <f t="shared" ref="G272:G273" si="75">SUM(B272:F272)</f>
        <v>2</v>
      </c>
      <c r="H272" s="58">
        <v>43277</v>
      </c>
      <c r="I272" s="16" t="s">
        <v>24</v>
      </c>
      <c r="J272" s="8"/>
      <c r="K272" s="10"/>
      <c r="L272" s="10">
        <v>5</v>
      </c>
      <c r="M272" s="10">
        <v>10</v>
      </c>
      <c r="N272" s="30"/>
      <c r="O272" s="7">
        <f t="shared" si="74"/>
        <v>15</v>
      </c>
      <c r="P272" s="58">
        <v>43293</v>
      </c>
    </row>
    <row r="273" spans="1:17" x14ac:dyDescent="0.15">
      <c r="A273" s="16" t="s">
        <v>22</v>
      </c>
      <c r="B273" s="8"/>
      <c r="C273" s="10"/>
      <c r="D273" s="10">
        <v>10</v>
      </c>
      <c r="E273" s="10"/>
      <c r="F273" s="30"/>
      <c r="G273" s="7">
        <f t="shared" si="75"/>
        <v>10</v>
      </c>
      <c r="H273" s="58">
        <v>43280</v>
      </c>
      <c r="I273" s="16"/>
      <c r="J273" s="8"/>
      <c r="K273" s="10"/>
      <c r="L273" s="10"/>
      <c r="M273" s="10"/>
      <c r="N273" s="30"/>
      <c r="O273" s="7">
        <f t="shared" si="74"/>
        <v>0</v>
      </c>
    </row>
    <row r="274" spans="1:17" x14ac:dyDescent="0.15">
      <c r="A274" s="16" t="s">
        <v>25</v>
      </c>
      <c r="B274" s="8"/>
      <c r="C274" s="10">
        <v>1</v>
      </c>
      <c r="D274" s="10"/>
      <c r="E274" s="10"/>
      <c r="F274" s="30">
        <v>1</v>
      </c>
      <c r="G274" s="7">
        <f t="shared" si="73"/>
        <v>2</v>
      </c>
      <c r="H274" s="58">
        <v>43279</v>
      </c>
      <c r="I274" s="16"/>
      <c r="J274" s="8"/>
      <c r="K274" s="10"/>
      <c r="L274" s="10"/>
      <c r="M274" s="10"/>
      <c r="N274" s="30"/>
      <c r="O274" s="7">
        <f t="shared" si="74"/>
        <v>0</v>
      </c>
    </row>
    <row r="275" spans="1:17" x14ac:dyDescent="0.15">
      <c r="A275" s="16" t="s">
        <v>117</v>
      </c>
      <c r="B275" s="8">
        <v>1</v>
      </c>
      <c r="C275" s="10"/>
      <c r="D275" s="10"/>
      <c r="E275" s="10"/>
      <c r="F275" s="30"/>
      <c r="G275" s="7">
        <f t="shared" si="73"/>
        <v>1</v>
      </c>
      <c r="H275" s="58">
        <v>43280</v>
      </c>
      <c r="I275" s="16"/>
      <c r="J275" s="11"/>
      <c r="K275" s="100"/>
      <c r="L275" s="100"/>
      <c r="M275" s="100"/>
      <c r="N275" s="109"/>
      <c r="O275" s="9">
        <f t="shared" si="74"/>
        <v>0</v>
      </c>
    </row>
    <row r="276" spans="1:17" x14ac:dyDescent="0.15">
      <c r="A276" s="16" t="s">
        <v>22</v>
      </c>
      <c r="B276" s="8"/>
      <c r="C276" s="10"/>
      <c r="D276" s="10"/>
      <c r="E276" s="10"/>
      <c r="F276" s="30">
        <v>10</v>
      </c>
      <c r="G276" s="7">
        <f t="shared" si="73"/>
        <v>10</v>
      </c>
      <c r="H276" s="58">
        <v>43286</v>
      </c>
      <c r="I276" s="16"/>
      <c r="J276" s="11"/>
      <c r="K276" s="12"/>
      <c r="L276" s="12"/>
      <c r="M276" s="12"/>
      <c r="N276" s="31"/>
      <c r="O276" s="7">
        <f t="shared" si="74"/>
        <v>0</v>
      </c>
    </row>
    <row r="277" spans="1:17" x14ac:dyDescent="0.15">
      <c r="A277" s="16" t="s">
        <v>30</v>
      </c>
      <c r="B277" s="11"/>
      <c r="C277" s="12"/>
      <c r="D277" s="12">
        <v>1</v>
      </c>
      <c r="E277" s="12"/>
      <c r="F277" s="31"/>
      <c r="G277" s="7">
        <f t="shared" si="73"/>
        <v>1</v>
      </c>
      <c r="H277" s="58">
        <v>43284</v>
      </c>
      <c r="I277" s="16"/>
      <c r="J277" s="8"/>
      <c r="K277" s="10"/>
      <c r="L277" s="10"/>
      <c r="M277" s="10"/>
      <c r="N277" s="30"/>
      <c r="O277" s="7">
        <f t="shared" si="74"/>
        <v>0</v>
      </c>
    </row>
    <row r="278" spans="1:17" x14ac:dyDescent="0.15">
      <c r="A278" s="16" t="s">
        <v>25</v>
      </c>
      <c r="B278" s="8"/>
      <c r="C278" s="10">
        <v>1</v>
      </c>
      <c r="D278" s="10"/>
      <c r="E278" s="10">
        <v>1</v>
      </c>
      <c r="F278" s="30"/>
      <c r="G278" s="7">
        <f t="shared" si="73"/>
        <v>2</v>
      </c>
      <c r="H278" s="58">
        <v>43284</v>
      </c>
      <c r="I278" s="16"/>
      <c r="J278" s="8"/>
      <c r="K278" s="10"/>
      <c r="L278" s="10"/>
      <c r="M278" s="10"/>
      <c r="N278" s="30"/>
      <c r="O278" s="7">
        <f t="shared" si="74"/>
        <v>0</v>
      </c>
    </row>
    <row r="279" spans="1:17" x14ac:dyDescent="0.15">
      <c r="A279" s="16" t="s">
        <v>25</v>
      </c>
      <c r="B279" s="8"/>
      <c r="C279" s="10">
        <v>1</v>
      </c>
      <c r="D279" s="10"/>
      <c r="E279" s="10"/>
      <c r="F279" s="30">
        <v>2</v>
      </c>
      <c r="G279" s="7">
        <f t="shared" si="73"/>
        <v>3</v>
      </c>
      <c r="H279" s="58">
        <v>43286</v>
      </c>
      <c r="I279" s="16"/>
      <c r="J279" s="8"/>
      <c r="K279" s="10"/>
      <c r="L279" s="10"/>
      <c r="M279" s="10"/>
      <c r="N279" s="30"/>
      <c r="O279" s="7">
        <f t="shared" si="74"/>
        <v>0</v>
      </c>
    </row>
    <row r="280" spans="1:17" x14ac:dyDescent="0.15">
      <c r="A280" s="16" t="s">
        <v>182</v>
      </c>
      <c r="B280" s="8"/>
      <c r="C280" s="10"/>
      <c r="D280" s="10"/>
      <c r="E280" s="10">
        <v>1</v>
      </c>
      <c r="F280" s="30">
        <v>4</v>
      </c>
      <c r="G280" s="7">
        <f t="shared" si="73"/>
        <v>5</v>
      </c>
      <c r="H280" s="58">
        <v>43287</v>
      </c>
      <c r="I280" s="16"/>
      <c r="J280" s="8"/>
      <c r="K280" s="10"/>
      <c r="L280" s="10"/>
      <c r="M280" s="10"/>
      <c r="N280" s="30"/>
      <c r="O280" s="7">
        <f t="shared" si="74"/>
        <v>0</v>
      </c>
    </row>
    <row r="281" spans="1:17" x14ac:dyDescent="0.15">
      <c r="A281" s="16" t="s">
        <v>755</v>
      </c>
      <c r="B281" s="8"/>
      <c r="C281" s="10"/>
      <c r="D281" s="10">
        <v>1</v>
      </c>
      <c r="E281" s="10"/>
      <c r="F281" s="30"/>
      <c r="G281" s="7">
        <f t="shared" si="73"/>
        <v>1</v>
      </c>
      <c r="H281" s="58">
        <v>43287</v>
      </c>
      <c r="I281" s="16"/>
      <c r="J281" s="8"/>
      <c r="K281" s="10"/>
      <c r="L281" s="10"/>
      <c r="M281" s="10"/>
      <c r="N281" s="30"/>
      <c r="O281" s="7">
        <f t="shared" si="74"/>
        <v>0</v>
      </c>
    </row>
    <row r="282" spans="1:17" x14ac:dyDescent="0.15">
      <c r="A282" s="16" t="s">
        <v>182</v>
      </c>
      <c r="B282" s="8">
        <v>3</v>
      </c>
      <c r="C282" s="10"/>
      <c r="D282" s="10"/>
      <c r="E282" s="10"/>
      <c r="F282" s="30">
        <v>2</v>
      </c>
      <c r="G282" s="7">
        <f t="shared" si="73"/>
        <v>5</v>
      </c>
      <c r="H282" s="58">
        <v>43291</v>
      </c>
      <c r="I282" s="16"/>
      <c r="J282" s="8"/>
      <c r="K282" s="10"/>
      <c r="L282" s="10"/>
      <c r="M282" s="10"/>
      <c r="N282" s="30"/>
      <c r="O282" s="7">
        <f t="shared" si="74"/>
        <v>0</v>
      </c>
    </row>
    <row r="283" spans="1:17" x14ac:dyDescent="0.15">
      <c r="A283" s="16" t="s">
        <v>25</v>
      </c>
      <c r="B283" s="8"/>
      <c r="C283" s="10">
        <v>2</v>
      </c>
      <c r="D283" s="10"/>
      <c r="E283" s="10"/>
      <c r="F283" s="30"/>
      <c r="G283" s="7">
        <f t="shared" si="73"/>
        <v>2</v>
      </c>
      <c r="H283" s="58">
        <v>43291</v>
      </c>
      <c r="I283" s="16"/>
      <c r="J283" s="11"/>
      <c r="K283" s="12"/>
      <c r="L283" s="12"/>
      <c r="M283" s="12"/>
      <c r="N283" s="31"/>
      <c r="O283" s="7">
        <f t="shared" si="74"/>
        <v>0</v>
      </c>
    </row>
    <row r="284" spans="1:17" x14ac:dyDescent="0.15">
      <c r="A284" s="16" t="s">
        <v>30</v>
      </c>
      <c r="B284" s="8"/>
      <c r="C284" s="10"/>
      <c r="D284" s="10"/>
      <c r="E284" s="10">
        <v>1</v>
      </c>
      <c r="F284" s="30"/>
      <c r="G284" s="7">
        <f t="shared" si="73"/>
        <v>1</v>
      </c>
      <c r="H284" s="58">
        <v>43293</v>
      </c>
      <c r="I284" s="14"/>
      <c r="J284" s="11"/>
      <c r="K284" s="12"/>
      <c r="L284" s="12"/>
      <c r="M284" s="12"/>
      <c r="N284" s="31"/>
      <c r="O284" s="7">
        <f t="shared" si="74"/>
        <v>0</v>
      </c>
      <c r="P284" s="56"/>
    </row>
    <row r="285" spans="1:17" x14ac:dyDescent="0.15">
      <c r="A285" s="15" t="s">
        <v>17</v>
      </c>
      <c r="B285" s="8"/>
      <c r="C285" s="10"/>
      <c r="D285" s="10"/>
      <c r="E285" s="10">
        <v>-1</v>
      </c>
      <c r="F285" s="30">
        <v>-1</v>
      </c>
      <c r="G285" s="7">
        <f t="shared" si="73"/>
        <v>-2</v>
      </c>
      <c r="H285" s="58">
        <v>43290</v>
      </c>
      <c r="I285" s="16"/>
      <c r="J285" s="11"/>
      <c r="K285" s="12"/>
      <c r="L285" s="12"/>
      <c r="M285" s="12"/>
      <c r="N285" s="31"/>
      <c r="O285" s="7">
        <f t="shared" si="74"/>
        <v>0</v>
      </c>
      <c r="P285" s="56"/>
    </row>
    <row r="286" spans="1:17" x14ac:dyDescent="0.15">
      <c r="A286" s="16" t="s">
        <v>764</v>
      </c>
      <c r="B286" s="8"/>
      <c r="C286" s="10">
        <v>1</v>
      </c>
      <c r="D286" s="10"/>
      <c r="E286" s="10"/>
      <c r="F286" s="30"/>
      <c r="G286" s="7">
        <f t="shared" si="73"/>
        <v>1</v>
      </c>
      <c r="H286" s="58">
        <v>43292</v>
      </c>
      <c r="I286" s="14"/>
      <c r="J286" s="11"/>
      <c r="K286" s="12"/>
      <c r="L286" s="12"/>
      <c r="M286" s="12"/>
      <c r="N286" s="31"/>
      <c r="O286" s="7">
        <f t="shared" si="74"/>
        <v>0</v>
      </c>
      <c r="P286" s="58"/>
    </row>
    <row r="287" spans="1:17" x14ac:dyDescent="0.15">
      <c r="A287" s="16" t="s">
        <v>22</v>
      </c>
      <c r="B287" s="8"/>
      <c r="C287" s="10"/>
      <c r="D287" s="10"/>
      <c r="E287" s="10">
        <v>10</v>
      </c>
      <c r="F287" s="30"/>
      <c r="G287" s="7">
        <f t="shared" si="73"/>
        <v>10</v>
      </c>
      <c r="H287" s="58">
        <v>43298</v>
      </c>
      <c r="I287" s="51"/>
      <c r="J287" s="8"/>
      <c r="K287" s="10"/>
      <c r="L287" s="10"/>
      <c r="M287" s="10"/>
      <c r="N287" s="30"/>
      <c r="O287" s="147">
        <f t="shared" si="74"/>
        <v>0</v>
      </c>
      <c r="P287" s="163"/>
      <c r="Q287" s="56"/>
    </row>
    <row r="288" spans="1:17" x14ac:dyDescent="0.15">
      <c r="A288" s="16" t="s">
        <v>765</v>
      </c>
      <c r="B288" s="8"/>
      <c r="C288" s="10"/>
      <c r="D288" s="10">
        <v>-5</v>
      </c>
      <c r="E288" s="10">
        <v>-10</v>
      </c>
      <c r="F288" s="59"/>
      <c r="G288" s="7">
        <f t="shared" si="73"/>
        <v>-15</v>
      </c>
      <c r="H288" s="58">
        <v>43293</v>
      </c>
      <c r="I288" s="16"/>
      <c r="J288" s="11"/>
      <c r="K288" s="12"/>
      <c r="L288" s="12"/>
      <c r="M288" s="12"/>
      <c r="N288" s="31"/>
      <c r="O288" s="7">
        <f t="shared" si="74"/>
        <v>0</v>
      </c>
      <c r="P288" s="58"/>
      <c r="Q288" s="56"/>
    </row>
    <row r="289" spans="1:17" x14ac:dyDescent="0.15">
      <c r="A289" s="16" t="s">
        <v>25</v>
      </c>
      <c r="B289" s="37"/>
      <c r="C289" s="35">
        <v>1</v>
      </c>
      <c r="D289" s="35"/>
      <c r="E289" s="35"/>
      <c r="F289" s="28"/>
      <c r="G289" s="7">
        <f t="shared" si="73"/>
        <v>1</v>
      </c>
      <c r="H289" s="58">
        <v>43293</v>
      </c>
      <c r="I289" s="14"/>
      <c r="J289" s="8"/>
      <c r="K289" s="10"/>
      <c r="L289" s="10"/>
      <c r="M289" s="10"/>
      <c r="N289" s="30"/>
      <c r="O289" s="7">
        <f t="shared" si="74"/>
        <v>0</v>
      </c>
      <c r="P289" s="56"/>
      <c r="Q289" s="56"/>
    </row>
    <row r="290" spans="1:17" x14ac:dyDescent="0.15">
      <c r="A290" s="16" t="s">
        <v>182</v>
      </c>
      <c r="B290" s="8"/>
      <c r="C290" s="10">
        <v>2</v>
      </c>
      <c r="D290" s="10"/>
      <c r="E290" s="10"/>
      <c r="F290" s="30"/>
      <c r="G290" s="7">
        <f t="shared" si="73"/>
        <v>2</v>
      </c>
      <c r="H290" s="58">
        <v>43294</v>
      </c>
      <c r="I290" s="51"/>
      <c r="J290" s="11"/>
      <c r="K290" s="12"/>
      <c r="L290" s="12"/>
      <c r="M290" s="12"/>
      <c r="N290" s="31"/>
      <c r="O290" s="7">
        <f t="shared" si="74"/>
        <v>0</v>
      </c>
      <c r="P290" s="56"/>
      <c r="Q290" s="56"/>
    </row>
    <row r="291" spans="1:17" x14ac:dyDescent="0.15">
      <c r="A291" s="16" t="s">
        <v>766</v>
      </c>
      <c r="B291" s="8"/>
      <c r="C291" s="10">
        <v>1</v>
      </c>
      <c r="D291" s="10"/>
      <c r="E291" s="10"/>
      <c r="F291" s="30"/>
      <c r="G291" s="9">
        <f t="shared" si="73"/>
        <v>1</v>
      </c>
      <c r="H291" s="58">
        <v>43292</v>
      </c>
      <c r="I291" s="51"/>
      <c r="J291" s="8"/>
      <c r="K291" s="10"/>
      <c r="L291" s="10"/>
      <c r="M291" s="10"/>
      <c r="N291" s="30"/>
      <c r="O291" s="147">
        <f t="shared" si="74"/>
        <v>0</v>
      </c>
      <c r="P291" s="56"/>
      <c r="Q291" s="56"/>
    </row>
    <row r="292" spans="1:17" ht="14.25" thickBot="1" x14ac:dyDescent="0.2">
      <c r="A292" s="16" t="s">
        <v>182</v>
      </c>
      <c r="B292" s="37"/>
      <c r="C292" s="35">
        <v>3</v>
      </c>
      <c r="D292" s="35"/>
      <c r="E292" s="35">
        <v>2</v>
      </c>
      <c r="F292" s="28"/>
      <c r="G292" s="7">
        <f t="shared" si="73"/>
        <v>5</v>
      </c>
      <c r="H292" s="58">
        <v>43298</v>
      </c>
      <c r="I292" s="16"/>
      <c r="J292" s="11"/>
      <c r="K292" s="12"/>
      <c r="L292" s="12"/>
      <c r="M292" s="12"/>
      <c r="N292" s="31"/>
      <c r="O292" s="7">
        <f t="shared" si="74"/>
        <v>0</v>
      </c>
      <c r="P292" s="56"/>
      <c r="Q292" s="56"/>
    </row>
    <row r="293" spans="1:17" ht="14.25" thickBot="1" x14ac:dyDescent="0.2">
      <c r="A293" s="3" t="s">
        <v>11</v>
      </c>
      <c r="B293" s="23">
        <f>SUM(B267:B292)</f>
        <v>7</v>
      </c>
      <c r="C293" s="4">
        <f>SUM(C267:C292)</f>
        <v>20</v>
      </c>
      <c r="D293" s="4">
        <f>SUM(D267:D292)</f>
        <v>15</v>
      </c>
      <c r="E293" s="6">
        <f>SUM(E267:E292)</f>
        <v>13</v>
      </c>
      <c r="F293" s="32">
        <f>SUM(F267:F292)</f>
        <v>23</v>
      </c>
      <c r="G293" s="5">
        <f>SUM(B293:F293)</f>
        <v>78</v>
      </c>
      <c r="H293" s="56"/>
      <c r="I293" s="3" t="s">
        <v>11</v>
      </c>
      <c r="J293" s="23">
        <f>SUM(J267:J292)</f>
        <v>5</v>
      </c>
      <c r="K293" s="4">
        <f>SUM(K267:K292)</f>
        <v>10</v>
      </c>
      <c r="L293" s="4">
        <f>SUM(L267:L292)</f>
        <v>20</v>
      </c>
      <c r="M293" s="6">
        <f>SUM(M267:M292)</f>
        <v>20</v>
      </c>
      <c r="N293" s="32">
        <f>SUM(N267:N292)</f>
        <v>20</v>
      </c>
      <c r="O293" s="5">
        <f>SUM(J293:N293)</f>
        <v>75</v>
      </c>
      <c r="P293" s="56"/>
    </row>
    <row r="294" spans="1:17" ht="14.25" thickBot="1" x14ac:dyDescent="0.2">
      <c r="A294" s="25" t="s">
        <v>12</v>
      </c>
      <c r="B294" s="63">
        <f>B266-B293</f>
        <v>7</v>
      </c>
      <c r="C294" s="26">
        <f t="shared" ref="C294:G294" si="76">C266-C293</f>
        <v>1</v>
      </c>
      <c r="D294" s="71">
        <f t="shared" si="76"/>
        <v>11</v>
      </c>
      <c r="E294" s="26">
        <f t="shared" si="76"/>
        <v>7</v>
      </c>
      <c r="F294" s="70">
        <f t="shared" si="76"/>
        <v>11</v>
      </c>
      <c r="G294" s="27">
        <f t="shared" si="76"/>
        <v>37</v>
      </c>
      <c r="H294" s="56"/>
      <c r="I294" s="25" t="s">
        <v>12</v>
      </c>
      <c r="J294" s="63">
        <f>J266-J293</f>
        <v>110</v>
      </c>
      <c r="K294" s="26">
        <f t="shared" ref="K294:O294" si="77">K266-K293</f>
        <v>71</v>
      </c>
      <c r="L294" s="71">
        <f t="shared" si="77"/>
        <v>128</v>
      </c>
      <c r="M294" s="26">
        <f t="shared" si="77"/>
        <v>125</v>
      </c>
      <c r="N294" s="70">
        <f t="shared" si="77"/>
        <v>63</v>
      </c>
      <c r="O294" s="27">
        <f t="shared" si="77"/>
        <v>497</v>
      </c>
    </row>
    <row r="295" spans="1:17" ht="21" x14ac:dyDescent="0.2">
      <c r="A295" s="86" t="s">
        <v>413</v>
      </c>
      <c r="B295" s="87"/>
      <c r="C295" s="87"/>
      <c r="D295" s="87"/>
      <c r="E295" s="87"/>
      <c r="F295" s="87"/>
      <c r="G295" s="87"/>
      <c r="H295" s="56"/>
      <c r="I295" s="86" t="s">
        <v>413</v>
      </c>
      <c r="J295" s="87"/>
      <c r="K295" s="87"/>
      <c r="L295" s="87"/>
      <c r="M295" s="87"/>
      <c r="N295" s="87"/>
      <c r="O295" s="87"/>
    </row>
    <row r="296" spans="1:17" ht="21.75" thickBot="1" x14ac:dyDescent="0.25">
      <c r="A296" s="86" t="s">
        <v>51</v>
      </c>
      <c r="B296" s="87"/>
      <c r="C296" s="87"/>
      <c r="D296" s="87"/>
      <c r="E296" s="85"/>
      <c r="F296" s="88" t="s">
        <v>53</v>
      </c>
      <c r="G296" s="87"/>
      <c r="H296" s="56"/>
      <c r="I296" s="86" t="s">
        <v>51</v>
      </c>
      <c r="J296" s="87"/>
      <c r="K296" s="87"/>
      <c r="L296" s="87"/>
      <c r="M296" s="89"/>
      <c r="N296" s="88" t="s">
        <v>54</v>
      </c>
      <c r="O296" s="87"/>
    </row>
    <row r="297" spans="1:17" ht="14.25" thickBot="1" x14ac:dyDescent="0.2">
      <c r="A297" s="13" t="s">
        <v>0</v>
      </c>
      <c r="B297" s="228" t="s">
        <v>52</v>
      </c>
      <c r="C297" s="229"/>
      <c r="D297" s="229"/>
      <c r="E297" s="229"/>
      <c r="F297" s="230"/>
      <c r="G297" s="231"/>
      <c r="H297" s="56"/>
      <c r="I297" s="13" t="s">
        <v>0</v>
      </c>
      <c r="J297" s="228" t="s">
        <v>52</v>
      </c>
      <c r="K297" s="229"/>
      <c r="L297" s="229"/>
      <c r="M297" s="229"/>
      <c r="N297" s="230"/>
      <c r="O297" s="231"/>
    </row>
    <row r="298" spans="1:17" ht="14.25" thickBot="1" x14ac:dyDescent="0.2">
      <c r="A298" s="3" t="s">
        <v>1</v>
      </c>
      <c r="B298" s="2" t="s">
        <v>42</v>
      </c>
      <c r="C298" s="21" t="s">
        <v>43</v>
      </c>
      <c r="D298" s="21" t="s">
        <v>44</v>
      </c>
      <c r="E298" s="24" t="s">
        <v>45</v>
      </c>
      <c r="F298" s="33" t="s">
        <v>46</v>
      </c>
      <c r="G298" s="3" t="s">
        <v>2</v>
      </c>
      <c r="H298" s="56"/>
      <c r="I298" s="3" t="s">
        <v>1</v>
      </c>
      <c r="J298" s="41" t="s">
        <v>42</v>
      </c>
      <c r="K298" s="42" t="s">
        <v>43</v>
      </c>
      <c r="L298" s="42" t="s">
        <v>44</v>
      </c>
      <c r="M298" s="43" t="s">
        <v>45</v>
      </c>
      <c r="N298" s="44" t="s">
        <v>46</v>
      </c>
      <c r="O298" s="3" t="s">
        <v>2</v>
      </c>
    </row>
    <row r="299" spans="1:17" x14ac:dyDescent="0.15">
      <c r="A299" s="96" t="s">
        <v>13</v>
      </c>
      <c r="B299" s="95">
        <f>B294</f>
        <v>7</v>
      </c>
      <c r="C299" s="97">
        <f t="shared" ref="C299:F299" si="78">C294</f>
        <v>1</v>
      </c>
      <c r="D299" s="97">
        <f t="shared" si="78"/>
        <v>11</v>
      </c>
      <c r="E299" s="97">
        <f t="shared" si="78"/>
        <v>7</v>
      </c>
      <c r="F299" s="139">
        <f t="shared" si="78"/>
        <v>11</v>
      </c>
      <c r="G299" s="52">
        <f t="shared" ref="G299:G307" si="79">SUM(B299:F299)</f>
        <v>37</v>
      </c>
      <c r="H299" s="56"/>
      <c r="I299" s="96" t="s">
        <v>13</v>
      </c>
      <c r="J299" s="95">
        <f>J294</f>
        <v>110</v>
      </c>
      <c r="K299" s="97">
        <f t="shared" ref="K299:N299" si="80">K294</f>
        <v>71</v>
      </c>
      <c r="L299" s="97">
        <f t="shared" si="80"/>
        <v>128</v>
      </c>
      <c r="M299" s="97">
        <f t="shared" si="80"/>
        <v>125</v>
      </c>
      <c r="N299" s="139">
        <f t="shared" si="80"/>
        <v>63</v>
      </c>
      <c r="O299" s="52">
        <f t="shared" ref="O299:O307" si="81">SUM(J299:N299)</f>
        <v>497</v>
      </c>
    </row>
    <row r="300" spans="1:17" x14ac:dyDescent="0.15">
      <c r="A300" s="15" t="s">
        <v>3</v>
      </c>
      <c r="B300" s="8">
        <v>5</v>
      </c>
      <c r="C300" s="10">
        <v>5</v>
      </c>
      <c r="D300" s="10"/>
      <c r="E300" s="10"/>
      <c r="F300" s="104"/>
      <c r="G300" s="9">
        <f t="shared" si="79"/>
        <v>10</v>
      </c>
      <c r="H300" s="58">
        <v>43295</v>
      </c>
      <c r="I300" s="15" t="s">
        <v>3</v>
      </c>
      <c r="J300" s="37"/>
      <c r="K300" s="135"/>
      <c r="L300" s="135"/>
      <c r="M300" s="135"/>
      <c r="N300" s="136"/>
      <c r="O300" s="7">
        <f t="shared" si="81"/>
        <v>0</v>
      </c>
    </row>
    <row r="301" spans="1:17" x14ac:dyDescent="0.15">
      <c r="A301" s="15" t="s">
        <v>4</v>
      </c>
      <c r="B301" s="8"/>
      <c r="C301" s="10"/>
      <c r="D301" s="10"/>
      <c r="E301" s="10"/>
      <c r="F301" s="104">
        <v>20</v>
      </c>
      <c r="G301" s="9">
        <f t="shared" si="79"/>
        <v>20</v>
      </c>
      <c r="H301" s="58">
        <v>43300</v>
      </c>
      <c r="I301" s="15" t="s">
        <v>4</v>
      </c>
      <c r="J301" s="8">
        <v>110</v>
      </c>
      <c r="K301" s="45">
        <v>210</v>
      </c>
      <c r="L301" s="45">
        <v>140</v>
      </c>
      <c r="M301" s="45">
        <v>100</v>
      </c>
      <c r="N301" s="46">
        <v>120</v>
      </c>
      <c r="O301" s="9">
        <f t="shared" si="81"/>
        <v>680</v>
      </c>
      <c r="P301" s="58">
        <v>43300</v>
      </c>
    </row>
    <row r="302" spans="1:17" x14ac:dyDescent="0.15">
      <c r="A302" s="15" t="s">
        <v>5</v>
      </c>
      <c r="B302" s="8"/>
      <c r="C302" s="10">
        <v>5</v>
      </c>
      <c r="D302" s="10">
        <v>5</v>
      </c>
      <c r="E302" s="10">
        <v>5</v>
      </c>
      <c r="F302" s="104"/>
      <c r="G302" s="9">
        <f t="shared" si="79"/>
        <v>15</v>
      </c>
      <c r="H302" s="58">
        <v>43302</v>
      </c>
      <c r="I302" s="15" t="s">
        <v>5</v>
      </c>
      <c r="J302" s="8"/>
      <c r="K302" s="45"/>
      <c r="L302" s="45"/>
      <c r="M302" s="45"/>
      <c r="N302" s="46"/>
      <c r="O302" s="9">
        <f t="shared" si="81"/>
        <v>0</v>
      </c>
    </row>
    <row r="303" spans="1:17" x14ac:dyDescent="0.15">
      <c r="A303" s="15" t="s">
        <v>19</v>
      </c>
      <c r="B303" s="11">
        <v>1</v>
      </c>
      <c r="C303" s="12">
        <v>1</v>
      </c>
      <c r="D303" s="12">
        <v>3</v>
      </c>
      <c r="E303" s="12"/>
      <c r="F303" s="108">
        <v>1</v>
      </c>
      <c r="G303" s="9">
        <f t="shared" si="79"/>
        <v>6</v>
      </c>
      <c r="H303" s="58">
        <v>43301</v>
      </c>
      <c r="I303" s="15" t="s">
        <v>6</v>
      </c>
      <c r="J303" s="8"/>
      <c r="K303" s="45"/>
      <c r="L303" s="45"/>
      <c r="M303" s="45"/>
      <c r="N303" s="46"/>
      <c r="O303" s="9">
        <f t="shared" si="81"/>
        <v>0</v>
      </c>
    </row>
    <row r="304" spans="1:17" x14ac:dyDescent="0.15">
      <c r="A304" s="15" t="s">
        <v>84</v>
      </c>
      <c r="B304" s="8"/>
      <c r="C304" s="10">
        <v>10</v>
      </c>
      <c r="D304" s="10"/>
      <c r="E304" s="10"/>
      <c r="F304" s="30"/>
      <c r="G304" s="7">
        <f t="shared" si="79"/>
        <v>10</v>
      </c>
      <c r="H304" s="58">
        <v>43307</v>
      </c>
      <c r="I304" s="15" t="s">
        <v>84</v>
      </c>
      <c r="J304" s="8"/>
      <c r="K304" s="45"/>
      <c r="L304" s="45"/>
      <c r="M304" s="45"/>
      <c r="N304" s="46"/>
      <c r="O304" s="7">
        <f t="shared" si="81"/>
        <v>0</v>
      </c>
    </row>
    <row r="305" spans="1:17" x14ac:dyDescent="0.15">
      <c r="A305" s="15" t="s">
        <v>787</v>
      </c>
      <c r="B305" s="8"/>
      <c r="C305" s="10">
        <v>1</v>
      </c>
      <c r="D305" s="10"/>
      <c r="E305" s="10"/>
      <c r="F305" s="30"/>
      <c r="G305" s="7">
        <f t="shared" si="79"/>
        <v>1</v>
      </c>
      <c r="H305" s="58">
        <v>43313</v>
      </c>
      <c r="I305" s="15" t="s">
        <v>85</v>
      </c>
      <c r="J305" s="8"/>
      <c r="K305" s="45"/>
      <c r="L305" s="45"/>
      <c r="M305" s="45"/>
      <c r="N305" s="46"/>
      <c r="O305" s="7">
        <f t="shared" si="81"/>
        <v>0</v>
      </c>
    </row>
    <row r="306" spans="1:17" x14ac:dyDescent="0.15">
      <c r="A306" s="134" t="s">
        <v>789</v>
      </c>
      <c r="B306" s="8"/>
      <c r="C306" s="45">
        <v>1</v>
      </c>
      <c r="D306" s="45"/>
      <c r="E306" s="45"/>
      <c r="F306" s="46"/>
      <c r="G306" s="102">
        <f t="shared" si="79"/>
        <v>1</v>
      </c>
      <c r="H306" s="58">
        <v>43314</v>
      </c>
      <c r="I306" s="15" t="s">
        <v>86</v>
      </c>
      <c r="J306" s="8"/>
      <c r="K306" s="45"/>
      <c r="L306" s="45"/>
      <c r="M306" s="45"/>
      <c r="N306" s="46"/>
      <c r="O306" s="102">
        <f t="shared" si="81"/>
        <v>0</v>
      </c>
    </row>
    <row r="307" spans="1:17" ht="14.25" thickBot="1" x14ac:dyDescent="0.2">
      <c r="A307" s="15" t="s">
        <v>87</v>
      </c>
      <c r="B307" s="11"/>
      <c r="C307" s="100"/>
      <c r="D307" s="100"/>
      <c r="E307" s="100">
        <v>5</v>
      </c>
      <c r="F307" s="109"/>
      <c r="G307" s="40">
        <f t="shared" si="79"/>
        <v>5</v>
      </c>
      <c r="H307" s="58">
        <v>43336</v>
      </c>
      <c r="I307" s="15" t="s">
        <v>87</v>
      </c>
      <c r="J307" s="47"/>
      <c r="K307" s="48"/>
      <c r="L307" s="48"/>
      <c r="M307" s="48"/>
      <c r="N307" s="49"/>
      <c r="O307" s="40">
        <f t="shared" si="81"/>
        <v>0</v>
      </c>
    </row>
    <row r="308" spans="1:17" ht="14.25" thickBot="1" x14ac:dyDescent="0.2">
      <c r="A308" s="72" t="s">
        <v>7</v>
      </c>
      <c r="B308" s="73">
        <f>SUM(B299:B307)</f>
        <v>13</v>
      </c>
      <c r="C308" s="74">
        <f t="shared" ref="C308:G308" si="82">SUM(C299:C307)</f>
        <v>24</v>
      </c>
      <c r="D308" s="74">
        <f t="shared" si="82"/>
        <v>19</v>
      </c>
      <c r="E308" s="74">
        <f t="shared" si="82"/>
        <v>17</v>
      </c>
      <c r="F308" s="105">
        <f t="shared" si="82"/>
        <v>32</v>
      </c>
      <c r="G308" s="76">
        <f t="shared" si="82"/>
        <v>105</v>
      </c>
      <c r="H308" s="56"/>
      <c r="I308" s="72" t="s">
        <v>7</v>
      </c>
      <c r="J308" s="73">
        <f>SUM(J299:J307)</f>
        <v>220</v>
      </c>
      <c r="K308" s="74">
        <f t="shared" ref="K308:O308" si="83">SUM(K299:K307)</f>
        <v>281</v>
      </c>
      <c r="L308" s="74">
        <f t="shared" si="83"/>
        <v>268</v>
      </c>
      <c r="M308" s="74">
        <f t="shared" si="83"/>
        <v>225</v>
      </c>
      <c r="N308" s="105">
        <f t="shared" si="83"/>
        <v>183</v>
      </c>
      <c r="O308" s="76">
        <f t="shared" si="83"/>
        <v>1177</v>
      </c>
    </row>
    <row r="309" spans="1:17" x14ac:dyDescent="0.15">
      <c r="A309" s="16" t="s">
        <v>182</v>
      </c>
      <c r="B309" s="37">
        <v>3</v>
      </c>
      <c r="C309" s="35">
        <v>4</v>
      </c>
      <c r="D309" s="35"/>
      <c r="E309" s="35"/>
      <c r="F309" s="28"/>
      <c r="G309" s="18">
        <f t="shared" ref="G309:G334" si="84">SUM(B309:F309)</f>
        <v>7</v>
      </c>
      <c r="H309" s="58">
        <v>43299</v>
      </c>
      <c r="I309" s="16" t="s">
        <v>743</v>
      </c>
      <c r="J309" s="17">
        <v>5</v>
      </c>
      <c r="K309" s="22">
        <v>5</v>
      </c>
      <c r="L309" s="22"/>
      <c r="M309" s="22"/>
      <c r="N309" s="29"/>
      <c r="O309" s="18">
        <f t="shared" ref="O309:O334" si="85">SUM(J309:N309)</f>
        <v>10</v>
      </c>
      <c r="P309" s="58">
        <v>43295</v>
      </c>
      <c r="Q309" s="56"/>
    </row>
    <row r="310" spans="1:17" x14ac:dyDescent="0.15">
      <c r="A310" s="16" t="s">
        <v>25</v>
      </c>
      <c r="B310" s="8"/>
      <c r="C310" s="10"/>
      <c r="D310" s="10">
        <v>1</v>
      </c>
      <c r="E310" s="10"/>
      <c r="F310" s="30"/>
      <c r="G310" s="7">
        <f t="shared" si="84"/>
        <v>1</v>
      </c>
      <c r="H310" s="58">
        <v>43299</v>
      </c>
      <c r="I310" s="16" t="s">
        <v>770</v>
      </c>
      <c r="J310" s="8"/>
      <c r="K310" s="10"/>
      <c r="L310" s="10"/>
      <c r="M310" s="10"/>
      <c r="N310" s="30">
        <v>20</v>
      </c>
      <c r="O310" s="7">
        <f t="shared" si="85"/>
        <v>20</v>
      </c>
      <c r="P310" s="58">
        <v>43300</v>
      </c>
      <c r="Q310" s="56"/>
    </row>
    <row r="311" spans="1:17" x14ac:dyDescent="0.15">
      <c r="A311" s="16" t="s">
        <v>22</v>
      </c>
      <c r="B311" s="8"/>
      <c r="C311" s="10"/>
      <c r="D311" s="10"/>
      <c r="E311" s="10"/>
      <c r="F311" s="30">
        <v>20</v>
      </c>
      <c r="G311" s="7">
        <f t="shared" si="84"/>
        <v>20</v>
      </c>
      <c r="H311" s="58">
        <v>43304</v>
      </c>
      <c r="I311" s="16" t="s">
        <v>743</v>
      </c>
      <c r="J311" s="8"/>
      <c r="K311" s="10">
        <v>5</v>
      </c>
      <c r="L311" s="10">
        <v>5</v>
      </c>
      <c r="M311" s="10">
        <v>5</v>
      </c>
      <c r="N311" s="30"/>
      <c r="O311" s="7">
        <f t="shared" si="85"/>
        <v>15</v>
      </c>
      <c r="P311" s="58">
        <v>43302</v>
      </c>
      <c r="Q311" s="56"/>
    </row>
    <row r="312" spans="1:17" x14ac:dyDescent="0.15">
      <c r="A312" s="16" t="s">
        <v>182</v>
      </c>
      <c r="B312" s="8"/>
      <c r="C312" s="10"/>
      <c r="D312" s="10">
        <v>2</v>
      </c>
      <c r="E312" s="10"/>
      <c r="F312" s="30"/>
      <c r="G312" s="7">
        <f t="shared" si="84"/>
        <v>2</v>
      </c>
      <c r="H312" s="58">
        <v>43301</v>
      </c>
      <c r="I312" s="16" t="s">
        <v>24</v>
      </c>
      <c r="J312" s="8"/>
      <c r="K312" s="10">
        <v>10</v>
      </c>
      <c r="L312" s="10"/>
      <c r="M312" s="10"/>
      <c r="N312" s="30"/>
      <c r="O312" s="7">
        <f t="shared" si="85"/>
        <v>10</v>
      </c>
      <c r="P312" s="58">
        <v>43307</v>
      </c>
      <c r="Q312" s="56"/>
    </row>
    <row r="313" spans="1:17" x14ac:dyDescent="0.15">
      <c r="A313" s="16" t="s">
        <v>785</v>
      </c>
      <c r="B313" s="8"/>
      <c r="C313" s="10"/>
      <c r="D313" s="10">
        <v>1</v>
      </c>
      <c r="E313" s="10"/>
      <c r="F313" s="30"/>
      <c r="G313" s="7">
        <f t="shared" si="84"/>
        <v>1</v>
      </c>
      <c r="H313" s="58">
        <v>43300</v>
      </c>
      <c r="I313" s="16" t="s">
        <v>784</v>
      </c>
      <c r="J313" s="8"/>
      <c r="K313" s="10"/>
      <c r="L313" s="10">
        <v>2</v>
      </c>
      <c r="M313" s="10"/>
      <c r="N313" s="30"/>
      <c r="O313" s="7">
        <f t="shared" si="85"/>
        <v>2</v>
      </c>
      <c r="P313" s="58">
        <v>43315</v>
      </c>
      <c r="Q313" s="56"/>
    </row>
    <row r="314" spans="1:17" x14ac:dyDescent="0.15">
      <c r="A314" s="16" t="s">
        <v>25</v>
      </c>
      <c r="B314" s="8"/>
      <c r="C314" s="10">
        <v>1</v>
      </c>
      <c r="D314" s="10"/>
      <c r="E314" s="10">
        <v>1</v>
      </c>
      <c r="F314" s="30"/>
      <c r="G314" s="7">
        <f t="shared" si="84"/>
        <v>2</v>
      </c>
      <c r="H314" s="58">
        <v>43305</v>
      </c>
      <c r="I314" s="16" t="s">
        <v>110</v>
      </c>
      <c r="J314" s="8"/>
      <c r="K314" s="10"/>
      <c r="L314" s="10"/>
      <c r="M314" s="10"/>
      <c r="N314" s="30">
        <v>3</v>
      </c>
      <c r="O314" s="7">
        <f t="shared" si="85"/>
        <v>3</v>
      </c>
      <c r="P314" s="58">
        <v>43322</v>
      </c>
      <c r="Q314" s="56"/>
    </row>
    <row r="315" spans="1:17" x14ac:dyDescent="0.15">
      <c r="A315" s="16" t="s">
        <v>22</v>
      </c>
      <c r="B315" s="8"/>
      <c r="C315" s="10">
        <v>10</v>
      </c>
      <c r="D315" s="10"/>
      <c r="E315" s="10"/>
      <c r="F315" s="30"/>
      <c r="G315" s="7">
        <f t="shared" si="84"/>
        <v>10</v>
      </c>
      <c r="H315" s="58">
        <v>43311</v>
      </c>
      <c r="I315" s="16" t="s">
        <v>24</v>
      </c>
      <c r="J315" s="8"/>
      <c r="K315" s="10"/>
      <c r="L315" s="10"/>
      <c r="M315" s="10">
        <v>5</v>
      </c>
      <c r="N315" s="30"/>
      <c r="O315" s="7">
        <f t="shared" si="85"/>
        <v>5</v>
      </c>
      <c r="P315" s="58">
        <v>43336</v>
      </c>
    </row>
    <row r="316" spans="1:17" x14ac:dyDescent="0.15">
      <c r="A316" s="16" t="s">
        <v>25</v>
      </c>
      <c r="B316" s="8"/>
      <c r="C316" s="10">
        <v>1</v>
      </c>
      <c r="D316" s="10"/>
      <c r="E316" s="10">
        <v>1</v>
      </c>
      <c r="F316" s="30"/>
      <c r="G316" s="7">
        <f t="shared" si="84"/>
        <v>2</v>
      </c>
      <c r="H316" s="58">
        <v>43307</v>
      </c>
      <c r="I316" s="16" t="s">
        <v>24</v>
      </c>
      <c r="J316" s="8"/>
      <c r="K316" s="10">
        <v>10</v>
      </c>
      <c r="L316" s="10"/>
      <c r="M316" s="10"/>
      <c r="N316" s="30"/>
      <c r="O316" s="7">
        <f t="shared" si="85"/>
        <v>10</v>
      </c>
      <c r="P316" s="58">
        <v>43342</v>
      </c>
    </row>
    <row r="317" spans="1:17" x14ac:dyDescent="0.15">
      <c r="A317" s="16" t="s">
        <v>25</v>
      </c>
      <c r="B317" s="8"/>
      <c r="C317" s="10"/>
      <c r="D317" s="10"/>
      <c r="E317" s="10">
        <v>1</v>
      </c>
      <c r="F317" s="30">
        <v>1</v>
      </c>
      <c r="G317" s="7">
        <f t="shared" si="84"/>
        <v>2</v>
      </c>
      <c r="H317" s="58">
        <v>43309</v>
      </c>
      <c r="I317" s="16"/>
      <c r="J317" s="11"/>
      <c r="K317" s="100"/>
      <c r="L317" s="100"/>
      <c r="M317" s="100"/>
      <c r="N317" s="109"/>
      <c r="O317" s="9">
        <f t="shared" si="85"/>
        <v>0</v>
      </c>
    </row>
    <row r="318" spans="1:17" x14ac:dyDescent="0.15">
      <c r="A318" s="15" t="s">
        <v>17</v>
      </c>
      <c r="B318" s="8"/>
      <c r="C318" s="10">
        <v>-1</v>
      </c>
      <c r="D318" s="10"/>
      <c r="E318" s="10"/>
      <c r="F318" s="30"/>
      <c r="G318" s="7">
        <f t="shared" si="84"/>
        <v>-1</v>
      </c>
      <c r="H318" s="58">
        <v>43311</v>
      </c>
      <c r="I318" s="16"/>
      <c r="J318" s="11"/>
      <c r="K318" s="12"/>
      <c r="L318" s="12"/>
      <c r="M318" s="12"/>
      <c r="N318" s="31"/>
      <c r="O318" s="7">
        <f t="shared" si="85"/>
        <v>0</v>
      </c>
    </row>
    <row r="319" spans="1:17" x14ac:dyDescent="0.15">
      <c r="A319" s="16" t="s">
        <v>786</v>
      </c>
      <c r="B319" s="11"/>
      <c r="C319" s="12"/>
      <c r="D319" s="12">
        <v>1</v>
      </c>
      <c r="E319" s="12"/>
      <c r="F319" s="31"/>
      <c r="G319" s="7">
        <f t="shared" si="84"/>
        <v>1</v>
      </c>
      <c r="H319" s="58">
        <v>43311</v>
      </c>
      <c r="I319" s="16"/>
      <c r="J319" s="8"/>
      <c r="K319" s="10"/>
      <c r="L319" s="10"/>
      <c r="M319" s="10"/>
      <c r="N319" s="30"/>
      <c r="O319" s="7">
        <f t="shared" si="85"/>
        <v>0</v>
      </c>
    </row>
    <row r="320" spans="1:17" x14ac:dyDescent="0.15">
      <c r="A320" s="16" t="s">
        <v>25</v>
      </c>
      <c r="B320" s="8"/>
      <c r="C320" s="10">
        <v>1</v>
      </c>
      <c r="D320" s="10">
        <v>1</v>
      </c>
      <c r="E320" s="10"/>
      <c r="F320" s="30">
        <v>1</v>
      </c>
      <c r="G320" s="7">
        <f t="shared" si="84"/>
        <v>3</v>
      </c>
      <c r="H320" s="58">
        <v>43314</v>
      </c>
      <c r="I320" s="16"/>
      <c r="J320" s="8"/>
      <c r="K320" s="10"/>
      <c r="L320" s="10"/>
      <c r="M320" s="10"/>
      <c r="N320" s="30"/>
      <c r="O320" s="7">
        <f t="shared" si="85"/>
        <v>0</v>
      </c>
    </row>
    <row r="321" spans="1:17" x14ac:dyDescent="0.15">
      <c r="A321" s="16" t="s">
        <v>25</v>
      </c>
      <c r="B321" s="8"/>
      <c r="C321" s="10">
        <v>1</v>
      </c>
      <c r="D321" s="10">
        <v>1</v>
      </c>
      <c r="E321" s="10"/>
      <c r="F321" s="30"/>
      <c r="G321" s="7">
        <f t="shared" si="84"/>
        <v>2</v>
      </c>
      <c r="H321" s="58">
        <v>43319</v>
      </c>
      <c r="I321" s="16"/>
      <c r="J321" s="8"/>
      <c r="K321" s="10"/>
      <c r="L321" s="10"/>
      <c r="M321" s="10"/>
      <c r="N321" s="30"/>
      <c r="O321" s="7">
        <f t="shared" si="85"/>
        <v>0</v>
      </c>
      <c r="P321" s="56"/>
      <c r="Q321" s="56"/>
    </row>
    <row r="322" spans="1:17" x14ac:dyDescent="0.15">
      <c r="A322" s="16" t="s">
        <v>25</v>
      </c>
      <c r="B322" s="8"/>
      <c r="C322" s="10">
        <v>1</v>
      </c>
      <c r="D322" s="10"/>
      <c r="E322" s="10"/>
      <c r="F322" s="30"/>
      <c r="G322" s="7">
        <f t="shared" si="84"/>
        <v>1</v>
      </c>
      <c r="H322" s="58">
        <v>43321</v>
      </c>
      <c r="I322" s="16"/>
      <c r="J322" s="8"/>
      <c r="K322" s="10"/>
      <c r="L322" s="10"/>
      <c r="M322" s="10"/>
      <c r="N322" s="30"/>
      <c r="O322" s="7">
        <f t="shared" si="85"/>
        <v>0</v>
      </c>
      <c r="P322" s="56"/>
      <c r="Q322" s="56"/>
    </row>
    <row r="323" spans="1:17" x14ac:dyDescent="0.15">
      <c r="A323" s="16" t="s">
        <v>25</v>
      </c>
      <c r="B323" s="8"/>
      <c r="C323" s="10"/>
      <c r="D323" s="10">
        <v>1</v>
      </c>
      <c r="E323" s="10"/>
      <c r="F323" s="30">
        <v>1</v>
      </c>
      <c r="G323" s="7">
        <f t="shared" si="84"/>
        <v>2</v>
      </c>
      <c r="H323" s="58">
        <v>43323</v>
      </c>
      <c r="I323" s="16"/>
      <c r="J323" s="8"/>
      <c r="K323" s="10"/>
      <c r="L323" s="10"/>
      <c r="M323" s="10"/>
      <c r="N323" s="30"/>
      <c r="O323" s="7">
        <f t="shared" si="85"/>
        <v>0</v>
      </c>
      <c r="P323" s="56"/>
      <c r="Q323" s="56"/>
    </row>
    <row r="324" spans="1:17" x14ac:dyDescent="0.15">
      <c r="A324" s="16" t="s">
        <v>25</v>
      </c>
      <c r="B324" s="8"/>
      <c r="C324" s="10">
        <v>1</v>
      </c>
      <c r="D324" s="10"/>
      <c r="E324" s="10">
        <v>1</v>
      </c>
      <c r="F324" s="30"/>
      <c r="G324" s="7">
        <f t="shared" si="84"/>
        <v>2</v>
      </c>
      <c r="H324" s="58">
        <v>43330</v>
      </c>
      <c r="I324" s="16"/>
      <c r="J324" s="8"/>
      <c r="K324" s="10"/>
      <c r="L324" s="10"/>
      <c r="M324" s="10"/>
      <c r="N324" s="30"/>
      <c r="O324" s="7">
        <f t="shared" si="85"/>
        <v>0</v>
      </c>
      <c r="P324" s="56"/>
      <c r="Q324" s="56"/>
    </row>
    <row r="325" spans="1:17" x14ac:dyDescent="0.15">
      <c r="A325" s="16" t="s">
        <v>182</v>
      </c>
      <c r="B325" s="8"/>
      <c r="C325" s="10"/>
      <c r="D325" s="10"/>
      <c r="E325" s="10">
        <v>1</v>
      </c>
      <c r="F325" s="30"/>
      <c r="G325" s="7">
        <f t="shared" si="84"/>
        <v>1</v>
      </c>
      <c r="H325" s="58">
        <v>43332</v>
      </c>
      <c r="I325" s="16"/>
      <c r="J325" s="11"/>
      <c r="K325" s="12"/>
      <c r="L325" s="12"/>
      <c r="M325" s="12"/>
      <c r="N325" s="31"/>
      <c r="O325" s="7">
        <f t="shared" si="85"/>
        <v>0</v>
      </c>
      <c r="P325" s="56"/>
      <c r="Q325" s="56"/>
    </row>
    <row r="326" spans="1:17" x14ac:dyDescent="0.15">
      <c r="A326" s="16" t="s">
        <v>25</v>
      </c>
      <c r="B326" s="8"/>
      <c r="C326" s="10"/>
      <c r="D326" s="10"/>
      <c r="E326" s="10">
        <v>1</v>
      </c>
      <c r="F326" s="30"/>
      <c r="G326" s="7">
        <f t="shared" si="84"/>
        <v>1</v>
      </c>
      <c r="H326" s="58">
        <v>43333</v>
      </c>
      <c r="I326" s="16"/>
      <c r="J326" s="11"/>
      <c r="K326" s="12"/>
      <c r="L326" s="12"/>
      <c r="M326" s="12"/>
      <c r="N326" s="31"/>
      <c r="O326" s="7">
        <f t="shared" si="85"/>
        <v>0</v>
      </c>
      <c r="P326" s="56"/>
      <c r="Q326" s="56"/>
    </row>
    <row r="327" spans="1:17" x14ac:dyDescent="0.15">
      <c r="A327" s="16" t="s">
        <v>182</v>
      </c>
      <c r="B327" s="8"/>
      <c r="C327" s="10"/>
      <c r="D327" s="10"/>
      <c r="E327" s="10">
        <v>2</v>
      </c>
      <c r="F327" s="30"/>
      <c r="G327" s="7">
        <f t="shared" si="84"/>
        <v>2</v>
      </c>
      <c r="H327" s="58">
        <v>43334</v>
      </c>
      <c r="I327" s="16"/>
      <c r="J327" s="11"/>
      <c r="K327" s="12"/>
      <c r="L327" s="12"/>
      <c r="M327" s="12"/>
      <c r="N327" s="31"/>
      <c r="O327" s="7">
        <f t="shared" si="85"/>
        <v>0</v>
      </c>
      <c r="P327" s="56"/>
      <c r="Q327" s="56"/>
    </row>
    <row r="328" spans="1:17" x14ac:dyDescent="0.15">
      <c r="A328" s="16" t="s">
        <v>812</v>
      </c>
      <c r="B328" s="8">
        <v>-1</v>
      </c>
      <c r="C328" s="10"/>
      <c r="D328" s="10">
        <v>-1</v>
      </c>
      <c r="E328" s="10">
        <v>-3</v>
      </c>
      <c r="F328" s="30">
        <v>-4</v>
      </c>
      <c r="G328" s="7">
        <f t="shared" si="84"/>
        <v>-9</v>
      </c>
      <c r="H328" s="58">
        <v>43333</v>
      </c>
      <c r="I328" s="39"/>
      <c r="J328" s="11"/>
      <c r="K328" s="12"/>
      <c r="L328" s="12"/>
      <c r="M328" s="12"/>
      <c r="N328" s="31"/>
      <c r="O328" s="7">
        <f t="shared" si="85"/>
        <v>0</v>
      </c>
      <c r="P328" s="58"/>
      <c r="Q328" s="56"/>
    </row>
    <row r="329" spans="1:17" x14ac:dyDescent="0.15">
      <c r="A329" s="16" t="s">
        <v>182</v>
      </c>
      <c r="B329" s="8"/>
      <c r="C329" s="10"/>
      <c r="D329" s="10"/>
      <c r="E329" s="10"/>
      <c r="F329" s="30">
        <v>2</v>
      </c>
      <c r="G329" s="7">
        <f t="shared" si="84"/>
        <v>2</v>
      </c>
      <c r="H329" s="58">
        <v>43339</v>
      </c>
      <c r="I329" s="16"/>
      <c r="J329" s="11"/>
      <c r="K329" s="12"/>
      <c r="L329" s="12"/>
      <c r="M329" s="12"/>
      <c r="N329" s="31"/>
      <c r="O329" s="7">
        <f t="shared" ref="O329" si="86">SUM(J329:N329)</f>
        <v>0</v>
      </c>
      <c r="P329" s="56"/>
      <c r="Q329" s="56"/>
    </row>
    <row r="330" spans="1:17" x14ac:dyDescent="0.15">
      <c r="A330" s="16" t="s">
        <v>182</v>
      </c>
      <c r="B330" s="8"/>
      <c r="C330" s="10"/>
      <c r="D330" s="10"/>
      <c r="E330" s="10"/>
      <c r="F330" s="59">
        <v>2</v>
      </c>
      <c r="G330" s="7">
        <f t="shared" si="84"/>
        <v>2</v>
      </c>
      <c r="H330" s="58">
        <v>43341</v>
      </c>
      <c r="I330" s="16"/>
      <c r="J330" s="11"/>
      <c r="K330" s="12"/>
      <c r="L330" s="12"/>
      <c r="M330" s="12"/>
      <c r="N330" s="31"/>
      <c r="O330" s="7">
        <f t="shared" si="85"/>
        <v>0</v>
      </c>
      <c r="P330" s="58"/>
      <c r="Q330" s="56"/>
    </row>
    <row r="331" spans="1:17" x14ac:dyDescent="0.15">
      <c r="A331" s="16" t="s">
        <v>182</v>
      </c>
      <c r="B331" s="37"/>
      <c r="C331" s="35"/>
      <c r="D331" s="35">
        <v>2</v>
      </c>
      <c r="E331" s="35"/>
      <c r="F331" s="28">
        <v>1</v>
      </c>
      <c r="G331" s="7">
        <f t="shared" si="84"/>
        <v>3</v>
      </c>
      <c r="H331" s="58">
        <v>43341</v>
      </c>
      <c r="I331" s="51"/>
      <c r="J331" s="11"/>
      <c r="K331" s="12"/>
      <c r="L331" s="12"/>
      <c r="M331" s="12"/>
      <c r="N331" s="31"/>
      <c r="O331" s="7">
        <f t="shared" ref="O331:O332" si="87">SUM(J331:N331)</f>
        <v>0</v>
      </c>
      <c r="P331" s="56"/>
      <c r="Q331" s="56"/>
    </row>
    <row r="332" spans="1:17" x14ac:dyDescent="0.15">
      <c r="A332" s="16" t="s">
        <v>25</v>
      </c>
      <c r="B332" s="8"/>
      <c r="C332" s="10">
        <v>2</v>
      </c>
      <c r="D332" s="10"/>
      <c r="E332" s="10"/>
      <c r="F332" s="30"/>
      <c r="G332" s="7">
        <f t="shared" si="84"/>
        <v>2</v>
      </c>
      <c r="H332" s="58">
        <v>43342</v>
      </c>
      <c r="I332" s="16"/>
      <c r="J332" s="11"/>
      <c r="K332" s="12"/>
      <c r="L332" s="12"/>
      <c r="M332" s="12"/>
      <c r="N332" s="31"/>
      <c r="O332" s="7">
        <f t="shared" si="87"/>
        <v>0</v>
      </c>
      <c r="P332" s="56"/>
      <c r="Q332" s="56"/>
    </row>
    <row r="333" spans="1:17" x14ac:dyDescent="0.15">
      <c r="A333" s="16" t="s">
        <v>816</v>
      </c>
      <c r="B333" s="8"/>
      <c r="C333" s="10">
        <v>-10</v>
      </c>
      <c r="D333" s="10"/>
      <c r="E333" s="10"/>
      <c r="F333" s="30"/>
      <c r="G333" s="9">
        <f t="shared" si="84"/>
        <v>-10</v>
      </c>
      <c r="H333" s="58">
        <v>43342</v>
      </c>
      <c r="I333" s="51"/>
      <c r="J333" s="8"/>
      <c r="K333" s="10"/>
      <c r="L333" s="10"/>
      <c r="M333" s="10"/>
      <c r="N333" s="30"/>
      <c r="O333" s="147">
        <f t="shared" si="85"/>
        <v>0</v>
      </c>
      <c r="P333" s="56"/>
      <c r="Q333" s="56"/>
    </row>
    <row r="334" spans="1:17" ht="14.25" thickBot="1" x14ac:dyDescent="0.2">
      <c r="A334" s="16" t="s">
        <v>817</v>
      </c>
      <c r="B334" s="37"/>
      <c r="C334" s="35">
        <v>-1</v>
      </c>
      <c r="D334" s="35"/>
      <c r="E334" s="35"/>
      <c r="F334" s="28"/>
      <c r="G334" s="7">
        <f t="shared" si="84"/>
        <v>-1</v>
      </c>
      <c r="H334" s="58">
        <v>43341</v>
      </c>
      <c r="I334" s="51"/>
      <c r="J334" s="11"/>
      <c r="K334" s="12"/>
      <c r="L334" s="12"/>
      <c r="M334" s="12"/>
      <c r="N334" s="31"/>
      <c r="O334" s="7">
        <f t="shared" si="85"/>
        <v>0</v>
      </c>
      <c r="P334" s="56"/>
      <c r="Q334" s="56"/>
    </row>
    <row r="335" spans="1:17" ht="14.25" thickBot="1" x14ac:dyDescent="0.2">
      <c r="A335" s="3" t="s">
        <v>11</v>
      </c>
      <c r="B335" s="23">
        <f>SUM(B309:B334)</f>
        <v>2</v>
      </c>
      <c r="C335" s="4">
        <f>SUM(C309:C334)</f>
        <v>10</v>
      </c>
      <c r="D335" s="4">
        <f>SUM(D309:D334)</f>
        <v>9</v>
      </c>
      <c r="E335" s="6">
        <f>SUM(E309:E334)</f>
        <v>5</v>
      </c>
      <c r="F335" s="32">
        <f>SUM(F309:F334)</f>
        <v>24</v>
      </c>
      <c r="G335" s="5">
        <f>SUM(B335:F335)</f>
        <v>50</v>
      </c>
      <c r="H335" s="56"/>
      <c r="I335" s="3" t="s">
        <v>11</v>
      </c>
      <c r="J335" s="23">
        <f>SUM(J309:J334)</f>
        <v>5</v>
      </c>
      <c r="K335" s="4">
        <f>SUM(K309:K334)</f>
        <v>30</v>
      </c>
      <c r="L335" s="4">
        <f>SUM(L309:L334)</f>
        <v>7</v>
      </c>
      <c r="M335" s="6">
        <f>SUM(M309:M334)</f>
        <v>10</v>
      </c>
      <c r="N335" s="32">
        <f>SUM(N309:N334)</f>
        <v>23</v>
      </c>
      <c r="O335" s="5">
        <f>SUM(J335:N335)</f>
        <v>75</v>
      </c>
    </row>
    <row r="336" spans="1:17" ht="14.25" thickBot="1" x14ac:dyDescent="0.2">
      <c r="A336" s="25" t="s">
        <v>12</v>
      </c>
      <c r="B336" s="63">
        <f>B308-B335</f>
        <v>11</v>
      </c>
      <c r="C336" s="26">
        <f t="shared" ref="C336:G336" si="88">C308-C335</f>
        <v>14</v>
      </c>
      <c r="D336" s="71">
        <f t="shared" si="88"/>
        <v>10</v>
      </c>
      <c r="E336" s="26">
        <f t="shared" si="88"/>
        <v>12</v>
      </c>
      <c r="F336" s="70">
        <f t="shared" si="88"/>
        <v>8</v>
      </c>
      <c r="G336" s="27">
        <f t="shared" si="88"/>
        <v>55</v>
      </c>
      <c r="H336" s="56"/>
      <c r="I336" s="25" t="s">
        <v>12</v>
      </c>
      <c r="J336" s="63">
        <f>J308-J335</f>
        <v>215</v>
      </c>
      <c r="K336" s="26">
        <f t="shared" ref="K336:O336" si="89">K308-K335</f>
        <v>251</v>
      </c>
      <c r="L336" s="71">
        <f t="shared" si="89"/>
        <v>261</v>
      </c>
      <c r="M336" s="26">
        <f t="shared" si="89"/>
        <v>215</v>
      </c>
      <c r="N336" s="70">
        <f t="shared" si="89"/>
        <v>160</v>
      </c>
      <c r="O336" s="27">
        <f t="shared" si="89"/>
        <v>1102</v>
      </c>
    </row>
    <row r="337" spans="1:16" ht="21" x14ac:dyDescent="0.2">
      <c r="A337" s="86" t="s">
        <v>413</v>
      </c>
      <c r="B337" s="87"/>
      <c r="C337" s="87"/>
      <c r="D337" s="87"/>
      <c r="E337" s="87"/>
      <c r="F337" s="87"/>
      <c r="G337" s="87"/>
      <c r="H337" s="56"/>
      <c r="I337" s="86" t="s">
        <v>413</v>
      </c>
      <c r="J337" s="87"/>
      <c r="K337" s="87"/>
      <c r="L337" s="87"/>
      <c r="M337" s="87"/>
      <c r="N337" s="87"/>
      <c r="O337" s="87"/>
    </row>
    <row r="338" spans="1:16" ht="21.75" thickBot="1" x14ac:dyDescent="0.25">
      <c r="A338" s="86" t="s">
        <v>51</v>
      </c>
      <c r="B338" s="87"/>
      <c r="C338" s="87"/>
      <c r="D338" s="87"/>
      <c r="E338" s="85"/>
      <c r="F338" s="88" t="s">
        <v>53</v>
      </c>
      <c r="G338" s="87"/>
      <c r="H338" s="56"/>
      <c r="I338" s="86" t="s">
        <v>51</v>
      </c>
      <c r="J338" s="87"/>
      <c r="K338" s="87"/>
      <c r="L338" s="87"/>
      <c r="M338" s="89"/>
      <c r="N338" s="88" t="s">
        <v>54</v>
      </c>
      <c r="O338" s="87"/>
    </row>
    <row r="339" spans="1:16" ht="14.25" thickBot="1" x14ac:dyDescent="0.2">
      <c r="A339" s="13" t="s">
        <v>0</v>
      </c>
      <c r="B339" s="228" t="s">
        <v>52</v>
      </c>
      <c r="C339" s="229"/>
      <c r="D339" s="229"/>
      <c r="E339" s="229"/>
      <c r="F339" s="230"/>
      <c r="G339" s="231"/>
      <c r="H339" s="56"/>
      <c r="I339" s="13" t="s">
        <v>0</v>
      </c>
      <c r="J339" s="228" t="s">
        <v>52</v>
      </c>
      <c r="K339" s="229"/>
      <c r="L339" s="229"/>
      <c r="M339" s="229"/>
      <c r="N339" s="230"/>
      <c r="O339" s="231"/>
    </row>
    <row r="340" spans="1:16" ht="14.25" thickBot="1" x14ac:dyDescent="0.2">
      <c r="A340" s="3" t="s">
        <v>1</v>
      </c>
      <c r="B340" s="2" t="s">
        <v>42</v>
      </c>
      <c r="C340" s="21" t="s">
        <v>43</v>
      </c>
      <c r="D340" s="21" t="s">
        <v>44</v>
      </c>
      <c r="E340" s="24" t="s">
        <v>45</v>
      </c>
      <c r="F340" s="33" t="s">
        <v>46</v>
      </c>
      <c r="G340" s="3" t="s">
        <v>2</v>
      </c>
      <c r="H340" s="56"/>
      <c r="I340" s="3" t="s">
        <v>1</v>
      </c>
      <c r="J340" s="41" t="s">
        <v>42</v>
      </c>
      <c r="K340" s="42" t="s">
        <v>43</v>
      </c>
      <c r="L340" s="42" t="s">
        <v>44</v>
      </c>
      <c r="M340" s="43" t="s">
        <v>45</v>
      </c>
      <c r="N340" s="44" t="s">
        <v>46</v>
      </c>
      <c r="O340" s="3" t="s">
        <v>2</v>
      </c>
    </row>
    <row r="341" spans="1:16" x14ac:dyDescent="0.15">
      <c r="A341" s="96" t="s">
        <v>13</v>
      </c>
      <c r="B341" s="95">
        <f>B336</f>
        <v>11</v>
      </c>
      <c r="C341" s="97">
        <f t="shared" ref="C341:F341" si="90">C336</f>
        <v>14</v>
      </c>
      <c r="D341" s="97">
        <f t="shared" si="90"/>
        <v>10</v>
      </c>
      <c r="E341" s="97">
        <f t="shared" si="90"/>
        <v>12</v>
      </c>
      <c r="F341" s="139">
        <f t="shared" si="90"/>
        <v>8</v>
      </c>
      <c r="G341" s="52">
        <f t="shared" ref="G341:G349" si="91">SUM(B341:F341)</f>
        <v>55</v>
      </c>
      <c r="H341" s="56"/>
      <c r="I341" s="96" t="s">
        <v>13</v>
      </c>
      <c r="J341" s="95">
        <f>J336</f>
        <v>215</v>
      </c>
      <c r="K341" s="97">
        <f t="shared" ref="K341:N341" si="92">K336</f>
        <v>251</v>
      </c>
      <c r="L341" s="97">
        <f t="shared" si="92"/>
        <v>261</v>
      </c>
      <c r="M341" s="97">
        <f t="shared" si="92"/>
        <v>215</v>
      </c>
      <c r="N341" s="139">
        <f t="shared" si="92"/>
        <v>160</v>
      </c>
      <c r="O341" s="52">
        <f t="shared" ref="O341:O349" si="93">SUM(J341:N341)</f>
        <v>1102</v>
      </c>
    </row>
    <row r="342" spans="1:16" x14ac:dyDescent="0.15">
      <c r="A342" s="15" t="s">
        <v>3</v>
      </c>
      <c r="B342" s="8"/>
      <c r="C342" s="10"/>
      <c r="D342" s="10">
        <v>5</v>
      </c>
      <c r="E342" s="10"/>
      <c r="F342" s="104">
        <v>5</v>
      </c>
      <c r="G342" s="9">
        <f t="shared" si="91"/>
        <v>10</v>
      </c>
      <c r="H342" s="58">
        <v>43347</v>
      </c>
      <c r="I342" s="15" t="s">
        <v>3</v>
      </c>
      <c r="J342" s="37"/>
      <c r="K342" s="135"/>
      <c r="L342" s="135"/>
      <c r="M342" s="135"/>
      <c r="N342" s="136"/>
      <c r="O342" s="7">
        <f t="shared" si="93"/>
        <v>0</v>
      </c>
    </row>
    <row r="343" spans="1:16" x14ac:dyDescent="0.15">
      <c r="A343" s="15" t="s">
        <v>4</v>
      </c>
      <c r="B343" s="8"/>
      <c r="C343" s="10"/>
      <c r="D343" s="10"/>
      <c r="E343" s="10">
        <v>10</v>
      </c>
      <c r="F343" s="104"/>
      <c r="G343" s="9">
        <f t="shared" si="91"/>
        <v>10</v>
      </c>
      <c r="H343" s="58">
        <v>43349</v>
      </c>
      <c r="I343" s="15" t="s">
        <v>4</v>
      </c>
      <c r="J343" s="8"/>
      <c r="K343" s="45"/>
      <c r="L343" s="45"/>
      <c r="M343" s="45"/>
      <c r="N343" s="46"/>
      <c r="O343" s="9">
        <f t="shared" si="93"/>
        <v>0</v>
      </c>
      <c r="P343" s="58"/>
    </row>
    <row r="344" spans="1:16" x14ac:dyDescent="0.15">
      <c r="A344" s="15" t="s">
        <v>5</v>
      </c>
      <c r="B344" s="8">
        <v>5</v>
      </c>
      <c r="C344" s="10"/>
      <c r="D344" s="10">
        <v>5</v>
      </c>
      <c r="E344" s="10">
        <v>5</v>
      </c>
      <c r="F344" s="104"/>
      <c r="G344" s="9">
        <f t="shared" si="91"/>
        <v>15</v>
      </c>
      <c r="H344" s="58">
        <v>43351</v>
      </c>
      <c r="I344" s="15" t="s">
        <v>5</v>
      </c>
      <c r="J344" s="8"/>
      <c r="K344" s="45"/>
      <c r="L344" s="45"/>
      <c r="M344" s="45"/>
      <c r="N344" s="46"/>
      <c r="O344" s="9">
        <f t="shared" si="93"/>
        <v>0</v>
      </c>
    </row>
    <row r="345" spans="1:16" x14ac:dyDescent="0.15">
      <c r="A345" s="15" t="s">
        <v>6</v>
      </c>
      <c r="B345" s="11"/>
      <c r="C345" s="12"/>
      <c r="D345" s="12"/>
      <c r="E345" s="12"/>
      <c r="F345" s="108"/>
      <c r="G345" s="9">
        <f t="shared" si="91"/>
        <v>0</v>
      </c>
      <c r="H345" s="58"/>
      <c r="I345" s="15" t="s">
        <v>6</v>
      </c>
      <c r="J345" s="8"/>
      <c r="K345" s="45"/>
      <c r="L345" s="45"/>
      <c r="M345" s="45"/>
      <c r="N345" s="46"/>
      <c r="O345" s="9">
        <f t="shared" si="93"/>
        <v>0</v>
      </c>
    </row>
    <row r="346" spans="1:16" x14ac:dyDescent="0.15">
      <c r="A346" s="15" t="s">
        <v>34</v>
      </c>
      <c r="B346" s="8"/>
      <c r="C346" s="10">
        <v>1</v>
      </c>
      <c r="D346" s="10"/>
      <c r="E346" s="10"/>
      <c r="F346" s="30"/>
      <c r="G346" s="7">
        <f t="shared" si="91"/>
        <v>1</v>
      </c>
      <c r="H346" s="58">
        <v>43353</v>
      </c>
      <c r="I346" s="15" t="s">
        <v>84</v>
      </c>
      <c r="J346" s="8"/>
      <c r="K346" s="45"/>
      <c r="L346" s="45"/>
      <c r="M346" s="45"/>
      <c r="N346" s="46"/>
      <c r="O346" s="7">
        <f t="shared" si="93"/>
        <v>0</v>
      </c>
    </row>
    <row r="347" spans="1:16" x14ac:dyDescent="0.15">
      <c r="A347" s="15" t="s">
        <v>85</v>
      </c>
      <c r="B347" s="8"/>
      <c r="C347" s="10">
        <v>10</v>
      </c>
      <c r="D347" s="10">
        <v>10</v>
      </c>
      <c r="E347" s="10"/>
      <c r="F347" s="30">
        <v>10</v>
      </c>
      <c r="G347" s="7">
        <f t="shared" si="91"/>
        <v>30</v>
      </c>
      <c r="H347" s="58">
        <v>43355</v>
      </c>
      <c r="I347" s="15" t="s">
        <v>85</v>
      </c>
      <c r="J347" s="8"/>
      <c r="K347" s="45"/>
      <c r="L347" s="45"/>
      <c r="M347" s="45"/>
      <c r="N347" s="46"/>
      <c r="O347" s="7">
        <f t="shared" si="93"/>
        <v>0</v>
      </c>
    </row>
    <row r="348" spans="1:16" x14ac:dyDescent="0.15">
      <c r="A348" s="15" t="s">
        <v>17</v>
      </c>
      <c r="B348" s="8"/>
      <c r="C348" s="45">
        <v>2</v>
      </c>
      <c r="D348" s="45">
        <v>1</v>
      </c>
      <c r="E348" s="45"/>
      <c r="F348" s="46"/>
      <c r="G348" s="102">
        <f t="shared" si="91"/>
        <v>3</v>
      </c>
      <c r="H348" s="58">
        <v>43357</v>
      </c>
      <c r="I348" s="15" t="s">
        <v>86</v>
      </c>
      <c r="J348" s="8"/>
      <c r="K348" s="45"/>
      <c r="L348" s="45"/>
      <c r="M348" s="45"/>
      <c r="N348" s="46"/>
      <c r="O348" s="102">
        <f t="shared" si="93"/>
        <v>0</v>
      </c>
    </row>
    <row r="349" spans="1:16" ht="14.25" thickBot="1" x14ac:dyDescent="0.2">
      <c r="A349" s="15" t="s">
        <v>87</v>
      </c>
      <c r="B349" s="11">
        <v>10</v>
      </c>
      <c r="C349" s="100"/>
      <c r="D349" s="100"/>
      <c r="E349" s="100"/>
      <c r="F349" s="109"/>
      <c r="G349" s="40">
        <f t="shared" si="91"/>
        <v>10</v>
      </c>
      <c r="H349" s="58">
        <v>43362</v>
      </c>
      <c r="I349" s="15" t="s">
        <v>87</v>
      </c>
      <c r="J349" s="47"/>
      <c r="K349" s="48"/>
      <c r="L349" s="48"/>
      <c r="M349" s="48"/>
      <c r="N349" s="49"/>
      <c r="O349" s="40">
        <f t="shared" si="93"/>
        <v>0</v>
      </c>
    </row>
    <row r="350" spans="1:16" ht="14.25" thickBot="1" x14ac:dyDescent="0.2">
      <c r="A350" s="72" t="s">
        <v>7</v>
      </c>
      <c r="B350" s="73">
        <f>SUM(B341:B349)</f>
        <v>26</v>
      </c>
      <c r="C350" s="74">
        <f t="shared" ref="C350:G350" si="94">SUM(C341:C349)</f>
        <v>27</v>
      </c>
      <c r="D350" s="74">
        <f t="shared" si="94"/>
        <v>31</v>
      </c>
      <c r="E350" s="74">
        <f t="shared" si="94"/>
        <v>27</v>
      </c>
      <c r="F350" s="105">
        <f t="shared" si="94"/>
        <v>23</v>
      </c>
      <c r="G350" s="76">
        <f t="shared" si="94"/>
        <v>134</v>
      </c>
      <c r="H350" s="56"/>
      <c r="I350" s="72" t="s">
        <v>7</v>
      </c>
      <c r="J350" s="73">
        <f>SUM(J341:J349)</f>
        <v>215</v>
      </c>
      <c r="K350" s="74">
        <f t="shared" ref="K350:O350" si="95">SUM(K341:K349)</f>
        <v>251</v>
      </c>
      <c r="L350" s="74">
        <f t="shared" si="95"/>
        <v>261</v>
      </c>
      <c r="M350" s="74">
        <f t="shared" si="95"/>
        <v>215</v>
      </c>
      <c r="N350" s="105">
        <f t="shared" si="95"/>
        <v>160</v>
      </c>
      <c r="O350" s="76">
        <f t="shared" si="95"/>
        <v>1102</v>
      </c>
    </row>
    <row r="351" spans="1:16" x14ac:dyDescent="0.15">
      <c r="A351" s="16" t="s">
        <v>182</v>
      </c>
      <c r="B351" s="37"/>
      <c r="C351" s="35">
        <v>2</v>
      </c>
      <c r="D351" s="35">
        <v>2</v>
      </c>
      <c r="E351" s="35"/>
      <c r="F351" s="28"/>
      <c r="G351" s="18">
        <f t="shared" ref="G351:G376" si="96">SUM(B351:F351)</f>
        <v>4</v>
      </c>
      <c r="H351" s="58">
        <v>43343</v>
      </c>
      <c r="I351" s="16" t="s">
        <v>822</v>
      </c>
      <c r="J351" s="17"/>
      <c r="K351" s="22"/>
      <c r="L351" s="22">
        <v>5</v>
      </c>
      <c r="M351" s="22"/>
      <c r="N351" s="29">
        <v>5</v>
      </c>
      <c r="O351" s="18">
        <f t="shared" ref="O351:O372" si="97">SUM(J351:N351)</f>
        <v>10</v>
      </c>
      <c r="P351" s="58">
        <v>43347</v>
      </c>
    </row>
    <row r="352" spans="1:16" x14ac:dyDescent="0.15">
      <c r="A352" s="16" t="s">
        <v>25</v>
      </c>
      <c r="B352" s="8"/>
      <c r="C352" s="10"/>
      <c r="D352" s="10"/>
      <c r="E352" s="10"/>
      <c r="F352" s="30">
        <v>1</v>
      </c>
      <c r="G352" s="7">
        <f t="shared" si="96"/>
        <v>1</v>
      </c>
      <c r="H352" s="58">
        <v>43343</v>
      </c>
      <c r="I352" s="16" t="s">
        <v>24</v>
      </c>
      <c r="J352" s="8"/>
      <c r="K352" s="10"/>
      <c r="L352" s="10"/>
      <c r="M352" s="10">
        <v>10</v>
      </c>
      <c r="N352" s="30"/>
      <c r="O352" s="7">
        <f t="shared" si="97"/>
        <v>10</v>
      </c>
      <c r="P352" s="58">
        <v>43349</v>
      </c>
    </row>
    <row r="353" spans="1:17" x14ac:dyDescent="0.15">
      <c r="A353" s="16" t="s">
        <v>182</v>
      </c>
      <c r="B353" s="8"/>
      <c r="C353" s="10"/>
      <c r="D353" s="10"/>
      <c r="E353" s="10">
        <v>2</v>
      </c>
      <c r="F353" s="30"/>
      <c r="G353" s="7">
        <f t="shared" si="96"/>
        <v>2</v>
      </c>
      <c r="H353" s="58">
        <v>43347</v>
      </c>
      <c r="I353" s="16" t="s">
        <v>829</v>
      </c>
      <c r="J353" s="8">
        <v>5</v>
      </c>
      <c r="K353" s="10"/>
      <c r="L353" s="10">
        <v>5</v>
      </c>
      <c r="M353" s="10">
        <v>5</v>
      </c>
      <c r="N353" s="30"/>
      <c r="O353" s="7">
        <f t="shared" si="97"/>
        <v>15</v>
      </c>
      <c r="P353" s="58">
        <v>43351</v>
      </c>
    </row>
    <row r="354" spans="1:17" x14ac:dyDescent="0.15">
      <c r="A354" s="16" t="s">
        <v>25</v>
      </c>
      <c r="B354" s="8"/>
      <c r="C354" s="10">
        <v>1</v>
      </c>
      <c r="D354" s="10">
        <v>2</v>
      </c>
      <c r="E354" s="10">
        <v>1</v>
      </c>
      <c r="F354" s="30">
        <v>1</v>
      </c>
      <c r="G354" s="7">
        <f t="shared" si="96"/>
        <v>5</v>
      </c>
      <c r="H354" s="58">
        <v>43347</v>
      </c>
      <c r="I354" s="16" t="s">
        <v>24</v>
      </c>
      <c r="J354" s="8"/>
      <c r="K354" s="10">
        <v>10</v>
      </c>
      <c r="L354" s="10">
        <v>10</v>
      </c>
      <c r="M354" s="10"/>
      <c r="N354" s="30">
        <v>10</v>
      </c>
      <c r="O354" s="7">
        <f t="shared" si="97"/>
        <v>30</v>
      </c>
      <c r="P354" s="58">
        <v>43355</v>
      </c>
    </row>
    <row r="355" spans="1:17" x14ac:dyDescent="0.15">
      <c r="A355" s="16" t="s">
        <v>22</v>
      </c>
      <c r="B355" s="8"/>
      <c r="C355" s="10"/>
      <c r="D355" s="10"/>
      <c r="E355" s="10">
        <v>10</v>
      </c>
      <c r="F355" s="30"/>
      <c r="G355" s="7">
        <f t="shared" si="96"/>
        <v>10</v>
      </c>
      <c r="H355" s="58">
        <v>43353</v>
      </c>
      <c r="I355" s="16" t="s">
        <v>110</v>
      </c>
      <c r="J355" s="8"/>
      <c r="K355" s="10"/>
      <c r="L355" s="10"/>
      <c r="M355" s="10"/>
      <c r="N355" s="30">
        <v>2</v>
      </c>
      <c r="O355" s="7">
        <f t="shared" si="97"/>
        <v>2</v>
      </c>
      <c r="P355" s="58">
        <v>43364</v>
      </c>
    </row>
    <row r="356" spans="1:17" x14ac:dyDescent="0.15">
      <c r="A356" s="16" t="s">
        <v>25</v>
      </c>
      <c r="B356" s="8"/>
      <c r="C356" s="10">
        <v>1</v>
      </c>
      <c r="D356" s="10">
        <v>1</v>
      </c>
      <c r="E356" s="10">
        <v>1</v>
      </c>
      <c r="F356" s="30"/>
      <c r="G356" s="7">
        <f t="shared" si="96"/>
        <v>3</v>
      </c>
      <c r="H356" s="58">
        <v>43349</v>
      </c>
      <c r="I356" s="16" t="s">
        <v>24</v>
      </c>
      <c r="J356" s="8">
        <v>10</v>
      </c>
      <c r="K356" s="10"/>
      <c r="L356" s="10"/>
      <c r="M356" s="10"/>
      <c r="N356" s="30"/>
      <c r="O356" s="7">
        <f t="shared" si="97"/>
        <v>10</v>
      </c>
      <c r="P356" s="58">
        <v>43362</v>
      </c>
    </row>
    <row r="357" spans="1:17" x14ac:dyDescent="0.15">
      <c r="A357" s="16" t="s">
        <v>110</v>
      </c>
      <c r="B357" s="8">
        <v>2</v>
      </c>
      <c r="C357" s="10"/>
      <c r="D357" s="10"/>
      <c r="E357" s="10"/>
      <c r="F357" s="30"/>
      <c r="G357" s="7">
        <f t="shared" si="96"/>
        <v>2</v>
      </c>
      <c r="H357" s="58">
        <v>43355</v>
      </c>
      <c r="I357" s="16" t="s">
        <v>24</v>
      </c>
      <c r="J357" s="8"/>
      <c r="K357" s="10">
        <v>10</v>
      </c>
      <c r="L357" s="10"/>
      <c r="M357" s="10"/>
      <c r="N357" s="30"/>
      <c r="O357" s="7">
        <f t="shared" si="97"/>
        <v>10</v>
      </c>
      <c r="P357" s="58">
        <v>43363</v>
      </c>
      <c r="Q357" s="56"/>
    </row>
    <row r="358" spans="1:17" x14ac:dyDescent="0.15">
      <c r="A358" s="16" t="s">
        <v>25</v>
      </c>
      <c r="B358" s="8">
        <v>1</v>
      </c>
      <c r="C358" s="10"/>
      <c r="D358" s="10">
        <v>2</v>
      </c>
      <c r="E358" s="10"/>
      <c r="F358" s="30"/>
      <c r="G358" s="7">
        <f t="shared" si="96"/>
        <v>3</v>
      </c>
      <c r="H358" s="58">
        <v>43351</v>
      </c>
      <c r="I358" s="16" t="s">
        <v>110</v>
      </c>
      <c r="J358" s="8"/>
      <c r="K358" s="10"/>
      <c r="L358" s="10">
        <v>2</v>
      </c>
      <c r="M358" s="10"/>
      <c r="N358" s="30"/>
      <c r="O358" s="7">
        <f t="shared" si="97"/>
        <v>2</v>
      </c>
      <c r="P358" s="58">
        <v>43383</v>
      </c>
      <c r="Q358" s="56"/>
    </row>
    <row r="359" spans="1:17" x14ac:dyDescent="0.15">
      <c r="A359" s="16" t="s">
        <v>25</v>
      </c>
      <c r="B359" s="8"/>
      <c r="C359" s="10">
        <v>1</v>
      </c>
      <c r="D359" s="10"/>
      <c r="E359" s="10"/>
      <c r="F359" s="30"/>
      <c r="G359" s="7">
        <f t="shared" si="96"/>
        <v>1</v>
      </c>
      <c r="H359" s="58">
        <v>43354</v>
      </c>
      <c r="I359" s="16"/>
      <c r="J359" s="11"/>
      <c r="K359" s="100"/>
      <c r="L359" s="100"/>
      <c r="M359" s="100"/>
      <c r="N359" s="109"/>
      <c r="O359" s="9">
        <f t="shared" si="97"/>
        <v>0</v>
      </c>
    </row>
    <row r="360" spans="1:17" x14ac:dyDescent="0.15">
      <c r="A360" s="16" t="s">
        <v>22</v>
      </c>
      <c r="B360" s="8"/>
      <c r="C360" s="10">
        <v>10</v>
      </c>
      <c r="D360" s="10">
        <v>10</v>
      </c>
      <c r="E360" s="10"/>
      <c r="F360" s="30">
        <v>10</v>
      </c>
      <c r="G360" s="7">
        <f t="shared" si="96"/>
        <v>30</v>
      </c>
      <c r="H360" s="58">
        <v>43361</v>
      </c>
      <c r="I360" s="16"/>
      <c r="J360" s="11"/>
      <c r="K360" s="12"/>
      <c r="L360" s="12"/>
      <c r="M360" s="12"/>
      <c r="N360" s="31"/>
      <c r="O360" s="7">
        <f t="shared" si="97"/>
        <v>0</v>
      </c>
    </row>
    <row r="361" spans="1:17" x14ac:dyDescent="0.15">
      <c r="A361" s="16" t="s">
        <v>25</v>
      </c>
      <c r="B361" s="11"/>
      <c r="C361" s="12">
        <v>1</v>
      </c>
      <c r="D361" s="12">
        <v>1</v>
      </c>
      <c r="E361" s="12">
        <v>1</v>
      </c>
      <c r="F361" s="31"/>
      <c r="G361" s="7">
        <f t="shared" si="96"/>
        <v>3</v>
      </c>
      <c r="H361" s="58">
        <v>43358</v>
      </c>
      <c r="I361" s="16"/>
      <c r="J361" s="8"/>
      <c r="K361" s="10"/>
      <c r="L361" s="10"/>
      <c r="M361" s="10"/>
      <c r="N361" s="30"/>
      <c r="O361" s="7">
        <f t="shared" si="97"/>
        <v>0</v>
      </c>
    </row>
    <row r="362" spans="1:17" x14ac:dyDescent="0.15">
      <c r="A362" s="16" t="s">
        <v>182</v>
      </c>
      <c r="B362" s="8">
        <v>2</v>
      </c>
      <c r="C362" s="10"/>
      <c r="D362" s="10"/>
      <c r="E362" s="10">
        <v>1</v>
      </c>
      <c r="F362" s="30"/>
      <c r="G362" s="7">
        <f t="shared" si="96"/>
        <v>3</v>
      </c>
      <c r="H362" s="58">
        <v>43361</v>
      </c>
      <c r="I362" s="16"/>
      <c r="J362" s="8"/>
      <c r="K362" s="10"/>
      <c r="L362" s="10"/>
      <c r="M362" s="10"/>
      <c r="N362" s="30"/>
      <c r="O362" s="7">
        <f t="shared" si="97"/>
        <v>0</v>
      </c>
    </row>
    <row r="363" spans="1:17" x14ac:dyDescent="0.15">
      <c r="A363" s="16" t="s">
        <v>22</v>
      </c>
      <c r="B363" s="8">
        <v>10</v>
      </c>
      <c r="C363" s="10"/>
      <c r="D363" s="10"/>
      <c r="E363" s="10"/>
      <c r="F363" s="30"/>
      <c r="G363" s="7">
        <f t="shared" si="96"/>
        <v>10</v>
      </c>
      <c r="H363" s="58">
        <v>43364</v>
      </c>
      <c r="I363" s="16"/>
      <c r="J363" s="8"/>
      <c r="K363" s="10"/>
      <c r="L363" s="10"/>
      <c r="M363" s="10"/>
      <c r="N363" s="30"/>
      <c r="O363" s="7">
        <f t="shared" si="97"/>
        <v>0</v>
      </c>
    </row>
    <row r="364" spans="1:17" x14ac:dyDescent="0.15">
      <c r="A364" s="16" t="s">
        <v>839</v>
      </c>
      <c r="B364" s="8"/>
      <c r="C364" s="10"/>
      <c r="D364" s="10"/>
      <c r="E364" s="10">
        <v>1</v>
      </c>
      <c r="F364" s="30"/>
      <c r="G364" s="7">
        <f t="shared" si="96"/>
        <v>1</v>
      </c>
      <c r="H364" s="58">
        <v>43361</v>
      </c>
      <c r="I364" s="16"/>
      <c r="J364" s="8"/>
      <c r="K364" s="10"/>
      <c r="L364" s="10"/>
      <c r="M364" s="10"/>
      <c r="N364" s="30"/>
      <c r="O364" s="7">
        <f t="shared" si="97"/>
        <v>0</v>
      </c>
    </row>
    <row r="365" spans="1:17" x14ac:dyDescent="0.15">
      <c r="A365" s="16" t="s">
        <v>182</v>
      </c>
      <c r="B365" s="8"/>
      <c r="C365" s="10"/>
      <c r="D365" s="10"/>
      <c r="E365" s="10"/>
      <c r="F365" s="30">
        <v>2</v>
      </c>
      <c r="G365" s="7">
        <f t="shared" si="96"/>
        <v>2</v>
      </c>
      <c r="H365" s="58">
        <v>43363</v>
      </c>
      <c r="I365" s="16"/>
      <c r="J365" s="8"/>
      <c r="K365" s="10"/>
      <c r="L365" s="10"/>
      <c r="M365" s="10"/>
      <c r="N365" s="30"/>
      <c r="O365" s="7">
        <f t="shared" si="97"/>
        <v>0</v>
      </c>
      <c r="P365" s="56"/>
    </row>
    <row r="366" spans="1:17" x14ac:dyDescent="0.15">
      <c r="A366" s="16" t="s">
        <v>25</v>
      </c>
      <c r="B366" s="8"/>
      <c r="C366" s="10">
        <v>1</v>
      </c>
      <c r="D366" s="10"/>
      <c r="E366" s="10"/>
      <c r="F366" s="30"/>
      <c r="G366" s="7">
        <f t="shared" si="96"/>
        <v>1</v>
      </c>
      <c r="H366" s="58">
        <v>43363</v>
      </c>
      <c r="I366" s="16"/>
      <c r="J366" s="8"/>
      <c r="K366" s="10"/>
      <c r="L366" s="10"/>
      <c r="M366" s="10"/>
      <c r="N366" s="30"/>
      <c r="O366" s="7">
        <f t="shared" si="97"/>
        <v>0</v>
      </c>
      <c r="P366" s="56"/>
    </row>
    <row r="367" spans="1:17" x14ac:dyDescent="0.15">
      <c r="A367" s="16" t="s">
        <v>22</v>
      </c>
      <c r="B367" s="8"/>
      <c r="C367" s="10">
        <v>10</v>
      </c>
      <c r="D367" s="10"/>
      <c r="E367" s="10"/>
      <c r="F367" s="30"/>
      <c r="G367" s="7">
        <f t="shared" si="96"/>
        <v>10</v>
      </c>
      <c r="H367" s="58">
        <v>43368</v>
      </c>
      <c r="I367" s="16"/>
      <c r="J367" s="11"/>
      <c r="K367" s="12"/>
      <c r="L367" s="12"/>
      <c r="M367" s="12"/>
      <c r="N367" s="31"/>
      <c r="O367" s="7">
        <f t="shared" si="97"/>
        <v>0</v>
      </c>
      <c r="P367" s="56"/>
    </row>
    <row r="368" spans="1:17" x14ac:dyDescent="0.15">
      <c r="A368" s="16" t="s">
        <v>840</v>
      </c>
      <c r="B368" s="8"/>
      <c r="C368" s="10">
        <v>-10</v>
      </c>
      <c r="D368" s="10"/>
      <c r="E368" s="10"/>
      <c r="F368" s="30"/>
      <c r="G368" s="7">
        <f t="shared" si="96"/>
        <v>-10</v>
      </c>
      <c r="H368" s="58">
        <v>43363</v>
      </c>
      <c r="I368" s="16"/>
      <c r="J368" s="11"/>
      <c r="K368" s="12"/>
      <c r="L368" s="12"/>
      <c r="M368" s="12"/>
      <c r="N368" s="31"/>
      <c r="O368" s="7">
        <f t="shared" si="97"/>
        <v>0</v>
      </c>
      <c r="P368" s="56"/>
    </row>
    <row r="369" spans="1:16" x14ac:dyDescent="0.15">
      <c r="A369" s="16" t="s">
        <v>25</v>
      </c>
      <c r="B369" s="8"/>
      <c r="C369" s="10">
        <v>1</v>
      </c>
      <c r="D369" s="10">
        <v>1</v>
      </c>
      <c r="E369" s="10">
        <v>1</v>
      </c>
      <c r="F369" s="30"/>
      <c r="G369" s="7">
        <f t="shared" si="96"/>
        <v>3</v>
      </c>
      <c r="H369" s="58">
        <v>43365</v>
      </c>
      <c r="I369" s="16"/>
      <c r="J369" s="11"/>
      <c r="K369" s="12"/>
      <c r="L369" s="12"/>
      <c r="M369" s="12"/>
      <c r="N369" s="31"/>
      <c r="O369" s="7">
        <f t="shared" si="97"/>
        <v>0</v>
      </c>
      <c r="P369" s="56"/>
    </row>
    <row r="370" spans="1:16" x14ac:dyDescent="0.15">
      <c r="A370" s="16" t="s">
        <v>25</v>
      </c>
      <c r="B370" s="8"/>
      <c r="C370" s="10"/>
      <c r="D370" s="10">
        <v>1</v>
      </c>
      <c r="E370" s="10">
        <v>1</v>
      </c>
      <c r="F370" s="30"/>
      <c r="G370" s="7">
        <f t="shared" si="96"/>
        <v>2</v>
      </c>
      <c r="H370" s="58">
        <v>43369</v>
      </c>
      <c r="I370" s="39"/>
      <c r="J370" s="11"/>
      <c r="K370" s="12"/>
      <c r="L370" s="12"/>
      <c r="M370" s="12"/>
      <c r="N370" s="31"/>
      <c r="O370" s="7">
        <f t="shared" si="97"/>
        <v>0</v>
      </c>
      <c r="P370" s="58"/>
    </row>
    <row r="371" spans="1:16" x14ac:dyDescent="0.15">
      <c r="A371" s="16" t="s">
        <v>23</v>
      </c>
      <c r="B371" s="8"/>
      <c r="C371" s="10"/>
      <c r="D371" s="10">
        <v>-2</v>
      </c>
      <c r="E371" s="10">
        <v>-2</v>
      </c>
      <c r="F371" s="30">
        <v>-1</v>
      </c>
      <c r="G371" s="7">
        <f t="shared" si="96"/>
        <v>-5</v>
      </c>
      <c r="H371" s="58">
        <v>43370</v>
      </c>
      <c r="I371" s="16"/>
      <c r="J371" s="8"/>
      <c r="K371" s="10"/>
      <c r="L371" s="10"/>
      <c r="M371" s="10"/>
      <c r="N371" s="30"/>
      <c r="O371" s="7">
        <f t="shared" ref="O371" si="98">SUM(J371:N371)</f>
        <v>0</v>
      </c>
      <c r="P371" s="56"/>
    </row>
    <row r="372" spans="1:16" x14ac:dyDescent="0.15">
      <c r="A372" s="16" t="s">
        <v>25</v>
      </c>
      <c r="B372" s="8"/>
      <c r="C372" s="10"/>
      <c r="D372" s="10"/>
      <c r="E372" s="10">
        <v>1</v>
      </c>
      <c r="F372" s="59"/>
      <c r="G372" s="7">
        <f t="shared" si="96"/>
        <v>1</v>
      </c>
      <c r="H372" s="58">
        <v>43375</v>
      </c>
      <c r="I372" s="16"/>
      <c r="J372" s="11"/>
      <c r="K372" s="12"/>
      <c r="L372" s="12"/>
      <c r="M372" s="12"/>
      <c r="N372" s="31"/>
      <c r="O372" s="7">
        <f t="shared" si="97"/>
        <v>0</v>
      </c>
      <c r="P372" s="58"/>
    </row>
    <row r="373" spans="1:16" x14ac:dyDescent="0.15">
      <c r="A373" s="16" t="s">
        <v>845</v>
      </c>
      <c r="B373" s="37"/>
      <c r="C373" s="35"/>
      <c r="D373" s="35"/>
      <c r="E373" s="35"/>
      <c r="F373" s="28">
        <v>1</v>
      </c>
      <c r="G373" s="7">
        <f t="shared" si="96"/>
        <v>1</v>
      </c>
      <c r="H373" s="58">
        <v>43372</v>
      </c>
      <c r="I373" s="16"/>
      <c r="J373" s="11"/>
      <c r="K373" s="12"/>
      <c r="L373" s="12"/>
      <c r="M373" s="12"/>
      <c r="N373" s="31"/>
      <c r="O373" s="7">
        <f t="shared" ref="O373" si="99">SUM(J373:N373)</f>
        <v>0</v>
      </c>
      <c r="P373" s="58"/>
    </row>
    <row r="374" spans="1:16" x14ac:dyDescent="0.15">
      <c r="A374" s="16" t="s">
        <v>25</v>
      </c>
      <c r="B374" s="8"/>
      <c r="C374" s="10"/>
      <c r="D374" s="10"/>
      <c r="E374" s="10"/>
      <c r="F374" s="30">
        <v>1</v>
      </c>
      <c r="G374" s="7">
        <f t="shared" si="96"/>
        <v>1</v>
      </c>
      <c r="H374" s="58">
        <v>43377</v>
      </c>
      <c r="I374" s="51"/>
      <c r="J374" s="8"/>
      <c r="K374" s="10"/>
      <c r="L374" s="10"/>
      <c r="M374" s="10"/>
      <c r="N374" s="30"/>
      <c r="O374" s="147">
        <f t="shared" ref="O374" si="100">SUM(J374:N374)</f>
        <v>0</v>
      </c>
      <c r="P374" s="56"/>
    </row>
    <row r="375" spans="1:16" x14ac:dyDescent="0.15">
      <c r="A375" s="16" t="s">
        <v>182</v>
      </c>
      <c r="B375" s="8"/>
      <c r="C375" s="10"/>
      <c r="D375" s="10"/>
      <c r="E375" s="10">
        <v>2</v>
      </c>
      <c r="F375" s="30"/>
      <c r="G375" s="9">
        <f t="shared" si="96"/>
        <v>2</v>
      </c>
      <c r="H375" s="58">
        <v>43378</v>
      </c>
      <c r="I375" s="51"/>
      <c r="J375" s="8"/>
      <c r="K375" s="10"/>
      <c r="L375" s="10"/>
      <c r="M375" s="10"/>
      <c r="N375" s="30"/>
      <c r="O375" s="147">
        <f t="shared" ref="O375" si="101">SUM(J375:N375)</f>
        <v>0</v>
      </c>
      <c r="P375" s="56"/>
    </row>
    <row r="376" spans="1:16" ht="14.25" thickBot="1" x14ac:dyDescent="0.2">
      <c r="A376" s="16" t="s">
        <v>25</v>
      </c>
      <c r="B376" s="37"/>
      <c r="C376" s="35"/>
      <c r="D376" s="35"/>
      <c r="E376" s="35">
        <v>1</v>
      </c>
      <c r="F376" s="28">
        <v>1</v>
      </c>
      <c r="G376" s="7">
        <f t="shared" si="96"/>
        <v>2</v>
      </c>
      <c r="H376" s="58">
        <v>43379</v>
      </c>
      <c r="I376" s="16"/>
      <c r="J376" s="11"/>
      <c r="K376" s="12"/>
      <c r="L376" s="12"/>
      <c r="M376" s="12"/>
      <c r="N376" s="31"/>
      <c r="O376" s="7">
        <f t="shared" ref="O376" si="102">SUM(J376:N376)</f>
        <v>0</v>
      </c>
      <c r="P376" s="56"/>
    </row>
    <row r="377" spans="1:16" ht="14.25" thickBot="1" x14ac:dyDescent="0.2">
      <c r="A377" s="3" t="s">
        <v>11</v>
      </c>
      <c r="B377" s="23">
        <f>SUM(B351:B376)</f>
        <v>15</v>
      </c>
      <c r="C377" s="4">
        <f>SUM(C351:C376)</f>
        <v>18</v>
      </c>
      <c r="D377" s="4">
        <f>SUM(D351:D376)</f>
        <v>18</v>
      </c>
      <c r="E377" s="6">
        <f>SUM(E351:E376)</f>
        <v>21</v>
      </c>
      <c r="F377" s="32">
        <f>SUM(F351:F376)</f>
        <v>16</v>
      </c>
      <c r="G377" s="5">
        <f>SUM(B377:F377)</f>
        <v>88</v>
      </c>
      <c r="H377" s="56"/>
      <c r="I377" s="3" t="s">
        <v>11</v>
      </c>
      <c r="J377" s="23">
        <f>SUM(J351:J376)</f>
        <v>15</v>
      </c>
      <c r="K377" s="4">
        <f>SUM(K351:K376)</f>
        <v>20</v>
      </c>
      <c r="L377" s="4">
        <f>SUM(L351:L376)</f>
        <v>22</v>
      </c>
      <c r="M377" s="6">
        <f>SUM(M351:M376)</f>
        <v>15</v>
      </c>
      <c r="N377" s="32">
        <f>SUM(N351:N376)</f>
        <v>17</v>
      </c>
      <c r="O377" s="5">
        <f>SUM(J377:N377)</f>
        <v>89</v>
      </c>
    </row>
    <row r="378" spans="1:16" ht="14.25" thickBot="1" x14ac:dyDescent="0.2">
      <c r="A378" s="25" t="s">
        <v>12</v>
      </c>
      <c r="B378" s="63">
        <f>B350-B377</f>
        <v>11</v>
      </c>
      <c r="C378" s="26">
        <f t="shared" ref="C378:G378" si="103">C350-C377</f>
        <v>9</v>
      </c>
      <c r="D378" s="71">
        <f t="shared" si="103"/>
        <v>13</v>
      </c>
      <c r="E378" s="26">
        <f t="shared" si="103"/>
        <v>6</v>
      </c>
      <c r="F378" s="70">
        <f t="shared" si="103"/>
        <v>7</v>
      </c>
      <c r="G378" s="27">
        <f t="shared" si="103"/>
        <v>46</v>
      </c>
      <c r="H378" s="56"/>
      <c r="I378" s="25" t="s">
        <v>12</v>
      </c>
      <c r="J378" s="63">
        <f>J350-J377</f>
        <v>200</v>
      </c>
      <c r="K378" s="26">
        <f t="shared" ref="K378:O378" si="104">K350-K377</f>
        <v>231</v>
      </c>
      <c r="L378" s="71">
        <f t="shared" si="104"/>
        <v>239</v>
      </c>
      <c r="M378" s="26">
        <f t="shared" si="104"/>
        <v>200</v>
      </c>
      <c r="N378" s="70">
        <f t="shared" si="104"/>
        <v>143</v>
      </c>
      <c r="O378" s="27">
        <f t="shared" si="104"/>
        <v>1013</v>
      </c>
    </row>
    <row r="379" spans="1:16" ht="21" x14ac:dyDescent="0.2">
      <c r="A379" s="86" t="s">
        <v>413</v>
      </c>
      <c r="B379" s="87"/>
      <c r="C379" s="87"/>
      <c r="D379" s="87"/>
      <c r="E379" s="87"/>
      <c r="F379" s="87"/>
      <c r="G379" s="87"/>
      <c r="H379" s="56"/>
      <c r="I379" s="86" t="s">
        <v>413</v>
      </c>
      <c r="J379" s="87"/>
      <c r="K379" s="87"/>
      <c r="L379" s="87"/>
      <c r="M379" s="87"/>
      <c r="N379" s="87"/>
      <c r="O379" s="87"/>
    </row>
    <row r="380" spans="1:16" ht="21.75" thickBot="1" x14ac:dyDescent="0.25">
      <c r="A380" s="86" t="s">
        <v>51</v>
      </c>
      <c r="B380" s="87"/>
      <c r="C380" s="87"/>
      <c r="D380" s="87"/>
      <c r="E380" s="85"/>
      <c r="F380" s="88" t="s">
        <v>53</v>
      </c>
      <c r="G380" s="87"/>
      <c r="H380" s="56"/>
      <c r="I380" s="86" t="s">
        <v>51</v>
      </c>
      <c r="J380" s="87"/>
      <c r="K380" s="87"/>
      <c r="L380" s="87"/>
      <c r="M380" s="89"/>
      <c r="N380" s="88" t="s">
        <v>54</v>
      </c>
      <c r="O380" s="87"/>
    </row>
    <row r="381" spans="1:16" ht="14.25" thickBot="1" x14ac:dyDescent="0.2">
      <c r="A381" s="13" t="s">
        <v>0</v>
      </c>
      <c r="B381" s="228" t="s">
        <v>52</v>
      </c>
      <c r="C381" s="229"/>
      <c r="D381" s="229"/>
      <c r="E381" s="229"/>
      <c r="F381" s="230"/>
      <c r="G381" s="231"/>
      <c r="H381" s="56"/>
      <c r="I381" s="13" t="s">
        <v>0</v>
      </c>
      <c r="J381" s="228" t="s">
        <v>52</v>
      </c>
      <c r="K381" s="229"/>
      <c r="L381" s="229"/>
      <c r="M381" s="229"/>
      <c r="N381" s="230"/>
      <c r="O381" s="231"/>
    </row>
    <row r="382" spans="1:16" ht="14.25" thickBot="1" x14ac:dyDescent="0.2">
      <c r="A382" s="3" t="s">
        <v>1</v>
      </c>
      <c r="B382" s="2" t="s">
        <v>42</v>
      </c>
      <c r="C382" s="21" t="s">
        <v>43</v>
      </c>
      <c r="D382" s="21" t="s">
        <v>44</v>
      </c>
      <c r="E382" s="24" t="s">
        <v>45</v>
      </c>
      <c r="F382" s="33" t="s">
        <v>46</v>
      </c>
      <c r="G382" s="3" t="s">
        <v>2</v>
      </c>
      <c r="H382" s="56"/>
      <c r="I382" s="3" t="s">
        <v>1</v>
      </c>
      <c r="J382" s="41" t="s">
        <v>42</v>
      </c>
      <c r="K382" s="42" t="s">
        <v>43</v>
      </c>
      <c r="L382" s="42" t="s">
        <v>44</v>
      </c>
      <c r="M382" s="43" t="s">
        <v>45</v>
      </c>
      <c r="N382" s="44" t="s">
        <v>46</v>
      </c>
      <c r="O382" s="3" t="s">
        <v>2</v>
      </c>
    </row>
    <row r="383" spans="1:16" x14ac:dyDescent="0.15">
      <c r="A383" s="96" t="s">
        <v>13</v>
      </c>
      <c r="B383" s="95">
        <f>B378</f>
        <v>11</v>
      </c>
      <c r="C383" s="97">
        <f t="shared" ref="C383:F383" si="105">C378</f>
        <v>9</v>
      </c>
      <c r="D383" s="97">
        <f t="shared" si="105"/>
        <v>13</v>
      </c>
      <c r="E383" s="97">
        <f t="shared" si="105"/>
        <v>6</v>
      </c>
      <c r="F383" s="139">
        <f t="shared" si="105"/>
        <v>7</v>
      </c>
      <c r="G383" s="52">
        <f t="shared" ref="G383:G391" si="106">SUM(B383:F383)</f>
        <v>46</v>
      </c>
      <c r="H383" s="56"/>
      <c r="I383" s="96" t="s">
        <v>13</v>
      </c>
      <c r="J383" s="95">
        <f>J378</f>
        <v>200</v>
      </c>
      <c r="K383" s="97">
        <f t="shared" ref="K383:N383" si="107">K378</f>
        <v>231</v>
      </c>
      <c r="L383" s="97">
        <f t="shared" si="107"/>
        <v>239</v>
      </c>
      <c r="M383" s="97">
        <f t="shared" si="107"/>
        <v>200</v>
      </c>
      <c r="N383" s="139">
        <f t="shared" si="107"/>
        <v>143</v>
      </c>
      <c r="O383" s="52">
        <f t="shared" ref="O383:O391" si="108">SUM(J383:N383)</f>
        <v>1013</v>
      </c>
    </row>
    <row r="384" spans="1:16" x14ac:dyDescent="0.15">
      <c r="A384" s="15" t="s">
        <v>3</v>
      </c>
      <c r="B384" s="8"/>
      <c r="C384" s="10"/>
      <c r="D384" s="10"/>
      <c r="E384" s="10">
        <v>15</v>
      </c>
      <c r="F384" s="104">
        <v>5</v>
      </c>
      <c r="G384" s="9">
        <f t="shared" si="106"/>
        <v>20</v>
      </c>
      <c r="H384" s="58">
        <v>43382</v>
      </c>
      <c r="I384" s="15" t="s">
        <v>3</v>
      </c>
      <c r="J384" s="37"/>
      <c r="K384" s="135"/>
      <c r="L384" s="135"/>
      <c r="M384" s="135"/>
      <c r="N384" s="136"/>
      <c r="O384" s="7">
        <f t="shared" si="108"/>
        <v>0</v>
      </c>
    </row>
    <row r="385" spans="1:17" x14ac:dyDescent="0.15">
      <c r="A385" s="15" t="s">
        <v>17</v>
      </c>
      <c r="B385" s="8"/>
      <c r="C385" s="10"/>
      <c r="D385" s="10"/>
      <c r="E385" s="10">
        <v>3</v>
      </c>
      <c r="F385" s="104"/>
      <c r="G385" s="9">
        <f t="shared" si="106"/>
        <v>3</v>
      </c>
      <c r="H385" s="58">
        <v>43378</v>
      </c>
      <c r="I385" s="15" t="s">
        <v>4</v>
      </c>
      <c r="J385" s="8"/>
      <c r="K385" s="45"/>
      <c r="L385" s="45"/>
      <c r="M385" s="45"/>
      <c r="N385" s="46"/>
      <c r="O385" s="9">
        <f t="shared" si="108"/>
        <v>0</v>
      </c>
      <c r="P385" s="58"/>
    </row>
    <row r="386" spans="1:17" x14ac:dyDescent="0.15">
      <c r="A386" s="15" t="s">
        <v>5</v>
      </c>
      <c r="B386" s="8"/>
      <c r="C386" s="10"/>
      <c r="D386" s="10">
        <v>10</v>
      </c>
      <c r="E386" s="10"/>
      <c r="F386" s="104">
        <v>10</v>
      </c>
      <c r="G386" s="9">
        <f t="shared" si="106"/>
        <v>20</v>
      </c>
      <c r="H386" s="58">
        <v>43386</v>
      </c>
      <c r="I386" s="15" t="s">
        <v>5</v>
      </c>
      <c r="J386" s="8"/>
      <c r="K386" s="45"/>
      <c r="L386" s="45"/>
      <c r="M386" s="45"/>
      <c r="N386" s="46"/>
      <c r="O386" s="9">
        <f t="shared" si="108"/>
        <v>0</v>
      </c>
    </row>
    <row r="387" spans="1:17" x14ac:dyDescent="0.15">
      <c r="A387" s="15" t="s">
        <v>19</v>
      </c>
      <c r="B387" s="11">
        <v>1</v>
      </c>
      <c r="C387" s="12">
        <v>2</v>
      </c>
      <c r="D387" s="12">
        <v>2</v>
      </c>
      <c r="E387" s="12">
        <v>6</v>
      </c>
      <c r="F387" s="108">
        <v>2</v>
      </c>
      <c r="G387" s="9">
        <f t="shared" si="106"/>
        <v>13</v>
      </c>
      <c r="H387" s="58">
        <v>43395</v>
      </c>
      <c r="I387" s="15" t="s">
        <v>6</v>
      </c>
      <c r="J387" s="8"/>
      <c r="K387" s="45"/>
      <c r="L387" s="45"/>
      <c r="M387" s="45"/>
      <c r="N387" s="46"/>
      <c r="O387" s="9">
        <f t="shared" si="108"/>
        <v>0</v>
      </c>
    </row>
    <row r="388" spans="1:17" x14ac:dyDescent="0.15">
      <c r="A388" s="15" t="s">
        <v>17</v>
      </c>
      <c r="B388" s="8">
        <v>1</v>
      </c>
      <c r="C388" s="10"/>
      <c r="D388" s="10">
        <v>3</v>
      </c>
      <c r="E388" s="10">
        <v>2</v>
      </c>
      <c r="F388" s="30"/>
      <c r="G388" s="7">
        <f t="shared" si="106"/>
        <v>6</v>
      </c>
      <c r="H388" s="58">
        <v>43399</v>
      </c>
      <c r="I388" s="15" t="s">
        <v>84</v>
      </c>
      <c r="J388" s="8"/>
      <c r="K388" s="45"/>
      <c r="L388" s="45"/>
      <c r="M388" s="45"/>
      <c r="N388" s="46"/>
      <c r="O388" s="7">
        <f t="shared" si="108"/>
        <v>0</v>
      </c>
    </row>
    <row r="389" spans="1:17" x14ac:dyDescent="0.15">
      <c r="A389" s="15" t="s">
        <v>85</v>
      </c>
      <c r="B389" s="8"/>
      <c r="C389" s="10"/>
      <c r="D389" s="10">
        <v>5</v>
      </c>
      <c r="E389" s="10"/>
      <c r="F389" s="30">
        <v>10</v>
      </c>
      <c r="G389" s="7">
        <f t="shared" si="106"/>
        <v>15</v>
      </c>
      <c r="H389" s="58">
        <v>43405</v>
      </c>
      <c r="I389" s="15" t="s">
        <v>85</v>
      </c>
      <c r="J389" s="8"/>
      <c r="K389" s="45"/>
      <c r="L389" s="45"/>
      <c r="M389" s="45"/>
      <c r="N389" s="46"/>
      <c r="O389" s="7">
        <f t="shared" si="108"/>
        <v>0</v>
      </c>
    </row>
    <row r="390" spans="1:17" x14ac:dyDescent="0.15">
      <c r="A390" s="15" t="s">
        <v>86</v>
      </c>
      <c r="B390" s="8"/>
      <c r="C390" s="45">
        <v>5</v>
      </c>
      <c r="D390" s="45">
        <v>5</v>
      </c>
      <c r="E390" s="45"/>
      <c r="F390" s="46"/>
      <c r="G390" s="102">
        <f t="shared" si="106"/>
        <v>10</v>
      </c>
      <c r="H390" s="58">
        <v>43409</v>
      </c>
      <c r="I390" s="15" t="s">
        <v>86</v>
      </c>
      <c r="J390" s="8"/>
      <c r="K390" s="45"/>
      <c r="L390" s="45"/>
      <c r="M390" s="45"/>
      <c r="N390" s="46"/>
      <c r="O390" s="102">
        <f t="shared" si="108"/>
        <v>0</v>
      </c>
    </row>
    <row r="391" spans="1:17" ht="14.25" thickBot="1" x14ac:dyDescent="0.2">
      <c r="A391" s="19" t="s">
        <v>867</v>
      </c>
      <c r="B391" s="11">
        <v>1</v>
      </c>
      <c r="C391" s="100"/>
      <c r="D391" s="100"/>
      <c r="E391" s="100"/>
      <c r="F391" s="109"/>
      <c r="G391" s="40">
        <f t="shared" si="106"/>
        <v>1</v>
      </c>
      <c r="H391" s="58">
        <v>43409</v>
      </c>
      <c r="I391" s="15" t="s">
        <v>87</v>
      </c>
      <c r="J391" s="47"/>
      <c r="K391" s="48"/>
      <c r="L391" s="48"/>
      <c r="M391" s="48"/>
      <c r="N391" s="49"/>
      <c r="O391" s="40">
        <f t="shared" si="108"/>
        <v>0</v>
      </c>
    </row>
    <row r="392" spans="1:17" ht="14.25" thickBot="1" x14ac:dyDescent="0.2">
      <c r="A392" s="72" t="s">
        <v>7</v>
      </c>
      <c r="B392" s="73">
        <f>SUM(B383:B391)</f>
        <v>14</v>
      </c>
      <c r="C392" s="74">
        <f t="shared" ref="C392:G392" si="109">SUM(C383:C391)</f>
        <v>16</v>
      </c>
      <c r="D392" s="74">
        <f t="shared" si="109"/>
        <v>38</v>
      </c>
      <c r="E392" s="74">
        <f t="shared" si="109"/>
        <v>32</v>
      </c>
      <c r="F392" s="105">
        <f t="shared" si="109"/>
        <v>34</v>
      </c>
      <c r="G392" s="76">
        <f t="shared" si="109"/>
        <v>134</v>
      </c>
      <c r="H392" s="56"/>
      <c r="I392" s="72" t="s">
        <v>7</v>
      </c>
      <c r="J392" s="73">
        <f>SUM(J383:J391)</f>
        <v>200</v>
      </c>
      <c r="K392" s="74">
        <f t="shared" ref="K392:O392" si="110">SUM(K383:K391)</f>
        <v>231</v>
      </c>
      <c r="L392" s="74">
        <f t="shared" si="110"/>
        <v>239</v>
      </c>
      <c r="M392" s="74">
        <f t="shared" si="110"/>
        <v>200</v>
      </c>
      <c r="N392" s="105">
        <f t="shared" si="110"/>
        <v>143</v>
      </c>
      <c r="O392" s="76">
        <f t="shared" si="110"/>
        <v>1013</v>
      </c>
    </row>
    <row r="393" spans="1:17" x14ac:dyDescent="0.15">
      <c r="A393" s="16" t="s">
        <v>22</v>
      </c>
      <c r="B393" s="37"/>
      <c r="C393" s="35"/>
      <c r="D393" s="35"/>
      <c r="E393" s="35">
        <v>10</v>
      </c>
      <c r="F393" s="28"/>
      <c r="G393" s="18">
        <f t="shared" ref="G393:G418" si="111">SUM(B393:F393)</f>
        <v>10</v>
      </c>
      <c r="H393" s="58">
        <v>43384</v>
      </c>
      <c r="I393" s="16" t="s">
        <v>850</v>
      </c>
      <c r="J393" s="17"/>
      <c r="K393" s="22"/>
      <c r="L393" s="22"/>
      <c r="M393" s="22">
        <v>15</v>
      </c>
      <c r="N393" s="29">
        <v>5</v>
      </c>
      <c r="O393" s="18">
        <f t="shared" ref="O393:O416" si="112">SUM(J393:N393)</f>
        <v>20</v>
      </c>
      <c r="P393" s="58">
        <v>43382</v>
      </c>
    </row>
    <row r="394" spans="1:17" x14ac:dyDescent="0.15">
      <c r="A394" s="16" t="s">
        <v>25</v>
      </c>
      <c r="B394" s="8"/>
      <c r="C394" s="10"/>
      <c r="D394" s="10">
        <v>2</v>
      </c>
      <c r="E394" s="10">
        <v>1</v>
      </c>
      <c r="F394" s="30">
        <v>1</v>
      </c>
      <c r="G394" s="7">
        <f t="shared" si="111"/>
        <v>4</v>
      </c>
      <c r="H394" s="58">
        <v>43383</v>
      </c>
      <c r="I394" s="16" t="s">
        <v>110</v>
      </c>
      <c r="J394" s="8"/>
      <c r="K394" s="10"/>
      <c r="L394" s="10"/>
      <c r="M394" s="10"/>
      <c r="N394" s="30">
        <v>2</v>
      </c>
      <c r="O394" s="7">
        <f t="shared" si="112"/>
        <v>2</v>
      </c>
      <c r="P394" s="58">
        <v>43389</v>
      </c>
    </row>
    <row r="395" spans="1:17" x14ac:dyDescent="0.15">
      <c r="A395" s="16" t="s">
        <v>22</v>
      </c>
      <c r="B395" s="8"/>
      <c r="C395" s="10"/>
      <c r="D395" s="10">
        <v>10</v>
      </c>
      <c r="E395" s="10"/>
      <c r="F395" s="30">
        <v>10</v>
      </c>
      <c r="G395" s="7">
        <f t="shared" si="111"/>
        <v>20</v>
      </c>
      <c r="H395" s="58">
        <v>43391</v>
      </c>
      <c r="I395" s="16" t="s">
        <v>852</v>
      </c>
      <c r="J395" s="8"/>
      <c r="K395" s="10"/>
      <c r="L395" s="10">
        <v>10</v>
      </c>
      <c r="M395" s="10"/>
      <c r="N395" s="30">
        <v>10</v>
      </c>
      <c r="O395" s="7">
        <f t="shared" si="112"/>
        <v>20</v>
      </c>
      <c r="P395" s="58">
        <v>43386</v>
      </c>
    </row>
    <row r="396" spans="1:17" x14ac:dyDescent="0.15">
      <c r="A396" s="16" t="s">
        <v>25</v>
      </c>
      <c r="B396" s="8"/>
      <c r="C396" s="10"/>
      <c r="D396" s="10">
        <v>1</v>
      </c>
      <c r="E396" s="10"/>
      <c r="F396" s="30"/>
      <c r="G396" s="7">
        <f t="shared" si="111"/>
        <v>1</v>
      </c>
      <c r="H396" s="58">
        <v>43392</v>
      </c>
      <c r="I396" s="16" t="s">
        <v>110</v>
      </c>
      <c r="J396" s="8"/>
      <c r="K396" s="10"/>
      <c r="L396" s="10">
        <v>2</v>
      </c>
      <c r="M396" s="10"/>
      <c r="N396" s="30"/>
      <c r="O396" s="7">
        <f t="shared" si="112"/>
        <v>2</v>
      </c>
      <c r="P396" s="58">
        <v>43391</v>
      </c>
    </row>
    <row r="397" spans="1:17" x14ac:dyDescent="0.15">
      <c r="A397" s="16" t="s">
        <v>182</v>
      </c>
      <c r="B397" s="8"/>
      <c r="C397" s="10"/>
      <c r="D397" s="10">
        <v>2</v>
      </c>
      <c r="E397" s="10"/>
      <c r="F397" s="30"/>
      <c r="G397" s="7">
        <f t="shared" si="111"/>
        <v>2</v>
      </c>
      <c r="H397" s="58">
        <v>43392</v>
      </c>
      <c r="I397" s="16" t="s">
        <v>110</v>
      </c>
      <c r="J397" s="8">
        <v>2</v>
      </c>
      <c r="K397" s="10"/>
      <c r="L397" s="10"/>
      <c r="M397" s="10"/>
      <c r="N397" s="30"/>
      <c r="O397" s="7">
        <f t="shared" si="112"/>
        <v>2</v>
      </c>
      <c r="P397" s="58">
        <v>43406</v>
      </c>
    </row>
    <row r="398" spans="1:17" x14ac:dyDescent="0.15">
      <c r="A398" s="16" t="s">
        <v>25</v>
      </c>
      <c r="B398" s="8"/>
      <c r="C398" s="10"/>
      <c r="D398" s="10"/>
      <c r="E398" s="10"/>
      <c r="F398" s="30">
        <v>1</v>
      </c>
      <c r="G398" s="7">
        <f t="shared" si="111"/>
        <v>1</v>
      </c>
      <c r="H398" s="58">
        <v>43395</v>
      </c>
      <c r="I398" s="16" t="s">
        <v>24</v>
      </c>
      <c r="J398" s="8"/>
      <c r="K398" s="10"/>
      <c r="L398" s="10">
        <v>5</v>
      </c>
      <c r="M398" s="10"/>
      <c r="N398" s="30">
        <v>10</v>
      </c>
      <c r="O398" s="7">
        <f t="shared" si="112"/>
        <v>15</v>
      </c>
      <c r="P398" s="58">
        <v>43405</v>
      </c>
    </row>
    <row r="399" spans="1:17" x14ac:dyDescent="0.15">
      <c r="A399" s="16" t="s">
        <v>182</v>
      </c>
      <c r="B399" s="8"/>
      <c r="C399" s="10">
        <v>2</v>
      </c>
      <c r="D399" s="10">
        <v>2</v>
      </c>
      <c r="E399" s="10"/>
      <c r="F399" s="30"/>
      <c r="G399" s="7">
        <f t="shared" si="111"/>
        <v>4</v>
      </c>
      <c r="H399" s="58">
        <v>43397</v>
      </c>
      <c r="I399" s="16" t="s">
        <v>24</v>
      </c>
      <c r="J399" s="8"/>
      <c r="K399" s="10">
        <v>5</v>
      </c>
      <c r="L399" s="10">
        <v>5</v>
      </c>
      <c r="M399" s="10"/>
      <c r="N399" s="30"/>
      <c r="O399" s="7">
        <f t="shared" si="112"/>
        <v>10</v>
      </c>
      <c r="P399" s="58">
        <v>43409</v>
      </c>
    </row>
    <row r="400" spans="1:17" x14ac:dyDescent="0.15">
      <c r="A400" s="39" t="s">
        <v>860</v>
      </c>
      <c r="B400" s="8">
        <v>1</v>
      </c>
      <c r="C400" s="10">
        <v>1</v>
      </c>
      <c r="D400" s="10">
        <v>1</v>
      </c>
      <c r="E400" s="10">
        <v>1</v>
      </c>
      <c r="F400" s="30">
        <v>1</v>
      </c>
      <c r="G400" s="7">
        <f t="shared" si="111"/>
        <v>5</v>
      </c>
      <c r="H400" s="58">
        <v>43398</v>
      </c>
      <c r="I400" s="16" t="s">
        <v>24</v>
      </c>
      <c r="J400" s="8"/>
      <c r="K400" s="10">
        <v>5</v>
      </c>
      <c r="L400" s="10"/>
      <c r="M400" s="10"/>
      <c r="N400" s="30">
        <v>5</v>
      </c>
      <c r="O400" s="7">
        <f t="shared" si="112"/>
        <v>10</v>
      </c>
      <c r="P400" s="58">
        <v>43421</v>
      </c>
      <c r="Q400" s="56"/>
    </row>
    <row r="401" spans="1:17" x14ac:dyDescent="0.15">
      <c r="A401" s="16" t="s">
        <v>22</v>
      </c>
      <c r="B401" s="8"/>
      <c r="C401" s="10"/>
      <c r="D401" s="10"/>
      <c r="E401" s="10"/>
      <c r="F401" s="30">
        <v>10</v>
      </c>
      <c r="G401" s="7">
        <f t="shared" si="111"/>
        <v>10</v>
      </c>
      <c r="H401" s="58">
        <v>43406</v>
      </c>
      <c r="I401" s="16" t="s">
        <v>876</v>
      </c>
      <c r="J401" s="11"/>
      <c r="K401" s="100"/>
      <c r="L401" s="100"/>
      <c r="M401" s="100">
        <v>10</v>
      </c>
      <c r="N401" s="109"/>
      <c r="O401" s="9">
        <f t="shared" si="112"/>
        <v>10</v>
      </c>
      <c r="P401" s="58">
        <v>43426</v>
      </c>
    </row>
    <row r="402" spans="1:17" x14ac:dyDescent="0.15">
      <c r="A402" s="16" t="s">
        <v>25</v>
      </c>
      <c r="B402" s="8"/>
      <c r="C402" s="10"/>
      <c r="D402" s="10">
        <v>2</v>
      </c>
      <c r="E402" s="10"/>
      <c r="F402" s="30"/>
      <c r="G402" s="7">
        <f t="shared" si="111"/>
        <v>2</v>
      </c>
      <c r="H402" s="58">
        <v>43403</v>
      </c>
      <c r="I402" s="16" t="s">
        <v>110</v>
      </c>
      <c r="J402" s="11"/>
      <c r="K402" s="12"/>
      <c r="L402" s="12"/>
      <c r="M402" s="12">
        <v>2</v>
      </c>
      <c r="N402" s="31"/>
      <c r="O402" s="7">
        <f t="shared" si="112"/>
        <v>2</v>
      </c>
      <c r="P402" s="58">
        <v>43431</v>
      </c>
    </row>
    <row r="403" spans="1:17" x14ac:dyDescent="0.15">
      <c r="A403" s="16" t="s">
        <v>182</v>
      </c>
      <c r="B403" s="11"/>
      <c r="C403" s="12"/>
      <c r="D403" s="12">
        <v>2</v>
      </c>
      <c r="E403" s="12"/>
      <c r="F403" s="31"/>
      <c r="G403" s="7">
        <f t="shared" si="111"/>
        <v>2</v>
      </c>
      <c r="H403" s="58">
        <v>43404</v>
      </c>
      <c r="I403" s="16" t="s">
        <v>24</v>
      </c>
      <c r="J403" s="8"/>
      <c r="K403" s="10">
        <v>5</v>
      </c>
      <c r="L403" s="10"/>
      <c r="M403" s="10"/>
      <c r="N403" s="30"/>
      <c r="O403" s="7">
        <f t="shared" si="112"/>
        <v>5</v>
      </c>
      <c r="P403" s="58">
        <v>43425</v>
      </c>
    </row>
    <row r="404" spans="1:17" x14ac:dyDescent="0.15">
      <c r="A404" s="16" t="s">
        <v>25</v>
      </c>
      <c r="B404" s="11"/>
      <c r="C404" s="12"/>
      <c r="D404" s="12"/>
      <c r="E404" s="12">
        <v>1</v>
      </c>
      <c r="F404" s="31"/>
      <c r="G404" s="7">
        <f t="shared" ref="G404:G405" si="113">SUM(B404:F404)</f>
        <v>1</v>
      </c>
      <c r="H404" s="58">
        <v>43404</v>
      </c>
      <c r="I404" s="16"/>
      <c r="J404" s="8"/>
      <c r="K404" s="10"/>
      <c r="L404" s="10"/>
      <c r="M404" s="10"/>
      <c r="N404" s="30"/>
      <c r="O404" s="7">
        <f t="shared" si="112"/>
        <v>0</v>
      </c>
    </row>
    <row r="405" spans="1:17" x14ac:dyDescent="0.15">
      <c r="A405" s="16" t="s">
        <v>182</v>
      </c>
      <c r="B405" s="8"/>
      <c r="C405" s="10"/>
      <c r="D405" s="10"/>
      <c r="E405" s="10">
        <v>1</v>
      </c>
      <c r="F405" s="30"/>
      <c r="G405" s="7">
        <f t="shared" si="113"/>
        <v>1</v>
      </c>
      <c r="H405" s="58">
        <v>43406</v>
      </c>
      <c r="I405" s="16"/>
      <c r="J405" s="8"/>
      <c r="K405" s="10"/>
      <c r="L405" s="10"/>
      <c r="M405" s="10"/>
      <c r="N405" s="30"/>
      <c r="O405" s="7">
        <f t="shared" si="112"/>
        <v>0</v>
      </c>
    </row>
    <row r="406" spans="1:17" x14ac:dyDescent="0.15">
      <c r="A406" s="16" t="s">
        <v>25</v>
      </c>
      <c r="B406" s="8"/>
      <c r="C406" s="10"/>
      <c r="D406" s="10"/>
      <c r="E406" s="10">
        <v>1</v>
      </c>
      <c r="F406" s="30"/>
      <c r="G406" s="7">
        <f t="shared" si="111"/>
        <v>1</v>
      </c>
      <c r="H406" s="58">
        <v>43406</v>
      </c>
      <c r="I406" s="16"/>
      <c r="J406" s="8"/>
      <c r="K406" s="10"/>
      <c r="L406" s="10"/>
      <c r="M406" s="10"/>
      <c r="N406" s="30"/>
      <c r="O406" s="7">
        <f t="shared" si="112"/>
        <v>0</v>
      </c>
    </row>
    <row r="407" spans="1:17" x14ac:dyDescent="0.15">
      <c r="A407" s="16" t="s">
        <v>182</v>
      </c>
      <c r="B407" s="8"/>
      <c r="C407" s="10"/>
      <c r="D407" s="10"/>
      <c r="E407" s="10">
        <v>2</v>
      </c>
      <c r="F407" s="30"/>
      <c r="G407" s="7">
        <f t="shared" si="111"/>
        <v>2</v>
      </c>
      <c r="H407" s="58">
        <v>43409</v>
      </c>
      <c r="I407" s="16"/>
      <c r="J407" s="8"/>
      <c r="K407" s="10"/>
      <c r="L407" s="10"/>
      <c r="M407" s="10"/>
      <c r="N407" s="30"/>
      <c r="O407" s="7">
        <f t="shared" si="112"/>
        <v>0</v>
      </c>
      <c r="P407" s="56"/>
    </row>
    <row r="408" spans="1:17" x14ac:dyDescent="0.15">
      <c r="A408" s="16" t="s">
        <v>25</v>
      </c>
      <c r="B408" s="8"/>
      <c r="C408" s="10">
        <v>1</v>
      </c>
      <c r="D408" s="10"/>
      <c r="E408" s="10"/>
      <c r="F408" s="30"/>
      <c r="G408" s="7">
        <f t="shared" si="111"/>
        <v>1</v>
      </c>
      <c r="H408" s="58">
        <v>43411</v>
      </c>
      <c r="I408" s="16"/>
      <c r="J408" s="8"/>
      <c r="K408" s="10"/>
      <c r="L408" s="10"/>
      <c r="M408" s="10"/>
      <c r="N408" s="30"/>
      <c r="O408" s="7">
        <f t="shared" si="112"/>
        <v>0</v>
      </c>
      <c r="P408" s="56"/>
      <c r="Q408" s="56"/>
    </row>
    <row r="409" spans="1:17" x14ac:dyDescent="0.15">
      <c r="A409" s="39" t="s">
        <v>866</v>
      </c>
      <c r="B409" s="8">
        <v>1</v>
      </c>
      <c r="C409" s="10">
        <v>7</v>
      </c>
      <c r="D409" s="10">
        <v>2</v>
      </c>
      <c r="E409" s="10">
        <v>1</v>
      </c>
      <c r="F409" s="30">
        <v>6</v>
      </c>
      <c r="G409" s="7">
        <f t="shared" si="111"/>
        <v>17</v>
      </c>
      <c r="H409" s="58">
        <v>43411</v>
      </c>
      <c r="I409" s="16"/>
      <c r="J409" s="11"/>
      <c r="K409" s="12"/>
      <c r="L409" s="12"/>
      <c r="M409" s="12"/>
      <c r="N409" s="31"/>
      <c r="O409" s="7">
        <f t="shared" si="112"/>
        <v>0</v>
      </c>
      <c r="P409" s="56"/>
      <c r="Q409" s="56"/>
    </row>
    <row r="410" spans="1:17" x14ac:dyDescent="0.15">
      <c r="A410" s="16" t="s">
        <v>870</v>
      </c>
      <c r="B410" s="8">
        <v>1</v>
      </c>
      <c r="C410" s="10"/>
      <c r="D410" s="10"/>
      <c r="E410" s="10"/>
      <c r="F410" s="30"/>
      <c r="G410" s="7">
        <f t="shared" si="111"/>
        <v>1</v>
      </c>
      <c r="H410" s="58">
        <v>43417</v>
      </c>
      <c r="I410" s="16"/>
      <c r="J410" s="11"/>
      <c r="K410" s="12"/>
      <c r="L410" s="12"/>
      <c r="M410" s="12"/>
      <c r="N410" s="31"/>
      <c r="O410" s="7">
        <f t="shared" si="112"/>
        <v>0</v>
      </c>
      <c r="P410" s="56"/>
      <c r="Q410" s="56"/>
    </row>
    <row r="411" spans="1:17" x14ac:dyDescent="0.15">
      <c r="A411" s="16" t="s">
        <v>25</v>
      </c>
      <c r="B411" s="8"/>
      <c r="C411" s="10"/>
      <c r="D411" s="10"/>
      <c r="E411" s="10">
        <v>1</v>
      </c>
      <c r="F411" s="30"/>
      <c r="G411" s="7">
        <f t="shared" si="111"/>
        <v>1</v>
      </c>
      <c r="H411" s="58">
        <v>43417</v>
      </c>
      <c r="I411" s="16"/>
      <c r="J411" s="11"/>
      <c r="K411" s="12"/>
      <c r="L411" s="12"/>
      <c r="M411" s="12"/>
      <c r="N411" s="31"/>
      <c r="O411" s="7">
        <f t="shared" si="112"/>
        <v>0</v>
      </c>
      <c r="P411" s="56"/>
      <c r="Q411" s="56"/>
    </row>
    <row r="412" spans="1:17" x14ac:dyDescent="0.15">
      <c r="A412" s="16" t="s">
        <v>25</v>
      </c>
      <c r="B412" s="8">
        <v>1</v>
      </c>
      <c r="C412" s="10">
        <v>1</v>
      </c>
      <c r="D412" s="10">
        <v>1</v>
      </c>
      <c r="E412" s="10"/>
      <c r="F412" s="30"/>
      <c r="G412" s="7">
        <f t="shared" si="111"/>
        <v>3</v>
      </c>
      <c r="H412" s="58">
        <v>43419</v>
      </c>
      <c r="I412" s="20"/>
      <c r="J412" s="11"/>
      <c r="K412" s="12"/>
      <c r="L412" s="12"/>
      <c r="M412" s="12"/>
      <c r="N412" s="31"/>
      <c r="O412" s="7">
        <f t="shared" si="112"/>
        <v>0</v>
      </c>
      <c r="P412" s="58"/>
      <c r="Q412" s="56"/>
    </row>
    <row r="413" spans="1:17" x14ac:dyDescent="0.15">
      <c r="A413" s="16" t="s">
        <v>25</v>
      </c>
      <c r="B413" s="8"/>
      <c r="C413" s="10">
        <v>1</v>
      </c>
      <c r="D413" s="10"/>
      <c r="E413" s="10"/>
      <c r="F413" s="30"/>
      <c r="G413" s="7">
        <f t="shared" si="111"/>
        <v>1</v>
      </c>
      <c r="H413" s="58">
        <v>43420</v>
      </c>
      <c r="I413" s="14"/>
      <c r="J413" s="11"/>
      <c r="K413" s="12"/>
      <c r="L413" s="12"/>
      <c r="M413" s="12"/>
      <c r="N413" s="31"/>
      <c r="O413" s="7">
        <f t="shared" si="112"/>
        <v>0</v>
      </c>
      <c r="P413" s="56"/>
      <c r="Q413" s="56"/>
    </row>
    <row r="414" spans="1:17" x14ac:dyDescent="0.15">
      <c r="A414" s="16" t="s">
        <v>875</v>
      </c>
      <c r="B414" s="8"/>
      <c r="C414" s="10">
        <v>-5</v>
      </c>
      <c r="D414" s="10"/>
      <c r="E414" s="10"/>
      <c r="F414" s="59">
        <v>-5</v>
      </c>
      <c r="G414" s="7">
        <f t="shared" si="111"/>
        <v>-10</v>
      </c>
      <c r="H414" s="58">
        <v>43421</v>
      </c>
      <c r="I414" s="14"/>
      <c r="J414" s="11"/>
      <c r="K414" s="12"/>
      <c r="L414" s="12"/>
      <c r="M414" s="12"/>
      <c r="N414" s="31"/>
      <c r="O414" s="7">
        <f t="shared" si="112"/>
        <v>0</v>
      </c>
      <c r="P414" s="58"/>
      <c r="Q414" s="56"/>
    </row>
    <row r="415" spans="1:17" x14ac:dyDescent="0.15">
      <c r="A415" s="16" t="s">
        <v>25</v>
      </c>
      <c r="B415" s="37"/>
      <c r="C415" s="35">
        <v>3</v>
      </c>
      <c r="D415" s="35"/>
      <c r="E415" s="35"/>
      <c r="F415" s="28"/>
      <c r="G415" s="7">
        <f t="shared" si="111"/>
        <v>3</v>
      </c>
      <c r="H415" s="58">
        <v>43421</v>
      </c>
      <c r="I415" s="14"/>
      <c r="J415" s="8"/>
      <c r="K415" s="10"/>
      <c r="L415" s="10"/>
      <c r="M415" s="10"/>
      <c r="N415" s="30"/>
      <c r="O415" s="7">
        <f t="shared" si="112"/>
        <v>0</v>
      </c>
      <c r="P415" s="56"/>
      <c r="Q415" s="56"/>
    </row>
    <row r="416" spans="1:17" x14ac:dyDescent="0.15">
      <c r="A416" s="16" t="s">
        <v>877</v>
      </c>
      <c r="B416" s="8"/>
      <c r="C416" s="10"/>
      <c r="D416" s="10">
        <v>-1</v>
      </c>
      <c r="E416" s="10"/>
      <c r="F416" s="30"/>
      <c r="G416" s="7">
        <f t="shared" si="111"/>
        <v>-1</v>
      </c>
      <c r="H416" s="58">
        <v>43420</v>
      </c>
      <c r="I416" s="16"/>
      <c r="J416" s="8"/>
      <c r="K416" s="10"/>
      <c r="L416" s="10"/>
      <c r="M416" s="10"/>
      <c r="N416" s="30"/>
      <c r="O416" s="7">
        <f t="shared" si="112"/>
        <v>0</v>
      </c>
      <c r="P416" s="56"/>
      <c r="Q416" s="56"/>
    </row>
    <row r="417" spans="1:17" x14ac:dyDescent="0.15">
      <c r="A417" s="16" t="s">
        <v>25</v>
      </c>
      <c r="B417" s="8"/>
      <c r="C417" s="10">
        <v>1</v>
      </c>
      <c r="D417" s="10">
        <v>1</v>
      </c>
      <c r="E417" s="10">
        <v>1</v>
      </c>
      <c r="F417" s="30"/>
      <c r="G417" s="9">
        <f t="shared" si="111"/>
        <v>3</v>
      </c>
      <c r="H417" s="58">
        <v>43424</v>
      </c>
      <c r="I417" s="51"/>
      <c r="J417" s="11"/>
      <c r="K417" s="12"/>
      <c r="L417" s="12"/>
      <c r="M417" s="12"/>
      <c r="N417" s="31"/>
      <c r="O417" s="7">
        <f t="shared" ref="O417:O418" si="114">SUM(J417:N417)</f>
        <v>0</v>
      </c>
      <c r="P417" s="56"/>
      <c r="Q417" s="56"/>
    </row>
    <row r="418" spans="1:17" ht="14.25" thickBot="1" x14ac:dyDescent="0.2">
      <c r="A418" s="16" t="s">
        <v>882</v>
      </c>
      <c r="B418" s="37"/>
      <c r="C418" s="35">
        <v>-5</v>
      </c>
      <c r="D418" s="35"/>
      <c r="E418" s="35"/>
      <c r="F418" s="28"/>
      <c r="G418" s="7">
        <f t="shared" si="111"/>
        <v>-5</v>
      </c>
      <c r="H418" s="58">
        <v>43425</v>
      </c>
      <c r="I418" s="39"/>
      <c r="J418" s="11"/>
      <c r="K418" s="12"/>
      <c r="L418" s="12"/>
      <c r="M418" s="12"/>
      <c r="N418" s="31"/>
      <c r="O418" s="7">
        <f t="shared" si="114"/>
        <v>0</v>
      </c>
      <c r="P418" s="58"/>
    </row>
    <row r="419" spans="1:17" ht="14.25" thickBot="1" x14ac:dyDescent="0.2">
      <c r="A419" s="3" t="s">
        <v>11</v>
      </c>
      <c r="B419" s="23">
        <f>SUM(B393:B418)</f>
        <v>4</v>
      </c>
      <c r="C419" s="4">
        <f>SUM(C393:C418)</f>
        <v>7</v>
      </c>
      <c r="D419" s="4">
        <f>SUM(D393:D418)</f>
        <v>25</v>
      </c>
      <c r="E419" s="6">
        <f>SUM(E393:E418)</f>
        <v>20</v>
      </c>
      <c r="F419" s="32">
        <f>SUM(F393:F418)</f>
        <v>24</v>
      </c>
      <c r="G419" s="5">
        <f>SUM(B419:F419)</f>
        <v>80</v>
      </c>
      <c r="H419" s="56"/>
      <c r="I419" s="3" t="s">
        <v>11</v>
      </c>
      <c r="J419" s="23">
        <f>SUM(J393:J418)</f>
        <v>2</v>
      </c>
      <c r="K419" s="4">
        <f>SUM(K393:K418)</f>
        <v>15</v>
      </c>
      <c r="L419" s="4">
        <f>SUM(L393:L418)</f>
        <v>22</v>
      </c>
      <c r="M419" s="6">
        <f>SUM(M393:M418)</f>
        <v>27</v>
      </c>
      <c r="N419" s="32">
        <f>SUM(N393:N418)</f>
        <v>32</v>
      </c>
      <c r="O419" s="5">
        <f>SUM(J419:N419)</f>
        <v>98</v>
      </c>
    </row>
    <row r="420" spans="1:17" ht="14.25" thickBot="1" x14ac:dyDescent="0.2">
      <c r="A420" s="25" t="s">
        <v>12</v>
      </c>
      <c r="B420" s="63">
        <f>B392-B419</f>
        <v>10</v>
      </c>
      <c r="C420" s="26">
        <f t="shared" ref="C420:G420" si="115">C392-C419</f>
        <v>9</v>
      </c>
      <c r="D420" s="71">
        <f t="shared" si="115"/>
        <v>13</v>
      </c>
      <c r="E420" s="26">
        <f t="shared" si="115"/>
        <v>12</v>
      </c>
      <c r="F420" s="70">
        <f t="shared" si="115"/>
        <v>10</v>
      </c>
      <c r="G420" s="27">
        <f t="shared" si="115"/>
        <v>54</v>
      </c>
      <c r="H420" s="56"/>
      <c r="I420" s="25" t="s">
        <v>12</v>
      </c>
      <c r="J420" s="63">
        <f>J392-J419</f>
        <v>198</v>
      </c>
      <c r="K420" s="26">
        <f t="shared" ref="K420:O420" si="116">K392-K419</f>
        <v>216</v>
      </c>
      <c r="L420" s="71">
        <f t="shared" si="116"/>
        <v>217</v>
      </c>
      <c r="M420" s="26">
        <f t="shared" si="116"/>
        <v>173</v>
      </c>
      <c r="N420" s="70">
        <f t="shared" si="116"/>
        <v>111</v>
      </c>
      <c r="O420" s="27">
        <f t="shared" si="116"/>
        <v>915</v>
      </c>
    </row>
    <row r="421" spans="1:17" ht="21" x14ac:dyDescent="0.2">
      <c r="A421" s="86" t="s">
        <v>413</v>
      </c>
      <c r="B421" s="87"/>
      <c r="C421" s="87"/>
      <c r="D421" s="87"/>
      <c r="E421" s="87"/>
      <c r="F421" s="87"/>
      <c r="G421" s="87"/>
      <c r="H421" s="56"/>
      <c r="I421" s="86" t="s">
        <v>413</v>
      </c>
      <c r="J421" s="87"/>
      <c r="K421" s="87"/>
      <c r="L421" s="87"/>
      <c r="M421" s="87"/>
      <c r="N421" s="87"/>
      <c r="O421" s="87"/>
    </row>
    <row r="422" spans="1:17" ht="21.75" thickBot="1" x14ac:dyDescent="0.25">
      <c r="A422" s="86" t="s">
        <v>51</v>
      </c>
      <c r="B422" s="87"/>
      <c r="C422" s="87"/>
      <c r="D422" s="87"/>
      <c r="E422" s="85"/>
      <c r="F422" s="88" t="s">
        <v>53</v>
      </c>
      <c r="G422" s="87"/>
      <c r="H422" s="56"/>
      <c r="I422" s="86" t="s">
        <v>51</v>
      </c>
      <c r="J422" s="87"/>
      <c r="K422" s="87"/>
      <c r="L422" s="87"/>
      <c r="M422" s="89"/>
      <c r="N422" s="88" t="s">
        <v>54</v>
      </c>
      <c r="O422" s="87"/>
    </row>
    <row r="423" spans="1:17" ht="14.25" thickBot="1" x14ac:dyDescent="0.2">
      <c r="A423" s="13" t="s">
        <v>0</v>
      </c>
      <c r="B423" s="228" t="s">
        <v>52</v>
      </c>
      <c r="C423" s="229"/>
      <c r="D423" s="229"/>
      <c r="E423" s="229"/>
      <c r="F423" s="230"/>
      <c r="G423" s="231"/>
      <c r="H423" s="56"/>
      <c r="I423" s="13" t="s">
        <v>0</v>
      </c>
      <c r="J423" s="228" t="s">
        <v>52</v>
      </c>
      <c r="K423" s="229"/>
      <c r="L423" s="229"/>
      <c r="M423" s="229"/>
      <c r="N423" s="230"/>
      <c r="O423" s="231"/>
    </row>
    <row r="424" spans="1:17" ht="14.25" thickBot="1" x14ac:dyDescent="0.2">
      <c r="A424" s="3" t="s">
        <v>1</v>
      </c>
      <c r="B424" s="2" t="s">
        <v>42</v>
      </c>
      <c r="C424" s="21" t="s">
        <v>43</v>
      </c>
      <c r="D424" s="21" t="s">
        <v>44</v>
      </c>
      <c r="E424" s="24" t="s">
        <v>45</v>
      </c>
      <c r="F424" s="33" t="s">
        <v>46</v>
      </c>
      <c r="G424" s="3" t="s">
        <v>2</v>
      </c>
      <c r="H424" s="56"/>
      <c r="I424" s="3" t="s">
        <v>1</v>
      </c>
      <c r="J424" s="41" t="s">
        <v>42</v>
      </c>
      <c r="K424" s="42" t="s">
        <v>43</v>
      </c>
      <c r="L424" s="42" t="s">
        <v>44</v>
      </c>
      <c r="M424" s="43" t="s">
        <v>45</v>
      </c>
      <c r="N424" s="44" t="s">
        <v>46</v>
      </c>
      <c r="O424" s="3" t="s">
        <v>2</v>
      </c>
    </row>
    <row r="425" spans="1:17" x14ac:dyDescent="0.15">
      <c r="A425" s="96" t="s">
        <v>13</v>
      </c>
      <c r="B425" s="95">
        <f>B420</f>
        <v>10</v>
      </c>
      <c r="C425" s="97">
        <f t="shared" ref="C425:F425" si="117">C420</f>
        <v>9</v>
      </c>
      <c r="D425" s="97">
        <f t="shared" si="117"/>
        <v>13</v>
      </c>
      <c r="E425" s="97">
        <f t="shared" si="117"/>
        <v>12</v>
      </c>
      <c r="F425" s="139">
        <f t="shared" si="117"/>
        <v>10</v>
      </c>
      <c r="G425" s="52">
        <f t="shared" ref="G425:G433" si="118">SUM(B425:F425)</f>
        <v>54</v>
      </c>
      <c r="H425" s="56"/>
      <c r="I425" s="96" t="s">
        <v>13</v>
      </c>
      <c r="J425" s="95">
        <f>J420</f>
        <v>198</v>
      </c>
      <c r="K425" s="97">
        <f t="shared" ref="K425:N425" si="119">K420</f>
        <v>216</v>
      </c>
      <c r="L425" s="97">
        <f t="shared" si="119"/>
        <v>217</v>
      </c>
      <c r="M425" s="97">
        <f t="shared" si="119"/>
        <v>173</v>
      </c>
      <c r="N425" s="139">
        <f t="shared" si="119"/>
        <v>111</v>
      </c>
      <c r="O425" s="52">
        <f t="shared" ref="O425:O433" si="120">SUM(J425:N425)</f>
        <v>915</v>
      </c>
    </row>
    <row r="426" spans="1:17" x14ac:dyDescent="0.15">
      <c r="A426" s="15" t="s">
        <v>3</v>
      </c>
      <c r="B426" s="8">
        <v>5</v>
      </c>
      <c r="C426" s="10"/>
      <c r="D426" s="10"/>
      <c r="E426" s="10">
        <v>5</v>
      </c>
      <c r="F426" s="104"/>
      <c r="G426" s="9">
        <f t="shared" si="118"/>
        <v>10</v>
      </c>
      <c r="H426" s="58">
        <v>43430</v>
      </c>
      <c r="I426" s="15" t="s">
        <v>3</v>
      </c>
      <c r="J426" s="37"/>
      <c r="K426" s="135"/>
      <c r="L426" s="135"/>
      <c r="M426" s="135"/>
      <c r="N426" s="136"/>
      <c r="O426" s="7">
        <f t="shared" si="120"/>
        <v>0</v>
      </c>
    </row>
    <row r="427" spans="1:17" x14ac:dyDescent="0.15">
      <c r="A427" s="16" t="s">
        <v>175</v>
      </c>
      <c r="B427" s="8"/>
      <c r="C427" s="10">
        <v>1</v>
      </c>
      <c r="D427" s="10"/>
      <c r="E427" s="10"/>
      <c r="F427" s="104"/>
      <c r="G427" s="9">
        <f t="shared" si="118"/>
        <v>1</v>
      </c>
      <c r="H427" s="58">
        <v>43432</v>
      </c>
      <c r="I427" s="15" t="s">
        <v>4</v>
      </c>
      <c r="J427" s="8"/>
      <c r="K427" s="45"/>
      <c r="L427" s="45"/>
      <c r="M427" s="45"/>
      <c r="N427" s="46"/>
      <c r="O427" s="9">
        <f t="shared" si="120"/>
        <v>0</v>
      </c>
      <c r="P427" s="56"/>
    </row>
    <row r="428" spans="1:17" x14ac:dyDescent="0.15">
      <c r="A428" s="15" t="s">
        <v>5</v>
      </c>
      <c r="B428" s="8"/>
      <c r="C428" s="10">
        <v>10</v>
      </c>
      <c r="D428" s="10"/>
      <c r="E428" s="10"/>
      <c r="F428" s="104"/>
      <c r="G428" s="9">
        <f t="shared" si="118"/>
        <v>10</v>
      </c>
      <c r="H428" s="58">
        <v>43437</v>
      </c>
      <c r="I428" s="15" t="s">
        <v>5</v>
      </c>
      <c r="J428" s="8"/>
      <c r="K428" s="45"/>
      <c r="L428" s="45"/>
      <c r="M428" s="45"/>
      <c r="N428" s="46"/>
      <c r="O428" s="9">
        <f t="shared" si="120"/>
        <v>0</v>
      </c>
    </row>
    <row r="429" spans="1:17" x14ac:dyDescent="0.15">
      <c r="A429" s="16" t="s">
        <v>175</v>
      </c>
      <c r="B429" s="11"/>
      <c r="C429" s="12"/>
      <c r="D429" s="12">
        <v>2</v>
      </c>
      <c r="E429" s="12"/>
      <c r="F429" s="108"/>
      <c r="G429" s="9">
        <f t="shared" si="118"/>
        <v>2</v>
      </c>
      <c r="H429" s="58">
        <v>43441</v>
      </c>
      <c r="I429" s="15" t="s">
        <v>6</v>
      </c>
      <c r="J429" s="8"/>
      <c r="K429" s="45"/>
      <c r="L429" s="45"/>
      <c r="M429" s="45"/>
      <c r="N429" s="46"/>
      <c r="O429" s="9">
        <f t="shared" si="120"/>
        <v>0</v>
      </c>
    </row>
    <row r="430" spans="1:17" x14ac:dyDescent="0.15">
      <c r="A430" s="15" t="s">
        <v>84</v>
      </c>
      <c r="B430" s="8"/>
      <c r="C430" s="10"/>
      <c r="D430" s="10"/>
      <c r="E430" s="10"/>
      <c r="F430" s="30">
        <v>5</v>
      </c>
      <c r="G430" s="7">
        <f t="shared" si="118"/>
        <v>5</v>
      </c>
      <c r="H430" s="58">
        <v>43448</v>
      </c>
      <c r="I430" s="15" t="s">
        <v>84</v>
      </c>
      <c r="J430" s="8"/>
      <c r="K430" s="45"/>
      <c r="L430" s="45"/>
      <c r="M430" s="45"/>
      <c r="N430" s="46"/>
      <c r="O430" s="7">
        <f t="shared" si="120"/>
        <v>0</v>
      </c>
    </row>
    <row r="431" spans="1:17" x14ac:dyDescent="0.15">
      <c r="A431" s="15" t="s">
        <v>85</v>
      </c>
      <c r="B431" s="8"/>
      <c r="C431" s="10"/>
      <c r="D431" s="10"/>
      <c r="E431" s="10">
        <v>5</v>
      </c>
      <c r="F431" s="30"/>
      <c r="G431" s="7">
        <f t="shared" si="118"/>
        <v>5</v>
      </c>
      <c r="H431" s="58">
        <v>43453</v>
      </c>
      <c r="I431" s="15" t="s">
        <v>85</v>
      </c>
      <c r="J431" s="8"/>
      <c r="K431" s="45"/>
      <c r="L431" s="45"/>
      <c r="M431" s="45"/>
      <c r="N431" s="46"/>
      <c r="O431" s="7">
        <f t="shared" si="120"/>
        <v>0</v>
      </c>
    </row>
    <row r="432" spans="1:17" x14ac:dyDescent="0.15">
      <c r="A432" s="16" t="s">
        <v>175</v>
      </c>
      <c r="B432" s="8"/>
      <c r="C432" s="45"/>
      <c r="D432" s="45">
        <v>1</v>
      </c>
      <c r="E432" s="45"/>
      <c r="F432" s="46"/>
      <c r="G432" s="102">
        <f t="shared" si="118"/>
        <v>1</v>
      </c>
      <c r="H432" s="58">
        <v>43453</v>
      </c>
      <c r="I432" s="15" t="s">
        <v>86</v>
      </c>
      <c r="J432" s="8"/>
      <c r="K432" s="45"/>
      <c r="L432" s="45"/>
      <c r="M432" s="45"/>
      <c r="N432" s="46"/>
      <c r="O432" s="102">
        <f t="shared" si="120"/>
        <v>0</v>
      </c>
    </row>
    <row r="433" spans="1:16" ht="14.25" thickBot="1" x14ac:dyDescent="0.2">
      <c r="A433" s="16" t="s">
        <v>175</v>
      </c>
      <c r="B433" s="11"/>
      <c r="C433" s="100">
        <v>1</v>
      </c>
      <c r="D433" s="100"/>
      <c r="E433" s="100"/>
      <c r="F433" s="109"/>
      <c r="G433" s="40">
        <f t="shared" si="118"/>
        <v>1</v>
      </c>
      <c r="H433" s="58">
        <v>43461</v>
      </c>
      <c r="I433" s="15" t="s">
        <v>87</v>
      </c>
      <c r="J433" s="47"/>
      <c r="K433" s="48"/>
      <c r="L433" s="48"/>
      <c r="M433" s="48"/>
      <c r="N433" s="49"/>
      <c r="O433" s="40">
        <f t="shared" si="120"/>
        <v>0</v>
      </c>
    </row>
    <row r="434" spans="1:16" ht="14.25" thickBot="1" x14ac:dyDescent="0.2">
      <c r="A434" s="72" t="s">
        <v>7</v>
      </c>
      <c r="B434" s="73">
        <f>SUM(B425:B433)</f>
        <v>15</v>
      </c>
      <c r="C434" s="74">
        <f t="shared" ref="C434:G434" si="121">SUM(C425:C433)</f>
        <v>21</v>
      </c>
      <c r="D434" s="74">
        <f t="shared" si="121"/>
        <v>16</v>
      </c>
      <c r="E434" s="74">
        <f t="shared" si="121"/>
        <v>22</v>
      </c>
      <c r="F434" s="105">
        <f t="shared" si="121"/>
        <v>15</v>
      </c>
      <c r="G434" s="76">
        <f t="shared" si="121"/>
        <v>89</v>
      </c>
      <c r="H434" s="56"/>
      <c r="I434" s="72" t="s">
        <v>7</v>
      </c>
      <c r="J434" s="73">
        <f>SUM(J425:J433)</f>
        <v>198</v>
      </c>
      <c r="K434" s="74">
        <f t="shared" ref="K434:O434" si="122">SUM(K425:K433)</f>
        <v>216</v>
      </c>
      <c r="L434" s="74">
        <f t="shared" si="122"/>
        <v>217</v>
      </c>
      <c r="M434" s="74">
        <f t="shared" si="122"/>
        <v>173</v>
      </c>
      <c r="N434" s="105">
        <f t="shared" si="122"/>
        <v>111</v>
      </c>
      <c r="O434" s="76">
        <f t="shared" si="122"/>
        <v>915</v>
      </c>
    </row>
    <row r="435" spans="1:16" x14ac:dyDescent="0.15">
      <c r="A435" s="16" t="s">
        <v>25</v>
      </c>
      <c r="B435" s="37">
        <v>1</v>
      </c>
      <c r="C435" s="35"/>
      <c r="D435" s="35">
        <v>2</v>
      </c>
      <c r="E435" s="35"/>
      <c r="F435" s="28"/>
      <c r="G435" s="18">
        <f t="shared" ref="G435:G460" si="123">SUM(B435:F435)</f>
        <v>3</v>
      </c>
      <c r="H435" s="58">
        <v>43425</v>
      </c>
      <c r="I435" s="16" t="s">
        <v>884</v>
      </c>
      <c r="J435" s="17">
        <v>10</v>
      </c>
      <c r="K435" s="22"/>
      <c r="L435" s="22">
        <v>10</v>
      </c>
      <c r="M435" s="22"/>
      <c r="N435" s="29"/>
      <c r="O435" s="18">
        <f t="shared" ref="O435:O459" si="124">SUM(J435:N435)</f>
        <v>20</v>
      </c>
      <c r="P435" s="58">
        <v>43433</v>
      </c>
    </row>
    <row r="436" spans="1:16" x14ac:dyDescent="0.15">
      <c r="A436" s="16" t="s">
        <v>25</v>
      </c>
      <c r="B436" s="8"/>
      <c r="C436" s="10"/>
      <c r="D436" s="10"/>
      <c r="E436" s="10">
        <v>1</v>
      </c>
      <c r="F436" s="30"/>
      <c r="G436" s="7">
        <f t="shared" si="123"/>
        <v>1</v>
      </c>
      <c r="H436" s="58">
        <v>43426</v>
      </c>
      <c r="I436" s="16" t="s">
        <v>885</v>
      </c>
      <c r="J436" s="8">
        <v>5</v>
      </c>
      <c r="K436" s="10"/>
      <c r="L436" s="10"/>
      <c r="M436" s="10">
        <v>5</v>
      </c>
      <c r="N436" s="30"/>
      <c r="O436" s="7">
        <f t="shared" si="124"/>
        <v>10</v>
      </c>
      <c r="P436" s="58">
        <v>43430</v>
      </c>
    </row>
    <row r="437" spans="1:16" x14ac:dyDescent="0.15">
      <c r="A437" s="16" t="s">
        <v>25</v>
      </c>
      <c r="B437" s="8">
        <v>2</v>
      </c>
      <c r="C437" s="10"/>
      <c r="D437" s="10"/>
      <c r="E437" s="10">
        <v>2</v>
      </c>
      <c r="F437" s="30"/>
      <c r="G437" s="7">
        <f t="shared" si="123"/>
        <v>4</v>
      </c>
      <c r="H437" s="58">
        <v>43428</v>
      </c>
      <c r="I437" s="16" t="s">
        <v>24</v>
      </c>
      <c r="J437" s="8"/>
      <c r="K437" s="10">
        <v>10</v>
      </c>
      <c r="L437" s="10"/>
      <c r="M437" s="10"/>
      <c r="N437" s="30"/>
      <c r="O437" s="7">
        <f t="shared" si="124"/>
        <v>10</v>
      </c>
      <c r="P437" s="58">
        <v>43437</v>
      </c>
    </row>
    <row r="438" spans="1:16" x14ac:dyDescent="0.15">
      <c r="A438" s="16" t="s">
        <v>182</v>
      </c>
      <c r="B438" s="8"/>
      <c r="C438" s="10"/>
      <c r="D438" s="10"/>
      <c r="E438" s="10"/>
      <c r="F438" s="30">
        <v>1</v>
      </c>
      <c r="G438" s="7">
        <f t="shared" si="123"/>
        <v>1</v>
      </c>
      <c r="H438" s="58">
        <v>43432</v>
      </c>
      <c r="I438" s="16" t="s">
        <v>110</v>
      </c>
      <c r="J438" s="8">
        <v>2</v>
      </c>
      <c r="K438" s="10"/>
      <c r="L438" s="10"/>
      <c r="M438" s="10"/>
      <c r="N438" s="30"/>
      <c r="O438" s="7">
        <f t="shared" si="124"/>
        <v>2</v>
      </c>
      <c r="P438" s="58">
        <v>43444</v>
      </c>
    </row>
    <row r="439" spans="1:16" x14ac:dyDescent="0.15">
      <c r="A439" s="16" t="s">
        <v>25</v>
      </c>
      <c r="B439" s="8"/>
      <c r="C439" s="10"/>
      <c r="D439" s="10"/>
      <c r="E439" s="10"/>
      <c r="F439" s="30">
        <v>1</v>
      </c>
      <c r="G439" s="7">
        <f t="shared" si="123"/>
        <v>1</v>
      </c>
      <c r="H439" s="58">
        <v>43432</v>
      </c>
      <c r="I439" s="16" t="s">
        <v>8</v>
      </c>
      <c r="J439" s="8"/>
      <c r="K439" s="10">
        <v>10</v>
      </c>
      <c r="L439" s="10"/>
      <c r="M439" s="10"/>
      <c r="N439" s="30"/>
      <c r="O439" s="7">
        <f t="shared" si="124"/>
        <v>10</v>
      </c>
      <c r="P439" s="58">
        <v>43445</v>
      </c>
    </row>
    <row r="440" spans="1:16" x14ac:dyDescent="0.15">
      <c r="A440" s="16" t="s">
        <v>25</v>
      </c>
      <c r="B440" s="8"/>
      <c r="C440" s="10">
        <v>1</v>
      </c>
      <c r="D440" s="10"/>
      <c r="E440" s="10"/>
      <c r="F440" s="30"/>
      <c r="G440" s="7">
        <f t="shared" si="123"/>
        <v>1</v>
      </c>
      <c r="H440" s="58">
        <v>43433</v>
      </c>
      <c r="I440" s="16" t="s">
        <v>110</v>
      </c>
      <c r="J440" s="8"/>
      <c r="K440" s="10">
        <v>3</v>
      </c>
      <c r="L440" s="10"/>
      <c r="M440" s="10"/>
      <c r="N440" s="30"/>
      <c r="O440" s="7">
        <f t="shared" si="124"/>
        <v>3</v>
      </c>
      <c r="P440" s="58">
        <v>43448</v>
      </c>
    </row>
    <row r="441" spans="1:16" x14ac:dyDescent="0.15">
      <c r="A441" s="16" t="s">
        <v>25</v>
      </c>
      <c r="B441" s="8"/>
      <c r="C441" s="10">
        <v>1</v>
      </c>
      <c r="D441" s="10"/>
      <c r="E441" s="10"/>
      <c r="F441" s="30"/>
      <c r="G441" s="7">
        <f t="shared" si="123"/>
        <v>1</v>
      </c>
      <c r="H441" s="58">
        <v>43434</v>
      </c>
      <c r="I441" s="16" t="s">
        <v>24</v>
      </c>
      <c r="J441" s="8"/>
      <c r="K441" s="10"/>
      <c r="L441" s="10"/>
      <c r="M441" s="10"/>
      <c r="N441" s="30">
        <v>5</v>
      </c>
      <c r="O441" s="7">
        <f t="shared" si="124"/>
        <v>5</v>
      </c>
      <c r="P441" s="58">
        <v>43448</v>
      </c>
    </row>
    <row r="442" spans="1:16" x14ac:dyDescent="0.15">
      <c r="A442" s="16" t="s">
        <v>25</v>
      </c>
      <c r="B442" s="8"/>
      <c r="C442" s="10">
        <v>1</v>
      </c>
      <c r="D442" s="10"/>
      <c r="E442" s="10"/>
      <c r="F442" s="30"/>
      <c r="G442" s="7">
        <f t="shared" si="123"/>
        <v>1</v>
      </c>
      <c r="H442" s="58">
        <v>43435</v>
      </c>
      <c r="I442" s="16" t="s">
        <v>24</v>
      </c>
      <c r="J442" s="8"/>
      <c r="K442" s="10"/>
      <c r="L442" s="10"/>
      <c r="M442" s="10">
        <v>5</v>
      </c>
      <c r="N442" s="30"/>
      <c r="O442" s="7">
        <f t="shared" si="124"/>
        <v>5</v>
      </c>
      <c r="P442" s="58">
        <v>43453</v>
      </c>
    </row>
    <row r="443" spans="1:16" x14ac:dyDescent="0.15">
      <c r="A443" s="16" t="s">
        <v>25</v>
      </c>
      <c r="B443" s="8"/>
      <c r="C443" s="10"/>
      <c r="D443" s="10"/>
      <c r="E443" s="10">
        <v>1</v>
      </c>
      <c r="F443" s="30">
        <v>1</v>
      </c>
      <c r="G443" s="7">
        <f t="shared" si="123"/>
        <v>2</v>
      </c>
      <c r="H443" s="58">
        <v>43437</v>
      </c>
      <c r="I443" s="16" t="s">
        <v>25</v>
      </c>
      <c r="J443" s="11"/>
      <c r="K443" s="100">
        <v>1</v>
      </c>
      <c r="L443" s="100">
        <v>2</v>
      </c>
      <c r="M443" s="100"/>
      <c r="N443" s="109"/>
      <c r="O443" s="9">
        <f t="shared" si="124"/>
        <v>3</v>
      </c>
      <c r="P443" s="58">
        <v>43483</v>
      </c>
    </row>
    <row r="444" spans="1:16" x14ac:dyDescent="0.15">
      <c r="A444" s="16" t="s">
        <v>25</v>
      </c>
      <c r="B444" s="8">
        <v>1</v>
      </c>
      <c r="C444" s="10"/>
      <c r="D444" s="10"/>
      <c r="E444" s="10"/>
      <c r="F444" s="30"/>
      <c r="G444" s="7">
        <f t="shared" si="123"/>
        <v>1</v>
      </c>
      <c r="H444" s="58">
        <v>43438</v>
      </c>
      <c r="I444" s="16" t="s">
        <v>8</v>
      </c>
      <c r="J444" s="11"/>
      <c r="K444" s="12">
        <v>10</v>
      </c>
      <c r="L444" s="12"/>
      <c r="M444" s="12"/>
      <c r="N444" s="31"/>
      <c r="O444" s="7">
        <f t="shared" si="124"/>
        <v>10</v>
      </c>
      <c r="P444" s="58">
        <v>43489</v>
      </c>
    </row>
    <row r="445" spans="1:16" x14ac:dyDescent="0.15">
      <c r="A445" s="16" t="s">
        <v>25</v>
      </c>
      <c r="B445" s="11"/>
      <c r="C445" s="12"/>
      <c r="D445" s="12"/>
      <c r="E445" s="12">
        <v>2</v>
      </c>
      <c r="F445" s="31"/>
      <c r="G445" s="7">
        <f t="shared" si="123"/>
        <v>2</v>
      </c>
      <c r="H445" s="58">
        <v>43441</v>
      </c>
      <c r="I445" s="16"/>
      <c r="J445" s="8"/>
      <c r="K445" s="10"/>
      <c r="L445" s="10"/>
      <c r="M445" s="10"/>
      <c r="N445" s="30"/>
      <c r="O445" s="7">
        <f t="shared" si="124"/>
        <v>0</v>
      </c>
    </row>
    <row r="446" spans="1:16" x14ac:dyDescent="0.15">
      <c r="A446" s="16" t="s">
        <v>25</v>
      </c>
      <c r="B446" s="8"/>
      <c r="C446" s="10">
        <v>1</v>
      </c>
      <c r="D446" s="10"/>
      <c r="E446" s="10"/>
      <c r="F446" s="30"/>
      <c r="G446" s="7">
        <f t="shared" si="123"/>
        <v>1</v>
      </c>
      <c r="H446" s="58">
        <v>43446</v>
      </c>
      <c r="I446" s="16"/>
      <c r="J446" s="8"/>
      <c r="K446" s="10"/>
      <c r="L446" s="10"/>
      <c r="M446" s="10"/>
      <c r="N446" s="30"/>
      <c r="O446" s="7">
        <f t="shared" si="124"/>
        <v>0</v>
      </c>
    </row>
    <row r="447" spans="1:16" x14ac:dyDescent="0.15">
      <c r="A447" s="16" t="s">
        <v>25</v>
      </c>
      <c r="B447" s="8">
        <v>1</v>
      </c>
      <c r="C447" s="10"/>
      <c r="D447" s="10">
        <v>1</v>
      </c>
      <c r="E447" s="10">
        <v>3</v>
      </c>
      <c r="F447" s="30">
        <v>1</v>
      </c>
      <c r="G447" s="7">
        <f t="shared" si="123"/>
        <v>6</v>
      </c>
      <c r="H447" s="58">
        <v>43447</v>
      </c>
      <c r="I447" s="16"/>
      <c r="J447" s="8"/>
      <c r="K447" s="10"/>
      <c r="L447" s="10"/>
      <c r="M447" s="10"/>
      <c r="N447" s="30"/>
      <c r="O447" s="7">
        <f t="shared" si="124"/>
        <v>0</v>
      </c>
    </row>
    <row r="448" spans="1:16" x14ac:dyDescent="0.15">
      <c r="A448" s="16" t="s">
        <v>25</v>
      </c>
      <c r="B448" s="8"/>
      <c r="C448" s="10">
        <v>1</v>
      </c>
      <c r="D448" s="10"/>
      <c r="E448" s="10"/>
      <c r="F448" s="30"/>
      <c r="G448" s="7">
        <f t="shared" si="123"/>
        <v>1</v>
      </c>
      <c r="H448" s="58">
        <v>43448</v>
      </c>
      <c r="I448" s="16"/>
      <c r="J448" s="8"/>
      <c r="K448" s="10"/>
      <c r="L448" s="10"/>
      <c r="M448" s="10"/>
      <c r="N448" s="30"/>
      <c r="O448" s="7">
        <f t="shared" si="124"/>
        <v>0</v>
      </c>
    </row>
    <row r="449" spans="1:17" x14ac:dyDescent="0.15">
      <c r="A449" s="16" t="s">
        <v>25</v>
      </c>
      <c r="B449" s="8"/>
      <c r="C449" s="10"/>
      <c r="D449" s="10"/>
      <c r="E449" s="10"/>
      <c r="F449" s="30">
        <v>1</v>
      </c>
      <c r="G449" s="7">
        <f t="shared" si="123"/>
        <v>1</v>
      </c>
      <c r="H449" s="58">
        <v>43449</v>
      </c>
      <c r="I449" s="16"/>
      <c r="J449" s="8"/>
      <c r="K449" s="10"/>
      <c r="L449" s="10"/>
      <c r="M449" s="10"/>
      <c r="N449" s="30"/>
      <c r="O449" s="7">
        <f t="shared" si="124"/>
        <v>0</v>
      </c>
    </row>
    <row r="450" spans="1:17" x14ac:dyDescent="0.15">
      <c r="A450" s="16" t="s">
        <v>896</v>
      </c>
      <c r="B450" s="8"/>
      <c r="C450" s="10"/>
      <c r="D450" s="10"/>
      <c r="E450" s="10">
        <v>1</v>
      </c>
      <c r="F450" s="30"/>
      <c r="G450" s="7">
        <f t="shared" si="123"/>
        <v>1</v>
      </c>
      <c r="H450" s="58">
        <v>43452</v>
      </c>
      <c r="I450" s="16"/>
      <c r="J450" s="8"/>
      <c r="K450" s="10"/>
      <c r="L450" s="10"/>
      <c r="M450" s="10"/>
      <c r="N450" s="30"/>
      <c r="O450" s="7">
        <f t="shared" si="124"/>
        <v>0</v>
      </c>
    </row>
    <row r="451" spans="1:17" x14ac:dyDescent="0.15">
      <c r="A451" s="16" t="s">
        <v>25</v>
      </c>
      <c r="B451" s="8">
        <v>1</v>
      </c>
      <c r="C451" s="10"/>
      <c r="D451" s="10"/>
      <c r="E451" s="10"/>
      <c r="F451" s="30"/>
      <c r="G451" s="7">
        <f t="shared" si="123"/>
        <v>1</v>
      </c>
      <c r="H451" s="58">
        <v>43456</v>
      </c>
      <c r="I451" s="16"/>
      <c r="J451" s="11"/>
      <c r="K451" s="12"/>
      <c r="L451" s="12"/>
      <c r="M451" s="12"/>
      <c r="N451" s="31"/>
      <c r="O451" s="7">
        <f t="shared" si="124"/>
        <v>0</v>
      </c>
    </row>
    <row r="452" spans="1:17" x14ac:dyDescent="0.15">
      <c r="A452" s="16" t="s">
        <v>25</v>
      </c>
      <c r="B452" s="8"/>
      <c r="C452" s="10">
        <v>1</v>
      </c>
      <c r="D452" s="10">
        <v>2</v>
      </c>
      <c r="E452" s="10">
        <v>1</v>
      </c>
      <c r="F452" s="30"/>
      <c r="G452" s="7">
        <f t="shared" si="123"/>
        <v>4</v>
      </c>
      <c r="H452" s="58">
        <v>43460</v>
      </c>
      <c r="I452" s="16"/>
      <c r="J452" s="11"/>
      <c r="K452" s="12"/>
      <c r="L452" s="12"/>
      <c r="M452" s="12"/>
      <c r="N452" s="31"/>
      <c r="O452" s="7">
        <f t="shared" si="124"/>
        <v>0</v>
      </c>
      <c r="P452" s="56"/>
    </row>
    <row r="453" spans="1:17" x14ac:dyDescent="0.15">
      <c r="A453" s="16" t="s">
        <v>25</v>
      </c>
      <c r="B453" s="8"/>
      <c r="C453" s="10">
        <v>1</v>
      </c>
      <c r="D453" s="10">
        <v>2</v>
      </c>
      <c r="E453" s="10"/>
      <c r="F453" s="30"/>
      <c r="G453" s="7">
        <f t="shared" si="123"/>
        <v>3</v>
      </c>
      <c r="H453" s="58">
        <v>43462</v>
      </c>
      <c r="I453" s="16"/>
      <c r="J453" s="11"/>
      <c r="K453" s="12"/>
      <c r="L453" s="12"/>
      <c r="M453" s="12"/>
      <c r="N453" s="31"/>
      <c r="O453" s="7">
        <f t="shared" si="124"/>
        <v>0</v>
      </c>
      <c r="P453" s="56"/>
    </row>
    <row r="454" spans="1:17" x14ac:dyDescent="0.15">
      <c r="A454" s="16" t="s">
        <v>899</v>
      </c>
      <c r="B454" s="8"/>
      <c r="C454" s="10"/>
      <c r="D454" s="10"/>
      <c r="E454" s="10"/>
      <c r="F454" s="30">
        <v>1</v>
      </c>
      <c r="G454" s="7">
        <f t="shared" si="123"/>
        <v>1</v>
      </c>
      <c r="H454" s="58">
        <v>43461</v>
      </c>
      <c r="I454" s="16"/>
      <c r="J454" s="11"/>
      <c r="K454" s="12"/>
      <c r="L454" s="12"/>
      <c r="M454" s="12"/>
      <c r="N454" s="31"/>
      <c r="O454" s="7">
        <f t="shared" si="124"/>
        <v>0</v>
      </c>
      <c r="P454" s="58"/>
    </row>
    <row r="455" spans="1:17" x14ac:dyDescent="0.15">
      <c r="A455" s="16" t="s">
        <v>29</v>
      </c>
      <c r="B455" s="8"/>
      <c r="C455" s="10"/>
      <c r="D455" s="10"/>
      <c r="E455" s="10">
        <v>2</v>
      </c>
      <c r="F455" s="30"/>
      <c r="G455" s="7">
        <f t="shared" si="123"/>
        <v>2</v>
      </c>
      <c r="H455" s="58">
        <v>43462</v>
      </c>
      <c r="I455" s="16" t="s">
        <v>803</v>
      </c>
      <c r="J455" s="11"/>
      <c r="K455" s="12"/>
      <c r="L455" s="12"/>
      <c r="M455" s="12"/>
      <c r="N455" s="31"/>
      <c r="O455" s="7">
        <f t="shared" ref="O455:O456" si="125">SUM(J455:N455)</f>
        <v>0</v>
      </c>
      <c r="P455" s="56" t="s">
        <v>804</v>
      </c>
    </row>
    <row r="456" spans="1:17" x14ac:dyDescent="0.15">
      <c r="A456" s="16" t="s">
        <v>901</v>
      </c>
      <c r="B456" s="8"/>
      <c r="C456" s="10">
        <v>1</v>
      </c>
      <c r="D456" s="10"/>
      <c r="E456" s="10"/>
      <c r="F456" s="59"/>
      <c r="G456" s="7">
        <f t="shared" si="123"/>
        <v>1</v>
      </c>
      <c r="H456" s="58">
        <v>43473</v>
      </c>
      <c r="I456" s="16" t="s">
        <v>878</v>
      </c>
      <c r="J456" s="11"/>
      <c r="K456" s="12"/>
      <c r="L456" s="12"/>
      <c r="M456" s="12"/>
      <c r="N456" s="31"/>
      <c r="O456" s="7">
        <f t="shared" si="125"/>
        <v>0</v>
      </c>
      <c r="P456" s="56" t="s">
        <v>879</v>
      </c>
      <c r="Q456" s="56"/>
    </row>
    <row r="457" spans="1:17" x14ac:dyDescent="0.15">
      <c r="A457" s="16" t="s">
        <v>905</v>
      </c>
      <c r="B457" s="37">
        <v>1</v>
      </c>
      <c r="C457" s="35"/>
      <c r="D457" s="35"/>
      <c r="E457" s="35"/>
      <c r="F457" s="28"/>
      <c r="G457" s="7">
        <f t="shared" si="123"/>
        <v>1</v>
      </c>
      <c r="H457" s="58">
        <v>43476</v>
      </c>
      <c r="I457" s="14" t="s">
        <v>863</v>
      </c>
      <c r="J457" s="8"/>
      <c r="K457" s="10"/>
      <c r="L457" s="10"/>
      <c r="M457" s="10"/>
      <c r="N457" s="30"/>
      <c r="O457" s="7">
        <f t="shared" si="124"/>
        <v>0</v>
      </c>
      <c r="P457" s="56" t="s">
        <v>862</v>
      </c>
      <c r="Q457" s="56"/>
    </row>
    <row r="458" spans="1:17" x14ac:dyDescent="0.15">
      <c r="A458" s="16" t="s">
        <v>906</v>
      </c>
      <c r="B458" s="8">
        <v>-2</v>
      </c>
      <c r="C458" s="10">
        <v>-2</v>
      </c>
      <c r="D458" s="10">
        <v>-3</v>
      </c>
      <c r="E458" s="10">
        <v>-2</v>
      </c>
      <c r="F458" s="30">
        <v>-4</v>
      </c>
      <c r="G458" s="7">
        <f t="shared" si="123"/>
        <v>-13</v>
      </c>
      <c r="H458" s="58">
        <v>43480</v>
      </c>
      <c r="I458" s="16" t="s">
        <v>874</v>
      </c>
      <c r="J458" s="8"/>
      <c r="K458" s="10"/>
      <c r="L458" s="10"/>
      <c r="M458" s="10"/>
      <c r="N458" s="30"/>
      <c r="O458" s="7">
        <f t="shared" si="124"/>
        <v>0</v>
      </c>
      <c r="P458" s="56" t="s">
        <v>873</v>
      </c>
      <c r="Q458" s="56"/>
    </row>
    <row r="459" spans="1:17" x14ac:dyDescent="0.15">
      <c r="A459" s="16" t="s">
        <v>175</v>
      </c>
      <c r="B459" s="8"/>
      <c r="C459" s="10">
        <v>-2</v>
      </c>
      <c r="D459" s="10"/>
      <c r="E459" s="10"/>
      <c r="F459" s="30"/>
      <c r="G459" s="9">
        <f t="shared" si="123"/>
        <v>-2</v>
      </c>
      <c r="H459" s="58">
        <v>43482</v>
      </c>
      <c r="I459" s="14" t="s">
        <v>773</v>
      </c>
      <c r="J459" s="11"/>
      <c r="K459" s="12"/>
      <c r="L459" s="12"/>
      <c r="M459" s="12"/>
      <c r="N459" s="31"/>
      <c r="O459" s="7">
        <f t="shared" si="124"/>
        <v>0</v>
      </c>
      <c r="P459" s="56" t="s">
        <v>774</v>
      </c>
      <c r="Q459" s="56"/>
    </row>
    <row r="460" spans="1:17" ht="14.25" thickBot="1" x14ac:dyDescent="0.2">
      <c r="A460" s="16" t="s">
        <v>182</v>
      </c>
      <c r="B460" s="37"/>
      <c r="C460" s="35"/>
      <c r="D460" s="35"/>
      <c r="E460" s="35"/>
      <c r="F460" s="28">
        <v>1</v>
      </c>
      <c r="G460" s="7">
        <f t="shared" si="123"/>
        <v>1</v>
      </c>
      <c r="H460" s="58">
        <v>43486</v>
      </c>
      <c r="I460" s="16" t="s">
        <v>892</v>
      </c>
      <c r="J460" s="11"/>
      <c r="K460" s="12"/>
      <c r="L460" s="12"/>
      <c r="M460" s="12"/>
      <c r="N460" s="31"/>
      <c r="O460" s="7">
        <f t="shared" ref="O460" si="126">SUM(J460:N460)</f>
        <v>0</v>
      </c>
      <c r="P460" s="58" t="s">
        <v>891</v>
      </c>
      <c r="Q460" s="56"/>
    </row>
    <row r="461" spans="1:17" ht="14.25" thickBot="1" x14ac:dyDescent="0.2">
      <c r="A461" s="3" t="s">
        <v>11</v>
      </c>
      <c r="B461" s="23">
        <f>SUM(B435:B460)</f>
        <v>5</v>
      </c>
      <c r="C461" s="4">
        <f>SUM(C435:C460)</f>
        <v>4</v>
      </c>
      <c r="D461" s="4">
        <f>SUM(D435:D460)</f>
        <v>4</v>
      </c>
      <c r="E461" s="6">
        <f>SUM(E435:E460)</f>
        <v>11</v>
      </c>
      <c r="F461" s="32">
        <f>SUM(F435:F460)</f>
        <v>3</v>
      </c>
      <c r="G461" s="5">
        <f>SUM(B461:F461)</f>
        <v>27</v>
      </c>
      <c r="H461" s="56"/>
      <c r="I461" s="3" t="s">
        <v>11</v>
      </c>
      <c r="J461" s="23">
        <f>SUM(J435:J460)</f>
        <v>17</v>
      </c>
      <c r="K461" s="4">
        <f>SUM(K435:K460)</f>
        <v>34</v>
      </c>
      <c r="L461" s="4">
        <f>SUM(L435:L460)</f>
        <v>12</v>
      </c>
      <c r="M461" s="6">
        <f>SUM(M435:M460)</f>
        <v>10</v>
      </c>
      <c r="N461" s="32">
        <f>SUM(N435:N460)</f>
        <v>5</v>
      </c>
      <c r="O461" s="5">
        <f>SUM(J461:N461)</f>
        <v>78</v>
      </c>
    </row>
    <row r="462" spans="1:17" ht="14.25" thickBot="1" x14ac:dyDescent="0.2">
      <c r="A462" s="25" t="s">
        <v>12</v>
      </c>
      <c r="B462" s="63">
        <f>B434-B461</f>
        <v>10</v>
      </c>
      <c r="C462" s="26">
        <f t="shared" ref="C462:G462" si="127">C434-C461</f>
        <v>17</v>
      </c>
      <c r="D462" s="71">
        <f t="shared" si="127"/>
        <v>12</v>
      </c>
      <c r="E462" s="26">
        <f t="shared" si="127"/>
        <v>11</v>
      </c>
      <c r="F462" s="70">
        <f t="shared" si="127"/>
        <v>12</v>
      </c>
      <c r="G462" s="27">
        <f t="shared" si="127"/>
        <v>62</v>
      </c>
      <c r="H462" s="56"/>
      <c r="I462" s="25" t="s">
        <v>12</v>
      </c>
      <c r="J462" s="63">
        <f>J434-J461</f>
        <v>181</v>
      </c>
      <c r="K462" s="26">
        <f t="shared" ref="K462:O462" si="128">K434-K461</f>
        <v>182</v>
      </c>
      <c r="L462" s="71">
        <f t="shared" si="128"/>
        <v>205</v>
      </c>
      <c r="M462" s="26">
        <f t="shared" si="128"/>
        <v>163</v>
      </c>
      <c r="N462" s="70">
        <f t="shared" si="128"/>
        <v>106</v>
      </c>
      <c r="O462" s="27">
        <f t="shared" si="128"/>
        <v>837</v>
      </c>
    </row>
    <row r="463" spans="1:17" ht="21" x14ac:dyDescent="0.2">
      <c r="A463" s="86" t="s">
        <v>413</v>
      </c>
      <c r="B463" s="87"/>
      <c r="C463" s="87"/>
      <c r="D463" s="87"/>
      <c r="E463" s="87"/>
      <c r="F463" s="87"/>
      <c r="G463" s="87"/>
      <c r="H463" s="56"/>
      <c r="I463" s="86" t="s">
        <v>413</v>
      </c>
      <c r="J463" s="87"/>
      <c r="K463" s="87"/>
      <c r="L463" s="87"/>
      <c r="M463" s="87"/>
      <c r="N463" s="87"/>
      <c r="O463" s="87"/>
    </row>
    <row r="464" spans="1:17" ht="21.75" thickBot="1" x14ac:dyDescent="0.25">
      <c r="A464" s="86" t="s">
        <v>51</v>
      </c>
      <c r="B464" s="87"/>
      <c r="C464" s="87"/>
      <c r="D464" s="87"/>
      <c r="E464" s="85"/>
      <c r="F464" s="88" t="s">
        <v>53</v>
      </c>
      <c r="G464" s="87"/>
      <c r="H464" s="56"/>
      <c r="I464" s="86" t="s">
        <v>51</v>
      </c>
      <c r="J464" s="87"/>
      <c r="K464" s="87"/>
      <c r="L464" s="87"/>
      <c r="M464" s="89"/>
      <c r="N464" s="88" t="s">
        <v>54</v>
      </c>
      <c r="O464" s="87"/>
    </row>
    <row r="465" spans="1:16" ht="14.25" thickBot="1" x14ac:dyDescent="0.2">
      <c r="A465" s="13" t="s">
        <v>0</v>
      </c>
      <c r="B465" s="228" t="s">
        <v>52</v>
      </c>
      <c r="C465" s="229"/>
      <c r="D465" s="229"/>
      <c r="E465" s="229"/>
      <c r="F465" s="230"/>
      <c r="G465" s="231"/>
      <c r="H465" s="56"/>
      <c r="I465" s="13" t="s">
        <v>0</v>
      </c>
      <c r="J465" s="228" t="s">
        <v>52</v>
      </c>
      <c r="K465" s="229"/>
      <c r="L465" s="229"/>
      <c r="M465" s="229"/>
      <c r="N465" s="230"/>
      <c r="O465" s="231"/>
    </row>
    <row r="466" spans="1:16" ht="14.25" thickBot="1" x14ac:dyDescent="0.2">
      <c r="A466" s="3" t="s">
        <v>1</v>
      </c>
      <c r="B466" s="2" t="s">
        <v>42</v>
      </c>
      <c r="C466" s="21" t="s">
        <v>43</v>
      </c>
      <c r="D466" s="21" t="s">
        <v>44</v>
      </c>
      <c r="E466" s="24" t="s">
        <v>45</v>
      </c>
      <c r="F466" s="33" t="s">
        <v>46</v>
      </c>
      <c r="G466" s="3" t="s">
        <v>2</v>
      </c>
      <c r="H466" s="56"/>
      <c r="I466" s="3" t="s">
        <v>1</v>
      </c>
      <c r="J466" s="41" t="s">
        <v>42</v>
      </c>
      <c r="K466" s="42" t="s">
        <v>43</v>
      </c>
      <c r="L466" s="42" t="s">
        <v>44</v>
      </c>
      <c r="M466" s="43" t="s">
        <v>45</v>
      </c>
      <c r="N466" s="44" t="s">
        <v>46</v>
      </c>
      <c r="O466" s="3" t="s">
        <v>2</v>
      </c>
    </row>
    <row r="467" spans="1:16" x14ac:dyDescent="0.15">
      <c r="A467" s="96" t="s">
        <v>13</v>
      </c>
      <c r="B467" s="95">
        <f>B462</f>
        <v>10</v>
      </c>
      <c r="C467" s="97">
        <f t="shared" ref="C467:F467" si="129">C462</f>
        <v>17</v>
      </c>
      <c r="D467" s="97">
        <f t="shared" si="129"/>
        <v>12</v>
      </c>
      <c r="E467" s="97">
        <f t="shared" si="129"/>
        <v>11</v>
      </c>
      <c r="F467" s="139">
        <f t="shared" si="129"/>
        <v>12</v>
      </c>
      <c r="G467" s="52">
        <f t="shared" ref="G467:G475" si="130">SUM(B467:F467)</f>
        <v>62</v>
      </c>
      <c r="H467" s="56"/>
      <c r="I467" s="96" t="s">
        <v>13</v>
      </c>
      <c r="J467" s="95">
        <f>J462</f>
        <v>181</v>
      </c>
      <c r="K467" s="97">
        <f t="shared" ref="K467:N467" si="131">K462</f>
        <v>182</v>
      </c>
      <c r="L467" s="97">
        <f t="shared" si="131"/>
        <v>205</v>
      </c>
      <c r="M467" s="97">
        <f t="shared" si="131"/>
        <v>163</v>
      </c>
      <c r="N467" s="139">
        <f t="shared" si="131"/>
        <v>106</v>
      </c>
      <c r="O467" s="52">
        <f t="shared" ref="O467:O475" si="132">SUM(J467:N467)</f>
        <v>837</v>
      </c>
    </row>
    <row r="468" spans="1:16" x14ac:dyDescent="0.15">
      <c r="A468" s="15" t="s">
        <v>322</v>
      </c>
      <c r="B468" s="8">
        <v>2</v>
      </c>
      <c r="C468" s="10">
        <v>1</v>
      </c>
      <c r="D468" s="10">
        <v>2</v>
      </c>
      <c r="E468" s="10">
        <v>1</v>
      </c>
      <c r="F468" s="104"/>
      <c r="G468" s="9">
        <f t="shared" si="130"/>
        <v>6</v>
      </c>
      <c r="H468" s="58">
        <v>43483</v>
      </c>
      <c r="I468" s="15" t="s">
        <v>3</v>
      </c>
      <c r="J468" s="37"/>
      <c r="K468" s="135"/>
      <c r="L468" s="135"/>
      <c r="M468" s="135"/>
      <c r="N468" s="136"/>
      <c r="O468" s="7">
        <f t="shared" si="132"/>
        <v>0</v>
      </c>
    </row>
    <row r="469" spans="1:16" x14ac:dyDescent="0.15">
      <c r="A469" s="15" t="s">
        <v>921</v>
      </c>
      <c r="B469" s="8">
        <v>1</v>
      </c>
      <c r="C469" s="10"/>
      <c r="D469" s="10"/>
      <c r="E469" s="10"/>
      <c r="F469" s="104"/>
      <c r="G469" s="9">
        <f t="shared" si="130"/>
        <v>1</v>
      </c>
      <c r="H469" s="58">
        <v>43498</v>
      </c>
      <c r="I469" s="15" t="s">
        <v>4</v>
      </c>
      <c r="J469" s="8">
        <v>100</v>
      </c>
      <c r="K469" s="45">
        <v>150</v>
      </c>
      <c r="L469" s="45">
        <v>100</v>
      </c>
      <c r="M469" s="45">
        <v>100</v>
      </c>
      <c r="N469" s="46">
        <v>149</v>
      </c>
      <c r="O469" s="9">
        <f t="shared" si="132"/>
        <v>599</v>
      </c>
      <c r="P469" s="58">
        <v>43525</v>
      </c>
    </row>
    <row r="470" spans="1:16" x14ac:dyDescent="0.15">
      <c r="A470" s="15" t="s">
        <v>19</v>
      </c>
      <c r="B470" s="8"/>
      <c r="C470" s="10">
        <v>1</v>
      </c>
      <c r="D470" s="10">
        <v>2</v>
      </c>
      <c r="E470" s="10">
        <v>2</v>
      </c>
      <c r="F470" s="104">
        <v>1</v>
      </c>
      <c r="G470" s="9">
        <f t="shared" si="130"/>
        <v>6</v>
      </c>
      <c r="H470" s="58">
        <v>43517</v>
      </c>
      <c r="I470" s="15" t="s">
        <v>5</v>
      </c>
      <c r="J470" s="8"/>
      <c r="K470" s="45"/>
      <c r="L470" s="45"/>
      <c r="M470" s="45"/>
      <c r="N470" s="46"/>
      <c r="O470" s="9">
        <f t="shared" si="132"/>
        <v>0</v>
      </c>
    </row>
    <row r="471" spans="1:16" x14ac:dyDescent="0.15">
      <c r="A471" s="15" t="s">
        <v>6</v>
      </c>
      <c r="B471" s="11">
        <v>5</v>
      </c>
      <c r="C471" s="12">
        <v>5</v>
      </c>
      <c r="D471" s="12"/>
      <c r="E471" s="12"/>
      <c r="F471" s="108"/>
      <c r="G471" s="9">
        <f t="shared" si="130"/>
        <v>10</v>
      </c>
      <c r="H471" s="58">
        <v>43537</v>
      </c>
      <c r="I471" s="15" t="s">
        <v>6</v>
      </c>
      <c r="J471" s="8"/>
      <c r="K471" s="45"/>
      <c r="L471" s="45"/>
      <c r="M471" s="45"/>
      <c r="N471" s="46"/>
      <c r="O471" s="9">
        <f t="shared" si="132"/>
        <v>0</v>
      </c>
    </row>
    <row r="472" spans="1:16" x14ac:dyDescent="0.15">
      <c r="A472" s="15" t="s">
        <v>17</v>
      </c>
      <c r="B472" s="8"/>
      <c r="C472" s="10">
        <v>1</v>
      </c>
      <c r="D472" s="10"/>
      <c r="E472" s="10"/>
      <c r="F472" s="30"/>
      <c r="G472" s="7">
        <f t="shared" si="130"/>
        <v>1</v>
      </c>
      <c r="H472" s="58">
        <v>43552</v>
      </c>
      <c r="I472" s="15" t="s">
        <v>84</v>
      </c>
      <c r="J472" s="8"/>
      <c r="K472" s="45"/>
      <c r="L472" s="45"/>
      <c r="M472" s="45"/>
      <c r="N472" s="46"/>
      <c r="O472" s="7">
        <f t="shared" si="132"/>
        <v>0</v>
      </c>
    </row>
    <row r="473" spans="1:16" x14ac:dyDescent="0.15">
      <c r="A473" s="15" t="s">
        <v>23</v>
      </c>
      <c r="B473" s="8"/>
      <c r="C473" s="10">
        <v>2</v>
      </c>
      <c r="D473" s="10">
        <v>2</v>
      </c>
      <c r="E473" s="10"/>
      <c r="F473" s="30"/>
      <c r="G473" s="7">
        <f t="shared" si="130"/>
        <v>4</v>
      </c>
      <c r="H473" s="58">
        <v>43553</v>
      </c>
      <c r="I473" s="15" t="s">
        <v>85</v>
      </c>
      <c r="J473" s="8"/>
      <c r="K473" s="45"/>
      <c r="L473" s="45"/>
      <c r="M473" s="45"/>
      <c r="N473" s="46"/>
      <c r="O473" s="7">
        <f t="shared" si="132"/>
        <v>0</v>
      </c>
    </row>
    <row r="474" spans="1:16" x14ac:dyDescent="0.15">
      <c r="A474" s="15" t="s">
        <v>86</v>
      </c>
      <c r="B474" s="8"/>
      <c r="C474" s="45"/>
      <c r="D474" s="45"/>
      <c r="E474" s="45">
        <v>5</v>
      </c>
      <c r="F474" s="46">
        <v>5</v>
      </c>
      <c r="G474" s="102">
        <f t="shared" si="130"/>
        <v>10</v>
      </c>
      <c r="H474" s="58">
        <v>43561</v>
      </c>
      <c r="I474" s="15" t="s">
        <v>86</v>
      </c>
      <c r="J474" s="8"/>
      <c r="K474" s="45"/>
      <c r="L474" s="45"/>
      <c r="M474" s="45"/>
      <c r="N474" s="46"/>
      <c r="O474" s="102">
        <f t="shared" si="132"/>
        <v>0</v>
      </c>
    </row>
    <row r="475" spans="1:16" ht="14.25" thickBot="1" x14ac:dyDescent="0.2">
      <c r="A475" s="15" t="s">
        <v>17</v>
      </c>
      <c r="B475" s="11"/>
      <c r="C475" s="100"/>
      <c r="D475" s="100"/>
      <c r="E475" s="100"/>
      <c r="F475" s="109">
        <v>1</v>
      </c>
      <c r="G475" s="40">
        <f t="shared" si="130"/>
        <v>1</v>
      </c>
      <c r="H475" s="58">
        <v>43565</v>
      </c>
      <c r="I475" s="15" t="s">
        <v>87</v>
      </c>
      <c r="J475" s="47"/>
      <c r="K475" s="48"/>
      <c r="L475" s="48"/>
      <c r="M475" s="48"/>
      <c r="N475" s="49"/>
      <c r="O475" s="40">
        <f t="shared" si="132"/>
        <v>0</v>
      </c>
    </row>
    <row r="476" spans="1:16" ht="14.25" thickBot="1" x14ac:dyDescent="0.2">
      <c r="A476" s="72" t="s">
        <v>7</v>
      </c>
      <c r="B476" s="73">
        <f>SUM(B467:B475)</f>
        <v>18</v>
      </c>
      <c r="C476" s="74">
        <f t="shared" ref="C476:G476" si="133">SUM(C467:C475)</f>
        <v>27</v>
      </c>
      <c r="D476" s="74">
        <f t="shared" si="133"/>
        <v>18</v>
      </c>
      <c r="E476" s="74">
        <f t="shared" si="133"/>
        <v>19</v>
      </c>
      <c r="F476" s="105">
        <f t="shared" si="133"/>
        <v>19</v>
      </c>
      <c r="G476" s="76">
        <f t="shared" si="133"/>
        <v>101</v>
      </c>
      <c r="H476" s="56"/>
      <c r="I476" s="72" t="s">
        <v>7</v>
      </c>
      <c r="J476" s="73">
        <f>SUM(J467:J475)</f>
        <v>281</v>
      </c>
      <c r="K476" s="74">
        <f t="shared" ref="K476:O476" si="134">SUM(K467:K475)</f>
        <v>332</v>
      </c>
      <c r="L476" s="74">
        <f t="shared" si="134"/>
        <v>305</v>
      </c>
      <c r="M476" s="74">
        <f t="shared" si="134"/>
        <v>263</v>
      </c>
      <c r="N476" s="105">
        <f t="shared" si="134"/>
        <v>255</v>
      </c>
      <c r="O476" s="76">
        <f t="shared" si="134"/>
        <v>1436</v>
      </c>
    </row>
    <row r="477" spans="1:16" x14ac:dyDescent="0.15">
      <c r="A477" s="16" t="s">
        <v>10</v>
      </c>
      <c r="B477" s="37"/>
      <c r="C477" s="35"/>
      <c r="D477" s="35"/>
      <c r="E477" s="35">
        <v>1</v>
      </c>
      <c r="F477" s="28"/>
      <c r="G477" s="18">
        <v>1</v>
      </c>
      <c r="H477" s="58">
        <v>43486</v>
      </c>
      <c r="I477" s="16" t="s">
        <v>8</v>
      </c>
      <c r="J477" s="17"/>
      <c r="K477" s="22"/>
      <c r="L477" s="22"/>
      <c r="M477" s="22"/>
      <c r="N477" s="29">
        <v>10</v>
      </c>
      <c r="O477" s="18">
        <f t="shared" ref="O477:O500" si="135">SUM(J477:N477)</f>
        <v>10</v>
      </c>
      <c r="P477" s="58">
        <v>43493</v>
      </c>
    </row>
    <row r="478" spans="1:16" x14ac:dyDescent="0.15">
      <c r="A478" s="16" t="s">
        <v>910</v>
      </c>
      <c r="B478" s="8"/>
      <c r="C478" s="10">
        <v>1</v>
      </c>
      <c r="D478" s="10"/>
      <c r="E478" s="10"/>
      <c r="F478" s="30"/>
      <c r="G478" s="7">
        <f t="shared" ref="G478:G502" si="136">SUM(B478:F478)</f>
        <v>1</v>
      </c>
      <c r="H478" s="58">
        <v>43494</v>
      </c>
      <c r="I478" s="16" t="s">
        <v>8</v>
      </c>
      <c r="J478" s="8"/>
      <c r="K478" s="10"/>
      <c r="L478" s="10"/>
      <c r="M478" s="10">
        <v>10</v>
      </c>
      <c r="N478" s="30"/>
      <c r="O478" s="7">
        <f t="shared" si="135"/>
        <v>10</v>
      </c>
      <c r="P478" s="58">
        <v>43494</v>
      </c>
    </row>
    <row r="479" spans="1:16" x14ac:dyDescent="0.15">
      <c r="A479" s="16" t="s">
        <v>117</v>
      </c>
      <c r="B479" s="8"/>
      <c r="C479" s="10"/>
      <c r="D479" s="10">
        <v>1</v>
      </c>
      <c r="E479" s="10"/>
      <c r="F479" s="30"/>
      <c r="G479" s="7">
        <f t="shared" si="136"/>
        <v>1</v>
      </c>
      <c r="H479" s="58">
        <v>43495</v>
      </c>
      <c r="I479" s="16" t="s">
        <v>25</v>
      </c>
      <c r="J479" s="8"/>
      <c r="K479" s="10">
        <v>1</v>
      </c>
      <c r="L479" s="10"/>
      <c r="M479" s="10"/>
      <c r="N479" s="30"/>
      <c r="O479" s="7">
        <f t="shared" si="135"/>
        <v>1</v>
      </c>
      <c r="P479" s="58">
        <v>43489</v>
      </c>
    </row>
    <row r="480" spans="1:16" x14ac:dyDescent="0.15">
      <c r="A480" s="16" t="s">
        <v>913</v>
      </c>
      <c r="B480" s="8"/>
      <c r="C480" s="10">
        <v>1</v>
      </c>
      <c r="D480" s="10"/>
      <c r="E480" s="10"/>
      <c r="F480" s="30"/>
      <c r="G480" s="7">
        <f t="shared" si="136"/>
        <v>1</v>
      </c>
      <c r="H480" s="58">
        <v>43496</v>
      </c>
      <c r="I480" s="16" t="s">
        <v>25</v>
      </c>
      <c r="J480" s="8">
        <v>1</v>
      </c>
      <c r="K480" s="10"/>
      <c r="L480" s="10"/>
      <c r="M480" s="10"/>
      <c r="N480" s="30"/>
      <c r="O480" s="7">
        <f t="shared" si="135"/>
        <v>1</v>
      </c>
      <c r="P480" s="58">
        <v>43491</v>
      </c>
    </row>
    <row r="481" spans="1:17" x14ac:dyDescent="0.15">
      <c r="A481" s="16" t="s">
        <v>914</v>
      </c>
      <c r="B481" s="8">
        <v>1</v>
      </c>
      <c r="C481" s="10"/>
      <c r="D481" s="10"/>
      <c r="E481" s="10"/>
      <c r="F481" s="30"/>
      <c r="G481" s="7">
        <f t="shared" si="136"/>
        <v>1</v>
      </c>
      <c r="H481" s="58">
        <v>43496</v>
      </c>
      <c r="I481" s="16" t="s">
        <v>8</v>
      </c>
      <c r="J481" s="8"/>
      <c r="K481" s="10"/>
      <c r="L481" s="10">
        <v>10</v>
      </c>
      <c r="M481" s="10"/>
      <c r="N481" s="30"/>
      <c r="O481" s="7">
        <f t="shared" si="135"/>
        <v>10</v>
      </c>
      <c r="P481" s="58">
        <v>43503</v>
      </c>
      <c r="Q481" s="56"/>
    </row>
    <row r="482" spans="1:17" x14ac:dyDescent="0.15">
      <c r="A482" s="16" t="s">
        <v>117</v>
      </c>
      <c r="B482" s="8"/>
      <c r="C482" s="10">
        <v>1</v>
      </c>
      <c r="D482" s="10"/>
      <c r="E482" s="10"/>
      <c r="F482" s="30"/>
      <c r="G482" s="7">
        <f t="shared" si="136"/>
        <v>1</v>
      </c>
      <c r="H482" s="58">
        <v>43509</v>
      </c>
      <c r="I482" s="16" t="s">
        <v>10</v>
      </c>
      <c r="J482" s="8"/>
      <c r="K482" s="10"/>
      <c r="L482" s="10"/>
      <c r="M482" s="10"/>
      <c r="N482" s="30">
        <v>1</v>
      </c>
      <c r="O482" s="7">
        <f t="shared" si="135"/>
        <v>1</v>
      </c>
      <c r="P482" s="58">
        <v>43498</v>
      </c>
    </row>
    <row r="483" spans="1:17" x14ac:dyDescent="0.15">
      <c r="A483" s="16" t="s">
        <v>929</v>
      </c>
      <c r="B483" s="8">
        <v>3</v>
      </c>
      <c r="C483" s="10">
        <v>3</v>
      </c>
      <c r="D483" s="10">
        <v>3</v>
      </c>
      <c r="E483" s="10">
        <v>3</v>
      </c>
      <c r="F483" s="30">
        <v>3</v>
      </c>
      <c r="G483" s="7">
        <f t="shared" si="136"/>
        <v>15</v>
      </c>
      <c r="H483" s="58">
        <v>43518</v>
      </c>
      <c r="I483" s="16" t="s">
        <v>10</v>
      </c>
      <c r="J483" s="8"/>
      <c r="K483" s="10"/>
      <c r="L483" s="10"/>
      <c r="M483" s="10">
        <v>1</v>
      </c>
      <c r="N483" s="30"/>
      <c r="O483" s="7">
        <f t="shared" si="135"/>
        <v>1</v>
      </c>
      <c r="P483" s="58">
        <v>43502</v>
      </c>
    </row>
    <row r="484" spans="1:17" x14ac:dyDescent="0.15">
      <c r="A484" s="169" t="s">
        <v>935</v>
      </c>
      <c r="B484" s="8"/>
      <c r="C484" s="10">
        <v>1</v>
      </c>
      <c r="D484" s="10">
        <v>1</v>
      </c>
      <c r="E484" s="10"/>
      <c r="F484" s="30"/>
      <c r="G484" s="7">
        <f t="shared" si="136"/>
        <v>2</v>
      </c>
      <c r="H484" s="58">
        <v>43524</v>
      </c>
      <c r="I484" s="16" t="s">
        <v>8</v>
      </c>
      <c r="J484" s="8"/>
      <c r="K484" s="10"/>
      <c r="L484" s="10"/>
      <c r="M484" s="10"/>
      <c r="N484" s="30">
        <v>10</v>
      </c>
      <c r="O484" s="7">
        <f t="shared" si="135"/>
        <v>10</v>
      </c>
      <c r="P484" s="58">
        <v>43511</v>
      </c>
    </row>
    <row r="485" spans="1:17" x14ac:dyDescent="0.15">
      <c r="A485" s="16" t="s">
        <v>10</v>
      </c>
      <c r="B485" s="8"/>
      <c r="C485" s="10">
        <v>1</v>
      </c>
      <c r="D485" s="10"/>
      <c r="E485" s="10"/>
      <c r="F485" s="30"/>
      <c r="G485" s="7">
        <f t="shared" si="136"/>
        <v>1</v>
      </c>
      <c r="H485" s="58">
        <v>43526</v>
      </c>
      <c r="I485" s="16" t="s">
        <v>110</v>
      </c>
      <c r="J485" s="11"/>
      <c r="K485" s="100"/>
      <c r="L485" s="100"/>
      <c r="M485" s="100"/>
      <c r="N485" s="109">
        <v>1</v>
      </c>
      <c r="O485" s="9">
        <f t="shared" si="135"/>
        <v>1</v>
      </c>
      <c r="P485" s="58">
        <v>43522</v>
      </c>
    </row>
    <row r="486" spans="1:17" x14ac:dyDescent="0.15">
      <c r="A486" s="16" t="s">
        <v>10</v>
      </c>
      <c r="B486" s="8"/>
      <c r="C486" s="10">
        <v>1</v>
      </c>
      <c r="D486" s="10"/>
      <c r="E486" s="10"/>
      <c r="F486" s="30"/>
      <c r="G486" s="7">
        <f t="shared" si="136"/>
        <v>1</v>
      </c>
      <c r="H486" s="58">
        <v>43529</v>
      </c>
      <c r="I486" s="16" t="s">
        <v>8</v>
      </c>
      <c r="J486" s="11"/>
      <c r="K486" s="12"/>
      <c r="L486" s="12"/>
      <c r="M486" s="12"/>
      <c r="N486" s="31">
        <v>10</v>
      </c>
      <c r="O486" s="7">
        <f t="shared" si="135"/>
        <v>10</v>
      </c>
      <c r="P486" s="58">
        <v>43535</v>
      </c>
    </row>
    <row r="487" spans="1:17" x14ac:dyDescent="0.15">
      <c r="A487" s="16" t="s">
        <v>29</v>
      </c>
      <c r="B487" s="11"/>
      <c r="C487" s="12">
        <v>1</v>
      </c>
      <c r="D487" s="12"/>
      <c r="E487" s="12"/>
      <c r="F487" s="31"/>
      <c r="G487" s="7">
        <f t="shared" si="136"/>
        <v>1</v>
      </c>
      <c r="H487" s="58">
        <v>43529</v>
      </c>
      <c r="I487" s="16" t="s">
        <v>8</v>
      </c>
      <c r="J487" s="8">
        <v>10</v>
      </c>
      <c r="K487" s="10"/>
      <c r="L487" s="10"/>
      <c r="M487" s="10"/>
      <c r="N487" s="30"/>
      <c r="O487" s="7">
        <f t="shared" si="135"/>
        <v>10</v>
      </c>
      <c r="P487" s="58">
        <v>43537</v>
      </c>
    </row>
    <row r="488" spans="1:17" x14ac:dyDescent="0.15">
      <c r="A488" s="16" t="s">
        <v>10</v>
      </c>
      <c r="B488" s="8">
        <v>1</v>
      </c>
      <c r="C488" s="10">
        <v>2</v>
      </c>
      <c r="D488" s="10"/>
      <c r="E488" s="10"/>
      <c r="F488" s="30"/>
      <c r="G488" s="7">
        <f t="shared" si="136"/>
        <v>3</v>
      </c>
      <c r="H488" s="58">
        <v>43536</v>
      </c>
      <c r="I488" s="16" t="s">
        <v>8</v>
      </c>
      <c r="J488" s="8"/>
      <c r="K488" s="10">
        <v>10</v>
      </c>
      <c r="L488" s="10"/>
      <c r="M488" s="10"/>
      <c r="N488" s="30"/>
      <c r="O488" s="7">
        <f t="shared" si="135"/>
        <v>10</v>
      </c>
      <c r="P488" s="58">
        <v>43542</v>
      </c>
    </row>
    <row r="489" spans="1:17" x14ac:dyDescent="0.15">
      <c r="A489" s="16" t="s">
        <v>29</v>
      </c>
      <c r="B489" s="8"/>
      <c r="C489" s="10">
        <v>1</v>
      </c>
      <c r="D489" s="10"/>
      <c r="E489" s="10"/>
      <c r="F489" s="30"/>
      <c r="G489" s="7">
        <f t="shared" si="136"/>
        <v>1</v>
      </c>
      <c r="H489" s="58">
        <v>43535</v>
      </c>
      <c r="I489" s="16" t="s">
        <v>943</v>
      </c>
      <c r="J489" s="8">
        <v>5</v>
      </c>
      <c r="K489" s="10">
        <v>5</v>
      </c>
      <c r="L489" s="10"/>
      <c r="M489" s="10"/>
      <c r="N489" s="30"/>
      <c r="O489" s="7">
        <f t="shared" si="135"/>
        <v>10</v>
      </c>
      <c r="P489" s="58">
        <v>43537</v>
      </c>
    </row>
    <row r="490" spans="1:17" x14ac:dyDescent="0.15">
      <c r="A490" s="16" t="s">
        <v>10</v>
      </c>
      <c r="B490" s="8"/>
      <c r="C490" s="10"/>
      <c r="D490" s="10">
        <v>1</v>
      </c>
      <c r="E490" s="10"/>
      <c r="F490" s="30"/>
      <c r="G490" s="7">
        <f t="shared" si="136"/>
        <v>1</v>
      </c>
      <c r="H490" s="58">
        <v>43551</v>
      </c>
      <c r="I490" s="16" t="s">
        <v>950</v>
      </c>
      <c r="J490" s="8"/>
      <c r="K490" s="10"/>
      <c r="L490" s="10">
        <v>2</v>
      </c>
      <c r="M490" s="10"/>
      <c r="N490" s="30">
        <v>1</v>
      </c>
      <c r="O490" s="7">
        <f t="shared" si="135"/>
        <v>3</v>
      </c>
      <c r="P490" s="58">
        <v>43544</v>
      </c>
    </row>
    <row r="491" spans="1:17" x14ac:dyDescent="0.15">
      <c r="A491" s="16" t="s">
        <v>954</v>
      </c>
      <c r="B491" s="8"/>
      <c r="C491" s="10"/>
      <c r="D491" s="10">
        <v>2</v>
      </c>
      <c r="E491" s="10"/>
      <c r="F491" s="30"/>
      <c r="G491" s="7">
        <f t="shared" si="136"/>
        <v>2</v>
      </c>
      <c r="H491" s="58">
        <v>43557</v>
      </c>
      <c r="I491" s="16" t="s">
        <v>25</v>
      </c>
      <c r="J491" s="8"/>
      <c r="K491" s="10"/>
      <c r="L491" s="10">
        <v>2</v>
      </c>
      <c r="M491" s="10">
        <v>1</v>
      </c>
      <c r="N491" s="30"/>
      <c r="O491" s="7">
        <f t="shared" si="135"/>
        <v>3</v>
      </c>
      <c r="P491" s="58">
        <v>43547</v>
      </c>
    </row>
    <row r="492" spans="1:17" x14ac:dyDescent="0.15">
      <c r="A492" s="16" t="s">
        <v>10</v>
      </c>
      <c r="B492" s="8"/>
      <c r="C492" s="10"/>
      <c r="D492" s="10"/>
      <c r="E492" s="10">
        <v>1</v>
      </c>
      <c r="F492" s="30"/>
      <c r="G492" s="7">
        <f t="shared" si="136"/>
        <v>1</v>
      </c>
      <c r="H492" s="58">
        <v>43559</v>
      </c>
      <c r="I492" s="16" t="s">
        <v>25</v>
      </c>
      <c r="J492" s="8"/>
      <c r="K492" s="10"/>
      <c r="L492" s="10"/>
      <c r="M492" s="10">
        <v>1</v>
      </c>
      <c r="N492" s="30"/>
      <c r="O492" s="7">
        <f t="shared" si="135"/>
        <v>1</v>
      </c>
      <c r="P492" s="58">
        <v>43550</v>
      </c>
    </row>
    <row r="493" spans="1:17" x14ac:dyDescent="0.15">
      <c r="A493" s="16" t="s">
        <v>963</v>
      </c>
      <c r="B493" s="8"/>
      <c r="C493" s="10">
        <v>-1</v>
      </c>
      <c r="D493" s="10"/>
      <c r="E493" s="10"/>
      <c r="F493" s="30"/>
      <c r="G493" s="7">
        <f t="shared" si="136"/>
        <v>-1</v>
      </c>
      <c r="H493" s="58">
        <v>43560</v>
      </c>
      <c r="I493" s="16" t="s">
        <v>986</v>
      </c>
      <c r="J493" s="11">
        <v>10</v>
      </c>
      <c r="K493" s="12">
        <v>6</v>
      </c>
      <c r="L493" s="12"/>
      <c r="M493" s="12"/>
      <c r="N493" s="31">
        <v>5</v>
      </c>
      <c r="O493" s="7">
        <f t="shared" si="135"/>
        <v>21</v>
      </c>
      <c r="P493" s="58">
        <v>43556</v>
      </c>
    </row>
    <row r="494" spans="1:17" x14ac:dyDescent="0.15">
      <c r="A494" s="16" t="s">
        <v>965</v>
      </c>
      <c r="B494" s="8">
        <v>4</v>
      </c>
      <c r="C494" s="10">
        <v>4</v>
      </c>
      <c r="D494" s="10">
        <v>4</v>
      </c>
      <c r="E494" s="10">
        <v>4</v>
      </c>
      <c r="F494" s="30">
        <v>4</v>
      </c>
      <c r="G494" s="7">
        <f t="shared" si="136"/>
        <v>20</v>
      </c>
      <c r="H494" s="58">
        <v>43564</v>
      </c>
      <c r="I494" s="16" t="s">
        <v>8</v>
      </c>
      <c r="J494" s="11"/>
      <c r="K494" s="12"/>
      <c r="L494" s="12">
        <v>10</v>
      </c>
      <c r="M494" s="12"/>
      <c r="N494" s="31"/>
      <c r="O494" s="7">
        <f t="shared" si="135"/>
        <v>10</v>
      </c>
      <c r="P494" s="58">
        <v>43558</v>
      </c>
      <c r="Q494" s="56"/>
    </row>
    <row r="495" spans="1:17" x14ac:dyDescent="0.15">
      <c r="A495" s="16" t="s">
        <v>10</v>
      </c>
      <c r="B495" s="8"/>
      <c r="C495" s="10"/>
      <c r="D495" s="10"/>
      <c r="E495" s="10">
        <v>1</v>
      </c>
      <c r="F495" s="30"/>
      <c r="G495" s="7">
        <f t="shared" si="136"/>
        <v>1</v>
      </c>
      <c r="H495" s="58">
        <v>43566</v>
      </c>
      <c r="I495" s="16" t="s">
        <v>8</v>
      </c>
      <c r="J495" s="11"/>
      <c r="K495" s="12"/>
      <c r="L495" s="12"/>
      <c r="M495" s="12">
        <v>10</v>
      </c>
      <c r="N495" s="31">
        <v>10</v>
      </c>
      <c r="O495" s="7">
        <f t="shared" si="135"/>
        <v>20</v>
      </c>
      <c r="P495" s="58">
        <v>43563</v>
      </c>
    </row>
    <row r="496" spans="1:17" x14ac:dyDescent="0.15">
      <c r="A496" s="16" t="s">
        <v>10</v>
      </c>
      <c r="B496" s="8"/>
      <c r="C496" s="10"/>
      <c r="D496" s="10"/>
      <c r="E496" s="10"/>
      <c r="F496" s="30">
        <v>1</v>
      </c>
      <c r="G496" s="7">
        <f t="shared" si="136"/>
        <v>1</v>
      </c>
      <c r="H496" s="58">
        <v>43567</v>
      </c>
      <c r="I496" s="16" t="s">
        <v>24</v>
      </c>
      <c r="J496" s="11"/>
      <c r="K496" s="12"/>
      <c r="L496" s="12"/>
      <c r="M496" s="12">
        <v>5</v>
      </c>
      <c r="N496" s="31">
        <v>5</v>
      </c>
      <c r="O496" s="7">
        <f t="shared" si="135"/>
        <v>10</v>
      </c>
      <c r="P496" s="58">
        <v>43561</v>
      </c>
      <c r="Q496" s="56"/>
    </row>
    <row r="497" spans="1:17" x14ac:dyDescent="0.15">
      <c r="A497" s="16" t="s">
        <v>971</v>
      </c>
      <c r="B497" s="8"/>
      <c r="C497" s="10"/>
      <c r="D497" s="10">
        <v>1</v>
      </c>
      <c r="E497" s="10"/>
      <c r="F497" s="30"/>
      <c r="G497" s="7">
        <f t="shared" si="136"/>
        <v>1</v>
      </c>
      <c r="H497" s="58">
        <v>43568</v>
      </c>
      <c r="I497" s="16" t="s">
        <v>8</v>
      </c>
      <c r="J497" s="11"/>
      <c r="K497" s="12">
        <v>10</v>
      </c>
      <c r="L497" s="12"/>
      <c r="M497" s="12"/>
      <c r="N497" s="31"/>
      <c r="O497" s="7">
        <f t="shared" si="135"/>
        <v>10</v>
      </c>
      <c r="P497" s="58">
        <v>43573</v>
      </c>
      <c r="Q497" s="56"/>
    </row>
    <row r="498" spans="1:17" x14ac:dyDescent="0.15">
      <c r="A498" s="16" t="s">
        <v>10</v>
      </c>
      <c r="B498" s="8"/>
      <c r="C498" s="10">
        <v>4</v>
      </c>
      <c r="D498" s="10"/>
      <c r="E498" s="10">
        <v>1</v>
      </c>
      <c r="F498" s="59">
        <v>1</v>
      </c>
      <c r="G498" s="7">
        <f t="shared" si="136"/>
        <v>6</v>
      </c>
      <c r="H498" s="58">
        <v>43571</v>
      </c>
      <c r="I498" s="16"/>
      <c r="J498" s="11"/>
      <c r="K498" s="12"/>
      <c r="L498" s="12"/>
      <c r="M498" s="12"/>
      <c r="N498" s="31"/>
      <c r="O498" s="7">
        <f t="shared" si="135"/>
        <v>0</v>
      </c>
      <c r="P498" s="56"/>
      <c r="Q498" s="56"/>
    </row>
    <row r="499" spans="1:17" x14ac:dyDescent="0.15">
      <c r="A499" s="39" t="s">
        <v>38</v>
      </c>
      <c r="B499" s="37"/>
      <c r="C499" s="35"/>
      <c r="D499" s="35">
        <v>1</v>
      </c>
      <c r="E499" s="35"/>
      <c r="F499" s="28"/>
      <c r="G499" s="7">
        <f t="shared" si="136"/>
        <v>1</v>
      </c>
      <c r="H499" s="58">
        <v>43571</v>
      </c>
      <c r="I499" s="16"/>
      <c r="J499" s="8"/>
      <c r="K499" s="10"/>
      <c r="L499" s="10"/>
      <c r="M499" s="10"/>
      <c r="N499" s="30"/>
      <c r="O499" s="7">
        <f t="shared" ref="O499" si="137">SUM(J499:N499)</f>
        <v>0</v>
      </c>
      <c r="P499" s="56"/>
      <c r="Q499" s="56"/>
    </row>
    <row r="500" spans="1:17" x14ac:dyDescent="0.15">
      <c r="A500" s="16" t="s">
        <v>117</v>
      </c>
      <c r="B500" s="8"/>
      <c r="C500" s="10"/>
      <c r="D500" s="10"/>
      <c r="E500" s="10"/>
      <c r="F500" s="30">
        <v>1</v>
      </c>
      <c r="G500" s="7">
        <f t="shared" si="136"/>
        <v>1</v>
      </c>
      <c r="H500" s="58">
        <v>43571</v>
      </c>
      <c r="I500" s="16" t="s">
        <v>908</v>
      </c>
      <c r="J500" s="8"/>
      <c r="K500" s="10"/>
      <c r="L500" s="10"/>
      <c r="M500" s="10"/>
      <c r="N500" s="30"/>
      <c r="O500" s="7">
        <f t="shared" si="135"/>
        <v>0</v>
      </c>
      <c r="P500" s="58">
        <v>43525</v>
      </c>
    </row>
    <row r="501" spans="1:17" x14ac:dyDescent="0.15">
      <c r="A501" s="16"/>
      <c r="B501" s="8"/>
      <c r="C501" s="10"/>
      <c r="D501" s="10"/>
      <c r="E501" s="10"/>
      <c r="F501" s="30"/>
      <c r="G501" s="9">
        <f t="shared" si="136"/>
        <v>0</v>
      </c>
      <c r="H501" s="58"/>
      <c r="I501" s="39" t="s">
        <v>920</v>
      </c>
      <c r="J501" s="11"/>
      <c r="K501" s="12"/>
      <c r="L501" s="12"/>
      <c r="M501" s="12"/>
      <c r="N501" s="31"/>
      <c r="O501" s="7">
        <f t="shared" ref="O501:O502" si="138">SUM(J501:N501)</f>
        <v>0</v>
      </c>
      <c r="P501" s="56" t="s">
        <v>919</v>
      </c>
    </row>
    <row r="502" spans="1:17" ht="14.25" thickBot="1" x14ac:dyDescent="0.2">
      <c r="A502" s="16"/>
      <c r="B502" s="37"/>
      <c r="C502" s="35"/>
      <c r="D502" s="35"/>
      <c r="E502" s="35"/>
      <c r="F502" s="28"/>
      <c r="G502" s="7">
        <f t="shared" si="136"/>
        <v>0</v>
      </c>
      <c r="H502" s="56"/>
      <c r="I502" s="64" t="s">
        <v>925</v>
      </c>
      <c r="J502" s="8"/>
      <c r="K502" s="10"/>
      <c r="L502" s="10"/>
      <c r="M502" s="10"/>
      <c r="N502" s="30"/>
      <c r="O502" s="7">
        <f t="shared" si="138"/>
        <v>0</v>
      </c>
      <c r="P502" s="56" t="s">
        <v>926</v>
      </c>
    </row>
    <row r="503" spans="1:17" ht="14.25" thickBot="1" x14ac:dyDescent="0.2">
      <c r="A503" s="3" t="s">
        <v>11</v>
      </c>
      <c r="B503" s="23">
        <f>SUM(B477:B502)</f>
        <v>9</v>
      </c>
      <c r="C503" s="4">
        <f>SUM(C477:C502)</f>
        <v>20</v>
      </c>
      <c r="D503" s="4">
        <f>SUM(D477:D502)</f>
        <v>14</v>
      </c>
      <c r="E503" s="6">
        <f>SUM(E477:E502)</f>
        <v>11</v>
      </c>
      <c r="F503" s="32">
        <f>SUM(F477:F502)</f>
        <v>10</v>
      </c>
      <c r="G503" s="5">
        <f>SUM(B503:F503)</f>
        <v>64</v>
      </c>
      <c r="H503" s="56"/>
      <c r="I503" s="3" t="s">
        <v>11</v>
      </c>
      <c r="J503" s="23">
        <f>SUM(J477:J502)</f>
        <v>26</v>
      </c>
      <c r="K503" s="4">
        <f>SUM(K477:K502)</f>
        <v>32</v>
      </c>
      <c r="L503" s="4">
        <f>SUM(L477:L502)</f>
        <v>24</v>
      </c>
      <c r="M503" s="6">
        <f>SUM(M477:M502)</f>
        <v>28</v>
      </c>
      <c r="N503" s="32">
        <f>SUM(N477:N502)</f>
        <v>53</v>
      </c>
      <c r="O503" s="5">
        <f>SUM(J503:N503)</f>
        <v>163</v>
      </c>
    </row>
    <row r="504" spans="1:17" ht="14.25" thickBot="1" x14ac:dyDescent="0.2">
      <c r="A504" s="25" t="s">
        <v>12</v>
      </c>
      <c r="B504" s="63">
        <f>B476-B503</f>
        <v>9</v>
      </c>
      <c r="C504" s="26">
        <f t="shared" ref="C504:G504" si="139">C476-C503</f>
        <v>7</v>
      </c>
      <c r="D504" s="71">
        <f t="shared" si="139"/>
        <v>4</v>
      </c>
      <c r="E504" s="26">
        <f t="shared" si="139"/>
        <v>8</v>
      </c>
      <c r="F504" s="70">
        <f t="shared" si="139"/>
        <v>9</v>
      </c>
      <c r="G504" s="27">
        <f t="shared" si="139"/>
        <v>37</v>
      </c>
      <c r="H504" s="56"/>
      <c r="I504" s="25" t="s">
        <v>12</v>
      </c>
      <c r="J504" s="63">
        <f>J476-J503</f>
        <v>255</v>
      </c>
      <c r="K504" s="26">
        <f t="shared" ref="K504:O504" si="140">K476-K503</f>
        <v>300</v>
      </c>
      <c r="L504" s="71">
        <f t="shared" si="140"/>
        <v>281</v>
      </c>
      <c r="M504" s="26">
        <f t="shared" si="140"/>
        <v>235</v>
      </c>
      <c r="N504" s="70">
        <f t="shared" si="140"/>
        <v>202</v>
      </c>
      <c r="O504" s="27">
        <f t="shared" si="140"/>
        <v>1273</v>
      </c>
    </row>
    <row r="505" spans="1:17" ht="21" x14ac:dyDescent="0.2">
      <c r="A505" s="86" t="s">
        <v>413</v>
      </c>
      <c r="B505" s="87"/>
      <c r="C505" s="87"/>
      <c r="D505" s="87"/>
      <c r="E505" s="87"/>
      <c r="F505" s="87"/>
      <c r="G505" s="87"/>
      <c r="H505" s="56"/>
      <c r="I505" s="86" t="s">
        <v>413</v>
      </c>
      <c r="J505" s="87"/>
      <c r="K505" s="87"/>
      <c r="L505" s="87"/>
      <c r="M505" s="87"/>
      <c r="N505" s="87"/>
      <c r="O505" s="87"/>
    </row>
    <row r="506" spans="1:17" ht="21.75" thickBot="1" x14ac:dyDescent="0.25">
      <c r="A506" s="86" t="s">
        <v>51</v>
      </c>
      <c r="B506" s="87"/>
      <c r="C506" s="87"/>
      <c r="D506" s="87"/>
      <c r="E506" s="85"/>
      <c r="F506" s="88" t="s">
        <v>53</v>
      </c>
      <c r="G506" s="87"/>
      <c r="H506" s="56"/>
      <c r="I506" s="86" t="s">
        <v>51</v>
      </c>
      <c r="J506" s="87"/>
      <c r="K506" s="87"/>
      <c r="L506" s="87"/>
      <c r="M506" s="89"/>
      <c r="N506" s="88" t="s">
        <v>54</v>
      </c>
      <c r="O506" s="87"/>
    </row>
    <row r="507" spans="1:17" ht="14.25" thickBot="1" x14ac:dyDescent="0.2">
      <c r="A507" s="13" t="s">
        <v>0</v>
      </c>
      <c r="B507" s="228" t="s">
        <v>52</v>
      </c>
      <c r="C507" s="229"/>
      <c r="D507" s="229"/>
      <c r="E507" s="229"/>
      <c r="F507" s="230"/>
      <c r="G507" s="231"/>
      <c r="H507" s="56"/>
      <c r="I507" s="13" t="s">
        <v>0</v>
      </c>
      <c r="J507" s="228" t="s">
        <v>52</v>
      </c>
      <c r="K507" s="229"/>
      <c r="L507" s="229"/>
      <c r="M507" s="229"/>
      <c r="N507" s="230"/>
      <c r="O507" s="231"/>
    </row>
    <row r="508" spans="1:17" ht="14.25" thickBot="1" x14ac:dyDescent="0.2">
      <c r="A508" s="3" t="s">
        <v>1</v>
      </c>
      <c r="B508" s="2" t="s">
        <v>42</v>
      </c>
      <c r="C508" s="21" t="s">
        <v>43</v>
      </c>
      <c r="D508" s="21" t="s">
        <v>44</v>
      </c>
      <c r="E508" s="24" t="s">
        <v>45</v>
      </c>
      <c r="F508" s="33" t="s">
        <v>46</v>
      </c>
      <c r="G508" s="3" t="s">
        <v>2</v>
      </c>
      <c r="H508" s="56"/>
      <c r="I508" s="3" t="s">
        <v>1</v>
      </c>
      <c r="J508" s="41" t="s">
        <v>42</v>
      </c>
      <c r="K508" s="42" t="s">
        <v>43</v>
      </c>
      <c r="L508" s="42" t="s">
        <v>44</v>
      </c>
      <c r="M508" s="43" t="s">
        <v>45</v>
      </c>
      <c r="N508" s="44" t="s">
        <v>46</v>
      </c>
      <c r="O508" s="3" t="s">
        <v>2</v>
      </c>
    </row>
    <row r="509" spans="1:17" x14ac:dyDescent="0.15">
      <c r="A509" s="96" t="s">
        <v>13</v>
      </c>
      <c r="B509" s="95">
        <f>B504</f>
        <v>9</v>
      </c>
      <c r="C509" s="97">
        <f t="shared" ref="C509:F509" si="141">C504</f>
        <v>7</v>
      </c>
      <c r="D509" s="97">
        <f t="shared" si="141"/>
        <v>4</v>
      </c>
      <c r="E509" s="97">
        <f t="shared" si="141"/>
        <v>8</v>
      </c>
      <c r="F509" s="139">
        <f t="shared" si="141"/>
        <v>9</v>
      </c>
      <c r="G509" s="52">
        <f t="shared" ref="G509:G517" si="142">SUM(B509:F509)</f>
        <v>37</v>
      </c>
      <c r="H509" s="56"/>
      <c r="I509" s="96" t="s">
        <v>13</v>
      </c>
      <c r="J509" s="95">
        <f>J504</f>
        <v>255</v>
      </c>
      <c r="K509" s="97">
        <f t="shared" ref="K509:N509" si="143">K504</f>
        <v>300</v>
      </c>
      <c r="L509" s="97">
        <f t="shared" si="143"/>
        <v>281</v>
      </c>
      <c r="M509" s="97">
        <f t="shared" si="143"/>
        <v>235</v>
      </c>
      <c r="N509" s="139">
        <f t="shared" si="143"/>
        <v>202</v>
      </c>
      <c r="O509" s="52">
        <f t="shared" ref="O509:O517" si="144">SUM(J509:N509)</f>
        <v>1273</v>
      </c>
    </row>
    <row r="510" spans="1:17" x14ac:dyDescent="0.15">
      <c r="A510" s="15" t="s">
        <v>3</v>
      </c>
      <c r="B510" s="8"/>
      <c r="C510" s="10">
        <v>5</v>
      </c>
      <c r="D510" s="10"/>
      <c r="E510" s="10">
        <v>5</v>
      </c>
      <c r="F510" s="104"/>
      <c r="G510" s="9">
        <f t="shared" si="142"/>
        <v>10</v>
      </c>
      <c r="H510" s="58">
        <v>43571</v>
      </c>
      <c r="I510" s="15" t="s">
        <v>3</v>
      </c>
      <c r="J510" s="37"/>
      <c r="K510" s="135"/>
      <c r="L510" s="135"/>
      <c r="M510" s="135"/>
      <c r="N510" s="136"/>
      <c r="O510" s="7">
        <f t="shared" si="144"/>
        <v>0</v>
      </c>
    </row>
    <row r="511" spans="1:17" x14ac:dyDescent="0.15">
      <c r="A511" s="15" t="s">
        <v>4</v>
      </c>
      <c r="B511" s="8">
        <v>10</v>
      </c>
      <c r="C511" s="10">
        <v>10</v>
      </c>
      <c r="D511" s="10">
        <v>15</v>
      </c>
      <c r="E511" s="10">
        <v>5</v>
      </c>
      <c r="F511" s="104"/>
      <c r="G511" s="9">
        <f t="shared" si="142"/>
        <v>40</v>
      </c>
      <c r="H511" s="58">
        <v>43580</v>
      </c>
      <c r="I511" s="15" t="s">
        <v>4</v>
      </c>
      <c r="J511" s="8"/>
      <c r="K511" s="45"/>
      <c r="L511" s="45"/>
      <c r="M511" s="45"/>
      <c r="N511" s="46"/>
      <c r="O511" s="9">
        <f t="shared" si="144"/>
        <v>0</v>
      </c>
      <c r="P511" s="58"/>
    </row>
    <row r="512" spans="1:17" x14ac:dyDescent="0.15">
      <c r="A512" s="16" t="s">
        <v>984</v>
      </c>
      <c r="B512" s="8"/>
      <c r="C512" s="10">
        <v>1</v>
      </c>
      <c r="D512" s="10"/>
      <c r="E512" s="10"/>
      <c r="F512" s="104"/>
      <c r="G512" s="9">
        <f t="shared" si="142"/>
        <v>1</v>
      </c>
      <c r="H512" s="58">
        <v>43581</v>
      </c>
      <c r="I512" s="15" t="s">
        <v>5</v>
      </c>
      <c r="J512" s="8"/>
      <c r="K512" s="45"/>
      <c r="L512" s="45"/>
      <c r="M512" s="45"/>
      <c r="N512" s="46"/>
      <c r="O512" s="9">
        <f t="shared" si="144"/>
        <v>0</v>
      </c>
    </row>
    <row r="513" spans="1:17" x14ac:dyDescent="0.15">
      <c r="A513" s="15" t="s">
        <v>17</v>
      </c>
      <c r="B513" s="11"/>
      <c r="C513" s="12"/>
      <c r="D513" s="12">
        <v>1</v>
      </c>
      <c r="E513" s="12"/>
      <c r="F513" s="108">
        <v>1</v>
      </c>
      <c r="G513" s="9">
        <f t="shared" si="142"/>
        <v>2</v>
      </c>
      <c r="H513" s="58">
        <v>43578</v>
      </c>
      <c r="I513" s="15" t="s">
        <v>6</v>
      </c>
      <c r="J513" s="8"/>
      <c r="K513" s="45"/>
      <c r="L513" s="45"/>
      <c r="M513" s="45"/>
      <c r="N513" s="46"/>
      <c r="O513" s="9">
        <f t="shared" si="144"/>
        <v>0</v>
      </c>
    </row>
    <row r="514" spans="1:17" x14ac:dyDescent="0.15">
      <c r="A514" s="15" t="s">
        <v>994</v>
      </c>
      <c r="B514" s="8"/>
      <c r="C514" s="10">
        <v>2</v>
      </c>
      <c r="D514" s="10"/>
      <c r="E514" s="10"/>
      <c r="F514" s="30"/>
      <c r="G514" s="7">
        <f t="shared" si="142"/>
        <v>2</v>
      </c>
      <c r="H514" s="58">
        <v>43594</v>
      </c>
      <c r="I514" s="15" t="s">
        <v>84</v>
      </c>
      <c r="J514" s="8"/>
      <c r="K514" s="45"/>
      <c r="L514" s="45"/>
      <c r="M514" s="45"/>
      <c r="N514" s="46"/>
      <c r="O514" s="7">
        <f t="shared" si="144"/>
        <v>0</v>
      </c>
    </row>
    <row r="515" spans="1:17" x14ac:dyDescent="0.15">
      <c r="A515" s="15" t="s">
        <v>19</v>
      </c>
      <c r="B515" s="8"/>
      <c r="C515" s="10">
        <v>2</v>
      </c>
      <c r="D515" s="10"/>
      <c r="E515" s="10">
        <v>1</v>
      </c>
      <c r="F515" s="30">
        <v>3</v>
      </c>
      <c r="G515" s="7">
        <f t="shared" si="142"/>
        <v>6</v>
      </c>
      <c r="H515" s="58">
        <v>43598</v>
      </c>
      <c r="I515" s="15" t="s">
        <v>85</v>
      </c>
      <c r="J515" s="8"/>
      <c r="K515" s="45"/>
      <c r="L515" s="45"/>
      <c r="M515" s="45"/>
      <c r="N515" s="46"/>
      <c r="O515" s="7">
        <f t="shared" si="144"/>
        <v>0</v>
      </c>
    </row>
    <row r="516" spans="1:17" x14ac:dyDescent="0.15">
      <c r="A516" s="15" t="s">
        <v>19</v>
      </c>
      <c r="B516" s="8"/>
      <c r="C516" s="45">
        <v>4</v>
      </c>
      <c r="D516" s="45">
        <v>1</v>
      </c>
      <c r="E516" s="45">
        <v>1</v>
      </c>
      <c r="F516" s="46">
        <v>1</v>
      </c>
      <c r="G516" s="102">
        <f t="shared" si="142"/>
        <v>7</v>
      </c>
      <c r="H516" s="58">
        <v>43599</v>
      </c>
      <c r="I516" s="15" t="s">
        <v>86</v>
      </c>
      <c r="J516" s="8"/>
      <c r="K516" s="45"/>
      <c r="L516" s="45"/>
      <c r="M516" s="45"/>
      <c r="N516" s="46"/>
      <c r="O516" s="102">
        <f t="shared" si="144"/>
        <v>0</v>
      </c>
    </row>
    <row r="517" spans="1:17" ht="14.25" thickBot="1" x14ac:dyDescent="0.2">
      <c r="A517" s="15" t="s">
        <v>994</v>
      </c>
      <c r="B517" s="11"/>
      <c r="C517" s="100"/>
      <c r="D517" s="100">
        <v>1</v>
      </c>
      <c r="E517" s="100"/>
      <c r="F517" s="109"/>
      <c r="G517" s="40">
        <f t="shared" si="142"/>
        <v>1</v>
      </c>
      <c r="H517" s="58">
        <v>43601</v>
      </c>
      <c r="I517" s="15" t="s">
        <v>87</v>
      </c>
      <c r="J517" s="47"/>
      <c r="K517" s="48"/>
      <c r="L517" s="48"/>
      <c r="M517" s="48"/>
      <c r="N517" s="49"/>
      <c r="O517" s="40">
        <f t="shared" si="144"/>
        <v>0</v>
      </c>
    </row>
    <row r="518" spans="1:17" ht="14.25" thickBot="1" x14ac:dyDescent="0.2">
      <c r="A518" s="72" t="s">
        <v>7</v>
      </c>
      <c r="B518" s="73">
        <f>SUM(B509:B517)</f>
        <v>19</v>
      </c>
      <c r="C518" s="74">
        <f t="shared" ref="C518:G518" si="145">SUM(C509:C517)</f>
        <v>31</v>
      </c>
      <c r="D518" s="74">
        <f t="shared" si="145"/>
        <v>22</v>
      </c>
      <c r="E518" s="74">
        <f t="shared" si="145"/>
        <v>20</v>
      </c>
      <c r="F518" s="105">
        <f t="shared" si="145"/>
        <v>14</v>
      </c>
      <c r="G518" s="76">
        <f t="shared" si="145"/>
        <v>106</v>
      </c>
      <c r="H518" s="56"/>
      <c r="I518" s="72" t="s">
        <v>7</v>
      </c>
      <c r="J518" s="73">
        <f>SUM(J509:J517)</f>
        <v>255</v>
      </c>
      <c r="K518" s="74">
        <f t="shared" ref="K518:O518" si="146">SUM(K509:K517)</f>
        <v>300</v>
      </c>
      <c r="L518" s="74">
        <f t="shared" si="146"/>
        <v>281</v>
      </c>
      <c r="M518" s="74">
        <f t="shared" si="146"/>
        <v>235</v>
      </c>
      <c r="N518" s="105">
        <f t="shared" si="146"/>
        <v>202</v>
      </c>
      <c r="O518" s="76">
        <f t="shared" si="146"/>
        <v>1273</v>
      </c>
    </row>
    <row r="519" spans="1:17" x14ac:dyDescent="0.15">
      <c r="A519" s="16" t="s">
        <v>10</v>
      </c>
      <c r="B519" s="8"/>
      <c r="C519" s="10">
        <v>1</v>
      </c>
      <c r="D519" s="10">
        <v>1</v>
      </c>
      <c r="E519" s="10"/>
      <c r="F519" s="30"/>
      <c r="G519" s="9">
        <f t="shared" ref="G519" si="147">SUM(B519:F519)</f>
        <v>2</v>
      </c>
      <c r="H519" s="58">
        <v>43572</v>
      </c>
      <c r="I519" s="16" t="s">
        <v>973</v>
      </c>
      <c r="J519" s="17"/>
      <c r="K519" s="22">
        <v>5</v>
      </c>
      <c r="L519" s="22"/>
      <c r="M519" s="22">
        <v>5</v>
      </c>
      <c r="N519" s="29"/>
      <c r="O519" s="18">
        <f t="shared" ref="O519:O544" si="148">SUM(J519:N519)</f>
        <v>10</v>
      </c>
      <c r="P519" s="58">
        <v>43571</v>
      </c>
    </row>
    <row r="520" spans="1:17" x14ac:dyDescent="0.15">
      <c r="A520" s="39" t="s">
        <v>38</v>
      </c>
      <c r="B520" s="8"/>
      <c r="C520" s="10"/>
      <c r="D520" s="10">
        <v>1</v>
      </c>
      <c r="E520" s="10">
        <v>1</v>
      </c>
      <c r="F520" s="30"/>
      <c r="G520" s="7">
        <f t="shared" ref="G520:G544" si="149">SUM(B520:F520)</f>
        <v>2</v>
      </c>
      <c r="H520" s="58">
        <v>43574</v>
      </c>
      <c r="I520" s="16" t="s">
        <v>10</v>
      </c>
      <c r="J520" s="8"/>
      <c r="K520" s="10"/>
      <c r="L520" s="10">
        <v>1</v>
      </c>
      <c r="M520" s="10"/>
      <c r="N520" s="30">
        <v>5</v>
      </c>
      <c r="O520" s="7">
        <f t="shared" si="148"/>
        <v>6</v>
      </c>
      <c r="P520" s="58">
        <v>43573</v>
      </c>
    </row>
    <row r="521" spans="1:17" x14ac:dyDescent="0.15">
      <c r="A521" s="16" t="s">
        <v>29</v>
      </c>
      <c r="B521" s="8"/>
      <c r="C521" s="10"/>
      <c r="D521" s="10">
        <v>1</v>
      </c>
      <c r="E521" s="10"/>
      <c r="F521" s="30"/>
      <c r="G521" s="7">
        <f t="shared" si="149"/>
        <v>1</v>
      </c>
      <c r="H521" s="58">
        <v>43573</v>
      </c>
      <c r="I521" s="16" t="s">
        <v>10</v>
      </c>
      <c r="J521" s="8">
        <v>1</v>
      </c>
      <c r="K521" s="10"/>
      <c r="L521" s="10"/>
      <c r="M521" s="10"/>
      <c r="N521" s="30">
        <v>1</v>
      </c>
      <c r="O521" s="7">
        <f t="shared" si="148"/>
        <v>2</v>
      </c>
      <c r="P521" s="58">
        <v>43574</v>
      </c>
    </row>
    <row r="522" spans="1:17" x14ac:dyDescent="0.15">
      <c r="A522" s="16" t="s">
        <v>10</v>
      </c>
      <c r="B522" s="8"/>
      <c r="C522" s="10"/>
      <c r="D522" s="10"/>
      <c r="E522" s="10">
        <v>1</v>
      </c>
      <c r="F522" s="30"/>
      <c r="G522" s="7">
        <f t="shared" si="149"/>
        <v>1</v>
      </c>
      <c r="H522" s="58">
        <v>43578</v>
      </c>
      <c r="I522" s="16" t="s">
        <v>10</v>
      </c>
      <c r="J522" s="8">
        <v>1</v>
      </c>
      <c r="K522" s="10"/>
      <c r="L522" s="10"/>
      <c r="M522" s="10"/>
      <c r="N522" s="30"/>
      <c r="O522" s="7">
        <f t="shared" si="148"/>
        <v>1</v>
      </c>
      <c r="P522" s="58">
        <v>43575</v>
      </c>
    </row>
    <row r="523" spans="1:17" x14ac:dyDescent="0.15">
      <c r="A523" s="16" t="s">
        <v>215</v>
      </c>
      <c r="B523" s="8">
        <v>1</v>
      </c>
      <c r="C523" s="10">
        <v>2</v>
      </c>
      <c r="D523" s="10"/>
      <c r="E523" s="10"/>
      <c r="F523" s="30"/>
      <c r="G523" s="7">
        <f t="shared" si="149"/>
        <v>3</v>
      </c>
      <c r="H523" s="58">
        <v>43580</v>
      </c>
      <c r="I523" s="16" t="s">
        <v>987</v>
      </c>
      <c r="J523" s="8"/>
      <c r="K523" s="10"/>
      <c r="L523" s="10">
        <v>2</v>
      </c>
      <c r="M523" s="10"/>
      <c r="N523" s="30"/>
      <c r="O523" s="7">
        <f t="shared" si="148"/>
        <v>2</v>
      </c>
      <c r="P523" s="58">
        <v>43580</v>
      </c>
    </row>
    <row r="524" spans="1:17" x14ac:dyDescent="0.15">
      <c r="A524" s="16" t="s">
        <v>964</v>
      </c>
      <c r="B524" s="8">
        <v>6</v>
      </c>
      <c r="C524" s="10">
        <v>5</v>
      </c>
      <c r="D524" s="10">
        <v>3</v>
      </c>
      <c r="E524" s="10">
        <v>5</v>
      </c>
      <c r="F524" s="30"/>
      <c r="G524" s="7">
        <f t="shared" si="149"/>
        <v>19</v>
      </c>
      <c r="H524" s="58">
        <v>43581</v>
      </c>
      <c r="I524" s="16" t="s">
        <v>24</v>
      </c>
      <c r="J524" s="8">
        <v>10</v>
      </c>
      <c r="K524" s="10">
        <v>10</v>
      </c>
      <c r="L524" s="10">
        <v>15</v>
      </c>
      <c r="M524" s="10">
        <v>5</v>
      </c>
      <c r="N524" s="30"/>
      <c r="O524" s="7">
        <f t="shared" si="148"/>
        <v>40</v>
      </c>
      <c r="P524" s="58">
        <v>43580</v>
      </c>
    </row>
    <row r="525" spans="1:17" x14ac:dyDescent="0.15">
      <c r="A525" s="16" t="s">
        <v>215</v>
      </c>
      <c r="B525" s="8"/>
      <c r="C525" s="10"/>
      <c r="D525" s="10">
        <v>3</v>
      </c>
      <c r="E525" s="10"/>
      <c r="F525" s="30"/>
      <c r="G525" s="7">
        <f t="shared" si="149"/>
        <v>3</v>
      </c>
      <c r="H525" s="58">
        <v>43581</v>
      </c>
      <c r="I525" s="16" t="s">
        <v>8</v>
      </c>
      <c r="J525" s="8"/>
      <c r="K525" s="10"/>
      <c r="L525" s="10"/>
      <c r="M525" s="10">
        <v>10</v>
      </c>
      <c r="N525" s="30"/>
      <c r="O525" s="7">
        <f t="shared" si="148"/>
        <v>10</v>
      </c>
      <c r="P525" s="58">
        <v>43594</v>
      </c>
    </row>
    <row r="526" spans="1:17" x14ac:dyDescent="0.15">
      <c r="A526" s="16" t="s">
        <v>10</v>
      </c>
      <c r="B526" s="8"/>
      <c r="C526" s="10"/>
      <c r="D526" s="10"/>
      <c r="E526" s="10"/>
      <c r="F526" s="30">
        <v>1</v>
      </c>
      <c r="G526" s="7">
        <f t="shared" si="149"/>
        <v>1</v>
      </c>
      <c r="H526" s="58">
        <v>43582</v>
      </c>
      <c r="I526" s="16" t="s">
        <v>988</v>
      </c>
      <c r="J526" s="8"/>
      <c r="K526" s="10">
        <v>4</v>
      </c>
      <c r="L526" s="10">
        <v>25</v>
      </c>
      <c r="M526" s="10"/>
      <c r="N526" s="30"/>
      <c r="O526" s="7">
        <f t="shared" si="148"/>
        <v>29</v>
      </c>
      <c r="P526" s="58">
        <v>43593</v>
      </c>
    </row>
    <row r="527" spans="1:17" x14ac:dyDescent="0.15">
      <c r="A527" s="16" t="s">
        <v>995</v>
      </c>
      <c r="B527" s="8"/>
      <c r="C527" s="10"/>
      <c r="D527" s="10">
        <v>1</v>
      </c>
      <c r="E527" s="10"/>
      <c r="F527" s="30">
        <v>-1</v>
      </c>
      <c r="G527" s="7">
        <f t="shared" si="149"/>
        <v>0</v>
      </c>
      <c r="H527" s="58">
        <v>43598</v>
      </c>
      <c r="I527" s="16" t="s">
        <v>10</v>
      </c>
      <c r="J527" s="11"/>
      <c r="K527" s="100"/>
      <c r="L527" s="100">
        <v>2</v>
      </c>
      <c r="M527" s="100"/>
      <c r="N527" s="109"/>
      <c r="O527" s="9">
        <f t="shared" si="148"/>
        <v>2</v>
      </c>
      <c r="P527" s="58">
        <v>43581</v>
      </c>
    </row>
    <row r="528" spans="1:17" x14ac:dyDescent="0.15">
      <c r="A528" s="16" t="s">
        <v>10</v>
      </c>
      <c r="B528" s="8"/>
      <c r="C528" s="10"/>
      <c r="D528" s="10">
        <v>1</v>
      </c>
      <c r="E528" s="10"/>
      <c r="F528" s="30"/>
      <c r="G528" s="7">
        <f t="shared" si="149"/>
        <v>1</v>
      </c>
      <c r="H528" s="58">
        <v>43602</v>
      </c>
      <c r="I528" s="16" t="s">
        <v>10</v>
      </c>
      <c r="J528" s="11"/>
      <c r="K528" s="12"/>
      <c r="L528" s="12"/>
      <c r="M528" s="12"/>
      <c r="N528" s="31">
        <v>1</v>
      </c>
      <c r="O528" s="7">
        <f t="shared" si="148"/>
        <v>1</v>
      </c>
      <c r="P528" s="58">
        <v>43593</v>
      </c>
      <c r="Q528" s="56"/>
    </row>
    <row r="529" spans="1:17" x14ac:dyDescent="0.15">
      <c r="A529" s="16" t="s">
        <v>215</v>
      </c>
      <c r="B529" s="11"/>
      <c r="C529" s="12">
        <v>2</v>
      </c>
      <c r="D529" s="12"/>
      <c r="E529" s="12">
        <v>2</v>
      </c>
      <c r="F529" s="31">
        <v>1</v>
      </c>
      <c r="G529" s="7">
        <f t="shared" si="149"/>
        <v>5</v>
      </c>
      <c r="H529" s="58">
        <v>43605</v>
      </c>
      <c r="I529" s="16" t="s">
        <v>10</v>
      </c>
      <c r="J529" s="8"/>
      <c r="K529" s="10">
        <v>1</v>
      </c>
      <c r="L529" s="10"/>
      <c r="M529" s="10"/>
      <c r="N529" s="30"/>
      <c r="O529" s="7">
        <f t="shared" si="148"/>
        <v>1</v>
      </c>
      <c r="P529" s="58">
        <v>43594</v>
      </c>
    </row>
    <row r="530" spans="1:17" x14ac:dyDescent="0.15">
      <c r="A530" s="16" t="s">
        <v>17</v>
      </c>
      <c r="B530" s="8"/>
      <c r="C530" s="10">
        <v>-1</v>
      </c>
      <c r="D530" s="10"/>
      <c r="E530" s="10"/>
      <c r="F530" s="30"/>
      <c r="G530" s="7">
        <f t="shared" si="149"/>
        <v>-1</v>
      </c>
      <c r="H530" s="58">
        <v>43602</v>
      </c>
      <c r="I530" s="16" t="s">
        <v>989</v>
      </c>
      <c r="J530" s="8"/>
      <c r="K530" s="10"/>
      <c r="L530" s="10"/>
      <c r="M530" s="10">
        <v>7</v>
      </c>
      <c r="N530" s="30">
        <v>5</v>
      </c>
      <c r="O530" s="7">
        <f t="shared" si="148"/>
        <v>12</v>
      </c>
      <c r="P530" s="58">
        <v>43599</v>
      </c>
    </row>
    <row r="531" spans="1:17" x14ac:dyDescent="0.15">
      <c r="A531" s="16" t="s">
        <v>29</v>
      </c>
      <c r="B531" s="8"/>
      <c r="C531" s="10"/>
      <c r="D531" s="10"/>
      <c r="E531" s="10">
        <v>1</v>
      </c>
      <c r="F531" s="30"/>
      <c r="G531" s="7">
        <f t="shared" si="149"/>
        <v>1</v>
      </c>
      <c r="H531" s="58">
        <v>43602</v>
      </c>
      <c r="I531" s="16" t="s">
        <v>10</v>
      </c>
      <c r="J531" s="8"/>
      <c r="K531" s="10"/>
      <c r="L531" s="10">
        <v>2</v>
      </c>
      <c r="M531" s="10"/>
      <c r="N531" s="30"/>
      <c r="O531" s="7">
        <f t="shared" si="148"/>
        <v>2</v>
      </c>
      <c r="P531" s="58">
        <v>43595</v>
      </c>
    </row>
    <row r="532" spans="1:17" x14ac:dyDescent="0.15">
      <c r="A532" s="16" t="s">
        <v>39</v>
      </c>
      <c r="B532" s="8"/>
      <c r="C532" s="10"/>
      <c r="D532" s="10">
        <v>-1</v>
      </c>
      <c r="E532" s="10"/>
      <c r="F532" s="30"/>
      <c r="G532" s="7">
        <f t="shared" si="149"/>
        <v>-1</v>
      </c>
      <c r="H532" s="58">
        <v>43602</v>
      </c>
      <c r="I532" s="16" t="s">
        <v>8</v>
      </c>
      <c r="J532" s="11"/>
      <c r="K532" s="12"/>
      <c r="L532" s="12"/>
      <c r="M532" s="12"/>
      <c r="N532" s="31">
        <v>10</v>
      </c>
      <c r="O532" s="7">
        <f t="shared" si="148"/>
        <v>10</v>
      </c>
      <c r="P532" s="58">
        <v>43602</v>
      </c>
      <c r="Q532" s="56"/>
    </row>
    <row r="533" spans="1:17" x14ac:dyDescent="0.15">
      <c r="A533" s="16" t="s">
        <v>10</v>
      </c>
      <c r="B533" s="8">
        <v>1</v>
      </c>
      <c r="C533" s="10"/>
      <c r="D533" s="10"/>
      <c r="E533" s="10"/>
      <c r="F533" s="30"/>
      <c r="G533" s="7">
        <f t="shared" si="149"/>
        <v>1</v>
      </c>
      <c r="H533" s="58">
        <v>43606</v>
      </c>
      <c r="I533" s="14" t="s">
        <v>990</v>
      </c>
      <c r="J533" s="8"/>
      <c r="K533" s="10">
        <v>4</v>
      </c>
      <c r="L533" s="10"/>
      <c r="M533" s="10"/>
      <c r="N533" s="30">
        <v>12</v>
      </c>
      <c r="O533" s="7">
        <f t="shared" si="148"/>
        <v>16</v>
      </c>
      <c r="P533" s="58">
        <v>43605</v>
      </c>
    </row>
    <row r="534" spans="1:17" x14ac:dyDescent="0.15">
      <c r="A534" s="16" t="s">
        <v>1008</v>
      </c>
      <c r="B534" s="8"/>
      <c r="C534" s="10"/>
      <c r="D534" s="10"/>
      <c r="E534" s="10">
        <v>1</v>
      </c>
      <c r="F534" s="30"/>
      <c r="G534" s="7">
        <f t="shared" si="149"/>
        <v>1</v>
      </c>
      <c r="H534" s="58">
        <v>43612</v>
      </c>
      <c r="I534" s="51" t="s">
        <v>1027</v>
      </c>
      <c r="J534" s="37">
        <v>20</v>
      </c>
      <c r="K534" s="35">
        <v>10</v>
      </c>
      <c r="L534" s="35">
        <v>10</v>
      </c>
      <c r="M534" s="35">
        <v>5</v>
      </c>
      <c r="N534" s="28">
        <v>3</v>
      </c>
      <c r="O534" s="7">
        <f t="shared" si="148"/>
        <v>48</v>
      </c>
      <c r="P534" s="58">
        <v>43609</v>
      </c>
    </row>
    <row r="535" spans="1:17" x14ac:dyDescent="0.15">
      <c r="A535" s="16" t="s">
        <v>1012</v>
      </c>
      <c r="B535" s="8"/>
      <c r="C535" s="10"/>
      <c r="D535" s="10">
        <v>-1</v>
      </c>
      <c r="E535" s="10"/>
      <c r="F535" s="30"/>
      <c r="G535" s="7">
        <f t="shared" si="149"/>
        <v>-1</v>
      </c>
      <c r="H535" s="58">
        <v>43614</v>
      </c>
      <c r="I535" s="16" t="s">
        <v>8</v>
      </c>
      <c r="J535" s="8"/>
      <c r="K535" s="10"/>
      <c r="L535" s="10"/>
      <c r="M535" s="10"/>
      <c r="N535" s="30">
        <v>10</v>
      </c>
      <c r="O535" s="7">
        <f t="shared" ref="O535:O536" si="150">SUM(J535:N535)</f>
        <v>10</v>
      </c>
      <c r="P535" s="58">
        <v>43619</v>
      </c>
      <c r="Q535" s="56"/>
    </row>
    <row r="536" spans="1:17" x14ac:dyDescent="0.15">
      <c r="A536" s="16" t="s">
        <v>1019</v>
      </c>
      <c r="B536" s="8"/>
      <c r="C536" s="10"/>
      <c r="D536" s="10"/>
      <c r="E536" s="10">
        <v>1</v>
      </c>
      <c r="F536" s="30">
        <v>-1</v>
      </c>
      <c r="G536" s="7">
        <f t="shared" si="149"/>
        <v>0</v>
      </c>
      <c r="H536" s="58">
        <v>43627</v>
      </c>
      <c r="I536" s="16" t="s">
        <v>10</v>
      </c>
      <c r="J536" s="11"/>
      <c r="K536" s="12">
        <v>1</v>
      </c>
      <c r="L536" s="12"/>
      <c r="M536" s="12"/>
      <c r="N536" s="31"/>
      <c r="O536" s="7">
        <f t="shared" si="150"/>
        <v>1</v>
      </c>
      <c r="P536" s="58">
        <v>43615</v>
      </c>
    </row>
    <row r="537" spans="1:17" x14ac:dyDescent="0.15">
      <c r="A537" s="16"/>
      <c r="B537" s="8"/>
      <c r="C537" s="10"/>
      <c r="D537" s="10"/>
      <c r="E537" s="10"/>
      <c r="F537" s="30"/>
      <c r="G537" s="7">
        <f t="shared" si="149"/>
        <v>0</v>
      </c>
      <c r="H537" s="58"/>
      <c r="I537" s="16"/>
      <c r="J537" s="8"/>
      <c r="K537" s="10"/>
      <c r="L537" s="10"/>
      <c r="M537" s="10"/>
      <c r="N537" s="30"/>
      <c r="O537" s="7">
        <f t="shared" ref="O537:O543" si="151">SUM(J537:N537)</f>
        <v>0</v>
      </c>
      <c r="P537" s="56"/>
    </row>
    <row r="538" spans="1:17" x14ac:dyDescent="0.15">
      <c r="A538" s="16"/>
      <c r="B538" s="8"/>
      <c r="C538" s="10"/>
      <c r="D538" s="10"/>
      <c r="E538" s="10"/>
      <c r="F538" s="30"/>
      <c r="G538" s="7">
        <f t="shared" si="149"/>
        <v>0</v>
      </c>
      <c r="H538" s="58"/>
      <c r="I538" s="16" t="s">
        <v>937</v>
      </c>
      <c r="J538" s="8"/>
      <c r="K538" s="10"/>
      <c r="L538" s="10"/>
      <c r="M538" s="10"/>
      <c r="N538" s="30"/>
      <c r="O538" s="7">
        <f t="shared" ref="O538:O539" si="152">SUM(J538:N538)</f>
        <v>0</v>
      </c>
      <c r="P538" s="56" t="s">
        <v>936</v>
      </c>
    </row>
    <row r="539" spans="1:17" x14ac:dyDescent="0.15">
      <c r="A539" s="16"/>
      <c r="B539" s="8"/>
      <c r="C539" s="10"/>
      <c r="D539" s="10"/>
      <c r="E539" s="10"/>
      <c r="F539" s="30"/>
      <c r="G539" s="7">
        <f t="shared" si="149"/>
        <v>0</v>
      </c>
      <c r="H539" s="58"/>
      <c r="I539" s="16" t="s">
        <v>944</v>
      </c>
      <c r="J539" s="11"/>
      <c r="K539" s="12"/>
      <c r="L539" s="12"/>
      <c r="M539" s="12"/>
      <c r="N539" s="31"/>
      <c r="O539" s="7">
        <f t="shared" si="152"/>
        <v>0</v>
      </c>
      <c r="P539" s="56" t="s">
        <v>945</v>
      </c>
    </row>
    <row r="540" spans="1:17" x14ac:dyDescent="0.15">
      <c r="A540" s="16"/>
      <c r="B540" s="8"/>
      <c r="C540" s="10"/>
      <c r="D540" s="10"/>
      <c r="E540" s="10"/>
      <c r="F540" s="59"/>
      <c r="G540" s="7">
        <f t="shared" si="149"/>
        <v>0</v>
      </c>
      <c r="H540" s="58"/>
      <c r="I540" s="16" t="s">
        <v>953</v>
      </c>
      <c r="J540" s="11"/>
      <c r="K540" s="12"/>
      <c r="L540" s="12"/>
      <c r="M540" s="12"/>
      <c r="N540" s="31"/>
      <c r="O540" s="7">
        <f t="shared" si="151"/>
        <v>0</v>
      </c>
      <c r="P540" s="56" t="s">
        <v>952</v>
      </c>
    </row>
    <row r="541" spans="1:17" x14ac:dyDescent="0.15">
      <c r="A541" s="16"/>
      <c r="B541" s="37"/>
      <c r="C541" s="35"/>
      <c r="D541" s="35"/>
      <c r="E541" s="35"/>
      <c r="F541" s="28"/>
      <c r="G541" s="7">
        <f t="shared" si="149"/>
        <v>0</v>
      </c>
      <c r="H541" s="58"/>
      <c r="I541" s="16" t="s">
        <v>30</v>
      </c>
      <c r="J541" s="11"/>
      <c r="K541" s="12"/>
      <c r="L541" s="12"/>
      <c r="M541" s="12"/>
      <c r="N541" s="31"/>
      <c r="O541" s="7">
        <f t="shared" si="151"/>
        <v>0</v>
      </c>
      <c r="P541" s="56" t="s">
        <v>947</v>
      </c>
      <c r="Q541" s="56"/>
    </row>
    <row r="542" spans="1:17" x14ac:dyDescent="0.15">
      <c r="A542" s="16"/>
      <c r="B542" s="8"/>
      <c r="C542" s="10"/>
      <c r="D542" s="10"/>
      <c r="E542" s="10"/>
      <c r="F542" s="30"/>
      <c r="G542" s="7">
        <f t="shared" si="149"/>
        <v>0</v>
      </c>
      <c r="H542" s="58"/>
      <c r="I542" s="39" t="s">
        <v>38</v>
      </c>
      <c r="J542" s="11"/>
      <c r="K542" s="12"/>
      <c r="L542" s="12"/>
      <c r="M542" s="12"/>
      <c r="N542" s="31"/>
      <c r="O542" s="7">
        <f t="shared" si="151"/>
        <v>0</v>
      </c>
      <c r="P542" s="56" t="s">
        <v>946</v>
      </c>
      <c r="Q542" s="56"/>
    </row>
    <row r="543" spans="1:17" x14ac:dyDescent="0.15">
      <c r="A543" s="16"/>
      <c r="B543" s="8"/>
      <c r="C543" s="10"/>
      <c r="D543" s="10"/>
      <c r="E543" s="10"/>
      <c r="F543" s="30"/>
      <c r="G543" s="9">
        <f t="shared" si="149"/>
        <v>0</v>
      </c>
      <c r="H543" s="58"/>
      <c r="I543" s="16" t="s">
        <v>916</v>
      </c>
      <c r="J543" s="8"/>
      <c r="K543" s="10"/>
      <c r="L543" s="10"/>
      <c r="M543" s="10"/>
      <c r="N543" s="30"/>
      <c r="O543" s="7">
        <f t="shared" si="151"/>
        <v>0</v>
      </c>
      <c r="P543" s="58">
        <v>43570</v>
      </c>
    </row>
    <row r="544" spans="1:17" ht="14.25" thickBot="1" x14ac:dyDescent="0.2">
      <c r="A544" s="51"/>
      <c r="B544" s="37"/>
      <c r="C544" s="35"/>
      <c r="D544" s="35"/>
      <c r="E544" s="35"/>
      <c r="F544" s="28"/>
      <c r="G544" s="7">
        <f t="shared" si="149"/>
        <v>0</v>
      </c>
      <c r="H544" s="58"/>
      <c r="I544" s="39" t="s">
        <v>858</v>
      </c>
      <c r="J544" s="11"/>
      <c r="K544" s="12"/>
      <c r="L544" s="12"/>
      <c r="M544" s="12"/>
      <c r="N544" s="31"/>
      <c r="O544" s="7">
        <f t="shared" si="148"/>
        <v>0</v>
      </c>
      <c r="P544" s="56" t="s">
        <v>968</v>
      </c>
    </row>
    <row r="545" spans="1:16" ht="14.25" thickBot="1" x14ac:dyDescent="0.2">
      <c r="A545" s="3" t="s">
        <v>11</v>
      </c>
      <c r="B545" s="23">
        <f>SUM(B519:B544)</f>
        <v>8</v>
      </c>
      <c r="C545" s="4">
        <f>SUM(C519:C544)</f>
        <v>9</v>
      </c>
      <c r="D545" s="4">
        <f>SUM(D519:D544)</f>
        <v>9</v>
      </c>
      <c r="E545" s="6">
        <f>SUM(E519:E544)</f>
        <v>12</v>
      </c>
      <c r="F545" s="32">
        <f>SUM(F519:F544)</f>
        <v>0</v>
      </c>
      <c r="G545" s="5">
        <f>SUM(B545:F545)</f>
        <v>38</v>
      </c>
      <c r="H545" s="56"/>
      <c r="I545" s="3" t="s">
        <v>11</v>
      </c>
      <c r="J545" s="23">
        <f>SUM(J519:J544)</f>
        <v>32</v>
      </c>
      <c r="K545" s="4">
        <f>SUM(K519:K544)</f>
        <v>35</v>
      </c>
      <c r="L545" s="4">
        <f>SUM(L519:L544)</f>
        <v>57</v>
      </c>
      <c r="M545" s="6">
        <f>SUM(M519:M544)</f>
        <v>32</v>
      </c>
      <c r="N545" s="32">
        <f>SUM(N519:N544)</f>
        <v>47</v>
      </c>
      <c r="O545" s="5">
        <f>SUM(J545:N545)</f>
        <v>203</v>
      </c>
    </row>
    <row r="546" spans="1:16" ht="14.25" thickBot="1" x14ac:dyDescent="0.2">
      <c r="A546" s="25" t="s">
        <v>12</v>
      </c>
      <c r="B546" s="63">
        <f>B518-B545</f>
        <v>11</v>
      </c>
      <c r="C546" s="26">
        <f t="shared" ref="C546:G546" si="153">C518-C545</f>
        <v>22</v>
      </c>
      <c r="D546" s="71">
        <f t="shared" si="153"/>
        <v>13</v>
      </c>
      <c r="E546" s="26">
        <f t="shared" si="153"/>
        <v>8</v>
      </c>
      <c r="F546" s="70">
        <f t="shared" si="153"/>
        <v>14</v>
      </c>
      <c r="G546" s="27">
        <f t="shared" si="153"/>
        <v>68</v>
      </c>
      <c r="H546" s="56"/>
      <c r="I546" s="25" t="s">
        <v>12</v>
      </c>
      <c r="J546" s="63">
        <f t="shared" ref="J546:O546" si="154">J518-J545</f>
        <v>223</v>
      </c>
      <c r="K546" s="26">
        <f t="shared" si="154"/>
        <v>265</v>
      </c>
      <c r="L546" s="71">
        <f t="shared" si="154"/>
        <v>224</v>
      </c>
      <c r="M546" s="26">
        <f t="shared" si="154"/>
        <v>203</v>
      </c>
      <c r="N546" s="70">
        <f t="shared" si="154"/>
        <v>155</v>
      </c>
      <c r="O546" s="27">
        <f t="shared" si="154"/>
        <v>1070</v>
      </c>
    </row>
    <row r="547" spans="1:16" ht="21" x14ac:dyDescent="0.2">
      <c r="A547" s="86" t="s">
        <v>413</v>
      </c>
      <c r="B547" s="87"/>
      <c r="C547" s="87"/>
      <c r="D547" s="87"/>
      <c r="E547" s="87"/>
      <c r="F547" s="87"/>
      <c r="G547" s="87"/>
      <c r="H547" s="56"/>
      <c r="I547" s="86" t="s">
        <v>413</v>
      </c>
      <c r="J547" s="87"/>
      <c r="K547" s="87"/>
      <c r="L547" s="87"/>
      <c r="M547" s="87"/>
      <c r="N547" s="87"/>
      <c r="O547" s="87"/>
    </row>
    <row r="548" spans="1:16" ht="21.75" thickBot="1" x14ac:dyDescent="0.25">
      <c r="A548" s="86" t="s">
        <v>51</v>
      </c>
      <c r="B548" s="87"/>
      <c r="C548" s="87"/>
      <c r="D548" s="87"/>
      <c r="E548" s="85"/>
      <c r="F548" s="88" t="s">
        <v>53</v>
      </c>
      <c r="G548" s="87"/>
      <c r="H548" s="56"/>
      <c r="I548" s="86" t="s">
        <v>51</v>
      </c>
      <c r="J548" s="87"/>
      <c r="K548" s="87"/>
      <c r="L548" s="87"/>
      <c r="M548" s="89"/>
      <c r="N548" s="88" t="s">
        <v>54</v>
      </c>
      <c r="O548" s="87"/>
    </row>
    <row r="549" spans="1:16" ht="14.25" thickBot="1" x14ac:dyDescent="0.2">
      <c r="A549" s="13" t="s">
        <v>0</v>
      </c>
      <c r="B549" s="228" t="s">
        <v>52</v>
      </c>
      <c r="C549" s="229"/>
      <c r="D549" s="229"/>
      <c r="E549" s="229"/>
      <c r="F549" s="230"/>
      <c r="G549" s="231"/>
      <c r="H549" s="56"/>
      <c r="I549" s="13" t="s">
        <v>0</v>
      </c>
      <c r="J549" s="228" t="s">
        <v>52</v>
      </c>
      <c r="K549" s="229"/>
      <c r="L549" s="229"/>
      <c r="M549" s="229"/>
      <c r="N549" s="230"/>
      <c r="O549" s="231"/>
    </row>
    <row r="550" spans="1:16" ht="14.25" thickBot="1" x14ac:dyDescent="0.2">
      <c r="A550" s="3" t="s">
        <v>1</v>
      </c>
      <c r="B550" s="2" t="s">
        <v>42</v>
      </c>
      <c r="C550" s="21" t="s">
        <v>43</v>
      </c>
      <c r="D550" s="21" t="s">
        <v>44</v>
      </c>
      <c r="E550" s="24" t="s">
        <v>45</v>
      </c>
      <c r="F550" s="33" t="s">
        <v>46</v>
      </c>
      <c r="G550" s="3" t="s">
        <v>2</v>
      </c>
      <c r="H550" s="56"/>
      <c r="I550" s="3" t="s">
        <v>1</v>
      </c>
      <c r="J550" s="41" t="s">
        <v>42</v>
      </c>
      <c r="K550" s="42" t="s">
        <v>43</v>
      </c>
      <c r="L550" s="42" t="s">
        <v>44</v>
      </c>
      <c r="M550" s="43" t="s">
        <v>45</v>
      </c>
      <c r="N550" s="44" t="s">
        <v>46</v>
      </c>
      <c r="O550" s="3" t="s">
        <v>2</v>
      </c>
    </row>
    <row r="551" spans="1:16" x14ac:dyDescent="0.15">
      <c r="A551" s="96" t="s">
        <v>13</v>
      </c>
      <c r="B551" s="95">
        <f>B546</f>
        <v>11</v>
      </c>
      <c r="C551" s="97">
        <f t="shared" ref="C551:F551" si="155">C546</f>
        <v>22</v>
      </c>
      <c r="D551" s="97">
        <f t="shared" si="155"/>
        <v>13</v>
      </c>
      <c r="E551" s="97">
        <f t="shared" si="155"/>
        <v>8</v>
      </c>
      <c r="F551" s="139">
        <f t="shared" si="155"/>
        <v>14</v>
      </c>
      <c r="G551" s="52">
        <f t="shared" ref="G551:G559" si="156">SUM(B551:F551)</f>
        <v>68</v>
      </c>
      <c r="H551" s="56"/>
      <c r="I551" s="96" t="s">
        <v>13</v>
      </c>
      <c r="J551" s="95">
        <f>J546</f>
        <v>223</v>
      </c>
      <c r="K551" s="97">
        <f t="shared" ref="K551:N551" si="157">K546</f>
        <v>265</v>
      </c>
      <c r="L551" s="97">
        <f t="shared" si="157"/>
        <v>224</v>
      </c>
      <c r="M551" s="97">
        <f t="shared" si="157"/>
        <v>203</v>
      </c>
      <c r="N551" s="139">
        <f t="shared" si="157"/>
        <v>155</v>
      </c>
      <c r="O551" s="52">
        <f t="shared" ref="O551:O559" si="158">SUM(J551:N551)</f>
        <v>1070</v>
      </c>
    </row>
    <row r="552" spans="1:16" x14ac:dyDescent="0.15">
      <c r="A552" s="15" t="s">
        <v>19</v>
      </c>
      <c r="B552" s="8"/>
      <c r="C552" s="10">
        <v>1</v>
      </c>
      <c r="D552" s="10"/>
      <c r="E552" s="10">
        <v>3</v>
      </c>
      <c r="F552" s="104">
        <v>2</v>
      </c>
      <c r="G552" s="9">
        <f t="shared" si="156"/>
        <v>6</v>
      </c>
      <c r="H552" s="58">
        <v>43619</v>
      </c>
      <c r="I552" s="15" t="s">
        <v>1002</v>
      </c>
      <c r="J552" s="37">
        <v>9</v>
      </c>
      <c r="K552" s="135">
        <v>20</v>
      </c>
      <c r="L552" s="135">
        <v>10</v>
      </c>
      <c r="M552" s="135">
        <v>7</v>
      </c>
      <c r="N552" s="136">
        <v>11</v>
      </c>
      <c r="O552" s="7">
        <f t="shared" si="158"/>
        <v>57</v>
      </c>
      <c r="P552" s="57">
        <v>43636</v>
      </c>
    </row>
    <row r="553" spans="1:16" x14ac:dyDescent="0.15">
      <c r="A553" s="15" t="s">
        <v>19</v>
      </c>
      <c r="B553" s="8"/>
      <c r="C553" s="10"/>
      <c r="D553" s="10">
        <v>1</v>
      </c>
      <c r="E553" s="10">
        <v>2</v>
      </c>
      <c r="F553" s="104">
        <v>2</v>
      </c>
      <c r="G553" s="9">
        <f t="shared" si="156"/>
        <v>5</v>
      </c>
      <c r="H553" s="58">
        <v>43636</v>
      </c>
      <c r="I553" s="15" t="s">
        <v>4</v>
      </c>
      <c r="J553" s="8">
        <v>2</v>
      </c>
      <c r="K553" s="45">
        <v>3</v>
      </c>
      <c r="L553" s="45">
        <v>4</v>
      </c>
      <c r="M553" s="45">
        <v>22</v>
      </c>
      <c r="N553" s="46">
        <v>11</v>
      </c>
      <c r="O553" s="9">
        <f t="shared" si="158"/>
        <v>42</v>
      </c>
      <c r="P553" s="58">
        <v>43666</v>
      </c>
    </row>
    <row r="554" spans="1:16" x14ac:dyDescent="0.15">
      <c r="A554" s="15" t="s">
        <v>685</v>
      </c>
      <c r="B554" s="8"/>
      <c r="C554" s="10">
        <v>1</v>
      </c>
      <c r="D554" s="10"/>
      <c r="E554" s="10">
        <v>1</v>
      </c>
      <c r="F554" s="104"/>
      <c r="G554" s="9">
        <f t="shared" si="156"/>
        <v>2</v>
      </c>
      <c r="H554" s="58">
        <v>43637</v>
      </c>
      <c r="I554" s="15" t="s">
        <v>5</v>
      </c>
      <c r="J554" s="8"/>
      <c r="K554" s="45"/>
      <c r="L554" s="45"/>
      <c r="M554" s="45"/>
      <c r="N554" s="46"/>
      <c r="O554" s="9">
        <f t="shared" si="158"/>
        <v>0</v>
      </c>
    </row>
    <row r="555" spans="1:16" x14ac:dyDescent="0.15">
      <c r="A555" s="15" t="s">
        <v>111</v>
      </c>
      <c r="B555" s="11"/>
      <c r="C555" s="12">
        <v>1</v>
      </c>
      <c r="D555" s="12"/>
      <c r="E555" s="12"/>
      <c r="F555" s="108"/>
      <c r="G555" s="9">
        <f t="shared" si="156"/>
        <v>1</v>
      </c>
      <c r="H555" s="58">
        <v>43637</v>
      </c>
      <c r="I555" s="15" t="s">
        <v>6</v>
      </c>
      <c r="J555" s="8"/>
      <c r="K555" s="45"/>
      <c r="L555" s="45"/>
      <c r="M555" s="45"/>
      <c r="N555" s="46"/>
      <c r="O555" s="9">
        <f t="shared" si="158"/>
        <v>0</v>
      </c>
    </row>
    <row r="556" spans="1:16" x14ac:dyDescent="0.15">
      <c r="A556" s="15" t="s">
        <v>84</v>
      </c>
      <c r="B556" s="8">
        <v>3</v>
      </c>
      <c r="C556" s="10"/>
      <c r="D556" s="10">
        <v>3</v>
      </c>
      <c r="E556" s="10"/>
      <c r="F556" s="30">
        <v>3</v>
      </c>
      <c r="G556" s="7">
        <f t="shared" si="156"/>
        <v>9</v>
      </c>
      <c r="H556" s="58">
        <v>43643</v>
      </c>
      <c r="I556" s="15" t="s">
        <v>84</v>
      </c>
      <c r="J556" s="8"/>
      <c r="K556" s="45"/>
      <c r="L556" s="45"/>
      <c r="M556" s="45"/>
      <c r="N556" s="46"/>
      <c r="O556" s="7">
        <f t="shared" si="158"/>
        <v>0</v>
      </c>
    </row>
    <row r="557" spans="1:16" x14ac:dyDescent="0.15">
      <c r="A557" s="15" t="s">
        <v>111</v>
      </c>
      <c r="B557" s="8"/>
      <c r="C557" s="10"/>
      <c r="D557" s="10">
        <v>1</v>
      </c>
      <c r="E557" s="10"/>
      <c r="F557" s="30"/>
      <c r="G557" s="7">
        <f t="shared" si="156"/>
        <v>1</v>
      </c>
      <c r="H557" s="58">
        <v>43643</v>
      </c>
      <c r="I557" s="15" t="s">
        <v>85</v>
      </c>
      <c r="J557" s="8"/>
      <c r="K557" s="45"/>
      <c r="L557" s="45"/>
      <c r="M557" s="45"/>
      <c r="N557" s="46"/>
      <c r="O557" s="7">
        <f t="shared" si="158"/>
        <v>0</v>
      </c>
    </row>
    <row r="558" spans="1:16" x14ac:dyDescent="0.15">
      <c r="A558" s="15" t="s">
        <v>111</v>
      </c>
      <c r="B558" s="8"/>
      <c r="C558" s="45">
        <v>2</v>
      </c>
      <c r="D558" s="45">
        <v>1</v>
      </c>
      <c r="E558" s="45"/>
      <c r="F558" s="46"/>
      <c r="G558" s="102">
        <f t="shared" si="156"/>
        <v>3</v>
      </c>
      <c r="H558" s="58">
        <v>43649</v>
      </c>
      <c r="I558" s="15" t="s">
        <v>86</v>
      </c>
      <c r="J558" s="8"/>
      <c r="K558" s="45"/>
      <c r="L558" s="45"/>
      <c r="M558" s="45"/>
      <c r="N558" s="46"/>
      <c r="O558" s="102">
        <f t="shared" si="158"/>
        <v>0</v>
      </c>
    </row>
    <row r="559" spans="1:16" ht="14.25" thickBot="1" x14ac:dyDescent="0.2">
      <c r="A559" s="15" t="s">
        <v>19</v>
      </c>
      <c r="B559" s="11">
        <v>1</v>
      </c>
      <c r="C559" s="100">
        <v>1</v>
      </c>
      <c r="D559" s="100"/>
      <c r="E559" s="100">
        <v>2</v>
      </c>
      <c r="F559" s="109"/>
      <c r="G559" s="40">
        <f t="shared" si="156"/>
        <v>4</v>
      </c>
      <c r="H559" s="58">
        <v>43651</v>
      </c>
      <c r="I559" s="15" t="s">
        <v>87</v>
      </c>
      <c r="J559" s="47"/>
      <c r="K559" s="48"/>
      <c r="L559" s="48"/>
      <c r="M559" s="48"/>
      <c r="N559" s="49"/>
      <c r="O559" s="40">
        <f t="shared" si="158"/>
        <v>0</v>
      </c>
    </row>
    <row r="560" spans="1:16" ht="14.25" thickBot="1" x14ac:dyDescent="0.2">
      <c r="A560" s="72" t="s">
        <v>7</v>
      </c>
      <c r="B560" s="73">
        <f>SUM(B551:B559)</f>
        <v>15</v>
      </c>
      <c r="C560" s="74">
        <f t="shared" ref="C560:G560" si="159">SUM(C551:C559)</f>
        <v>28</v>
      </c>
      <c r="D560" s="74">
        <f t="shared" si="159"/>
        <v>19</v>
      </c>
      <c r="E560" s="74">
        <f t="shared" si="159"/>
        <v>16</v>
      </c>
      <c r="F560" s="105">
        <f t="shared" si="159"/>
        <v>21</v>
      </c>
      <c r="G560" s="76">
        <f t="shared" si="159"/>
        <v>99</v>
      </c>
      <c r="H560" s="56"/>
      <c r="I560" s="72" t="s">
        <v>7</v>
      </c>
      <c r="J560" s="73">
        <f>SUM(J551:J559)</f>
        <v>234</v>
      </c>
      <c r="K560" s="74">
        <f t="shared" ref="K560:O560" si="160">SUM(K551:K559)</f>
        <v>288</v>
      </c>
      <c r="L560" s="74">
        <f t="shared" si="160"/>
        <v>238</v>
      </c>
      <c r="M560" s="74">
        <f t="shared" si="160"/>
        <v>232</v>
      </c>
      <c r="N560" s="105">
        <f t="shared" si="160"/>
        <v>177</v>
      </c>
      <c r="O560" s="76">
        <f t="shared" si="160"/>
        <v>1169</v>
      </c>
    </row>
    <row r="561" spans="1:17" x14ac:dyDescent="0.15">
      <c r="A561" s="16" t="s">
        <v>215</v>
      </c>
      <c r="B561" s="8"/>
      <c r="C561" s="10"/>
      <c r="D561" s="10"/>
      <c r="E561" s="10"/>
      <c r="F561" s="30">
        <v>1</v>
      </c>
      <c r="G561" s="9">
        <f t="shared" ref="G561:G586" si="161">SUM(B561:F561)</f>
        <v>1</v>
      </c>
      <c r="H561" s="58">
        <v>43623</v>
      </c>
      <c r="I561" s="16" t="s">
        <v>1017</v>
      </c>
      <c r="J561" s="17">
        <v>2</v>
      </c>
      <c r="K561" s="22">
        <v>2</v>
      </c>
      <c r="L561" s="22">
        <v>2</v>
      </c>
      <c r="M561" s="22">
        <v>6</v>
      </c>
      <c r="N561" s="29">
        <v>5</v>
      </c>
      <c r="O561" s="18">
        <f t="shared" ref="O561:O586" si="162">SUM(J561:N561)</f>
        <v>17</v>
      </c>
      <c r="P561" s="58">
        <v>43621</v>
      </c>
    </row>
    <row r="562" spans="1:17" x14ac:dyDescent="0.15">
      <c r="A562" s="16" t="s">
        <v>29</v>
      </c>
      <c r="B562" s="8"/>
      <c r="C562" s="10"/>
      <c r="D562" s="10"/>
      <c r="E562" s="10"/>
      <c r="F562" s="30">
        <v>1</v>
      </c>
      <c r="G562" s="7">
        <f t="shared" si="161"/>
        <v>1</v>
      </c>
      <c r="H562" s="58">
        <v>43626</v>
      </c>
      <c r="I562" s="16" t="s">
        <v>8</v>
      </c>
      <c r="J562" s="8">
        <v>10</v>
      </c>
      <c r="K562" s="10"/>
      <c r="L562" s="10">
        <v>10</v>
      </c>
      <c r="M562" s="10"/>
      <c r="N562" s="30"/>
      <c r="O562" s="7">
        <f t="shared" si="162"/>
        <v>20</v>
      </c>
      <c r="P562" s="58">
        <v>43626</v>
      </c>
    </row>
    <row r="563" spans="1:17" x14ac:dyDescent="0.15">
      <c r="A563" s="16" t="s">
        <v>995</v>
      </c>
      <c r="B563" s="8">
        <v>-1</v>
      </c>
      <c r="C563" s="10"/>
      <c r="D563" s="10"/>
      <c r="E563" s="10">
        <v>1</v>
      </c>
      <c r="F563" s="30"/>
      <c r="G563" s="7">
        <f t="shared" si="161"/>
        <v>0</v>
      </c>
      <c r="H563" s="58">
        <v>43630</v>
      </c>
      <c r="I563" s="16" t="s">
        <v>10</v>
      </c>
      <c r="J563" s="8"/>
      <c r="K563" s="10">
        <v>1</v>
      </c>
      <c r="L563" s="10"/>
      <c r="M563" s="10"/>
      <c r="N563" s="30"/>
      <c r="O563" s="7">
        <f t="shared" si="162"/>
        <v>1</v>
      </c>
      <c r="P563" s="58">
        <v>43621</v>
      </c>
    </row>
    <row r="564" spans="1:17" x14ac:dyDescent="0.15">
      <c r="A564" s="16" t="s">
        <v>1034</v>
      </c>
      <c r="B564" s="8">
        <v>9</v>
      </c>
      <c r="C564" s="10">
        <v>20</v>
      </c>
      <c r="D564" s="10">
        <v>10</v>
      </c>
      <c r="E564" s="10">
        <v>7</v>
      </c>
      <c r="F564" s="30">
        <v>11</v>
      </c>
      <c r="G564" s="7">
        <f t="shared" si="161"/>
        <v>57</v>
      </c>
      <c r="H564" s="58">
        <v>43636</v>
      </c>
      <c r="I564" s="16" t="s">
        <v>8</v>
      </c>
      <c r="J564" s="8"/>
      <c r="K564" s="10">
        <v>10</v>
      </c>
      <c r="L564" s="10"/>
      <c r="M564" s="10"/>
      <c r="N564" s="30"/>
      <c r="O564" s="7">
        <f t="shared" si="162"/>
        <v>10</v>
      </c>
      <c r="P564" s="58">
        <v>43629</v>
      </c>
    </row>
    <row r="565" spans="1:17" x14ac:dyDescent="0.15">
      <c r="A565" s="16" t="s">
        <v>29</v>
      </c>
      <c r="B565" s="8"/>
      <c r="C565" s="10"/>
      <c r="D565" s="10"/>
      <c r="E565" s="10"/>
      <c r="F565" s="30">
        <v>1</v>
      </c>
      <c r="G565" s="7">
        <f t="shared" si="161"/>
        <v>1</v>
      </c>
      <c r="H565" s="58">
        <v>43636</v>
      </c>
      <c r="I565" s="51" t="s">
        <v>1068</v>
      </c>
      <c r="J565" s="8">
        <v>1</v>
      </c>
      <c r="K565" s="10">
        <v>2</v>
      </c>
      <c r="L565" s="10">
        <v>2</v>
      </c>
      <c r="M565" s="10">
        <v>2</v>
      </c>
      <c r="N565" s="30">
        <v>1</v>
      </c>
      <c r="O565" s="7">
        <f t="shared" si="162"/>
        <v>8</v>
      </c>
      <c r="P565" s="58">
        <v>43649</v>
      </c>
    </row>
    <row r="566" spans="1:17" x14ac:dyDescent="0.15">
      <c r="A566" s="16" t="s">
        <v>215</v>
      </c>
      <c r="B566" s="8"/>
      <c r="C566" s="10"/>
      <c r="D566" s="10"/>
      <c r="E566" s="10">
        <v>2</v>
      </c>
      <c r="F566" s="30"/>
      <c r="G566" s="7">
        <f t="shared" si="161"/>
        <v>2</v>
      </c>
      <c r="H566" s="58">
        <v>43641</v>
      </c>
      <c r="I566" s="16"/>
      <c r="J566" s="8"/>
      <c r="K566" s="10"/>
      <c r="L566" s="10"/>
      <c r="M566" s="10"/>
      <c r="N566" s="30"/>
      <c r="O566" s="7">
        <f t="shared" si="162"/>
        <v>0</v>
      </c>
      <c r="P566" s="58"/>
    </row>
    <row r="567" spans="1:17" x14ac:dyDescent="0.15">
      <c r="A567" s="16" t="s">
        <v>29</v>
      </c>
      <c r="B567" s="8"/>
      <c r="C567" s="10"/>
      <c r="D567" s="10"/>
      <c r="E567" s="10"/>
      <c r="F567" s="30">
        <v>1</v>
      </c>
      <c r="G567" s="7">
        <f t="shared" si="161"/>
        <v>1</v>
      </c>
      <c r="H567" s="58">
        <v>43640</v>
      </c>
      <c r="I567" s="16" t="s">
        <v>10</v>
      </c>
      <c r="J567" s="8"/>
      <c r="K567" s="10">
        <v>1</v>
      </c>
      <c r="L567" s="10"/>
      <c r="M567" s="10"/>
      <c r="N567" s="30"/>
      <c r="O567" s="7">
        <f t="shared" si="162"/>
        <v>1</v>
      </c>
      <c r="P567" s="58">
        <v>43643</v>
      </c>
    </row>
    <row r="568" spans="1:17" x14ac:dyDescent="0.15">
      <c r="A568" s="16" t="s">
        <v>29</v>
      </c>
      <c r="B568" s="8"/>
      <c r="C568" s="10"/>
      <c r="D568" s="10"/>
      <c r="E568" s="10"/>
      <c r="F568" s="30">
        <v>1</v>
      </c>
      <c r="G568" s="7">
        <f t="shared" si="161"/>
        <v>1</v>
      </c>
      <c r="H568" s="58">
        <v>43641</v>
      </c>
      <c r="I568" s="51" t="s">
        <v>1028</v>
      </c>
      <c r="J568" s="8"/>
      <c r="K568" s="10"/>
      <c r="L568" s="10">
        <v>3</v>
      </c>
      <c r="M568" s="10"/>
      <c r="N568" s="30"/>
      <c r="O568" s="7">
        <f t="shared" si="162"/>
        <v>3</v>
      </c>
      <c r="P568" s="58">
        <v>43649</v>
      </c>
    </row>
    <row r="569" spans="1:17" x14ac:dyDescent="0.15">
      <c r="A569" s="16" t="s">
        <v>215</v>
      </c>
      <c r="B569" s="8"/>
      <c r="C569" s="10"/>
      <c r="D569" s="10">
        <v>2</v>
      </c>
      <c r="E569" s="10"/>
      <c r="F569" s="30"/>
      <c r="G569" s="7">
        <f t="shared" si="161"/>
        <v>2</v>
      </c>
      <c r="H569" s="58">
        <v>43647</v>
      </c>
      <c r="I569" s="16" t="s">
        <v>1039</v>
      </c>
      <c r="J569" s="11">
        <v>3</v>
      </c>
      <c r="K569" s="100"/>
      <c r="L569" s="100">
        <v>3</v>
      </c>
      <c r="M569" s="100"/>
      <c r="N569" s="109">
        <v>3</v>
      </c>
      <c r="O569" s="9">
        <f t="shared" si="162"/>
        <v>9</v>
      </c>
      <c r="P569" s="58">
        <v>43643</v>
      </c>
    </row>
    <row r="570" spans="1:17" x14ac:dyDescent="0.15">
      <c r="A570" s="16" t="s">
        <v>1048</v>
      </c>
      <c r="B570" s="8"/>
      <c r="C570" s="10">
        <v>1</v>
      </c>
      <c r="D570" s="10"/>
      <c r="E570" s="10"/>
      <c r="F570" s="30"/>
      <c r="G570" s="7">
        <f t="shared" si="161"/>
        <v>1</v>
      </c>
      <c r="H570" s="58">
        <v>43649</v>
      </c>
      <c r="I570" s="16" t="s">
        <v>8</v>
      </c>
      <c r="J570" s="11"/>
      <c r="K570" s="12"/>
      <c r="L570" s="12"/>
      <c r="M570" s="12"/>
      <c r="N570" s="31">
        <v>10</v>
      </c>
      <c r="O570" s="7">
        <f t="shared" si="162"/>
        <v>10</v>
      </c>
      <c r="P570" s="58">
        <v>43651</v>
      </c>
    </row>
    <row r="571" spans="1:17" x14ac:dyDescent="0.15">
      <c r="A571" s="16" t="s">
        <v>29</v>
      </c>
      <c r="B571" s="11"/>
      <c r="C571" s="12">
        <v>1</v>
      </c>
      <c r="D571" s="12"/>
      <c r="E571" s="12"/>
      <c r="F571" s="31"/>
      <c r="G571" s="7">
        <f t="shared" si="161"/>
        <v>1</v>
      </c>
      <c r="H571" s="58">
        <v>43652</v>
      </c>
      <c r="I571" s="16" t="s">
        <v>964</v>
      </c>
      <c r="J571" s="8"/>
      <c r="K571" s="10">
        <v>2</v>
      </c>
      <c r="L571" s="10">
        <v>1</v>
      </c>
      <c r="M571" s="10">
        <v>1</v>
      </c>
      <c r="N571" s="30"/>
      <c r="O571" s="7">
        <f t="shared" si="162"/>
        <v>4</v>
      </c>
      <c r="P571" s="58">
        <v>43650</v>
      </c>
    </row>
    <row r="572" spans="1:17" x14ac:dyDescent="0.15">
      <c r="A572" s="16" t="s">
        <v>215</v>
      </c>
      <c r="B572" s="8"/>
      <c r="C572" s="10">
        <v>5</v>
      </c>
      <c r="D572" s="10"/>
      <c r="E572" s="10"/>
      <c r="F572" s="30">
        <v>1</v>
      </c>
      <c r="G572" s="7">
        <f t="shared" si="161"/>
        <v>6</v>
      </c>
      <c r="H572" s="58">
        <v>43656</v>
      </c>
      <c r="I572" s="14" t="s">
        <v>991</v>
      </c>
      <c r="J572" s="8"/>
      <c r="K572" s="10"/>
      <c r="L572" s="10"/>
      <c r="M572" s="10">
        <v>2</v>
      </c>
      <c r="N572" s="30"/>
      <c r="O572" s="7">
        <f t="shared" si="162"/>
        <v>2</v>
      </c>
      <c r="P572" s="58">
        <v>43651</v>
      </c>
    </row>
    <row r="573" spans="1:17" x14ac:dyDescent="0.15">
      <c r="A573" s="15" t="s">
        <v>19</v>
      </c>
      <c r="B573" s="8"/>
      <c r="C573" s="10"/>
      <c r="D573" s="10">
        <v>-1</v>
      </c>
      <c r="E573" s="10">
        <v>-17</v>
      </c>
      <c r="F573" s="30">
        <v>-9</v>
      </c>
      <c r="G573" s="7">
        <f t="shared" si="161"/>
        <v>-27</v>
      </c>
      <c r="H573" s="58">
        <v>43654</v>
      </c>
      <c r="I573" s="16" t="s">
        <v>8</v>
      </c>
      <c r="J573" s="8"/>
      <c r="K573" s="10">
        <v>10</v>
      </c>
      <c r="L573" s="10"/>
      <c r="M573" s="10"/>
      <c r="N573" s="30"/>
      <c r="O573" s="7">
        <f t="shared" si="162"/>
        <v>10</v>
      </c>
      <c r="P573" s="58">
        <v>43654</v>
      </c>
    </row>
    <row r="574" spans="1:17" x14ac:dyDescent="0.15">
      <c r="A574" s="16" t="s">
        <v>29</v>
      </c>
      <c r="B574" s="8"/>
      <c r="C574" s="10"/>
      <c r="D574" s="10"/>
      <c r="E574" s="10"/>
      <c r="F574" s="30">
        <v>1</v>
      </c>
      <c r="G574" s="7">
        <f t="shared" si="161"/>
        <v>1</v>
      </c>
      <c r="H574" s="58">
        <v>43654</v>
      </c>
      <c r="I574" s="16" t="s">
        <v>8</v>
      </c>
      <c r="J574" s="11"/>
      <c r="K574" s="12"/>
      <c r="L574" s="12"/>
      <c r="M574" s="12">
        <v>10</v>
      </c>
      <c r="N574" s="31">
        <v>10</v>
      </c>
      <c r="O574" s="7">
        <f t="shared" si="162"/>
        <v>20</v>
      </c>
      <c r="P574" s="58">
        <v>43650</v>
      </c>
    </row>
    <row r="575" spans="1:17" x14ac:dyDescent="0.15">
      <c r="A575" s="16" t="s">
        <v>1054</v>
      </c>
      <c r="B575" s="8"/>
      <c r="C575" s="10">
        <v>-5</v>
      </c>
      <c r="D575" s="10"/>
      <c r="E575" s="10"/>
      <c r="F575" s="30"/>
      <c r="G575" s="7">
        <f t="shared" si="161"/>
        <v>-5</v>
      </c>
      <c r="H575" s="58">
        <v>43655</v>
      </c>
      <c r="I575" s="14" t="s">
        <v>22</v>
      </c>
      <c r="J575" s="11"/>
      <c r="K575" s="12"/>
      <c r="L575" s="12"/>
      <c r="M575" s="12">
        <v>10</v>
      </c>
      <c r="N575" s="31"/>
      <c r="O575" s="7">
        <f t="shared" si="162"/>
        <v>10</v>
      </c>
      <c r="P575" s="58">
        <v>43651</v>
      </c>
    </row>
    <row r="576" spans="1:17" x14ac:dyDescent="0.15">
      <c r="A576" s="16" t="s">
        <v>1056</v>
      </c>
      <c r="B576" s="8">
        <v>1</v>
      </c>
      <c r="C576" s="10"/>
      <c r="D576" s="10"/>
      <c r="E576" s="10"/>
      <c r="F576" s="30"/>
      <c r="G576" s="7">
        <f t="shared" si="161"/>
        <v>1</v>
      </c>
      <c r="H576" s="58">
        <v>43656</v>
      </c>
      <c r="I576" s="14" t="s">
        <v>22</v>
      </c>
      <c r="J576" s="8"/>
      <c r="K576" s="10"/>
      <c r="L576" s="10"/>
      <c r="M576" s="10">
        <v>10</v>
      </c>
      <c r="N576" s="30"/>
      <c r="O576" s="7">
        <f t="shared" si="162"/>
        <v>10</v>
      </c>
      <c r="P576" s="58">
        <v>43657</v>
      </c>
      <c r="Q576" s="56"/>
    </row>
    <row r="577" spans="1:17" x14ac:dyDescent="0.15">
      <c r="A577" s="16" t="s">
        <v>39</v>
      </c>
      <c r="B577" s="8">
        <v>-1</v>
      </c>
      <c r="C577" s="10"/>
      <c r="D577" s="10">
        <v>-1</v>
      </c>
      <c r="E577" s="10"/>
      <c r="F577" s="30"/>
      <c r="G577" s="7">
        <f t="shared" si="161"/>
        <v>-2</v>
      </c>
      <c r="H577" s="58">
        <v>43651</v>
      </c>
      <c r="I577" s="51" t="s">
        <v>1029</v>
      </c>
      <c r="J577" s="8"/>
      <c r="K577" s="10"/>
      <c r="L577" s="10"/>
      <c r="M577" s="10"/>
      <c r="N577" s="30">
        <v>3</v>
      </c>
      <c r="O577" s="7">
        <f t="shared" si="162"/>
        <v>3</v>
      </c>
      <c r="P577" s="58">
        <v>43662</v>
      </c>
      <c r="Q577" s="56"/>
    </row>
    <row r="578" spans="1:17" x14ac:dyDescent="0.15">
      <c r="A578" s="16" t="s">
        <v>1066</v>
      </c>
      <c r="B578" s="8"/>
      <c r="C578" s="10">
        <v>-1</v>
      </c>
      <c r="D578" s="10"/>
      <c r="E578" s="10"/>
      <c r="F578" s="30"/>
      <c r="G578" s="7">
        <f t="shared" si="161"/>
        <v>-1</v>
      </c>
      <c r="H578" s="58">
        <v>43662</v>
      </c>
      <c r="I578" s="16" t="s">
        <v>10</v>
      </c>
      <c r="J578" s="11"/>
      <c r="K578" s="12"/>
      <c r="L578" s="12">
        <v>1</v>
      </c>
      <c r="M578" s="12"/>
      <c r="N578" s="31"/>
      <c r="O578" s="7">
        <f t="shared" si="162"/>
        <v>1</v>
      </c>
      <c r="P578" s="58">
        <v>43656</v>
      </c>
    </row>
    <row r="579" spans="1:17" x14ac:dyDescent="0.15">
      <c r="A579" s="16" t="s">
        <v>1069</v>
      </c>
      <c r="B579" s="8">
        <v>-1</v>
      </c>
      <c r="C579" s="10"/>
      <c r="D579" s="10"/>
      <c r="E579" s="10"/>
      <c r="F579" s="30"/>
      <c r="G579" s="7">
        <f t="shared" si="161"/>
        <v>-1</v>
      </c>
      <c r="H579" s="58">
        <v>43664</v>
      </c>
      <c r="I579" s="16" t="s">
        <v>1053</v>
      </c>
      <c r="J579" s="11"/>
      <c r="K579" s="12">
        <v>5</v>
      </c>
      <c r="L579" s="12"/>
      <c r="M579" s="12"/>
      <c r="N579" s="31"/>
      <c r="O579" s="7">
        <f t="shared" si="162"/>
        <v>5</v>
      </c>
      <c r="P579" s="58">
        <v>43655</v>
      </c>
    </row>
    <row r="580" spans="1:17" x14ac:dyDescent="0.15">
      <c r="A580" s="16" t="s">
        <v>1001</v>
      </c>
      <c r="B580" s="8">
        <v>2</v>
      </c>
      <c r="C580" s="10">
        <v>3</v>
      </c>
      <c r="D580" s="10">
        <v>4</v>
      </c>
      <c r="E580" s="10">
        <v>22</v>
      </c>
      <c r="F580" s="30">
        <v>11</v>
      </c>
      <c r="G580" s="7">
        <f t="shared" si="161"/>
        <v>42</v>
      </c>
      <c r="H580" s="58">
        <v>43666</v>
      </c>
      <c r="I580" s="14" t="s">
        <v>992</v>
      </c>
      <c r="J580" s="11"/>
      <c r="K580" s="12"/>
      <c r="L580" s="12"/>
      <c r="M580" s="12">
        <v>2</v>
      </c>
      <c r="N580" s="31"/>
      <c r="O580" s="7">
        <f t="shared" si="162"/>
        <v>2</v>
      </c>
      <c r="P580" s="58">
        <v>43662</v>
      </c>
    </row>
    <row r="581" spans="1:17" x14ac:dyDescent="0.15">
      <c r="A581" s="16" t="s">
        <v>995</v>
      </c>
      <c r="B581" s="8">
        <v>1</v>
      </c>
      <c r="C581" s="10">
        <v>-1</v>
      </c>
      <c r="D581" s="10"/>
      <c r="E581" s="10"/>
      <c r="F581" s="30"/>
      <c r="G581" s="7">
        <f t="shared" si="161"/>
        <v>0</v>
      </c>
      <c r="H581" s="58">
        <v>43675</v>
      </c>
      <c r="I581" s="51" t="s">
        <v>1061</v>
      </c>
      <c r="J581" s="11"/>
      <c r="K581" s="12"/>
      <c r="L581" s="12"/>
      <c r="M581" s="12"/>
      <c r="N581" s="31">
        <v>1</v>
      </c>
      <c r="O581" s="7">
        <f t="shared" ref="O581:O584" si="163">SUM(J581:N581)</f>
        <v>1</v>
      </c>
      <c r="P581" s="58">
        <v>43657</v>
      </c>
    </row>
    <row r="582" spans="1:17" x14ac:dyDescent="0.15">
      <c r="A582" s="16"/>
      <c r="B582" s="8"/>
      <c r="C582" s="10"/>
      <c r="D582" s="10"/>
      <c r="E582" s="10"/>
      <c r="F582" s="59"/>
      <c r="G582" s="7">
        <f t="shared" si="161"/>
        <v>0</v>
      </c>
      <c r="H582" s="58"/>
      <c r="I582" s="14" t="s">
        <v>22</v>
      </c>
      <c r="J582" s="8"/>
      <c r="K582" s="10"/>
      <c r="L582" s="10">
        <v>10</v>
      </c>
      <c r="M582" s="10"/>
      <c r="N582" s="30"/>
      <c r="O582" s="7">
        <f t="shared" si="163"/>
        <v>10</v>
      </c>
      <c r="P582" s="58">
        <v>43668</v>
      </c>
    </row>
    <row r="583" spans="1:17" x14ac:dyDescent="0.15">
      <c r="A583" s="16"/>
      <c r="B583" s="37"/>
      <c r="C583" s="35"/>
      <c r="D583" s="35"/>
      <c r="E583" s="35"/>
      <c r="F583" s="28"/>
      <c r="G583" s="7">
        <f t="shared" si="161"/>
        <v>0</v>
      </c>
      <c r="H583" s="58"/>
      <c r="I583" s="14"/>
      <c r="J583" s="8"/>
      <c r="K583" s="10"/>
      <c r="L583" s="10"/>
      <c r="M583" s="10"/>
      <c r="N583" s="30"/>
      <c r="O583" s="7">
        <f t="shared" si="163"/>
        <v>0</v>
      </c>
      <c r="P583" s="56"/>
    </row>
    <row r="584" spans="1:17" x14ac:dyDescent="0.15">
      <c r="A584" s="16"/>
      <c r="B584" s="8"/>
      <c r="C584" s="10"/>
      <c r="D584" s="10"/>
      <c r="E584" s="10"/>
      <c r="F584" s="30"/>
      <c r="G584" s="7">
        <f t="shared" si="161"/>
        <v>0</v>
      </c>
      <c r="H584" s="58"/>
      <c r="I584" s="16" t="s">
        <v>957</v>
      </c>
      <c r="J584" s="11"/>
      <c r="K584" s="12"/>
      <c r="L584" s="12"/>
      <c r="M584" s="12"/>
      <c r="N584" s="31"/>
      <c r="O584" s="7">
        <f t="shared" si="163"/>
        <v>0</v>
      </c>
      <c r="P584" s="56" t="s">
        <v>1022</v>
      </c>
    </row>
    <row r="585" spans="1:17" x14ac:dyDescent="0.15">
      <c r="A585" s="16"/>
      <c r="B585" s="8"/>
      <c r="C585" s="10"/>
      <c r="D585" s="10"/>
      <c r="E585" s="10"/>
      <c r="F585" s="30"/>
      <c r="G585" s="9">
        <f t="shared" si="161"/>
        <v>0</v>
      </c>
      <c r="H585" s="58"/>
      <c r="I585" s="39" t="s">
        <v>30</v>
      </c>
      <c r="J585" s="8"/>
      <c r="K585" s="10"/>
      <c r="L585" s="10"/>
      <c r="M585" s="10"/>
      <c r="N585" s="30"/>
      <c r="O585" s="7">
        <f t="shared" si="162"/>
        <v>0</v>
      </c>
      <c r="P585" s="58" t="s">
        <v>998</v>
      </c>
    </row>
    <row r="586" spans="1:17" ht="14.25" thickBot="1" x14ac:dyDescent="0.2">
      <c r="A586" s="51"/>
      <c r="B586" s="37"/>
      <c r="C586" s="35"/>
      <c r="D586" s="35"/>
      <c r="E586" s="35"/>
      <c r="F586" s="28"/>
      <c r="G586" s="7">
        <f t="shared" si="161"/>
        <v>0</v>
      </c>
      <c r="H586" s="58"/>
      <c r="I586" s="39" t="s">
        <v>30</v>
      </c>
      <c r="J586" s="11"/>
      <c r="K586" s="12"/>
      <c r="L586" s="12"/>
      <c r="M586" s="12"/>
      <c r="N586" s="31"/>
      <c r="O586" s="7">
        <f t="shared" si="162"/>
        <v>0</v>
      </c>
      <c r="P586" s="56" t="s">
        <v>976</v>
      </c>
    </row>
    <row r="587" spans="1:17" ht="14.25" thickBot="1" x14ac:dyDescent="0.2">
      <c r="A587" s="3" t="s">
        <v>11</v>
      </c>
      <c r="B587" s="23">
        <f>SUM(B561:B586)</f>
        <v>10</v>
      </c>
      <c r="C587" s="4">
        <f>SUM(C561:C586)</f>
        <v>23</v>
      </c>
      <c r="D587" s="4">
        <f>SUM(D561:D586)</f>
        <v>14</v>
      </c>
      <c r="E587" s="6">
        <f>SUM(E561:E586)</f>
        <v>15</v>
      </c>
      <c r="F587" s="32">
        <f>SUM(F561:F586)</f>
        <v>20</v>
      </c>
      <c r="G587" s="5">
        <f>SUM(B587:F587)</f>
        <v>82</v>
      </c>
      <c r="H587" s="56"/>
      <c r="I587" s="3" t="s">
        <v>11</v>
      </c>
      <c r="J587" s="23">
        <f>SUM(J561:J586)</f>
        <v>16</v>
      </c>
      <c r="K587" s="4">
        <f>SUM(K561:K586)</f>
        <v>33</v>
      </c>
      <c r="L587" s="4">
        <f>SUM(L561:L586)</f>
        <v>32</v>
      </c>
      <c r="M587" s="6">
        <f>SUM(M561:M586)</f>
        <v>43</v>
      </c>
      <c r="N587" s="32">
        <f>SUM(N561:N586)</f>
        <v>33</v>
      </c>
      <c r="O587" s="5">
        <f>SUM(J587:N587)</f>
        <v>157</v>
      </c>
    </row>
    <row r="588" spans="1:17" ht="14.25" thickBot="1" x14ac:dyDescent="0.2">
      <c r="A588" s="25" t="s">
        <v>12</v>
      </c>
      <c r="B588" s="63">
        <f>B560-B587</f>
        <v>5</v>
      </c>
      <c r="C588" s="26">
        <f t="shared" ref="C588:G588" si="164">C560-C587</f>
        <v>5</v>
      </c>
      <c r="D588" s="71">
        <f t="shared" si="164"/>
        <v>5</v>
      </c>
      <c r="E588" s="26">
        <f t="shared" si="164"/>
        <v>1</v>
      </c>
      <c r="F588" s="70">
        <f t="shared" si="164"/>
        <v>1</v>
      </c>
      <c r="G588" s="27">
        <f t="shared" si="164"/>
        <v>17</v>
      </c>
      <c r="H588" s="56"/>
      <c r="I588" s="25" t="s">
        <v>12</v>
      </c>
      <c r="J588" s="63">
        <f t="shared" ref="J588:O588" si="165">J560-J587</f>
        <v>218</v>
      </c>
      <c r="K588" s="26">
        <f t="shared" si="165"/>
        <v>255</v>
      </c>
      <c r="L588" s="71">
        <f t="shared" si="165"/>
        <v>206</v>
      </c>
      <c r="M588" s="26">
        <f t="shared" si="165"/>
        <v>189</v>
      </c>
      <c r="N588" s="70">
        <f t="shared" si="165"/>
        <v>144</v>
      </c>
      <c r="O588" s="27">
        <f t="shared" si="165"/>
        <v>1012</v>
      </c>
    </row>
    <row r="589" spans="1:17" ht="21" x14ac:dyDescent="0.2">
      <c r="A589" s="86" t="s">
        <v>413</v>
      </c>
      <c r="B589" s="87"/>
      <c r="C589" s="87"/>
      <c r="D589" s="87"/>
      <c r="E589" s="87"/>
      <c r="F589" s="87"/>
      <c r="G589" s="87"/>
      <c r="H589" s="56"/>
      <c r="I589" s="86" t="s">
        <v>413</v>
      </c>
      <c r="J589" s="87"/>
      <c r="K589" s="87"/>
      <c r="L589" s="87"/>
      <c r="M589" s="87"/>
      <c r="N589" s="87"/>
      <c r="O589" s="87"/>
    </row>
    <row r="590" spans="1:17" ht="21.75" thickBot="1" x14ac:dyDescent="0.25">
      <c r="A590" s="86" t="s">
        <v>51</v>
      </c>
      <c r="B590" s="87"/>
      <c r="C590" s="87"/>
      <c r="D590" s="87"/>
      <c r="E590" s="85"/>
      <c r="F590" s="88" t="s">
        <v>53</v>
      </c>
      <c r="G590" s="87"/>
      <c r="H590" s="56"/>
      <c r="I590" s="86" t="s">
        <v>51</v>
      </c>
      <c r="J590" s="87"/>
      <c r="K590" s="87"/>
      <c r="L590" s="87"/>
      <c r="M590" s="89"/>
      <c r="N590" s="88" t="s">
        <v>54</v>
      </c>
      <c r="O590" s="87"/>
    </row>
    <row r="591" spans="1:17" ht="14.25" thickBot="1" x14ac:dyDescent="0.2">
      <c r="A591" s="13" t="s">
        <v>0</v>
      </c>
      <c r="B591" s="228" t="s">
        <v>52</v>
      </c>
      <c r="C591" s="229"/>
      <c r="D591" s="229"/>
      <c r="E591" s="229"/>
      <c r="F591" s="230"/>
      <c r="G591" s="231"/>
      <c r="H591" s="56"/>
      <c r="I591" s="13" t="s">
        <v>0</v>
      </c>
      <c r="J591" s="228" t="s">
        <v>52</v>
      </c>
      <c r="K591" s="229"/>
      <c r="L591" s="229"/>
      <c r="M591" s="229"/>
      <c r="N591" s="230"/>
      <c r="O591" s="231"/>
    </row>
    <row r="592" spans="1:17" ht="14.25" thickBot="1" x14ac:dyDescent="0.2">
      <c r="A592" s="3" t="s">
        <v>1</v>
      </c>
      <c r="B592" s="2" t="s">
        <v>42</v>
      </c>
      <c r="C592" s="21" t="s">
        <v>43</v>
      </c>
      <c r="D592" s="21" t="s">
        <v>44</v>
      </c>
      <c r="E592" s="24" t="s">
        <v>45</v>
      </c>
      <c r="F592" s="33" t="s">
        <v>46</v>
      </c>
      <c r="G592" s="3" t="s">
        <v>2</v>
      </c>
      <c r="H592" s="56"/>
      <c r="I592" s="3" t="s">
        <v>1</v>
      </c>
      <c r="J592" s="41" t="s">
        <v>42</v>
      </c>
      <c r="K592" s="42" t="s">
        <v>43</v>
      </c>
      <c r="L592" s="42" t="s">
        <v>44</v>
      </c>
      <c r="M592" s="43" t="s">
        <v>45</v>
      </c>
      <c r="N592" s="44" t="s">
        <v>46</v>
      </c>
      <c r="O592" s="3" t="s">
        <v>2</v>
      </c>
    </row>
    <row r="593" spans="1:16" x14ac:dyDescent="0.15">
      <c r="A593" s="96" t="s">
        <v>13</v>
      </c>
      <c r="B593" s="95">
        <f>B588</f>
        <v>5</v>
      </c>
      <c r="C593" s="97">
        <f t="shared" ref="C593:F593" si="166">C588</f>
        <v>5</v>
      </c>
      <c r="D593" s="97">
        <f t="shared" si="166"/>
        <v>5</v>
      </c>
      <c r="E593" s="97">
        <f t="shared" si="166"/>
        <v>1</v>
      </c>
      <c r="F593" s="139">
        <f t="shared" si="166"/>
        <v>1</v>
      </c>
      <c r="G593" s="52">
        <f t="shared" ref="G593:G601" si="167">SUM(B593:F593)</f>
        <v>17</v>
      </c>
      <c r="H593" s="56"/>
      <c r="I593" s="96" t="s">
        <v>13</v>
      </c>
      <c r="J593" s="95">
        <f>J588</f>
        <v>218</v>
      </c>
      <c r="K593" s="97">
        <f t="shared" ref="K593:N593" si="168">K588</f>
        <v>255</v>
      </c>
      <c r="L593" s="97">
        <f t="shared" si="168"/>
        <v>206</v>
      </c>
      <c r="M593" s="97">
        <f t="shared" si="168"/>
        <v>189</v>
      </c>
      <c r="N593" s="139">
        <f t="shared" si="168"/>
        <v>144</v>
      </c>
      <c r="O593" s="52">
        <f t="shared" ref="O593:O601" si="169">SUM(J593:N593)</f>
        <v>1012</v>
      </c>
    </row>
    <row r="594" spans="1:16" x14ac:dyDescent="0.15">
      <c r="A594" s="15" t="s">
        <v>111</v>
      </c>
      <c r="B594" s="8"/>
      <c r="C594" s="10"/>
      <c r="D594" s="10">
        <v>1</v>
      </c>
      <c r="E594" s="10"/>
      <c r="F594" s="104"/>
      <c r="G594" s="9">
        <f t="shared" si="167"/>
        <v>1</v>
      </c>
      <c r="H594" s="58">
        <v>43669</v>
      </c>
      <c r="I594" s="15" t="s">
        <v>3</v>
      </c>
      <c r="J594" s="37"/>
      <c r="K594" s="135">
        <v>2</v>
      </c>
      <c r="L594" s="135"/>
      <c r="M594" s="135"/>
      <c r="N594" s="136"/>
      <c r="O594" s="7">
        <f t="shared" si="169"/>
        <v>2</v>
      </c>
      <c r="P594" s="57">
        <v>43680</v>
      </c>
    </row>
    <row r="595" spans="1:16" x14ac:dyDescent="0.15">
      <c r="A595" s="15" t="s">
        <v>17</v>
      </c>
      <c r="B595" s="8"/>
      <c r="C595" s="10">
        <v>1</v>
      </c>
      <c r="D595" s="10"/>
      <c r="E595" s="10"/>
      <c r="F595" s="104"/>
      <c r="G595" s="9">
        <f t="shared" si="167"/>
        <v>1</v>
      </c>
      <c r="H595" s="58">
        <v>43675</v>
      </c>
      <c r="I595" s="175" t="s">
        <v>1121</v>
      </c>
      <c r="J595" s="182"/>
      <c r="K595" s="190"/>
      <c r="L595" s="190">
        <v>-1</v>
      </c>
      <c r="M595" s="190">
        <v>1</v>
      </c>
      <c r="N595" s="191"/>
      <c r="O595" s="184">
        <f t="shared" si="169"/>
        <v>0</v>
      </c>
      <c r="P595" s="180">
        <v>43708</v>
      </c>
    </row>
    <row r="596" spans="1:16" x14ac:dyDescent="0.15">
      <c r="A596" s="15" t="s">
        <v>261</v>
      </c>
      <c r="B596" s="8"/>
      <c r="C596" s="10">
        <v>1</v>
      </c>
      <c r="D596" s="10"/>
      <c r="E596" s="10"/>
      <c r="F596" s="104"/>
      <c r="G596" s="9">
        <f t="shared" si="167"/>
        <v>1</v>
      </c>
      <c r="H596" s="58">
        <v>43676</v>
      </c>
      <c r="I596" s="15" t="s">
        <v>5</v>
      </c>
      <c r="J596" s="8"/>
      <c r="K596" s="45"/>
      <c r="L596" s="45"/>
      <c r="M596" s="45"/>
      <c r="N596" s="46"/>
      <c r="O596" s="9">
        <f t="shared" si="169"/>
        <v>0</v>
      </c>
    </row>
    <row r="597" spans="1:16" x14ac:dyDescent="0.15">
      <c r="A597" s="15" t="s">
        <v>17</v>
      </c>
      <c r="B597" s="11"/>
      <c r="C597" s="12"/>
      <c r="D597" s="12">
        <v>1</v>
      </c>
      <c r="E597" s="12"/>
      <c r="F597" s="108"/>
      <c r="G597" s="9">
        <f t="shared" si="167"/>
        <v>1</v>
      </c>
      <c r="H597" s="58">
        <v>43677</v>
      </c>
      <c r="I597" s="15" t="s">
        <v>6</v>
      </c>
      <c r="J597" s="8"/>
      <c r="K597" s="45"/>
      <c r="L597" s="45"/>
      <c r="M597" s="45"/>
      <c r="N597" s="46"/>
      <c r="O597" s="9">
        <f t="shared" si="169"/>
        <v>0</v>
      </c>
    </row>
    <row r="598" spans="1:16" x14ac:dyDescent="0.15">
      <c r="A598" s="15" t="s">
        <v>84</v>
      </c>
      <c r="B598" s="8"/>
      <c r="C598" s="10"/>
      <c r="D598" s="10"/>
      <c r="E598" s="10">
        <v>5</v>
      </c>
      <c r="F598" s="30">
        <v>5</v>
      </c>
      <c r="G598" s="7">
        <f t="shared" si="167"/>
        <v>10</v>
      </c>
      <c r="H598" s="58">
        <v>43680</v>
      </c>
      <c r="I598" s="15" t="s">
        <v>84</v>
      </c>
      <c r="J598" s="8"/>
      <c r="K598" s="45"/>
      <c r="L598" s="45"/>
      <c r="M598" s="45"/>
      <c r="N598" s="46"/>
      <c r="O598" s="7">
        <f t="shared" si="169"/>
        <v>0</v>
      </c>
    </row>
    <row r="599" spans="1:16" x14ac:dyDescent="0.15">
      <c r="A599" s="15" t="s">
        <v>85</v>
      </c>
      <c r="B599" s="8"/>
      <c r="C599" s="10"/>
      <c r="D599" s="10">
        <v>5</v>
      </c>
      <c r="E599" s="10"/>
      <c r="F599" s="30"/>
      <c r="G599" s="7">
        <f t="shared" si="167"/>
        <v>5</v>
      </c>
      <c r="H599" s="58">
        <v>43698</v>
      </c>
      <c r="I599" s="15" t="s">
        <v>85</v>
      </c>
      <c r="J599" s="8"/>
      <c r="K599" s="45"/>
      <c r="L599" s="45"/>
      <c r="M599" s="45"/>
      <c r="N599" s="46"/>
      <c r="O599" s="7">
        <f t="shared" si="169"/>
        <v>0</v>
      </c>
    </row>
    <row r="600" spans="1:16" x14ac:dyDescent="0.15">
      <c r="A600" s="15" t="s">
        <v>19</v>
      </c>
      <c r="B600" s="8">
        <v>2</v>
      </c>
      <c r="C600" s="45">
        <v>1</v>
      </c>
      <c r="D600" s="45">
        <v>2</v>
      </c>
      <c r="E600" s="45">
        <v>1</v>
      </c>
      <c r="F600" s="46">
        <v>2</v>
      </c>
      <c r="G600" s="102">
        <f t="shared" si="167"/>
        <v>8</v>
      </c>
      <c r="H600" s="58">
        <v>43698</v>
      </c>
      <c r="I600" s="15" t="s">
        <v>86</v>
      </c>
      <c r="J600" s="8"/>
      <c r="K600" s="45"/>
      <c r="L600" s="45"/>
      <c r="M600" s="45"/>
      <c r="N600" s="46"/>
      <c r="O600" s="102">
        <f t="shared" si="169"/>
        <v>0</v>
      </c>
    </row>
    <row r="601" spans="1:16" ht="14.25" thickBot="1" x14ac:dyDescent="0.2">
      <c r="A601" s="175" t="s">
        <v>1121</v>
      </c>
      <c r="B601" s="186">
        <v>1</v>
      </c>
      <c r="C601" s="187">
        <v>1</v>
      </c>
      <c r="D601" s="187">
        <v>-1</v>
      </c>
      <c r="E601" s="187"/>
      <c r="F601" s="188"/>
      <c r="G601" s="189">
        <f t="shared" si="167"/>
        <v>1</v>
      </c>
      <c r="H601" s="180">
        <v>43708</v>
      </c>
      <c r="I601" s="15" t="s">
        <v>87</v>
      </c>
      <c r="J601" s="47"/>
      <c r="K601" s="48"/>
      <c r="L601" s="48"/>
      <c r="M601" s="48"/>
      <c r="N601" s="49"/>
      <c r="O601" s="40">
        <f t="shared" si="169"/>
        <v>0</v>
      </c>
    </row>
    <row r="602" spans="1:16" ht="14.25" thickBot="1" x14ac:dyDescent="0.2">
      <c r="A602" s="72" t="s">
        <v>7</v>
      </c>
      <c r="B602" s="73">
        <f>SUM(B593:B601)</f>
        <v>8</v>
      </c>
      <c r="C602" s="74">
        <f t="shared" ref="C602:G602" si="170">SUM(C593:C601)</f>
        <v>9</v>
      </c>
      <c r="D602" s="74">
        <f t="shared" si="170"/>
        <v>13</v>
      </c>
      <c r="E602" s="74">
        <f t="shared" si="170"/>
        <v>7</v>
      </c>
      <c r="F602" s="105">
        <f t="shared" si="170"/>
        <v>8</v>
      </c>
      <c r="G602" s="76">
        <f t="shared" si="170"/>
        <v>45</v>
      </c>
      <c r="H602" s="56"/>
      <c r="I602" s="72" t="s">
        <v>7</v>
      </c>
      <c r="J602" s="73">
        <f>SUM(J593:J601)</f>
        <v>218</v>
      </c>
      <c r="K602" s="74">
        <f t="shared" ref="K602:O602" si="171">SUM(K593:K601)</f>
        <v>257</v>
      </c>
      <c r="L602" s="74">
        <f t="shared" si="171"/>
        <v>205</v>
      </c>
      <c r="M602" s="74">
        <f t="shared" si="171"/>
        <v>190</v>
      </c>
      <c r="N602" s="105">
        <f t="shared" si="171"/>
        <v>144</v>
      </c>
      <c r="O602" s="76">
        <f t="shared" si="171"/>
        <v>1014</v>
      </c>
    </row>
    <row r="603" spans="1:16" x14ac:dyDescent="0.15">
      <c r="A603" s="51" t="s">
        <v>1081</v>
      </c>
      <c r="B603" s="8"/>
      <c r="C603" s="10"/>
      <c r="D603" s="10">
        <v>1</v>
      </c>
      <c r="E603" s="10"/>
      <c r="F603" s="30"/>
      <c r="G603" s="9">
        <f t="shared" ref="G603:G628" si="172">SUM(B603:F603)</f>
        <v>1</v>
      </c>
      <c r="H603" s="58">
        <v>43676</v>
      </c>
      <c r="I603" s="16" t="s">
        <v>1074</v>
      </c>
      <c r="J603" s="17">
        <v>2</v>
      </c>
      <c r="K603" s="22">
        <v>6</v>
      </c>
      <c r="L603" s="22">
        <v>4</v>
      </c>
      <c r="M603" s="22">
        <v>6</v>
      </c>
      <c r="N603" s="29">
        <v>2</v>
      </c>
      <c r="O603" s="18">
        <f t="shared" ref="O603:O626" si="173">SUM(J603:N603)</f>
        <v>20</v>
      </c>
      <c r="P603" s="58">
        <v>43672</v>
      </c>
    </row>
    <row r="604" spans="1:16" x14ac:dyDescent="0.15">
      <c r="A604" s="16" t="s">
        <v>29</v>
      </c>
      <c r="B604" s="8"/>
      <c r="C604" s="10"/>
      <c r="D604" s="10">
        <v>1</v>
      </c>
      <c r="E604" s="10"/>
      <c r="F604" s="30"/>
      <c r="G604" s="7">
        <f t="shared" si="172"/>
        <v>1</v>
      </c>
      <c r="H604" s="58">
        <v>43675</v>
      </c>
      <c r="I604" s="51" t="s">
        <v>1067</v>
      </c>
      <c r="J604" s="8"/>
      <c r="K604" s="10"/>
      <c r="L604" s="10"/>
      <c r="M604" s="10"/>
      <c r="N604" s="30">
        <v>1</v>
      </c>
      <c r="O604" s="7">
        <f t="shared" si="173"/>
        <v>1</v>
      </c>
      <c r="P604" s="58">
        <v>43671</v>
      </c>
    </row>
    <row r="605" spans="1:16" x14ac:dyDescent="0.15">
      <c r="A605" s="51" t="s">
        <v>1083</v>
      </c>
      <c r="B605" s="8"/>
      <c r="C605" s="10"/>
      <c r="D605" s="10"/>
      <c r="E605" s="10"/>
      <c r="F605" s="30">
        <v>1</v>
      </c>
      <c r="G605" s="7">
        <f t="shared" si="172"/>
        <v>1</v>
      </c>
      <c r="H605" s="58">
        <v>43678</v>
      </c>
      <c r="I605" s="14" t="s">
        <v>22</v>
      </c>
      <c r="J605" s="8">
        <v>10</v>
      </c>
      <c r="K605" s="10"/>
      <c r="L605" s="10"/>
      <c r="M605" s="10"/>
      <c r="N605" s="30"/>
      <c r="O605" s="7">
        <f t="shared" si="173"/>
        <v>10</v>
      </c>
      <c r="P605" s="58">
        <v>43678</v>
      </c>
    </row>
    <row r="606" spans="1:16" x14ac:dyDescent="0.15">
      <c r="A606" s="16" t="s">
        <v>1001</v>
      </c>
      <c r="B606" s="8"/>
      <c r="C606" s="10">
        <v>2</v>
      </c>
      <c r="D606" s="10"/>
      <c r="E606" s="10"/>
      <c r="F606" s="30"/>
      <c r="G606" s="7">
        <f t="shared" si="172"/>
        <v>2</v>
      </c>
      <c r="H606" s="58">
        <v>43680</v>
      </c>
      <c r="I606" s="16" t="s">
        <v>10</v>
      </c>
      <c r="J606" s="8"/>
      <c r="K606" s="10"/>
      <c r="L606" s="10"/>
      <c r="M606" s="10"/>
      <c r="N606" s="30">
        <v>1</v>
      </c>
      <c r="O606" s="7">
        <f t="shared" si="173"/>
        <v>1</v>
      </c>
      <c r="P606" s="58">
        <v>43673</v>
      </c>
    </row>
    <row r="607" spans="1:16" x14ac:dyDescent="0.15">
      <c r="A607" s="16" t="s">
        <v>25</v>
      </c>
      <c r="B607" s="8"/>
      <c r="C607" s="10"/>
      <c r="D607" s="10">
        <v>1</v>
      </c>
      <c r="E607" s="10"/>
      <c r="F607" s="30"/>
      <c r="G607" s="7">
        <f t="shared" si="172"/>
        <v>1</v>
      </c>
      <c r="H607" s="58">
        <v>43682</v>
      </c>
      <c r="I607" s="14" t="s">
        <v>22</v>
      </c>
      <c r="J607" s="8"/>
      <c r="K607" s="10"/>
      <c r="L607" s="10"/>
      <c r="M607" s="10">
        <v>10</v>
      </c>
      <c r="N607" s="30"/>
      <c r="O607" s="7">
        <f t="shared" si="173"/>
        <v>10</v>
      </c>
      <c r="P607" s="58">
        <v>43682</v>
      </c>
    </row>
    <row r="608" spans="1:16" x14ac:dyDescent="0.15">
      <c r="A608" s="16" t="s">
        <v>1103</v>
      </c>
      <c r="B608" s="8"/>
      <c r="C608" s="10"/>
      <c r="D608" s="10">
        <v>1</v>
      </c>
      <c r="E608" s="10"/>
      <c r="F608" s="30"/>
      <c r="G608" s="7">
        <f t="shared" si="172"/>
        <v>1</v>
      </c>
      <c r="H608" s="58">
        <v>43694</v>
      </c>
      <c r="I608" s="16" t="s">
        <v>10</v>
      </c>
      <c r="J608" s="8"/>
      <c r="K608" s="10"/>
      <c r="L608" s="10">
        <v>1</v>
      </c>
      <c r="M608" s="10"/>
      <c r="N608" s="30"/>
      <c r="O608" s="7">
        <f t="shared" si="173"/>
        <v>1</v>
      </c>
      <c r="P608" s="58">
        <v>43679</v>
      </c>
    </row>
    <row r="609" spans="1:18" x14ac:dyDescent="0.15">
      <c r="A609" s="16" t="s">
        <v>1108</v>
      </c>
      <c r="B609" s="8"/>
      <c r="C609" s="10"/>
      <c r="D609" s="10">
        <v>1</v>
      </c>
      <c r="E609" s="10">
        <v>-1</v>
      </c>
      <c r="F609" s="30"/>
      <c r="G609" s="7">
        <f t="shared" si="172"/>
        <v>0</v>
      </c>
      <c r="H609" s="58">
        <v>43697</v>
      </c>
      <c r="I609" s="14" t="s">
        <v>22</v>
      </c>
      <c r="J609" s="8"/>
      <c r="K609" s="10"/>
      <c r="L609" s="10"/>
      <c r="M609" s="10"/>
      <c r="N609" s="30">
        <v>10</v>
      </c>
      <c r="O609" s="7">
        <f t="shared" si="173"/>
        <v>10</v>
      </c>
      <c r="P609" s="58">
        <v>43685</v>
      </c>
    </row>
    <row r="610" spans="1:18" x14ac:dyDescent="0.15">
      <c r="A610" s="16" t="s">
        <v>29</v>
      </c>
      <c r="B610" s="8"/>
      <c r="C610" s="10">
        <v>1</v>
      </c>
      <c r="D610" s="10"/>
      <c r="E610" s="10"/>
      <c r="F610" s="30"/>
      <c r="G610" s="7">
        <f t="shared" si="172"/>
        <v>1</v>
      </c>
      <c r="H610" s="58">
        <v>43696</v>
      </c>
      <c r="I610" s="51" t="s">
        <v>1090</v>
      </c>
      <c r="J610" s="8"/>
      <c r="K610" s="10"/>
      <c r="L610" s="10"/>
      <c r="M610" s="10">
        <v>5</v>
      </c>
      <c r="N610" s="30">
        <v>5</v>
      </c>
      <c r="O610" s="7">
        <f t="shared" si="173"/>
        <v>10</v>
      </c>
      <c r="P610" s="58">
        <v>43680</v>
      </c>
    </row>
    <row r="611" spans="1:18" x14ac:dyDescent="0.15">
      <c r="A611" s="16" t="s">
        <v>1109</v>
      </c>
      <c r="B611" s="8"/>
      <c r="C611" s="10"/>
      <c r="D611" s="10">
        <v>1</v>
      </c>
      <c r="E611" s="10"/>
      <c r="F611" s="30"/>
      <c r="G611" s="7">
        <f t="shared" si="172"/>
        <v>1</v>
      </c>
      <c r="H611" s="58">
        <v>43700</v>
      </c>
      <c r="I611" s="51" t="s">
        <v>1047</v>
      </c>
      <c r="J611" s="11"/>
      <c r="K611" s="100">
        <v>5</v>
      </c>
      <c r="L611" s="100"/>
      <c r="M611" s="100"/>
      <c r="N611" s="109"/>
      <c r="O611" s="9">
        <f t="shared" si="173"/>
        <v>5</v>
      </c>
      <c r="P611" s="58">
        <v>43697</v>
      </c>
    </row>
    <row r="612" spans="1:18" x14ac:dyDescent="0.15">
      <c r="A612" s="51" t="s">
        <v>1087</v>
      </c>
      <c r="B612" s="8"/>
      <c r="C612" s="10"/>
      <c r="D612" s="10"/>
      <c r="E612" s="10"/>
      <c r="F612" s="30">
        <v>1</v>
      </c>
      <c r="G612" s="7">
        <f t="shared" si="172"/>
        <v>1</v>
      </c>
      <c r="H612" s="58">
        <v>43699</v>
      </c>
      <c r="I612" s="16" t="s">
        <v>10</v>
      </c>
      <c r="J612" s="11"/>
      <c r="K612" s="12"/>
      <c r="L612" s="12">
        <v>1</v>
      </c>
      <c r="M612" s="12"/>
      <c r="N612" s="31">
        <v>1</v>
      </c>
      <c r="O612" s="7">
        <f t="shared" si="173"/>
        <v>2</v>
      </c>
      <c r="P612" s="58">
        <v>43696</v>
      </c>
    </row>
    <row r="613" spans="1:18" x14ac:dyDescent="0.15">
      <c r="A613" s="16" t="s">
        <v>1117</v>
      </c>
      <c r="B613" s="11">
        <v>1</v>
      </c>
      <c r="C613" s="12"/>
      <c r="D613" s="12">
        <v>1</v>
      </c>
      <c r="E613" s="12"/>
      <c r="F613" s="31"/>
      <c r="G613" s="7">
        <f t="shared" si="172"/>
        <v>2</v>
      </c>
      <c r="H613" s="58">
        <v>43706</v>
      </c>
      <c r="I613" s="14" t="s">
        <v>22</v>
      </c>
      <c r="J613" s="8"/>
      <c r="K613" s="10"/>
      <c r="L613" s="10"/>
      <c r="M613" s="10"/>
      <c r="N613" s="30">
        <v>10</v>
      </c>
      <c r="O613" s="7">
        <f t="shared" si="173"/>
        <v>10</v>
      </c>
      <c r="P613" s="58">
        <v>43700</v>
      </c>
    </row>
    <row r="614" spans="1:18" x14ac:dyDescent="0.15">
      <c r="A614" s="14"/>
      <c r="B614" s="8"/>
      <c r="C614" s="10"/>
      <c r="D614" s="10"/>
      <c r="E614" s="10"/>
      <c r="F614" s="30"/>
      <c r="G614" s="7">
        <f t="shared" si="172"/>
        <v>0</v>
      </c>
      <c r="H614" s="58"/>
      <c r="I614" s="16" t="s">
        <v>10</v>
      </c>
      <c r="J614" s="8"/>
      <c r="K614" s="10"/>
      <c r="L614" s="10">
        <v>3</v>
      </c>
      <c r="M614" s="10">
        <v>1</v>
      </c>
      <c r="N614" s="30">
        <v>7</v>
      </c>
      <c r="O614" s="7">
        <f t="shared" si="173"/>
        <v>11</v>
      </c>
      <c r="P614" s="58">
        <v>43697</v>
      </c>
    </row>
    <row r="615" spans="1:18" x14ac:dyDescent="0.15">
      <c r="A615" s="16"/>
      <c r="B615" s="8"/>
      <c r="C615" s="10"/>
      <c r="D615" s="10"/>
      <c r="E615" s="10"/>
      <c r="F615" s="30"/>
      <c r="G615" s="7">
        <f t="shared" si="172"/>
        <v>0</v>
      </c>
      <c r="H615" s="58"/>
      <c r="I615" s="16" t="s">
        <v>10</v>
      </c>
      <c r="J615" s="8">
        <v>1</v>
      </c>
      <c r="K615" s="10"/>
      <c r="L615" s="10"/>
      <c r="M615" s="10"/>
      <c r="N615" s="30"/>
      <c r="O615" s="7">
        <f t="shared" si="173"/>
        <v>1</v>
      </c>
      <c r="P615" s="58">
        <v>43698</v>
      </c>
    </row>
    <row r="616" spans="1:18" x14ac:dyDescent="0.15">
      <c r="A616" s="16"/>
      <c r="B616" s="8"/>
      <c r="C616" s="10"/>
      <c r="D616" s="10"/>
      <c r="E616" s="10"/>
      <c r="F616" s="30"/>
      <c r="G616" s="7">
        <f t="shared" si="172"/>
        <v>0</v>
      </c>
      <c r="H616" s="58"/>
      <c r="I616" s="51" t="s">
        <v>24</v>
      </c>
      <c r="J616" s="11"/>
      <c r="K616" s="12"/>
      <c r="L616" s="12">
        <v>5</v>
      </c>
      <c r="M616" s="12"/>
      <c r="N616" s="31"/>
      <c r="O616" s="7">
        <f t="shared" si="173"/>
        <v>5</v>
      </c>
      <c r="P616" s="58">
        <v>43698</v>
      </c>
    </row>
    <row r="617" spans="1:18" x14ac:dyDescent="0.15">
      <c r="A617" s="16"/>
      <c r="B617" s="8"/>
      <c r="C617" s="10"/>
      <c r="D617" s="10"/>
      <c r="E617" s="10"/>
      <c r="F617" s="30"/>
      <c r="G617" s="7">
        <f t="shared" si="172"/>
        <v>0</v>
      </c>
      <c r="H617" s="58"/>
      <c r="I617" s="14" t="s">
        <v>996</v>
      </c>
      <c r="J617" s="8"/>
      <c r="K617" s="10">
        <v>2</v>
      </c>
      <c r="L617" s="10"/>
      <c r="M617" s="10"/>
      <c r="N617" s="30"/>
      <c r="O617" s="7">
        <f t="shared" si="173"/>
        <v>2</v>
      </c>
      <c r="P617" s="58">
        <v>43703</v>
      </c>
    </row>
    <row r="618" spans="1:18" x14ac:dyDescent="0.15">
      <c r="A618" s="16"/>
      <c r="B618" s="8"/>
      <c r="C618" s="10"/>
      <c r="D618" s="10"/>
      <c r="E618" s="10"/>
      <c r="F618" s="30"/>
      <c r="G618" s="7">
        <f t="shared" si="172"/>
        <v>0</v>
      </c>
      <c r="H618" s="58"/>
      <c r="I618" s="14" t="s">
        <v>22</v>
      </c>
      <c r="J618" s="8"/>
      <c r="K618" s="10"/>
      <c r="L618" s="10"/>
      <c r="M618" s="10">
        <v>10</v>
      </c>
      <c r="N618" s="30"/>
      <c r="O618" s="7">
        <f t="shared" si="173"/>
        <v>10</v>
      </c>
      <c r="P618" s="58">
        <v>43706</v>
      </c>
    </row>
    <row r="619" spans="1:18" x14ac:dyDescent="0.15">
      <c r="A619" s="16"/>
      <c r="B619" s="8"/>
      <c r="C619" s="10"/>
      <c r="D619" s="10"/>
      <c r="E619" s="10"/>
      <c r="F619" s="30"/>
      <c r="G619" s="7">
        <f t="shared" si="172"/>
        <v>0</v>
      </c>
      <c r="H619" s="58"/>
      <c r="I619" s="16" t="s">
        <v>10</v>
      </c>
      <c r="J619" s="8"/>
      <c r="K619" s="10"/>
      <c r="L619" s="10">
        <v>1</v>
      </c>
      <c r="M619" s="10"/>
      <c r="N619" s="30"/>
      <c r="O619" s="7">
        <f t="shared" si="173"/>
        <v>1</v>
      </c>
      <c r="P619" s="58">
        <v>43701</v>
      </c>
    </row>
    <row r="620" spans="1:18" x14ac:dyDescent="0.15">
      <c r="A620" s="16"/>
      <c r="B620" s="8"/>
      <c r="C620" s="10"/>
      <c r="D620" s="10"/>
      <c r="E620" s="10"/>
      <c r="F620" s="30"/>
      <c r="G620" s="7">
        <f t="shared" si="172"/>
        <v>0</v>
      </c>
      <c r="H620" s="58"/>
      <c r="I620" s="39"/>
      <c r="J620" s="11"/>
      <c r="K620" s="12"/>
      <c r="L620" s="12"/>
      <c r="M620" s="12"/>
      <c r="N620" s="31"/>
      <c r="O620" s="7">
        <f t="shared" si="173"/>
        <v>0</v>
      </c>
      <c r="P620" s="56"/>
      <c r="Q620" s="56"/>
      <c r="R620" s="56"/>
    </row>
    <row r="621" spans="1:18" x14ac:dyDescent="0.15">
      <c r="A621" s="16"/>
      <c r="B621" s="8"/>
      <c r="C621" s="10"/>
      <c r="D621" s="10"/>
      <c r="E621" s="10"/>
      <c r="F621" s="30"/>
      <c r="G621" s="7">
        <f t="shared" si="172"/>
        <v>0</v>
      </c>
      <c r="H621" s="58"/>
      <c r="I621" s="39"/>
      <c r="J621" s="11"/>
      <c r="K621" s="12"/>
      <c r="L621" s="12"/>
      <c r="M621" s="12"/>
      <c r="N621" s="31"/>
      <c r="O621" s="7">
        <f t="shared" si="173"/>
        <v>0</v>
      </c>
      <c r="P621" s="56"/>
      <c r="Q621" s="56"/>
      <c r="R621" s="56"/>
    </row>
    <row r="622" spans="1:18" x14ac:dyDescent="0.15">
      <c r="A622" s="16"/>
      <c r="B622" s="8"/>
      <c r="C622" s="10"/>
      <c r="D622" s="10"/>
      <c r="E622" s="10"/>
      <c r="F622" s="30"/>
      <c r="G622" s="7">
        <f t="shared" si="172"/>
        <v>0</v>
      </c>
      <c r="H622" s="58"/>
      <c r="I622" s="16"/>
      <c r="J622" s="11"/>
      <c r="K622" s="12"/>
      <c r="L622" s="12"/>
      <c r="M622" s="12"/>
      <c r="N622" s="31"/>
      <c r="O622" s="7">
        <f t="shared" si="173"/>
        <v>0</v>
      </c>
      <c r="P622" s="58"/>
    </row>
    <row r="623" spans="1:18" x14ac:dyDescent="0.15">
      <c r="A623" s="16"/>
      <c r="B623" s="8"/>
      <c r="C623" s="10"/>
      <c r="D623" s="10"/>
      <c r="E623" s="10"/>
      <c r="F623" s="30"/>
      <c r="G623" s="7">
        <f t="shared" si="172"/>
        <v>0</v>
      </c>
      <c r="H623" s="58"/>
      <c r="I623" s="16"/>
      <c r="J623" s="11"/>
      <c r="K623" s="12"/>
      <c r="L623" s="12"/>
      <c r="M623" s="12"/>
      <c r="N623" s="31"/>
      <c r="O623" s="7">
        <f t="shared" ref="O623:O625" si="174">SUM(J623:N623)</f>
        <v>0</v>
      </c>
      <c r="P623" s="56"/>
    </row>
    <row r="624" spans="1:18" x14ac:dyDescent="0.15">
      <c r="A624" s="16"/>
      <c r="B624" s="8"/>
      <c r="C624" s="10"/>
      <c r="D624" s="10"/>
      <c r="E624" s="10"/>
      <c r="F624" s="59"/>
      <c r="G624" s="7">
        <f t="shared" si="172"/>
        <v>0</v>
      </c>
      <c r="H624" s="58"/>
      <c r="I624" s="14" t="s">
        <v>958</v>
      </c>
      <c r="J624" s="8"/>
      <c r="K624" s="10"/>
      <c r="L624" s="10"/>
      <c r="M624" s="10"/>
      <c r="N624" s="30"/>
      <c r="O624" s="7">
        <f t="shared" si="174"/>
        <v>0</v>
      </c>
      <c r="P624" s="56" t="s">
        <v>975</v>
      </c>
    </row>
    <row r="625" spans="1:16" x14ac:dyDescent="0.15">
      <c r="A625" s="16"/>
      <c r="B625" s="37"/>
      <c r="C625" s="35"/>
      <c r="D625" s="35"/>
      <c r="E625" s="35"/>
      <c r="F625" s="28"/>
      <c r="G625" s="7">
        <f t="shared" si="172"/>
        <v>0</v>
      </c>
      <c r="H625" s="58"/>
      <c r="I625" s="51" t="s">
        <v>980</v>
      </c>
      <c r="J625" s="11"/>
      <c r="K625" s="12"/>
      <c r="L625" s="12"/>
      <c r="M625" s="12"/>
      <c r="N625" s="31"/>
      <c r="O625" s="7">
        <f t="shared" si="174"/>
        <v>0</v>
      </c>
      <c r="P625" s="56" t="s">
        <v>982</v>
      </c>
    </row>
    <row r="626" spans="1:16" x14ac:dyDescent="0.15">
      <c r="A626" s="16"/>
      <c r="B626" s="8"/>
      <c r="C626" s="10"/>
      <c r="D626" s="10"/>
      <c r="E626" s="10"/>
      <c r="F626" s="30"/>
      <c r="G626" s="7">
        <f t="shared" si="172"/>
        <v>0</v>
      </c>
      <c r="H626" s="58"/>
      <c r="I626" s="16" t="s">
        <v>1023</v>
      </c>
      <c r="J626" s="11"/>
      <c r="K626" s="12"/>
      <c r="L626" s="12"/>
      <c r="M626" s="12"/>
      <c r="N626" s="31"/>
      <c r="O626" s="7">
        <f t="shared" si="173"/>
        <v>0</v>
      </c>
      <c r="P626" s="56" t="s">
        <v>1065</v>
      </c>
    </row>
    <row r="627" spans="1:16" x14ac:dyDescent="0.15">
      <c r="A627" s="16"/>
      <c r="B627" s="8"/>
      <c r="C627" s="10"/>
      <c r="D627" s="10"/>
      <c r="E627" s="10"/>
      <c r="F627" s="30"/>
      <c r="G627" s="9">
        <f t="shared" si="172"/>
        <v>0</v>
      </c>
      <c r="H627" s="58"/>
      <c r="I627" s="16" t="s">
        <v>1058</v>
      </c>
      <c r="J627" s="11"/>
      <c r="K627" s="12"/>
      <c r="L627" s="12"/>
      <c r="M627" s="12"/>
      <c r="N627" s="31"/>
      <c r="O627" s="7">
        <f t="shared" ref="O627:O628" si="175">SUM(J627:N627)</f>
        <v>0</v>
      </c>
      <c r="P627" s="56" t="s">
        <v>1059</v>
      </c>
    </row>
    <row r="628" spans="1:16" ht="14.25" thickBot="1" x14ac:dyDescent="0.2">
      <c r="A628" s="51"/>
      <c r="B628" s="37"/>
      <c r="C628" s="35"/>
      <c r="D628" s="35"/>
      <c r="E628" s="35"/>
      <c r="F628" s="28"/>
      <c r="G628" s="7">
        <f t="shared" si="172"/>
        <v>0</v>
      </c>
      <c r="H628" s="58"/>
      <c r="I628" s="16" t="s">
        <v>977</v>
      </c>
      <c r="J628" s="8"/>
      <c r="K628" s="10"/>
      <c r="L628" s="10"/>
      <c r="M628" s="10"/>
      <c r="N628" s="30"/>
      <c r="O628" s="7">
        <f t="shared" si="175"/>
        <v>0</v>
      </c>
      <c r="P628" s="56"/>
    </row>
    <row r="629" spans="1:16" ht="14.25" thickBot="1" x14ac:dyDescent="0.2">
      <c r="A629" s="3" t="s">
        <v>11</v>
      </c>
      <c r="B629" s="23">
        <f>SUM(B603:B628)</f>
        <v>1</v>
      </c>
      <c r="C629" s="4">
        <f>SUM(C603:C628)</f>
        <v>3</v>
      </c>
      <c r="D629" s="4">
        <f>SUM(D603:D628)</f>
        <v>7</v>
      </c>
      <c r="E629" s="6">
        <f>SUM(E603:E628)</f>
        <v>-1</v>
      </c>
      <c r="F629" s="32">
        <f>SUM(F603:F628)</f>
        <v>2</v>
      </c>
      <c r="G629" s="5">
        <f>SUM(B629:F629)</f>
        <v>12</v>
      </c>
      <c r="H629" s="56"/>
      <c r="I629" s="3" t="s">
        <v>11</v>
      </c>
      <c r="J629" s="23">
        <f>SUM(J603:J628)</f>
        <v>13</v>
      </c>
      <c r="K629" s="4">
        <f>SUM(K603:K628)</f>
        <v>13</v>
      </c>
      <c r="L629" s="4">
        <f>SUM(L603:L628)</f>
        <v>15</v>
      </c>
      <c r="M629" s="6">
        <f>SUM(M603:M628)</f>
        <v>32</v>
      </c>
      <c r="N629" s="32">
        <f>SUM(N603:N628)</f>
        <v>37</v>
      </c>
      <c r="O629" s="5">
        <f>SUM(J629:N629)</f>
        <v>110</v>
      </c>
    </row>
    <row r="630" spans="1:16" ht="14.25" thickBot="1" x14ac:dyDescent="0.2">
      <c r="A630" s="25" t="s">
        <v>12</v>
      </c>
      <c r="B630" s="63">
        <f>B602-B629</f>
        <v>7</v>
      </c>
      <c r="C630" s="26">
        <f t="shared" ref="C630:G630" si="176">C602-C629</f>
        <v>6</v>
      </c>
      <c r="D630" s="71">
        <f t="shared" si="176"/>
        <v>6</v>
      </c>
      <c r="E630" s="26">
        <f t="shared" si="176"/>
        <v>8</v>
      </c>
      <c r="F630" s="70">
        <f t="shared" si="176"/>
        <v>6</v>
      </c>
      <c r="G630" s="27">
        <f t="shared" si="176"/>
        <v>33</v>
      </c>
      <c r="H630" s="56"/>
      <c r="I630" s="25" t="s">
        <v>12</v>
      </c>
      <c r="J630" s="63">
        <f t="shared" ref="J630:O630" si="177">J602-J629</f>
        <v>205</v>
      </c>
      <c r="K630" s="26">
        <f t="shared" si="177"/>
        <v>244</v>
      </c>
      <c r="L630" s="71">
        <f t="shared" si="177"/>
        <v>190</v>
      </c>
      <c r="M630" s="26">
        <f t="shared" si="177"/>
        <v>158</v>
      </c>
      <c r="N630" s="70">
        <f t="shared" si="177"/>
        <v>107</v>
      </c>
      <c r="O630" s="27">
        <f t="shared" si="177"/>
        <v>904</v>
      </c>
    </row>
    <row r="631" spans="1:16" ht="21" x14ac:dyDescent="0.2">
      <c r="A631" s="86" t="s">
        <v>413</v>
      </c>
      <c r="B631" s="87"/>
      <c r="C631" s="87"/>
      <c r="D631" s="87"/>
      <c r="E631" s="87"/>
      <c r="F631" s="87"/>
      <c r="G631" s="87"/>
      <c r="H631" s="56"/>
      <c r="I631" s="86" t="s">
        <v>413</v>
      </c>
      <c r="J631" s="87"/>
      <c r="K631" s="87"/>
      <c r="L631" s="87"/>
      <c r="M631" s="87"/>
      <c r="N631" s="87"/>
      <c r="O631" s="87"/>
    </row>
    <row r="632" spans="1:16" ht="21.75" thickBot="1" x14ac:dyDescent="0.25">
      <c r="A632" s="86" t="s">
        <v>51</v>
      </c>
      <c r="B632" s="87"/>
      <c r="C632" s="87"/>
      <c r="D632" s="87"/>
      <c r="E632" s="85"/>
      <c r="F632" s="88" t="s">
        <v>53</v>
      </c>
      <c r="G632" s="87"/>
      <c r="H632" s="56"/>
      <c r="I632" s="86" t="s">
        <v>51</v>
      </c>
      <c r="J632" s="87"/>
      <c r="K632" s="87"/>
      <c r="L632" s="87"/>
      <c r="M632" s="89"/>
      <c r="N632" s="88" t="s">
        <v>54</v>
      </c>
      <c r="O632" s="87"/>
    </row>
    <row r="633" spans="1:16" ht="14.25" thickBot="1" x14ac:dyDescent="0.2">
      <c r="A633" s="13" t="s">
        <v>0</v>
      </c>
      <c r="B633" s="228" t="s">
        <v>52</v>
      </c>
      <c r="C633" s="229"/>
      <c r="D633" s="229"/>
      <c r="E633" s="229"/>
      <c r="F633" s="230"/>
      <c r="G633" s="231"/>
      <c r="H633" s="56"/>
      <c r="I633" s="13" t="s">
        <v>0</v>
      </c>
      <c r="J633" s="228" t="s">
        <v>52</v>
      </c>
      <c r="K633" s="229"/>
      <c r="L633" s="229"/>
      <c r="M633" s="229"/>
      <c r="N633" s="230"/>
      <c r="O633" s="231"/>
    </row>
    <row r="634" spans="1:16" ht="14.25" thickBot="1" x14ac:dyDescent="0.2">
      <c r="A634" s="3" t="s">
        <v>1</v>
      </c>
      <c r="B634" s="2" t="s">
        <v>42</v>
      </c>
      <c r="C634" s="21" t="s">
        <v>43</v>
      </c>
      <c r="D634" s="21" t="s">
        <v>44</v>
      </c>
      <c r="E634" s="24" t="s">
        <v>45</v>
      </c>
      <c r="F634" s="33" t="s">
        <v>46</v>
      </c>
      <c r="G634" s="3" t="s">
        <v>2</v>
      </c>
      <c r="H634" s="56"/>
      <c r="I634" s="3" t="s">
        <v>1</v>
      </c>
      <c r="J634" s="41" t="s">
        <v>42</v>
      </c>
      <c r="K634" s="42" t="s">
        <v>43</v>
      </c>
      <c r="L634" s="42" t="s">
        <v>44</v>
      </c>
      <c r="M634" s="43" t="s">
        <v>45</v>
      </c>
      <c r="N634" s="44" t="s">
        <v>46</v>
      </c>
      <c r="O634" s="3" t="s">
        <v>2</v>
      </c>
    </row>
    <row r="635" spans="1:16" x14ac:dyDescent="0.15">
      <c r="A635" s="96" t="s">
        <v>13</v>
      </c>
      <c r="B635" s="95">
        <f>B630</f>
        <v>7</v>
      </c>
      <c r="C635" s="97">
        <f t="shared" ref="C635:F635" si="178">C630</f>
        <v>6</v>
      </c>
      <c r="D635" s="97">
        <f t="shared" si="178"/>
        <v>6</v>
      </c>
      <c r="E635" s="97">
        <f t="shared" si="178"/>
        <v>8</v>
      </c>
      <c r="F635" s="139">
        <f t="shared" si="178"/>
        <v>6</v>
      </c>
      <c r="G635" s="52">
        <f t="shared" ref="G635:G643" si="179">SUM(B635:F635)</f>
        <v>33</v>
      </c>
      <c r="H635" s="56"/>
      <c r="I635" s="96" t="s">
        <v>13</v>
      </c>
      <c r="J635" s="95">
        <f>J630</f>
        <v>205</v>
      </c>
      <c r="K635" s="97">
        <f t="shared" ref="K635:N635" si="180">K630</f>
        <v>244</v>
      </c>
      <c r="L635" s="97">
        <f t="shared" si="180"/>
        <v>190</v>
      </c>
      <c r="M635" s="97">
        <f t="shared" si="180"/>
        <v>158</v>
      </c>
      <c r="N635" s="139">
        <f t="shared" si="180"/>
        <v>107</v>
      </c>
      <c r="O635" s="52">
        <f t="shared" ref="O635:O643" si="181">SUM(J635:N635)</f>
        <v>904</v>
      </c>
    </row>
    <row r="636" spans="1:16" x14ac:dyDescent="0.15">
      <c r="A636" s="15" t="s">
        <v>322</v>
      </c>
      <c r="B636" s="8">
        <v>1</v>
      </c>
      <c r="C636" s="10"/>
      <c r="D636" s="10"/>
      <c r="E636" s="10"/>
      <c r="F636" s="104"/>
      <c r="G636" s="9">
        <f t="shared" si="179"/>
        <v>1</v>
      </c>
      <c r="H636" s="58">
        <v>43713</v>
      </c>
      <c r="I636" s="15" t="s">
        <v>1002</v>
      </c>
      <c r="J636" s="37"/>
      <c r="K636" s="135"/>
      <c r="L636" s="135"/>
      <c r="M636" s="135">
        <v>6</v>
      </c>
      <c r="N636" s="136">
        <v>7</v>
      </c>
      <c r="O636" s="7">
        <f t="shared" si="181"/>
        <v>13</v>
      </c>
      <c r="P636" s="57">
        <v>43729</v>
      </c>
    </row>
    <row r="637" spans="1:16" x14ac:dyDescent="0.15">
      <c r="A637" s="15" t="s">
        <v>411</v>
      </c>
      <c r="B637" s="8"/>
      <c r="C637" s="10"/>
      <c r="D637" s="10">
        <v>2</v>
      </c>
      <c r="E637" s="10"/>
      <c r="F637" s="104">
        <v>3</v>
      </c>
      <c r="G637" s="9">
        <f t="shared" si="179"/>
        <v>5</v>
      </c>
      <c r="H637" s="58">
        <v>43720</v>
      </c>
      <c r="I637" s="15" t="s">
        <v>1002</v>
      </c>
      <c r="J637" s="8"/>
      <c r="K637" s="45"/>
      <c r="L637" s="45"/>
      <c r="M637" s="45">
        <v>1</v>
      </c>
      <c r="N637" s="46">
        <v>2</v>
      </c>
      <c r="O637" s="9">
        <f t="shared" si="181"/>
        <v>3</v>
      </c>
      <c r="P637" s="58">
        <v>43743</v>
      </c>
    </row>
    <row r="638" spans="1:16" x14ac:dyDescent="0.15">
      <c r="A638" s="15" t="s">
        <v>19</v>
      </c>
      <c r="B638" s="8"/>
      <c r="C638" s="10"/>
      <c r="D638" s="10"/>
      <c r="E638" s="10">
        <v>6</v>
      </c>
      <c r="F638" s="104">
        <v>4</v>
      </c>
      <c r="G638" s="9">
        <f t="shared" si="179"/>
        <v>10</v>
      </c>
      <c r="H638" s="58">
        <v>43721</v>
      </c>
      <c r="I638" s="15" t="s">
        <v>5</v>
      </c>
      <c r="J638" s="8"/>
      <c r="K638" s="45"/>
      <c r="L638" s="45"/>
      <c r="M638" s="45"/>
      <c r="N638" s="46"/>
      <c r="O638" s="9">
        <f t="shared" si="181"/>
        <v>0</v>
      </c>
    </row>
    <row r="639" spans="1:16" x14ac:dyDescent="0.15">
      <c r="A639" s="15" t="s">
        <v>6</v>
      </c>
      <c r="B639" s="11"/>
      <c r="C639" s="12">
        <v>3</v>
      </c>
      <c r="D639" s="12"/>
      <c r="E639" s="12"/>
      <c r="F639" s="108"/>
      <c r="G639" s="9">
        <f t="shared" si="179"/>
        <v>3</v>
      </c>
      <c r="H639" s="58">
        <v>43726</v>
      </c>
      <c r="I639" s="15" t="s">
        <v>6</v>
      </c>
      <c r="J639" s="8"/>
      <c r="K639" s="45"/>
      <c r="L639" s="45"/>
      <c r="M639" s="45"/>
      <c r="N639" s="46"/>
      <c r="O639" s="9">
        <f t="shared" si="181"/>
        <v>0</v>
      </c>
    </row>
    <row r="640" spans="1:16" x14ac:dyDescent="0.15">
      <c r="A640" s="15" t="s">
        <v>84</v>
      </c>
      <c r="B640" s="8"/>
      <c r="C640" s="10"/>
      <c r="D640" s="10"/>
      <c r="E640" s="10">
        <v>3</v>
      </c>
      <c r="F640" s="30"/>
      <c r="G640" s="7">
        <f t="shared" si="179"/>
        <v>3</v>
      </c>
      <c r="H640" s="58">
        <v>43733</v>
      </c>
      <c r="I640" s="15" t="s">
        <v>84</v>
      </c>
      <c r="J640" s="8"/>
      <c r="K640" s="45"/>
      <c r="L640" s="45"/>
      <c r="M640" s="45"/>
      <c r="N640" s="46"/>
      <c r="O640" s="7">
        <f t="shared" si="181"/>
        <v>0</v>
      </c>
    </row>
    <row r="641" spans="1:16" x14ac:dyDescent="0.15">
      <c r="A641" s="15" t="s">
        <v>111</v>
      </c>
      <c r="B641" s="8"/>
      <c r="C641" s="10"/>
      <c r="D641" s="10">
        <v>1</v>
      </c>
      <c r="E641" s="10"/>
      <c r="F641" s="30"/>
      <c r="G641" s="7">
        <f t="shared" si="179"/>
        <v>1</v>
      </c>
      <c r="H641" s="58">
        <v>43729</v>
      </c>
      <c r="I641" s="15" t="s">
        <v>85</v>
      </c>
      <c r="J641" s="8"/>
      <c r="K641" s="45"/>
      <c r="L641" s="45"/>
      <c r="M641" s="45"/>
      <c r="N641" s="46"/>
      <c r="O641" s="7">
        <f t="shared" si="181"/>
        <v>0</v>
      </c>
    </row>
    <row r="642" spans="1:16" x14ac:dyDescent="0.15">
      <c r="A642" s="15" t="s">
        <v>17</v>
      </c>
      <c r="B642" s="8"/>
      <c r="C642" s="45">
        <v>1</v>
      </c>
      <c r="D642" s="45"/>
      <c r="E642" s="45"/>
      <c r="F642" s="46"/>
      <c r="G642" s="102">
        <f t="shared" si="179"/>
        <v>1</v>
      </c>
      <c r="H642" s="58">
        <v>43734</v>
      </c>
      <c r="I642" s="15" t="s">
        <v>86</v>
      </c>
      <c r="J642" s="8"/>
      <c r="K642" s="45"/>
      <c r="L642" s="45"/>
      <c r="M642" s="45"/>
      <c r="N642" s="46"/>
      <c r="O642" s="102">
        <f t="shared" si="181"/>
        <v>0</v>
      </c>
    </row>
    <row r="643" spans="1:16" ht="14.25" thickBot="1" x14ac:dyDescent="0.2">
      <c r="A643" s="15" t="s">
        <v>383</v>
      </c>
      <c r="B643" s="11"/>
      <c r="C643" s="100">
        <v>1</v>
      </c>
      <c r="D643" s="100"/>
      <c r="E643" s="100"/>
      <c r="F643" s="109"/>
      <c r="G643" s="40">
        <f t="shared" si="179"/>
        <v>1</v>
      </c>
      <c r="H643" s="58">
        <v>43735</v>
      </c>
      <c r="I643" s="15" t="s">
        <v>87</v>
      </c>
      <c r="J643" s="47"/>
      <c r="K643" s="48"/>
      <c r="L643" s="48"/>
      <c r="M643" s="48"/>
      <c r="N643" s="49"/>
      <c r="O643" s="40">
        <f t="shared" si="181"/>
        <v>0</v>
      </c>
    </row>
    <row r="644" spans="1:16" ht="14.25" thickBot="1" x14ac:dyDescent="0.2">
      <c r="A644" s="72" t="s">
        <v>7</v>
      </c>
      <c r="B644" s="73">
        <f>SUM(B635:B643)</f>
        <v>8</v>
      </c>
      <c r="C644" s="74">
        <f t="shared" ref="C644:G644" si="182">SUM(C635:C643)</f>
        <v>11</v>
      </c>
      <c r="D644" s="74">
        <f t="shared" si="182"/>
        <v>9</v>
      </c>
      <c r="E644" s="74">
        <f t="shared" si="182"/>
        <v>17</v>
      </c>
      <c r="F644" s="105">
        <f t="shared" si="182"/>
        <v>13</v>
      </c>
      <c r="G644" s="76">
        <f t="shared" si="182"/>
        <v>58</v>
      </c>
      <c r="H644" s="56"/>
      <c r="I644" s="72" t="s">
        <v>7</v>
      </c>
      <c r="J644" s="73">
        <f>SUM(J635:J643)</f>
        <v>205</v>
      </c>
      <c r="K644" s="74">
        <f t="shared" ref="K644:O644" si="183">SUM(K635:K643)</f>
        <v>244</v>
      </c>
      <c r="L644" s="74">
        <f t="shared" si="183"/>
        <v>190</v>
      </c>
      <c r="M644" s="74">
        <f t="shared" si="183"/>
        <v>165</v>
      </c>
      <c r="N644" s="105">
        <f t="shared" si="183"/>
        <v>116</v>
      </c>
      <c r="O644" s="76">
        <f t="shared" si="183"/>
        <v>920</v>
      </c>
    </row>
    <row r="645" spans="1:16" x14ac:dyDescent="0.15">
      <c r="A645" s="51" t="s">
        <v>1094</v>
      </c>
      <c r="B645" s="8"/>
      <c r="C645" s="10">
        <v>1</v>
      </c>
      <c r="D645" s="10"/>
      <c r="E645" s="10"/>
      <c r="F645" s="30"/>
      <c r="G645" s="9">
        <f t="shared" ref="G645:G670" si="184">SUM(B645:F645)</f>
        <v>1</v>
      </c>
      <c r="H645" s="58">
        <v>43712</v>
      </c>
      <c r="I645" s="16" t="s">
        <v>1122</v>
      </c>
      <c r="J645" s="17"/>
      <c r="K645" s="22"/>
      <c r="L645" s="22">
        <v>10</v>
      </c>
      <c r="M645" s="22"/>
      <c r="N645" s="29"/>
      <c r="O645" s="18">
        <f t="shared" ref="O645:O664" si="185">SUM(J645:N645)</f>
        <v>10</v>
      </c>
      <c r="P645" s="58">
        <v>43714</v>
      </c>
    </row>
    <row r="646" spans="1:16" x14ac:dyDescent="0.15">
      <c r="A646" s="16" t="s">
        <v>1128</v>
      </c>
      <c r="B646" s="8">
        <v>1</v>
      </c>
      <c r="C646" s="10"/>
      <c r="D646" s="10"/>
      <c r="E646" s="10"/>
      <c r="F646" s="30"/>
      <c r="G646" s="7">
        <f t="shared" si="184"/>
        <v>1</v>
      </c>
      <c r="H646" s="58">
        <v>43710</v>
      </c>
      <c r="I646" s="16" t="s">
        <v>1129</v>
      </c>
      <c r="J646" s="8">
        <v>2</v>
      </c>
      <c r="K646" s="10"/>
      <c r="L646" s="10"/>
      <c r="M646" s="10"/>
      <c r="N646" s="30">
        <v>2</v>
      </c>
      <c r="O646" s="7">
        <f t="shared" si="185"/>
        <v>4</v>
      </c>
      <c r="P646" s="58">
        <v>43713</v>
      </c>
    </row>
    <row r="647" spans="1:16" x14ac:dyDescent="0.15">
      <c r="A647" s="16" t="s">
        <v>1139</v>
      </c>
      <c r="B647" s="8"/>
      <c r="C647" s="10"/>
      <c r="D647" s="10">
        <v>1</v>
      </c>
      <c r="E647" s="10"/>
      <c r="F647" s="30"/>
      <c r="G647" s="7">
        <f t="shared" si="184"/>
        <v>1</v>
      </c>
      <c r="H647" s="58">
        <v>43720</v>
      </c>
      <c r="I647" s="16" t="s">
        <v>10</v>
      </c>
      <c r="J647" s="8"/>
      <c r="K647" s="10">
        <v>1</v>
      </c>
      <c r="L647" s="10"/>
      <c r="M647" s="10"/>
      <c r="N647" s="30"/>
      <c r="O647" s="7">
        <f t="shared" si="185"/>
        <v>1</v>
      </c>
      <c r="P647" s="58">
        <v>43720</v>
      </c>
    </row>
    <row r="648" spans="1:16" x14ac:dyDescent="0.15">
      <c r="A648" s="14" t="s">
        <v>999</v>
      </c>
      <c r="B648" s="8"/>
      <c r="C648" s="10"/>
      <c r="D648" s="10"/>
      <c r="E648" s="10">
        <v>2</v>
      </c>
      <c r="F648" s="30"/>
      <c r="G648" s="7">
        <f t="shared" si="184"/>
        <v>2</v>
      </c>
      <c r="H648" s="58">
        <v>43721</v>
      </c>
      <c r="I648" s="16" t="s">
        <v>22</v>
      </c>
      <c r="J648" s="8"/>
      <c r="K648" s="10"/>
      <c r="L648" s="10"/>
      <c r="M648" s="10"/>
      <c r="N648" s="30">
        <v>10</v>
      </c>
      <c r="O648" s="7">
        <f t="shared" si="185"/>
        <v>10</v>
      </c>
      <c r="P648" s="58">
        <v>43725</v>
      </c>
    </row>
    <row r="649" spans="1:16" x14ac:dyDescent="0.15">
      <c r="A649" s="16" t="s">
        <v>1151</v>
      </c>
      <c r="B649" s="8"/>
      <c r="C649" s="10">
        <v>3</v>
      </c>
      <c r="D649" s="10">
        <v>2</v>
      </c>
      <c r="E649" s="10"/>
      <c r="F649" s="30"/>
      <c r="G649" s="7">
        <f t="shared" si="184"/>
        <v>5</v>
      </c>
      <c r="H649" s="58">
        <v>43728</v>
      </c>
      <c r="I649" s="16" t="s">
        <v>10</v>
      </c>
      <c r="J649" s="8"/>
      <c r="K649" s="10">
        <v>4</v>
      </c>
      <c r="L649" s="10"/>
      <c r="M649" s="10">
        <v>1</v>
      </c>
      <c r="N649" s="30"/>
      <c r="O649" s="7">
        <f t="shared" si="185"/>
        <v>5</v>
      </c>
      <c r="P649" s="58">
        <v>43724</v>
      </c>
    </row>
    <row r="650" spans="1:16" x14ac:dyDescent="0.15">
      <c r="A650" s="16" t="s">
        <v>29</v>
      </c>
      <c r="B650" s="8">
        <v>1</v>
      </c>
      <c r="C650" s="10"/>
      <c r="D650" s="10"/>
      <c r="E650" s="10"/>
      <c r="F650" s="30"/>
      <c r="G650" s="7">
        <f t="shared" si="184"/>
        <v>1</v>
      </c>
      <c r="H650" s="58">
        <v>43726</v>
      </c>
      <c r="I650" s="16" t="s">
        <v>22</v>
      </c>
      <c r="J650" s="8"/>
      <c r="K650" s="10"/>
      <c r="L650" s="10">
        <v>10</v>
      </c>
      <c r="M650" s="10"/>
      <c r="N650" s="30"/>
      <c r="O650" s="7">
        <f t="shared" si="185"/>
        <v>10</v>
      </c>
      <c r="P650" s="58">
        <v>43728</v>
      </c>
    </row>
    <row r="651" spans="1:16" x14ac:dyDescent="0.15">
      <c r="A651" s="16" t="s">
        <v>1156</v>
      </c>
      <c r="B651" s="8"/>
      <c r="C651" s="10"/>
      <c r="D651" s="10"/>
      <c r="E651" s="10">
        <v>6</v>
      </c>
      <c r="F651" s="30">
        <v>7</v>
      </c>
      <c r="G651" s="7">
        <f t="shared" si="184"/>
        <v>13</v>
      </c>
      <c r="H651" s="58">
        <v>43729</v>
      </c>
      <c r="I651" s="14" t="s">
        <v>1153</v>
      </c>
      <c r="J651" s="8"/>
      <c r="K651" s="10">
        <v>3</v>
      </c>
      <c r="L651" s="10"/>
      <c r="M651" s="10"/>
      <c r="N651" s="30"/>
      <c r="O651" s="7">
        <f t="shared" si="185"/>
        <v>3</v>
      </c>
      <c r="P651" s="58">
        <v>43726</v>
      </c>
    </row>
    <row r="652" spans="1:16" x14ac:dyDescent="0.15">
      <c r="A652" s="16" t="s">
        <v>1161</v>
      </c>
      <c r="B652" s="8"/>
      <c r="C652" s="10"/>
      <c r="D652" s="10"/>
      <c r="E652" s="10">
        <v>3</v>
      </c>
      <c r="F652" s="30"/>
      <c r="G652" s="7">
        <f t="shared" si="184"/>
        <v>3</v>
      </c>
      <c r="H652" s="58">
        <v>43735</v>
      </c>
      <c r="I652" s="14" t="s">
        <v>1141</v>
      </c>
      <c r="J652" s="8">
        <v>6</v>
      </c>
      <c r="K652" s="10">
        <v>6</v>
      </c>
      <c r="L652" s="10">
        <v>5</v>
      </c>
      <c r="M652" s="10">
        <v>7</v>
      </c>
      <c r="N652" s="30">
        <v>1</v>
      </c>
      <c r="O652" s="7">
        <f t="shared" si="185"/>
        <v>25</v>
      </c>
      <c r="P652" s="58">
        <v>43732</v>
      </c>
    </row>
    <row r="653" spans="1:16" x14ac:dyDescent="0.15">
      <c r="A653" s="16" t="s">
        <v>1166</v>
      </c>
      <c r="B653" s="8"/>
      <c r="C653" s="10"/>
      <c r="D653" s="10">
        <v>1</v>
      </c>
      <c r="E653" s="10"/>
      <c r="F653" s="30"/>
      <c r="G653" s="7">
        <f t="shared" si="184"/>
        <v>1</v>
      </c>
      <c r="H653" s="58">
        <v>43733</v>
      </c>
      <c r="I653" s="16" t="s">
        <v>22</v>
      </c>
      <c r="J653" s="11"/>
      <c r="K653" s="100"/>
      <c r="L653" s="100"/>
      <c r="M653" s="100">
        <v>10</v>
      </c>
      <c r="N653" s="109">
        <v>20</v>
      </c>
      <c r="O653" s="9">
        <f t="shared" si="185"/>
        <v>30</v>
      </c>
      <c r="P653" s="58">
        <v>43735</v>
      </c>
    </row>
    <row r="654" spans="1:16" x14ac:dyDescent="0.15">
      <c r="A654" s="16" t="s">
        <v>117</v>
      </c>
      <c r="B654" s="8"/>
      <c r="C654" s="10">
        <v>1</v>
      </c>
      <c r="D654" s="10"/>
      <c r="E654" s="10"/>
      <c r="F654" s="30"/>
      <c r="G654" s="7">
        <f t="shared" si="184"/>
        <v>1</v>
      </c>
      <c r="H654" s="58">
        <v>43735</v>
      </c>
      <c r="I654" s="16" t="s">
        <v>24</v>
      </c>
      <c r="J654" s="11"/>
      <c r="K654" s="12"/>
      <c r="L654" s="12"/>
      <c r="M654" s="12">
        <v>3</v>
      </c>
      <c r="N654" s="31"/>
      <c r="O654" s="7">
        <f t="shared" si="185"/>
        <v>3</v>
      </c>
      <c r="P654" s="58">
        <v>43733</v>
      </c>
    </row>
    <row r="655" spans="1:16" x14ac:dyDescent="0.15">
      <c r="A655" s="16" t="s">
        <v>10</v>
      </c>
      <c r="B655" s="11"/>
      <c r="C655" s="12"/>
      <c r="D655" s="12"/>
      <c r="E655" s="12"/>
      <c r="F655" s="31">
        <v>1</v>
      </c>
      <c r="G655" s="7">
        <v>1</v>
      </c>
      <c r="H655" s="58">
        <v>43738</v>
      </c>
      <c r="I655" s="16" t="s">
        <v>22</v>
      </c>
      <c r="J655" s="8"/>
      <c r="K655" s="10">
        <v>10</v>
      </c>
      <c r="L655" s="10"/>
      <c r="M655" s="10"/>
      <c r="N655" s="30"/>
      <c r="O655" s="7">
        <f t="shared" si="185"/>
        <v>10</v>
      </c>
      <c r="P655" s="58">
        <v>43739</v>
      </c>
    </row>
    <row r="656" spans="1:16" x14ac:dyDescent="0.15">
      <c r="A656" s="15" t="s">
        <v>19</v>
      </c>
      <c r="B656" s="8">
        <v>-1</v>
      </c>
      <c r="C656" s="10"/>
      <c r="D656" s="10"/>
      <c r="E656" s="10">
        <v>-1</v>
      </c>
      <c r="F656" s="30">
        <v>-2</v>
      </c>
      <c r="G656" s="7">
        <f t="shared" si="184"/>
        <v>-4</v>
      </c>
      <c r="H656" s="58">
        <v>43738</v>
      </c>
      <c r="I656" s="16" t="s">
        <v>1171</v>
      </c>
      <c r="J656" s="8">
        <v>1</v>
      </c>
      <c r="K656" s="10"/>
      <c r="L656" s="10">
        <v>1</v>
      </c>
      <c r="M656" s="10">
        <v>1</v>
      </c>
      <c r="N656" s="30"/>
      <c r="O656" s="7">
        <f t="shared" si="185"/>
        <v>3</v>
      </c>
      <c r="P656" s="58">
        <v>43735</v>
      </c>
    </row>
    <row r="657" spans="1:17" x14ac:dyDescent="0.15">
      <c r="A657" s="16" t="s">
        <v>1177</v>
      </c>
      <c r="B657" s="8"/>
      <c r="C657" s="10"/>
      <c r="D657" s="10"/>
      <c r="E657" s="10">
        <v>1</v>
      </c>
      <c r="F657" s="30">
        <v>2</v>
      </c>
      <c r="G657" s="7">
        <f t="shared" si="184"/>
        <v>3</v>
      </c>
      <c r="H657" s="58">
        <v>43743</v>
      </c>
      <c r="I657" s="16" t="s">
        <v>10</v>
      </c>
      <c r="J657" s="8"/>
      <c r="K657" s="10">
        <v>2</v>
      </c>
      <c r="L657" s="10">
        <v>1</v>
      </c>
      <c r="M657" s="10"/>
      <c r="N657" s="30">
        <v>1</v>
      </c>
      <c r="O657" s="7">
        <f t="shared" si="185"/>
        <v>4</v>
      </c>
      <c r="P657" s="58">
        <v>43739</v>
      </c>
    </row>
    <row r="658" spans="1:17" x14ac:dyDescent="0.15">
      <c r="A658" s="16" t="s">
        <v>10</v>
      </c>
      <c r="B658" s="8"/>
      <c r="C658" s="10">
        <v>1</v>
      </c>
      <c r="D658" s="10"/>
      <c r="E658" s="10"/>
      <c r="F658" s="30"/>
      <c r="G658" s="7">
        <f t="shared" si="184"/>
        <v>1</v>
      </c>
      <c r="H658" s="58">
        <v>43745</v>
      </c>
      <c r="I658" s="16" t="s">
        <v>10</v>
      </c>
      <c r="J658" s="11">
        <v>1</v>
      </c>
      <c r="K658" s="12">
        <v>1</v>
      </c>
      <c r="L658" s="12">
        <v>1</v>
      </c>
      <c r="M658" s="12"/>
      <c r="N658" s="31"/>
      <c r="O658" s="7">
        <f t="shared" si="185"/>
        <v>3</v>
      </c>
      <c r="P658" s="58">
        <v>43740</v>
      </c>
    </row>
    <row r="659" spans="1:17" x14ac:dyDescent="0.15">
      <c r="A659" s="16" t="s">
        <v>1178</v>
      </c>
      <c r="B659" s="8"/>
      <c r="C659" s="10"/>
      <c r="D659" s="10"/>
      <c r="E659" s="10"/>
      <c r="F659" s="30">
        <v>1</v>
      </c>
      <c r="G659" s="7">
        <f t="shared" si="184"/>
        <v>1</v>
      </c>
      <c r="H659" s="58">
        <v>43748</v>
      </c>
      <c r="I659" s="16" t="s">
        <v>10</v>
      </c>
      <c r="J659" s="8">
        <v>1</v>
      </c>
      <c r="K659" s="10"/>
      <c r="L659" s="10"/>
      <c r="M659" s="10"/>
      <c r="N659" s="30"/>
      <c r="O659" s="7">
        <f t="shared" si="185"/>
        <v>1</v>
      </c>
      <c r="P659" s="58">
        <v>43742</v>
      </c>
    </row>
    <row r="660" spans="1:17" x14ac:dyDescent="0.15">
      <c r="A660" s="16" t="s">
        <v>1185</v>
      </c>
      <c r="B660" s="8"/>
      <c r="C660" s="10"/>
      <c r="D660" s="10"/>
      <c r="E660" s="10"/>
      <c r="F660" s="30">
        <v>-3</v>
      </c>
      <c r="G660" s="7">
        <f t="shared" si="184"/>
        <v>-3</v>
      </c>
      <c r="H660" s="58">
        <v>43753</v>
      </c>
      <c r="I660" s="14" t="s">
        <v>1186</v>
      </c>
      <c r="J660" s="8"/>
      <c r="K660" s="10"/>
      <c r="L660" s="10"/>
      <c r="M660" s="10"/>
      <c r="N660" s="30">
        <v>3</v>
      </c>
      <c r="O660" s="7">
        <f t="shared" si="185"/>
        <v>3</v>
      </c>
      <c r="P660" s="58">
        <v>43753</v>
      </c>
    </row>
    <row r="661" spans="1:17" x14ac:dyDescent="0.15">
      <c r="A661" s="16" t="s">
        <v>10</v>
      </c>
      <c r="B661" s="8"/>
      <c r="C661" s="10"/>
      <c r="D661" s="10"/>
      <c r="E661" s="10">
        <v>1</v>
      </c>
      <c r="F661" s="30"/>
      <c r="G661" s="7">
        <f t="shared" si="184"/>
        <v>1</v>
      </c>
      <c r="H661" s="58">
        <v>43754</v>
      </c>
      <c r="I661" s="14" t="s">
        <v>1141</v>
      </c>
      <c r="J661" s="11"/>
      <c r="K661" s="12">
        <v>6</v>
      </c>
      <c r="L661" s="12">
        <v>5</v>
      </c>
      <c r="M661" s="12">
        <v>3</v>
      </c>
      <c r="N661" s="31">
        <v>2</v>
      </c>
      <c r="O661" s="7">
        <f t="shared" si="185"/>
        <v>16</v>
      </c>
      <c r="P661" s="58">
        <v>43759</v>
      </c>
      <c r="Q661" s="56"/>
    </row>
    <row r="662" spans="1:17" x14ac:dyDescent="0.15">
      <c r="A662" s="15" t="s">
        <v>17</v>
      </c>
      <c r="B662" s="8"/>
      <c r="C662" s="10">
        <v>-2</v>
      </c>
      <c r="D662" s="10"/>
      <c r="E662" s="10"/>
      <c r="F662" s="30"/>
      <c r="G662" s="7">
        <f t="shared" si="184"/>
        <v>-2</v>
      </c>
      <c r="H662" s="58">
        <v>43755</v>
      </c>
      <c r="I662" s="16" t="s">
        <v>10</v>
      </c>
      <c r="J662" s="11"/>
      <c r="K662" s="12"/>
      <c r="L662" s="12"/>
      <c r="M662" s="12">
        <v>1</v>
      </c>
      <c r="N662" s="31"/>
      <c r="O662" s="7">
        <f t="shared" si="185"/>
        <v>1</v>
      </c>
      <c r="P662" s="58">
        <v>43757</v>
      </c>
    </row>
    <row r="663" spans="1:17" x14ac:dyDescent="0.15">
      <c r="A663" s="15" t="s">
        <v>383</v>
      </c>
      <c r="B663" s="8">
        <v>-1</v>
      </c>
      <c r="C663" s="10">
        <v>-1</v>
      </c>
      <c r="D663" s="10">
        <v>-2</v>
      </c>
      <c r="E663" s="10">
        <v>-3</v>
      </c>
      <c r="F663" s="30">
        <v>-2</v>
      </c>
      <c r="G663" s="7">
        <f t="shared" si="184"/>
        <v>-9</v>
      </c>
      <c r="H663" s="58">
        <v>43757</v>
      </c>
      <c r="I663" s="16" t="s">
        <v>1197</v>
      </c>
      <c r="J663" s="11"/>
      <c r="K663" s="12"/>
      <c r="L663" s="12"/>
      <c r="M663" s="12">
        <v>1</v>
      </c>
      <c r="N663" s="31"/>
      <c r="O663" s="7">
        <f t="shared" si="185"/>
        <v>1</v>
      </c>
      <c r="P663" s="58">
        <v>43763</v>
      </c>
    </row>
    <row r="664" spans="1:17" x14ac:dyDescent="0.15">
      <c r="A664" s="15" t="s">
        <v>19</v>
      </c>
      <c r="B664" s="8"/>
      <c r="C664" s="10"/>
      <c r="D664" s="10">
        <v>-1</v>
      </c>
      <c r="E664" s="10"/>
      <c r="F664" s="30"/>
      <c r="G664" s="7">
        <f t="shared" si="184"/>
        <v>-1</v>
      </c>
      <c r="H664" s="58">
        <v>43757</v>
      </c>
      <c r="I664" s="16" t="s">
        <v>10</v>
      </c>
      <c r="J664" s="11"/>
      <c r="K664" s="12"/>
      <c r="L664" s="12"/>
      <c r="M664" s="12"/>
      <c r="N664" s="31">
        <v>1</v>
      </c>
      <c r="O664" s="7">
        <f t="shared" si="185"/>
        <v>1</v>
      </c>
      <c r="P664" s="58">
        <v>43763</v>
      </c>
    </row>
    <row r="665" spans="1:17" x14ac:dyDescent="0.15">
      <c r="A665" s="16" t="s">
        <v>10</v>
      </c>
      <c r="B665" s="8"/>
      <c r="C665" s="10"/>
      <c r="D665" s="10">
        <v>1</v>
      </c>
      <c r="E665" s="10"/>
      <c r="F665" s="30">
        <v>1</v>
      </c>
      <c r="G665" s="7">
        <f t="shared" si="184"/>
        <v>2</v>
      </c>
      <c r="H665" s="58">
        <v>43762</v>
      </c>
      <c r="I665" s="14"/>
      <c r="J665" s="11"/>
      <c r="K665" s="12"/>
      <c r="L665" s="12"/>
      <c r="M665" s="12"/>
      <c r="N665" s="31"/>
      <c r="O665" s="7">
        <f t="shared" ref="O665:O670" si="186">SUM(J665:N665)</f>
        <v>0</v>
      </c>
      <c r="P665" s="56"/>
    </row>
    <row r="666" spans="1:17" x14ac:dyDescent="0.15">
      <c r="A666" s="16" t="s">
        <v>1204</v>
      </c>
      <c r="B666" s="8"/>
      <c r="C666" s="10"/>
      <c r="D666" s="10">
        <v>-1</v>
      </c>
      <c r="E666" s="10"/>
      <c r="F666" s="59"/>
      <c r="G666" s="7">
        <f t="shared" si="184"/>
        <v>-1</v>
      </c>
      <c r="H666" s="58">
        <v>43768</v>
      </c>
      <c r="I666" s="39" t="s">
        <v>1085</v>
      </c>
      <c r="J666" s="11"/>
      <c r="K666" s="12"/>
      <c r="L666" s="12"/>
      <c r="M666" s="12"/>
      <c r="N666" s="31"/>
      <c r="O666" s="7">
        <f t="shared" si="186"/>
        <v>0</v>
      </c>
      <c r="P666" s="56"/>
    </row>
    <row r="667" spans="1:17" x14ac:dyDescent="0.15">
      <c r="A667" s="16"/>
      <c r="B667" s="37"/>
      <c r="C667" s="35"/>
      <c r="D667" s="35"/>
      <c r="E667" s="35"/>
      <c r="F667" s="28"/>
      <c r="G667" s="7">
        <f t="shared" si="184"/>
        <v>0</v>
      </c>
      <c r="H667" s="58"/>
      <c r="I667" s="16" t="s">
        <v>1079</v>
      </c>
      <c r="J667" s="11"/>
      <c r="K667" s="12"/>
      <c r="L667" s="12"/>
      <c r="M667" s="12"/>
      <c r="N667" s="31"/>
      <c r="O667" s="7">
        <f t="shared" si="186"/>
        <v>0</v>
      </c>
      <c r="P667" s="58" t="s">
        <v>1080</v>
      </c>
    </row>
    <row r="668" spans="1:17" x14ac:dyDescent="0.15">
      <c r="A668" s="16"/>
      <c r="B668" s="8"/>
      <c r="C668" s="10"/>
      <c r="D668" s="10"/>
      <c r="E668" s="10"/>
      <c r="F668" s="30"/>
      <c r="G668" s="7">
        <f t="shared" si="184"/>
        <v>0</v>
      </c>
      <c r="H668" s="58"/>
      <c r="I668" s="16" t="s">
        <v>1120</v>
      </c>
      <c r="J668" s="11"/>
      <c r="K668" s="12"/>
      <c r="L668" s="12"/>
      <c r="M668" s="12"/>
      <c r="N668" s="31"/>
      <c r="O668" s="7">
        <f t="shared" si="186"/>
        <v>0</v>
      </c>
      <c r="P668" s="56" t="s">
        <v>1119</v>
      </c>
    </row>
    <row r="669" spans="1:17" x14ac:dyDescent="0.15">
      <c r="A669" s="16"/>
      <c r="B669" s="8"/>
      <c r="C669" s="10"/>
      <c r="D669" s="10"/>
      <c r="E669" s="10"/>
      <c r="F669" s="30"/>
      <c r="G669" s="9">
        <f t="shared" si="184"/>
        <v>0</v>
      </c>
      <c r="H669" s="58"/>
      <c r="I669" s="16" t="s">
        <v>1114</v>
      </c>
      <c r="J669" s="11"/>
      <c r="K669" s="12"/>
      <c r="L669" s="12"/>
      <c r="M669" s="12"/>
      <c r="N669" s="31"/>
      <c r="O669" s="7">
        <f t="shared" si="186"/>
        <v>0</v>
      </c>
      <c r="P669" s="56" t="s">
        <v>1116</v>
      </c>
    </row>
    <row r="670" spans="1:17" ht="14.25" thickBot="1" x14ac:dyDescent="0.2">
      <c r="A670" s="51"/>
      <c r="B670" s="37"/>
      <c r="C670" s="35"/>
      <c r="D670" s="35"/>
      <c r="E670" s="35"/>
      <c r="F670" s="28"/>
      <c r="G670" s="7">
        <f t="shared" si="184"/>
        <v>0</v>
      </c>
      <c r="H670" s="58"/>
      <c r="I670" s="39" t="s">
        <v>1031</v>
      </c>
      <c r="J670" s="11"/>
      <c r="K670" s="12"/>
      <c r="L670" s="12"/>
      <c r="M670" s="12"/>
      <c r="N670" s="31"/>
      <c r="O670" s="7">
        <f t="shared" si="186"/>
        <v>0</v>
      </c>
      <c r="P670" s="56" t="s">
        <v>1032</v>
      </c>
    </row>
    <row r="671" spans="1:17" ht="14.25" thickBot="1" x14ac:dyDescent="0.2">
      <c r="A671" s="3" t="s">
        <v>11</v>
      </c>
      <c r="B671" s="23">
        <f>SUM(B645:B670)</f>
        <v>0</v>
      </c>
      <c r="C671" s="4">
        <f>SUM(C645:C670)</f>
        <v>3</v>
      </c>
      <c r="D671" s="4">
        <f>SUM(D645:D670)</f>
        <v>1</v>
      </c>
      <c r="E671" s="6">
        <f>SUM(E645:E670)</f>
        <v>9</v>
      </c>
      <c r="F671" s="32">
        <f>SUM(F645:F670)</f>
        <v>5</v>
      </c>
      <c r="G671" s="5">
        <f>SUM(B671:F671)</f>
        <v>18</v>
      </c>
      <c r="H671" s="56"/>
      <c r="I671" s="3" t="s">
        <v>11</v>
      </c>
      <c r="J671" s="23">
        <f>SUM(J645:J670)</f>
        <v>11</v>
      </c>
      <c r="K671" s="4">
        <f>SUM(K645:K670)</f>
        <v>33</v>
      </c>
      <c r="L671" s="4">
        <f>SUM(L645:L670)</f>
        <v>33</v>
      </c>
      <c r="M671" s="6">
        <f>SUM(M645:M670)</f>
        <v>27</v>
      </c>
      <c r="N671" s="32">
        <f>SUM(N645:N670)</f>
        <v>40</v>
      </c>
      <c r="O671" s="5">
        <f>SUM(J671:N671)</f>
        <v>144</v>
      </c>
    </row>
    <row r="672" spans="1:17" ht="14.25" thickBot="1" x14ac:dyDescent="0.2">
      <c r="A672" s="25" t="s">
        <v>12</v>
      </c>
      <c r="B672" s="63">
        <f>B644-B671</f>
        <v>8</v>
      </c>
      <c r="C672" s="26">
        <f t="shared" ref="C672:G672" si="187">C644-C671</f>
        <v>8</v>
      </c>
      <c r="D672" s="71">
        <f t="shared" si="187"/>
        <v>8</v>
      </c>
      <c r="E672" s="26">
        <f t="shared" si="187"/>
        <v>8</v>
      </c>
      <c r="F672" s="70">
        <f t="shared" si="187"/>
        <v>8</v>
      </c>
      <c r="G672" s="27">
        <f t="shared" si="187"/>
        <v>40</v>
      </c>
      <c r="H672" s="56"/>
      <c r="I672" s="25" t="s">
        <v>12</v>
      </c>
      <c r="J672" s="63">
        <f t="shared" ref="J672:O672" si="188">J644-J671</f>
        <v>194</v>
      </c>
      <c r="K672" s="26">
        <f t="shared" si="188"/>
        <v>211</v>
      </c>
      <c r="L672" s="71">
        <f t="shared" si="188"/>
        <v>157</v>
      </c>
      <c r="M672" s="26">
        <f t="shared" si="188"/>
        <v>138</v>
      </c>
      <c r="N672" s="70">
        <f t="shared" si="188"/>
        <v>76</v>
      </c>
      <c r="O672" s="27">
        <f t="shared" si="188"/>
        <v>776</v>
      </c>
    </row>
    <row r="673" spans="1:17" ht="21" x14ac:dyDescent="0.2">
      <c r="A673" s="86" t="s">
        <v>413</v>
      </c>
      <c r="B673" s="87"/>
      <c r="C673" s="87"/>
      <c r="D673" s="87"/>
      <c r="E673" s="87"/>
      <c r="F673" s="87"/>
      <c r="G673" s="87"/>
      <c r="H673" s="56"/>
      <c r="I673" s="86" t="s">
        <v>413</v>
      </c>
      <c r="J673" s="87"/>
      <c r="K673" s="87"/>
      <c r="L673" s="87"/>
      <c r="M673" s="87"/>
      <c r="N673" s="87"/>
      <c r="O673" s="87"/>
    </row>
    <row r="674" spans="1:17" ht="21.75" thickBot="1" x14ac:dyDescent="0.25">
      <c r="A674" s="86" t="s">
        <v>51</v>
      </c>
      <c r="B674" s="87"/>
      <c r="C674" s="87"/>
      <c r="D674" s="87"/>
      <c r="E674" s="85"/>
      <c r="F674" s="88" t="s">
        <v>53</v>
      </c>
      <c r="G674" s="87"/>
      <c r="H674" s="56"/>
      <c r="I674" s="86" t="s">
        <v>51</v>
      </c>
      <c r="J674" s="87"/>
      <c r="K674" s="87"/>
      <c r="L674" s="87"/>
      <c r="M674" s="89"/>
      <c r="N674" s="88" t="s">
        <v>54</v>
      </c>
      <c r="O674" s="87"/>
    </row>
    <row r="675" spans="1:17" ht="14.25" thickBot="1" x14ac:dyDescent="0.2">
      <c r="A675" s="13" t="s">
        <v>0</v>
      </c>
      <c r="B675" s="228" t="s">
        <v>52</v>
      </c>
      <c r="C675" s="229"/>
      <c r="D675" s="229"/>
      <c r="E675" s="229"/>
      <c r="F675" s="230"/>
      <c r="G675" s="231"/>
      <c r="H675" s="56"/>
      <c r="I675" s="13" t="s">
        <v>0</v>
      </c>
      <c r="J675" s="228" t="s">
        <v>52</v>
      </c>
      <c r="K675" s="229"/>
      <c r="L675" s="229"/>
      <c r="M675" s="229"/>
      <c r="N675" s="230"/>
      <c r="O675" s="231"/>
    </row>
    <row r="676" spans="1:17" ht="14.25" thickBot="1" x14ac:dyDescent="0.2">
      <c r="A676" s="3" t="s">
        <v>1</v>
      </c>
      <c r="B676" s="2" t="s">
        <v>42</v>
      </c>
      <c r="C676" s="21" t="s">
        <v>43</v>
      </c>
      <c r="D676" s="21" t="s">
        <v>44</v>
      </c>
      <c r="E676" s="24" t="s">
        <v>45</v>
      </c>
      <c r="F676" s="33" t="s">
        <v>46</v>
      </c>
      <c r="G676" s="3" t="s">
        <v>2</v>
      </c>
      <c r="H676" s="56"/>
      <c r="I676" s="3" t="s">
        <v>1</v>
      </c>
      <c r="J676" s="41" t="s">
        <v>42</v>
      </c>
      <c r="K676" s="42" t="s">
        <v>43</v>
      </c>
      <c r="L676" s="42" t="s">
        <v>44</v>
      </c>
      <c r="M676" s="43" t="s">
        <v>45</v>
      </c>
      <c r="N676" s="44" t="s">
        <v>46</v>
      </c>
      <c r="O676" s="3" t="s">
        <v>2</v>
      </c>
    </row>
    <row r="677" spans="1:17" x14ac:dyDescent="0.15">
      <c r="A677" s="96" t="s">
        <v>13</v>
      </c>
      <c r="B677" s="95">
        <f>B672</f>
        <v>8</v>
      </c>
      <c r="C677" s="97">
        <f t="shared" ref="C677:F677" si="189">C672</f>
        <v>8</v>
      </c>
      <c r="D677" s="97">
        <f t="shared" si="189"/>
        <v>8</v>
      </c>
      <c r="E677" s="97">
        <f t="shared" si="189"/>
        <v>8</v>
      </c>
      <c r="F677" s="139">
        <f t="shared" si="189"/>
        <v>8</v>
      </c>
      <c r="G677" s="52">
        <f t="shared" ref="G677:G685" si="190">SUM(B677:F677)</f>
        <v>40</v>
      </c>
      <c r="H677" s="56"/>
      <c r="I677" s="96" t="s">
        <v>13</v>
      </c>
      <c r="J677" s="95">
        <f>J672</f>
        <v>194</v>
      </c>
      <c r="K677" s="97">
        <f t="shared" ref="K677:N677" si="191">K672</f>
        <v>211</v>
      </c>
      <c r="L677" s="97">
        <f t="shared" si="191"/>
        <v>157</v>
      </c>
      <c r="M677" s="97">
        <f t="shared" si="191"/>
        <v>138</v>
      </c>
      <c r="N677" s="139">
        <f t="shared" si="191"/>
        <v>76</v>
      </c>
      <c r="O677" s="52">
        <f t="shared" ref="O677:O685" si="192">SUM(J677:N677)</f>
        <v>776</v>
      </c>
    </row>
    <row r="678" spans="1:17" x14ac:dyDescent="0.15">
      <c r="A678" s="15" t="s">
        <v>993</v>
      </c>
      <c r="B678" s="8"/>
      <c r="C678" s="10"/>
      <c r="D678" s="10">
        <v>1</v>
      </c>
      <c r="E678" s="10"/>
      <c r="F678" s="104"/>
      <c r="G678" s="9">
        <f t="shared" si="190"/>
        <v>1</v>
      </c>
      <c r="H678" s="58">
        <v>43766</v>
      </c>
      <c r="I678" s="15" t="s">
        <v>9</v>
      </c>
      <c r="J678" s="37">
        <v>16</v>
      </c>
      <c r="K678" s="135">
        <v>4</v>
      </c>
      <c r="L678" s="135">
        <v>6</v>
      </c>
      <c r="M678" s="135">
        <v>5</v>
      </c>
      <c r="N678" s="136">
        <v>8</v>
      </c>
      <c r="O678" s="7">
        <f t="shared" si="192"/>
        <v>39</v>
      </c>
      <c r="P678" s="57">
        <v>43771</v>
      </c>
    </row>
    <row r="679" spans="1:17" x14ac:dyDescent="0.15">
      <c r="A679" s="15" t="s">
        <v>111</v>
      </c>
      <c r="B679" s="8">
        <v>16</v>
      </c>
      <c r="C679" s="10">
        <v>4</v>
      </c>
      <c r="D679" s="10">
        <v>3</v>
      </c>
      <c r="E679" s="10">
        <v>2</v>
      </c>
      <c r="F679" s="104">
        <v>3</v>
      </c>
      <c r="G679" s="9">
        <f t="shared" si="190"/>
        <v>28</v>
      </c>
      <c r="H679" s="58">
        <v>43767</v>
      </c>
      <c r="I679" s="15" t="s">
        <v>9</v>
      </c>
      <c r="J679" s="8">
        <v>3</v>
      </c>
      <c r="K679" s="45">
        <v>4</v>
      </c>
      <c r="L679" s="45">
        <v>4</v>
      </c>
      <c r="M679" s="45"/>
      <c r="N679" s="46">
        <v>2</v>
      </c>
      <c r="O679" s="9">
        <f t="shared" si="192"/>
        <v>13</v>
      </c>
      <c r="P679" s="58">
        <v>43806</v>
      </c>
      <c r="Q679" s="56"/>
    </row>
    <row r="680" spans="1:17" x14ac:dyDescent="0.15">
      <c r="A680" s="15" t="s">
        <v>993</v>
      </c>
      <c r="B680" s="8"/>
      <c r="C680" s="10"/>
      <c r="D680" s="10">
        <v>1</v>
      </c>
      <c r="E680" s="10">
        <v>1</v>
      </c>
      <c r="F680" s="104"/>
      <c r="G680" s="9">
        <f t="shared" si="190"/>
        <v>2</v>
      </c>
      <c r="H680" s="58">
        <v>43780</v>
      </c>
      <c r="I680" s="15" t="s">
        <v>5</v>
      </c>
      <c r="J680" s="8"/>
      <c r="K680" s="45"/>
      <c r="L680" s="45"/>
      <c r="M680" s="45"/>
      <c r="N680" s="46"/>
      <c r="O680" s="9">
        <f t="shared" si="192"/>
        <v>0</v>
      </c>
    </row>
    <row r="681" spans="1:17" x14ac:dyDescent="0.15">
      <c r="A681" s="15" t="s">
        <v>17</v>
      </c>
      <c r="B681" s="11"/>
      <c r="C681" s="12"/>
      <c r="D681" s="12">
        <v>3</v>
      </c>
      <c r="E681" s="12"/>
      <c r="F681" s="108">
        <v>1</v>
      </c>
      <c r="G681" s="9">
        <f t="shared" si="190"/>
        <v>4</v>
      </c>
      <c r="H681" s="58">
        <v>43782</v>
      </c>
      <c r="I681" s="15" t="s">
        <v>6</v>
      </c>
      <c r="J681" s="8">
        <v>89</v>
      </c>
      <c r="K681" s="45">
        <v>79</v>
      </c>
      <c r="L681" s="45">
        <v>99</v>
      </c>
      <c r="M681" s="45">
        <v>129</v>
      </c>
      <c r="N681" s="46">
        <v>199</v>
      </c>
      <c r="O681" s="9">
        <f t="shared" si="192"/>
        <v>595</v>
      </c>
      <c r="P681" s="58" t="s">
        <v>1228</v>
      </c>
    </row>
    <row r="682" spans="1:17" x14ac:dyDescent="0.15">
      <c r="A682" s="15" t="s">
        <v>993</v>
      </c>
      <c r="B682" s="8"/>
      <c r="C682" s="10">
        <v>1</v>
      </c>
      <c r="D682" s="10"/>
      <c r="E682" s="10"/>
      <c r="F682" s="30"/>
      <c r="G682" s="7">
        <f t="shared" si="190"/>
        <v>1</v>
      </c>
      <c r="H682" s="58">
        <v>43794</v>
      </c>
      <c r="I682" s="15" t="s">
        <v>9</v>
      </c>
      <c r="J682" s="8">
        <v>7</v>
      </c>
      <c r="K682" s="45"/>
      <c r="L682" s="45">
        <v>15</v>
      </c>
      <c r="M682" s="45"/>
      <c r="N682" s="46">
        <v>9</v>
      </c>
      <c r="O682" s="7">
        <f t="shared" si="192"/>
        <v>31</v>
      </c>
      <c r="P682" s="57">
        <v>43862</v>
      </c>
    </row>
    <row r="683" spans="1:17" x14ac:dyDescent="0.15">
      <c r="A683" s="15" t="s">
        <v>1218</v>
      </c>
      <c r="B683" s="8">
        <v>1</v>
      </c>
      <c r="C683" s="10">
        <v>1</v>
      </c>
      <c r="D683" s="10">
        <v>1</v>
      </c>
      <c r="E683" s="10">
        <v>1</v>
      </c>
      <c r="F683" s="30">
        <v>1</v>
      </c>
      <c r="G683" s="7">
        <f t="shared" si="190"/>
        <v>5</v>
      </c>
      <c r="H683" s="58">
        <v>43796</v>
      </c>
      <c r="I683" s="15" t="s">
        <v>85</v>
      </c>
      <c r="J683" s="8"/>
      <c r="K683" s="45"/>
      <c r="L683" s="45"/>
      <c r="M683" s="45"/>
      <c r="N683" s="46"/>
      <c r="O683" s="7">
        <f t="shared" si="192"/>
        <v>0</v>
      </c>
    </row>
    <row r="684" spans="1:17" x14ac:dyDescent="0.15">
      <c r="A684" s="15" t="s">
        <v>19</v>
      </c>
      <c r="B684" s="8"/>
      <c r="C684" s="45">
        <v>1</v>
      </c>
      <c r="D684" s="45"/>
      <c r="E684" s="45">
        <v>3</v>
      </c>
      <c r="F684" s="46">
        <v>1</v>
      </c>
      <c r="G684" s="102">
        <f t="shared" si="190"/>
        <v>5</v>
      </c>
      <c r="H684" s="58">
        <v>43812</v>
      </c>
      <c r="I684" s="15" t="s">
        <v>86</v>
      </c>
      <c r="J684" s="8"/>
      <c r="K684" s="45"/>
      <c r="L684" s="45"/>
      <c r="M684" s="45"/>
      <c r="N684" s="46"/>
      <c r="O684" s="102">
        <f t="shared" si="192"/>
        <v>0</v>
      </c>
    </row>
    <row r="685" spans="1:17" ht="14.25" thickBot="1" x14ac:dyDescent="0.2">
      <c r="A685" s="15" t="s">
        <v>1234</v>
      </c>
      <c r="B685" s="11"/>
      <c r="C685" s="100">
        <v>1</v>
      </c>
      <c r="D685" s="100"/>
      <c r="E685" s="100"/>
      <c r="F685" s="109"/>
      <c r="G685" s="40">
        <f t="shared" si="190"/>
        <v>1</v>
      </c>
      <c r="H685" s="58">
        <v>43837</v>
      </c>
      <c r="I685" s="15" t="s">
        <v>87</v>
      </c>
      <c r="J685" s="47"/>
      <c r="K685" s="48"/>
      <c r="L685" s="48"/>
      <c r="M685" s="48"/>
      <c r="N685" s="49"/>
      <c r="O685" s="40">
        <f t="shared" si="192"/>
        <v>0</v>
      </c>
    </row>
    <row r="686" spans="1:17" ht="14.25" thickBot="1" x14ac:dyDescent="0.2">
      <c r="A686" s="72" t="s">
        <v>7</v>
      </c>
      <c r="B686" s="73">
        <f>SUM(B677:B685)</f>
        <v>25</v>
      </c>
      <c r="C686" s="74">
        <f t="shared" ref="C686:G686" si="193">SUM(C677:C685)</f>
        <v>16</v>
      </c>
      <c r="D686" s="74">
        <f t="shared" si="193"/>
        <v>17</v>
      </c>
      <c r="E686" s="74">
        <f t="shared" si="193"/>
        <v>15</v>
      </c>
      <c r="F686" s="105">
        <f t="shared" si="193"/>
        <v>14</v>
      </c>
      <c r="G686" s="76">
        <f t="shared" si="193"/>
        <v>87</v>
      </c>
      <c r="H686" s="56"/>
      <c r="I686" s="72" t="s">
        <v>7</v>
      </c>
      <c r="J686" s="73">
        <f>SUM(J677:J685)</f>
        <v>309</v>
      </c>
      <c r="K686" s="74">
        <f t="shared" ref="K686:O686" si="194">SUM(K677:K685)</f>
        <v>298</v>
      </c>
      <c r="L686" s="74">
        <f t="shared" si="194"/>
        <v>281</v>
      </c>
      <c r="M686" s="74">
        <f t="shared" si="194"/>
        <v>272</v>
      </c>
      <c r="N686" s="105">
        <f t="shared" si="194"/>
        <v>294</v>
      </c>
      <c r="O686" s="76">
        <f t="shared" si="194"/>
        <v>1454</v>
      </c>
    </row>
    <row r="687" spans="1:17" x14ac:dyDescent="0.15">
      <c r="A687" s="51" t="s">
        <v>1214</v>
      </c>
      <c r="B687" s="8">
        <v>16</v>
      </c>
      <c r="C687" s="10">
        <v>4</v>
      </c>
      <c r="D687" s="10">
        <v>6</v>
      </c>
      <c r="E687" s="10">
        <v>5</v>
      </c>
      <c r="F687" s="30">
        <v>8</v>
      </c>
      <c r="G687" s="9">
        <f t="shared" ref="G687:G712" si="195">SUM(B687:F687)</f>
        <v>39</v>
      </c>
      <c r="H687" s="58">
        <v>43771</v>
      </c>
      <c r="I687" s="16" t="s">
        <v>10</v>
      </c>
      <c r="J687" s="17"/>
      <c r="K687" s="22">
        <v>1</v>
      </c>
      <c r="L687" s="22"/>
      <c r="M687" s="22"/>
      <c r="N687" s="29">
        <v>1</v>
      </c>
      <c r="O687" s="18">
        <f t="shared" ref="O687:O709" si="196">SUM(J687:N687)</f>
        <v>2</v>
      </c>
      <c r="P687" s="58">
        <v>43764</v>
      </c>
    </row>
    <row r="688" spans="1:17" x14ac:dyDescent="0.15">
      <c r="A688" s="51" t="s">
        <v>1155</v>
      </c>
      <c r="B688" s="8">
        <v>3</v>
      </c>
      <c r="C688" s="10">
        <v>4</v>
      </c>
      <c r="D688" s="10">
        <v>4</v>
      </c>
      <c r="E688" s="10"/>
      <c r="F688" s="30">
        <v>2</v>
      </c>
      <c r="G688" s="7">
        <f t="shared" si="195"/>
        <v>13</v>
      </c>
      <c r="H688" s="58">
        <v>43806</v>
      </c>
      <c r="I688" s="16" t="s">
        <v>10</v>
      </c>
      <c r="J688" s="8"/>
      <c r="K688" s="10">
        <v>1</v>
      </c>
      <c r="L688" s="10"/>
      <c r="M688" s="10"/>
      <c r="N688" s="30"/>
      <c r="O688" s="7">
        <f t="shared" si="196"/>
        <v>1</v>
      </c>
      <c r="P688" s="58">
        <v>43768</v>
      </c>
    </row>
    <row r="689" spans="1:17" x14ac:dyDescent="0.15">
      <c r="A689" s="16" t="s">
        <v>29</v>
      </c>
      <c r="B689" s="8">
        <v>1</v>
      </c>
      <c r="C689" s="10"/>
      <c r="D689" s="10"/>
      <c r="E689" s="10"/>
      <c r="F689" s="30"/>
      <c r="G689" s="7">
        <f t="shared" si="195"/>
        <v>1</v>
      </c>
      <c r="H689" s="58">
        <v>43810</v>
      </c>
      <c r="I689" s="16" t="s">
        <v>10</v>
      </c>
      <c r="J689" s="8"/>
      <c r="K689" s="10"/>
      <c r="L689" s="10">
        <v>1</v>
      </c>
      <c r="M689" s="10"/>
      <c r="N689" s="30"/>
      <c r="O689" s="7">
        <f t="shared" si="196"/>
        <v>1</v>
      </c>
      <c r="P689" s="58">
        <v>43769</v>
      </c>
    </row>
    <row r="690" spans="1:17" x14ac:dyDescent="0.15">
      <c r="A690" s="16" t="s">
        <v>10</v>
      </c>
      <c r="B690" s="8"/>
      <c r="C690" s="10"/>
      <c r="D690" s="10"/>
      <c r="E690" s="10"/>
      <c r="F690" s="30">
        <v>1</v>
      </c>
      <c r="G690" s="7">
        <f t="shared" si="195"/>
        <v>1</v>
      </c>
      <c r="H690" s="58">
        <v>43825</v>
      </c>
      <c r="I690" s="16" t="s">
        <v>1141</v>
      </c>
      <c r="J690" s="8">
        <v>1</v>
      </c>
      <c r="K690" s="10">
        <v>5</v>
      </c>
      <c r="L690" s="10">
        <v>3</v>
      </c>
      <c r="M690" s="10">
        <v>5</v>
      </c>
      <c r="N690" s="30">
        <v>2</v>
      </c>
      <c r="O690" s="7">
        <f t="shared" si="196"/>
        <v>16</v>
      </c>
      <c r="P690" s="58">
        <v>43774</v>
      </c>
    </row>
    <row r="691" spans="1:17" x14ac:dyDescent="0.15">
      <c r="A691" s="16" t="s">
        <v>29</v>
      </c>
      <c r="B691" s="8"/>
      <c r="C691" s="10"/>
      <c r="D691" s="10"/>
      <c r="E691" s="10"/>
      <c r="F691" s="30">
        <v>1</v>
      </c>
      <c r="G691" s="7">
        <f t="shared" si="195"/>
        <v>1</v>
      </c>
      <c r="H691" s="58">
        <v>43839</v>
      </c>
      <c r="I691" s="16" t="s">
        <v>10</v>
      </c>
      <c r="J691" s="8"/>
      <c r="K691" s="10">
        <v>1</v>
      </c>
      <c r="L691" s="10"/>
      <c r="M691" s="10"/>
      <c r="N691" s="30"/>
      <c r="O691" s="7">
        <f t="shared" si="196"/>
        <v>1</v>
      </c>
      <c r="P691" s="58">
        <v>43778</v>
      </c>
    </row>
    <row r="692" spans="1:17" x14ac:dyDescent="0.15">
      <c r="A692" s="16" t="s">
        <v>1236</v>
      </c>
      <c r="B692" s="8"/>
      <c r="C692" s="10"/>
      <c r="D692" s="10"/>
      <c r="E692" s="10"/>
      <c r="F692" s="30">
        <v>-5</v>
      </c>
      <c r="G692" s="7">
        <f t="shared" si="195"/>
        <v>-5</v>
      </c>
      <c r="H692" s="58">
        <v>43846</v>
      </c>
      <c r="I692" s="16" t="s">
        <v>10</v>
      </c>
      <c r="J692" s="8"/>
      <c r="K692" s="10"/>
      <c r="L692" s="10"/>
      <c r="M692" s="10">
        <v>1</v>
      </c>
      <c r="N692" s="30"/>
      <c r="O692" s="7">
        <f t="shared" si="196"/>
        <v>1</v>
      </c>
      <c r="P692" s="58">
        <v>43782</v>
      </c>
    </row>
    <row r="693" spans="1:17" x14ac:dyDescent="0.15">
      <c r="A693" s="16" t="s">
        <v>29</v>
      </c>
      <c r="B693" s="8"/>
      <c r="C693" s="10"/>
      <c r="D693" s="10"/>
      <c r="E693" s="10">
        <v>1</v>
      </c>
      <c r="F693" s="30"/>
      <c r="G693" s="7">
        <f t="shared" si="195"/>
        <v>1</v>
      </c>
      <c r="H693" s="58">
        <v>43844</v>
      </c>
      <c r="I693" s="16" t="s">
        <v>10</v>
      </c>
      <c r="J693" s="8"/>
      <c r="K693" s="10"/>
      <c r="L693" s="10"/>
      <c r="M693" s="10">
        <v>1</v>
      </c>
      <c r="N693" s="30"/>
      <c r="O693" s="7">
        <f t="shared" si="196"/>
        <v>1</v>
      </c>
      <c r="P693" s="58">
        <v>43799</v>
      </c>
    </row>
    <row r="694" spans="1:17" x14ac:dyDescent="0.15">
      <c r="A694" s="15" t="s">
        <v>17</v>
      </c>
      <c r="B694" s="8"/>
      <c r="C694" s="10"/>
      <c r="D694" s="10"/>
      <c r="E694" s="10">
        <v>-1</v>
      </c>
      <c r="F694" s="30"/>
      <c r="G694" s="7">
        <f t="shared" si="195"/>
        <v>-1</v>
      </c>
      <c r="H694" s="58">
        <v>43846</v>
      </c>
      <c r="I694" s="16" t="s">
        <v>10</v>
      </c>
      <c r="J694" s="8"/>
      <c r="K694" s="10"/>
      <c r="L694" s="10"/>
      <c r="M694" s="10">
        <v>1</v>
      </c>
      <c r="N694" s="30">
        <v>1</v>
      </c>
      <c r="O694" s="7">
        <f t="shared" si="196"/>
        <v>2</v>
      </c>
      <c r="P694" s="58">
        <v>43803</v>
      </c>
    </row>
    <row r="695" spans="1:17" x14ac:dyDescent="0.15">
      <c r="A695" s="16" t="s">
        <v>1240</v>
      </c>
      <c r="B695" s="8"/>
      <c r="C695" s="10"/>
      <c r="D695" s="10"/>
      <c r="E695" s="10">
        <v>-1</v>
      </c>
      <c r="F695" s="30"/>
      <c r="G695" s="7">
        <f t="shared" si="195"/>
        <v>-1</v>
      </c>
      <c r="H695" s="58">
        <v>43848</v>
      </c>
      <c r="I695" s="16" t="s">
        <v>10</v>
      </c>
      <c r="J695" s="11"/>
      <c r="K695" s="100"/>
      <c r="L695" s="100"/>
      <c r="M695" s="100">
        <v>1</v>
      </c>
      <c r="N695" s="109"/>
      <c r="O695" s="9">
        <f t="shared" si="196"/>
        <v>1</v>
      </c>
      <c r="P695" s="58">
        <v>43805</v>
      </c>
    </row>
    <row r="696" spans="1:17" x14ac:dyDescent="0.15">
      <c r="A696" s="16" t="s">
        <v>29</v>
      </c>
      <c r="B696" s="8"/>
      <c r="C696" s="10"/>
      <c r="D696" s="10"/>
      <c r="E696" s="10">
        <v>1</v>
      </c>
      <c r="F696" s="30"/>
      <c r="G696" s="7">
        <f t="shared" si="195"/>
        <v>1</v>
      </c>
      <c r="H696" s="58">
        <v>43848</v>
      </c>
      <c r="I696" s="16" t="s">
        <v>22</v>
      </c>
      <c r="J696" s="11"/>
      <c r="K696" s="12"/>
      <c r="L696" s="12"/>
      <c r="M696" s="12">
        <v>10</v>
      </c>
      <c r="N696" s="31"/>
      <c r="O696" s="7">
        <f t="shared" si="196"/>
        <v>10</v>
      </c>
      <c r="P696" s="58">
        <v>43811</v>
      </c>
    </row>
    <row r="697" spans="1:17" x14ac:dyDescent="0.15">
      <c r="A697" s="16" t="s">
        <v>1245</v>
      </c>
      <c r="B697" s="11"/>
      <c r="C697" s="12"/>
      <c r="D697" s="12"/>
      <c r="E697" s="12">
        <v>1</v>
      </c>
      <c r="F697" s="31"/>
      <c r="G697" s="7">
        <f t="shared" si="195"/>
        <v>1</v>
      </c>
      <c r="H697" s="58">
        <v>43851</v>
      </c>
      <c r="I697" s="16" t="s">
        <v>10</v>
      </c>
      <c r="J697" s="8"/>
      <c r="K697" s="10"/>
      <c r="L697" s="10"/>
      <c r="M697" s="10">
        <v>4</v>
      </c>
      <c r="N697" s="30"/>
      <c r="O697" s="7">
        <f t="shared" si="196"/>
        <v>4</v>
      </c>
      <c r="P697" s="58">
        <v>43806</v>
      </c>
    </row>
    <row r="698" spans="1:17" x14ac:dyDescent="0.15">
      <c r="A698" s="16" t="s">
        <v>243</v>
      </c>
      <c r="B698" s="8">
        <v>-7</v>
      </c>
      <c r="C698" s="10"/>
      <c r="D698" s="10">
        <v>-15</v>
      </c>
      <c r="E698" s="10"/>
      <c r="F698" s="30">
        <v>-6</v>
      </c>
      <c r="G698" s="7">
        <f t="shared" si="195"/>
        <v>-28</v>
      </c>
      <c r="H698" s="58">
        <v>43853</v>
      </c>
      <c r="I698" s="16" t="s">
        <v>10</v>
      </c>
      <c r="J698" s="8"/>
      <c r="K698" s="10">
        <v>1</v>
      </c>
      <c r="L698" s="10"/>
      <c r="M698" s="10"/>
      <c r="N698" s="30"/>
      <c r="O698" s="7">
        <f t="shared" si="196"/>
        <v>1</v>
      </c>
      <c r="P698" s="58">
        <v>43808</v>
      </c>
    </row>
    <row r="699" spans="1:17" x14ac:dyDescent="0.15">
      <c r="A699" s="16" t="s">
        <v>117</v>
      </c>
      <c r="B699" s="8"/>
      <c r="C699" s="10"/>
      <c r="D699" s="10"/>
      <c r="E699" s="10">
        <v>1</v>
      </c>
      <c r="F699" s="30"/>
      <c r="G699" s="7">
        <f t="shared" si="195"/>
        <v>1</v>
      </c>
      <c r="H699" s="58">
        <v>43858</v>
      </c>
      <c r="I699" s="16" t="s">
        <v>22</v>
      </c>
      <c r="J699" s="8"/>
      <c r="K699" s="10">
        <v>10</v>
      </c>
      <c r="L699" s="10"/>
      <c r="M699" s="10"/>
      <c r="N699" s="30"/>
      <c r="O699" s="7">
        <f t="shared" si="196"/>
        <v>10</v>
      </c>
      <c r="P699" s="58">
        <v>43815</v>
      </c>
    </row>
    <row r="700" spans="1:17" x14ac:dyDescent="0.15">
      <c r="A700" s="15" t="s">
        <v>17</v>
      </c>
      <c r="B700" s="8"/>
      <c r="C700" s="10"/>
      <c r="D700" s="10"/>
      <c r="E700" s="10"/>
      <c r="F700" s="30">
        <v>-1</v>
      </c>
      <c r="G700" s="7">
        <f t="shared" si="195"/>
        <v>-1</v>
      </c>
      <c r="H700" s="58">
        <v>43859</v>
      </c>
      <c r="I700" s="16" t="s">
        <v>22</v>
      </c>
      <c r="J700" s="11">
        <v>10</v>
      </c>
      <c r="K700" s="12"/>
      <c r="L700" s="12">
        <v>10</v>
      </c>
      <c r="M700" s="12"/>
      <c r="N700" s="31"/>
      <c r="O700" s="7">
        <f t="shared" si="196"/>
        <v>20</v>
      </c>
      <c r="P700" s="58">
        <v>43818</v>
      </c>
    </row>
    <row r="701" spans="1:17" x14ac:dyDescent="0.15">
      <c r="A701" s="16" t="s">
        <v>1250</v>
      </c>
      <c r="B701" s="8">
        <v>7</v>
      </c>
      <c r="C701" s="10"/>
      <c r="D701" s="10">
        <v>15</v>
      </c>
      <c r="E701" s="10"/>
      <c r="F701" s="30">
        <v>9</v>
      </c>
      <c r="G701" s="7">
        <f t="shared" si="195"/>
        <v>31</v>
      </c>
      <c r="H701" s="58">
        <v>43862</v>
      </c>
      <c r="I701" s="16" t="s">
        <v>10</v>
      </c>
      <c r="J701" s="8"/>
      <c r="K701" s="10"/>
      <c r="L701" s="10"/>
      <c r="M701" s="10"/>
      <c r="N701" s="30">
        <v>1</v>
      </c>
      <c r="O701" s="7">
        <f t="shared" si="196"/>
        <v>1</v>
      </c>
      <c r="P701" s="58">
        <v>43827</v>
      </c>
      <c r="Q701" s="56"/>
    </row>
    <row r="702" spans="1:17" x14ac:dyDescent="0.15">
      <c r="A702" s="16" t="s">
        <v>1255</v>
      </c>
      <c r="B702" s="8"/>
      <c r="C702" s="10">
        <v>1</v>
      </c>
      <c r="D702" s="10"/>
      <c r="E702" s="10"/>
      <c r="F702" s="30"/>
      <c r="G702" s="7">
        <f t="shared" si="195"/>
        <v>1</v>
      </c>
      <c r="H702" s="58">
        <v>43865</v>
      </c>
      <c r="I702" s="14" t="s">
        <v>1237</v>
      </c>
      <c r="J702" s="8"/>
      <c r="K702" s="10"/>
      <c r="L702" s="10"/>
      <c r="M702" s="10"/>
      <c r="N702" s="30">
        <v>5</v>
      </c>
      <c r="O702" s="7">
        <f t="shared" si="196"/>
        <v>5</v>
      </c>
      <c r="P702" s="58">
        <v>43846</v>
      </c>
      <c r="Q702" s="56"/>
    </row>
    <row r="703" spans="1:17" x14ac:dyDescent="0.15">
      <c r="A703" s="16"/>
      <c r="B703" s="8"/>
      <c r="C703" s="10"/>
      <c r="D703" s="10"/>
      <c r="E703" s="10"/>
      <c r="F703" s="30"/>
      <c r="G703" s="7">
        <f t="shared" si="195"/>
        <v>0</v>
      </c>
      <c r="H703" s="58"/>
      <c r="I703" s="16" t="s">
        <v>10</v>
      </c>
      <c r="J703" s="11"/>
      <c r="K703" s="12"/>
      <c r="L703" s="12"/>
      <c r="M703" s="12"/>
      <c r="N703" s="31">
        <v>1</v>
      </c>
      <c r="O703" s="7">
        <f t="shared" si="196"/>
        <v>1</v>
      </c>
      <c r="P703" s="58">
        <v>43845</v>
      </c>
    </row>
    <row r="704" spans="1:17" x14ac:dyDescent="0.15">
      <c r="A704" s="16"/>
      <c r="B704" s="8"/>
      <c r="C704" s="10"/>
      <c r="D704" s="10"/>
      <c r="E704" s="10"/>
      <c r="F704" s="30"/>
      <c r="G704" s="7">
        <f t="shared" si="195"/>
        <v>0</v>
      </c>
      <c r="H704" s="58"/>
      <c r="I704" s="16" t="s">
        <v>22</v>
      </c>
      <c r="J704" s="11"/>
      <c r="K704" s="12"/>
      <c r="L704" s="12"/>
      <c r="M704" s="12"/>
      <c r="N704" s="31">
        <v>10</v>
      </c>
      <c r="O704" s="7">
        <f t="shared" si="196"/>
        <v>10</v>
      </c>
      <c r="P704" s="58">
        <v>43853</v>
      </c>
    </row>
    <row r="705" spans="1:16" x14ac:dyDescent="0.15">
      <c r="A705" s="16"/>
      <c r="B705" s="8"/>
      <c r="C705" s="10"/>
      <c r="D705" s="10"/>
      <c r="E705" s="10"/>
      <c r="F705" s="30"/>
      <c r="G705" s="7">
        <f t="shared" si="195"/>
        <v>0</v>
      </c>
      <c r="H705" s="58"/>
      <c r="I705" s="16" t="s">
        <v>10</v>
      </c>
      <c r="J705" s="11"/>
      <c r="K705" s="12"/>
      <c r="L705" s="12"/>
      <c r="M705" s="12"/>
      <c r="N705" s="31">
        <v>1</v>
      </c>
      <c r="O705" s="7">
        <f t="shared" si="196"/>
        <v>1</v>
      </c>
      <c r="P705" s="58">
        <v>43851</v>
      </c>
    </row>
    <row r="706" spans="1:16" x14ac:dyDescent="0.15">
      <c r="A706" s="16"/>
      <c r="B706" s="8"/>
      <c r="C706" s="10"/>
      <c r="D706" s="10"/>
      <c r="E706" s="10"/>
      <c r="F706" s="30"/>
      <c r="G706" s="7">
        <f t="shared" si="195"/>
        <v>0</v>
      </c>
      <c r="H706" s="58"/>
      <c r="I706" s="14"/>
      <c r="J706" s="11"/>
      <c r="K706" s="12"/>
      <c r="L706" s="12"/>
      <c r="M706" s="12"/>
      <c r="N706" s="31"/>
      <c r="O706" s="7">
        <f t="shared" si="196"/>
        <v>0</v>
      </c>
      <c r="P706" s="56"/>
    </row>
    <row r="707" spans="1:16" x14ac:dyDescent="0.15">
      <c r="A707" s="16"/>
      <c r="B707" s="8"/>
      <c r="C707" s="10"/>
      <c r="D707" s="10"/>
      <c r="E707" s="10"/>
      <c r="F707" s="30"/>
      <c r="G707" s="7">
        <f t="shared" si="195"/>
        <v>0</v>
      </c>
      <c r="H707" s="58"/>
      <c r="I707" s="14" t="s">
        <v>1188</v>
      </c>
      <c r="J707" s="11"/>
      <c r="K707" s="12"/>
      <c r="L707" s="12"/>
      <c r="M707" s="12"/>
      <c r="N707" s="31"/>
      <c r="O707" s="7">
        <f t="shared" si="196"/>
        <v>0</v>
      </c>
      <c r="P707" s="56" t="s">
        <v>1189</v>
      </c>
    </row>
    <row r="708" spans="1:16" x14ac:dyDescent="0.15">
      <c r="A708" s="16"/>
      <c r="B708" s="8"/>
      <c r="C708" s="10"/>
      <c r="D708" s="10"/>
      <c r="E708" s="10"/>
      <c r="F708" s="59"/>
      <c r="G708" s="7">
        <f t="shared" si="195"/>
        <v>0</v>
      </c>
      <c r="H708" s="58"/>
      <c r="I708" s="14" t="s">
        <v>1134</v>
      </c>
      <c r="J708" s="11"/>
      <c r="K708" s="12"/>
      <c r="L708" s="12"/>
      <c r="M708" s="12"/>
      <c r="N708" s="31"/>
      <c r="O708" s="7">
        <f t="shared" si="196"/>
        <v>0</v>
      </c>
      <c r="P708" s="56" t="s">
        <v>1135</v>
      </c>
    </row>
    <row r="709" spans="1:16" x14ac:dyDescent="0.15">
      <c r="A709" s="16"/>
      <c r="B709" s="37"/>
      <c r="C709" s="35"/>
      <c r="D709" s="35"/>
      <c r="E709" s="35"/>
      <c r="F709" s="28"/>
      <c r="G709" s="7">
        <f t="shared" si="195"/>
        <v>0</v>
      </c>
      <c r="H709" s="58"/>
      <c r="I709" s="16" t="s">
        <v>1205</v>
      </c>
      <c r="J709" s="11"/>
      <c r="K709" s="12"/>
      <c r="L709" s="12"/>
      <c r="M709" s="12"/>
      <c r="N709" s="31"/>
      <c r="O709" s="7">
        <f t="shared" si="196"/>
        <v>0</v>
      </c>
      <c r="P709" s="58" t="s">
        <v>1207</v>
      </c>
    </row>
    <row r="710" spans="1:16" x14ac:dyDescent="0.15">
      <c r="A710" s="16"/>
      <c r="B710" s="8"/>
      <c r="C710" s="10"/>
      <c r="D710" s="10"/>
      <c r="E710" s="10"/>
      <c r="F710" s="30"/>
      <c r="G710" s="7">
        <f t="shared" si="195"/>
        <v>0</v>
      </c>
      <c r="H710" s="58"/>
      <c r="I710" s="14" t="s">
        <v>1141</v>
      </c>
      <c r="J710" s="11"/>
      <c r="K710" s="12"/>
      <c r="L710" s="12"/>
      <c r="M710" s="12"/>
      <c r="N710" s="31"/>
      <c r="O710" s="7">
        <f t="shared" ref="O710:O712" si="197">SUM(J710:N710)</f>
        <v>0</v>
      </c>
      <c r="P710" s="56" t="s">
        <v>1142</v>
      </c>
    </row>
    <row r="711" spans="1:16" x14ac:dyDescent="0.15">
      <c r="A711" s="16"/>
      <c r="B711" s="8"/>
      <c r="C711" s="10"/>
      <c r="D711" s="10"/>
      <c r="E711" s="10"/>
      <c r="F711" s="30"/>
      <c r="G711" s="9">
        <f t="shared" si="195"/>
        <v>0</v>
      </c>
      <c r="H711" s="58"/>
      <c r="I711" s="16" t="s">
        <v>1157</v>
      </c>
      <c r="J711" s="11"/>
      <c r="K711" s="12"/>
      <c r="L711" s="12"/>
      <c r="M711" s="12"/>
      <c r="N711" s="31"/>
      <c r="O711" s="7">
        <f t="shared" si="197"/>
        <v>0</v>
      </c>
      <c r="P711" s="58" t="s">
        <v>1158</v>
      </c>
    </row>
    <row r="712" spans="1:16" ht="14.25" thickBot="1" x14ac:dyDescent="0.2">
      <c r="A712" s="51"/>
      <c r="B712" s="37"/>
      <c r="C712" s="35"/>
      <c r="D712" s="35"/>
      <c r="E712" s="35"/>
      <c r="F712" s="28"/>
      <c r="G712" s="7">
        <f t="shared" si="195"/>
        <v>0</v>
      </c>
      <c r="H712" s="58"/>
      <c r="I712" s="64" t="s">
        <v>1148</v>
      </c>
      <c r="J712" s="11"/>
      <c r="K712" s="12"/>
      <c r="L712" s="12"/>
      <c r="M712" s="12"/>
      <c r="N712" s="31"/>
      <c r="O712" s="7">
        <f t="shared" si="197"/>
        <v>0</v>
      </c>
      <c r="P712" s="56" t="s">
        <v>1147</v>
      </c>
    </row>
    <row r="713" spans="1:16" ht="14.25" thickBot="1" x14ac:dyDescent="0.2">
      <c r="A713" s="3" t="s">
        <v>11</v>
      </c>
      <c r="B713" s="23">
        <f>SUM(B687:B712)</f>
        <v>20</v>
      </c>
      <c r="C713" s="4">
        <f>SUM(C687:C712)</f>
        <v>9</v>
      </c>
      <c r="D713" s="4">
        <f>SUM(D687:D712)</f>
        <v>10</v>
      </c>
      <c r="E713" s="6">
        <f>SUM(E687:E712)</f>
        <v>7</v>
      </c>
      <c r="F713" s="32">
        <f>SUM(F687:F712)</f>
        <v>9</v>
      </c>
      <c r="G713" s="5">
        <f>SUM(B713:F713)</f>
        <v>55</v>
      </c>
      <c r="H713" s="56"/>
      <c r="I713" s="3" t="s">
        <v>11</v>
      </c>
      <c r="J713" s="23">
        <f>SUM(J687:J712)</f>
        <v>11</v>
      </c>
      <c r="K713" s="4">
        <f>SUM(K687:K712)</f>
        <v>19</v>
      </c>
      <c r="L713" s="4">
        <f>SUM(L687:L712)</f>
        <v>14</v>
      </c>
      <c r="M713" s="6">
        <f>SUM(M687:M712)</f>
        <v>23</v>
      </c>
      <c r="N713" s="32">
        <f>SUM(N687:N712)</f>
        <v>22</v>
      </c>
      <c r="O713" s="5">
        <f>SUM(J713:N713)</f>
        <v>89</v>
      </c>
    </row>
    <row r="714" spans="1:16" ht="14.25" thickBot="1" x14ac:dyDescent="0.2">
      <c r="A714" s="25" t="s">
        <v>12</v>
      </c>
      <c r="B714" s="63">
        <f>B686-B713</f>
        <v>5</v>
      </c>
      <c r="C714" s="26">
        <f t="shared" ref="C714:G714" si="198">C686-C713</f>
        <v>7</v>
      </c>
      <c r="D714" s="71">
        <f t="shared" si="198"/>
        <v>7</v>
      </c>
      <c r="E714" s="26">
        <f t="shared" si="198"/>
        <v>8</v>
      </c>
      <c r="F714" s="70">
        <f t="shared" si="198"/>
        <v>5</v>
      </c>
      <c r="G714" s="27">
        <f t="shared" si="198"/>
        <v>32</v>
      </c>
      <c r="H714" s="56"/>
      <c r="I714" s="25" t="s">
        <v>12</v>
      </c>
      <c r="J714" s="63">
        <f t="shared" ref="J714:O714" si="199">J686-J713</f>
        <v>298</v>
      </c>
      <c r="K714" s="26">
        <f t="shared" si="199"/>
        <v>279</v>
      </c>
      <c r="L714" s="71">
        <f t="shared" si="199"/>
        <v>267</v>
      </c>
      <c r="M714" s="26">
        <f t="shared" si="199"/>
        <v>249</v>
      </c>
      <c r="N714" s="70">
        <f t="shared" si="199"/>
        <v>272</v>
      </c>
      <c r="O714" s="27">
        <f t="shared" si="199"/>
        <v>1365</v>
      </c>
    </row>
    <row r="715" spans="1:16" ht="21" x14ac:dyDescent="0.2">
      <c r="A715" s="86" t="s">
        <v>413</v>
      </c>
      <c r="B715" s="87"/>
      <c r="C715" s="87"/>
      <c r="D715" s="87"/>
      <c r="E715" s="87"/>
      <c r="F715" s="87"/>
      <c r="G715" s="87"/>
      <c r="H715" s="56"/>
      <c r="I715" s="86" t="s">
        <v>413</v>
      </c>
      <c r="J715" s="87"/>
      <c r="K715" s="87"/>
      <c r="L715" s="87"/>
      <c r="M715" s="87"/>
      <c r="N715" s="87"/>
      <c r="O715" s="87"/>
    </row>
    <row r="716" spans="1:16" ht="21.75" thickBot="1" x14ac:dyDescent="0.25">
      <c r="A716" s="86" t="s">
        <v>51</v>
      </c>
      <c r="B716" s="87"/>
      <c r="C716" s="87"/>
      <c r="D716" s="87"/>
      <c r="E716" s="85"/>
      <c r="F716" s="88" t="s">
        <v>53</v>
      </c>
      <c r="G716" s="87"/>
      <c r="H716" s="56"/>
      <c r="I716" s="86" t="s">
        <v>51</v>
      </c>
      <c r="J716" s="87"/>
      <c r="K716" s="87"/>
      <c r="L716" s="87"/>
      <c r="M716" s="89"/>
      <c r="N716" s="88" t="s">
        <v>54</v>
      </c>
      <c r="O716" s="87"/>
    </row>
    <row r="717" spans="1:16" ht="14.25" thickBot="1" x14ac:dyDescent="0.2">
      <c r="A717" s="13" t="s">
        <v>0</v>
      </c>
      <c r="B717" s="228" t="s">
        <v>52</v>
      </c>
      <c r="C717" s="229"/>
      <c r="D717" s="229"/>
      <c r="E717" s="229"/>
      <c r="F717" s="230"/>
      <c r="G717" s="231"/>
      <c r="H717" s="56"/>
      <c r="I717" s="13" t="s">
        <v>0</v>
      </c>
      <c r="J717" s="228" t="s">
        <v>52</v>
      </c>
      <c r="K717" s="229"/>
      <c r="L717" s="229"/>
      <c r="M717" s="229"/>
      <c r="N717" s="230"/>
      <c r="O717" s="231"/>
    </row>
    <row r="718" spans="1:16" ht="14.25" thickBot="1" x14ac:dyDescent="0.2">
      <c r="A718" s="3" t="s">
        <v>1</v>
      </c>
      <c r="B718" s="2" t="s">
        <v>42</v>
      </c>
      <c r="C718" s="21" t="s">
        <v>43</v>
      </c>
      <c r="D718" s="21" t="s">
        <v>44</v>
      </c>
      <c r="E718" s="24" t="s">
        <v>45</v>
      </c>
      <c r="F718" s="33" t="s">
        <v>46</v>
      </c>
      <c r="G718" s="3" t="s">
        <v>2</v>
      </c>
      <c r="H718" s="56"/>
      <c r="I718" s="3" t="s">
        <v>1</v>
      </c>
      <c r="J718" s="41" t="s">
        <v>42</v>
      </c>
      <c r="K718" s="42" t="s">
        <v>43</v>
      </c>
      <c r="L718" s="42" t="s">
        <v>44</v>
      </c>
      <c r="M718" s="43" t="s">
        <v>45</v>
      </c>
      <c r="N718" s="44" t="s">
        <v>46</v>
      </c>
      <c r="O718" s="3" t="s">
        <v>2</v>
      </c>
    </row>
    <row r="719" spans="1:16" x14ac:dyDescent="0.15">
      <c r="A719" s="96" t="s">
        <v>13</v>
      </c>
      <c r="B719" s="95">
        <f>B714</f>
        <v>5</v>
      </c>
      <c r="C719" s="97">
        <f t="shared" ref="C719:F719" si="200">C714</f>
        <v>7</v>
      </c>
      <c r="D719" s="97">
        <f t="shared" si="200"/>
        <v>7</v>
      </c>
      <c r="E719" s="97">
        <f t="shared" si="200"/>
        <v>8</v>
      </c>
      <c r="F719" s="139">
        <f t="shared" si="200"/>
        <v>5</v>
      </c>
      <c r="G719" s="52">
        <f t="shared" ref="G719:G727" si="201">SUM(B719:F719)</f>
        <v>32</v>
      </c>
      <c r="H719" s="56"/>
      <c r="I719" s="96" t="s">
        <v>13</v>
      </c>
      <c r="J719" s="95">
        <f>J714</f>
        <v>298</v>
      </c>
      <c r="K719" s="97">
        <f t="shared" ref="K719:N719" si="202">K714</f>
        <v>279</v>
      </c>
      <c r="L719" s="97">
        <f t="shared" si="202"/>
        <v>267</v>
      </c>
      <c r="M719" s="97">
        <f t="shared" si="202"/>
        <v>249</v>
      </c>
      <c r="N719" s="139">
        <f t="shared" si="202"/>
        <v>272</v>
      </c>
      <c r="O719" s="52">
        <f t="shared" ref="O719:O727" si="203">SUM(J719:N719)</f>
        <v>1365</v>
      </c>
    </row>
    <row r="720" spans="1:16" x14ac:dyDescent="0.15">
      <c r="A720" s="15" t="s">
        <v>993</v>
      </c>
      <c r="B720" s="8"/>
      <c r="C720" s="10"/>
      <c r="D720" s="10"/>
      <c r="E720" s="10">
        <v>1</v>
      </c>
      <c r="F720" s="104"/>
      <c r="G720" s="9">
        <f t="shared" si="201"/>
        <v>1</v>
      </c>
      <c r="H720" s="58">
        <v>43871</v>
      </c>
      <c r="I720" s="15" t="s">
        <v>9</v>
      </c>
      <c r="J720" s="37"/>
      <c r="K720" s="135"/>
      <c r="L720" s="135">
        <v>2</v>
      </c>
      <c r="M720" s="135">
        <v>5</v>
      </c>
      <c r="N720" s="136"/>
      <c r="O720" s="7">
        <f t="shared" si="203"/>
        <v>7</v>
      </c>
      <c r="P720" s="57">
        <v>43876</v>
      </c>
    </row>
    <row r="721" spans="1:17" x14ac:dyDescent="0.15">
      <c r="A721" s="15" t="s">
        <v>19</v>
      </c>
      <c r="B721" s="8">
        <v>1</v>
      </c>
      <c r="C721" s="10"/>
      <c r="D721" s="10">
        <v>2</v>
      </c>
      <c r="E721" s="10">
        <v>4</v>
      </c>
      <c r="F721" s="104"/>
      <c r="G721" s="9">
        <f t="shared" si="201"/>
        <v>7</v>
      </c>
      <c r="H721" s="58">
        <v>43871</v>
      </c>
      <c r="I721" s="15" t="s">
        <v>4</v>
      </c>
      <c r="J721" s="8"/>
      <c r="K721" s="45"/>
      <c r="L721" s="45"/>
      <c r="M721" s="45"/>
      <c r="N721" s="46"/>
      <c r="O721" s="9">
        <f t="shared" si="203"/>
        <v>0</v>
      </c>
      <c r="P721" s="58"/>
    </row>
    <row r="722" spans="1:17" x14ac:dyDescent="0.15">
      <c r="A722" s="15" t="s">
        <v>616</v>
      </c>
      <c r="B722" s="8"/>
      <c r="C722" s="10">
        <v>1</v>
      </c>
      <c r="D722" s="10"/>
      <c r="E722" s="10"/>
      <c r="F722" s="104"/>
      <c r="G722" s="9">
        <f t="shared" si="201"/>
        <v>1</v>
      </c>
      <c r="H722" s="58">
        <v>43879</v>
      </c>
      <c r="I722" s="15" t="s">
        <v>5</v>
      </c>
      <c r="J722" s="8"/>
      <c r="K722" s="45"/>
      <c r="L722" s="45"/>
      <c r="M722" s="45"/>
      <c r="N722" s="46"/>
      <c r="O722" s="9">
        <f t="shared" si="203"/>
        <v>0</v>
      </c>
    </row>
    <row r="723" spans="1:17" x14ac:dyDescent="0.15">
      <c r="A723" s="15" t="s">
        <v>993</v>
      </c>
      <c r="B723" s="11"/>
      <c r="C723" s="12"/>
      <c r="D723" s="12"/>
      <c r="E723" s="12"/>
      <c r="F723" s="108">
        <v>1</v>
      </c>
      <c r="G723" s="9">
        <f t="shared" si="201"/>
        <v>1</v>
      </c>
      <c r="H723" s="58">
        <v>43888</v>
      </c>
      <c r="I723" s="15" t="s">
        <v>6</v>
      </c>
      <c r="J723" s="8"/>
      <c r="K723" s="45"/>
      <c r="L723" s="45"/>
      <c r="M723" s="45"/>
      <c r="N723" s="46"/>
      <c r="O723" s="9">
        <f t="shared" si="203"/>
        <v>0</v>
      </c>
    </row>
    <row r="724" spans="1:17" x14ac:dyDescent="0.15">
      <c r="A724" s="15" t="s">
        <v>17</v>
      </c>
      <c r="B724" s="8"/>
      <c r="C724" s="10"/>
      <c r="D724" s="10"/>
      <c r="E724" s="10">
        <v>1</v>
      </c>
      <c r="F724" s="30"/>
      <c r="G724" s="7">
        <f t="shared" si="201"/>
        <v>1</v>
      </c>
      <c r="H724" s="58">
        <v>43902</v>
      </c>
      <c r="I724" s="15" t="s">
        <v>84</v>
      </c>
      <c r="J724" s="8"/>
      <c r="K724" s="45"/>
      <c r="L724" s="45"/>
      <c r="M724" s="45"/>
      <c r="N724" s="46"/>
      <c r="O724" s="7">
        <f t="shared" si="203"/>
        <v>0</v>
      </c>
    </row>
    <row r="725" spans="1:17" x14ac:dyDescent="0.15">
      <c r="A725" s="15" t="s">
        <v>993</v>
      </c>
      <c r="B725" s="8"/>
      <c r="C725" s="10"/>
      <c r="D725" s="10">
        <v>2</v>
      </c>
      <c r="E725" s="10"/>
      <c r="F725" s="30"/>
      <c r="G725" s="7">
        <f t="shared" si="201"/>
        <v>2</v>
      </c>
      <c r="H725" s="58">
        <v>43906</v>
      </c>
      <c r="I725" s="15" t="s">
        <v>85</v>
      </c>
      <c r="J725" s="8"/>
      <c r="K725" s="45"/>
      <c r="L725" s="45"/>
      <c r="M725" s="45"/>
      <c r="N725" s="46"/>
      <c r="O725" s="7">
        <f t="shared" si="203"/>
        <v>0</v>
      </c>
    </row>
    <row r="726" spans="1:17" x14ac:dyDescent="0.15">
      <c r="A726" s="15" t="s">
        <v>19</v>
      </c>
      <c r="B726" s="8"/>
      <c r="C726" s="45">
        <v>1</v>
      </c>
      <c r="D726" s="45"/>
      <c r="E726" s="45"/>
      <c r="F726" s="46"/>
      <c r="G726" s="102">
        <f t="shared" si="201"/>
        <v>1</v>
      </c>
      <c r="H726" s="58">
        <v>43907</v>
      </c>
      <c r="I726" s="15" t="s">
        <v>86</v>
      </c>
      <c r="J726" s="8"/>
      <c r="K726" s="45"/>
      <c r="L726" s="45"/>
      <c r="M726" s="45"/>
      <c r="N726" s="46"/>
      <c r="O726" s="102">
        <f t="shared" si="203"/>
        <v>0</v>
      </c>
    </row>
    <row r="727" spans="1:17" ht="14.25" thickBot="1" x14ac:dyDescent="0.2">
      <c r="A727" s="15" t="s">
        <v>19</v>
      </c>
      <c r="B727" s="11"/>
      <c r="C727" s="100">
        <v>1</v>
      </c>
      <c r="D727" s="100"/>
      <c r="E727" s="100"/>
      <c r="F727" s="109"/>
      <c r="G727" s="40">
        <f t="shared" si="201"/>
        <v>1</v>
      </c>
      <c r="H727" s="58">
        <v>43922</v>
      </c>
      <c r="I727" s="15" t="s">
        <v>87</v>
      </c>
      <c r="J727" s="47"/>
      <c r="K727" s="48"/>
      <c r="L727" s="48"/>
      <c r="M727" s="48"/>
      <c r="N727" s="49"/>
      <c r="O727" s="40">
        <f t="shared" si="203"/>
        <v>0</v>
      </c>
    </row>
    <row r="728" spans="1:17" ht="14.25" thickBot="1" x14ac:dyDescent="0.2">
      <c r="A728" s="72" t="s">
        <v>7</v>
      </c>
      <c r="B728" s="73">
        <f>SUM(B719:B727)</f>
        <v>6</v>
      </c>
      <c r="C728" s="74">
        <f t="shared" ref="C728:G728" si="204">SUM(C719:C727)</f>
        <v>10</v>
      </c>
      <c r="D728" s="74">
        <f t="shared" si="204"/>
        <v>11</v>
      </c>
      <c r="E728" s="74">
        <f t="shared" si="204"/>
        <v>14</v>
      </c>
      <c r="F728" s="105">
        <f t="shared" si="204"/>
        <v>6</v>
      </c>
      <c r="G728" s="76">
        <f t="shared" si="204"/>
        <v>47</v>
      </c>
      <c r="H728" s="56"/>
      <c r="I728" s="72" t="s">
        <v>7</v>
      </c>
      <c r="J728" s="73">
        <f>SUM(J719:J727)</f>
        <v>298</v>
      </c>
      <c r="K728" s="74">
        <f t="shared" ref="K728:O728" si="205">SUM(K719:K727)</f>
        <v>279</v>
      </c>
      <c r="L728" s="74">
        <f t="shared" si="205"/>
        <v>269</v>
      </c>
      <c r="M728" s="74">
        <f t="shared" si="205"/>
        <v>254</v>
      </c>
      <c r="N728" s="105">
        <f t="shared" si="205"/>
        <v>272</v>
      </c>
      <c r="O728" s="76">
        <f t="shared" si="205"/>
        <v>1372</v>
      </c>
    </row>
    <row r="729" spans="1:17" x14ac:dyDescent="0.15">
      <c r="A729" s="51" t="s">
        <v>1258</v>
      </c>
      <c r="B729" s="8"/>
      <c r="C729" s="10">
        <v>1</v>
      </c>
      <c r="D729" s="10"/>
      <c r="E729" s="10"/>
      <c r="F729" s="30"/>
      <c r="G729" s="9">
        <f t="shared" ref="G729:G754" si="206">SUM(B729:F729)</f>
        <v>1</v>
      </c>
      <c r="H729" s="58">
        <v>43871</v>
      </c>
      <c r="I729" s="16" t="s">
        <v>10</v>
      </c>
      <c r="J729" s="17">
        <v>1</v>
      </c>
      <c r="K729" s="22"/>
      <c r="L729" s="22"/>
      <c r="M729" s="22"/>
      <c r="N729" s="29"/>
      <c r="O729" s="18">
        <f t="shared" ref="O729:O754" si="207">SUM(J729:N729)</f>
        <v>1</v>
      </c>
      <c r="P729" s="58">
        <v>43866</v>
      </c>
    </row>
    <row r="730" spans="1:17" x14ac:dyDescent="0.15">
      <c r="A730" s="51" t="s">
        <v>29</v>
      </c>
      <c r="B730" s="8"/>
      <c r="C730" s="10">
        <v>1</v>
      </c>
      <c r="D730" s="10"/>
      <c r="E730" s="10"/>
      <c r="F730" s="30"/>
      <c r="G730" s="7">
        <f t="shared" si="206"/>
        <v>1</v>
      </c>
      <c r="H730" s="58">
        <v>43874</v>
      </c>
      <c r="I730" s="14" t="s">
        <v>1270</v>
      </c>
      <c r="J730" s="8"/>
      <c r="K730" s="10"/>
      <c r="L730" s="10"/>
      <c r="M730" s="10">
        <v>2</v>
      </c>
      <c r="N730" s="30">
        <v>2</v>
      </c>
      <c r="O730" s="7">
        <f t="shared" si="207"/>
        <v>4</v>
      </c>
      <c r="P730" s="58">
        <v>43868</v>
      </c>
    </row>
    <row r="731" spans="1:17" x14ac:dyDescent="0.15">
      <c r="A731" s="16" t="s">
        <v>1265</v>
      </c>
      <c r="B731" s="8"/>
      <c r="C731" s="10"/>
      <c r="D731" s="10">
        <v>2</v>
      </c>
      <c r="E731" s="10">
        <v>5</v>
      </c>
      <c r="F731" s="30"/>
      <c r="G731" s="7">
        <f t="shared" si="206"/>
        <v>7</v>
      </c>
      <c r="H731" s="58">
        <v>43876</v>
      </c>
      <c r="I731" s="16" t="s">
        <v>10</v>
      </c>
      <c r="J731" s="8"/>
      <c r="K731" s="10"/>
      <c r="L731" s="10">
        <v>1</v>
      </c>
      <c r="M731" s="10"/>
      <c r="N731" s="30">
        <v>1</v>
      </c>
      <c r="O731" s="7">
        <f t="shared" si="207"/>
        <v>2</v>
      </c>
      <c r="P731" s="58">
        <v>43875</v>
      </c>
    </row>
    <row r="732" spans="1:17" x14ac:dyDescent="0.15">
      <c r="A732" s="14" t="s">
        <v>1279</v>
      </c>
      <c r="B732" s="8"/>
      <c r="C732" s="10">
        <v>1</v>
      </c>
      <c r="D732" s="10"/>
      <c r="E732" s="10"/>
      <c r="F732" s="30"/>
      <c r="G732" s="7">
        <f t="shared" si="206"/>
        <v>1</v>
      </c>
      <c r="H732" s="58">
        <v>43893</v>
      </c>
      <c r="I732" s="16" t="s">
        <v>10</v>
      </c>
      <c r="J732" s="8"/>
      <c r="K732" s="10">
        <v>1</v>
      </c>
      <c r="L732" s="10"/>
      <c r="M732" s="10"/>
      <c r="N732" s="30"/>
      <c r="O732" s="7">
        <f t="shared" si="207"/>
        <v>1</v>
      </c>
      <c r="P732" s="58">
        <v>43878</v>
      </c>
    </row>
    <row r="733" spans="1:17" x14ac:dyDescent="0.15">
      <c r="A733" s="51" t="s">
        <v>29</v>
      </c>
      <c r="B733" s="8"/>
      <c r="C733" s="10"/>
      <c r="D733" s="10">
        <v>1</v>
      </c>
      <c r="E733" s="10"/>
      <c r="F733" s="30"/>
      <c r="G733" s="7">
        <f t="shared" si="206"/>
        <v>1</v>
      </c>
      <c r="H733" s="58">
        <v>43896</v>
      </c>
      <c r="I733" s="14" t="s">
        <v>1271</v>
      </c>
      <c r="J733" s="8">
        <v>3</v>
      </c>
      <c r="K733" s="10">
        <v>3</v>
      </c>
      <c r="L733" s="10">
        <v>5</v>
      </c>
      <c r="M733" s="10">
        <v>1</v>
      </c>
      <c r="N733" s="30">
        <v>2</v>
      </c>
      <c r="O733" s="7">
        <f t="shared" si="207"/>
        <v>14</v>
      </c>
      <c r="P733" s="58">
        <v>43881</v>
      </c>
      <c r="Q733" s="56"/>
    </row>
    <row r="734" spans="1:17" x14ac:dyDescent="0.15">
      <c r="A734" s="16"/>
      <c r="B734" s="8"/>
      <c r="C734" s="10"/>
      <c r="D734" s="10"/>
      <c r="E734" s="10"/>
      <c r="F734" s="30"/>
      <c r="G734" s="7">
        <f t="shared" si="206"/>
        <v>0</v>
      </c>
      <c r="H734" s="58"/>
      <c r="I734" s="16" t="s">
        <v>22</v>
      </c>
      <c r="J734" s="8"/>
      <c r="K734" s="10"/>
      <c r="L734" s="10"/>
      <c r="M734" s="10">
        <v>10</v>
      </c>
      <c r="N734" s="30"/>
      <c r="O734" s="7">
        <f t="shared" si="207"/>
        <v>10</v>
      </c>
      <c r="P734" s="58">
        <v>43882</v>
      </c>
    </row>
    <row r="735" spans="1:17" x14ac:dyDescent="0.15">
      <c r="A735" s="16"/>
      <c r="B735" s="8"/>
      <c r="C735" s="10"/>
      <c r="D735" s="10"/>
      <c r="E735" s="10"/>
      <c r="F735" s="30"/>
      <c r="G735" s="7">
        <f t="shared" si="206"/>
        <v>0</v>
      </c>
      <c r="H735" s="58"/>
      <c r="I735" s="14" t="s">
        <v>1272</v>
      </c>
      <c r="J735" s="8">
        <v>4</v>
      </c>
      <c r="K735" s="10"/>
      <c r="L735" s="10"/>
      <c r="M735" s="10"/>
      <c r="N735" s="30"/>
      <c r="O735" s="7">
        <f t="shared" si="207"/>
        <v>4</v>
      </c>
      <c r="P735" s="58">
        <v>43882</v>
      </c>
    </row>
    <row r="736" spans="1:17" x14ac:dyDescent="0.15">
      <c r="A736" s="16"/>
      <c r="B736" s="8"/>
      <c r="C736" s="10"/>
      <c r="D736" s="10"/>
      <c r="E736" s="10"/>
      <c r="F736" s="30"/>
      <c r="G736" s="7">
        <f t="shared" si="206"/>
        <v>0</v>
      </c>
      <c r="H736" s="58"/>
      <c r="I736" s="16" t="s">
        <v>10</v>
      </c>
      <c r="J736" s="8"/>
      <c r="K736" s="10"/>
      <c r="L736" s="10">
        <v>1</v>
      </c>
      <c r="M736" s="10"/>
      <c r="N736" s="30"/>
      <c r="O736" s="7">
        <f t="shared" si="207"/>
        <v>1</v>
      </c>
      <c r="P736" s="58">
        <v>43888</v>
      </c>
    </row>
    <row r="737" spans="1:18" x14ac:dyDescent="0.15">
      <c r="A737" s="16"/>
      <c r="B737" s="8"/>
      <c r="C737" s="10"/>
      <c r="D737" s="10"/>
      <c r="E737" s="10"/>
      <c r="F737" s="30"/>
      <c r="G737" s="7">
        <f t="shared" si="206"/>
        <v>0</v>
      </c>
      <c r="H737" s="58"/>
      <c r="I737" s="16" t="s">
        <v>10</v>
      </c>
      <c r="J737" s="11"/>
      <c r="K737" s="100"/>
      <c r="L737" s="100"/>
      <c r="M737" s="100"/>
      <c r="N737" s="109">
        <v>1</v>
      </c>
      <c r="O737" s="9">
        <f t="shared" si="207"/>
        <v>1</v>
      </c>
      <c r="P737" s="58">
        <v>43889</v>
      </c>
    </row>
    <row r="738" spans="1:18" x14ac:dyDescent="0.15">
      <c r="A738" s="51"/>
      <c r="B738" s="8"/>
      <c r="C738" s="10"/>
      <c r="D738" s="10"/>
      <c r="E738" s="10"/>
      <c r="F738" s="30"/>
      <c r="G738" s="7">
        <f t="shared" si="206"/>
        <v>0</v>
      </c>
      <c r="H738" s="58"/>
      <c r="I738" s="16" t="s">
        <v>10</v>
      </c>
      <c r="J738" s="11"/>
      <c r="K738" s="12"/>
      <c r="L738" s="12"/>
      <c r="M738" s="12"/>
      <c r="N738" s="31">
        <v>2</v>
      </c>
      <c r="O738" s="7">
        <f t="shared" si="207"/>
        <v>2</v>
      </c>
      <c r="P738" s="58">
        <v>43895</v>
      </c>
    </row>
    <row r="739" spans="1:18" x14ac:dyDescent="0.15">
      <c r="A739" s="16"/>
      <c r="B739" s="11"/>
      <c r="C739" s="12"/>
      <c r="D739" s="12"/>
      <c r="E739" s="12"/>
      <c r="F739" s="31"/>
      <c r="G739" s="7">
        <f t="shared" si="206"/>
        <v>0</v>
      </c>
      <c r="H739" s="58"/>
      <c r="I739" s="16" t="s">
        <v>10</v>
      </c>
      <c r="J739" s="8"/>
      <c r="K739" s="10"/>
      <c r="L739" s="10"/>
      <c r="M739" s="10"/>
      <c r="N739" s="30">
        <v>3</v>
      </c>
      <c r="O739" s="7">
        <f t="shared" si="207"/>
        <v>3</v>
      </c>
      <c r="P739" s="58">
        <v>43897</v>
      </c>
    </row>
    <row r="740" spans="1:18" x14ac:dyDescent="0.15">
      <c r="A740" s="16"/>
      <c r="B740" s="8"/>
      <c r="C740" s="10"/>
      <c r="D740" s="10"/>
      <c r="E740" s="10"/>
      <c r="F740" s="30"/>
      <c r="G740" s="7">
        <f t="shared" si="206"/>
        <v>0</v>
      </c>
      <c r="H740" s="58"/>
      <c r="I740" s="16" t="s">
        <v>22</v>
      </c>
      <c r="J740" s="8"/>
      <c r="K740" s="10"/>
      <c r="L740" s="10"/>
      <c r="M740" s="10"/>
      <c r="N740" s="30">
        <v>10</v>
      </c>
      <c r="O740" s="7">
        <f t="shared" si="207"/>
        <v>10</v>
      </c>
      <c r="P740" s="58">
        <v>43902</v>
      </c>
    </row>
    <row r="741" spans="1:18" x14ac:dyDescent="0.15">
      <c r="A741" s="16"/>
      <c r="B741" s="8"/>
      <c r="C741" s="10"/>
      <c r="D741" s="10"/>
      <c r="E741" s="10"/>
      <c r="F741" s="30"/>
      <c r="G741" s="7">
        <f t="shared" si="206"/>
        <v>0</v>
      </c>
      <c r="H741" s="58"/>
      <c r="I741" s="14" t="s">
        <v>1280</v>
      </c>
      <c r="J741" s="8"/>
      <c r="K741" s="10">
        <v>1</v>
      </c>
      <c r="L741" s="10">
        <v>1</v>
      </c>
      <c r="M741" s="10">
        <v>2</v>
      </c>
      <c r="N741" s="30">
        <v>2</v>
      </c>
      <c r="O741" s="7">
        <f t="shared" si="207"/>
        <v>6</v>
      </c>
      <c r="P741" s="58">
        <v>43902</v>
      </c>
      <c r="Q741" s="56"/>
      <c r="R741" s="56"/>
    </row>
    <row r="742" spans="1:18" x14ac:dyDescent="0.15">
      <c r="A742" s="16"/>
      <c r="B742" s="8"/>
      <c r="C742" s="10"/>
      <c r="D742" s="10"/>
      <c r="E742" s="10"/>
      <c r="F742" s="30"/>
      <c r="G742" s="7">
        <f t="shared" si="206"/>
        <v>0</v>
      </c>
      <c r="H742" s="58"/>
      <c r="I742" s="16" t="s">
        <v>1288</v>
      </c>
      <c r="J742" s="11"/>
      <c r="K742" s="12">
        <v>4</v>
      </c>
      <c r="L742" s="12"/>
      <c r="M742" s="12">
        <v>2</v>
      </c>
      <c r="N742" s="31"/>
      <c r="O742" s="7">
        <f t="shared" si="207"/>
        <v>6</v>
      </c>
      <c r="P742" s="58">
        <v>43908</v>
      </c>
      <c r="Q742" s="56"/>
      <c r="R742" s="56"/>
    </row>
    <row r="743" spans="1:18" x14ac:dyDescent="0.15">
      <c r="A743" s="16"/>
      <c r="B743" s="8"/>
      <c r="C743" s="10"/>
      <c r="D743" s="10"/>
      <c r="E743" s="10"/>
      <c r="F743" s="30"/>
      <c r="G743" s="7">
        <f t="shared" si="206"/>
        <v>0</v>
      </c>
      <c r="H743" s="58"/>
      <c r="I743" s="16" t="s">
        <v>10</v>
      </c>
      <c r="J743" s="8"/>
      <c r="K743" s="10"/>
      <c r="L743" s="10"/>
      <c r="M743" s="10"/>
      <c r="N743" s="30">
        <v>1</v>
      </c>
      <c r="O743" s="7">
        <f t="shared" si="207"/>
        <v>1</v>
      </c>
      <c r="P743" s="58">
        <v>43910</v>
      </c>
      <c r="Q743" s="56"/>
    </row>
    <row r="744" spans="1:18" x14ac:dyDescent="0.15">
      <c r="A744" s="16"/>
      <c r="B744" s="8"/>
      <c r="C744" s="10"/>
      <c r="D744" s="10"/>
      <c r="E744" s="10"/>
      <c r="F744" s="30"/>
      <c r="G744" s="7">
        <f t="shared" si="206"/>
        <v>0</v>
      </c>
      <c r="H744" s="58"/>
      <c r="I744" s="16" t="s">
        <v>10</v>
      </c>
      <c r="J744" s="8"/>
      <c r="K744" s="10"/>
      <c r="L744" s="10"/>
      <c r="M744" s="10">
        <v>1</v>
      </c>
      <c r="N744" s="30"/>
      <c r="O744" s="7">
        <f t="shared" si="207"/>
        <v>1</v>
      </c>
      <c r="P744" s="58">
        <v>43914</v>
      </c>
      <c r="Q744" s="56"/>
    </row>
    <row r="745" spans="1:18" x14ac:dyDescent="0.15">
      <c r="A745" s="16"/>
      <c r="B745" s="8"/>
      <c r="C745" s="10"/>
      <c r="D745" s="10"/>
      <c r="E745" s="10"/>
      <c r="F745" s="30"/>
      <c r="G745" s="7">
        <f t="shared" si="206"/>
        <v>0</v>
      </c>
      <c r="H745" s="58"/>
      <c r="I745" s="14" t="s">
        <v>1290</v>
      </c>
      <c r="J745" s="11"/>
      <c r="K745" s="12"/>
      <c r="L745" s="12">
        <v>4</v>
      </c>
      <c r="M745" s="12"/>
      <c r="N745" s="31"/>
      <c r="O745" s="7">
        <f t="shared" si="207"/>
        <v>4</v>
      </c>
      <c r="P745" s="58">
        <v>43916</v>
      </c>
      <c r="Q745" s="56"/>
    </row>
    <row r="746" spans="1:18" x14ac:dyDescent="0.15">
      <c r="A746" s="16"/>
      <c r="B746" s="8"/>
      <c r="C746" s="10"/>
      <c r="D746" s="10"/>
      <c r="E746" s="10"/>
      <c r="F746" s="30"/>
      <c r="G746" s="7">
        <f t="shared" si="206"/>
        <v>0</v>
      </c>
      <c r="H746" s="58"/>
      <c r="I746" s="16" t="s">
        <v>10</v>
      </c>
      <c r="J746" s="11"/>
      <c r="K746" s="12"/>
      <c r="L746" s="12"/>
      <c r="M746" s="12"/>
      <c r="N746" s="31">
        <v>4</v>
      </c>
      <c r="O746" s="7">
        <f t="shared" si="207"/>
        <v>4</v>
      </c>
      <c r="P746" s="58">
        <v>43915</v>
      </c>
    </row>
    <row r="747" spans="1:18" x14ac:dyDescent="0.15">
      <c r="A747" s="16"/>
      <c r="B747" s="8"/>
      <c r="C747" s="10"/>
      <c r="D747" s="10"/>
      <c r="E747" s="10"/>
      <c r="F747" s="30"/>
      <c r="G747" s="7">
        <f t="shared" si="206"/>
        <v>0</v>
      </c>
      <c r="H747" s="58"/>
      <c r="I747" s="16"/>
      <c r="J747" s="11"/>
      <c r="K747" s="12"/>
      <c r="L747" s="12"/>
      <c r="M747" s="12"/>
      <c r="N747" s="31"/>
      <c r="O747" s="7">
        <f t="shared" si="207"/>
        <v>0</v>
      </c>
      <c r="P747" s="56"/>
    </row>
    <row r="748" spans="1:18" x14ac:dyDescent="0.15">
      <c r="A748" s="16"/>
      <c r="B748" s="8"/>
      <c r="C748" s="10"/>
      <c r="D748" s="10"/>
      <c r="E748" s="10"/>
      <c r="F748" s="30"/>
      <c r="G748" s="7">
        <f t="shared" si="206"/>
        <v>0</v>
      </c>
      <c r="H748" s="58"/>
      <c r="I748" s="16" t="s">
        <v>1238</v>
      </c>
      <c r="J748" s="11"/>
      <c r="K748" s="12"/>
      <c r="L748" s="12"/>
      <c r="M748" s="12"/>
      <c r="N748" s="31"/>
      <c r="O748" s="7">
        <f t="shared" si="207"/>
        <v>0</v>
      </c>
      <c r="P748" s="58" t="s">
        <v>1239</v>
      </c>
      <c r="Q748" s="56"/>
    </row>
    <row r="749" spans="1:18" x14ac:dyDescent="0.15">
      <c r="A749" s="16"/>
      <c r="B749" s="8"/>
      <c r="C749" s="10"/>
      <c r="D749" s="10"/>
      <c r="E749" s="10"/>
      <c r="F749" s="30"/>
      <c r="G749" s="7">
        <f t="shared" si="206"/>
        <v>0</v>
      </c>
      <c r="H749" s="58"/>
      <c r="I749" s="16" t="s">
        <v>1248</v>
      </c>
      <c r="J749" s="11"/>
      <c r="K749" s="12"/>
      <c r="L749" s="12"/>
      <c r="M749" s="12"/>
      <c r="N749" s="31"/>
      <c r="O749" s="7">
        <f t="shared" si="207"/>
        <v>0</v>
      </c>
      <c r="P749" s="56" t="s">
        <v>1249</v>
      </c>
      <c r="Q749" s="56"/>
    </row>
    <row r="750" spans="1:18" x14ac:dyDescent="0.15">
      <c r="A750" s="16"/>
      <c r="B750" s="8"/>
      <c r="C750" s="10"/>
      <c r="D750" s="10"/>
      <c r="E750" s="10"/>
      <c r="F750" s="59"/>
      <c r="G750" s="7">
        <f t="shared" si="206"/>
        <v>0</v>
      </c>
      <c r="H750" s="58"/>
      <c r="I750" s="14"/>
      <c r="J750" s="11"/>
      <c r="K750" s="12"/>
      <c r="L750" s="12"/>
      <c r="M750" s="12"/>
      <c r="N750" s="31"/>
      <c r="O750" s="7">
        <f t="shared" ref="O750:O753" si="208">SUM(J750:N750)</f>
        <v>0</v>
      </c>
      <c r="P750" s="56"/>
      <c r="Q750" s="56"/>
    </row>
    <row r="751" spans="1:18" x14ac:dyDescent="0.15">
      <c r="A751" s="16"/>
      <c r="B751" s="37"/>
      <c r="C751" s="35"/>
      <c r="D751" s="35"/>
      <c r="E751" s="35"/>
      <c r="F751" s="28"/>
      <c r="G751" s="7">
        <f t="shared" si="206"/>
        <v>0</v>
      </c>
      <c r="H751" s="58"/>
      <c r="I751" s="16" t="s">
        <v>1277</v>
      </c>
      <c r="J751" s="11"/>
      <c r="K751" s="12"/>
      <c r="L751" s="12"/>
      <c r="M751" s="12"/>
      <c r="N751" s="31"/>
      <c r="O751" s="7">
        <f t="shared" si="208"/>
        <v>0</v>
      </c>
      <c r="P751" s="56" t="s">
        <v>1275</v>
      </c>
      <c r="Q751" s="56"/>
    </row>
    <row r="752" spans="1:18" x14ac:dyDescent="0.15">
      <c r="A752" s="16"/>
      <c r="B752" s="8"/>
      <c r="C752" s="10"/>
      <c r="D752" s="10"/>
      <c r="E752" s="10"/>
      <c r="F752" s="30"/>
      <c r="G752" s="7">
        <f t="shared" si="206"/>
        <v>0</v>
      </c>
      <c r="H752" s="58"/>
      <c r="I752" s="16" t="s">
        <v>1260</v>
      </c>
      <c r="J752" s="11"/>
      <c r="K752" s="12"/>
      <c r="L752" s="12"/>
      <c r="M752" s="12"/>
      <c r="N752" s="31"/>
      <c r="O752" s="7">
        <f t="shared" si="208"/>
        <v>0</v>
      </c>
      <c r="P752" s="58" t="s">
        <v>1261</v>
      </c>
    </row>
    <row r="753" spans="1:16" x14ac:dyDescent="0.15">
      <c r="A753" s="16"/>
      <c r="B753" s="8"/>
      <c r="C753" s="10"/>
      <c r="D753" s="10"/>
      <c r="E753" s="10"/>
      <c r="F753" s="30"/>
      <c r="G753" s="9">
        <f t="shared" si="206"/>
        <v>0</v>
      </c>
      <c r="H753" s="58"/>
      <c r="I753" s="16" t="s">
        <v>1242</v>
      </c>
      <c r="J753" s="11"/>
      <c r="K753" s="12"/>
      <c r="L753" s="12"/>
      <c r="M753" s="12"/>
      <c r="N753" s="31"/>
      <c r="O753" s="7">
        <f t="shared" si="208"/>
        <v>0</v>
      </c>
      <c r="P753" s="56" t="s">
        <v>1241</v>
      </c>
    </row>
    <row r="754" spans="1:16" ht="14.25" thickBot="1" x14ac:dyDescent="0.2">
      <c r="A754" s="51"/>
      <c r="B754" s="37"/>
      <c r="C754" s="35"/>
      <c r="D754" s="35"/>
      <c r="E754" s="35"/>
      <c r="F754" s="28"/>
      <c r="G754" s="7">
        <f t="shared" si="206"/>
        <v>0</v>
      </c>
      <c r="H754" s="58"/>
      <c r="I754" s="14" t="s">
        <v>1231</v>
      </c>
      <c r="J754" s="11"/>
      <c r="K754" s="12"/>
      <c r="L754" s="12"/>
      <c r="M754" s="12"/>
      <c r="N754" s="31"/>
      <c r="O754" s="7">
        <f t="shared" si="207"/>
        <v>0</v>
      </c>
      <c r="P754" s="56" t="s">
        <v>1233</v>
      </c>
    </row>
    <row r="755" spans="1:16" ht="14.25" thickBot="1" x14ac:dyDescent="0.2">
      <c r="A755" s="3" t="s">
        <v>11</v>
      </c>
      <c r="B755" s="23">
        <f>SUM(B729:B754)</f>
        <v>0</v>
      </c>
      <c r="C755" s="4">
        <f>SUM(C729:C754)</f>
        <v>3</v>
      </c>
      <c r="D755" s="4">
        <f>SUM(D729:D754)</f>
        <v>3</v>
      </c>
      <c r="E755" s="6">
        <f>SUM(E729:E754)</f>
        <v>5</v>
      </c>
      <c r="F755" s="32">
        <f>SUM(F729:F754)</f>
        <v>0</v>
      </c>
      <c r="G755" s="5">
        <f>SUM(B755:F755)</f>
        <v>11</v>
      </c>
      <c r="H755" s="56"/>
      <c r="I755" s="3" t="s">
        <v>11</v>
      </c>
      <c r="J755" s="23">
        <f>SUM(J729:J754)</f>
        <v>8</v>
      </c>
      <c r="K755" s="4">
        <f>SUM(K729:K754)</f>
        <v>9</v>
      </c>
      <c r="L755" s="4">
        <f>SUM(L729:L754)</f>
        <v>12</v>
      </c>
      <c r="M755" s="6">
        <f>SUM(M729:M754)</f>
        <v>18</v>
      </c>
      <c r="N755" s="32">
        <f>SUM(N729:N754)</f>
        <v>28</v>
      </c>
      <c r="O755" s="5">
        <f>SUM(J755:N755)</f>
        <v>75</v>
      </c>
    </row>
    <row r="756" spans="1:16" ht="14.25" thickBot="1" x14ac:dyDescent="0.2">
      <c r="A756" s="25" t="s">
        <v>12</v>
      </c>
      <c r="B756" s="63">
        <f>B728-B755</f>
        <v>6</v>
      </c>
      <c r="C756" s="26">
        <f t="shared" ref="C756:G756" si="209">C728-C755</f>
        <v>7</v>
      </c>
      <c r="D756" s="71">
        <f t="shared" si="209"/>
        <v>8</v>
      </c>
      <c r="E756" s="26">
        <f t="shared" si="209"/>
        <v>9</v>
      </c>
      <c r="F756" s="70">
        <f t="shared" si="209"/>
        <v>6</v>
      </c>
      <c r="G756" s="27">
        <f t="shared" si="209"/>
        <v>36</v>
      </c>
      <c r="H756" s="56"/>
      <c r="I756" s="25" t="s">
        <v>12</v>
      </c>
      <c r="J756" s="63">
        <f t="shared" ref="J756:O756" si="210">J728-J755</f>
        <v>290</v>
      </c>
      <c r="K756" s="26">
        <f t="shared" si="210"/>
        <v>270</v>
      </c>
      <c r="L756" s="71">
        <f t="shared" si="210"/>
        <v>257</v>
      </c>
      <c r="M756" s="26">
        <f t="shared" si="210"/>
        <v>236</v>
      </c>
      <c r="N756" s="70">
        <f t="shared" si="210"/>
        <v>244</v>
      </c>
      <c r="O756" s="27">
        <f t="shared" si="210"/>
        <v>1297</v>
      </c>
    </row>
    <row r="757" spans="1:16" ht="21" x14ac:dyDescent="0.2">
      <c r="A757" s="86" t="s">
        <v>413</v>
      </c>
      <c r="B757" s="87"/>
      <c r="C757" s="87"/>
      <c r="D757" s="87"/>
      <c r="E757" s="87"/>
      <c r="F757" s="87"/>
      <c r="G757" s="87"/>
      <c r="H757" s="56"/>
      <c r="I757" s="86" t="s">
        <v>413</v>
      </c>
      <c r="J757" s="87"/>
      <c r="K757" s="87"/>
      <c r="L757" s="87"/>
      <c r="M757" s="87"/>
      <c r="N757" s="87"/>
      <c r="O757" s="87"/>
    </row>
    <row r="758" spans="1:16" ht="21.75" thickBot="1" x14ac:dyDescent="0.25">
      <c r="A758" s="86" t="s">
        <v>51</v>
      </c>
      <c r="B758" s="87"/>
      <c r="C758" s="87"/>
      <c r="D758" s="87"/>
      <c r="E758" s="85"/>
      <c r="F758" s="88" t="s">
        <v>53</v>
      </c>
      <c r="G758" s="87"/>
      <c r="H758" s="56"/>
      <c r="I758" s="86" t="s">
        <v>51</v>
      </c>
      <c r="J758" s="87"/>
      <c r="K758" s="87"/>
      <c r="L758" s="87"/>
      <c r="M758" s="89"/>
      <c r="N758" s="88" t="s">
        <v>54</v>
      </c>
      <c r="O758" s="87"/>
    </row>
    <row r="759" spans="1:16" ht="14.25" thickBot="1" x14ac:dyDescent="0.2">
      <c r="A759" s="13" t="s">
        <v>0</v>
      </c>
      <c r="B759" s="228" t="s">
        <v>52</v>
      </c>
      <c r="C759" s="229"/>
      <c r="D759" s="229"/>
      <c r="E759" s="229"/>
      <c r="F759" s="230"/>
      <c r="G759" s="231"/>
      <c r="H759" s="56"/>
      <c r="I759" s="13" t="s">
        <v>0</v>
      </c>
      <c r="J759" s="228" t="s">
        <v>52</v>
      </c>
      <c r="K759" s="229"/>
      <c r="L759" s="229"/>
      <c r="M759" s="229"/>
      <c r="N759" s="230"/>
      <c r="O759" s="231"/>
    </row>
    <row r="760" spans="1:16" ht="14.25" thickBot="1" x14ac:dyDescent="0.2">
      <c r="A760" s="3" t="s">
        <v>1</v>
      </c>
      <c r="B760" s="2" t="s">
        <v>42</v>
      </c>
      <c r="C760" s="21" t="s">
        <v>43</v>
      </c>
      <c r="D760" s="21" t="s">
        <v>44</v>
      </c>
      <c r="E760" s="24" t="s">
        <v>45</v>
      </c>
      <c r="F760" s="33" t="s">
        <v>46</v>
      </c>
      <c r="G760" s="3" t="s">
        <v>2</v>
      </c>
      <c r="H760" s="56"/>
      <c r="I760" s="3" t="s">
        <v>1</v>
      </c>
      <c r="J760" s="41" t="s">
        <v>42</v>
      </c>
      <c r="K760" s="42" t="s">
        <v>43</v>
      </c>
      <c r="L760" s="42" t="s">
        <v>44</v>
      </c>
      <c r="M760" s="43" t="s">
        <v>45</v>
      </c>
      <c r="N760" s="44" t="s">
        <v>46</v>
      </c>
      <c r="O760" s="3" t="s">
        <v>2</v>
      </c>
    </row>
    <row r="761" spans="1:16" x14ac:dyDescent="0.15">
      <c r="A761" s="96" t="s">
        <v>13</v>
      </c>
      <c r="B761" s="95">
        <f>B756</f>
        <v>6</v>
      </c>
      <c r="C761" s="97">
        <f t="shared" ref="C761:F761" si="211">C756</f>
        <v>7</v>
      </c>
      <c r="D761" s="97">
        <f t="shared" si="211"/>
        <v>8</v>
      </c>
      <c r="E761" s="97">
        <f t="shared" si="211"/>
        <v>9</v>
      </c>
      <c r="F761" s="139">
        <f t="shared" si="211"/>
        <v>6</v>
      </c>
      <c r="G761" s="52">
        <f t="shared" ref="G761:G769" si="212">SUM(B761:F761)</f>
        <v>36</v>
      </c>
      <c r="H761" s="56"/>
      <c r="I761" s="96" t="s">
        <v>13</v>
      </c>
      <c r="J761" s="95">
        <f>J756</f>
        <v>290</v>
      </c>
      <c r="K761" s="97">
        <f t="shared" ref="K761:N761" si="213">K756</f>
        <v>270</v>
      </c>
      <c r="L761" s="97">
        <f t="shared" si="213"/>
        <v>257</v>
      </c>
      <c r="M761" s="97">
        <f t="shared" si="213"/>
        <v>236</v>
      </c>
      <c r="N761" s="139">
        <f t="shared" si="213"/>
        <v>244</v>
      </c>
      <c r="O761" s="52">
        <f t="shared" ref="O761:O769" si="214">SUM(J761:N761)</f>
        <v>1297</v>
      </c>
    </row>
    <row r="762" spans="1:16" x14ac:dyDescent="0.15">
      <c r="A762" s="15" t="s">
        <v>17</v>
      </c>
      <c r="B762" s="8"/>
      <c r="C762" s="10"/>
      <c r="D762" s="10"/>
      <c r="E762" s="10">
        <v>1</v>
      </c>
      <c r="F762" s="104"/>
      <c r="G762" s="9">
        <f t="shared" si="212"/>
        <v>1</v>
      </c>
      <c r="H762" s="58">
        <v>43930</v>
      </c>
      <c r="I762" s="15" t="s">
        <v>3</v>
      </c>
      <c r="J762" s="37"/>
      <c r="K762" s="135"/>
      <c r="L762" s="135"/>
      <c r="M762" s="135"/>
      <c r="N762" s="136"/>
      <c r="O762" s="7">
        <f t="shared" si="214"/>
        <v>0</v>
      </c>
      <c r="P762" s="57"/>
    </row>
    <row r="763" spans="1:16" x14ac:dyDescent="0.15">
      <c r="A763" s="15" t="s">
        <v>993</v>
      </c>
      <c r="B763" s="8"/>
      <c r="C763" s="10">
        <v>1</v>
      </c>
      <c r="D763" s="10"/>
      <c r="E763" s="10"/>
      <c r="F763" s="104"/>
      <c r="G763" s="9">
        <f t="shared" si="212"/>
        <v>1</v>
      </c>
      <c r="H763" s="58">
        <v>43930</v>
      </c>
      <c r="I763" s="15" t="s">
        <v>4</v>
      </c>
      <c r="J763" s="8"/>
      <c r="K763" s="45"/>
      <c r="L763" s="45"/>
      <c r="M763" s="45"/>
      <c r="N763" s="46"/>
      <c r="O763" s="9">
        <f t="shared" si="214"/>
        <v>0</v>
      </c>
      <c r="P763" s="58"/>
    </row>
    <row r="764" spans="1:16" x14ac:dyDescent="0.15">
      <c r="A764" s="15" t="s">
        <v>261</v>
      </c>
      <c r="B764" s="8"/>
      <c r="C764" s="10">
        <v>1</v>
      </c>
      <c r="D764" s="10"/>
      <c r="E764" s="10">
        <v>1</v>
      </c>
      <c r="F764" s="104"/>
      <c r="G764" s="9">
        <f t="shared" si="212"/>
        <v>2</v>
      </c>
      <c r="H764" s="58">
        <v>43941</v>
      </c>
      <c r="I764" s="15" t="s">
        <v>5</v>
      </c>
      <c r="J764" s="8"/>
      <c r="K764" s="45"/>
      <c r="L764" s="45"/>
      <c r="M764" s="45"/>
      <c r="N764" s="46"/>
      <c r="O764" s="9">
        <f t="shared" si="214"/>
        <v>0</v>
      </c>
    </row>
    <row r="765" spans="1:16" x14ac:dyDescent="0.15">
      <c r="A765" s="15" t="s">
        <v>993</v>
      </c>
      <c r="B765" s="11"/>
      <c r="C765" s="12"/>
      <c r="D765" s="12">
        <v>1</v>
      </c>
      <c r="E765" s="12"/>
      <c r="F765" s="108"/>
      <c r="G765" s="9">
        <f t="shared" si="212"/>
        <v>1</v>
      </c>
      <c r="H765" s="58">
        <v>43962</v>
      </c>
      <c r="I765" s="15" t="s">
        <v>6</v>
      </c>
      <c r="J765" s="8"/>
      <c r="K765" s="45"/>
      <c r="L765" s="45"/>
      <c r="M765" s="45"/>
      <c r="N765" s="46"/>
      <c r="O765" s="9">
        <f t="shared" si="214"/>
        <v>0</v>
      </c>
    </row>
    <row r="766" spans="1:16" x14ac:dyDescent="0.15">
      <c r="A766" s="15" t="s">
        <v>993</v>
      </c>
      <c r="B766" s="8"/>
      <c r="C766" s="10">
        <v>1</v>
      </c>
      <c r="D766" s="10"/>
      <c r="E766" s="10"/>
      <c r="F766" s="30"/>
      <c r="G766" s="7">
        <f t="shared" si="212"/>
        <v>1</v>
      </c>
      <c r="H766" s="58">
        <v>44002</v>
      </c>
      <c r="I766" s="15" t="s">
        <v>84</v>
      </c>
      <c r="J766" s="8"/>
      <c r="K766" s="45"/>
      <c r="L766" s="45"/>
      <c r="M766" s="45"/>
      <c r="N766" s="46"/>
      <c r="O766" s="7">
        <f t="shared" si="214"/>
        <v>0</v>
      </c>
    </row>
    <row r="767" spans="1:16" x14ac:dyDescent="0.15">
      <c r="A767" s="15" t="s">
        <v>17</v>
      </c>
      <c r="B767" s="8"/>
      <c r="C767" s="10"/>
      <c r="D767" s="10"/>
      <c r="E767" s="10">
        <v>1</v>
      </c>
      <c r="F767" s="30"/>
      <c r="G767" s="7">
        <f t="shared" si="212"/>
        <v>1</v>
      </c>
      <c r="H767" s="58">
        <v>44019</v>
      </c>
      <c r="I767" s="15" t="s">
        <v>85</v>
      </c>
      <c r="J767" s="8"/>
      <c r="K767" s="45"/>
      <c r="L767" s="45"/>
      <c r="M767" s="45"/>
      <c r="N767" s="46"/>
      <c r="O767" s="7">
        <f t="shared" si="214"/>
        <v>0</v>
      </c>
    </row>
    <row r="768" spans="1:16" x14ac:dyDescent="0.15">
      <c r="A768" s="15" t="s">
        <v>86</v>
      </c>
      <c r="B768" s="8">
        <v>3</v>
      </c>
      <c r="C768" s="45"/>
      <c r="D768" s="45">
        <v>3</v>
      </c>
      <c r="E768" s="45"/>
      <c r="F768" s="46"/>
      <c r="G768" s="102">
        <f t="shared" si="212"/>
        <v>6</v>
      </c>
      <c r="H768" s="58">
        <v>44027</v>
      </c>
      <c r="I768" s="15" t="s">
        <v>86</v>
      </c>
      <c r="J768" s="8"/>
      <c r="K768" s="45"/>
      <c r="L768" s="45"/>
      <c r="M768" s="45"/>
      <c r="N768" s="46"/>
      <c r="O768" s="102">
        <f t="shared" si="214"/>
        <v>0</v>
      </c>
    </row>
    <row r="769" spans="1:17" ht="14.25" thickBot="1" x14ac:dyDescent="0.2">
      <c r="A769" s="16" t="s">
        <v>1339</v>
      </c>
      <c r="B769" s="11"/>
      <c r="C769" s="100">
        <v>1</v>
      </c>
      <c r="D769" s="100"/>
      <c r="E769" s="100"/>
      <c r="F769" s="109"/>
      <c r="G769" s="40">
        <f t="shared" si="212"/>
        <v>1</v>
      </c>
      <c r="H769" s="58">
        <v>44034</v>
      </c>
      <c r="I769" s="15" t="s">
        <v>87</v>
      </c>
      <c r="J769" s="47"/>
      <c r="K769" s="48"/>
      <c r="L769" s="48"/>
      <c r="M769" s="48"/>
      <c r="N769" s="49"/>
      <c r="O769" s="40">
        <f t="shared" si="214"/>
        <v>0</v>
      </c>
    </row>
    <row r="770" spans="1:17" ht="14.25" thickBot="1" x14ac:dyDescent="0.2">
      <c r="A770" s="72" t="s">
        <v>7</v>
      </c>
      <c r="B770" s="73">
        <f>SUM(B761:B769)</f>
        <v>9</v>
      </c>
      <c r="C770" s="74">
        <f t="shared" ref="C770:G770" si="215">SUM(C761:C769)</f>
        <v>11</v>
      </c>
      <c r="D770" s="74">
        <f t="shared" si="215"/>
        <v>12</v>
      </c>
      <c r="E770" s="74">
        <f t="shared" si="215"/>
        <v>12</v>
      </c>
      <c r="F770" s="105">
        <f t="shared" si="215"/>
        <v>6</v>
      </c>
      <c r="G770" s="76">
        <f t="shared" si="215"/>
        <v>50</v>
      </c>
      <c r="H770" s="56"/>
      <c r="I770" s="72" t="s">
        <v>7</v>
      </c>
      <c r="J770" s="73">
        <f>SUM(J761:J769)</f>
        <v>290</v>
      </c>
      <c r="K770" s="74">
        <f t="shared" ref="K770:O770" si="216">SUM(K761:K769)</f>
        <v>270</v>
      </c>
      <c r="L770" s="74">
        <f t="shared" si="216"/>
        <v>257</v>
      </c>
      <c r="M770" s="74">
        <f t="shared" si="216"/>
        <v>236</v>
      </c>
      <c r="N770" s="105">
        <f t="shared" si="216"/>
        <v>244</v>
      </c>
      <c r="O770" s="76">
        <f t="shared" si="216"/>
        <v>1297</v>
      </c>
    </row>
    <row r="771" spans="1:17" x14ac:dyDescent="0.15">
      <c r="A771" s="51" t="s">
        <v>1300</v>
      </c>
      <c r="B771" s="8">
        <v>-1</v>
      </c>
      <c r="C771" s="10">
        <v>1</v>
      </c>
      <c r="D771" s="10"/>
      <c r="E771" s="10">
        <v>-1</v>
      </c>
      <c r="F771" s="30">
        <v>1</v>
      </c>
      <c r="G771" s="9">
        <f t="shared" ref="G771:G796" si="217">SUM(B771:F771)</f>
        <v>0</v>
      </c>
      <c r="H771" s="58">
        <v>43948</v>
      </c>
      <c r="I771" s="16" t="s">
        <v>10</v>
      </c>
      <c r="J771" s="17">
        <v>1</v>
      </c>
      <c r="K771" s="22">
        <v>2</v>
      </c>
      <c r="L771" s="22"/>
      <c r="M771" s="22"/>
      <c r="N771" s="29"/>
      <c r="O771" s="18">
        <f t="shared" ref="O771:O796" si="218">SUM(J771:N771)</f>
        <v>3</v>
      </c>
      <c r="P771" s="58">
        <v>43916</v>
      </c>
      <c r="Q771" s="56"/>
    </row>
    <row r="772" spans="1:17" x14ac:dyDescent="0.15">
      <c r="A772" s="51" t="s">
        <v>1302</v>
      </c>
      <c r="B772" s="8"/>
      <c r="C772" s="10">
        <v>1</v>
      </c>
      <c r="D772" s="10"/>
      <c r="E772" s="10"/>
      <c r="F772" s="30"/>
      <c r="G772" s="7">
        <f t="shared" si="217"/>
        <v>1</v>
      </c>
      <c r="H772" s="58">
        <v>43953</v>
      </c>
      <c r="I772" s="16" t="s">
        <v>10</v>
      </c>
      <c r="J772" s="8"/>
      <c r="K772" s="10"/>
      <c r="L772" s="10">
        <v>1</v>
      </c>
      <c r="M772" s="10"/>
      <c r="N772" s="30"/>
      <c r="O772" s="7">
        <f t="shared" si="218"/>
        <v>1</v>
      </c>
      <c r="P772" s="58">
        <v>43918</v>
      </c>
      <c r="Q772" s="56"/>
    </row>
    <row r="773" spans="1:17" x14ac:dyDescent="0.15">
      <c r="A773" s="51" t="s">
        <v>25</v>
      </c>
      <c r="B773" s="8"/>
      <c r="C773" s="10"/>
      <c r="D773" s="10">
        <v>1</v>
      </c>
      <c r="E773" s="10"/>
      <c r="F773" s="30"/>
      <c r="G773" s="7">
        <f t="shared" si="217"/>
        <v>1</v>
      </c>
      <c r="H773" s="58">
        <v>43960</v>
      </c>
      <c r="I773" s="16" t="s">
        <v>22</v>
      </c>
      <c r="J773" s="8">
        <v>10</v>
      </c>
      <c r="K773" s="10">
        <v>10</v>
      </c>
      <c r="L773" s="10"/>
      <c r="M773" s="10"/>
      <c r="N773" s="30"/>
      <c r="O773" s="7">
        <f t="shared" si="218"/>
        <v>20</v>
      </c>
      <c r="P773" s="58">
        <v>43929</v>
      </c>
    </row>
    <row r="774" spans="1:17" x14ac:dyDescent="0.15">
      <c r="A774" s="51" t="s">
        <v>995</v>
      </c>
      <c r="B774" s="8">
        <v>1</v>
      </c>
      <c r="C774" s="10">
        <v>-1</v>
      </c>
      <c r="D774" s="10"/>
      <c r="E774" s="10"/>
      <c r="F774" s="30"/>
      <c r="G774" s="7">
        <f t="shared" si="217"/>
        <v>0</v>
      </c>
      <c r="H774" s="58">
        <v>43964</v>
      </c>
      <c r="I774" s="14" t="s">
        <v>1297</v>
      </c>
      <c r="J774" s="8"/>
      <c r="K774" s="10">
        <v>4</v>
      </c>
      <c r="L774" s="10"/>
      <c r="M774" s="10">
        <v>3</v>
      </c>
      <c r="N774" s="30">
        <v>1</v>
      </c>
      <c r="O774" s="7">
        <f t="shared" si="218"/>
        <v>8</v>
      </c>
      <c r="P774" s="58">
        <v>43936</v>
      </c>
    </row>
    <row r="775" spans="1:17" x14ac:dyDescent="0.15">
      <c r="A775" s="51" t="s">
        <v>1309</v>
      </c>
      <c r="B775" s="8"/>
      <c r="C775" s="10"/>
      <c r="D775" s="10"/>
      <c r="E775" s="10">
        <v>1</v>
      </c>
      <c r="F775" s="30"/>
      <c r="G775" s="7">
        <f t="shared" si="217"/>
        <v>1</v>
      </c>
      <c r="H775" s="58">
        <v>43967</v>
      </c>
      <c r="I775" s="16" t="s">
        <v>10</v>
      </c>
      <c r="J775" s="8"/>
      <c r="K775" s="10">
        <v>1</v>
      </c>
      <c r="L775" s="10"/>
      <c r="M775" s="10"/>
      <c r="N775" s="30"/>
      <c r="O775" s="7">
        <f t="shared" si="218"/>
        <v>1</v>
      </c>
      <c r="P775" s="58">
        <v>43935</v>
      </c>
    </row>
    <row r="776" spans="1:17" x14ac:dyDescent="0.15">
      <c r="A776" s="51" t="s">
        <v>29</v>
      </c>
      <c r="B776" s="8"/>
      <c r="C776" s="10"/>
      <c r="D776" s="10"/>
      <c r="E776" s="10">
        <v>1</v>
      </c>
      <c r="F776" s="30"/>
      <c r="G776" s="7">
        <f t="shared" si="217"/>
        <v>1</v>
      </c>
      <c r="H776" s="58">
        <v>43984</v>
      </c>
      <c r="I776" s="14" t="s">
        <v>1301</v>
      </c>
      <c r="J776" s="8"/>
      <c r="K776" s="10">
        <v>4</v>
      </c>
      <c r="L776" s="10"/>
      <c r="M776" s="10"/>
      <c r="N776" s="30"/>
      <c r="O776" s="7">
        <f t="shared" si="218"/>
        <v>4</v>
      </c>
      <c r="P776" s="58">
        <v>43951</v>
      </c>
      <c r="Q776" s="56"/>
    </row>
    <row r="777" spans="1:17" x14ac:dyDescent="0.15">
      <c r="A777" s="51" t="s">
        <v>995</v>
      </c>
      <c r="B777" s="8"/>
      <c r="C777" s="10"/>
      <c r="D777" s="10">
        <v>1</v>
      </c>
      <c r="E777" s="10">
        <v>-1</v>
      </c>
      <c r="F777" s="30"/>
      <c r="G777" s="7">
        <f t="shared" si="217"/>
        <v>0</v>
      </c>
      <c r="H777" s="58">
        <v>43998</v>
      </c>
      <c r="I777" s="16" t="s">
        <v>10</v>
      </c>
      <c r="J777" s="8"/>
      <c r="K777" s="10"/>
      <c r="L777" s="10">
        <v>1</v>
      </c>
      <c r="M777" s="10"/>
      <c r="N777" s="30"/>
      <c r="O777" s="7">
        <f t="shared" si="218"/>
        <v>1</v>
      </c>
      <c r="P777" s="58">
        <v>43959</v>
      </c>
    </row>
    <row r="778" spans="1:17" x14ac:dyDescent="0.15">
      <c r="A778" s="16" t="s">
        <v>1319</v>
      </c>
      <c r="B778" s="8">
        <v>1</v>
      </c>
      <c r="C778" s="10"/>
      <c r="D778" s="10"/>
      <c r="E778" s="10"/>
      <c r="F778" s="30"/>
      <c r="G778" s="7">
        <f t="shared" si="217"/>
        <v>1</v>
      </c>
      <c r="H778" s="58">
        <v>43998</v>
      </c>
      <c r="I778" s="16" t="s">
        <v>22</v>
      </c>
      <c r="J778" s="8">
        <v>10</v>
      </c>
      <c r="K778" s="10"/>
      <c r="L778" s="10">
        <v>10</v>
      </c>
      <c r="M778" s="10">
        <v>10</v>
      </c>
      <c r="N778" s="30"/>
      <c r="O778" s="7">
        <f t="shared" si="218"/>
        <v>30</v>
      </c>
      <c r="P778" s="58">
        <v>43965</v>
      </c>
    </row>
    <row r="779" spans="1:17" x14ac:dyDescent="0.15">
      <c r="A779" s="16" t="s">
        <v>182</v>
      </c>
      <c r="B779" s="8">
        <v>1</v>
      </c>
      <c r="C779" s="10"/>
      <c r="D779" s="10"/>
      <c r="E779" s="10"/>
      <c r="F779" s="30"/>
      <c r="G779" s="7">
        <f t="shared" si="217"/>
        <v>1</v>
      </c>
      <c r="H779" s="58">
        <v>44013</v>
      </c>
      <c r="I779" s="16" t="s">
        <v>10</v>
      </c>
      <c r="J779" s="11"/>
      <c r="K779" s="100">
        <v>1</v>
      </c>
      <c r="L779" s="100"/>
      <c r="M779" s="100"/>
      <c r="N779" s="109"/>
      <c r="O779" s="9">
        <f t="shared" si="218"/>
        <v>1</v>
      </c>
      <c r="P779" s="58">
        <v>43963</v>
      </c>
    </row>
    <row r="780" spans="1:17" x14ac:dyDescent="0.15">
      <c r="A780" s="51" t="s">
        <v>995</v>
      </c>
      <c r="B780" s="8"/>
      <c r="C780" s="10"/>
      <c r="D780" s="10">
        <v>-1</v>
      </c>
      <c r="E780" s="10"/>
      <c r="F780" s="30">
        <v>1</v>
      </c>
      <c r="G780" s="7">
        <f t="shared" si="217"/>
        <v>0</v>
      </c>
      <c r="H780" s="58">
        <v>44013</v>
      </c>
      <c r="I780" s="16" t="s">
        <v>1311</v>
      </c>
      <c r="J780" s="11"/>
      <c r="K780" s="12">
        <v>4</v>
      </c>
      <c r="L780" s="12">
        <v>3</v>
      </c>
      <c r="M780" s="12">
        <v>3</v>
      </c>
      <c r="N780" s="31">
        <v>6</v>
      </c>
      <c r="O780" s="7">
        <f t="shared" si="218"/>
        <v>16</v>
      </c>
      <c r="P780" s="58">
        <v>43983</v>
      </c>
      <c r="Q780" s="56"/>
    </row>
    <row r="781" spans="1:17" x14ac:dyDescent="0.15">
      <c r="A781" s="51" t="s">
        <v>25</v>
      </c>
      <c r="B781" s="11">
        <v>1</v>
      </c>
      <c r="C781" s="12"/>
      <c r="D781" s="12"/>
      <c r="E781" s="12"/>
      <c r="F781" s="31"/>
      <c r="G781" s="7">
        <f t="shared" si="217"/>
        <v>1</v>
      </c>
      <c r="H781" s="58">
        <v>44016</v>
      </c>
      <c r="I781" s="16" t="s">
        <v>182</v>
      </c>
      <c r="J781" s="8"/>
      <c r="K781" s="10">
        <v>1</v>
      </c>
      <c r="L781" s="10">
        <v>1</v>
      </c>
      <c r="M781" s="10">
        <v>1</v>
      </c>
      <c r="N781" s="30">
        <v>2</v>
      </c>
      <c r="O781" s="7">
        <f t="shared" si="218"/>
        <v>5</v>
      </c>
      <c r="P781" s="58">
        <v>43993</v>
      </c>
      <c r="Q781" s="56"/>
    </row>
    <row r="782" spans="1:17" x14ac:dyDescent="0.15">
      <c r="A782" s="16" t="s">
        <v>182</v>
      </c>
      <c r="B782" s="8">
        <v>1</v>
      </c>
      <c r="C782" s="10"/>
      <c r="D782" s="10"/>
      <c r="E782" s="10"/>
      <c r="F782" s="30"/>
      <c r="G782" s="7">
        <f t="shared" si="217"/>
        <v>1</v>
      </c>
      <c r="H782" s="58">
        <v>44026</v>
      </c>
      <c r="I782" s="14" t="s">
        <v>1316</v>
      </c>
      <c r="J782" s="8"/>
      <c r="K782" s="10">
        <v>1</v>
      </c>
      <c r="L782" s="10">
        <v>1</v>
      </c>
      <c r="M782" s="10">
        <v>1</v>
      </c>
      <c r="N782" s="30">
        <v>1</v>
      </c>
      <c r="O782" s="7">
        <f t="shared" si="218"/>
        <v>4</v>
      </c>
      <c r="P782" s="58">
        <v>43990</v>
      </c>
    </row>
    <row r="783" spans="1:17" x14ac:dyDescent="0.15">
      <c r="A783" s="16"/>
      <c r="B783" s="8"/>
      <c r="C783" s="10"/>
      <c r="D783" s="10"/>
      <c r="E783" s="10"/>
      <c r="F783" s="30"/>
      <c r="G783" s="7">
        <f t="shared" si="217"/>
        <v>0</v>
      </c>
      <c r="H783" s="58"/>
      <c r="I783" s="16" t="s">
        <v>10</v>
      </c>
      <c r="J783" s="8"/>
      <c r="K783" s="10"/>
      <c r="L783" s="10"/>
      <c r="M783" s="10">
        <v>1</v>
      </c>
      <c r="N783" s="30"/>
      <c r="O783" s="7">
        <f t="shared" si="218"/>
        <v>1</v>
      </c>
      <c r="P783" s="58">
        <v>44000</v>
      </c>
    </row>
    <row r="784" spans="1:17" x14ac:dyDescent="0.15">
      <c r="A784" s="16"/>
      <c r="B784" s="8"/>
      <c r="C784" s="10"/>
      <c r="D784" s="10"/>
      <c r="E784" s="10"/>
      <c r="F784" s="30"/>
      <c r="G784" s="7">
        <f t="shared" si="217"/>
        <v>0</v>
      </c>
      <c r="H784" s="58"/>
      <c r="I784" s="14" t="s">
        <v>1320</v>
      </c>
      <c r="J784" s="11"/>
      <c r="K784" s="12"/>
      <c r="L784" s="12">
        <v>4</v>
      </c>
      <c r="M784" s="12"/>
      <c r="N784" s="31"/>
      <c r="O784" s="7">
        <f t="shared" si="218"/>
        <v>4</v>
      </c>
      <c r="P784" s="58">
        <v>44004</v>
      </c>
    </row>
    <row r="785" spans="1:17" x14ac:dyDescent="0.15">
      <c r="A785" s="16"/>
      <c r="B785" s="8"/>
      <c r="C785" s="10"/>
      <c r="D785" s="10"/>
      <c r="E785" s="10"/>
      <c r="F785" s="30"/>
      <c r="G785" s="7">
        <f t="shared" si="217"/>
        <v>0</v>
      </c>
      <c r="H785" s="58"/>
      <c r="I785" s="16" t="s">
        <v>22</v>
      </c>
      <c r="J785" s="8"/>
      <c r="K785" s="10"/>
      <c r="L785" s="10"/>
      <c r="M785" s="10"/>
      <c r="N785" s="30">
        <v>10</v>
      </c>
      <c r="O785" s="7">
        <f t="shared" si="218"/>
        <v>10</v>
      </c>
      <c r="P785" s="58">
        <v>44008</v>
      </c>
    </row>
    <row r="786" spans="1:17" x14ac:dyDescent="0.15">
      <c r="A786" s="16"/>
      <c r="B786" s="8"/>
      <c r="C786" s="10"/>
      <c r="D786" s="10"/>
      <c r="E786" s="10"/>
      <c r="F786" s="30"/>
      <c r="G786" s="7">
        <f t="shared" si="217"/>
        <v>0</v>
      </c>
      <c r="H786" s="58"/>
      <c r="I786" s="16" t="s">
        <v>22</v>
      </c>
      <c r="J786" s="8"/>
      <c r="K786" s="10"/>
      <c r="L786" s="10">
        <v>10</v>
      </c>
      <c r="M786" s="10">
        <v>10</v>
      </c>
      <c r="N786" s="30"/>
      <c r="O786" s="7">
        <f t="shared" si="218"/>
        <v>20</v>
      </c>
      <c r="P786" s="58">
        <v>44015</v>
      </c>
    </row>
    <row r="787" spans="1:17" x14ac:dyDescent="0.15">
      <c r="A787" s="16"/>
      <c r="B787" s="8"/>
      <c r="C787" s="10"/>
      <c r="D787" s="10"/>
      <c r="E787" s="10"/>
      <c r="F787" s="30"/>
      <c r="G787" s="7">
        <f t="shared" si="217"/>
        <v>0</v>
      </c>
      <c r="H787" s="58"/>
      <c r="I787" s="14" t="s">
        <v>1323</v>
      </c>
      <c r="J787" s="11"/>
      <c r="K787" s="12">
        <v>4</v>
      </c>
      <c r="L787" s="12"/>
      <c r="M787" s="12"/>
      <c r="N787" s="31"/>
      <c r="O787" s="7">
        <f t="shared" si="218"/>
        <v>4</v>
      </c>
      <c r="P787" s="58">
        <v>44015</v>
      </c>
    </row>
    <row r="788" spans="1:17" x14ac:dyDescent="0.15">
      <c r="A788" s="16"/>
      <c r="B788" s="8"/>
      <c r="C788" s="10"/>
      <c r="D788" s="10"/>
      <c r="E788" s="10"/>
      <c r="F788" s="30"/>
      <c r="G788" s="7">
        <f t="shared" si="217"/>
        <v>0</v>
      </c>
      <c r="H788" s="58"/>
      <c r="I788" s="16" t="s">
        <v>10</v>
      </c>
      <c r="J788" s="11">
        <v>1</v>
      </c>
      <c r="K788" s="12"/>
      <c r="L788" s="12"/>
      <c r="M788" s="12"/>
      <c r="N788" s="31"/>
      <c r="O788" s="7">
        <f t="shared" si="218"/>
        <v>1</v>
      </c>
      <c r="P788" s="58">
        <v>44022</v>
      </c>
    </row>
    <row r="789" spans="1:17" x14ac:dyDescent="0.15">
      <c r="A789" s="16"/>
      <c r="B789" s="8"/>
      <c r="C789" s="10"/>
      <c r="D789" s="10"/>
      <c r="E789" s="10"/>
      <c r="F789" s="30"/>
      <c r="G789" s="7">
        <f t="shared" si="217"/>
        <v>0</v>
      </c>
      <c r="H789" s="58"/>
      <c r="I789" s="16" t="s">
        <v>1328</v>
      </c>
      <c r="J789" s="11">
        <v>3</v>
      </c>
      <c r="K789" s="12"/>
      <c r="L789" s="12">
        <v>3</v>
      </c>
      <c r="M789" s="12"/>
      <c r="N789" s="31"/>
      <c r="O789" s="7">
        <f t="shared" si="218"/>
        <v>6</v>
      </c>
      <c r="P789" s="58">
        <v>44027</v>
      </c>
      <c r="Q789" s="56"/>
    </row>
    <row r="790" spans="1:17" x14ac:dyDescent="0.15">
      <c r="A790" s="16"/>
      <c r="B790" s="8"/>
      <c r="C790" s="10"/>
      <c r="D790" s="10"/>
      <c r="E790" s="10"/>
      <c r="F790" s="30"/>
      <c r="G790" s="7">
        <f t="shared" si="217"/>
        <v>0</v>
      </c>
      <c r="H790" s="58"/>
      <c r="I790" s="16"/>
      <c r="J790" s="11"/>
      <c r="K790" s="12"/>
      <c r="L790" s="12"/>
      <c r="M790" s="12"/>
      <c r="N790" s="31"/>
      <c r="O790" s="7">
        <f t="shared" si="218"/>
        <v>0</v>
      </c>
      <c r="P790" s="58"/>
    </row>
    <row r="791" spans="1:17" x14ac:dyDescent="0.15">
      <c r="A791" s="16"/>
      <c r="B791" s="8"/>
      <c r="C791" s="10"/>
      <c r="D791" s="10"/>
      <c r="E791" s="10"/>
      <c r="F791" s="30"/>
      <c r="G791" s="7">
        <f t="shared" si="217"/>
        <v>0</v>
      </c>
      <c r="H791" s="58"/>
      <c r="I791" s="16" t="s">
        <v>1313</v>
      </c>
      <c r="J791" s="11"/>
      <c r="K791" s="12"/>
      <c r="L791" s="12"/>
      <c r="M791" s="12"/>
      <c r="N791" s="31"/>
      <c r="O791" s="7">
        <f t="shared" ref="O791:O792" si="219">SUM(J791:N791)</f>
        <v>0</v>
      </c>
      <c r="P791" s="58" t="s">
        <v>1314</v>
      </c>
    </row>
    <row r="792" spans="1:17" x14ac:dyDescent="0.15">
      <c r="A792" s="16"/>
      <c r="B792" s="8"/>
      <c r="C792" s="10"/>
      <c r="D792" s="10"/>
      <c r="E792" s="10"/>
      <c r="F792" s="59"/>
      <c r="G792" s="7">
        <f t="shared" si="217"/>
        <v>0</v>
      </c>
      <c r="H792" s="58"/>
      <c r="I792" s="64" t="s">
        <v>1308</v>
      </c>
      <c r="J792" s="11"/>
      <c r="K792" s="12"/>
      <c r="L792" s="12"/>
      <c r="M792" s="12"/>
      <c r="N792" s="31"/>
      <c r="O792" s="7">
        <f t="shared" si="219"/>
        <v>0</v>
      </c>
      <c r="P792" s="56" t="s">
        <v>1307</v>
      </c>
    </row>
    <row r="793" spans="1:17" x14ac:dyDescent="0.15">
      <c r="A793" s="16"/>
      <c r="B793" s="37"/>
      <c r="C793" s="35"/>
      <c r="D793" s="35"/>
      <c r="E793" s="35"/>
      <c r="F793" s="28"/>
      <c r="G793" s="7">
        <f t="shared" si="217"/>
        <v>0</v>
      </c>
      <c r="H793" s="58"/>
      <c r="I793" s="14" t="s">
        <v>1192</v>
      </c>
      <c r="J793" s="11"/>
      <c r="K793" s="12"/>
      <c r="L793" s="12"/>
      <c r="M793" s="12"/>
      <c r="N793" s="31"/>
      <c r="O793" s="7">
        <f t="shared" si="218"/>
        <v>0</v>
      </c>
      <c r="P793" s="56" t="s">
        <v>1193</v>
      </c>
    </row>
    <row r="794" spans="1:17" x14ac:dyDescent="0.15">
      <c r="A794" s="16"/>
      <c r="B794" s="8"/>
      <c r="C794" s="10"/>
      <c r="D794" s="10"/>
      <c r="E794" s="10"/>
      <c r="F794" s="30"/>
      <c r="G794" s="7">
        <f t="shared" si="217"/>
        <v>0</v>
      </c>
      <c r="H794" s="58"/>
      <c r="I794" s="16" t="s">
        <v>1286</v>
      </c>
      <c r="J794" s="11"/>
      <c r="K794" s="12"/>
      <c r="L794" s="12"/>
      <c r="M794" s="12"/>
      <c r="N794" s="31"/>
      <c r="O794" s="7">
        <f t="shared" si="218"/>
        <v>0</v>
      </c>
      <c r="P794" s="58" t="s">
        <v>1287</v>
      </c>
    </row>
    <row r="795" spans="1:17" x14ac:dyDescent="0.15">
      <c r="A795" s="16"/>
      <c r="B795" s="8"/>
      <c r="C795" s="10"/>
      <c r="D795" s="10"/>
      <c r="E795" s="10"/>
      <c r="F795" s="30"/>
      <c r="G795" s="9">
        <f t="shared" si="217"/>
        <v>0</v>
      </c>
      <c r="H795" s="58"/>
      <c r="I795" s="14" t="s">
        <v>1268</v>
      </c>
      <c r="J795" s="11"/>
      <c r="K795" s="12"/>
      <c r="L795" s="12"/>
      <c r="M795" s="12"/>
      <c r="N795" s="31"/>
      <c r="O795" s="7">
        <f t="shared" si="218"/>
        <v>0</v>
      </c>
      <c r="P795" s="56" t="s">
        <v>1269</v>
      </c>
    </row>
    <row r="796" spans="1:17" ht="14.25" thickBot="1" x14ac:dyDescent="0.2">
      <c r="A796" s="51"/>
      <c r="B796" s="37"/>
      <c r="C796" s="35"/>
      <c r="D796" s="35"/>
      <c r="E796" s="35"/>
      <c r="F796" s="28"/>
      <c r="G796" s="7">
        <f t="shared" si="217"/>
        <v>0</v>
      </c>
      <c r="H796" s="58"/>
      <c r="I796" s="64" t="s">
        <v>1281</v>
      </c>
      <c r="J796" s="11"/>
      <c r="K796" s="12"/>
      <c r="L796" s="12"/>
      <c r="M796" s="12"/>
      <c r="N796" s="31"/>
      <c r="O796" s="7">
        <f t="shared" si="218"/>
        <v>0</v>
      </c>
      <c r="P796" s="56" t="s">
        <v>1282</v>
      </c>
    </row>
    <row r="797" spans="1:17" ht="14.25" thickBot="1" x14ac:dyDescent="0.2">
      <c r="A797" s="3" t="s">
        <v>11</v>
      </c>
      <c r="B797" s="23">
        <f>SUM(B771:B796)</f>
        <v>4</v>
      </c>
      <c r="C797" s="4">
        <f>SUM(C771:C796)</f>
        <v>1</v>
      </c>
      <c r="D797" s="4">
        <f>SUM(D771:D796)</f>
        <v>1</v>
      </c>
      <c r="E797" s="6">
        <f>SUM(E771:E796)</f>
        <v>0</v>
      </c>
      <c r="F797" s="32">
        <f>SUM(F771:F796)</f>
        <v>2</v>
      </c>
      <c r="G797" s="5">
        <f>SUM(B797:F797)</f>
        <v>8</v>
      </c>
      <c r="H797" s="56"/>
      <c r="I797" s="3" t="s">
        <v>11</v>
      </c>
      <c r="J797" s="23">
        <f>SUM(J771:J796)</f>
        <v>25</v>
      </c>
      <c r="K797" s="4">
        <f>SUM(K771:K796)</f>
        <v>32</v>
      </c>
      <c r="L797" s="4">
        <f>SUM(L771:L796)</f>
        <v>34</v>
      </c>
      <c r="M797" s="6">
        <f>SUM(M771:M796)</f>
        <v>29</v>
      </c>
      <c r="N797" s="32">
        <f>SUM(N771:N796)</f>
        <v>20</v>
      </c>
      <c r="O797" s="5">
        <f>SUM(J797:N797)</f>
        <v>140</v>
      </c>
    </row>
    <row r="798" spans="1:17" ht="14.25" thickBot="1" x14ac:dyDescent="0.2">
      <c r="A798" s="25" t="s">
        <v>12</v>
      </c>
      <c r="B798" s="63">
        <f>B770-B797</f>
        <v>5</v>
      </c>
      <c r="C798" s="26">
        <f t="shared" ref="C798:G798" si="220">C770-C797</f>
        <v>10</v>
      </c>
      <c r="D798" s="71">
        <f t="shared" si="220"/>
        <v>11</v>
      </c>
      <c r="E798" s="26">
        <f t="shared" si="220"/>
        <v>12</v>
      </c>
      <c r="F798" s="70">
        <f t="shared" si="220"/>
        <v>4</v>
      </c>
      <c r="G798" s="27">
        <f t="shared" si="220"/>
        <v>42</v>
      </c>
      <c r="H798" s="56"/>
      <c r="I798" s="25" t="s">
        <v>12</v>
      </c>
      <c r="J798" s="63">
        <f t="shared" ref="J798:O798" si="221">J770-J797</f>
        <v>265</v>
      </c>
      <c r="K798" s="26">
        <f t="shared" si="221"/>
        <v>238</v>
      </c>
      <c r="L798" s="71">
        <f t="shared" si="221"/>
        <v>223</v>
      </c>
      <c r="M798" s="26">
        <f t="shared" si="221"/>
        <v>207</v>
      </c>
      <c r="N798" s="70">
        <f t="shared" si="221"/>
        <v>224</v>
      </c>
      <c r="O798" s="27">
        <f t="shared" si="221"/>
        <v>1157</v>
      </c>
    </row>
    <row r="799" spans="1:17" ht="21" x14ac:dyDescent="0.2">
      <c r="A799" s="86" t="s">
        <v>413</v>
      </c>
      <c r="B799" s="87"/>
      <c r="C799" s="87"/>
      <c r="D799" s="87"/>
      <c r="E799" s="87"/>
      <c r="F799" s="87"/>
      <c r="G799" s="87"/>
      <c r="H799" s="56"/>
      <c r="I799" s="86" t="s">
        <v>413</v>
      </c>
      <c r="J799" s="87"/>
      <c r="K799" s="87"/>
      <c r="L799" s="87"/>
      <c r="M799" s="87"/>
      <c r="N799" s="87"/>
      <c r="O799" s="87"/>
    </row>
    <row r="800" spans="1:17" ht="21.75" thickBot="1" x14ac:dyDescent="0.25">
      <c r="A800" s="86" t="s">
        <v>51</v>
      </c>
      <c r="B800" s="87"/>
      <c r="C800" s="87"/>
      <c r="D800" s="87"/>
      <c r="E800" s="85"/>
      <c r="F800" s="88" t="s">
        <v>53</v>
      </c>
      <c r="G800" s="87"/>
      <c r="H800" s="56"/>
      <c r="I800" s="86" t="s">
        <v>51</v>
      </c>
      <c r="J800" s="87"/>
      <c r="K800" s="87"/>
      <c r="L800" s="87"/>
      <c r="M800" s="89"/>
      <c r="N800" s="88" t="s">
        <v>54</v>
      </c>
      <c r="O800" s="87"/>
    </row>
    <row r="801" spans="1:17" ht="14.25" thickBot="1" x14ac:dyDescent="0.2">
      <c r="A801" s="13" t="s">
        <v>0</v>
      </c>
      <c r="B801" s="228" t="s">
        <v>52</v>
      </c>
      <c r="C801" s="229"/>
      <c r="D801" s="229"/>
      <c r="E801" s="229"/>
      <c r="F801" s="230"/>
      <c r="G801" s="231"/>
      <c r="H801" s="56"/>
      <c r="I801" s="13" t="s">
        <v>0</v>
      </c>
      <c r="J801" s="228" t="s">
        <v>52</v>
      </c>
      <c r="K801" s="229"/>
      <c r="L801" s="229"/>
      <c r="M801" s="229"/>
      <c r="N801" s="230"/>
      <c r="O801" s="231"/>
    </row>
    <row r="802" spans="1:17" ht="14.25" thickBot="1" x14ac:dyDescent="0.2">
      <c r="A802" s="3" t="s">
        <v>1</v>
      </c>
      <c r="B802" s="2" t="s">
        <v>42</v>
      </c>
      <c r="C802" s="21" t="s">
        <v>43</v>
      </c>
      <c r="D802" s="21" t="s">
        <v>44</v>
      </c>
      <c r="E802" s="24" t="s">
        <v>45</v>
      </c>
      <c r="F802" s="33" t="s">
        <v>46</v>
      </c>
      <c r="G802" s="3" t="s">
        <v>2</v>
      </c>
      <c r="H802" s="56"/>
      <c r="I802" s="3" t="s">
        <v>1</v>
      </c>
      <c r="J802" s="41" t="s">
        <v>42</v>
      </c>
      <c r="K802" s="42" t="s">
        <v>43</v>
      </c>
      <c r="L802" s="42" t="s">
        <v>44</v>
      </c>
      <c r="M802" s="43" t="s">
        <v>45</v>
      </c>
      <c r="N802" s="44" t="s">
        <v>46</v>
      </c>
      <c r="O802" s="3" t="s">
        <v>2</v>
      </c>
    </row>
    <row r="803" spans="1:17" x14ac:dyDescent="0.15">
      <c r="A803" s="96" t="s">
        <v>13</v>
      </c>
      <c r="B803" s="95">
        <f>B798</f>
        <v>5</v>
      </c>
      <c r="C803" s="97">
        <f t="shared" ref="C803:F803" si="222">C798</f>
        <v>10</v>
      </c>
      <c r="D803" s="97">
        <f t="shared" si="222"/>
        <v>11</v>
      </c>
      <c r="E803" s="97">
        <f t="shared" si="222"/>
        <v>12</v>
      </c>
      <c r="F803" s="139">
        <f t="shared" si="222"/>
        <v>4</v>
      </c>
      <c r="G803" s="52">
        <f t="shared" ref="G803:G811" si="223">SUM(B803:F803)</f>
        <v>42</v>
      </c>
      <c r="H803" s="56"/>
      <c r="I803" s="96" t="s">
        <v>13</v>
      </c>
      <c r="J803" s="95">
        <f>J798</f>
        <v>265</v>
      </c>
      <c r="K803" s="97">
        <f t="shared" ref="K803:N803" si="224">K798</f>
        <v>238</v>
      </c>
      <c r="L803" s="97">
        <f t="shared" si="224"/>
        <v>223</v>
      </c>
      <c r="M803" s="97">
        <f t="shared" si="224"/>
        <v>207</v>
      </c>
      <c r="N803" s="139">
        <f t="shared" si="224"/>
        <v>224</v>
      </c>
      <c r="O803" s="52">
        <f t="shared" ref="O803:O811" si="225">SUM(J803:N803)</f>
        <v>1157</v>
      </c>
    </row>
    <row r="804" spans="1:17" x14ac:dyDescent="0.15">
      <c r="A804" s="15" t="s">
        <v>17</v>
      </c>
      <c r="B804" s="8">
        <v>1</v>
      </c>
      <c r="C804" s="10"/>
      <c r="D804" s="10"/>
      <c r="E804" s="10"/>
      <c r="F804" s="104"/>
      <c r="G804" s="9">
        <f t="shared" si="223"/>
        <v>1</v>
      </c>
      <c r="H804" s="58">
        <v>44041</v>
      </c>
      <c r="I804" s="15" t="s">
        <v>9</v>
      </c>
      <c r="J804" s="37"/>
      <c r="K804" s="135">
        <v>5</v>
      </c>
      <c r="L804" s="135">
        <v>5</v>
      </c>
      <c r="M804" s="135">
        <v>6</v>
      </c>
      <c r="N804" s="136"/>
      <c r="O804" s="7">
        <f t="shared" si="225"/>
        <v>16</v>
      </c>
      <c r="P804" s="57">
        <v>44044</v>
      </c>
    </row>
    <row r="805" spans="1:17" x14ac:dyDescent="0.15">
      <c r="A805" s="15" t="s">
        <v>4</v>
      </c>
      <c r="B805" s="8"/>
      <c r="C805" s="10"/>
      <c r="D805" s="10"/>
      <c r="E805" s="10"/>
      <c r="F805" s="104">
        <v>3</v>
      </c>
      <c r="G805" s="9">
        <f t="shared" si="223"/>
        <v>3</v>
      </c>
      <c r="H805" s="58">
        <v>44048</v>
      </c>
      <c r="I805" s="15" t="s">
        <v>9</v>
      </c>
      <c r="J805" s="8"/>
      <c r="K805" s="45"/>
      <c r="L805" s="45">
        <v>9</v>
      </c>
      <c r="M805" s="45">
        <v>5</v>
      </c>
      <c r="N805" s="46">
        <v>15</v>
      </c>
      <c r="O805" s="9">
        <v>29</v>
      </c>
      <c r="P805" s="58">
        <v>44100</v>
      </c>
    </row>
    <row r="806" spans="1:17" x14ac:dyDescent="0.15">
      <c r="A806" s="15" t="s">
        <v>1348</v>
      </c>
      <c r="B806" s="8"/>
      <c r="C806" s="10"/>
      <c r="D806" s="10"/>
      <c r="E806" s="10"/>
      <c r="F806" s="104"/>
      <c r="G806" s="9">
        <f t="shared" si="223"/>
        <v>0</v>
      </c>
      <c r="H806" s="58">
        <v>44062</v>
      </c>
      <c r="I806" s="175" t="s">
        <v>5</v>
      </c>
      <c r="J806" s="182">
        <v>-13</v>
      </c>
      <c r="K806" s="190">
        <v>-7</v>
      </c>
      <c r="L806" s="190">
        <v>-10</v>
      </c>
      <c r="M806" s="190">
        <v>-11</v>
      </c>
      <c r="N806" s="191">
        <v>-2</v>
      </c>
      <c r="O806" s="184">
        <f t="shared" si="225"/>
        <v>-43</v>
      </c>
      <c r="P806" s="180">
        <v>44135</v>
      </c>
    </row>
    <row r="807" spans="1:17" x14ac:dyDescent="0.15">
      <c r="A807" s="15" t="s">
        <v>993</v>
      </c>
      <c r="B807" s="11"/>
      <c r="C807" s="12">
        <v>3</v>
      </c>
      <c r="D807" s="12">
        <v>1</v>
      </c>
      <c r="E807" s="12"/>
      <c r="F807" s="108"/>
      <c r="G807" s="9">
        <f t="shared" si="223"/>
        <v>4</v>
      </c>
      <c r="H807" s="58">
        <v>44075</v>
      </c>
      <c r="I807" s="15" t="s">
        <v>6</v>
      </c>
      <c r="J807" s="8"/>
      <c r="K807" s="45"/>
      <c r="L807" s="45"/>
      <c r="M807" s="45"/>
      <c r="N807" s="46"/>
      <c r="O807" s="9">
        <f t="shared" si="225"/>
        <v>0</v>
      </c>
    </row>
    <row r="808" spans="1:17" x14ac:dyDescent="0.15">
      <c r="A808" s="15" t="s">
        <v>322</v>
      </c>
      <c r="B808" s="8"/>
      <c r="C808" s="10">
        <v>1</v>
      </c>
      <c r="D808" s="10">
        <v>3</v>
      </c>
      <c r="E808" s="10">
        <v>2</v>
      </c>
      <c r="F808" s="30">
        <v>6</v>
      </c>
      <c r="G808" s="7">
        <f t="shared" si="223"/>
        <v>12</v>
      </c>
      <c r="H808" s="58">
        <v>44083</v>
      </c>
      <c r="I808" s="15" t="s">
        <v>84</v>
      </c>
      <c r="J808" s="8"/>
      <c r="K808" s="45"/>
      <c r="L808" s="45"/>
      <c r="M808" s="45"/>
      <c r="N808" s="46"/>
      <c r="O808" s="7">
        <f t="shared" si="225"/>
        <v>0</v>
      </c>
    </row>
    <row r="809" spans="1:17" x14ac:dyDescent="0.15">
      <c r="A809" s="15" t="s">
        <v>17</v>
      </c>
      <c r="B809" s="8"/>
      <c r="C809" s="10"/>
      <c r="D809" s="10"/>
      <c r="E809" s="10">
        <v>1</v>
      </c>
      <c r="F809" s="30"/>
      <c r="G809" s="7">
        <f t="shared" si="223"/>
        <v>1</v>
      </c>
      <c r="H809" s="58">
        <v>44084</v>
      </c>
      <c r="I809" s="15" t="s">
        <v>85</v>
      </c>
      <c r="J809" s="8"/>
      <c r="K809" s="45"/>
      <c r="L809" s="45"/>
      <c r="M809" s="45"/>
      <c r="N809" s="46"/>
      <c r="O809" s="7">
        <f t="shared" si="225"/>
        <v>0</v>
      </c>
    </row>
    <row r="810" spans="1:17" x14ac:dyDescent="0.15">
      <c r="A810" s="15" t="s">
        <v>19</v>
      </c>
      <c r="B810" s="8">
        <v>1</v>
      </c>
      <c r="C810" s="45">
        <v>1</v>
      </c>
      <c r="D810" s="45">
        <v>2</v>
      </c>
      <c r="E810" s="45">
        <v>3</v>
      </c>
      <c r="F810" s="46">
        <v>9</v>
      </c>
      <c r="G810" s="102">
        <f t="shared" si="223"/>
        <v>16</v>
      </c>
      <c r="H810" s="58">
        <v>44084</v>
      </c>
      <c r="I810" s="15" t="s">
        <v>86</v>
      </c>
      <c r="J810" s="8"/>
      <c r="K810" s="45"/>
      <c r="L810" s="45"/>
      <c r="M810" s="45"/>
      <c r="N810" s="46"/>
      <c r="O810" s="102">
        <f t="shared" si="225"/>
        <v>0</v>
      </c>
    </row>
    <row r="811" spans="1:17" ht="14.25" thickBot="1" x14ac:dyDescent="0.2">
      <c r="A811" s="15" t="s">
        <v>17</v>
      </c>
      <c r="B811" s="11"/>
      <c r="C811" s="100"/>
      <c r="D811" s="100">
        <v>1</v>
      </c>
      <c r="E811" s="100"/>
      <c r="F811" s="109"/>
      <c r="G811" s="40">
        <f t="shared" si="223"/>
        <v>1</v>
      </c>
      <c r="H811" s="58">
        <v>44103</v>
      </c>
      <c r="I811" s="15" t="s">
        <v>87</v>
      </c>
      <c r="J811" s="47"/>
      <c r="K811" s="48"/>
      <c r="L811" s="48"/>
      <c r="M811" s="48"/>
      <c r="N811" s="49"/>
      <c r="O811" s="40">
        <f t="shared" si="225"/>
        <v>0</v>
      </c>
    </row>
    <row r="812" spans="1:17" ht="14.25" thickBot="1" x14ac:dyDescent="0.2">
      <c r="A812" s="72" t="s">
        <v>7</v>
      </c>
      <c r="B812" s="73">
        <f>SUM(B803:B811)</f>
        <v>7</v>
      </c>
      <c r="C812" s="74">
        <f t="shared" ref="C812:G812" si="226">SUM(C803:C811)</f>
        <v>15</v>
      </c>
      <c r="D812" s="74">
        <f t="shared" si="226"/>
        <v>18</v>
      </c>
      <c r="E812" s="74">
        <f t="shared" si="226"/>
        <v>18</v>
      </c>
      <c r="F812" s="105">
        <f t="shared" si="226"/>
        <v>22</v>
      </c>
      <c r="G812" s="76">
        <f t="shared" si="226"/>
        <v>80</v>
      </c>
      <c r="H812" s="56"/>
      <c r="I812" s="72" t="s">
        <v>7</v>
      </c>
      <c r="J812" s="73">
        <f>SUM(J803:J811)</f>
        <v>252</v>
      </c>
      <c r="K812" s="74">
        <f t="shared" ref="K812:O812" si="227">SUM(K803:K811)</f>
        <v>236</v>
      </c>
      <c r="L812" s="74">
        <f t="shared" si="227"/>
        <v>227</v>
      </c>
      <c r="M812" s="74">
        <f t="shared" si="227"/>
        <v>207</v>
      </c>
      <c r="N812" s="105">
        <f t="shared" si="227"/>
        <v>237</v>
      </c>
      <c r="O812" s="76">
        <f t="shared" si="227"/>
        <v>1159</v>
      </c>
    </row>
    <row r="813" spans="1:17" x14ac:dyDescent="0.15">
      <c r="A813" s="16" t="s">
        <v>182</v>
      </c>
      <c r="B813" s="8">
        <v>1</v>
      </c>
      <c r="C813" s="10"/>
      <c r="D813" s="10"/>
      <c r="E813" s="10"/>
      <c r="F813" s="30"/>
      <c r="G813" s="9">
        <f t="shared" ref="G813:G838" si="228">SUM(B813:F813)</f>
        <v>1</v>
      </c>
      <c r="H813" s="58">
        <v>44043</v>
      </c>
      <c r="I813" s="16" t="s">
        <v>10</v>
      </c>
      <c r="J813" s="17"/>
      <c r="K813" s="22"/>
      <c r="L813" s="22">
        <v>1</v>
      </c>
      <c r="M813" s="22"/>
      <c r="N813" s="29"/>
      <c r="O813" s="18">
        <f t="shared" ref="O813:O834" si="229">SUM(J813:N813)</f>
        <v>1</v>
      </c>
      <c r="P813" s="58">
        <v>44027</v>
      </c>
    </row>
    <row r="814" spans="1:17" x14ac:dyDescent="0.15">
      <c r="A814" s="51" t="s">
        <v>1344</v>
      </c>
      <c r="B814" s="8"/>
      <c r="C814" s="10">
        <v>5</v>
      </c>
      <c r="D814" s="10">
        <v>5</v>
      </c>
      <c r="E814" s="10">
        <v>6</v>
      </c>
      <c r="F814" s="30"/>
      <c r="G814" s="7">
        <f t="shared" si="228"/>
        <v>16</v>
      </c>
      <c r="H814" s="58">
        <v>44044</v>
      </c>
      <c r="I814" s="16" t="s">
        <v>22</v>
      </c>
      <c r="J814" s="8"/>
      <c r="K814" s="10"/>
      <c r="L814" s="10"/>
      <c r="M814" s="10"/>
      <c r="N814" s="30">
        <v>10</v>
      </c>
      <c r="O814" s="7">
        <f t="shared" si="229"/>
        <v>10</v>
      </c>
      <c r="P814" s="58">
        <v>44032</v>
      </c>
      <c r="Q814" s="56"/>
    </row>
    <row r="815" spans="1:17" x14ac:dyDescent="0.15">
      <c r="A815" s="51" t="s">
        <v>10</v>
      </c>
      <c r="B815" s="8"/>
      <c r="C815" s="10"/>
      <c r="D815" s="10"/>
      <c r="E815" s="10">
        <v>1</v>
      </c>
      <c r="F815" s="30"/>
      <c r="G815" s="7">
        <f t="shared" si="228"/>
        <v>1</v>
      </c>
      <c r="H815" s="58">
        <v>44055</v>
      </c>
      <c r="I815" s="16" t="s">
        <v>10</v>
      </c>
      <c r="J815" s="8">
        <v>1</v>
      </c>
      <c r="K815" s="10"/>
      <c r="L815" s="10"/>
      <c r="M815" s="10"/>
      <c r="N815" s="30"/>
      <c r="O815" s="7">
        <f t="shared" si="229"/>
        <v>1</v>
      </c>
      <c r="P815" s="58">
        <v>44030</v>
      </c>
    </row>
    <row r="816" spans="1:17" x14ac:dyDescent="0.15">
      <c r="A816" s="51" t="s">
        <v>1352</v>
      </c>
      <c r="B816" s="8">
        <v>1</v>
      </c>
      <c r="C816" s="10"/>
      <c r="D816" s="10"/>
      <c r="E816" s="10">
        <v>1</v>
      </c>
      <c r="F816" s="30"/>
      <c r="G816" s="7">
        <f t="shared" si="228"/>
        <v>2</v>
      </c>
      <c r="H816" s="58">
        <v>44089</v>
      </c>
      <c r="I816" s="16" t="s">
        <v>10</v>
      </c>
      <c r="J816" s="8"/>
      <c r="K816" s="10"/>
      <c r="L816" s="10"/>
      <c r="M816" s="10">
        <v>2</v>
      </c>
      <c r="N816" s="30"/>
      <c r="O816" s="7">
        <f t="shared" si="229"/>
        <v>2</v>
      </c>
      <c r="P816" s="58">
        <v>44033</v>
      </c>
    </row>
    <row r="817" spans="1:17" x14ac:dyDescent="0.15">
      <c r="A817" s="51" t="s">
        <v>10</v>
      </c>
      <c r="B817" s="8"/>
      <c r="C817" s="10"/>
      <c r="D817" s="10">
        <v>1</v>
      </c>
      <c r="E817" s="10"/>
      <c r="F817" s="30"/>
      <c r="G817" s="7">
        <f t="shared" si="228"/>
        <v>1</v>
      </c>
      <c r="H817" s="58">
        <v>44091</v>
      </c>
      <c r="I817" s="16" t="s">
        <v>1345</v>
      </c>
      <c r="J817" s="8"/>
      <c r="K817" s="10"/>
      <c r="L817" s="10"/>
      <c r="M817" s="10"/>
      <c r="N817" s="30">
        <v>3</v>
      </c>
      <c r="O817" s="7">
        <f t="shared" si="229"/>
        <v>3</v>
      </c>
      <c r="P817" s="58">
        <v>44048</v>
      </c>
    </row>
    <row r="818" spans="1:17" x14ac:dyDescent="0.15">
      <c r="A818" s="51" t="s">
        <v>1358</v>
      </c>
      <c r="B818" s="8"/>
      <c r="C818" s="10"/>
      <c r="D818" s="10">
        <v>9</v>
      </c>
      <c r="E818" s="10">
        <v>5</v>
      </c>
      <c r="F818" s="30">
        <v>15</v>
      </c>
      <c r="G818" s="7">
        <f t="shared" si="228"/>
        <v>29</v>
      </c>
      <c r="H818" s="58">
        <v>44100</v>
      </c>
      <c r="I818" s="16" t="s">
        <v>10</v>
      </c>
      <c r="J818" s="8"/>
      <c r="K818" s="10"/>
      <c r="L818" s="10">
        <v>1</v>
      </c>
      <c r="M818" s="10"/>
      <c r="N818" s="30"/>
      <c r="O818" s="7">
        <f t="shared" si="229"/>
        <v>1</v>
      </c>
      <c r="P818" s="58">
        <v>44070</v>
      </c>
      <c r="Q818" s="56"/>
    </row>
    <row r="819" spans="1:17" x14ac:dyDescent="0.15">
      <c r="A819" s="51" t="s">
        <v>10</v>
      </c>
      <c r="B819" s="8">
        <v>2</v>
      </c>
      <c r="C819" s="10"/>
      <c r="D819" s="10"/>
      <c r="E819" s="10"/>
      <c r="F819" s="30"/>
      <c r="G819" s="7">
        <f t="shared" si="228"/>
        <v>2</v>
      </c>
      <c r="H819" s="58">
        <v>44103</v>
      </c>
      <c r="I819" s="16" t="s">
        <v>8</v>
      </c>
      <c r="J819" s="8">
        <v>10</v>
      </c>
      <c r="K819" s="10"/>
      <c r="L819" s="10"/>
      <c r="M819" s="10">
        <v>10</v>
      </c>
      <c r="N819" s="30"/>
      <c r="O819" s="7">
        <f t="shared" si="229"/>
        <v>20</v>
      </c>
      <c r="P819" s="58">
        <v>44091</v>
      </c>
    </row>
    <row r="820" spans="1:17" x14ac:dyDescent="0.15">
      <c r="A820" s="51" t="s">
        <v>117</v>
      </c>
      <c r="B820" s="8"/>
      <c r="C820" s="10">
        <v>1</v>
      </c>
      <c r="D820" s="10"/>
      <c r="E820" s="10"/>
      <c r="F820" s="30"/>
      <c r="G820" s="7">
        <f t="shared" si="228"/>
        <v>1</v>
      </c>
      <c r="H820" s="58">
        <v>44110</v>
      </c>
      <c r="I820" s="16" t="s">
        <v>8</v>
      </c>
      <c r="J820" s="8"/>
      <c r="K820" s="10">
        <v>10</v>
      </c>
      <c r="L820" s="10">
        <v>10</v>
      </c>
      <c r="M820" s="10"/>
      <c r="N820" s="30"/>
      <c r="O820" s="7">
        <f t="shared" si="229"/>
        <v>20</v>
      </c>
      <c r="P820" s="58">
        <v>44099</v>
      </c>
    </row>
    <row r="821" spans="1:17" x14ac:dyDescent="0.15">
      <c r="A821" s="51" t="s">
        <v>29</v>
      </c>
      <c r="B821" s="8">
        <v>1</v>
      </c>
      <c r="C821" s="10"/>
      <c r="D821" s="10">
        <v>1</v>
      </c>
      <c r="E821" s="10"/>
      <c r="F821" s="30"/>
      <c r="G821" s="7">
        <f t="shared" si="228"/>
        <v>2</v>
      </c>
      <c r="H821" s="58">
        <v>44110</v>
      </c>
      <c r="I821" s="16" t="s">
        <v>8</v>
      </c>
      <c r="J821" s="11"/>
      <c r="K821" s="100"/>
      <c r="L821" s="100"/>
      <c r="M821" s="100"/>
      <c r="N821" s="109">
        <v>10</v>
      </c>
      <c r="O821" s="9">
        <f t="shared" si="229"/>
        <v>10</v>
      </c>
      <c r="P821" s="58">
        <v>44103</v>
      </c>
    </row>
    <row r="822" spans="1:17" x14ac:dyDescent="0.15">
      <c r="A822" s="51" t="s">
        <v>1368</v>
      </c>
      <c r="B822" s="8"/>
      <c r="C822" s="10"/>
      <c r="D822" s="10">
        <v>-5</v>
      </c>
      <c r="E822" s="10"/>
      <c r="F822" s="30"/>
      <c r="G822" s="7">
        <f t="shared" si="228"/>
        <v>-5</v>
      </c>
      <c r="H822" s="58">
        <v>44113</v>
      </c>
      <c r="I822" s="16" t="s">
        <v>24</v>
      </c>
      <c r="J822" s="11"/>
      <c r="K822" s="12"/>
      <c r="L822" s="12">
        <v>5</v>
      </c>
      <c r="M822" s="12"/>
      <c r="N822" s="31"/>
      <c r="O822" s="7">
        <f t="shared" si="229"/>
        <v>5</v>
      </c>
      <c r="P822" s="58">
        <v>44113</v>
      </c>
    </row>
    <row r="823" spans="1:17" x14ac:dyDescent="0.15">
      <c r="A823" s="16" t="s">
        <v>1370</v>
      </c>
      <c r="B823" s="11">
        <v>-1</v>
      </c>
      <c r="C823" s="12"/>
      <c r="D823" s="12"/>
      <c r="E823" s="12"/>
      <c r="F823" s="31"/>
      <c r="G823" s="7">
        <f t="shared" si="228"/>
        <v>-1</v>
      </c>
      <c r="H823" s="58">
        <v>44116</v>
      </c>
      <c r="I823" s="16" t="s">
        <v>1372</v>
      </c>
      <c r="J823" s="8"/>
      <c r="K823" s="10"/>
      <c r="L823" s="10"/>
      <c r="M823" s="10">
        <v>1</v>
      </c>
      <c r="N823" s="30"/>
      <c r="O823" s="7">
        <f t="shared" si="229"/>
        <v>1</v>
      </c>
      <c r="P823" s="58">
        <v>44119</v>
      </c>
    </row>
    <row r="824" spans="1:17" x14ac:dyDescent="0.15">
      <c r="A824" s="51" t="s">
        <v>117</v>
      </c>
      <c r="B824" s="8">
        <v>1</v>
      </c>
      <c r="C824" s="10"/>
      <c r="D824" s="10">
        <v>1</v>
      </c>
      <c r="E824" s="10"/>
      <c r="F824" s="30"/>
      <c r="G824" s="7">
        <f t="shared" si="228"/>
        <v>2</v>
      </c>
      <c r="H824" s="58">
        <v>44117</v>
      </c>
      <c r="I824" s="194" t="s">
        <v>10</v>
      </c>
      <c r="J824" s="158">
        <v>2</v>
      </c>
      <c r="K824" s="159"/>
      <c r="L824" s="159">
        <v>1</v>
      </c>
      <c r="M824" s="159"/>
      <c r="N824" s="160"/>
      <c r="O824" s="161">
        <f t="shared" si="229"/>
        <v>3</v>
      </c>
      <c r="P824" s="162">
        <v>44138</v>
      </c>
    </row>
    <row r="825" spans="1:17" x14ac:dyDescent="0.15">
      <c r="A825" s="16" t="s">
        <v>1380</v>
      </c>
      <c r="B825" s="8">
        <v>-1</v>
      </c>
      <c r="C825" s="10"/>
      <c r="D825" s="10"/>
      <c r="E825" s="10"/>
      <c r="F825" s="30"/>
      <c r="G825" s="7">
        <f t="shared" si="228"/>
        <v>-1</v>
      </c>
      <c r="H825" s="58">
        <v>44125</v>
      </c>
      <c r="I825" s="16" t="s">
        <v>10</v>
      </c>
      <c r="J825" s="8"/>
      <c r="K825" s="10">
        <v>2</v>
      </c>
      <c r="L825" s="10">
        <v>2</v>
      </c>
      <c r="M825" s="10">
        <v>1</v>
      </c>
      <c r="N825" s="30"/>
      <c r="O825" s="7">
        <f t="shared" si="229"/>
        <v>5</v>
      </c>
      <c r="P825" s="58">
        <v>44145</v>
      </c>
    </row>
    <row r="826" spans="1:17" x14ac:dyDescent="0.15">
      <c r="A826" s="16" t="s">
        <v>1384</v>
      </c>
      <c r="B826" s="8">
        <v>1</v>
      </c>
      <c r="C826" s="10">
        <v>1</v>
      </c>
      <c r="D826" s="10">
        <v>1</v>
      </c>
      <c r="E826" s="10">
        <v>1</v>
      </c>
      <c r="F826" s="30">
        <v>1</v>
      </c>
      <c r="G826" s="7">
        <f t="shared" si="228"/>
        <v>5</v>
      </c>
      <c r="H826" s="58">
        <v>44141</v>
      </c>
      <c r="I826" s="16" t="s">
        <v>10</v>
      </c>
      <c r="J826" s="11"/>
      <c r="K826" s="12">
        <v>1</v>
      </c>
      <c r="L826" s="12">
        <v>2</v>
      </c>
      <c r="M826" s="12"/>
      <c r="N826" s="31"/>
      <c r="O826" s="7">
        <f t="shared" si="229"/>
        <v>3</v>
      </c>
      <c r="P826" s="58">
        <v>44147</v>
      </c>
      <c r="Q826" s="56"/>
    </row>
    <row r="827" spans="1:17" x14ac:dyDescent="0.15">
      <c r="A827" s="16" t="s">
        <v>25</v>
      </c>
      <c r="B827" s="8">
        <v>1</v>
      </c>
      <c r="C827" s="10"/>
      <c r="D827" s="10"/>
      <c r="E827" s="10"/>
      <c r="F827" s="30">
        <v>1</v>
      </c>
      <c r="G827" s="7">
        <f t="shared" si="228"/>
        <v>2</v>
      </c>
      <c r="H827" s="58">
        <v>44146</v>
      </c>
      <c r="I827" s="16" t="s">
        <v>10</v>
      </c>
      <c r="J827" s="8"/>
      <c r="K827" s="10">
        <v>1</v>
      </c>
      <c r="L827" s="10"/>
      <c r="M827" s="10">
        <v>2</v>
      </c>
      <c r="N827" s="30"/>
      <c r="O827" s="7">
        <f t="shared" si="229"/>
        <v>3</v>
      </c>
      <c r="P827" s="58">
        <v>44149</v>
      </c>
      <c r="Q827" s="56"/>
    </row>
    <row r="828" spans="1:17" x14ac:dyDescent="0.15">
      <c r="A828" s="16" t="s">
        <v>25</v>
      </c>
      <c r="B828" s="8">
        <v>1</v>
      </c>
      <c r="C828" s="10">
        <v>1</v>
      </c>
      <c r="D828" s="10"/>
      <c r="E828" s="10">
        <v>1</v>
      </c>
      <c r="F828" s="30"/>
      <c r="G828" s="7">
        <f t="shared" si="228"/>
        <v>3</v>
      </c>
      <c r="H828" s="58">
        <v>44161</v>
      </c>
      <c r="I828" s="16" t="s">
        <v>10</v>
      </c>
      <c r="J828" s="8">
        <v>2</v>
      </c>
      <c r="K828" s="10">
        <v>2</v>
      </c>
      <c r="L828" s="10"/>
      <c r="M828" s="10"/>
      <c r="N828" s="30">
        <v>2</v>
      </c>
      <c r="O828" s="7">
        <f t="shared" si="229"/>
        <v>6</v>
      </c>
      <c r="P828" s="58">
        <v>44152</v>
      </c>
      <c r="Q828" s="56"/>
    </row>
    <row r="829" spans="1:17" x14ac:dyDescent="0.15">
      <c r="A829" s="15" t="s">
        <v>17</v>
      </c>
      <c r="B829" s="8"/>
      <c r="C829" s="10"/>
      <c r="D829" s="10">
        <v>-1</v>
      </c>
      <c r="E829" s="10"/>
      <c r="F829" s="30"/>
      <c r="G829" s="7">
        <f t="shared" si="228"/>
        <v>-1</v>
      </c>
      <c r="H829" s="58">
        <v>44161</v>
      </c>
      <c r="I829" s="16" t="s">
        <v>10</v>
      </c>
      <c r="J829" s="11"/>
      <c r="K829" s="12">
        <v>2</v>
      </c>
      <c r="L829" s="12"/>
      <c r="M829" s="12"/>
      <c r="N829" s="31">
        <v>2</v>
      </c>
      <c r="O829" s="7">
        <f t="shared" si="229"/>
        <v>4</v>
      </c>
      <c r="P829" s="58">
        <v>44153</v>
      </c>
      <c r="Q829" s="56"/>
    </row>
    <row r="830" spans="1:17" x14ac:dyDescent="0.15">
      <c r="A830" s="16" t="s">
        <v>25</v>
      </c>
      <c r="B830" s="8">
        <v>1</v>
      </c>
      <c r="C830" s="10"/>
      <c r="D830" s="10"/>
      <c r="E830" s="10">
        <v>1</v>
      </c>
      <c r="F830" s="30"/>
      <c r="G830" s="7">
        <f t="shared" si="228"/>
        <v>2</v>
      </c>
      <c r="H830" s="58">
        <v>44163</v>
      </c>
      <c r="I830" s="16" t="s">
        <v>10</v>
      </c>
      <c r="J830" s="11"/>
      <c r="K830" s="12"/>
      <c r="L830" s="12">
        <v>2</v>
      </c>
      <c r="M830" s="12">
        <v>1</v>
      </c>
      <c r="N830" s="31"/>
      <c r="O830" s="7">
        <f t="shared" si="229"/>
        <v>3</v>
      </c>
      <c r="P830" s="58">
        <v>44155</v>
      </c>
      <c r="Q830" s="56"/>
    </row>
    <row r="831" spans="1:17" x14ac:dyDescent="0.15">
      <c r="A831" s="16" t="s">
        <v>25</v>
      </c>
      <c r="B831" s="8"/>
      <c r="C831" s="10"/>
      <c r="D831" s="10"/>
      <c r="E831" s="10">
        <v>1</v>
      </c>
      <c r="F831" s="30"/>
      <c r="G831" s="7">
        <f t="shared" si="228"/>
        <v>1</v>
      </c>
      <c r="H831" s="58">
        <v>44167</v>
      </c>
      <c r="I831" s="16" t="s">
        <v>10</v>
      </c>
      <c r="J831" s="11"/>
      <c r="K831" s="12">
        <v>1</v>
      </c>
      <c r="L831" s="12"/>
      <c r="M831" s="12">
        <v>2</v>
      </c>
      <c r="N831" s="31"/>
      <c r="O831" s="7">
        <f t="shared" si="229"/>
        <v>3</v>
      </c>
      <c r="P831" s="58">
        <v>44166</v>
      </c>
      <c r="Q831" s="56"/>
    </row>
    <row r="832" spans="1:17" x14ac:dyDescent="0.15">
      <c r="A832" s="16" t="s">
        <v>25</v>
      </c>
      <c r="B832" s="8"/>
      <c r="C832" s="10">
        <v>1</v>
      </c>
      <c r="D832" s="10"/>
      <c r="E832" s="10"/>
      <c r="F832" s="30"/>
      <c r="G832" s="7">
        <f t="shared" si="228"/>
        <v>1</v>
      </c>
      <c r="H832" s="58">
        <v>44169</v>
      </c>
      <c r="I832" s="16" t="s">
        <v>8</v>
      </c>
      <c r="J832" s="11">
        <v>10</v>
      </c>
      <c r="K832" s="12"/>
      <c r="L832" s="12">
        <v>10</v>
      </c>
      <c r="M832" s="12">
        <v>10</v>
      </c>
      <c r="N832" s="31">
        <v>10</v>
      </c>
      <c r="O832" s="7">
        <f t="shared" si="229"/>
        <v>40</v>
      </c>
      <c r="P832" s="58">
        <v>44169</v>
      </c>
      <c r="Q832" s="56"/>
    </row>
    <row r="833" spans="1:18" x14ac:dyDescent="0.15">
      <c r="A833" s="16" t="s">
        <v>1395</v>
      </c>
      <c r="B833" s="8">
        <v>-3</v>
      </c>
      <c r="C833" s="10"/>
      <c r="D833" s="10"/>
      <c r="E833" s="10">
        <v>-3</v>
      </c>
      <c r="F833" s="30"/>
      <c r="G833" s="9">
        <f t="shared" si="228"/>
        <v>-6</v>
      </c>
      <c r="H833" s="58">
        <v>44170</v>
      </c>
      <c r="I833" s="16" t="s">
        <v>10</v>
      </c>
      <c r="J833" s="11"/>
      <c r="K833" s="12">
        <v>1</v>
      </c>
      <c r="L833" s="12"/>
      <c r="M833" s="12"/>
      <c r="N833" s="31">
        <v>2</v>
      </c>
      <c r="O833" s="7">
        <f t="shared" si="229"/>
        <v>3</v>
      </c>
      <c r="P833" s="58">
        <v>44168</v>
      </c>
    </row>
    <row r="834" spans="1:18" x14ac:dyDescent="0.15">
      <c r="A834" s="16" t="s">
        <v>10</v>
      </c>
      <c r="B834" s="37"/>
      <c r="C834" s="35">
        <v>1</v>
      </c>
      <c r="D834" s="35">
        <v>1</v>
      </c>
      <c r="E834" s="35"/>
      <c r="F834" s="28"/>
      <c r="G834" s="7">
        <f t="shared" si="228"/>
        <v>2</v>
      </c>
      <c r="H834" s="58">
        <v>44173</v>
      </c>
      <c r="I834" s="16" t="s">
        <v>24</v>
      </c>
      <c r="J834" s="11">
        <v>3</v>
      </c>
      <c r="K834" s="12"/>
      <c r="L834" s="12"/>
      <c r="M834" s="12">
        <v>3</v>
      </c>
      <c r="N834" s="31"/>
      <c r="O834" s="7">
        <f t="shared" si="229"/>
        <v>6</v>
      </c>
      <c r="P834" s="58">
        <v>44170</v>
      </c>
      <c r="Q834" s="56"/>
    </row>
    <row r="835" spans="1:18" x14ac:dyDescent="0.15">
      <c r="A835" s="16" t="s">
        <v>10</v>
      </c>
      <c r="B835" s="37"/>
      <c r="C835" s="35"/>
      <c r="D835" s="35">
        <v>1</v>
      </c>
      <c r="E835" s="35"/>
      <c r="F835" s="28"/>
      <c r="G835" s="7">
        <f t="shared" si="228"/>
        <v>1</v>
      </c>
      <c r="H835" s="58">
        <v>44174</v>
      </c>
      <c r="I835" s="16"/>
      <c r="J835" s="11"/>
      <c r="K835" s="12"/>
      <c r="L835" s="12"/>
      <c r="M835" s="12"/>
      <c r="N835" s="31"/>
      <c r="O835" s="7">
        <f t="shared" ref="O835" si="230">SUM(J835:N835)</f>
        <v>0</v>
      </c>
      <c r="P835" s="58"/>
      <c r="Q835" s="56"/>
    </row>
    <row r="836" spans="1:18" x14ac:dyDescent="0.15">
      <c r="A836" s="16"/>
      <c r="B836" s="8"/>
      <c r="C836" s="10"/>
      <c r="D836" s="10"/>
      <c r="E836" s="10"/>
      <c r="F836" s="30"/>
      <c r="G836" s="7">
        <f t="shared" si="228"/>
        <v>0</v>
      </c>
      <c r="H836" s="58"/>
      <c r="I836" s="16" t="s">
        <v>1376</v>
      </c>
      <c r="J836" s="11"/>
      <c r="K836" s="12"/>
      <c r="L836" s="12"/>
      <c r="M836" s="12"/>
      <c r="N836" s="31"/>
      <c r="O836" s="7">
        <f t="shared" ref="O836:O838" si="231">SUM(J836:N836)</f>
        <v>0</v>
      </c>
      <c r="P836" s="58" t="s">
        <v>1375</v>
      </c>
      <c r="Q836" s="56"/>
    </row>
    <row r="837" spans="1:18" x14ac:dyDescent="0.15">
      <c r="A837" s="16"/>
      <c r="B837" s="8"/>
      <c r="C837" s="10"/>
      <c r="D837" s="10"/>
      <c r="E837" s="10"/>
      <c r="F837" s="30"/>
      <c r="G837" s="9">
        <f t="shared" si="228"/>
        <v>0</v>
      </c>
      <c r="H837" s="58"/>
      <c r="I837" s="16" t="s">
        <v>1362</v>
      </c>
      <c r="J837" s="11"/>
      <c r="K837" s="12"/>
      <c r="L837" s="12"/>
      <c r="M837" s="12"/>
      <c r="N837" s="31"/>
      <c r="O837" s="7">
        <f t="shared" si="231"/>
        <v>0</v>
      </c>
      <c r="P837" s="58" t="s">
        <v>1363</v>
      </c>
      <c r="Q837" s="56"/>
      <c r="R837" s="56"/>
    </row>
    <row r="838" spans="1:18" ht="14.25" thickBot="1" x14ac:dyDescent="0.2">
      <c r="A838" s="51"/>
      <c r="B838" s="37"/>
      <c r="C838" s="35"/>
      <c r="D838" s="35"/>
      <c r="E838" s="35"/>
      <c r="F838" s="28"/>
      <c r="G838" s="7">
        <f t="shared" si="228"/>
        <v>0</v>
      </c>
      <c r="H838" s="58"/>
      <c r="I838" s="14" t="s">
        <v>1296</v>
      </c>
      <c r="J838" s="11"/>
      <c r="K838" s="12"/>
      <c r="L838" s="12"/>
      <c r="M838" s="12"/>
      <c r="N838" s="31"/>
      <c r="O838" s="7">
        <f t="shared" si="231"/>
        <v>0</v>
      </c>
      <c r="P838" s="56" t="s">
        <v>1293</v>
      </c>
      <c r="Q838" s="56"/>
      <c r="R838" s="56"/>
    </row>
    <row r="839" spans="1:18" ht="14.25" thickBot="1" x14ac:dyDescent="0.2">
      <c r="A839" s="3" t="s">
        <v>11</v>
      </c>
      <c r="B839" s="23">
        <f>SUM(B813:B838)</f>
        <v>5</v>
      </c>
      <c r="C839" s="4">
        <f>SUM(C813:C838)</f>
        <v>10</v>
      </c>
      <c r="D839" s="4">
        <f>SUM(D813:D838)</f>
        <v>14</v>
      </c>
      <c r="E839" s="6">
        <f>SUM(E813:E838)</f>
        <v>14</v>
      </c>
      <c r="F839" s="32">
        <f>SUM(F813:F838)</f>
        <v>17</v>
      </c>
      <c r="G839" s="5">
        <f>SUM(B839:F839)</f>
        <v>60</v>
      </c>
      <c r="H839" s="56"/>
      <c r="I839" s="3" t="s">
        <v>11</v>
      </c>
      <c r="J839" s="23">
        <f>SUM(J813:J838)</f>
        <v>28</v>
      </c>
      <c r="K839" s="4">
        <f>SUM(K813:K838)</f>
        <v>20</v>
      </c>
      <c r="L839" s="4">
        <f>SUM(L813:L838)</f>
        <v>34</v>
      </c>
      <c r="M839" s="6">
        <f>SUM(M813:M838)</f>
        <v>32</v>
      </c>
      <c r="N839" s="32">
        <f>SUM(N813:N838)</f>
        <v>39</v>
      </c>
      <c r="O839" s="5">
        <f>SUM(J839:N839)</f>
        <v>153</v>
      </c>
    </row>
    <row r="840" spans="1:18" ht="14.25" thickBot="1" x14ac:dyDescent="0.2">
      <c r="A840" s="25" t="s">
        <v>12</v>
      </c>
      <c r="B840" s="63">
        <f>B812-B839</f>
        <v>2</v>
      </c>
      <c r="C840" s="26">
        <f t="shared" ref="C840:G840" si="232">C812-C839</f>
        <v>5</v>
      </c>
      <c r="D840" s="71">
        <f t="shared" si="232"/>
        <v>4</v>
      </c>
      <c r="E840" s="26">
        <f t="shared" si="232"/>
        <v>4</v>
      </c>
      <c r="F840" s="70">
        <f t="shared" si="232"/>
        <v>5</v>
      </c>
      <c r="G840" s="27">
        <f t="shared" si="232"/>
        <v>20</v>
      </c>
      <c r="H840" s="56"/>
      <c r="I840" s="25" t="s">
        <v>12</v>
      </c>
      <c r="J840" s="63">
        <f t="shared" ref="J840:O840" si="233">J812-J839</f>
        <v>224</v>
      </c>
      <c r="K840" s="26">
        <f t="shared" si="233"/>
        <v>216</v>
      </c>
      <c r="L840" s="71">
        <f t="shared" si="233"/>
        <v>193</v>
      </c>
      <c r="M840" s="26">
        <f t="shared" si="233"/>
        <v>175</v>
      </c>
      <c r="N840" s="70">
        <f t="shared" si="233"/>
        <v>198</v>
      </c>
      <c r="O840" s="27">
        <f t="shared" si="233"/>
        <v>1006</v>
      </c>
    </row>
    <row r="841" spans="1:18" ht="21" x14ac:dyDescent="0.2">
      <c r="A841" s="86" t="s">
        <v>413</v>
      </c>
      <c r="B841" s="87"/>
      <c r="C841" s="87"/>
      <c r="D841" s="87"/>
      <c r="E841" s="87"/>
      <c r="F841" s="87"/>
      <c r="G841" s="87"/>
      <c r="H841" s="56"/>
      <c r="I841" s="86" t="s">
        <v>413</v>
      </c>
      <c r="J841" s="87"/>
      <c r="K841" s="87"/>
      <c r="L841" s="87"/>
      <c r="M841" s="87"/>
      <c r="N841" s="87"/>
      <c r="O841" s="87"/>
    </row>
    <row r="842" spans="1:18" ht="21.75" thickBot="1" x14ac:dyDescent="0.25">
      <c r="A842" s="86" t="s">
        <v>51</v>
      </c>
      <c r="B842" s="87"/>
      <c r="C842" s="87"/>
      <c r="D842" s="87"/>
      <c r="E842" s="85"/>
      <c r="F842" s="88" t="s">
        <v>53</v>
      </c>
      <c r="G842" s="87"/>
      <c r="H842" s="56"/>
      <c r="I842" s="86" t="s">
        <v>51</v>
      </c>
      <c r="J842" s="87"/>
      <c r="K842" s="87"/>
      <c r="L842" s="87"/>
      <c r="M842" s="89"/>
      <c r="N842" s="88" t="s">
        <v>54</v>
      </c>
      <c r="O842" s="87"/>
    </row>
    <row r="843" spans="1:18" ht="14.25" thickBot="1" x14ac:dyDescent="0.2">
      <c r="A843" s="13" t="s">
        <v>0</v>
      </c>
      <c r="B843" s="228" t="s">
        <v>52</v>
      </c>
      <c r="C843" s="229"/>
      <c r="D843" s="229"/>
      <c r="E843" s="229"/>
      <c r="F843" s="230"/>
      <c r="G843" s="231"/>
      <c r="H843" s="56"/>
      <c r="I843" s="13" t="s">
        <v>0</v>
      </c>
      <c r="J843" s="228" t="s">
        <v>52</v>
      </c>
      <c r="K843" s="229"/>
      <c r="L843" s="229"/>
      <c r="M843" s="229"/>
      <c r="N843" s="230"/>
      <c r="O843" s="231"/>
    </row>
    <row r="844" spans="1:18" ht="14.25" thickBot="1" x14ac:dyDescent="0.2">
      <c r="A844" s="3" t="s">
        <v>1</v>
      </c>
      <c r="B844" s="2" t="s">
        <v>42</v>
      </c>
      <c r="C844" s="21" t="s">
        <v>43</v>
      </c>
      <c r="D844" s="21" t="s">
        <v>44</v>
      </c>
      <c r="E844" s="24" t="s">
        <v>45</v>
      </c>
      <c r="F844" s="33" t="s">
        <v>46</v>
      </c>
      <c r="G844" s="3" t="s">
        <v>2</v>
      </c>
      <c r="H844" s="56"/>
      <c r="I844" s="3" t="s">
        <v>1</v>
      </c>
      <c r="J844" s="41" t="s">
        <v>42</v>
      </c>
      <c r="K844" s="42" t="s">
        <v>43</v>
      </c>
      <c r="L844" s="42" t="s">
        <v>44</v>
      </c>
      <c r="M844" s="43" t="s">
        <v>45</v>
      </c>
      <c r="N844" s="44" t="s">
        <v>46</v>
      </c>
      <c r="O844" s="3" t="s">
        <v>2</v>
      </c>
    </row>
    <row r="845" spans="1:18" x14ac:dyDescent="0.15">
      <c r="A845" s="96" t="s">
        <v>13</v>
      </c>
      <c r="B845" s="95">
        <f>B840</f>
        <v>2</v>
      </c>
      <c r="C845" s="97">
        <f t="shared" ref="C845:F845" si="234">C840</f>
        <v>5</v>
      </c>
      <c r="D845" s="97">
        <f t="shared" si="234"/>
        <v>4</v>
      </c>
      <c r="E845" s="97">
        <f t="shared" si="234"/>
        <v>4</v>
      </c>
      <c r="F845" s="139">
        <f t="shared" si="234"/>
        <v>5</v>
      </c>
      <c r="G845" s="52">
        <f t="shared" ref="G845:G853" si="235">SUM(B845:F845)</f>
        <v>20</v>
      </c>
      <c r="H845" s="56"/>
      <c r="I845" s="96" t="s">
        <v>13</v>
      </c>
      <c r="J845" s="95">
        <f>J840</f>
        <v>224</v>
      </c>
      <c r="K845" s="97">
        <f t="shared" ref="K845:N845" si="236">K840</f>
        <v>216</v>
      </c>
      <c r="L845" s="97">
        <f t="shared" si="236"/>
        <v>193</v>
      </c>
      <c r="M845" s="97">
        <f t="shared" si="236"/>
        <v>175</v>
      </c>
      <c r="N845" s="139">
        <f t="shared" si="236"/>
        <v>198</v>
      </c>
      <c r="O845" s="52">
        <f t="shared" ref="O845:O847" si="237">SUM(J845:N845)</f>
        <v>1006</v>
      </c>
    </row>
    <row r="846" spans="1:18" x14ac:dyDescent="0.15">
      <c r="A846" s="15" t="s">
        <v>17</v>
      </c>
      <c r="B846" s="8"/>
      <c r="C846" s="10"/>
      <c r="D846" s="10"/>
      <c r="E846" s="10"/>
      <c r="F846" s="104">
        <v>1</v>
      </c>
      <c r="G846" s="9">
        <f t="shared" si="235"/>
        <v>1</v>
      </c>
      <c r="H846" s="58">
        <v>44174</v>
      </c>
      <c r="I846" s="15" t="s">
        <v>9</v>
      </c>
      <c r="J846" s="8"/>
      <c r="K846" s="10"/>
      <c r="L846" s="10"/>
      <c r="M846" s="10">
        <v>1</v>
      </c>
      <c r="N846" s="30">
        <v>1</v>
      </c>
      <c r="O846" s="7">
        <f t="shared" si="237"/>
        <v>2</v>
      </c>
      <c r="P846" s="58">
        <v>44239</v>
      </c>
    </row>
    <row r="847" spans="1:18" x14ac:dyDescent="0.15">
      <c r="A847" s="15" t="s">
        <v>1005</v>
      </c>
      <c r="B847" s="8"/>
      <c r="C847" s="10">
        <v>1</v>
      </c>
      <c r="D847" s="10"/>
      <c r="E847" s="10"/>
      <c r="F847" s="104"/>
      <c r="G847" s="9">
        <f t="shared" si="235"/>
        <v>1</v>
      </c>
      <c r="H847" s="58">
        <v>44188</v>
      </c>
      <c r="I847" s="15" t="s">
        <v>9</v>
      </c>
      <c r="J847" s="8">
        <v>1</v>
      </c>
      <c r="K847" s="45">
        <v>1</v>
      </c>
      <c r="L847" s="45"/>
      <c r="M847" s="45">
        <v>2</v>
      </c>
      <c r="N847" s="46">
        <v>1</v>
      </c>
      <c r="O847" s="7">
        <f t="shared" si="237"/>
        <v>5</v>
      </c>
      <c r="P847" s="58">
        <v>44345</v>
      </c>
    </row>
    <row r="848" spans="1:18" x14ac:dyDescent="0.15">
      <c r="A848" s="15" t="s">
        <v>17</v>
      </c>
      <c r="B848" s="8"/>
      <c r="C848" s="10"/>
      <c r="D848" s="10">
        <v>1</v>
      </c>
      <c r="E848" s="10"/>
      <c r="F848" s="104"/>
      <c r="G848" s="9">
        <f t="shared" si="235"/>
        <v>1</v>
      </c>
      <c r="H848" s="58">
        <v>44189</v>
      </c>
      <c r="I848" s="15" t="s">
        <v>5</v>
      </c>
      <c r="J848" s="8"/>
      <c r="K848" s="45"/>
      <c r="L848" s="45"/>
      <c r="M848" s="45"/>
      <c r="N848" s="46"/>
      <c r="O848" s="9">
        <f t="shared" ref="O848:O853" si="238">SUM(J848:N848)</f>
        <v>0</v>
      </c>
      <c r="P848" s="58"/>
    </row>
    <row r="849" spans="1:19" x14ac:dyDescent="0.15">
      <c r="A849" s="15" t="s">
        <v>17</v>
      </c>
      <c r="B849" s="11"/>
      <c r="C849" s="12">
        <v>1</v>
      </c>
      <c r="D849" s="12"/>
      <c r="E849" s="12"/>
      <c r="F849" s="108"/>
      <c r="G849" s="9">
        <f t="shared" si="235"/>
        <v>1</v>
      </c>
      <c r="H849" s="58">
        <v>44210</v>
      </c>
      <c r="I849" s="15" t="s">
        <v>6</v>
      </c>
      <c r="J849" s="8"/>
      <c r="K849" s="45"/>
      <c r="L849" s="45"/>
      <c r="M849" s="45"/>
      <c r="N849" s="46"/>
      <c r="O849" s="9">
        <f t="shared" si="238"/>
        <v>0</v>
      </c>
      <c r="P849" s="56"/>
    </row>
    <row r="850" spans="1:19" x14ac:dyDescent="0.15">
      <c r="A850" s="15" t="s">
        <v>19</v>
      </c>
      <c r="B850" s="8">
        <v>1</v>
      </c>
      <c r="C850" s="10"/>
      <c r="D850" s="10"/>
      <c r="E850" s="10"/>
      <c r="F850" s="30">
        <v>1</v>
      </c>
      <c r="G850" s="7">
        <f t="shared" si="235"/>
        <v>2</v>
      </c>
      <c r="H850" s="58">
        <v>44214</v>
      </c>
      <c r="I850" s="15" t="s">
        <v>84</v>
      </c>
      <c r="J850" s="8"/>
      <c r="K850" s="45"/>
      <c r="L850" s="45"/>
      <c r="M850" s="45"/>
      <c r="N850" s="46"/>
      <c r="O850" s="7">
        <f t="shared" si="238"/>
        <v>0</v>
      </c>
    </row>
    <row r="851" spans="1:19" x14ac:dyDescent="0.15">
      <c r="A851" s="15" t="s">
        <v>19</v>
      </c>
      <c r="B851" s="8">
        <v>1</v>
      </c>
      <c r="C851" s="10"/>
      <c r="D851" s="10"/>
      <c r="E851" s="10"/>
      <c r="F851" s="30">
        <v>1</v>
      </c>
      <c r="G851" s="7">
        <f t="shared" si="235"/>
        <v>2</v>
      </c>
      <c r="H851" s="58">
        <v>44251</v>
      </c>
      <c r="I851" s="15" t="s">
        <v>85</v>
      </c>
      <c r="J851" s="8"/>
      <c r="K851" s="45"/>
      <c r="L851" s="45"/>
      <c r="M851" s="45"/>
      <c r="N851" s="46"/>
      <c r="O851" s="7">
        <f t="shared" si="238"/>
        <v>0</v>
      </c>
    </row>
    <row r="852" spans="1:19" x14ac:dyDescent="0.15">
      <c r="A852" s="15" t="s">
        <v>324</v>
      </c>
      <c r="B852" s="8"/>
      <c r="C852" s="45"/>
      <c r="D852" s="45"/>
      <c r="E852" s="45">
        <v>1</v>
      </c>
      <c r="F852" s="46"/>
      <c r="G852" s="102">
        <f t="shared" si="235"/>
        <v>1</v>
      </c>
      <c r="H852" s="58">
        <v>44253</v>
      </c>
      <c r="I852" s="15" t="s">
        <v>86</v>
      </c>
      <c r="J852" s="8"/>
      <c r="K852" s="45"/>
      <c r="L852" s="45"/>
      <c r="M852" s="45"/>
      <c r="N852" s="46"/>
      <c r="O852" s="102">
        <f t="shared" si="238"/>
        <v>0</v>
      </c>
    </row>
    <row r="853" spans="1:19" ht="14.25" thickBot="1" x14ac:dyDescent="0.2">
      <c r="A853" s="15" t="s">
        <v>157</v>
      </c>
      <c r="B853" s="11">
        <v>1</v>
      </c>
      <c r="C853" s="100"/>
      <c r="D853" s="100"/>
      <c r="E853" s="100"/>
      <c r="F853" s="109"/>
      <c r="G853" s="40">
        <f t="shared" si="235"/>
        <v>1</v>
      </c>
      <c r="H853" s="58">
        <v>44267</v>
      </c>
      <c r="I853" s="15" t="s">
        <v>87</v>
      </c>
      <c r="J853" s="47"/>
      <c r="K853" s="48"/>
      <c r="L853" s="48"/>
      <c r="M853" s="48"/>
      <c r="N853" s="49"/>
      <c r="O853" s="40">
        <f t="shared" si="238"/>
        <v>0</v>
      </c>
    </row>
    <row r="854" spans="1:19" ht="14.25" thickBot="1" x14ac:dyDescent="0.2">
      <c r="A854" s="72" t="s">
        <v>7</v>
      </c>
      <c r="B854" s="73">
        <f>SUM(B845:B853)</f>
        <v>5</v>
      </c>
      <c r="C854" s="74">
        <f t="shared" ref="C854:G854" si="239">SUM(C845:C853)</f>
        <v>7</v>
      </c>
      <c r="D854" s="74">
        <f t="shared" si="239"/>
        <v>5</v>
      </c>
      <c r="E854" s="74">
        <f t="shared" si="239"/>
        <v>5</v>
      </c>
      <c r="F854" s="105">
        <f t="shared" si="239"/>
        <v>8</v>
      </c>
      <c r="G854" s="76">
        <f t="shared" si="239"/>
        <v>30</v>
      </c>
      <c r="H854" s="56"/>
      <c r="I854" s="72" t="s">
        <v>7</v>
      </c>
      <c r="J854" s="73">
        <f>SUM(J845:J853)</f>
        <v>225</v>
      </c>
      <c r="K854" s="74">
        <f t="shared" ref="K854:O854" si="240">SUM(K845:K853)</f>
        <v>217</v>
      </c>
      <c r="L854" s="74">
        <f t="shared" si="240"/>
        <v>193</v>
      </c>
      <c r="M854" s="74">
        <f t="shared" si="240"/>
        <v>178</v>
      </c>
      <c r="N854" s="105">
        <f t="shared" si="240"/>
        <v>200</v>
      </c>
      <c r="O854" s="76">
        <f t="shared" si="240"/>
        <v>1013</v>
      </c>
    </row>
    <row r="855" spans="1:19" x14ac:dyDescent="0.15">
      <c r="A855" s="16" t="s">
        <v>10</v>
      </c>
      <c r="B855" s="8"/>
      <c r="C855" s="10"/>
      <c r="D855" s="10"/>
      <c r="E855" s="10">
        <v>1</v>
      </c>
      <c r="F855" s="30">
        <v>1</v>
      </c>
      <c r="G855" s="9">
        <f t="shared" ref="G855:G880" si="241">SUM(B855:F855)</f>
        <v>2</v>
      </c>
      <c r="H855" s="58">
        <v>44176</v>
      </c>
      <c r="I855" s="16" t="s">
        <v>10</v>
      </c>
      <c r="J855" s="17">
        <v>1</v>
      </c>
      <c r="K855" s="22"/>
      <c r="L855" s="22"/>
      <c r="M855" s="22"/>
      <c r="N855" s="29"/>
      <c r="O855" s="18">
        <f t="shared" ref="O855:O878" si="242">SUM(J855:N855)</f>
        <v>1</v>
      </c>
      <c r="P855" s="58">
        <v>44175</v>
      </c>
      <c r="Q855" s="56"/>
    </row>
    <row r="856" spans="1:19" x14ac:dyDescent="0.15">
      <c r="A856" s="51" t="s">
        <v>1397</v>
      </c>
      <c r="B856" s="8"/>
      <c r="C856" s="10">
        <v>1</v>
      </c>
      <c r="D856" s="10"/>
      <c r="E856" s="10"/>
      <c r="F856" s="30"/>
      <c r="G856" s="7">
        <f t="shared" si="241"/>
        <v>1</v>
      </c>
      <c r="H856" s="58">
        <v>44176</v>
      </c>
      <c r="I856" s="16" t="s">
        <v>10</v>
      </c>
      <c r="J856" s="8"/>
      <c r="K856" s="10">
        <v>1</v>
      </c>
      <c r="L856" s="10"/>
      <c r="M856" s="10"/>
      <c r="N856" s="30"/>
      <c r="O856" s="7">
        <f t="shared" si="242"/>
        <v>1</v>
      </c>
      <c r="P856" s="58">
        <v>44177</v>
      </c>
      <c r="Q856" s="56"/>
    </row>
    <row r="857" spans="1:19" x14ac:dyDescent="0.15">
      <c r="A857" s="51" t="s">
        <v>117</v>
      </c>
      <c r="B857" s="8"/>
      <c r="C857" s="10"/>
      <c r="D857" s="10">
        <v>1</v>
      </c>
      <c r="E857" s="10"/>
      <c r="F857" s="30"/>
      <c r="G857" s="7">
        <f t="shared" si="241"/>
        <v>1</v>
      </c>
      <c r="H857" s="58">
        <v>44181</v>
      </c>
      <c r="I857" s="16" t="s">
        <v>10</v>
      </c>
      <c r="J857" s="8"/>
      <c r="K857" s="10"/>
      <c r="L857" s="10">
        <v>1</v>
      </c>
      <c r="M857" s="10"/>
      <c r="N857" s="30"/>
      <c r="O857" s="7">
        <f t="shared" si="242"/>
        <v>1</v>
      </c>
      <c r="P857" s="58">
        <v>44181</v>
      </c>
      <c r="Q857" s="68"/>
    </row>
    <row r="858" spans="1:19" x14ac:dyDescent="0.15">
      <c r="A858" s="16" t="s">
        <v>10</v>
      </c>
      <c r="B858" s="8"/>
      <c r="C858" s="10"/>
      <c r="D858" s="10"/>
      <c r="E858" s="10">
        <v>1</v>
      </c>
      <c r="F858" s="30"/>
      <c r="G858" s="7">
        <f t="shared" si="241"/>
        <v>1</v>
      </c>
      <c r="H858" s="58">
        <v>44182</v>
      </c>
      <c r="I858" s="16" t="s">
        <v>1400</v>
      </c>
      <c r="J858" s="8"/>
      <c r="K858" s="10"/>
      <c r="L858" s="10">
        <v>2</v>
      </c>
      <c r="M858" s="10"/>
      <c r="N858" s="30"/>
      <c r="O858" s="7">
        <f t="shared" si="242"/>
        <v>2</v>
      </c>
      <c r="P858" s="58">
        <v>44210</v>
      </c>
      <c r="Q858" s="56"/>
    </row>
    <row r="859" spans="1:19" x14ac:dyDescent="0.15">
      <c r="A859" s="16" t="s">
        <v>10</v>
      </c>
      <c r="B859" s="8"/>
      <c r="C859" s="10">
        <v>1</v>
      </c>
      <c r="D859" s="10"/>
      <c r="E859" s="10"/>
      <c r="F859" s="30"/>
      <c r="G859" s="7">
        <f t="shared" si="241"/>
        <v>1</v>
      </c>
      <c r="H859" s="58">
        <v>44183</v>
      </c>
      <c r="I859" s="16" t="s">
        <v>8</v>
      </c>
      <c r="J859" s="8"/>
      <c r="K859" s="10"/>
      <c r="L859" s="10"/>
      <c r="M859" s="10"/>
      <c r="N859" s="30">
        <v>10</v>
      </c>
      <c r="O859" s="7">
        <f t="shared" si="242"/>
        <v>10</v>
      </c>
      <c r="P859" s="58">
        <v>44273</v>
      </c>
    </row>
    <row r="860" spans="1:19" x14ac:dyDescent="0.15">
      <c r="A860" s="16" t="s">
        <v>10</v>
      </c>
      <c r="B860" s="8"/>
      <c r="C860" s="10"/>
      <c r="D860" s="10"/>
      <c r="E860" s="10"/>
      <c r="F860" s="30">
        <v>1</v>
      </c>
      <c r="G860" s="7">
        <f t="shared" si="241"/>
        <v>1</v>
      </c>
      <c r="H860" s="58">
        <v>44188</v>
      </c>
      <c r="I860" s="16" t="s">
        <v>10</v>
      </c>
      <c r="J860" s="8"/>
      <c r="K860" s="10"/>
      <c r="L860" s="10"/>
      <c r="M860" s="10"/>
      <c r="N860" s="30">
        <v>1</v>
      </c>
      <c r="O860" s="7">
        <f t="shared" si="242"/>
        <v>1</v>
      </c>
      <c r="P860" s="58">
        <v>44282</v>
      </c>
      <c r="Q860" s="56"/>
    </row>
    <row r="861" spans="1:19" x14ac:dyDescent="0.15">
      <c r="A861" s="16" t="s">
        <v>10</v>
      </c>
      <c r="B861" s="8">
        <v>1</v>
      </c>
      <c r="C861" s="10"/>
      <c r="D861" s="10"/>
      <c r="E861" s="10"/>
      <c r="F861" s="30"/>
      <c r="G861" s="7">
        <f t="shared" si="241"/>
        <v>1</v>
      </c>
      <c r="H861" s="58">
        <v>44204</v>
      </c>
      <c r="I861" s="16" t="s">
        <v>8</v>
      </c>
      <c r="J861" s="8"/>
      <c r="K861" s="10"/>
      <c r="L861" s="10"/>
      <c r="M861" s="10">
        <v>10</v>
      </c>
      <c r="N861" s="30"/>
      <c r="O861" s="7">
        <f t="shared" si="242"/>
        <v>10</v>
      </c>
      <c r="P861" s="58">
        <v>44355</v>
      </c>
    </row>
    <row r="862" spans="1:19" x14ac:dyDescent="0.15">
      <c r="A862" s="16" t="s">
        <v>10</v>
      </c>
      <c r="B862" s="8"/>
      <c r="C862" s="10"/>
      <c r="D862" s="10"/>
      <c r="E862" s="10"/>
      <c r="F862" s="30">
        <v>1</v>
      </c>
      <c r="G862" s="7">
        <f t="shared" si="241"/>
        <v>1</v>
      </c>
      <c r="H862" s="58">
        <v>44216</v>
      </c>
      <c r="I862" s="15" t="s">
        <v>9</v>
      </c>
      <c r="J862" s="8">
        <v>3</v>
      </c>
      <c r="K862" s="10">
        <v>3</v>
      </c>
      <c r="L862" s="10"/>
      <c r="M862" s="10">
        <v>5</v>
      </c>
      <c r="N862" s="30">
        <v>3</v>
      </c>
      <c r="O862" s="7">
        <f t="shared" si="242"/>
        <v>14</v>
      </c>
      <c r="P862" s="58">
        <v>44352</v>
      </c>
      <c r="Q862" s="56"/>
      <c r="R862" s="56"/>
      <c r="S862" s="56"/>
    </row>
    <row r="863" spans="1:19" x14ac:dyDescent="0.15">
      <c r="A863" s="16" t="s">
        <v>25</v>
      </c>
      <c r="B863" s="8"/>
      <c r="C863" s="10"/>
      <c r="D863" s="10"/>
      <c r="E863" s="10"/>
      <c r="F863" s="30">
        <v>1</v>
      </c>
      <c r="G863" s="9">
        <f t="shared" si="241"/>
        <v>1</v>
      </c>
      <c r="H863" s="58">
        <v>44229</v>
      </c>
      <c r="I863" s="16" t="s">
        <v>8</v>
      </c>
      <c r="J863" s="11"/>
      <c r="K863" s="100"/>
      <c r="L863" s="100">
        <v>10</v>
      </c>
      <c r="M863" s="100"/>
      <c r="N863" s="109"/>
      <c r="O863" s="9">
        <f t="shared" si="242"/>
        <v>10</v>
      </c>
      <c r="P863" s="58">
        <v>44358</v>
      </c>
      <c r="Q863" s="56"/>
      <c r="R863" s="56"/>
      <c r="S863" s="56"/>
    </row>
    <row r="864" spans="1:19" x14ac:dyDescent="0.15">
      <c r="A864" s="51" t="s">
        <v>1403</v>
      </c>
      <c r="B864" s="8"/>
      <c r="C864" s="10"/>
      <c r="D864" s="10"/>
      <c r="E864" s="10">
        <v>1</v>
      </c>
      <c r="F864" s="30">
        <v>1</v>
      </c>
      <c r="G864" s="7">
        <f t="shared" si="241"/>
        <v>2</v>
      </c>
      <c r="H864" s="58">
        <v>44239</v>
      </c>
      <c r="I864" s="16" t="s">
        <v>9</v>
      </c>
      <c r="J864" s="8"/>
      <c r="K864" s="10"/>
      <c r="L864" s="10">
        <v>3</v>
      </c>
      <c r="M864" s="10"/>
      <c r="N864" s="59"/>
      <c r="O864" s="7">
        <f t="shared" si="242"/>
        <v>3</v>
      </c>
      <c r="P864" s="58">
        <v>44383</v>
      </c>
      <c r="Q864" s="56"/>
      <c r="R864" s="56"/>
      <c r="S864" s="56"/>
    </row>
    <row r="865" spans="1:19" x14ac:dyDescent="0.15">
      <c r="A865" s="16" t="s">
        <v>182</v>
      </c>
      <c r="B865" s="11"/>
      <c r="C865" s="12">
        <v>1</v>
      </c>
      <c r="D865" s="12"/>
      <c r="E865" s="12"/>
      <c r="F865" s="31"/>
      <c r="G865" s="7">
        <f t="shared" si="241"/>
        <v>1</v>
      </c>
      <c r="H865" s="58">
        <v>44245</v>
      </c>
      <c r="I865" s="16" t="s">
        <v>8</v>
      </c>
      <c r="J865" s="8"/>
      <c r="K865" s="10"/>
      <c r="L865" s="10"/>
      <c r="M865" s="10"/>
      <c r="N865" s="30">
        <v>5</v>
      </c>
      <c r="O865" s="7">
        <f t="shared" si="242"/>
        <v>5</v>
      </c>
      <c r="P865" s="58">
        <v>44393</v>
      </c>
      <c r="Q865" s="56"/>
      <c r="R865" s="56"/>
      <c r="S865" s="56"/>
    </row>
    <row r="866" spans="1:19" x14ac:dyDescent="0.15">
      <c r="A866" s="16" t="s">
        <v>25</v>
      </c>
      <c r="B866" s="8"/>
      <c r="C866" s="10"/>
      <c r="D866" s="10"/>
      <c r="E866" s="10"/>
      <c r="F866" s="30">
        <v>1</v>
      </c>
      <c r="G866" s="7">
        <f t="shared" si="241"/>
        <v>1</v>
      </c>
      <c r="H866" s="58">
        <v>44266</v>
      </c>
      <c r="I866" s="16" t="s">
        <v>1438</v>
      </c>
      <c r="J866" s="8"/>
      <c r="K866" s="10"/>
      <c r="L866" s="10"/>
      <c r="M866" s="10">
        <v>1</v>
      </c>
      <c r="N866" s="30"/>
      <c r="O866" s="7">
        <f t="shared" si="242"/>
        <v>1</v>
      </c>
      <c r="P866" s="58">
        <v>44404</v>
      </c>
      <c r="Q866" s="56"/>
      <c r="R866" s="56"/>
      <c r="S866" s="56"/>
    </row>
    <row r="867" spans="1:19" x14ac:dyDescent="0.15">
      <c r="A867" s="16" t="s">
        <v>1412</v>
      </c>
      <c r="B867" s="8">
        <v>1</v>
      </c>
      <c r="C867" s="10"/>
      <c r="D867" s="10"/>
      <c r="E867" s="10"/>
      <c r="F867" s="30"/>
      <c r="G867" s="7">
        <f t="shared" si="241"/>
        <v>1</v>
      </c>
      <c r="H867" s="58">
        <v>44280</v>
      </c>
      <c r="I867" s="16" t="s">
        <v>8</v>
      </c>
      <c r="J867" s="8"/>
      <c r="K867" s="10">
        <v>5</v>
      </c>
      <c r="L867" s="10"/>
      <c r="M867" s="10"/>
      <c r="N867" s="30"/>
      <c r="O867" s="7">
        <f t="shared" si="242"/>
        <v>5</v>
      </c>
      <c r="P867" s="58">
        <v>44414</v>
      </c>
      <c r="Q867" s="56"/>
      <c r="R867" s="56"/>
      <c r="S867" s="56"/>
    </row>
    <row r="868" spans="1:19" x14ac:dyDescent="0.15">
      <c r="A868" s="16" t="s">
        <v>25</v>
      </c>
      <c r="B868" s="8"/>
      <c r="C868" s="10">
        <v>1</v>
      </c>
      <c r="D868" s="10"/>
      <c r="E868" s="10"/>
      <c r="F868" s="30"/>
      <c r="G868" s="7">
        <f t="shared" si="241"/>
        <v>1</v>
      </c>
      <c r="H868" s="58">
        <v>44294</v>
      </c>
      <c r="I868" s="16" t="s">
        <v>1441</v>
      </c>
      <c r="J868" s="11">
        <v>3</v>
      </c>
      <c r="K868" s="12">
        <v>3</v>
      </c>
      <c r="L868" s="12">
        <v>3</v>
      </c>
      <c r="M868" s="12">
        <v>3</v>
      </c>
      <c r="N868" s="31">
        <v>3</v>
      </c>
      <c r="O868" s="7">
        <f t="shared" si="242"/>
        <v>15</v>
      </c>
      <c r="P868" s="58">
        <v>44418</v>
      </c>
      <c r="Q868" s="56"/>
      <c r="R868" s="56"/>
      <c r="S868" s="56"/>
    </row>
    <row r="869" spans="1:19" x14ac:dyDescent="0.15">
      <c r="A869" s="16" t="s">
        <v>1417</v>
      </c>
      <c r="B869" s="8"/>
      <c r="C869" s="10">
        <v>-1</v>
      </c>
      <c r="D869" s="10"/>
      <c r="E869" s="10"/>
      <c r="F869" s="30"/>
      <c r="G869" s="7">
        <f t="shared" si="241"/>
        <v>-1</v>
      </c>
      <c r="H869" s="58">
        <v>44302</v>
      </c>
      <c r="I869" s="16"/>
      <c r="J869" s="8"/>
      <c r="K869" s="10"/>
      <c r="L869" s="10"/>
      <c r="M869" s="10"/>
      <c r="N869" s="30"/>
      <c r="O869" s="7">
        <f t="shared" si="242"/>
        <v>0</v>
      </c>
      <c r="P869" s="58"/>
      <c r="Q869" s="56"/>
      <c r="R869" s="56"/>
      <c r="S869" s="56"/>
    </row>
    <row r="870" spans="1:19" x14ac:dyDescent="0.15">
      <c r="A870" s="16" t="s">
        <v>25</v>
      </c>
      <c r="B870" s="8"/>
      <c r="C870" s="10"/>
      <c r="D870" s="10"/>
      <c r="E870" s="10">
        <v>1</v>
      </c>
      <c r="F870" s="30"/>
      <c r="G870" s="7">
        <f t="shared" si="241"/>
        <v>1</v>
      </c>
      <c r="H870" s="58">
        <v>44307</v>
      </c>
      <c r="I870" s="16"/>
      <c r="J870" s="8"/>
      <c r="K870" s="10"/>
      <c r="L870" s="10"/>
      <c r="M870" s="10"/>
      <c r="N870" s="30"/>
      <c r="O870" s="7">
        <f t="shared" si="242"/>
        <v>0</v>
      </c>
      <c r="P870" s="58"/>
      <c r="Q870" s="56"/>
      <c r="R870" s="56"/>
      <c r="S870" s="56"/>
    </row>
    <row r="871" spans="1:19" x14ac:dyDescent="0.15">
      <c r="A871" s="16" t="s">
        <v>117</v>
      </c>
      <c r="B871" s="8"/>
      <c r="C871" s="10">
        <v>1</v>
      </c>
      <c r="D871" s="10"/>
      <c r="E871" s="10"/>
      <c r="F871" s="30"/>
      <c r="G871" s="7">
        <f t="shared" si="241"/>
        <v>1</v>
      </c>
      <c r="H871" s="58">
        <v>44328</v>
      </c>
      <c r="I871" s="16"/>
      <c r="J871" s="11"/>
      <c r="K871" s="12"/>
      <c r="L871" s="12"/>
      <c r="M871" s="12"/>
      <c r="N871" s="31"/>
      <c r="O871" s="7">
        <f t="shared" si="242"/>
        <v>0</v>
      </c>
      <c r="P871" s="58"/>
      <c r="Q871" s="56"/>
      <c r="R871" s="56"/>
      <c r="S871" s="56"/>
    </row>
    <row r="872" spans="1:19" x14ac:dyDescent="0.15">
      <c r="A872" s="15" t="s">
        <v>19</v>
      </c>
      <c r="B872" s="8">
        <v>-1</v>
      </c>
      <c r="C872" s="10">
        <v>-1</v>
      </c>
      <c r="D872" s="10"/>
      <c r="E872" s="10">
        <v>-2</v>
      </c>
      <c r="F872" s="30">
        <v>-1</v>
      </c>
      <c r="G872" s="7">
        <f t="shared" si="241"/>
        <v>-5</v>
      </c>
      <c r="H872" s="58">
        <v>44340</v>
      </c>
      <c r="I872" s="16"/>
      <c r="J872" s="11"/>
      <c r="K872" s="12"/>
      <c r="L872" s="12"/>
      <c r="M872" s="12"/>
      <c r="N872" s="31"/>
      <c r="O872" s="7">
        <f t="shared" si="242"/>
        <v>0</v>
      </c>
      <c r="P872" s="58"/>
      <c r="Q872" s="56"/>
      <c r="R872" s="56"/>
      <c r="S872" s="56"/>
    </row>
    <row r="873" spans="1:19" x14ac:dyDescent="0.15">
      <c r="A873" s="16" t="s">
        <v>1420</v>
      </c>
      <c r="B873" s="8">
        <v>1</v>
      </c>
      <c r="C873" s="10">
        <v>1</v>
      </c>
      <c r="D873" s="10"/>
      <c r="E873" s="10">
        <v>2</v>
      </c>
      <c r="F873" s="30">
        <v>1</v>
      </c>
      <c r="G873" s="7">
        <f t="shared" si="241"/>
        <v>5</v>
      </c>
      <c r="H873" s="58">
        <v>44345</v>
      </c>
      <c r="I873" s="16"/>
      <c r="J873" s="11"/>
      <c r="K873" s="12"/>
      <c r="L873" s="12"/>
      <c r="M873" s="12"/>
      <c r="N873" s="31"/>
      <c r="O873" s="7">
        <f t="shared" si="242"/>
        <v>0</v>
      </c>
      <c r="P873" s="58"/>
      <c r="Q873" s="56"/>
      <c r="R873" s="56"/>
      <c r="S873" s="56"/>
    </row>
    <row r="874" spans="1:19" x14ac:dyDescent="0.15">
      <c r="A874" s="16" t="s">
        <v>28</v>
      </c>
      <c r="B874" s="8">
        <v>-3</v>
      </c>
      <c r="C874" s="10">
        <v>-3</v>
      </c>
      <c r="D874" s="10"/>
      <c r="E874" s="10">
        <v>-5</v>
      </c>
      <c r="F874" s="30">
        <v>-3</v>
      </c>
      <c r="G874" s="7">
        <f t="shared" si="241"/>
        <v>-14</v>
      </c>
      <c r="H874" s="58">
        <v>44352</v>
      </c>
      <c r="I874" s="16"/>
      <c r="J874" s="11"/>
      <c r="K874" s="12"/>
      <c r="L874" s="12"/>
      <c r="M874" s="12"/>
      <c r="N874" s="31"/>
      <c r="O874" s="7">
        <f t="shared" si="242"/>
        <v>0</v>
      </c>
      <c r="P874" s="58"/>
      <c r="Q874" s="56"/>
      <c r="R874" s="56"/>
      <c r="S874" s="56"/>
    </row>
    <row r="875" spans="1:19" x14ac:dyDescent="0.15">
      <c r="A875" s="16" t="s">
        <v>1425</v>
      </c>
      <c r="B875" s="8">
        <v>1</v>
      </c>
      <c r="C875" s="10"/>
      <c r="D875" s="10">
        <v>1</v>
      </c>
      <c r="E875" s="10"/>
      <c r="F875" s="30"/>
      <c r="G875" s="7">
        <f t="shared" si="241"/>
        <v>2</v>
      </c>
      <c r="H875" s="58">
        <v>44366</v>
      </c>
      <c r="I875" s="16"/>
      <c r="J875" s="11"/>
      <c r="K875" s="12"/>
      <c r="L875" s="12"/>
      <c r="M875" s="12"/>
      <c r="N875" s="31"/>
      <c r="O875" s="7">
        <f t="shared" si="242"/>
        <v>0</v>
      </c>
      <c r="P875" s="58"/>
      <c r="Q875" s="56"/>
      <c r="R875" s="56"/>
      <c r="S875" s="56"/>
    </row>
    <row r="876" spans="1:19" x14ac:dyDescent="0.15">
      <c r="A876" s="16" t="s">
        <v>28</v>
      </c>
      <c r="B876" s="8"/>
      <c r="C876" s="10"/>
      <c r="D876" s="10">
        <v>-3</v>
      </c>
      <c r="E876" s="10"/>
      <c r="F876" s="59"/>
      <c r="G876" s="7">
        <f t="shared" si="241"/>
        <v>-3</v>
      </c>
      <c r="H876" s="58">
        <v>44383</v>
      </c>
      <c r="I876" s="14"/>
      <c r="J876" s="11"/>
      <c r="K876" s="12"/>
      <c r="L876" s="12"/>
      <c r="M876" s="12"/>
      <c r="N876" s="31"/>
      <c r="O876" s="7">
        <f t="shared" si="242"/>
        <v>0</v>
      </c>
      <c r="P876" s="56"/>
      <c r="Q876" s="56"/>
      <c r="R876" s="56"/>
      <c r="S876" s="56"/>
    </row>
    <row r="877" spans="1:19" x14ac:dyDescent="0.15">
      <c r="A877" s="16" t="s">
        <v>29</v>
      </c>
      <c r="B877" s="37">
        <v>1</v>
      </c>
      <c r="C877" s="35"/>
      <c r="D877" s="35"/>
      <c r="E877" s="35"/>
      <c r="F877" s="28"/>
      <c r="G877" s="7">
        <f t="shared" si="241"/>
        <v>1</v>
      </c>
      <c r="H877" s="58">
        <v>44392</v>
      </c>
      <c r="I877" s="16"/>
      <c r="J877" s="11"/>
      <c r="K877" s="12"/>
      <c r="L877" s="12"/>
      <c r="M877" s="12"/>
      <c r="N877" s="31"/>
      <c r="O877" s="7">
        <f t="shared" si="242"/>
        <v>0</v>
      </c>
      <c r="P877" s="58"/>
      <c r="Q877" s="56"/>
      <c r="R877" s="56"/>
      <c r="S877" s="56"/>
    </row>
    <row r="878" spans="1:19" x14ac:dyDescent="0.15">
      <c r="A878" s="16" t="s">
        <v>29</v>
      </c>
      <c r="B878" s="8">
        <v>1</v>
      </c>
      <c r="C878" s="10"/>
      <c r="D878" s="10">
        <v>1</v>
      </c>
      <c r="E878" s="10"/>
      <c r="F878" s="30"/>
      <c r="G878" s="7">
        <f t="shared" si="241"/>
        <v>2</v>
      </c>
      <c r="H878" s="58">
        <v>44404</v>
      </c>
      <c r="I878" s="16"/>
      <c r="J878" s="11"/>
      <c r="K878" s="12"/>
      <c r="L878" s="12"/>
      <c r="M878" s="12"/>
      <c r="N878" s="31"/>
      <c r="O878" s="7">
        <f t="shared" si="242"/>
        <v>0</v>
      </c>
      <c r="P878" s="58"/>
      <c r="Q878" s="56"/>
      <c r="R878" s="56"/>
      <c r="S878" s="56"/>
    </row>
    <row r="879" spans="1:19" x14ac:dyDescent="0.15">
      <c r="A879" s="16" t="s">
        <v>117</v>
      </c>
      <c r="B879" s="8">
        <v>1</v>
      </c>
      <c r="C879" s="10"/>
      <c r="D879" s="10"/>
      <c r="E879" s="10"/>
      <c r="F879" s="30"/>
      <c r="G879" s="9">
        <f t="shared" si="241"/>
        <v>1</v>
      </c>
      <c r="H879" s="58">
        <v>44406</v>
      </c>
      <c r="I879" s="14"/>
      <c r="J879" s="11"/>
      <c r="K879" s="12"/>
      <c r="L879" s="12"/>
      <c r="M879" s="12"/>
      <c r="N879" s="31"/>
      <c r="O879" s="7">
        <f t="shared" ref="O879" si="243">SUM(J879:N879)</f>
        <v>0</v>
      </c>
      <c r="P879" s="56"/>
      <c r="Q879" s="56"/>
      <c r="R879" s="56"/>
      <c r="S879" s="56"/>
    </row>
    <row r="880" spans="1:19" ht="14.25" thickBot="1" x14ac:dyDescent="0.2">
      <c r="A880" s="16" t="s">
        <v>117</v>
      </c>
      <c r="B880" s="37"/>
      <c r="C880" s="35">
        <v>1</v>
      </c>
      <c r="D880" s="35"/>
      <c r="E880" s="35"/>
      <c r="F880" s="28"/>
      <c r="G880" s="7">
        <f t="shared" si="241"/>
        <v>1</v>
      </c>
      <c r="H880" s="58">
        <v>44436</v>
      </c>
      <c r="I880" s="14" t="s">
        <v>1337</v>
      </c>
      <c r="J880" s="11"/>
      <c r="K880" s="12"/>
      <c r="L880" s="12"/>
      <c r="M880" s="12"/>
      <c r="N880" s="31"/>
      <c r="O880" s="7">
        <f t="shared" ref="O880" si="244">SUM(J880:N880)</f>
        <v>0</v>
      </c>
      <c r="P880" s="56" t="s">
        <v>1335</v>
      </c>
      <c r="Q880" s="56"/>
      <c r="R880" s="56"/>
      <c r="S880" s="56"/>
    </row>
    <row r="881" spans="1:15" ht="14.25" thickBot="1" x14ac:dyDescent="0.2">
      <c r="A881" s="3" t="s">
        <v>11</v>
      </c>
      <c r="B881" s="23">
        <f>SUM(B855:B880)</f>
        <v>3</v>
      </c>
      <c r="C881" s="4">
        <f>SUM(C855:C880)</f>
        <v>2</v>
      </c>
      <c r="D881" s="4">
        <f>SUM(D855:D880)</f>
        <v>0</v>
      </c>
      <c r="E881" s="6">
        <f>SUM(E855:E880)</f>
        <v>-1</v>
      </c>
      <c r="F881" s="32">
        <f>SUM(F855:F880)</f>
        <v>3</v>
      </c>
      <c r="G881" s="5">
        <f>SUM(B881:F881)</f>
        <v>7</v>
      </c>
      <c r="H881" s="56"/>
      <c r="I881" s="3" t="s">
        <v>11</v>
      </c>
      <c r="J881" s="23">
        <f>SUM(J855:J880)</f>
        <v>7</v>
      </c>
      <c r="K881" s="4">
        <f>SUM(K855:K880)</f>
        <v>12</v>
      </c>
      <c r="L881" s="4">
        <f>SUM(L855:L880)</f>
        <v>19</v>
      </c>
      <c r="M881" s="6">
        <f>SUM(M855:M880)</f>
        <v>19</v>
      </c>
      <c r="N881" s="32">
        <f>SUM(N855:N880)</f>
        <v>22</v>
      </c>
      <c r="O881" s="5">
        <f>SUM(J881:N881)</f>
        <v>79</v>
      </c>
    </row>
    <row r="882" spans="1:15" ht="14.25" thickBot="1" x14ac:dyDescent="0.2">
      <c r="A882" s="25" t="s">
        <v>12</v>
      </c>
      <c r="B882" s="63">
        <f>B854-B881</f>
        <v>2</v>
      </c>
      <c r="C882" s="26">
        <f t="shared" ref="C882:G882" si="245">C854-C881</f>
        <v>5</v>
      </c>
      <c r="D882" s="71">
        <f t="shared" si="245"/>
        <v>5</v>
      </c>
      <c r="E882" s="26">
        <f t="shared" si="245"/>
        <v>6</v>
      </c>
      <c r="F882" s="70">
        <f t="shared" si="245"/>
        <v>5</v>
      </c>
      <c r="G882" s="27">
        <f t="shared" si="245"/>
        <v>23</v>
      </c>
      <c r="H882" s="56"/>
      <c r="I882" s="25" t="s">
        <v>12</v>
      </c>
      <c r="J882" s="63">
        <f t="shared" ref="J882:O882" si="246">J854-J881</f>
        <v>218</v>
      </c>
      <c r="K882" s="26">
        <f t="shared" si="246"/>
        <v>205</v>
      </c>
      <c r="L882" s="71">
        <f t="shared" si="246"/>
        <v>174</v>
      </c>
      <c r="M882" s="26">
        <f t="shared" si="246"/>
        <v>159</v>
      </c>
      <c r="N882" s="70">
        <f t="shared" si="246"/>
        <v>178</v>
      </c>
      <c r="O882" s="27">
        <f t="shared" si="246"/>
        <v>934</v>
      </c>
    </row>
    <row r="883" spans="1:15" ht="21" x14ac:dyDescent="0.2">
      <c r="A883" s="86" t="s">
        <v>413</v>
      </c>
      <c r="B883" s="87"/>
      <c r="C883" s="87"/>
      <c r="D883" s="87"/>
      <c r="E883" s="87"/>
      <c r="F883" s="87"/>
      <c r="G883" s="87"/>
      <c r="H883" s="56"/>
      <c r="I883" s="86" t="s">
        <v>413</v>
      </c>
      <c r="J883" s="87"/>
      <c r="K883" s="87"/>
      <c r="L883" s="87"/>
      <c r="M883" s="87"/>
      <c r="N883" s="87"/>
      <c r="O883" s="87"/>
    </row>
    <row r="884" spans="1:15" ht="21.75" thickBot="1" x14ac:dyDescent="0.25">
      <c r="A884" s="86" t="s">
        <v>51</v>
      </c>
      <c r="B884" s="87"/>
      <c r="C884" s="87"/>
      <c r="D884" s="87"/>
      <c r="E884" s="85"/>
      <c r="F884" s="88" t="s">
        <v>53</v>
      </c>
      <c r="G884" s="87"/>
      <c r="H884" s="56"/>
      <c r="I884" s="86" t="s">
        <v>51</v>
      </c>
      <c r="J884" s="87"/>
      <c r="K884" s="87"/>
      <c r="L884" s="87"/>
      <c r="M884" s="89"/>
      <c r="N884" s="88" t="s">
        <v>54</v>
      </c>
      <c r="O884" s="87"/>
    </row>
    <row r="885" spans="1:15" ht="14.25" thickBot="1" x14ac:dyDescent="0.2">
      <c r="A885" s="13" t="s">
        <v>0</v>
      </c>
      <c r="B885" s="228" t="s">
        <v>52</v>
      </c>
      <c r="C885" s="229"/>
      <c r="D885" s="229"/>
      <c r="E885" s="229"/>
      <c r="F885" s="230"/>
      <c r="G885" s="231"/>
      <c r="H885" s="56"/>
      <c r="I885" s="13" t="s">
        <v>0</v>
      </c>
      <c r="J885" s="228" t="s">
        <v>52</v>
      </c>
      <c r="K885" s="229"/>
      <c r="L885" s="229"/>
      <c r="M885" s="229"/>
      <c r="N885" s="230"/>
      <c r="O885" s="231"/>
    </row>
    <row r="886" spans="1:15" ht="14.25" thickBot="1" x14ac:dyDescent="0.2">
      <c r="A886" s="3" t="s">
        <v>1</v>
      </c>
      <c r="B886" s="2" t="s">
        <v>42</v>
      </c>
      <c r="C886" s="21" t="s">
        <v>43</v>
      </c>
      <c r="D886" s="21" t="s">
        <v>44</v>
      </c>
      <c r="E886" s="24" t="s">
        <v>45</v>
      </c>
      <c r="F886" s="33" t="s">
        <v>46</v>
      </c>
      <c r="G886" s="3" t="s">
        <v>2</v>
      </c>
      <c r="H886" s="56"/>
      <c r="I886" s="3" t="s">
        <v>1</v>
      </c>
      <c r="J886" s="41" t="s">
        <v>42</v>
      </c>
      <c r="K886" s="42" t="s">
        <v>43</v>
      </c>
      <c r="L886" s="42" t="s">
        <v>44</v>
      </c>
      <c r="M886" s="43" t="s">
        <v>45</v>
      </c>
      <c r="N886" s="44" t="s">
        <v>46</v>
      </c>
      <c r="O886" s="3" t="s">
        <v>2</v>
      </c>
    </row>
    <row r="887" spans="1:15" x14ac:dyDescent="0.15">
      <c r="A887" s="96" t="s">
        <v>13</v>
      </c>
      <c r="B887" s="95">
        <f>B882</f>
        <v>2</v>
      </c>
      <c r="C887" s="97">
        <f t="shared" ref="C887:F887" si="247">C882</f>
        <v>5</v>
      </c>
      <c r="D887" s="97">
        <f t="shared" si="247"/>
        <v>5</v>
      </c>
      <c r="E887" s="97">
        <f t="shared" si="247"/>
        <v>6</v>
      </c>
      <c r="F887" s="139">
        <f t="shared" si="247"/>
        <v>5</v>
      </c>
      <c r="G887" s="52">
        <f t="shared" ref="G887:G895" si="248">SUM(B887:F887)</f>
        <v>23</v>
      </c>
      <c r="H887" s="56"/>
      <c r="I887" s="96" t="s">
        <v>13</v>
      </c>
      <c r="J887" s="95">
        <f>J882</f>
        <v>218</v>
      </c>
      <c r="K887" s="97">
        <f t="shared" ref="K887:N887" si="249">K882</f>
        <v>205</v>
      </c>
      <c r="L887" s="97">
        <f t="shared" si="249"/>
        <v>174</v>
      </c>
      <c r="M887" s="97">
        <f t="shared" si="249"/>
        <v>159</v>
      </c>
      <c r="N887" s="139">
        <f t="shared" si="249"/>
        <v>178</v>
      </c>
      <c r="O887" s="52">
        <f t="shared" ref="O887:O895" si="250">SUM(J887:N887)</f>
        <v>934</v>
      </c>
    </row>
    <row r="888" spans="1:15" x14ac:dyDescent="0.15">
      <c r="A888" s="15" t="s">
        <v>1005</v>
      </c>
      <c r="B888" s="8"/>
      <c r="C888" s="10"/>
      <c r="D888" s="10">
        <v>1</v>
      </c>
      <c r="E888" s="10">
        <v>1</v>
      </c>
      <c r="F888" s="104"/>
      <c r="G888" s="9">
        <f t="shared" si="248"/>
        <v>2</v>
      </c>
      <c r="H888" s="58">
        <v>44460</v>
      </c>
      <c r="I888" s="15" t="s">
        <v>3</v>
      </c>
      <c r="J888" s="8"/>
      <c r="K888" s="10"/>
      <c r="L888" s="10"/>
      <c r="M888" s="10"/>
      <c r="N888" s="30"/>
      <c r="O888" s="7">
        <f t="shared" si="250"/>
        <v>0</v>
      </c>
    </row>
    <row r="889" spans="1:15" x14ac:dyDescent="0.15">
      <c r="A889" s="15" t="s">
        <v>27</v>
      </c>
      <c r="B889" s="8">
        <v>3</v>
      </c>
      <c r="C889" s="10"/>
      <c r="D889" s="10">
        <v>3</v>
      </c>
      <c r="E889" s="10"/>
      <c r="F889" s="104">
        <v>3</v>
      </c>
      <c r="G889" s="9">
        <f t="shared" si="248"/>
        <v>9</v>
      </c>
      <c r="H889" s="58">
        <v>44490</v>
      </c>
      <c r="I889" s="15" t="s">
        <v>4</v>
      </c>
      <c r="J889" s="8"/>
      <c r="K889" s="45"/>
      <c r="L889" s="45"/>
      <c r="M889" s="45"/>
      <c r="N889" s="46"/>
      <c r="O889" s="7">
        <f t="shared" si="250"/>
        <v>0</v>
      </c>
    </row>
    <row r="890" spans="1:15" x14ac:dyDescent="0.15">
      <c r="A890" s="15" t="s">
        <v>19</v>
      </c>
      <c r="B890" s="8">
        <v>5</v>
      </c>
      <c r="C890" s="10"/>
      <c r="D890" s="10"/>
      <c r="E890" s="10"/>
      <c r="F890" s="104"/>
      <c r="G890" s="9">
        <f t="shared" si="248"/>
        <v>5</v>
      </c>
      <c r="H890" s="58">
        <v>44554</v>
      </c>
      <c r="I890" s="15" t="s">
        <v>5</v>
      </c>
      <c r="J890" s="8"/>
      <c r="K890" s="45"/>
      <c r="L890" s="45"/>
      <c r="M890" s="45"/>
      <c r="N890" s="46"/>
      <c r="O890" s="9">
        <f t="shared" si="250"/>
        <v>0</v>
      </c>
    </row>
    <row r="891" spans="1:15" x14ac:dyDescent="0.15">
      <c r="A891" s="15" t="s">
        <v>27</v>
      </c>
      <c r="B891" s="11"/>
      <c r="C891" s="12"/>
      <c r="D891" s="12"/>
      <c r="E891" s="12">
        <v>3</v>
      </c>
      <c r="F891" s="108"/>
      <c r="G891" s="9">
        <f t="shared" si="248"/>
        <v>3</v>
      </c>
      <c r="H891" s="58">
        <v>44699</v>
      </c>
      <c r="I891" s="15" t="s">
        <v>6</v>
      </c>
      <c r="J891" s="8"/>
      <c r="K891" s="45"/>
      <c r="L891" s="45"/>
      <c r="M891" s="45"/>
      <c r="N891" s="46"/>
      <c r="O891" s="9">
        <f t="shared" si="250"/>
        <v>0</v>
      </c>
    </row>
    <row r="892" spans="1:15" x14ac:dyDescent="0.15">
      <c r="A892" s="15" t="s">
        <v>27</v>
      </c>
      <c r="B892" s="8"/>
      <c r="C892" s="10"/>
      <c r="D892" s="10">
        <v>3</v>
      </c>
      <c r="E892" s="10"/>
      <c r="F892" s="30"/>
      <c r="G892" s="7">
        <f t="shared" si="248"/>
        <v>3</v>
      </c>
      <c r="H892" s="58">
        <v>44705</v>
      </c>
      <c r="I892" s="15" t="s">
        <v>84</v>
      </c>
      <c r="J892" s="8"/>
      <c r="K892" s="45"/>
      <c r="L892" s="45"/>
      <c r="M892" s="45"/>
      <c r="N892" s="46"/>
      <c r="O892" s="7">
        <f t="shared" si="250"/>
        <v>0</v>
      </c>
    </row>
    <row r="893" spans="1:15" x14ac:dyDescent="0.15">
      <c r="A893" s="15" t="s">
        <v>27</v>
      </c>
      <c r="B893" s="8"/>
      <c r="C893" s="10">
        <v>3</v>
      </c>
      <c r="D893" s="10"/>
      <c r="E893" s="10"/>
      <c r="F893" s="30"/>
      <c r="G893" s="7">
        <f t="shared" si="248"/>
        <v>3</v>
      </c>
      <c r="H893" s="58">
        <v>44770</v>
      </c>
      <c r="I893" s="15" t="s">
        <v>85</v>
      </c>
      <c r="J893" s="8"/>
      <c r="K893" s="45"/>
      <c r="L893" s="45"/>
      <c r="M893" s="45"/>
      <c r="N893" s="46"/>
      <c r="O893" s="7">
        <f t="shared" si="250"/>
        <v>0</v>
      </c>
    </row>
    <row r="894" spans="1:15" x14ac:dyDescent="0.15">
      <c r="A894" s="15" t="s">
        <v>183</v>
      </c>
      <c r="B894" s="8">
        <v>1</v>
      </c>
      <c r="C894" s="45">
        <v>1</v>
      </c>
      <c r="D894" s="45">
        <v>2</v>
      </c>
      <c r="E894" s="45">
        <v>3</v>
      </c>
      <c r="F894" s="46"/>
      <c r="G894" s="102">
        <f t="shared" si="248"/>
        <v>7</v>
      </c>
      <c r="H894" s="58">
        <v>44776</v>
      </c>
      <c r="I894" s="15" t="s">
        <v>86</v>
      </c>
      <c r="J894" s="8"/>
      <c r="K894" s="45"/>
      <c r="L894" s="45"/>
      <c r="M894" s="45"/>
      <c r="N894" s="46"/>
      <c r="O894" s="102">
        <f t="shared" si="250"/>
        <v>0</v>
      </c>
    </row>
    <row r="895" spans="1:15" ht="14.25" thickBot="1" x14ac:dyDescent="0.2">
      <c r="A895" s="175" t="s">
        <v>1470</v>
      </c>
      <c r="B895" s="186">
        <v>0</v>
      </c>
      <c r="C895" s="187">
        <v>0</v>
      </c>
      <c r="D895" s="187">
        <v>0</v>
      </c>
      <c r="E895" s="187">
        <v>0</v>
      </c>
      <c r="F895" s="188">
        <v>0</v>
      </c>
      <c r="G895" s="189">
        <f t="shared" si="248"/>
        <v>0</v>
      </c>
      <c r="H895" s="180">
        <v>44797</v>
      </c>
      <c r="I895" s="15" t="s">
        <v>1348</v>
      </c>
      <c r="J895" s="47"/>
      <c r="K895" s="48"/>
      <c r="L895" s="48">
        <v>-5</v>
      </c>
      <c r="M895" s="48">
        <v>-5</v>
      </c>
      <c r="N895" s="49"/>
      <c r="O895" s="40">
        <f t="shared" si="250"/>
        <v>-10</v>
      </c>
    </row>
    <row r="896" spans="1:15" ht="14.25" thickBot="1" x14ac:dyDescent="0.2">
      <c r="A896" s="72" t="s">
        <v>7</v>
      </c>
      <c r="B896" s="73">
        <f>SUM(B887:B895)</f>
        <v>11</v>
      </c>
      <c r="C896" s="74">
        <f t="shared" ref="C896:G896" si="251">SUM(C887:C895)</f>
        <v>9</v>
      </c>
      <c r="D896" s="74">
        <f t="shared" si="251"/>
        <v>14</v>
      </c>
      <c r="E896" s="74">
        <f t="shared" si="251"/>
        <v>13</v>
      </c>
      <c r="F896" s="105">
        <f t="shared" si="251"/>
        <v>8</v>
      </c>
      <c r="G896" s="76">
        <f t="shared" si="251"/>
        <v>55</v>
      </c>
      <c r="H896" s="56"/>
      <c r="I896" s="72" t="s">
        <v>7</v>
      </c>
      <c r="J896" s="73">
        <f>SUM(J887:J895)</f>
        <v>218</v>
      </c>
      <c r="K896" s="74">
        <f t="shared" ref="K896:O896" si="252">SUM(K887:K895)</f>
        <v>205</v>
      </c>
      <c r="L896" s="74">
        <f t="shared" si="252"/>
        <v>169</v>
      </c>
      <c r="M896" s="74">
        <f t="shared" si="252"/>
        <v>154</v>
      </c>
      <c r="N896" s="105">
        <f t="shared" si="252"/>
        <v>178</v>
      </c>
      <c r="O896" s="76">
        <f t="shared" si="252"/>
        <v>924</v>
      </c>
    </row>
    <row r="897" spans="1:18" x14ac:dyDescent="0.15">
      <c r="A897" s="16" t="s">
        <v>29</v>
      </c>
      <c r="B897" s="8">
        <v>1</v>
      </c>
      <c r="C897" s="10"/>
      <c r="D897" s="10"/>
      <c r="E897" s="10"/>
      <c r="F897" s="30"/>
      <c r="G897" s="9">
        <f t="shared" ref="G897:G922" si="253">SUM(B897:F897)</f>
        <v>1</v>
      </c>
      <c r="H897" s="58">
        <v>44438</v>
      </c>
      <c r="I897" s="16" t="s">
        <v>8</v>
      </c>
      <c r="J897" s="17"/>
      <c r="K897" s="22">
        <v>5</v>
      </c>
      <c r="L897" s="22"/>
      <c r="M897" s="22"/>
      <c r="N897" s="29"/>
      <c r="O897" s="18">
        <f t="shared" ref="O897:O922" si="254">SUM(J897:N897)</f>
        <v>5</v>
      </c>
      <c r="P897" s="58">
        <v>44467</v>
      </c>
    </row>
    <row r="898" spans="1:18" x14ac:dyDescent="0.15">
      <c r="A898" s="16" t="s">
        <v>117</v>
      </c>
      <c r="B898" s="8"/>
      <c r="C898" s="10">
        <v>1</v>
      </c>
      <c r="D898" s="10">
        <v>1</v>
      </c>
      <c r="E898" s="10">
        <v>1</v>
      </c>
      <c r="F898" s="30"/>
      <c r="G898" s="7">
        <f t="shared" si="253"/>
        <v>3</v>
      </c>
      <c r="H898" s="58">
        <v>44446</v>
      </c>
      <c r="I898" s="16" t="s">
        <v>8</v>
      </c>
      <c r="J898" s="8"/>
      <c r="K898" s="10"/>
      <c r="L898" s="10"/>
      <c r="M898" s="10">
        <v>10</v>
      </c>
      <c r="N898" s="30">
        <v>10</v>
      </c>
      <c r="O898" s="7">
        <f t="shared" si="254"/>
        <v>20</v>
      </c>
      <c r="P898" s="58">
        <v>44491</v>
      </c>
    </row>
    <row r="899" spans="1:18" x14ac:dyDescent="0.15">
      <c r="A899" s="16" t="s">
        <v>29</v>
      </c>
      <c r="B899" s="8"/>
      <c r="C899" s="10"/>
      <c r="D899" s="10">
        <v>1</v>
      </c>
      <c r="E899" s="10"/>
      <c r="F899" s="30"/>
      <c r="G899" s="7">
        <f t="shared" si="253"/>
        <v>1</v>
      </c>
      <c r="H899" s="58">
        <v>44445</v>
      </c>
      <c r="I899" s="15" t="s">
        <v>9</v>
      </c>
      <c r="J899" s="8">
        <v>3</v>
      </c>
      <c r="K899" s="10"/>
      <c r="L899" s="10">
        <v>3</v>
      </c>
      <c r="M899" s="10"/>
      <c r="N899" s="104">
        <v>3</v>
      </c>
      <c r="O899" s="9">
        <f t="shared" si="254"/>
        <v>9</v>
      </c>
      <c r="P899" s="58">
        <v>44490</v>
      </c>
    </row>
    <row r="900" spans="1:18" x14ac:dyDescent="0.15">
      <c r="A900" s="16" t="s">
        <v>117</v>
      </c>
      <c r="B900" s="8"/>
      <c r="C900" s="10"/>
      <c r="D900" s="10"/>
      <c r="E900" s="10"/>
      <c r="F900" s="30">
        <v>1</v>
      </c>
      <c r="G900" s="7">
        <f t="shared" si="253"/>
        <v>1</v>
      </c>
      <c r="H900" s="58">
        <v>44450</v>
      </c>
      <c r="I900" s="16" t="s">
        <v>8</v>
      </c>
      <c r="J900" s="8">
        <v>10</v>
      </c>
      <c r="K900" s="10">
        <v>10</v>
      </c>
      <c r="L900" s="10"/>
      <c r="M900" s="10"/>
      <c r="N900" s="30"/>
      <c r="O900" s="7">
        <f t="shared" si="254"/>
        <v>20</v>
      </c>
      <c r="P900" s="58">
        <v>44508</v>
      </c>
    </row>
    <row r="901" spans="1:18" x14ac:dyDescent="0.15">
      <c r="A901" s="16" t="s">
        <v>117</v>
      </c>
      <c r="B901" s="8"/>
      <c r="C901" s="10"/>
      <c r="D901" s="10">
        <v>1</v>
      </c>
      <c r="E901" s="10"/>
      <c r="F901" s="30">
        <v>1</v>
      </c>
      <c r="G901" s="7">
        <f t="shared" si="253"/>
        <v>2</v>
      </c>
      <c r="H901" s="58">
        <v>44453</v>
      </c>
      <c r="I901" s="16" t="s">
        <v>8</v>
      </c>
      <c r="J901" s="8"/>
      <c r="K901" s="10"/>
      <c r="L901" s="10">
        <v>10</v>
      </c>
      <c r="M901" s="10"/>
      <c r="N901" s="30"/>
      <c r="O901" s="7">
        <f t="shared" si="254"/>
        <v>10</v>
      </c>
      <c r="P901" s="58">
        <v>44529</v>
      </c>
    </row>
    <row r="902" spans="1:18" x14ac:dyDescent="0.15">
      <c r="A902" s="16" t="s">
        <v>117</v>
      </c>
      <c r="B902" s="8"/>
      <c r="C902" s="10"/>
      <c r="D902" s="10"/>
      <c r="E902" s="10"/>
      <c r="F902" s="30">
        <v>1</v>
      </c>
      <c r="G902" s="7">
        <f t="shared" si="253"/>
        <v>1</v>
      </c>
      <c r="H902" s="58">
        <v>44491</v>
      </c>
      <c r="I902" s="16" t="s">
        <v>8</v>
      </c>
      <c r="J902" s="8"/>
      <c r="K902" s="10"/>
      <c r="L902" s="10"/>
      <c r="M902" s="10">
        <v>10</v>
      </c>
      <c r="N902" s="30"/>
      <c r="O902" s="7">
        <f t="shared" si="254"/>
        <v>10</v>
      </c>
      <c r="P902" s="58">
        <v>44550</v>
      </c>
    </row>
    <row r="903" spans="1:18" x14ac:dyDescent="0.15">
      <c r="A903" s="16" t="s">
        <v>29</v>
      </c>
      <c r="B903" s="8">
        <v>1</v>
      </c>
      <c r="C903" s="10"/>
      <c r="D903" s="10"/>
      <c r="E903" s="10"/>
      <c r="F903" s="30"/>
      <c r="G903" s="7">
        <f t="shared" si="253"/>
        <v>1</v>
      </c>
      <c r="H903" s="58">
        <v>44522</v>
      </c>
      <c r="I903" s="16" t="s">
        <v>8</v>
      </c>
      <c r="J903" s="8"/>
      <c r="K903" s="10"/>
      <c r="L903" s="10"/>
      <c r="M903" s="10"/>
      <c r="N903" s="30">
        <v>10</v>
      </c>
      <c r="O903" s="7">
        <f t="shared" si="254"/>
        <v>10</v>
      </c>
      <c r="P903" s="58">
        <v>44554</v>
      </c>
    </row>
    <row r="904" spans="1:18" x14ac:dyDescent="0.15">
      <c r="A904" s="16" t="s">
        <v>117</v>
      </c>
      <c r="B904" s="8"/>
      <c r="C904" s="10"/>
      <c r="D904" s="10">
        <v>1</v>
      </c>
      <c r="E904" s="10"/>
      <c r="F904" s="30"/>
      <c r="G904" s="7">
        <f t="shared" si="253"/>
        <v>1</v>
      </c>
      <c r="H904" s="58">
        <v>44558</v>
      </c>
      <c r="I904" s="16" t="s">
        <v>117</v>
      </c>
      <c r="J904" s="8"/>
      <c r="K904" s="10"/>
      <c r="L904" s="10"/>
      <c r="M904" s="10"/>
      <c r="N904" s="30">
        <v>1</v>
      </c>
      <c r="O904" s="7">
        <f t="shared" si="254"/>
        <v>1</v>
      </c>
      <c r="P904" s="58">
        <v>44617</v>
      </c>
    </row>
    <row r="905" spans="1:18" x14ac:dyDescent="0.15">
      <c r="A905" s="16" t="s">
        <v>117</v>
      </c>
      <c r="B905" s="8"/>
      <c r="C905" s="10"/>
      <c r="D905" s="10"/>
      <c r="E905" s="10">
        <v>1</v>
      </c>
      <c r="F905" s="30"/>
      <c r="G905" s="7">
        <f t="shared" si="253"/>
        <v>1</v>
      </c>
      <c r="H905" s="58">
        <v>44596</v>
      </c>
      <c r="I905" s="16" t="s">
        <v>8</v>
      </c>
      <c r="J905" s="11"/>
      <c r="K905" s="100"/>
      <c r="L905" s="100">
        <v>10</v>
      </c>
      <c r="M905" s="100"/>
      <c r="N905" s="109"/>
      <c r="O905" s="9">
        <f t="shared" si="254"/>
        <v>10</v>
      </c>
      <c r="P905" s="58">
        <v>44659</v>
      </c>
    </row>
    <row r="906" spans="1:18" x14ac:dyDescent="0.15">
      <c r="A906" s="16" t="s">
        <v>29</v>
      </c>
      <c r="B906" s="8"/>
      <c r="C906" s="10"/>
      <c r="D906" s="10"/>
      <c r="E906" s="10">
        <v>1</v>
      </c>
      <c r="F906" s="30"/>
      <c r="G906" s="7">
        <f t="shared" si="253"/>
        <v>1</v>
      </c>
      <c r="H906" s="58">
        <v>44662</v>
      </c>
      <c r="I906" s="16" t="s">
        <v>8</v>
      </c>
      <c r="J906" s="8"/>
      <c r="K906" s="10"/>
      <c r="L906" s="10"/>
      <c r="M906" s="10"/>
      <c r="N906" s="59">
        <v>10</v>
      </c>
      <c r="O906" s="7">
        <f t="shared" si="254"/>
        <v>10</v>
      </c>
      <c r="P906" s="58">
        <v>44691</v>
      </c>
      <c r="Q906" s="56"/>
    </row>
    <row r="907" spans="1:18" x14ac:dyDescent="0.15">
      <c r="A907" s="16" t="s">
        <v>29</v>
      </c>
      <c r="B907" s="11"/>
      <c r="C907" s="12"/>
      <c r="D907" s="12">
        <v>1</v>
      </c>
      <c r="E907" s="12"/>
      <c r="F907" s="31"/>
      <c r="G907" s="7">
        <f t="shared" si="253"/>
        <v>1</v>
      </c>
      <c r="H907" s="58">
        <v>44676</v>
      </c>
      <c r="I907" s="15" t="s">
        <v>9</v>
      </c>
      <c r="J907" s="8"/>
      <c r="K907" s="10"/>
      <c r="L907" s="10"/>
      <c r="M907" s="10">
        <v>3</v>
      </c>
      <c r="N907" s="30"/>
      <c r="O907" s="7">
        <f t="shared" si="254"/>
        <v>3</v>
      </c>
      <c r="P907" s="58">
        <v>44699</v>
      </c>
      <c r="Q907" s="56"/>
      <c r="R907" s="56"/>
    </row>
    <row r="908" spans="1:18" x14ac:dyDescent="0.15">
      <c r="A908" s="16" t="s">
        <v>117</v>
      </c>
      <c r="B908" s="8"/>
      <c r="C908" s="10"/>
      <c r="D908" s="10"/>
      <c r="E908" s="10">
        <v>1</v>
      </c>
      <c r="F908" s="30"/>
      <c r="G908" s="7">
        <f t="shared" si="253"/>
        <v>1</v>
      </c>
      <c r="H908" s="58">
        <v>44698</v>
      </c>
      <c r="I908" s="15" t="s">
        <v>9</v>
      </c>
      <c r="J908" s="8"/>
      <c r="K908" s="10"/>
      <c r="L908" s="10">
        <v>3</v>
      </c>
      <c r="M908" s="10"/>
      <c r="N908" s="30"/>
      <c r="O908" s="7">
        <f t="shared" si="254"/>
        <v>3</v>
      </c>
      <c r="P908" s="58">
        <v>44705</v>
      </c>
    </row>
    <row r="909" spans="1:18" x14ac:dyDescent="0.15">
      <c r="A909" s="16" t="s">
        <v>117</v>
      </c>
      <c r="B909" s="8"/>
      <c r="C909" s="10"/>
      <c r="D909" s="10">
        <v>1</v>
      </c>
      <c r="E909" s="10"/>
      <c r="F909" s="30"/>
      <c r="G909" s="7">
        <f t="shared" si="253"/>
        <v>1</v>
      </c>
      <c r="H909" s="58">
        <v>44700</v>
      </c>
      <c r="I909" s="16" t="s">
        <v>8</v>
      </c>
      <c r="J909" s="8"/>
      <c r="K909" s="10"/>
      <c r="L909" s="10"/>
      <c r="M909" s="10">
        <v>10</v>
      </c>
      <c r="N909" s="30"/>
      <c r="O909" s="7">
        <f t="shared" si="254"/>
        <v>10</v>
      </c>
      <c r="P909" s="58">
        <v>44722</v>
      </c>
      <c r="Q909" s="56"/>
    </row>
    <row r="910" spans="1:18" x14ac:dyDescent="0.15">
      <c r="A910" s="16" t="s">
        <v>117</v>
      </c>
      <c r="B910" s="8"/>
      <c r="C910" s="10"/>
      <c r="D910" s="10">
        <v>1</v>
      </c>
      <c r="E910" s="10"/>
      <c r="F910" s="30"/>
      <c r="G910" s="7">
        <f t="shared" si="253"/>
        <v>1</v>
      </c>
      <c r="H910" s="58">
        <v>44701</v>
      </c>
      <c r="I910" s="16" t="s">
        <v>8</v>
      </c>
      <c r="J910" s="11">
        <v>10</v>
      </c>
      <c r="K910" s="12"/>
      <c r="L910" s="12"/>
      <c r="M910" s="12"/>
      <c r="N910" s="31"/>
      <c r="O910" s="7">
        <f t="shared" si="254"/>
        <v>10</v>
      </c>
      <c r="P910" s="58">
        <v>44732</v>
      </c>
    </row>
    <row r="911" spans="1:18" x14ac:dyDescent="0.15">
      <c r="A911" s="16" t="s">
        <v>117</v>
      </c>
      <c r="B911" s="8"/>
      <c r="C911" s="10"/>
      <c r="D911" s="10"/>
      <c r="E911" s="10">
        <v>1</v>
      </c>
      <c r="F911" s="30"/>
      <c r="G911" s="7">
        <f t="shared" si="253"/>
        <v>1</v>
      </c>
      <c r="H911" s="58">
        <v>44706</v>
      </c>
      <c r="I911" s="16" t="s">
        <v>8</v>
      </c>
      <c r="J911" s="8"/>
      <c r="K911" s="10"/>
      <c r="L911" s="10"/>
      <c r="M911" s="10"/>
      <c r="N911" s="30">
        <v>10</v>
      </c>
      <c r="O911" s="7">
        <f t="shared" si="254"/>
        <v>10</v>
      </c>
      <c r="P911" s="58">
        <v>44754</v>
      </c>
    </row>
    <row r="912" spans="1:18" x14ac:dyDescent="0.15">
      <c r="A912" s="16" t="s">
        <v>29</v>
      </c>
      <c r="B912" s="8"/>
      <c r="C912" s="10"/>
      <c r="D912" s="10"/>
      <c r="E912" s="10"/>
      <c r="F912" s="30">
        <v>1</v>
      </c>
      <c r="G912" s="7">
        <f t="shared" si="253"/>
        <v>1</v>
      </c>
      <c r="H912" s="58">
        <v>44708</v>
      </c>
      <c r="I912" s="15" t="s">
        <v>9</v>
      </c>
      <c r="J912" s="8"/>
      <c r="K912" s="10">
        <v>3</v>
      </c>
      <c r="L912" s="10"/>
      <c r="M912" s="10"/>
      <c r="N912" s="30"/>
      <c r="O912" s="7">
        <f t="shared" si="254"/>
        <v>3</v>
      </c>
      <c r="P912" s="58">
        <v>44770</v>
      </c>
    </row>
    <row r="913" spans="1:17" x14ac:dyDescent="0.15">
      <c r="A913" s="16" t="s">
        <v>29</v>
      </c>
      <c r="B913" s="8"/>
      <c r="C913" s="10"/>
      <c r="D913" s="10"/>
      <c r="E913" s="10">
        <v>1</v>
      </c>
      <c r="F913" s="30"/>
      <c r="G913" s="7">
        <f t="shared" si="253"/>
        <v>1</v>
      </c>
      <c r="H913" s="58">
        <v>44716</v>
      </c>
      <c r="I913" s="16" t="s">
        <v>8</v>
      </c>
      <c r="J913" s="11"/>
      <c r="K913" s="12">
        <v>10</v>
      </c>
      <c r="L913" s="12"/>
      <c r="M913" s="12"/>
      <c r="N913" s="31"/>
      <c r="O913" s="7">
        <f t="shared" si="254"/>
        <v>10</v>
      </c>
      <c r="P913" s="58">
        <v>44796</v>
      </c>
    </row>
    <row r="914" spans="1:17" x14ac:dyDescent="0.15">
      <c r="A914" s="16" t="s">
        <v>29</v>
      </c>
      <c r="B914" s="8"/>
      <c r="C914" s="10">
        <v>1</v>
      </c>
      <c r="D914" s="10"/>
      <c r="E914" s="10"/>
      <c r="F914" s="30"/>
      <c r="G914" s="7">
        <f t="shared" si="253"/>
        <v>1</v>
      </c>
      <c r="H914" s="58">
        <v>44748</v>
      </c>
      <c r="I914" s="16" t="s">
        <v>8</v>
      </c>
      <c r="J914" s="11"/>
      <c r="K914" s="12"/>
      <c r="L914" s="12"/>
      <c r="M914" s="12">
        <v>10</v>
      </c>
      <c r="N914" s="31"/>
      <c r="O914" s="7">
        <f t="shared" si="254"/>
        <v>10</v>
      </c>
      <c r="P914" s="58">
        <v>44812</v>
      </c>
    </row>
    <row r="915" spans="1:17" x14ac:dyDescent="0.15">
      <c r="A915" s="16" t="s">
        <v>29</v>
      </c>
      <c r="B915" s="8"/>
      <c r="C915" s="10"/>
      <c r="D915" s="10"/>
      <c r="E915" s="10"/>
      <c r="F915" s="30">
        <v>1</v>
      </c>
      <c r="G915" s="7">
        <f t="shared" si="253"/>
        <v>1</v>
      </c>
      <c r="H915" s="58">
        <v>44793</v>
      </c>
      <c r="I915" s="16"/>
      <c r="J915" s="11"/>
      <c r="K915" s="12"/>
      <c r="L915" s="12"/>
      <c r="M915" s="12"/>
      <c r="N915" s="31"/>
      <c r="O915" s="7">
        <f t="shared" si="254"/>
        <v>0</v>
      </c>
      <c r="P915" s="56"/>
    </row>
    <row r="916" spans="1:17" x14ac:dyDescent="0.15">
      <c r="A916" s="16"/>
      <c r="B916" s="8"/>
      <c r="C916" s="10"/>
      <c r="D916" s="10"/>
      <c r="E916" s="10"/>
      <c r="F916" s="30"/>
      <c r="G916" s="7">
        <f t="shared" si="253"/>
        <v>0</v>
      </c>
      <c r="H916" s="58"/>
      <c r="I916" s="16"/>
      <c r="J916" s="11"/>
      <c r="K916" s="12"/>
      <c r="L916" s="12"/>
      <c r="M916" s="12"/>
      <c r="N916" s="31"/>
      <c r="O916" s="7">
        <f t="shared" si="254"/>
        <v>0</v>
      </c>
    </row>
    <row r="917" spans="1:17" x14ac:dyDescent="0.15">
      <c r="A917" s="16"/>
      <c r="B917" s="8"/>
      <c r="C917" s="10"/>
      <c r="D917" s="10"/>
      <c r="E917" s="10"/>
      <c r="F917" s="30"/>
      <c r="G917" s="7">
        <f t="shared" si="253"/>
        <v>0</v>
      </c>
      <c r="H917" s="58"/>
      <c r="I917" s="16"/>
      <c r="J917" s="11"/>
      <c r="K917" s="12"/>
      <c r="L917" s="12"/>
      <c r="M917" s="12"/>
      <c r="N917" s="31"/>
      <c r="O917" s="7">
        <f t="shared" si="254"/>
        <v>0</v>
      </c>
    </row>
    <row r="918" spans="1:17" x14ac:dyDescent="0.15">
      <c r="A918" s="16"/>
      <c r="B918" s="8"/>
      <c r="C918" s="10"/>
      <c r="D918" s="10"/>
      <c r="E918" s="10"/>
      <c r="F918" s="59"/>
      <c r="G918" s="7">
        <f t="shared" si="253"/>
        <v>0</v>
      </c>
      <c r="H918" s="58"/>
      <c r="I918" s="14"/>
      <c r="J918" s="11"/>
      <c r="K918" s="12"/>
      <c r="L918" s="12"/>
      <c r="M918" s="12"/>
      <c r="N918" s="31"/>
      <c r="O918" s="7">
        <f t="shared" si="254"/>
        <v>0</v>
      </c>
    </row>
    <row r="919" spans="1:17" x14ac:dyDescent="0.15">
      <c r="A919" s="16"/>
      <c r="B919" s="37"/>
      <c r="C919" s="35"/>
      <c r="D919" s="35"/>
      <c r="E919" s="35"/>
      <c r="F919" s="28"/>
      <c r="G919" s="7">
        <f t="shared" si="253"/>
        <v>0</v>
      </c>
      <c r="H919" s="58"/>
      <c r="I919" s="16"/>
      <c r="J919" s="11"/>
      <c r="K919" s="12"/>
      <c r="L919" s="12"/>
      <c r="M919" s="12"/>
      <c r="N919" s="31"/>
      <c r="O919" s="7">
        <f t="shared" si="254"/>
        <v>0</v>
      </c>
    </row>
    <row r="920" spans="1:17" x14ac:dyDescent="0.15">
      <c r="A920" s="16"/>
      <c r="B920" s="8"/>
      <c r="C920" s="10"/>
      <c r="D920" s="10"/>
      <c r="E920" s="10"/>
      <c r="F920" s="30"/>
      <c r="G920" s="7">
        <f t="shared" si="253"/>
        <v>0</v>
      </c>
      <c r="H920" s="58"/>
      <c r="I920" s="16"/>
      <c r="J920" s="11"/>
      <c r="K920" s="12"/>
      <c r="L920" s="12"/>
      <c r="M920" s="12"/>
      <c r="N920" s="31"/>
      <c r="O920" s="7">
        <f t="shared" si="254"/>
        <v>0</v>
      </c>
    </row>
    <row r="921" spans="1:17" x14ac:dyDescent="0.15">
      <c r="A921" s="16"/>
      <c r="B921" s="8"/>
      <c r="C921" s="10"/>
      <c r="D921" s="10"/>
      <c r="E921" s="10"/>
      <c r="F921" s="30"/>
      <c r="G921" s="9">
        <f t="shared" si="253"/>
        <v>0</v>
      </c>
      <c r="H921" s="58"/>
      <c r="I921" s="14" t="s">
        <v>1406</v>
      </c>
      <c r="J921" s="11"/>
      <c r="K921" s="12"/>
      <c r="L921" s="12"/>
      <c r="M921" s="12"/>
      <c r="N921" s="31"/>
      <c r="O921" s="7">
        <f t="shared" ref="O921" si="255">SUM(J921:N921)</f>
        <v>0</v>
      </c>
      <c r="P921" s="56" t="s">
        <v>1414</v>
      </c>
      <c r="Q921" s="56"/>
    </row>
    <row r="922" spans="1:17" ht="14.25" thickBot="1" x14ac:dyDescent="0.2">
      <c r="A922" s="51"/>
      <c r="B922" s="37"/>
      <c r="C922" s="35"/>
      <c r="D922" s="35"/>
      <c r="E922" s="35"/>
      <c r="F922" s="28"/>
      <c r="G922" s="7">
        <f t="shared" si="253"/>
        <v>0</v>
      </c>
      <c r="H922" s="58"/>
      <c r="I922" s="14" t="s">
        <v>1449</v>
      </c>
      <c r="J922" s="11"/>
      <c r="K922" s="12"/>
      <c r="L922" s="12"/>
      <c r="M922" s="12"/>
      <c r="N922" s="31"/>
      <c r="O922" s="7">
        <f t="shared" si="254"/>
        <v>0</v>
      </c>
      <c r="P922" s="56" t="s">
        <v>1335</v>
      </c>
      <c r="Q922" s="56"/>
    </row>
    <row r="923" spans="1:17" ht="14.25" thickBot="1" x14ac:dyDescent="0.2">
      <c r="A923" s="3" t="s">
        <v>11</v>
      </c>
      <c r="B923" s="23">
        <f>SUM(B897:B922)</f>
        <v>2</v>
      </c>
      <c r="C923" s="4">
        <f>SUM(C897:C922)</f>
        <v>2</v>
      </c>
      <c r="D923" s="4">
        <f>SUM(D897:D922)</f>
        <v>7</v>
      </c>
      <c r="E923" s="6">
        <f>SUM(E897:E922)</f>
        <v>6</v>
      </c>
      <c r="F923" s="32">
        <f>SUM(F897:F922)</f>
        <v>5</v>
      </c>
      <c r="G923" s="5">
        <f>SUM(B923:F923)</f>
        <v>22</v>
      </c>
      <c r="H923" s="56"/>
      <c r="I923" s="3" t="s">
        <v>11</v>
      </c>
      <c r="J923" s="23">
        <f>SUM(J897:J922)</f>
        <v>23</v>
      </c>
      <c r="K923" s="4">
        <f>SUM(K897:K922)</f>
        <v>28</v>
      </c>
      <c r="L923" s="4">
        <f>SUM(L897:L922)</f>
        <v>26</v>
      </c>
      <c r="M923" s="6">
        <f>SUM(M897:M922)</f>
        <v>43</v>
      </c>
      <c r="N923" s="32">
        <f>SUM(N897:N922)</f>
        <v>44</v>
      </c>
      <c r="O923" s="5">
        <f>SUM(J923:N923)</f>
        <v>164</v>
      </c>
    </row>
    <row r="924" spans="1:17" ht="14.25" thickBot="1" x14ac:dyDescent="0.2">
      <c r="A924" s="25" t="s">
        <v>12</v>
      </c>
      <c r="B924" s="63">
        <f>B896-B923</f>
        <v>9</v>
      </c>
      <c r="C924" s="26">
        <f t="shared" ref="C924:G924" si="256">C896-C923</f>
        <v>7</v>
      </c>
      <c r="D924" s="71">
        <f t="shared" si="256"/>
        <v>7</v>
      </c>
      <c r="E924" s="26">
        <f t="shared" si="256"/>
        <v>7</v>
      </c>
      <c r="F924" s="70">
        <f t="shared" si="256"/>
        <v>3</v>
      </c>
      <c r="G924" s="27">
        <f t="shared" si="256"/>
        <v>33</v>
      </c>
      <c r="H924" s="56"/>
      <c r="I924" s="25" t="s">
        <v>12</v>
      </c>
      <c r="J924" s="63">
        <f t="shared" ref="J924:O924" si="257">J896-J923</f>
        <v>195</v>
      </c>
      <c r="K924" s="26">
        <f t="shared" si="257"/>
        <v>177</v>
      </c>
      <c r="L924" s="71">
        <f t="shared" si="257"/>
        <v>143</v>
      </c>
      <c r="M924" s="26">
        <f t="shared" si="257"/>
        <v>111</v>
      </c>
      <c r="N924" s="70">
        <f t="shared" si="257"/>
        <v>134</v>
      </c>
      <c r="O924" s="27">
        <f t="shared" si="257"/>
        <v>760</v>
      </c>
    </row>
    <row r="925" spans="1:17" ht="21" x14ac:dyDescent="0.2">
      <c r="A925" s="86" t="s">
        <v>413</v>
      </c>
      <c r="B925" s="87"/>
      <c r="C925" s="87"/>
      <c r="D925" s="87"/>
      <c r="E925" s="87"/>
      <c r="F925" s="87"/>
      <c r="G925" s="87"/>
      <c r="H925" s="56"/>
      <c r="I925" s="86" t="s">
        <v>413</v>
      </c>
      <c r="J925" s="87"/>
      <c r="K925" s="87"/>
      <c r="L925" s="87"/>
      <c r="M925" s="87"/>
      <c r="N925" s="87"/>
      <c r="O925" s="87"/>
    </row>
    <row r="926" spans="1:17" ht="21.75" thickBot="1" x14ac:dyDescent="0.25">
      <c r="A926" s="86" t="s">
        <v>51</v>
      </c>
      <c r="B926" s="87"/>
      <c r="C926" s="87"/>
      <c r="D926" s="87"/>
      <c r="E926" s="85"/>
      <c r="F926" s="88" t="s">
        <v>53</v>
      </c>
      <c r="G926" s="87"/>
      <c r="H926" s="56"/>
      <c r="I926" s="86" t="s">
        <v>51</v>
      </c>
      <c r="J926" s="87"/>
      <c r="K926" s="87"/>
      <c r="L926" s="87"/>
      <c r="M926" s="89"/>
      <c r="N926" s="88" t="s">
        <v>54</v>
      </c>
      <c r="O926" s="87"/>
    </row>
    <row r="927" spans="1:17" ht="14.25" thickBot="1" x14ac:dyDescent="0.2">
      <c r="A927" s="13" t="s">
        <v>0</v>
      </c>
      <c r="B927" s="228" t="s">
        <v>52</v>
      </c>
      <c r="C927" s="229"/>
      <c r="D927" s="229"/>
      <c r="E927" s="229"/>
      <c r="F927" s="230"/>
      <c r="G927" s="231"/>
      <c r="H927" s="56"/>
      <c r="I927" s="13" t="s">
        <v>0</v>
      </c>
      <c r="J927" s="228" t="s">
        <v>52</v>
      </c>
      <c r="K927" s="229"/>
      <c r="L927" s="229"/>
      <c r="M927" s="229"/>
      <c r="N927" s="230"/>
      <c r="O927" s="231"/>
    </row>
    <row r="928" spans="1:17" ht="14.25" thickBot="1" x14ac:dyDescent="0.2">
      <c r="A928" s="3" t="s">
        <v>1</v>
      </c>
      <c r="B928" s="2" t="s">
        <v>42</v>
      </c>
      <c r="C928" s="21" t="s">
        <v>43</v>
      </c>
      <c r="D928" s="21" t="s">
        <v>44</v>
      </c>
      <c r="E928" s="24" t="s">
        <v>45</v>
      </c>
      <c r="F928" s="33" t="s">
        <v>46</v>
      </c>
      <c r="G928" s="3" t="s">
        <v>2</v>
      </c>
      <c r="H928" s="56"/>
      <c r="I928" s="3" t="s">
        <v>1</v>
      </c>
      <c r="J928" s="41" t="s">
        <v>42</v>
      </c>
      <c r="K928" s="42" t="s">
        <v>43</v>
      </c>
      <c r="L928" s="42" t="s">
        <v>44</v>
      </c>
      <c r="M928" s="43" t="s">
        <v>45</v>
      </c>
      <c r="N928" s="44" t="s">
        <v>46</v>
      </c>
      <c r="O928" s="3" t="s">
        <v>2</v>
      </c>
    </row>
    <row r="929" spans="1:17" x14ac:dyDescent="0.15">
      <c r="A929" s="96" t="s">
        <v>13</v>
      </c>
      <c r="B929" s="95">
        <f>B924</f>
        <v>9</v>
      </c>
      <c r="C929" s="97">
        <f t="shared" ref="C929:F929" si="258">C924</f>
        <v>7</v>
      </c>
      <c r="D929" s="97">
        <f t="shared" si="258"/>
        <v>7</v>
      </c>
      <c r="E929" s="97">
        <f t="shared" si="258"/>
        <v>7</v>
      </c>
      <c r="F929" s="139">
        <f t="shared" si="258"/>
        <v>3</v>
      </c>
      <c r="G929" s="52">
        <f t="shared" ref="G929:G934" si="259">SUM(B929:F929)</f>
        <v>33</v>
      </c>
      <c r="H929" s="58"/>
      <c r="I929" s="96" t="s">
        <v>13</v>
      </c>
      <c r="J929" s="95">
        <f>J924</f>
        <v>195</v>
      </c>
      <c r="K929" s="97">
        <f t="shared" ref="K929:N929" si="260">K924</f>
        <v>177</v>
      </c>
      <c r="L929" s="97">
        <f t="shared" si="260"/>
        <v>143</v>
      </c>
      <c r="M929" s="97">
        <f t="shared" si="260"/>
        <v>111</v>
      </c>
      <c r="N929" s="139">
        <f t="shared" si="260"/>
        <v>134</v>
      </c>
      <c r="O929" s="52">
        <f t="shared" ref="O929:O937" si="261">SUM(J929:N929)</f>
        <v>760</v>
      </c>
    </row>
    <row r="930" spans="1:17" x14ac:dyDescent="0.15">
      <c r="A930" s="15" t="s">
        <v>27</v>
      </c>
      <c r="B930" s="8"/>
      <c r="C930" s="10"/>
      <c r="D930" s="10"/>
      <c r="E930" s="10"/>
      <c r="F930" s="30">
        <v>3</v>
      </c>
      <c r="G930" s="7">
        <f t="shared" ref="G930:G933" si="262">SUM(B930:F930)</f>
        <v>3</v>
      </c>
      <c r="H930" s="58">
        <v>44835</v>
      </c>
      <c r="I930" s="15" t="s">
        <v>3</v>
      </c>
      <c r="J930" s="8"/>
      <c r="K930" s="10"/>
      <c r="L930" s="10"/>
      <c r="M930" s="10"/>
      <c r="N930" s="30"/>
      <c r="O930" s="7">
        <f t="shared" si="261"/>
        <v>0</v>
      </c>
    </row>
    <row r="931" spans="1:17" x14ac:dyDescent="0.15">
      <c r="A931" s="15" t="s">
        <v>27</v>
      </c>
      <c r="B931" s="8"/>
      <c r="C931" s="10"/>
      <c r="D931" s="10"/>
      <c r="E931" s="10"/>
      <c r="F931" s="30">
        <v>3</v>
      </c>
      <c r="G931" s="7">
        <f t="shared" si="262"/>
        <v>3</v>
      </c>
      <c r="H931" s="58">
        <v>44848</v>
      </c>
      <c r="I931" s="15" t="s">
        <v>19</v>
      </c>
      <c r="J931" s="8">
        <v>11</v>
      </c>
      <c r="K931" s="45">
        <v>7</v>
      </c>
      <c r="L931" s="45">
        <v>3</v>
      </c>
      <c r="M931" s="45">
        <v>5</v>
      </c>
      <c r="N931" s="46">
        <v>4</v>
      </c>
      <c r="O931" s="7">
        <f t="shared" si="261"/>
        <v>30</v>
      </c>
      <c r="P931" s="58">
        <v>44912</v>
      </c>
    </row>
    <row r="932" spans="1:17" x14ac:dyDescent="0.15">
      <c r="A932" s="15" t="s">
        <v>27</v>
      </c>
      <c r="B932" s="8">
        <v>5</v>
      </c>
      <c r="C932" s="10">
        <v>5</v>
      </c>
      <c r="D932" s="10">
        <v>5</v>
      </c>
      <c r="E932" s="10">
        <v>5</v>
      </c>
      <c r="F932" s="30">
        <v>5</v>
      </c>
      <c r="G932" s="7">
        <f t="shared" si="262"/>
        <v>25</v>
      </c>
      <c r="H932" s="58">
        <v>44874</v>
      </c>
      <c r="I932" s="15" t="s">
        <v>5</v>
      </c>
      <c r="J932" s="8"/>
      <c r="K932" s="45"/>
      <c r="L932" s="45"/>
      <c r="M932" s="45"/>
      <c r="N932" s="46"/>
      <c r="O932" s="9">
        <f t="shared" si="261"/>
        <v>0</v>
      </c>
    </row>
    <row r="933" spans="1:17" x14ac:dyDescent="0.15">
      <c r="A933" s="15" t="s">
        <v>27</v>
      </c>
      <c r="B933" s="8"/>
      <c r="C933" s="10"/>
      <c r="D933" s="10"/>
      <c r="E933" s="10">
        <v>5</v>
      </c>
      <c r="F933" s="30"/>
      <c r="G933" s="7">
        <f t="shared" si="262"/>
        <v>5</v>
      </c>
      <c r="H933" s="58">
        <v>44898</v>
      </c>
      <c r="I933" s="15" t="s">
        <v>6</v>
      </c>
      <c r="J933" s="8"/>
      <c r="K933" s="45"/>
      <c r="L933" s="45"/>
      <c r="M933" s="45"/>
      <c r="N933" s="46"/>
      <c r="O933" s="9">
        <f t="shared" si="261"/>
        <v>0</v>
      </c>
    </row>
    <row r="934" spans="1:17" x14ac:dyDescent="0.15">
      <c r="A934" s="15" t="s">
        <v>17</v>
      </c>
      <c r="B934" s="8"/>
      <c r="C934" s="10"/>
      <c r="D934" s="10">
        <v>1</v>
      </c>
      <c r="E934" s="10"/>
      <c r="F934" s="30"/>
      <c r="G934" s="7">
        <f t="shared" si="259"/>
        <v>1</v>
      </c>
      <c r="H934" s="58">
        <v>44904</v>
      </c>
      <c r="I934" s="15" t="s">
        <v>84</v>
      </c>
      <c r="J934" s="8"/>
      <c r="K934" s="45"/>
      <c r="L934" s="45"/>
      <c r="M934" s="45"/>
      <c r="N934" s="46"/>
      <c r="O934" s="7">
        <f t="shared" si="261"/>
        <v>0</v>
      </c>
    </row>
    <row r="935" spans="1:17" x14ac:dyDescent="0.15">
      <c r="A935" s="15" t="s">
        <v>27</v>
      </c>
      <c r="B935" s="8"/>
      <c r="C935" s="10"/>
      <c r="D935" s="10"/>
      <c r="E935" s="10"/>
      <c r="F935" s="30"/>
      <c r="G935" s="7">
        <f t="shared" ref="G935:G937" si="263">SUM(B935:F935)</f>
        <v>0</v>
      </c>
      <c r="H935" s="58"/>
      <c r="I935" s="15" t="s">
        <v>85</v>
      </c>
      <c r="J935" s="8"/>
      <c r="K935" s="45"/>
      <c r="L935" s="45"/>
      <c r="M935" s="45"/>
      <c r="N935" s="46"/>
      <c r="O935" s="7">
        <f t="shared" si="261"/>
        <v>0</v>
      </c>
    </row>
    <row r="936" spans="1:17" x14ac:dyDescent="0.15">
      <c r="A936" s="15" t="s">
        <v>27</v>
      </c>
      <c r="B936" s="8"/>
      <c r="C936" s="10"/>
      <c r="D936" s="10"/>
      <c r="E936" s="10"/>
      <c r="F936" s="30"/>
      <c r="G936" s="7">
        <f t="shared" si="263"/>
        <v>0</v>
      </c>
      <c r="H936" s="58"/>
      <c r="I936" s="15" t="s">
        <v>86</v>
      </c>
      <c r="J936" s="8"/>
      <c r="K936" s="45"/>
      <c r="L936" s="45"/>
      <c r="M936" s="45"/>
      <c r="N936" s="46"/>
      <c r="O936" s="102">
        <f t="shared" si="261"/>
        <v>0</v>
      </c>
    </row>
    <row r="937" spans="1:17" ht="14.25" thickBot="1" x14ac:dyDescent="0.2">
      <c r="A937" s="15" t="s">
        <v>27</v>
      </c>
      <c r="B937" s="8"/>
      <c r="C937" s="10"/>
      <c r="D937" s="10"/>
      <c r="E937" s="10"/>
      <c r="F937" s="30"/>
      <c r="G937" s="7">
        <f t="shared" si="263"/>
        <v>0</v>
      </c>
      <c r="H937" s="58"/>
      <c r="I937" s="15" t="s">
        <v>1348</v>
      </c>
      <c r="J937" s="47">
        <v>-2</v>
      </c>
      <c r="K937" s="48">
        <v>-2</v>
      </c>
      <c r="L937" s="48"/>
      <c r="M937" s="48"/>
      <c r="N937" s="49">
        <v>-1</v>
      </c>
      <c r="O937" s="40">
        <f t="shared" si="261"/>
        <v>-5</v>
      </c>
    </row>
    <row r="938" spans="1:17" ht="14.25" thickBot="1" x14ac:dyDescent="0.2">
      <c r="A938" s="72" t="s">
        <v>7</v>
      </c>
      <c r="B938" s="73">
        <f>SUM(B929:B937)</f>
        <v>14</v>
      </c>
      <c r="C938" s="74">
        <f t="shared" ref="C938:G938" si="264">SUM(C929:C937)</f>
        <v>12</v>
      </c>
      <c r="D938" s="74">
        <f t="shared" si="264"/>
        <v>13</v>
      </c>
      <c r="E938" s="74">
        <f t="shared" si="264"/>
        <v>17</v>
      </c>
      <c r="F938" s="105">
        <f t="shared" si="264"/>
        <v>14</v>
      </c>
      <c r="G938" s="76">
        <f t="shared" si="264"/>
        <v>70</v>
      </c>
      <c r="H938" s="56"/>
      <c r="I938" s="72" t="s">
        <v>7</v>
      </c>
      <c r="J938" s="73">
        <f>SUM(J929:J937)</f>
        <v>204</v>
      </c>
      <c r="K938" s="74">
        <f t="shared" ref="K938:O938" si="265">SUM(K929:K937)</f>
        <v>182</v>
      </c>
      <c r="L938" s="74">
        <f t="shared" si="265"/>
        <v>146</v>
      </c>
      <c r="M938" s="74">
        <f t="shared" si="265"/>
        <v>116</v>
      </c>
      <c r="N938" s="105">
        <f t="shared" si="265"/>
        <v>137</v>
      </c>
      <c r="O938" s="76">
        <f t="shared" si="265"/>
        <v>785</v>
      </c>
    </row>
    <row r="939" spans="1:17" x14ac:dyDescent="0.15">
      <c r="A939" s="16" t="s">
        <v>117</v>
      </c>
      <c r="B939" s="8"/>
      <c r="C939" s="10"/>
      <c r="D939" s="10"/>
      <c r="E939" s="10">
        <v>1</v>
      </c>
      <c r="F939" s="30"/>
      <c r="G939" s="9">
        <f t="shared" ref="G939:G964" si="266">SUM(B939:F939)</f>
        <v>1</v>
      </c>
      <c r="H939" s="58">
        <v>44817</v>
      </c>
      <c r="I939" s="16" t="s">
        <v>1479</v>
      </c>
      <c r="J939" s="17"/>
      <c r="K939" s="22"/>
      <c r="L939" s="22"/>
      <c r="M939" s="22"/>
      <c r="N939" s="29">
        <v>3</v>
      </c>
      <c r="O939" s="18">
        <f t="shared" ref="O939:O941" si="267">SUM(J939:N939)</f>
        <v>3</v>
      </c>
      <c r="P939" s="58">
        <v>44835</v>
      </c>
      <c r="Q939" s="68"/>
    </row>
    <row r="940" spans="1:17" x14ac:dyDescent="0.15">
      <c r="A940" s="16" t="s">
        <v>117</v>
      </c>
      <c r="B940" s="8"/>
      <c r="C940" s="10"/>
      <c r="D940" s="10"/>
      <c r="E940" s="10"/>
      <c r="F940" s="30">
        <v>1</v>
      </c>
      <c r="G940" s="7">
        <f t="shared" si="266"/>
        <v>1</v>
      </c>
      <c r="H940" s="58">
        <v>44825</v>
      </c>
      <c r="I940" s="16" t="s">
        <v>24</v>
      </c>
      <c r="J940" s="8"/>
      <c r="K940" s="10"/>
      <c r="L940" s="10"/>
      <c r="M940" s="10"/>
      <c r="N940" s="30">
        <v>3</v>
      </c>
      <c r="O940" s="7">
        <f t="shared" si="267"/>
        <v>3</v>
      </c>
      <c r="P940" s="58">
        <v>44848</v>
      </c>
      <c r="Q940" s="56"/>
    </row>
    <row r="941" spans="1:17" x14ac:dyDescent="0.15">
      <c r="A941" s="16" t="s">
        <v>29</v>
      </c>
      <c r="B941" s="8"/>
      <c r="C941" s="10"/>
      <c r="D941" s="10">
        <v>1</v>
      </c>
      <c r="E941" s="10"/>
      <c r="F941" s="30"/>
      <c r="G941" s="7">
        <f t="shared" si="266"/>
        <v>1</v>
      </c>
      <c r="H941" s="58">
        <v>44835</v>
      </c>
      <c r="I941" s="16" t="s">
        <v>24</v>
      </c>
      <c r="J941" s="8">
        <v>5</v>
      </c>
      <c r="K941" s="10">
        <v>5</v>
      </c>
      <c r="L941" s="10">
        <v>5</v>
      </c>
      <c r="M941" s="10">
        <v>5</v>
      </c>
      <c r="N941" s="104">
        <v>5</v>
      </c>
      <c r="O941" s="9">
        <f t="shared" si="267"/>
        <v>25</v>
      </c>
      <c r="P941" s="58">
        <v>44874</v>
      </c>
      <c r="Q941" s="56"/>
    </row>
    <row r="942" spans="1:17" x14ac:dyDescent="0.15">
      <c r="A942" s="16" t="s">
        <v>485</v>
      </c>
      <c r="B942" s="8"/>
      <c r="C942" s="10"/>
      <c r="D942" s="10">
        <v>-1</v>
      </c>
      <c r="E942" s="10"/>
      <c r="F942" s="30">
        <v>1</v>
      </c>
      <c r="G942" s="7">
        <f t="shared" si="266"/>
        <v>0</v>
      </c>
      <c r="H942" s="58">
        <v>44839</v>
      </c>
      <c r="I942" s="16" t="s">
        <v>24</v>
      </c>
      <c r="J942" s="8"/>
      <c r="K942" s="10"/>
      <c r="L942" s="10"/>
      <c r="M942" s="10">
        <v>5</v>
      </c>
      <c r="N942" s="30"/>
      <c r="O942" s="7">
        <f t="shared" ref="O942:O964" si="268">SUM(J942:N942)</f>
        <v>5</v>
      </c>
      <c r="P942" s="58">
        <v>44898</v>
      </c>
      <c r="Q942" s="56"/>
    </row>
    <row r="943" spans="1:17" x14ac:dyDescent="0.15">
      <c r="A943" s="16" t="s">
        <v>29</v>
      </c>
      <c r="B943" s="8"/>
      <c r="C943" s="10"/>
      <c r="D943" s="10"/>
      <c r="E943" s="10"/>
      <c r="F943" s="30">
        <v>1</v>
      </c>
      <c r="G943" s="7">
        <f t="shared" si="266"/>
        <v>1</v>
      </c>
      <c r="H943" s="58">
        <v>44847</v>
      </c>
      <c r="I943" s="16"/>
      <c r="J943" s="8"/>
      <c r="K943" s="10"/>
      <c r="L943" s="10"/>
      <c r="M943" s="10"/>
      <c r="N943" s="30"/>
      <c r="O943" s="7">
        <f t="shared" si="268"/>
        <v>0</v>
      </c>
      <c r="P943" s="58"/>
    </row>
    <row r="944" spans="1:17" x14ac:dyDescent="0.15">
      <c r="A944" s="16" t="s">
        <v>117</v>
      </c>
      <c r="B944" s="8">
        <v>1</v>
      </c>
      <c r="C944" s="10"/>
      <c r="D944" s="10"/>
      <c r="E944" s="10"/>
      <c r="F944" s="30"/>
      <c r="G944" s="7">
        <f t="shared" si="266"/>
        <v>1</v>
      </c>
      <c r="H944" s="58">
        <v>44854</v>
      </c>
      <c r="I944" s="16"/>
      <c r="J944" s="8"/>
      <c r="K944" s="10"/>
      <c r="L944" s="10"/>
      <c r="M944" s="10"/>
      <c r="N944" s="30"/>
      <c r="O944" s="7">
        <f t="shared" si="268"/>
        <v>0</v>
      </c>
      <c r="P944" s="58"/>
    </row>
    <row r="945" spans="1:16" x14ac:dyDescent="0.15">
      <c r="A945" s="16" t="s">
        <v>29</v>
      </c>
      <c r="B945" s="8"/>
      <c r="C945" s="10"/>
      <c r="D945" s="10">
        <v>1</v>
      </c>
      <c r="E945" s="10"/>
      <c r="F945" s="30"/>
      <c r="G945" s="7">
        <f t="shared" si="266"/>
        <v>1</v>
      </c>
      <c r="H945" s="58">
        <v>44863</v>
      </c>
      <c r="I945" s="16"/>
      <c r="J945" s="8"/>
      <c r="K945" s="10"/>
      <c r="L945" s="10"/>
      <c r="M945" s="10"/>
      <c r="N945" s="30"/>
      <c r="O945" s="7">
        <f t="shared" si="268"/>
        <v>0</v>
      </c>
      <c r="P945" s="58"/>
    </row>
    <row r="946" spans="1:16" x14ac:dyDescent="0.15">
      <c r="A946" s="16" t="s">
        <v>29</v>
      </c>
      <c r="B946" s="8"/>
      <c r="C946" s="10"/>
      <c r="D946" s="10">
        <v>1</v>
      </c>
      <c r="E946" s="10"/>
      <c r="F946" s="30"/>
      <c r="G946" s="7">
        <f t="shared" si="266"/>
        <v>1</v>
      </c>
      <c r="H946" s="58">
        <v>44869</v>
      </c>
      <c r="I946" s="16"/>
      <c r="J946" s="8"/>
      <c r="K946" s="10"/>
      <c r="L946" s="10"/>
      <c r="M946" s="10"/>
      <c r="N946" s="30"/>
      <c r="O946" s="7">
        <f t="shared" si="268"/>
        <v>0</v>
      </c>
      <c r="P946" s="58"/>
    </row>
    <row r="947" spans="1:16" x14ac:dyDescent="0.15">
      <c r="A947" s="16" t="s">
        <v>1486</v>
      </c>
      <c r="B947" s="8"/>
      <c r="C947" s="10">
        <v>1</v>
      </c>
      <c r="D947" s="10">
        <v>1</v>
      </c>
      <c r="E947" s="10"/>
      <c r="F947" s="30"/>
      <c r="G947" s="7">
        <f t="shared" si="266"/>
        <v>2</v>
      </c>
      <c r="H947" s="58">
        <v>44873</v>
      </c>
      <c r="I947" s="16"/>
      <c r="J947" s="11"/>
      <c r="K947" s="100"/>
      <c r="L947" s="100"/>
      <c r="M947" s="100"/>
      <c r="N947" s="109"/>
      <c r="O947" s="9">
        <f t="shared" si="268"/>
        <v>0</v>
      </c>
      <c r="P947" s="58"/>
    </row>
    <row r="948" spans="1:16" x14ac:dyDescent="0.15">
      <c r="A948" s="16" t="s">
        <v>1490</v>
      </c>
      <c r="B948" s="8"/>
      <c r="C948" s="10"/>
      <c r="D948" s="10"/>
      <c r="E948" s="10">
        <v>1</v>
      </c>
      <c r="F948" s="30"/>
      <c r="G948" s="7">
        <f t="shared" si="266"/>
        <v>1</v>
      </c>
      <c r="H948" s="58">
        <v>44874</v>
      </c>
      <c r="I948" s="16"/>
      <c r="J948" s="8"/>
      <c r="K948" s="10"/>
      <c r="L948" s="10"/>
      <c r="M948" s="10"/>
      <c r="N948" s="59"/>
      <c r="O948" s="7">
        <f t="shared" si="268"/>
        <v>0</v>
      </c>
      <c r="P948" s="58"/>
    </row>
    <row r="949" spans="1:16" x14ac:dyDescent="0.15">
      <c r="A949" s="16" t="s">
        <v>1500</v>
      </c>
      <c r="B949" s="11"/>
      <c r="C949" s="12"/>
      <c r="D949" s="12"/>
      <c r="E949" s="12">
        <v>1</v>
      </c>
      <c r="F949" s="31"/>
      <c r="G949" s="7">
        <f t="shared" si="266"/>
        <v>1</v>
      </c>
      <c r="H949" s="58">
        <v>44880</v>
      </c>
      <c r="I949" s="15"/>
      <c r="J949" s="8"/>
      <c r="K949" s="10"/>
      <c r="L949" s="10"/>
      <c r="M949" s="10"/>
      <c r="N949" s="30"/>
      <c r="O949" s="7">
        <f t="shared" si="268"/>
        <v>0</v>
      </c>
      <c r="P949" s="58"/>
    </row>
    <row r="950" spans="1:16" x14ac:dyDescent="0.15">
      <c r="A950" s="16" t="s">
        <v>1491</v>
      </c>
      <c r="B950" s="8"/>
      <c r="C950" s="10"/>
      <c r="D950" s="10">
        <v>1</v>
      </c>
      <c r="E950" s="10"/>
      <c r="F950" s="30"/>
      <c r="G950" s="7">
        <f t="shared" si="266"/>
        <v>1</v>
      </c>
      <c r="H950" s="58">
        <v>44881</v>
      </c>
      <c r="I950" s="15"/>
      <c r="J950" s="8"/>
      <c r="K950" s="10"/>
      <c r="L950" s="10"/>
      <c r="M950" s="10"/>
      <c r="N950" s="30"/>
      <c r="O950" s="7">
        <f t="shared" si="268"/>
        <v>0</v>
      </c>
      <c r="P950" s="58"/>
    </row>
    <row r="951" spans="1:16" x14ac:dyDescent="0.15">
      <c r="A951" s="16" t="s">
        <v>1504</v>
      </c>
      <c r="B951" s="8"/>
      <c r="C951" s="10"/>
      <c r="D951" s="10"/>
      <c r="E951" s="10">
        <v>2</v>
      </c>
      <c r="F951" s="30"/>
      <c r="G951" s="7">
        <f t="shared" si="266"/>
        <v>2</v>
      </c>
      <c r="H951" s="58">
        <v>44882</v>
      </c>
      <c r="I951" s="16"/>
      <c r="J951" s="8"/>
      <c r="K951" s="10"/>
      <c r="L951" s="10"/>
      <c r="M951" s="10"/>
      <c r="N951" s="30"/>
      <c r="O951" s="7">
        <f t="shared" si="268"/>
        <v>0</v>
      </c>
      <c r="P951" s="58"/>
    </row>
    <row r="952" spans="1:16" x14ac:dyDescent="0.15">
      <c r="A952" s="16" t="s">
        <v>696</v>
      </c>
      <c r="B952" s="8"/>
      <c r="C952" s="10"/>
      <c r="D952" s="10">
        <v>-1</v>
      </c>
      <c r="E952" s="10"/>
      <c r="F952" s="30"/>
      <c r="G952" s="7">
        <f t="shared" si="266"/>
        <v>-1</v>
      </c>
      <c r="H952" s="58">
        <v>44881</v>
      </c>
      <c r="I952" s="16"/>
      <c r="J952" s="11"/>
      <c r="K952" s="12"/>
      <c r="L952" s="12"/>
      <c r="M952" s="12"/>
      <c r="N952" s="31"/>
      <c r="O952" s="7">
        <f t="shared" si="268"/>
        <v>0</v>
      </c>
      <c r="P952" s="58"/>
    </row>
    <row r="953" spans="1:16" x14ac:dyDescent="0.15">
      <c r="A953" s="16" t="s">
        <v>1507</v>
      </c>
      <c r="B953" s="8"/>
      <c r="C953" s="10"/>
      <c r="D953" s="10"/>
      <c r="E953" s="10">
        <v>2</v>
      </c>
      <c r="F953" s="30"/>
      <c r="G953" s="7">
        <f t="shared" si="266"/>
        <v>2</v>
      </c>
      <c r="H953" s="58">
        <v>44883</v>
      </c>
      <c r="I953" s="16"/>
      <c r="J953" s="8"/>
      <c r="K953" s="10"/>
      <c r="L953" s="10"/>
      <c r="M953" s="10"/>
      <c r="N953" s="30"/>
      <c r="O953" s="7">
        <f t="shared" si="268"/>
        <v>0</v>
      </c>
      <c r="P953" s="58"/>
    </row>
    <row r="954" spans="1:16" x14ac:dyDescent="0.15">
      <c r="A954" s="16" t="s">
        <v>1509</v>
      </c>
      <c r="B954" s="8"/>
      <c r="C954" s="10"/>
      <c r="D954" s="10">
        <v>1</v>
      </c>
      <c r="E954" s="10"/>
      <c r="F954" s="30"/>
      <c r="G954" s="7">
        <f t="shared" si="266"/>
        <v>1</v>
      </c>
      <c r="H954" s="58">
        <v>44887</v>
      </c>
      <c r="I954" s="15"/>
      <c r="J954" s="8"/>
      <c r="K954" s="10"/>
      <c r="L954" s="10"/>
      <c r="M954" s="10"/>
      <c r="N954" s="30"/>
      <c r="O954" s="7">
        <f t="shared" si="268"/>
        <v>0</v>
      </c>
      <c r="P954" s="58"/>
    </row>
    <row r="955" spans="1:16" x14ac:dyDescent="0.15">
      <c r="A955" s="16" t="s">
        <v>1511</v>
      </c>
      <c r="B955" s="8"/>
      <c r="C955" s="10">
        <v>1</v>
      </c>
      <c r="D955" s="10"/>
      <c r="E955" s="10">
        <v>1</v>
      </c>
      <c r="F955" s="30"/>
      <c r="G955" s="7">
        <f t="shared" si="266"/>
        <v>2</v>
      </c>
      <c r="H955" s="58">
        <v>44889</v>
      </c>
      <c r="I955" s="16"/>
      <c r="J955" s="11"/>
      <c r="K955" s="12"/>
      <c r="L955" s="12"/>
      <c r="M955" s="12"/>
      <c r="N955" s="31"/>
      <c r="O955" s="7">
        <f t="shared" si="268"/>
        <v>0</v>
      </c>
      <c r="P955" s="58"/>
    </row>
    <row r="956" spans="1:16" x14ac:dyDescent="0.15">
      <c r="A956" s="16" t="s">
        <v>1513</v>
      </c>
      <c r="B956" s="8"/>
      <c r="C956" s="10"/>
      <c r="D956" s="10">
        <v>1</v>
      </c>
      <c r="E956" s="10"/>
      <c r="F956" s="30"/>
      <c r="G956" s="7">
        <f t="shared" si="266"/>
        <v>1</v>
      </c>
      <c r="H956" s="58">
        <v>44893</v>
      </c>
      <c r="I956" s="16"/>
      <c r="J956" s="11"/>
      <c r="K956" s="12"/>
      <c r="L956" s="12"/>
      <c r="M956" s="12"/>
      <c r="N956" s="31"/>
      <c r="O956" s="7">
        <f t="shared" si="268"/>
        <v>0</v>
      </c>
      <c r="P956" s="58"/>
    </row>
    <row r="957" spans="1:16" x14ac:dyDescent="0.15">
      <c r="A957" s="16" t="s">
        <v>1516</v>
      </c>
      <c r="B957" s="8"/>
      <c r="C957" s="10">
        <v>1</v>
      </c>
      <c r="D957" s="10">
        <v>1</v>
      </c>
      <c r="E957" s="10">
        <v>1</v>
      </c>
      <c r="F957" s="30">
        <v>1</v>
      </c>
      <c r="G957" s="7">
        <f t="shared" si="266"/>
        <v>4</v>
      </c>
      <c r="H957" s="58">
        <v>44895</v>
      </c>
      <c r="I957" s="16"/>
      <c r="J957" s="11"/>
      <c r="K957" s="12"/>
      <c r="L957" s="12"/>
      <c r="M957" s="12"/>
      <c r="N957" s="31"/>
      <c r="O957" s="7">
        <f t="shared" si="268"/>
        <v>0</v>
      </c>
      <c r="P957" s="56"/>
    </row>
    <row r="958" spans="1:16" x14ac:dyDescent="0.15">
      <c r="A958" s="16" t="s">
        <v>1520</v>
      </c>
      <c r="B958" s="8"/>
      <c r="C958" s="10"/>
      <c r="D958" s="10"/>
      <c r="E958" s="10">
        <v>1</v>
      </c>
      <c r="F958" s="30"/>
      <c r="G958" s="7">
        <f t="shared" si="266"/>
        <v>1</v>
      </c>
      <c r="H958" s="58">
        <v>44896</v>
      </c>
      <c r="I958" s="16"/>
      <c r="J958" s="11"/>
      <c r="K958" s="12"/>
      <c r="L958" s="12"/>
      <c r="M958" s="12"/>
      <c r="N958" s="31"/>
      <c r="O958" s="7">
        <f t="shared" si="268"/>
        <v>0</v>
      </c>
    </row>
    <row r="959" spans="1:16" x14ac:dyDescent="0.15">
      <c r="A959" s="16" t="s">
        <v>1523</v>
      </c>
      <c r="B959" s="8">
        <v>1</v>
      </c>
      <c r="C959" s="10">
        <v>1</v>
      </c>
      <c r="D959" s="10"/>
      <c r="E959" s="10">
        <v>2</v>
      </c>
      <c r="F959" s="30"/>
      <c r="G959" s="7">
        <f t="shared" si="266"/>
        <v>4</v>
      </c>
      <c r="H959" s="58">
        <v>44897</v>
      </c>
      <c r="I959" s="16"/>
      <c r="J959" s="11"/>
      <c r="K959" s="12"/>
      <c r="L959" s="12"/>
      <c r="M959" s="12"/>
      <c r="N959" s="31"/>
      <c r="O959" s="7">
        <f t="shared" si="268"/>
        <v>0</v>
      </c>
    </row>
    <row r="960" spans="1:16" x14ac:dyDescent="0.15">
      <c r="A960" s="16" t="s">
        <v>1529</v>
      </c>
      <c r="B960" s="8">
        <v>1</v>
      </c>
      <c r="C960" s="10"/>
      <c r="D960" s="10"/>
      <c r="E960" s="10"/>
      <c r="F960" s="59"/>
      <c r="G960" s="7">
        <f t="shared" si="266"/>
        <v>1</v>
      </c>
      <c r="H960" s="58">
        <v>44901</v>
      </c>
      <c r="I960" s="14"/>
      <c r="J960" s="11"/>
      <c r="K960" s="12"/>
      <c r="L960" s="12"/>
      <c r="M960" s="12"/>
      <c r="N960" s="31"/>
      <c r="O960" s="7">
        <f t="shared" si="268"/>
        <v>0</v>
      </c>
    </row>
    <row r="961" spans="1:17" x14ac:dyDescent="0.15">
      <c r="A961" s="16" t="s">
        <v>1532</v>
      </c>
      <c r="B961" s="37"/>
      <c r="C961" s="35"/>
      <c r="D961" s="35"/>
      <c r="E961" s="35">
        <v>1</v>
      </c>
      <c r="F961" s="28">
        <v>1</v>
      </c>
      <c r="G961" s="7">
        <f t="shared" si="266"/>
        <v>2</v>
      </c>
      <c r="H961" s="58">
        <v>44904</v>
      </c>
      <c r="I961" s="16"/>
      <c r="J961" s="11"/>
      <c r="K961" s="12"/>
      <c r="L961" s="12"/>
      <c r="M961" s="12"/>
      <c r="N961" s="31"/>
      <c r="O961" s="7">
        <f t="shared" si="268"/>
        <v>0</v>
      </c>
    </row>
    <row r="962" spans="1:17" x14ac:dyDescent="0.15">
      <c r="A962" s="16" t="s">
        <v>1536</v>
      </c>
      <c r="B962" s="8"/>
      <c r="C962" s="10">
        <v>1</v>
      </c>
      <c r="D962" s="10"/>
      <c r="E962" s="10"/>
      <c r="F962" s="30"/>
      <c r="G962" s="7">
        <f t="shared" si="266"/>
        <v>1</v>
      </c>
      <c r="H962" s="58">
        <v>44909</v>
      </c>
      <c r="I962" s="16"/>
      <c r="J962" s="11"/>
      <c r="K962" s="12"/>
      <c r="L962" s="12"/>
      <c r="M962" s="12"/>
      <c r="N962" s="31"/>
      <c r="O962" s="7">
        <f t="shared" si="268"/>
        <v>0</v>
      </c>
    </row>
    <row r="963" spans="1:17" x14ac:dyDescent="0.15">
      <c r="A963" s="16" t="s">
        <v>1539</v>
      </c>
      <c r="B963" s="8">
        <v>1</v>
      </c>
      <c r="C963" s="10"/>
      <c r="D963" s="10"/>
      <c r="E963" s="10"/>
      <c r="F963" s="30"/>
      <c r="G963" s="9">
        <f t="shared" si="266"/>
        <v>1</v>
      </c>
      <c r="H963" s="58">
        <v>44911</v>
      </c>
      <c r="I963" s="14" t="s">
        <v>1480</v>
      </c>
      <c r="J963" s="11"/>
      <c r="K963" s="12"/>
      <c r="L963" s="12"/>
      <c r="M963" s="12"/>
      <c r="N963" s="31"/>
      <c r="O963" s="7">
        <f t="shared" ref="O963" si="269">SUM(J963:N963)</f>
        <v>0</v>
      </c>
      <c r="P963" s="56" t="s">
        <v>1375</v>
      </c>
      <c r="Q963" s="56"/>
    </row>
    <row r="964" spans="1:17" ht="14.25" thickBot="1" x14ac:dyDescent="0.2">
      <c r="A964" s="51"/>
      <c r="B964" s="37"/>
      <c r="C964" s="35"/>
      <c r="D964" s="35"/>
      <c r="E964" s="35"/>
      <c r="F964" s="28"/>
      <c r="G964" s="7">
        <f t="shared" si="266"/>
        <v>0</v>
      </c>
      <c r="H964" s="58"/>
      <c r="I964" s="14" t="s">
        <v>1476</v>
      </c>
      <c r="J964" s="11"/>
      <c r="K964" s="12"/>
      <c r="L964" s="12"/>
      <c r="M964" s="12"/>
      <c r="N964" s="31"/>
      <c r="O964" s="7">
        <f t="shared" si="268"/>
        <v>0</v>
      </c>
      <c r="P964" s="56" t="s">
        <v>1363</v>
      </c>
    </row>
    <row r="965" spans="1:17" ht="14.25" thickBot="1" x14ac:dyDescent="0.2">
      <c r="A965" s="3" t="s">
        <v>11</v>
      </c>
      <c r="B965" s="23">
        <f>SUM(B939:B964)</f>
        <v>4</v>
      </c>
      <c r="C965" s="4">
        <f>SUM(C939:C964)</f>
        <v>5</v>
      </c>
      <c r="D965" s="4">
        <f>SUM(D939:D964)</f>
        <v>6</v>
      </c>
      <c r="E965" s="6">
        <f>SUM(E939:E964)</f>
        <v>13</v>
      </c>
      <c r="F965" s="32">
        <f>SUM(F939:F964)</f>
        <v>5</v>
      </c>
      <c r="G965" s="5">
        <f>SUM(B965:F965)</f>
        <v>33</v>
      </c>
      <c r="H965" s="56"/>
      <c r="I965" s="3" t="s">
        <v>11</v>
      </c>
      <c r="J965" s="23">
        <f>SUM(J939:J964)</f>
        <v>5</v>
      </c>
      <c r="K965" s="4">
        <f>SUM(K939:K964)</f>
        <v>5</v>
      </c>
      <c r="L965" s="4">
        <f>SUM(L939:L964)</f>
        <v>5</v>
      </c>
      <c r="M965" s="6">
        <f>SUM(M939:M964)</f>
        <v>10</v>
      </c>
      <c r="N965" s="32">
        <f>SUM(N939:N964)</f>
        <v>11</v>
      </c>
      <c r="O965" s="5">
        <f>SUM(J965:N965)</f>
        <v>36</v>
      </c>
    </row>
    <row r="966" spans="1:17" ht="14.25" thickBot="1" x14ac:dyDescent="0.2">
      <c r="A966" s="25" t="s">
        <v>12</v>
      </c>
      <c r="B966" s="63">
        <f>B938-B965</f>
        <v>10</v>
      </c>
      <c r="C966" s="26">
        <f t="shared" ref="C966:G966" si="270">C938-C965</f>
        <v>7</v>
      </c>
      <c r="D966" s="71">
        <f t="shared" si="270"/>
        <v>7</v>
      </c>
      <c r="E966" s="26">
        <f t="shared" si="270"/>
        <v>4</v>
      </c>
      <c r="F966" s="70">
        <f t="shared" si="270"/>
        <v>9</v>
      </c>
      <c r="G966" s="27">
        <f t="shared" si="270"/>
        <v>37</v>
      </c>
      <c r="H966" s="56"/>
      <c r="I966" s="25" t="s">
        <v>12</v>
      </c>
      <c r="J966" s="63">
        <f t="shared" ref="J966:O966" si="271">J938-J965</f>
        <v>199</v>
      </c>
      <c r="K966" s="26">
        <f t="shared" si="271"/>
        <v>177</v>
      </c>
      <c r="L966" s="71">
        <f t="shared" si="271"/>
        <v>141</v>
      </c>
      <c r="M966" s="26">
        <f t="shared" si="271"/>
        <v>106</v>
      </c>
      <c r="N966" s="70">
        <f t="shared" si="271"/>
        <v>126</v>
      </c>
      <c r="O966" s="27">
        <f t="shared" si="271"/>
        <v>749</v>
      </c>
    </row>
    <row r="967" spans="1:17" ht="21" x14ac:dyDescent="0.2">
      <c r="A967" s="86" t="s">
        <v>413</v>
      </c>
      <c r="B967" s="87"/>
      <c r="C967" s="87"/>
      <c r="D967" s="87"/>
      <c r="E967" s="87"/>
      <c r="F967" s="87"/>
      <c r="G967" s="87"/>
      <c r="H967" s="56"/>
      <c r="I967" s="86" t="s">
        <v>413</v>
      </c>
      <c r="J967" s="87"/>
      <c r="K967" s="87"/>
      <c r="L967" s="87"/>
      <c r="M967" s="87"/>
      <c r="N967" s="87"/>
      <c r="O967" s="87"/>
    </row>
    <row r="968" spans="1:17" ht="21.75" thickBot="1" x14ac:dyDescent="0.25">
      <c r="A968" s="86" t="s">
        <v>51</v>
      </c>
      <c r="B968" s="87"/>
      <c r="C968" s="87"/>
      <c r="D968" s="87"/>
      <c r="E968" s="85"/>
      <c r="F968" s="88" t="s">
        <v>53</v>
      </c>
      <c r="G968" s="87"/>
      <c r="H968" s="56"/>
      <c r="I968" s="86" t="s">
        <v>51</v>
      </c>
      <c r="J968" s="87"/>
      <c r="K968" s="87"/>
      <c r="L968" s="87"/>
      <c r="M968" s="89"/>
      <c r="N968" s="88" t="s">
        <v>54</v>
      </c>
      <c r="O968" s="87"/>
    </row>
    <row r="969" spans="1:17" ht="14.25" thickBot="1" x14ac:dyDescent="0.2">
      <c r="A969" s="13" t="s">
        <v>0</v>
      </c>
      <c r="B969" s="228" t="s">
        <v>52</v>
      </c>
      <c r="C969" s="229"/>
      <c r="D969" s="229"/>
      <c r="E969" s="229"/>
      <c r="F969" s="230"/>
      <c r="G969" s="231"/>
      <c r="H969" s="56"/>
      <c r="I969" s="13" t="s">
        <v>0</v>
      </c>
      <c r="J969" s="228" t="s">
        <v>52</v>
      </c>
      <c r="K969" s="229"/>
      <c r="L969" s="229"/>
      <c r="M969" s="229"/>
      <c r="N969" s="230"/>
      <c r="O969" s="231"/>
    </row>
    <row r="970" spans="1:17" ht="14.25" thickBot="1" x14ac:dyDescent="0.2">
      <c r="A970" s="3" t="s">
        <v>1</v>
      </c>
      <c r="B970" s="2" t="s">
        <v>42</v>
      </c>
      <c r="C970" s="21" t="s">
        <v>43</v>
      </c>
      <c r="D970" s="21" t="s">
        <v>44</v>
      </c>
      <c r="E970" s="24" t="s">
        <v>45</v>
      </c>
      <c r="F970" s="33" t="s">
        <v>46</v>
      </c>
      <c r="G970" s="3" t="s">
        <v>2</v>
      </c>
      <c r="H970" s="56"/>
      <c r="I970" s="3" t="s">
        <v>1</v>
      </c>
      <c r="J970" s="41" t="s">
        <v>42</v>
      </c>
      <c r="K970" s="42" t="s">
        <v>43</v>
      </c>
      <c r="L970" s="42" t="s">
        <v>44</v>
      </c>
      <c r="M970" s="43" t="s">
        <v>45</v>
      </c>
      <c r="N970" s="44" t="s">
        <v>46</v>
      </c>
      <c r="O970" s="3" t="s">
        <v>2</v>
      </c>
    </row>
    <row r="971" spans="1:17" x14ac:dyDescent="0.15">
      <c r="A971" s="96" t="s">
        <v>13</v>
      </c>
      <c r="B971" s="95">
        <f>B966</f>
        <v>10</v>
      </c>
      <c r="C971" s="97">
        <f t="shared" ref="C971:F971" si="272">C966</f>
        <v>7</v>
      </c>
      <c r="D971" s="97">
        <f t="shared" si="272"/>
        <v>7</v>
      </c>
      <c r="E971" s="97">
        <f t="shared" si="272"/>
        <v>4</v>
      </c>
      <c r="F971" s="139">
        <f t="shared" si="272"/>
        <v>9</v>
      </c>
      <c r="G971" s="52">
        <f t="shared" ref="G971:G979" si="273">SUM(B971:F971)</f>
        <v>37</v>
      </c>
      <c r="H971" s="58"/>
      <c r="I971" s="96" t="s">
        <v>13</v>
      </c>
      <c r="J971" s="95">
        <f>J966</f>
        <v>199</v>
      </c>
      <c r="K971" s="97">
        <f t="shared" ref="K971:N971" si="274">K966</f>
        <v>177</v>
      </c>
      <c r="L971" s="97">
        <f t="shared" si="274"/>
        <v>141</v>
      </c>
      <c r="M971" s="97">
        <f t="shared" si="274"/>
        <v>106</v>
      </c>
      <c r="N971" s="139">
        <f t="shared" si="274"/>
        <v>126</v>
      </c>
      <c r="O971" s="52">
        <f t="shared" ref="O971:O979" si="275">SUM(J971:N971)</f>
        <v>749</v>
      </c>
    </row>
    <row r="972" spans="1:17" x14ac:dyDescent="0.15">
      <c r="A972" s="15" t="s">
        <v>17</v>
      </c>
      <c r="B972" s="8"/>
      <c r="C972" s="10"/>
      <c r="D972" s="10"/>
      <c r="E972" s="10">
        <v>1</v>
      </c>
      <c r="F972" s="30"/>
      <c r="G972" s="7">
        <f t="shared" ref="G972:G977" si="276">SUM(B972:F972)</f>
        <v>1</v>
      </c>
      <c r="H972" s="58">
        <v>44922</v>
      </c>
      <c r="I972" s="15" t="s">
        <v>3</v>
      </c>
      <c r="J972" s="8"/>
      <c r="K972" s="45"/>
      <c r="L972" s="45"/>
      <c r="M972" s="45"/>
      <c r="N972" s="46"/>
      <c r="O972" s="7">
        <f t="shared" ref="O972:O975" si="277">SUM(J972:N972)</f>
        <v>0</v>
      </c>
    </row>
    <row r="973" spans="1:17" x14ac:dyDescent="0.15">
      <c r="A973" s="15" t="s">
        <v>17</v>
      </c>
      <c r="B973" s="8"/>
      <c r="C973" s="10">
        <v>1</v>
      </c>
      <c r="D973" s="10"/>
      <c r="E973" s="10"/>
      <c r="F973" s="30"/>
      <c r="G973" s="7">
        <f t="shared" si="276"/>
        <v>1</v>
      </c>
      <c r="H973" s="58">
        <v>44942</v>
      </c>
      <c r="I973" s="15" t="s">
        <v>4</v>
      </c>
      <c r="J973" s="8"/>
      <c r="K973" s="45"/>
      <c r="L973" s="45"/>
      <c r="M973" s="45"/>
      <c r="N973" s="46"/>
      <c r="O973" s="7">
        <f t="shared" si="277"/>
        <v>0</v>
      </c>
    </row>
    <row r="974" spans="1:17" x14ac:dyDescent="0.15">
      <c r="A974" s="15" t="s">
        <v>27</v>
      </c>
      <c r="B974" s="8"/>
      <c r="C974" s="10"/>
      <c r="D974" s="10"/>
      <c r="E974" s="10"/>
      <c r="F974" s="30">
        <v>3</v>
      </c>
      <c r="G974" s="7">
        <f t="shared" si="276"/>
        <v>3</v>
      </c>
      <c r="H974" s="58">
        <v>45008</v>
      </c>
      <c r="I974" s="15" t="s">
        <v>5</v>
      </c>
      <c r="J974" s="8"/>
      <c r="K974" s="45"/>
      <c r="L974" s="45"/>
      <c r="M974" s="45"/>
      <c r="N974" s="46"/>
      <c r="O974" s="7">
        <f t="shared" si="277"/>
        <v>0</v>
      </c>
    </row>
    <row r="975" spans="1:17" x14ac:dyDescent="0.15">
      <c r="A975" s="15" t="s">
        <v>17</v>
      </c>
      <c r="B975" s="8"/>
      <c r="C975" s="10"/>
      <c r="D975" s="10">
        <v>1</v>
      </c>
      <c r="E975" s="10"/>
      <c r="F975" s="30"/>
      <c r="G975" s="7">
        <f t="shared" si="276"/>
        <v>1</v>
      </c>
      <c r="H975" s="58">
        <v>45012</v>
      </c>
      <c r="I975" s="15" t="s">
        <v>6</v>
      </c>
      <c r="J975" s="8"/>
      <c r="K975" s="45"/>
      <c r="L975" s="45"/>
      <c r="M975" s="45"/>
      <c r="N975" s="46"/>
      <c r="O975" s="7">
        <f t="shared" si="277"/>
        <v>0</v>
      </c>
    </row>
    <row r="976" spans="1:17" x14ac:dyDescent="0.15">
      <c r="A976" s="15" t="s">
        <v>27</v>
      </c>
      <c r="B976" s="8"/>
      <c r="C976" s="10">
        <v>5</v>
      </c>
      <c r="D976" s="10"/>
      <c r="E976" s="10">
        <v>3</v>
      </c>
      <c r="F976" s="30"/>
      <c r="G976" s="7">
        <f t="shared" si="276"/>
        <v>8</v>
      </c>
      <c r="H976" s="58">
        <v>45016</v>
      </c>
      <c r="I976" s="15" t="s">
        <v>84</v>
      </c>
      <c r="J976" s="8"/>
      <c r="K976" s="45"/>
      <c r="L976" s="45"/>
      <c r="M976" s="45"/>
      <c r="N976" s="46"/>
      <c r="O976" s="7">
        <f t="shared" si="275"/>
        <v>0</v>
      </c>
    </row>
    <row r="977" spans="1:17" x14ac:dyDescent="0.15">
      <c r="A977" s="15" t="s">
        <v>27</v>
      </c>
      <c r="B977" s="8">
        <v>2</v>
      </c>
      <c r="C977" s="10">
        <v>8</v>
      </c>
      <c r="D977" s="10">
        <v>8</v>
      </c>
      <c r="E977" s="10">
        <v>8</v>
      </c>
      <c r="F977" s="30"/>
      <c r="G977" s="7">
        <f t="shared" si="276"/>
        <v>26</v>
      </c>
      <c r="H977" s="58">
        <v>45020</v>
      </c>
      <c r="I977" s="15" t="s">
        <v>85</v>
      </c>
      <c r="J977" s="8"/>
      <c r="K977" s="45"/>
      <c r="L977" s="45"/>
      <c r="M977" s="45"/>
      <c r="N977" s="46"/>
      <c r="O977" s="7">
        <f t="shared" si="275"/>
        <v>0</v>
      </c>
    </row>
    <row r="978" spans="1:17" x14ac:dyDescent="0.15">
      <c r="A978" s="15" t="s">
        <v>1574</v>
      </c>
      <c r="B978" s="8"/>
      <c r="C978" s="10">
        <v>1</v>
      </c>
      <c r="D978" s="10"/>
      <c r="E978" s="10">
        <v>1</v>
      </c>
      <c r="F978" s="30"/>
      <c r="G978" s="7">
        <f t="shared" si="273"/>
        <v>2</v>
      </c>
      <c r="H978" s="58">
        <v>45064</v>
      </c>
      <c r="I978" s="15" t="s">
        <v>86</v>
      </c>
      <c r="J978" s="8"/>
      <c r="K978" s="45"/>
      <c r="L978" s="45"/>
      <c r="M978" s="45"/>
      <c r="N978" s="46"/>
      <c r="O978" s="102">
        <f t="shared" si="275"/>
        <v>0</v>
      </c>
    </row>
    <row r="979" spans="1:17" ht="14.25" thickBot="1" x14ac:dyDescent="0.2">
      <c r="A979" s="15" t="s">
        <v>1574</v>
      </c>
      <c r="B979" s="8"/>
      <c r="C979" s="10"/>
      <c r="D979" s="10"/>
      <c r="E979" s="10">
        <v>1</v>
      </c>
      <c r="F979" s="30"/>
      <c r="G979" s="7">
        <f t="shared" si="273"/>
        <v>1</v>
      </c>
      <c r="H979" s="58">
        <v>45065</v>
      </c>
      <c r="I979" s="15" t="s">
        <v>87</v>
      </c>
      <c r="J979" s="47"/>
      <c r="K979" s="48"/>
      <c r="L979" s="48"/>
      <c r="M979" s="48"/>
      <c r="N979" s="49"/>
      <c r="O979" s="40">
        <f t="shared" si="275"/>
        <v>0</v>
      </c>
    </row>
    <row r="980" spans="1:17" ht="14.25" thickBot="1" x14ac:dyDescent="0.2">
      <c r="A980" s="72" t="s">
        <v>7</v>
      </c>
      <c r="B980" s="73">
        <f>SUM(B971:B979)</f>
        <v>12</v>
      </c>
      <c r="C980" s="74">
        <f t="shared" ref="C980:G980" si="278">SUM(C971:C979)</f>
        <v>22</v>
      </c>
      <c r="D980" s="74">
        <f t="shared" si="278"/>
        <v>16</v>
      </c>
      <c r="E980" s="74">
        <f t="shared" si="278"/>
        <v>18</v>
      </c>
      <c r="F980" s="105">
        <f t="shared" si="278"/>
        <v>12</v>
      </c>
      <c r="G980" s="76">
        <f t="shared" si="278"/>
        <v>80</v>
      </c>
      <c r="H980" s="56"/>
      <c r="I980" s="72" t="s">
        <v>7</v>
      </c>
      <c r="J980" s="73">
        <f>SUM(J971:J979)</f>
        <v>199</v>
      </c>
      <c r="K980" s="74">
        <f t="shared" ref="K980:O980" si="279">SUM(K971:K979)</f>
        <v>177</v>
      </c>
      <c r="L980" s="74">
        <f t="shared" si="279"/>
        <v>141</v>
      </c>
      <c r="M980" s="74">
        <f t="shared" si="279"/>
        <v>106</v>
      </c>
      <c r="N980" s="105">
        <f t="shared" si="279"/>
        <v>126</v>
      </c>
      <c r="O980" s="76">
        <f t="shared" si="279"/>
        <v>749</v>
      </c>
    </row>
    <row r="981" spans="1:17" x14ac:dyDescent="0.15">
      <c r="A981" s="16" t="s">
        <v>29</v>
      </c>
      <c r="B981" s="8"/>
      <c r="C981" s="10"/>
      <c r="D981" s="10"/>
      <c r="E981" s="10"/>
      <c r="F981" s="30">
        <v>1</v>
      </c>
      <c r="G981" s="9">
        <f t="shared" ref="G981:G1006" si="280">SUM(B981:F981)</f>
        <v>1</v>
      </c>
      <c r="H981" s="58">
        <v>44914</v>
      </c>
      <c r="I981" s="16" t="s">
        <v>1564</v>
      </c>
      <c r="J981" s="8"/>
      <c r="K981" s="10"/>
      <c r="L981" s="10"/>
      <c r="M981" s="10"/>
      <c r="N981" s="30">
        <v>3</v>
      </c>
      <c r="O981" s="7">
        <f t="shared" ref="O981:O985" si="281">SUM(J981:N981)</f>
        <v>3</v>
      </c>
      <c r="P981" s="58">
        <v>45008</v>
      </c>
      <c r="Q981" s="68"/>
    </row>
    <row r="982" spans="1:17" x14ac:dyDescent="0.15">
      <c r="A982" s="16" t="s">
        <v>1545</v>
      </c>
      <c r="B982" s="8"/>
      <c r="C982" s="10"/>
      <c r="D982" s="10"/>
      <c r="E982" s="10"/>
      <c r="F982" s="30">
        <v>1</v>
      </c>
      <c r="G982" s="7">
        <f t="shared" si="280"/>
        <v>1</v>
      </c>
      <c r="H982" s="58">
        <v>44917</v>
      </c>
      <c r="I982" s="16" t="s">
        <v>24</v>
      </c>
      <c r="J982" s="8"/>
      <c r="K982" s="10">
        <v>5</v>
      </c>
      <c r="L982" s="10"/>
      <c r="M982" s="10">
        <v>3</v>
      </c>
      <c r="N982" s="30"/>
      <c r="O982" s="7">
        <f t="shared" si="281"/>
        <v>8</v>
      </c>
      <c r="P982" s="58">
        <v>45016</v>
      </c>
      <c r="Q982" s="56"/>
    </row>
    <row r="983" spans="1:17" x14ac:dyDescent="0.15">
      <c r="A983" s="16" t="s">
        <v>1546</v>
      </c>
      <c r="B983" s="8"/>
      <c r="C983" s="10"/>
      <c r="D983" s="10"/>
      <c r="E983" s="10"/>
      <c r="F983" s="30">
        <v>1</v>
      </c>
      <c r="G983" s="7">
        <f t="shared" si="280"/>
        <v>1</v>
      </c>
      <c r="H983" s="58">
        <v>44918</v>
      </c>
      <c r="I983" s="16" t="s">
        <v>24</v>
      </c>
      <c r="J983" s="8">
        <v>2</v>
      </c>
      <c r="K983" s="10">
        <v>8</v>
      </c>
      <c r="L983" s="10">
        <v>8</v>
      </c>
      <c r="M983" s="10">
        <v>8</v>
      </c>
      <c r="N983" s="30"/>
      <c r="O983" s="7">
        <f t="shared" si="281"/>
        <v>26</v>
      </c>
      <c r="P983" s="58">
        <v>45020</v>
      </c>
      <c r="Q983" s="56"/>
    </row>
    <row r="984" spans="1:17" x14ac:dyDescent="0.15">
      <c r="A984" s="16" t="s">
        <v>1547</v>
      </c>
      <c r="B984" s="8"/>
      <c r="C984" s="10">
        <v>1</v>
      </c>
      <c r="D984" s="10"/>
      <c r="E984" s="10"/>
      <c r="F984" s="30"/>
      <c r="G984" s="7">
        <f t="shared" si="280"/>
        <v>1</v>
      </c>
      <c r="H984" s="58">
        <v>44922</v>
      </c>
      <c r="I984" s="16"/>
      <c r="J984" s="8"/>
      <c r="K984" s="10"/>
      <c r="L984" s="10"/>
      <c r="M984" s="10"/>
      <c r="N984" s="30"/>
      <c r="O984" s="7">
        <f t="shared" si="281"/>
        <v>0</v>
      </c>
      <c r="P984" s="58"/>
      <c r="Q984" s="56"/>
    </row>
    <row r="985" spans="1:17" x14ac:dyDescent="0.15">
      <c r="A985" s="16" t="s">
        <v>1548</v>
      </c>
      <c r="B985" s="8"/>
      <c r="C985" s="10"/>
      <c r="D985" s="10"/>
      <c r="E985" s="10"/>
      <c r="F985" s="30">
        <v>3</v>
      </c>
      <c r="G985" s="7">
        <f t="shared" si="280"/>
        <v>3</v>
      </c>
      <c r="H985" s="58">
        <v>44566</v>
      </c>
      <c r="I985" s="16"/>
      <c r="J985" s="8"/>
      <c r="K985" s="10"/>
      <c r="L985" s="10"/>
      <c r="M985" s="10"/>
      <c r="N985" s="30"/>
      <c r="O985" s="7">
        <f t="shared" si="281"/>
        <v>0</v>
      </c>
      <c r="P985" s="58"/>
    </row>
    <row r="986" spans="1:17" x14ac:dyDescent="0.15">
      <c r="A986" s="16" t="s">
        <v>1553</v>
      </c>
      <c r="B986" s="8"/>
      <c r="C986" s="10">
        <v>1</v>
      </c>
      <c r="D986" s="10"/>
      <c r="E986" s="10"/>
      <c r="F986" s="30"/>
      <c r="G986" s="7">
        <f t="shared" si="280"/>
        <v>1</v>
      </c>
      <c r="H986" s="58">
        <v>44949</v>
      </c>
      <c r="I986" s="16"/>
      <c r="J986" s="8"/>
      <c r="K986" s="10"/>
      <c r="L986" s="10"/>
      <c r="M986" s="10"/>
      <c r="N986" s="30"/>
      <c r="O986" s="7">
        <f t="shared" ref="O986:O1006" si="282">SUM(J986:N986)</f>
        <v>0</v>
      </c>
      <c r="P986" s="58"/>
    </row>
    <row r="987" spans="1:17" x14ac:dyDescent="0.15">
      <c r="A987" s="16" t="s">
        <v>117</v>
      </c>
      <c r="B987" s="8">
        <v>1</v>
      </c>
      <c r="C987" s="10"/>
      <c r="D987" s="10"/>
      <c r="E987" s="10"/>
      <c r="F987" s="30"/>
      <c r="G987" s="7">
        <f t="shared" si="280"/>
        <v>1</v>
      </c>
      <c r="H987" s="58">
        <v>44974</v>
      </c>
      <c r="I987" s="16"/>
      <c r="J987" s="8"/>
      <c r="K987" s="10"/>
      <c r="L987" s="10"/>
      <c r="M987" s="10"/>
      <c r="N987" s="30"/>
      <c r="O987" s="7">
        <f t="shared" si="282"/>
        <v>0</v>
      </c>
      <c r="P987" s="58"/>
    </row>
    <row r="988" spans="1:17" x14ac:dyDescent="0.15">
      <c r="A988" s="16" t="s">
        <v>1560</v>
      </c>
      <c r="B988" s="8"/>
      <c r="C988" s="10"/>
      <c r="D988" s="10">
        <v>1</v>
      </c>
      <c r="E988" s="10"/>
      <c r="F988" s="30"/>
      <c r="G988" s="7">
        <f t="shared" si="280"/>
        <v>1</v>
      </c>
      <c r="H988" s="58">
        <v>44986</v>
      </c>
      <c r="I988" s="16"/>
      <c r="J988" s="8"/>
      <c r="K988" s="10"/>
      <c r="L988" s="10"/>
      <c r="M988" s="10"/>
      <c r="N988" s="30"/>
      <c r="O988" s="7">
        <f t="shared" si="282"/>
        <v>0</v>
      </c>
      <c r="P988" s="58"/>
    </row>
    <row r="989" spans="1:17" x14ac:dyDescent="0.15">
      <c r="A989" s="16" t="s">
        <v>29</v>
      </c>
      <c r="B989" s="8"/>
      <c r="C989" s="10">
        <v>1</v>
      </c>
      <c r="D989" s="10"/>
      <c r="E989" s="10"/>
      <c r="F989" s="30"/>
      <c r="G989" s="7">
        <f t="shared" si="280"/>
        <v>1</v>
      </c>
      <c r="H989" s="58">
        <v>44991</v>
      </c>
      <c r="I989" s="16"/>
      <c r="J989" s="11"/>
      <c r="K989" s="100"/>
      <c r="L989" s="100"/>
      <c r="M989" s="100"/>
      <c r="N989" s="109"/>
      <c r="O989" s="9">
        <f t="shared" si="282"/>
        <v>0</v>
      </c>
      <c r="P989" s="58"/>
    </row>
    <row r="990" spans="1:17" x14ac:dyDescent="0.15">
      <c r="A990" s="16" t="s">
        <v>29</v>
      </c>
      <c r="B990" s="8"/>
      <c r="C990" s="10">
        <v>1</v>
      </c>
      <c r="D990" s="10"/>
      <c r="E990" s="10"/>
      <c r="F990" s="30"/>
      <c r="G990" s="7">
        <f t="shared" si="280"/>
        <v>1</v>
      </c>
      <c r="H990" s="58">
        <v>44995</v>
      </c>
      <c r="I990" s="16"/>
      <c r="J990" s="8"/>
      <c r="K990" s="10"/>
      <c r="L990" s="10"/>
      <c r="M990" s="10"/>
      <c r="N990" s="59"/>
      <c r="O990" s="7">
        <f t="shared" si="282"/>
        <v>0</v>
      </c>
      <c r="P990" s="58"/>
    </row>
    <row r="991" spans="1:17" x14ac:dyDescent="0.15">
      <c r="A991" s="16" t="s">
        <v>1563</v>
      </c>
      <c r="B991" s="11"/>
      <c r="C991" s="12"/>
      <c r="D991" s="12"/>
      <c r="E991" s="12"/>
      <c r="F991" s="31">
        <v>1</v>
      </c>
      <c r="G991" s="7">
        <f t="shared" si="280"/>
        <v>1</v>
      </c>
      <c r="H991" s="58">
        <v>44999</v>
      </c>
      <c r="I991" s="15"/>
      <c r="J991" s="8"/>
      <c r="K991" s="10"/>
      <c r="L991" s="10"/>
      <c r="M991" s="10"/>
      <c r="N991" s="30"/>
      <c r="O991" s="7">
        <f t="shared" si="282"/>
        <v>0</v>
      </c>
      <c r="P991" s="58"/>
    </row>
    <row r="992" spans="1:17" x14ac:dyDescent="0.15">
      <c r="A992" s="16" t="s">
        <v>29</v>
      </c>
      <c r="B992" s="8"/>
      <c r="C992" s="10">
        <v>1</v>
      </c>
      <c r="D992" s="10"/>
      <c r="E992" s="10"/>
      <c r="F992" s="30">
        <v>1</v>
      </c>
      <c r="G992" s="7">
        <f t="shared" si="280"/>
        <v>2</v>
      </c>
      <c r="H992" s="58">
        <v>45012</v>
      </c>
      <c r="I992" s="15"/>
      <c r="J992" s="8"/>
      <c r="K992" s="10"/>
      <c r="L992" s="10"/>
      <c r="M992" s="10"/>
      <c r="N992" s="30"/>
      <c r="O992" s="7">
        <f t="shared" si="282"/>
        <v>0</v>
      </c>
      <c r="P992" s="58"/>
    </row>
    <row r="993" spans="1:17" x14ac:dyDescent="0.15">
      <c r="A993" s="16" t="s">
        <v>29</v>
      </c>
      <c r="B993" s="8">
        <v>1</v>
      </c>
      <c r="C993" s="10"/>
      <c r="D993" s="10"/>
      <c r="E993" s="10"/>
      <c r="F993" s="30"/>
      <c r="G993" s="7">
        <f t="shared" si="280"/>
        <v>1</v>
      </c>
      <c r="H993" s="58">
        <v>45013</v>
      </c>
      <c r="I993" s="16"/>
      <c r="J993" s="8"/>
      <c r="K993" s="10"/>
      <c r="L993" s="10"/>
      <c r="M993" s="10"/>
      <c r="N993" s="30"/>
      <c r="O993" s="7">
        <f t="shared" si="282"/>
        <v>0</v>
      </c>
      <c r="P993" s="58"/>
    </row>
    <row r="994" spans="1:17" x14ac:dyDescent="0.15">
      <c r="A994" s="14" t="s">
        <v>1565</v>
      </c>
      <c r="B994" s="8"/>
      <c r="C994" s="10">
        <v>2</v>
      </c>
      <c r="D994" s="10"/>
      <c r="E994" s="10">
        <v>3</v>
      </c>
      <c r="F994" s="30"/>
      <c r="G994" s="7">
        <f t="shared" si="280"/>
        <v>5</v>
      </c>
      <c r="H994" s="58">
        <v>45019</v>
      </c>
      <c r="I994" s="16"/>
      <c r="J994" s="11"/>
      <c r="K994" s="12"/>
      <c r="L994" s="12"/>
      <c r="M994" s="12"/>
      <c r="N994" s="31"/>
      <c r="O994" s="7">
        <f t="shared" si="282"/>
        <v>0</v>
      </c>
      <c r="P994" s="58"/>
    </row>
    <row r="995" spans="1:17" x14ac:dyDescent="0.15">
      <c r="A995" s="14" t="s">
        <v>1566</v>
      </c>
      <c r="B995" s="8"/>
      <c r="C995" s="10">
        <v>2</v>
      </c>
      <c r="D995" s="10">
        <v>2</v>
      </c>
      <c r="E995" s="10"/>
      <c r="F995" s="30"/>
      <c r="G995" s="7">
        <f t="shared" si="280"/>
        <v>4</v>
      </c>
      <c r="H995" s="58">
        <v>45020</v>
      </c>
      <c r="I995" s="16"/>
      <c r="J995" s="8"/>
      <c r="K995" s="10"/>
      <c r="L995" s="10"/>
      <c r="M995" s="10"/>
      <c r="N995" s="30"/>
      <c r="O995" s="7">
        <f t="shared" si="282"/>
        <v>0</v>
      </c>
      <c r="P995" s="58"/>
    </row>
    <row r="996" spans="1:17" x14ac:dyDescent="0.15">
      <c r="A996" s="14" t="s">
        <v>1569</v>
      </c>
      <c r="B996" s="8"/>
      <c r="C996" s="10">
        <v>2</v>
      </c>
      <c r="D996" s="10">
        <v>2</v>
      </c>
      <c r="E996" s="10">
        <v>4</v>
      </c>
      <c r="F996" s="30"/>
      <c r="G996" s="7">
        <f t="shared" si="280"/>
        <v>8</v>
      </c>
      <c r="H996" s="58">
        <v>45021</v>
      </c>
      <c r="I996" s="15"/>
      <c r="J996" s="8"/>
      <c r="K996" s="10"/>
      <c r="L996" s="10"/>
      <c r="M996" s="10"/>
      <c r="N996" s="30"/>
      <c r="O996" s="7">
        <f t="shared" si="282"/>
        <v>0</v>
      </c>
      <c r="P996" s="58"/>
    </row>
    <row r="997" spans="1:17" x14ac:dyDescent="0.15">
      <c r="A997" s="16" t="s">
        <v>117</v>
      </c>
      <c r="B997" s="8"/>
      <c r="C997" s="10"/>
      <c r="D997" s="10">
        <v>1</v>
      </c>
      <c r="E997" s="10"/>
      <c r="F997" s="30"/>
      <c r="G997" s="7">
        <f t="shared" si="280"/>
        <v>1</v>
      </c>
      <c r="H997" s="58">
        <v>45023</v>
      </c>
      <c r="I997" s="16"/>
      <c r="J997" s="11"/>
      <c r="K997" s="12"/>
      <c r="L997" s="12"/>
      <c r="M997" s="12"/>
      <c r="N997" s="31"/>
      <c r="O997" s="7">
        <f t="shared" si="282"/>
        <v>0</v>
      </c>
      <c r="P997" s="58"/>
    </row>
    <row r="998" spans="1:17" x14ac:dyDescent="0.15">
      <c r="A998" s="16" t="s">
        <v>29</v>
      </c>
      <c r="B998" s="8"/>
      <c r="C998" s="10"/>
      <c r="D998" s="10"/>
      <c r="E998" s="10">
        <v>1</v>
      </c>
      <c r="F998" s="30"/>
      <c r="G998" s="7">
        <f t="shared" si="280"/>
        <v>1</v>
      </c>
      <c r="H998" s="58">
        <v>45112</v>
      </c>
      <c r="I998" s="16"/>
      <c r="J998" s="11"/>
      <c r="K998" s="12"/>
      <c r="L998" s="12"/>
      <c r="M998" s="12"/>
      <c r="N998" s="31"/>
      <c r="O998" s="7">
        <f t="shared" si="282"/>
        <v>0</v>
      </c>
      <c r="P998" s="58"/>
    </row>
    <row r="999" spans="1:17" x14ac:dyDescent="0.15">
      <c r="A999" s="16" t="s">
        <v>29</v>
      </c>
      <c r="B999" s="8"/>
      <c r="C999" s="10"/>
      <c r="D999" s="10">
        <v>1</v>
      </c>
      <c r="E999" s="10"/>
      <c r="F999" s="30"/>
      <c r="G999" s="7">
        <f t="shared" si="280"/>
        <v>1</v>
      </c>
      <c r="H999" s="58">
        <v>45133</v>
      </c>
      <c r="I999" s="16"/>
      <c r="J999" s="11"/>
      <c r="K999" s="12"/>
      <c r="L999" s="12"/>
      <c r="M999" s="12"/>
      <c r="N999" s="31"/>
      <c r="O999" s="7">
        <f t="shared" si="282"/>
        <v>0</v>
      </c>
      <c r="P999" s="56"/>
    </row>
    <row r="1000" spans="1:17" x14ac:dyDescent="0.15">
      <c r="A1000" s="16" t="s">
        <v>1577</v>
      </c>
      <c r="B1000" s="8">
        <v>1</v>
      </c>
      <c r="C1000" s="10"/>
      <c r="D1000" s="10"/>
      <c r="E1000" s="10"/>
      <c r="F1000" s="30"/>
      <c r="G1000" s="7">
        <f t="shared" si="280"/>
        <v>1</v>
      </c>
      <c r="H1000" s="58">
        <v>45146</v>
      </c>
      <c r="I1000" s="16"/>
      <c r="J1000" s="11"/>
      <c r="K1000" s="12"/>
      <c r="L1000" s="12"/>
      <c r="M1000" s="12"/>
      <c r="N1000" s="31"/>
      <c r="O1000" s="7">
        <f t="shared" si="282"/>
        <v>0</v>
      </c>
    </row>
    <row r="1001" spans="1:17" x14ac:dyDescent="0.15">
      <c r="A1001" s="16" t="s">
        <v>29</v>
      </c>
      <c r="B1001" s="8"/>
      <c r="C1001" s="10"/>
      <c r="D1001" s="10"/>
      <c r="E1001" s="10">
        <v>1</v>
      </c>
      <c r="F1001" s="30"/>
      <c r="G1001" s="7">
        <f t="shared" si="280"/>
        <v>1</v>
      </c>
      <c r="H1001" s="58">
        <v>45146</v>
      </c>
      <c r="I1001" s="16"/>
      <c r="J1001" s="11"/>
      <c r="K1001" s="12"/>
      <c r="L1001" s="12"/>
      <c r="M1001" s="12"/>
      <c r="N1001" s="31"/>
      <c r="O1001" s="7">
        <f t="shared" si="282"/>
        <v>0</v>
      </c>
    </row>
    <row r="1002" spans="1:17" x14ac:dyDescent="0.15">
      <c r="A1002" s="16" t="s">
        <v>29</v>
      </c>
      <c r="B1002" s="8"/>
      <c r="C1002" s="10"/>
      <c r="D1002" s="10"/>
      <c r="E1002" s="10"/>
      <c r="F1002" s="59">
        <v>1</v>
      </c>
      <c r="G1002" s="7">
        <f t="shared" si="280"/>
        <v>1</v>
      </c>
      <c r="H1002" s="58">
        <v>45155</v>
      </c>
      <c r="I1002" s="14"/>
      <c r="J1002" s="11"/>
      <c r="K1002" s="12"/>
      <c r="L1002" s="12"/>
      <c r="M1002" s="12"/>
      <c r="N1002" s="31"/>
      <c r="O1002" s="7">
        <f t="shared" si="282"/>
        <v>0</v>
      </c>
    </row>
    <row r="1003" spans="1:17" x14ac:dyDescent="0.15">
      <c r="A1003" s="16" t="s">
        <v>1580</v>
      </c>
      <c r="B1003" s="37">
        <v>0</v>
      </c>
      <c r="C1003" s="35">
        <v>0</v>
      </c>
      <c r="D1003" s="35">
        <v>0</v>
      </c>
      <c r="E1003" s="35">
        <v>0</v>
      </c>
      <c r="F1003" s="28">
        <v>0</v>
      </c>
      <c r="G1003" s="7">
        <f t="shared" si="280"/>
        <v>0</v>
      </c>
      <c r="H1003" s="58">
        <v>45162</v>
      </c>
      <c r="I1003" s="16"/>
      <c r="J1003" s="11"/>
      <c r="K1003" s="12"/>
      <c r="L1003" s="12"/>
      <c r="M1003" s="12"/>
      <c r="N1003" s="31"/>
      <c r="O1003" s="7">
        <f t="shared" si="282"/>
        <v>0</v>
      </c>
    </row>
    <row r="1004" spans="1:17" x14ac:dyDescent="0.15">
      <c r="A1004" s="16" t="s">
        <v>117</v>
      </c>
      <c r="B1004" s="8"/>
      <c r="C1004" s="10"/>
      <c r="D1004" s="10"/>
      <c r="E1004" s="10">
        <v>1</v>
      </c>
      <c r="F1004" s="30"/>
      <c r="G1004" s="7">
        <f t="shared" si="280"/>
        <v>1</v>
      </c>
      <c r="H1004" s="58">
        <v>45167</v>
      </c>
      <c r="I1004" s="16"/>
      <c r="J1004" s="11"/>
      <c r="K1004" s="12"/>
      <c r="L1004" s="12"/>
      <c r="M1004" s="12"/>
      <c r="N1004" s="31"/>
      <c r="O1004" s="7">
        <f t="shared" si="282"/>
        <v>0</v>
      </c>
    </row>
    <row r="1005" spans="1:17" x14ac:dyDescent="0.15">
      <c r="A1005" s="16"/>
      <c r="B1005" s="8"/>
      <c r="C1005" s="10"/>
      <c r="D1005" s="10"/>
      <c r="E1005" s="10"/>
      <c r="F1005" s="30"/>
      <c r="G1005" s="9">
        <f t="shared" si="280"/>
        <v>0</v>
      </c>
      <c r="H1005" s="58"/>
      <c r="I1005" s="14"/>
      <c r="J1005" s="11"/>
      <c r="K1005" s="12"/>
      <c r="L1005" s="12"/>
      <c r="M1005" s="12"/>
      <c r="N1005" s="31"/>
      <c r="O1005" s="7">
        <f t="shared" si="282"/>
        <v>0</v>
      </c>
      <c r="P1005" s="56"/>
      <c r="Q1005" s="56"/>
    </row>
    <row r="1006" spans="1:17" ht="14.25" thickBot="1" x14ac:dyDescent="0.2">
      <c r="A1006" s="51"/>
      <c r="B1006" s="37"/>
      <c r="C1006" s="35"/>
      <c r="D1006" s="35"/>
      <c r="E1006" s="35"/>
      <c r="F1006" s="28"/>
      <c r="G1006" s="7">
        <f t="shared" si="280"/>
        <v>0</v>
      </c>
      <c r="H1006" s="58"/>
      <c r="I1006" s="14" t="s">
        <v>1556</v>
      </c>
      <c r="J1006" s="11"/>
      <c r="K1006" s="12"/>
      <c r="L1006" s="12"/>
      <c r="M1006" s="12"/>
      <c r="N1006" s="31"/>
      <c r="O1006" s="7">
        <f t="shared" si="282"/>
        <v>0</v>
      </c>
      <c r="P1006" s="56" t="s">
        <v>1557</v>
      </c>
    </row>
    <row r="1007" spans="1:17" ht="14.25" thickBot="1" x14ac:dyDescent="0.2">
      <c r="A1007" s="3" t="s">
        <v>11</v>
      </c>
      <c r="B1007" s="23">
        <f>SUM(B981:B1006)</f>
        <v>3</v>
      </c>
      <c r="C1007" s="4">
        <f>SUM(C981:C1006)</f>
        <v>11</v>
      </c>
      <c r="D1007" s="4">
        <f>SUM(D981:D1006)</f>
        <v>7</v>
      </c>
      <c r="E1007" s="6">
        <f>SUM(E981:E1006)</f>
        <v>10</v>
      </c>
      <c r="F1007" s="32">
        <f>SUM(F981:F1006)</f>
        <v>9</v>
      </c>
      <c r="G1007" s="5">
        <f>SUM(B1007:F1007)</f>
        <v>40</v>
      </c>
      <c r="H1007" s="56"/>
      <c r="I1007" s="3" t="s">
        <v>11</v>
      </c>
      <c r="J1007" s="23">
        <f>SUM(J981:J1006)</f>
        <v>2</v>
      </c>
      <c r="K1007" s="4">
        <f>SUM(K981:K1006)</f>
        <v>13</v>
      </c>
      <c r="L1007" s="4">
        <f>SUM(L981:L1006)</f>
        <v>8</v>
      </c>
      <c r="M1007" s="6">
        <f>SUM(M981:M1006)</f>
        <v>11</v>
      </c>
      <c r="N1007" s="32">
        <f>SUM(N981:N1006)</f>
        <v>3</v>
      </c>
      <c r="O1007" s="5">
        <f>SUM(J1007:N1007)</f>
        <v>37</v>
      </c>
    </row>
    <row r="1008" spans="1:17" ht="14.25" thickBot="1" x14ac:dyDescent="0.2">
      <c r="A1008" s="25" t="s">
        <v>12</v>
      </c>
      <c r="B1008" s="63">
        <f>B980-B1007</f>
        <v>9</v>
      </c>
      <c r="C1008" s="26">
        <f t="shared" ref="C1008:G1008" si="283">C980-C1007</f>
        <v>11</v>
      </c>
      <c r="D1008" s="71">
        <f t="shared" si="283"/>
        <v>9</v>
      </c>
      <c r="E1008" s="26">
        <f t="shared" si="283"/>
        <v>8</v>
      </c>
      <c r="F1008" s="70">
        <f t="shared" si="283"/>
        <v>3</v>
      </c>
      <c r="G1008" s="27">
        <f t="shared" si="283"/>
        <v>40</v>
      </c>
      <c r="H1008" s="56"/>
      <c r="I1008" s="25" t="s">
        <v>12</v>
      </c>
      <c r="J1008" s="63">
        <f t="shared" ref="J1008:O1008" si="284">J980-J1007</f>
        <v>197</v>
      </c>
      <c r="K1008" s="26">
        <f t="shared" si="284"/>
        <v>164</v>
      </c>
      <c r="L1008" s="71">
        <f t="shared" si="284"/>
        <v>133</v>
      </c>
      <c r="M1008" s="26">
        <f t="shared" si="284"/>
        <v>95</v>
      </c>
      <c r="N1008" s="70">
        <f t="shared" si="284"/>
        <v>123</v>
      </c>
      <c r="O1008" s="27">
        <f t="shared" si="284"/>
        <v>712</v>
      </c>
    </row>
    <row r="1009" spans="1:18" ht="21" x14ac:dyDescent="0.2">
      <c r="A1009" s="86" t="s">
        <v>413</v>
      </c>
      <c r="B1009" s="87"/>
      <c r="C1009" s="87"/>
      <c r="D1009" s="87"/>
      <c r="E1009" s="87"/>
      <c r="F1009" s="87"/>
      <c r="G1009" s="87"/>
      <c r="H1009" s="56"/>
      <c r="I1009" s="86" t="s">
        <v>413</v>
      </c>
      <c r="J1009" s="87"/>
      <c r="K1009" s="87"/>
      <c r="L1009" s="87"/>
      <c r="M1009" s="87"/>
      <c r="N1009" s="87"/>
      <c r="O1009" s="87"/>
    </row>
    <row r="1010" spans="1:18" ht="21.75" thickBot="1" x14ac:dyDescent="0.25">
      <c r="A1010" s="86" t="s">
        <v>51</v>
      </c>
      <c r="B1010" s="87"/>
      <c r="C1010" s="87"/>
      <c r="D1010" s="87"/>
      <c r="E1010" s="85"/>
      <c r="F1010" s="88" t="s">
        <v>53</v>
      </c>
      <c r="G1010" s="87"/>
      <c r="H1010" s="56"/>
      <c r="I1010" s="86" t="s">
        <v>51</v>
      </c>
      <c r="J1010" s="87"/>
      <c r="K1010" s="87"/>
      <c r="L1010" s="87"/>
      <c r="M1010" s="89"/>
      <c r="N1010" s="88" t="s">
        <v>54</v>
      </c>
      <c r="O1010" s="87"/>
    </row>
    <row r="1011" spans="1:18" ht="14.25" thickBot="1" x14ac:dyDescent="0.2">
      <c r="A1011" s="13" t="s">
        <v>0</v>
      </c>
      <c r="B1011" s="228" t="s">
        <v>52</v>
      </c>
      <c r="C1011" s="229"/>
      <c r="D1011" s="229"/>
      <c r="E1011" s="229"/>
      <c r="F1011" s="230"/>
      <c r="G1011" s="231"/>
      <c r="H1011" s="56"/>
      <c r="I1011" s="13" t="s">
        <v>0</v>
      </c>
      <c r="J1011" s="228" t="s">
        <v>52</v>
      </c>
      <c r="K1011" s="229"/>
      <c r="L1011" s="229"/>
      <c r="M1011" s="229"/>
      <c r="N1011" s="230"/>
      <c r="O1011" s="231"/>
    </row>
    <row r="1012" spans="1:18" ht="14.25" thickBot="1" x14ac:dyDescent="0.2">
      <c r="A1012" s="3" t="s">
        <v>1</v>
      </c>
      <c r="B1012" s="2" t="s">
        <v>42</v>
      </c>
      <c r="C1012" s="21" t="s">
        <v>43</v>
      </c>
      <c r="D1012" s="21" t="s">
        <v>44</v>
      </c>
      <c r="E1012" s="24" t="s">
        <v>45</v>
      </c>
      <c r="F1012" s="33" t="s">
        <v>46</v>
      </c>
      <c r="G1012" s="3" t="s">
        <v>2</v>
      </c>
      <c r="H1012" s="56"/>
      <c r="I1012" s="3" t="s">
        <v>1</v>
      </c>
      <c r="J1012" s="41" t="s">
        <v>42</v>
      </c>
      <c r="K1012" s="42" t="s">
        <v>43</v>
      </c>
      <c r="L1012" s="42" t="s">
        <v>44</v>
      </c>
      <c r="M1012" s="43" t="s">
        <v>45</v>
      </c>
      <c r="N1012" s="44" t="s">
        <v>46</v>
      </c>
      <c r="O1012" s="3" t="s">
        <v>2</v>
      </c>
    </row>
    <row r="1013" spans="1:18" x14ac:dyDescent="0.15">
      <c r="A1013" s="96" t="s">
        <v>13</v>
      </c>
      <c r="B1013" s="95">
        <f>B1008</f>
        <v>9</v>
      </c>
      <c r="C1013" s="97">
        <f t="shared" ref="C1013:F1013" si="285">C1008</f>
        <v>11</v>
      </c>
      <c r="D1013" s="97">
        <f t="shared" si="285"/>
        <v>9</v>
      </c>
      <c r="E1013" s="97">
        <f t="shared" si="285"/>
        <v>8</v>
      </c>
      <c r="F1013" s="139">
        <f t="shared" si="285"/>
        <v>3</v>
      </c>
      <c r="G1013" s="52">
        <f t="shared" ref="G1013:G1021" si="286">SUM(B1013:F1013)</f>
        <v>40</v>
      </c>
      <c r="H1013" s="58"/>
      <c r="I1013" s="96" t="s">
        <v>13</v>
      </c>
      <c r="J1013" s="95">
        <f>J1008</f>
        <v>197</v>
      </c>
      <c r="K1013" s="97">
        <f t="shared" ref="K1013:N1013" si="287">K1008</f>
        <v>164</v>
      </c>
      <c r="L1013" s="97">
        <f t="shared" si="287"/>
        <v>133</v>
      </c>
      <c r="M1013" s="97">
        <f t="shared" si="287"/>
        <v>95</v>
      </c>
      <c r="N1013" s="139">
        <f t="shared" si="287"/>
        <v>123</v>
      </c>
      <c r="O1013" s="52">
        <f t="shared" ref="O1013:O1021" si="288">SUM(J1013:N1013)</f>
        <v>712</v>
      </c>
    </row>
    <row r="1014" spans="1:18" x14ac:dyDescent="0.15">
      <c r="A1014" s="15" t="s">
        <v>27</v>
      </c>
      <c r="B1014" s="8"/>
      <c r="C1014" s="10"/>
      <c r="D1014" s="10"/>
      <c r="E1014" s="10"/>
      <c r="F1014" s="30">
        <v>5</v>
      </c>
      <c r="G1014" s="7">
        <f t="shared" si="286"/>
        <v>5</v>
      </c>
      <c r="H1014" s="58">
        <v>45245</v>
      </c>
      <c r="I1014" s="15" t="s">
        <v>3</v>
      </c>
      <c r="J1014" s="8">
        <v>9</v>
      </c>
      <c r="K1014" s="45">
        <v>6</v>
      </c>
      <c r="L1014" s="45">
        <v>6</v>
      </c>
      <c r="M1014" s="45">
        <v>9</v>
      </c>
      <c r="N1014" s="46"/>
      <c r="O1014" s="7">
        <f t="shared" si="288"/>
        <v>30</v>
      </c>
      <c r="P1014" s="57">
        <v>45458</v>
      </c>
    </row>
    <row r="1015" spans="1:18" x14ac:dyDescent="0.15">
      <c r="A1015" s="15" t="s">
        <v>27</v>
      </c>
      <c r="B1015" s="8">
        <v>3</v>
      </c>
      <c r="C1015" s="10"/>
      <c r="D1015" s="10"/>
      <c r="E1015" s="10"/>
      <c r="F1015" s="30"/>
      <c r="G1015" s="7">
        <f t="shared" si="286"/>
        <v>3</v>
      </c>
      <c r="H1015" s="58">
        <v>45310</v>
      </c>
      <c r="I1015" s="15" t="s">
        <v>4</v>
      </c>
      <c r="J1015" s="8"/>
      <c r="K1015" s="45"/>
      <c r="L1015" s="45"/>
      <c r="M1015" s="45"/>
      <c r="N1015" s="46"/>
      <c r="O1015" s="7">
        <f t="shared" si="288"/>
        <v>0</v>
      </c>
    </row>
    <row r="1016" spans="1:18" x14ac:dyDescent="0.15">
      <c r="A1016" s="15" t="s">
        <v>1620</v>
      </c>
      <c r="B1016" s="8">
        <v>2</v>
      </c>
      <c r="C1016" s="10"/>
      <c r="D1016" s="10">
        <v>1</v>
      </c>
      <c r="E1016" s="10">
        <v>2</v>
      </c>
      <c r="F1016" s="30"/>
      <c r="G1016" s="7">
        <f t="shared" si="286"/>
        <v>5</v>
      </c>
      <c r="H1016" s="58">
        <v>45456</v>
      </c>
      <c r="I1016" s="15" t="s">
        <v>5</v>
      </c>
      <c r="J1016" s="8"/>
      <c r="K1016" s="45"/>
      <c r="L1016" s="45"/>
      <c r="M1016" s="45"/>
      <c r="N1016" s="46"/>
      <c r="O1016" s="7">
        <f t="shared" si="288"/>
        <v>0</v>
      </c>
    </row>
    <row r="1017" spans="1:18" x14ac:dyDescent="0.15">
      <c r="A1017" s="15" t="s">
        <v>1620</v>
      </c>
      <c r="B1017" s="8">
        <v>7</v>
      </c>
      <c r="C1017" s="10">
        <v>6</v>
      </c>
      <c r="D1017" s="10">
        <v>5</v>
      </c>
      <c r="E1017" s="10">
        <v>7</v>
      </c>
      <c r="F1017" s="30"/>
      <c r="G1017" s="7">
        <f t="shared" si="286"/>
        <v>25</v>
      </c>
      <c r="H1017" s="58">
        <v>45456</v>
      </c>
      <c r="I1017" s="15" t="s">
        <v>6</v>
      </c>
      <c r="J1017" s="8"/>
      <c r="K1017" s="45"/>
      <c r="L1017" s="45"/>
      <c r="M1017" s="45"/>
      <c r="N1017" s="46"/>
      <c r="O1017" s="7">
        <f t="shared" si="288"/>
        <v>0</v>
      </c>
    </row>
    <row r="1018" spans="1:18" x14ac:dyDescent="0.15">
      <c r="A1018" s="15" t="s">
        <v>1620</v>
      </c>
      <c r="B1018" s="8"/>
      <c r="C1018" s="10">
        <v>2</v>
      </c>
      <c r="D1018" s="10">
        <v>1</v>
      </c>
      <c r="E1018" s="10">
        <v>3</v>
      </c>
      <c r="F1018" s="30"/>
      <c r="G1018" s="7">
        <f t="shared" si="286"/>
        <v>6</v>
      </c>
      <c r="H1018" s="58">
        <v>45489</v>
      </c>
      <c r="I1018" s="15" t="s">
        <v>84</v>
      </c>
      <c r="J1018" s="8"/>
      <c r="K1018" s="45"/>
      <c r="L1018" s="45"/>
      <c r="M1018" s="45"/>
      <c r="N1018" s="46"/>
      <c r="O1018" s="7">
        <f t="shared" si="288"/>
        <v>0</v>
      </c>
    </row>
    <row r="1019" spans="1:18" x14ac:dyDescent="0.15">
      <c r="A1019" s="15" t="s">
        <v>27</v>
      </c>
      <c r="B1019" s="8"/>
      <c r="C1019" s="10"/>
      <c r="D1019" s="10"/>
      <c r="E1019" s="10"/>
      <c r="F1019" s="30"/>
      <c r="G1019" s="7">
        <f t="shared" si="286"/>
        <v>0</v>
      </c>
      <c r="H1019" s="58"/>
      <c r="I1019" s="15" t="s">
        <v>85</v>
      </c>
      <c r="J1019" s="8"/>
      <c r="K1019" s="45"/>
      <c r="L1019" s="45"/>
      <c r="M1019" s="45"/>
      <c r="N1019" s="46"/>
      <c r="O1019" s="7">
        <f t="shared" si="288"/>
        <v>0</v>
      </c>
    </row>
    <row r="1020" spans="1:18" x14ac:dyDescent="0.15">
      <c r="A1020" s="15" t="s">
        <v>27</v>
      </c>
      <c r="B1020" s="8"/>
      <c r="C1020" s="10"/>
      <c r="D1020" s="10"/>
      <c r="E1020" s="10"/>
      <c r="F1020" s="30"/>
      <c r="G1020" s="7">
        <f t="shared" si="286"/>
        <v>0</v>
      </c>
      <c r="H1020" s="58"/>
      <c r="I1020" s="15" t="s">
        <v>86</v>
      </c>
      <c r="J1020" s="8"/>
      <c r="K1020" s="45"/>
      <c r="L1020" s="45"/>
      <c r="M1020" s="45"/>
      <c r="N1020" s="46"/>
      <c r="O1020" s="102">
        <f t="shared" si="288"/>
        <v>0</v>
      </c>
    </row>
    <row r="1021" spans="1:18" ht="14.25" thickBot="1" x14ac:dyDescent="0.2">
      <c r="A1021" s="15" t="s">
        <v>27</v>
      </c>
      <c r="B1021" s="8"/>
      <c r="C1021" s="10"/>
      <c r="D1021" s="10"/>
      <c r="E1021" s="10"/>
      <c r="F1021" s="30"/>
      <c r="G1021" s="7">
        <f t="shared" si="286"/>
        <v>0</v>
      </c>
      <c r="H1021" s="58"/>
      <c r="I1021" s="15" t="s">
        <v>87</v>
      </c>
      <c r="J1021" s="47"/>
      <c r="K1021" s="48"/>
      <c r="L1021" s="48"/>
      <c r="M1021" s="48"/>
      <c r="N1021" s="49"/>
      <c r="O1021" s="40">
        <f t="shared" si="288"/>
        <v>0</v>
      </c>
    </row>
    <row r="1022" spans="1:18" ht="14.25" thickBot="1" x14ac:dyDescent="0.2">
      <c r="A1022" s="72" t="s">
        <v>7</v>
      </c>
      <c r="B1022" s="73">
        <f>SUM(B1013:B1021)</f>
        <v>21</v>
      </c>
      <c r="C1022" s="74">
        <f t="shared" ref="C1022:G1022" si="289">SUM(C1013:C1021)</f>
        <v>19</v>
      </c>
      <c r="D1022" s="74">
        <f t="shared" si="289"/>
        <v>16</v>
      </c>
      <c r="E1022" s="74">
        <f t="shared" si="289"/>
        <v>20</v>
      </c>
      <c r="F1022" s="105">
        <f t="shared" si="289"/>
        <v>8</v>
      </c>
      <c r="G1022" s="76">
        <f t="shared" si="289"/>
        <v>84</v>
      </c>
      <c r="H1022" s="56"/>
      <c r="I1022" s="72" t="s">
        <v>7</v>
      </c>
      <c r="J1022" s="73">
        <f>SUM(J1013:J1021)</f>
        <v>206</v>
      </c>
      <c r="K1022" s="74">
        <f t="shared" ref="K1022:O1022" si="290">SUM(K1013:K1021)</f>
        <v>170</v>
      </c>
      <c r="L1022" s="74">
        <f t="shared" si="290"/>
        <v>139</v>
      </c>
      <c r="M1022" s="74">
        <f t="shared" si="290"/>
        <v>104</v>
      </c>
      <c r="N1022" s="105">
        <f t="shared" si="290"/>
        <v>123</v>
      </c>
      <c r="O1022" s="76">
        <f t="shared" si="290"/>
        <v>742</v>
      </c>
    </row>
    <row r="1023" spans="1:18" x14ac:dyDescent="0.15">
      <c r="A1023" s="16" t="s">
        <v>29</v>
      </c>
      <c r="B1023" s="8"/>
      <c r="C1023" s="10">
        <v>1</v>
      </c>
      <c r="D1023" s="10"/>
      <c r="E1023" s="10"/>
      <c r="F1023" s="30"/>
      <c r="G1023" s="9">
        <f t="shared" ref="G1023" si="291">SUM(B1023:F1023)</f>
        <v>1</v>
      </c>
      <c r="H1023" s="58">
        <v>45180</v>
      </c>
      <c r="I1023" s="16" t="s">
        <v>24</v>
      </c>
      <c r="J1023" s="8"/>
      <c r="K1023" s="10"/>
      <c r="L1023" s="10"/>
      <c r="M1023" s="10"/>
      <c r="N1023" s="30">
        <v>5</v>
      </c>
      <c r="O1023" s="7">
        <f t="shared" ref="O1023:O1024" si="292">SUM(J1023:N1023)</f>
        <v>5</v>
      </c>
      <c r="P1023" s="58">
        <v>45245</v>
      </c>
    </row>
    <row r="1024" spans="1:18" x14ac:dyDescent="0.15">
      <c r="A1024" s="16" t="s">
        <v>29</v>
      </c>
      <c r="B1024" s="8"/>
      <c r="C1024" s="10">
        <v>1</v>
      </c>
      <c r="D1024" s="10"/>
      <c r="E1024" s="10"/>
      <c r="F1024" s="30"/>
      <c r="G1024" s="7">
        <f t="shared" ref="G1024:G1045" si="293">SUM(B1024:F1024)</f>
        <v>1</v>
      </c>
      <c r="H1024" s="58">
        <v>45182</v>
      </c>
      <c r="I1024" s="16" t="s">
        <v>24</v>
      </c>
      <c r="J1024" s="8">
        <v>3</v>
      </c>
      <c r="K1024" s="10"/>
      <c r="L1024" s="10"/>
      <c r="M1024" s="10"/>
      <c r="N1024" s="30"/>
      <c r="O1024" s="7">
        <f t="shared" si="292"/>
        <v>3</v>
      </c>
      <c r="P1024" s="58">
        <v>45310</v>
      </c>
      <c r="Q1024" s="56"/>
      <c r="R1024" s="56"/>
    </row>
    <row r="1025" spans="1:19" x14ac:dyDescent="0.15">
      <c r="A1025" s="16" t="s">
        <v>1585</v>
      </c>
      <c r="B1025" s="8">
        <v>1</v>
      </c>
      <c r="C1025" s="10"/>
      <c r="D1025" s="10"/>
      <c r="E1025" s="10"/>
      <c r="F1025" s="30"/>
      <c r="G1025" s="7">
        <f t="shared" si="293"/>
        <v>1</v>
      </c>
      <c r="H1025" s="58">
        <v>45204</v>
      </c>
      <c r="I1025" s="14" t="s">
        <v>1597</v>
      </c>
      <c r="J1025" s="8">
        <v>12</v>
      </c>
      <c r="K1025" s="10">
        <v>13</v>
      </c>
      <c r="L1025" s="10">
        <v>8</v>
      </c>
      <c r="M1025" s="10">
        <v>9</v>
      </c>
      <c r="N1025" s="30"/>
      <c r="O1025" s="7">
        <f t="shared" ref="O1025" si="294">SUM(J1025:N1025)</f>
        <v>42</v>
      </c>
      <c r="P1025" s="58">
        <v>45350</v>
      </c>
      <c r="Q1025" s="56"/>
      <c r="R1025" s="56"/>
    </row>
    <row r="1026" spans="1:19" x14ac:dyDescent="0.15">
      <c r="A1026" s="16" t="s">
        <v>29</v>
      </c>
      <c r="B1026" s="8"/>
      <c r="C1026" s="10"/>
      <c r="D1026" s="10">
        <v>1</v>
      </c>
      <c r="E1026" s="10"/>
      <c r="F1026" s="30"/>
      <c r="G1026" s="7">
        <f t="shared" si="293"/>
        <v>1</v>
      </c>
      <c r="H1026" s="58">
        <v>45209</v>
      </c>
      <c r="I1026" s="14" t="s">
        <v>1601</v>
      </c>
      <c r="J1026" s="8">
        <v>25</v>
      </c>
      <c r="K1026" s="10">
        <v>25</v>
      </c>
      <c r="L1026" s="10">
        <v>25</v>
      </c>
      <c r="M1026" s="10">
        <v>25</v>
      </c>
      <c r="N1026" s="30"/>
      <c r="O1026" s="7">
        <f t="shared" ref="O1026:O1048" si="295">SUM(J1026:N1026)</f>
        <v>100</v>
      </c>
      <c r="P1026" s="58">
        <v>45397</v>
      </c>
      <c r="Q1026" s="56"/>
      <c r="R1026" s="56"/>
    </row>
    <row r="1027" spans="1:19" x14ac:dyDescent="0.15">
      <c r="A1027" s="16" t="s">
        <v>29</v>
      </c>
      <c r="B1027" s="8">
        <v>1</v>
      </c>
      <c r="C1027" s="10"/>
      <c r="D1027" s="10"/>
      <c r="E1027" s="10"/>
      <c r="F1027" s="30"/>
      <c r="G1027" s="7">
        <f t="shared" si="293"/>
        <v>1</v>
      </c>
      <c r="H1027" s="58">
        <v>45211</v>
      </c>
      <c r="I1027" s="14" t="s">
        <v>1605</v>
      </c>
      <c r="J1027" s="8"/>
      <c r="K1027" s="10">
        <v>10</v>
      </c>
      <c r="L1027" s="10">
        <v>3</v>
      </c>
      <c r="M1027" s="10">
        <v>10</v>
      </c>
      <c r="N1027" s="30"/>
      <c r="O1027" s="7">
        <f t="shared" si="295"/>
        <v>23</v>
      </c>
      <c r="P1027" s="58">
        <v>45421</v>
      </c>
      <c r="Q1027" s="56"/>
      <c r="R1027" s="56"/>
    </row>
    <row r="1028" spans="1:19" x14ac:dyDescent="0.15">
      <c r="A1028" s="16" t="s">
        <v>29</v>
      </c>
      <c r="B1028" s="8"/>
      <c r="C1028" s="10"/>
      <c r="D1028" s="10"/>
      <c r="E1028" s="10">
        <v>1</v>
      </c>
      <c r="F1028" s="30"/>
      <c r="G1028" s="7">
        <f t="shared" si="293"/>
        <v>1</v>
      </c>
      <c r="H1028" s="58">
        <v>45215</v>
      </c>
      <c r="I1028" s="14" t="s">
        <v>1607</v>
      </c>
      <c r="J1028" s="8"/>
      <c r="K1028" s="10"/>
      <c r="L1028" s="10">
        <v>2</v>
      </c>
      <c r="M1028" s="10"/>
      <c r="N1028" s="30"/>
      <c r="O1028" s="7">
        <f t="shared" si="295"/>
        <v>2</v>
      </c>
      <c r="P1028" s="58">
        <v>45415</v>
      </c>
    </row>
    <row r="1029" spans="1:19" x14ac:dyDescent="0.15">
      <c r="A1029" s="16" t="s">
        <v>1586</v>
      </c>
      <c r="B1029" s="8">
        <v>1</v>
      </c>
      <c r="C1029" s="10"/>
      <c r="D1029" s="10"/>
      <c r="E1029" s="10"/>
      <c r="F1029" s="30"/>
      <c r="G1029" s="7">
        <f t="shared" si="293"/>
        <v>1</v>
      </c>
      <c r="H1029" s="58">
        <v>45217</v>
      </c>
      <c r="I1029" s="14" t="s">
        <v>1609</v>
      </c>
      <c r="J1029" s="8">
        <v>3</v>
      </c>
      <c r="K1029" s="10">
        <v>5</v>
      </c>
      <c r="L1029" s="10">
        <v>5</v>
      </c>
      <c r="M1029" s="10">
        <v>10</v>
      </c>
      <c r="N1029" s="30"/>
      <c r="O1029" s="7">
        <f t="shared" si="295"/>
        <v>23</v>
      </c>
      <c r="P1029" s="58">
        <v>45429</v>
      </c>
      <c r="Q1029" s="56"/>
      <c r="R1029" s="56"/>
    </row>
    <row r="1030" spans="1:19" x14ac:dyDescent="0.15">
      <c r="A1030" s="16" t="s">
        <v>1587</v>
      </c>
      <c r="B1030" s="8"/>
      <c r="C1030" s="10"/>
      <c r="D1030" s="10"/>
      <c r="E1030" s="10"/>
      <c r="F1030" s="30">
        <v>1</v>
      </c>
      <c r="G1030" s="7">
        <f t="shared" si="293"/>
        <v>1</v>
      </c>
      <c r="H1030" s="58">
        <v>45218</v>
      </c>
      <c r="I1030" s="14" t="s">
        <v>1610</v>
      </c>
      <c r="J1030" s="8"/>
      <c r="K1030" s="10">
        <v>5</v>
      </c>
      <c r="L1030" s="10"/>
      <c r="M1030" s="10">
        <v>5</v>
      </c>
      <c r="N1030" s="30"/>
      <c r="O1030" s="7">
        <f t="shared" si="295"/>
        <v>10</v>
      </c>
      <c r="P1030" s="58">
        <v>45429</v>
      </c>
    </row>
    <row r="1031" spans="1:19" x14ac:dyDescent="0.15">
      <c r="A1031" s="16" t="s">
        <v>1588</v>
      </c>
      <c r="B1031" s="8"/>
      <c r="C1031" s="10">
        <v>1</v>
      </c>
      <c r="D1031" s="10"/>
      <c r="E1031" s="10"/>
      <c r="F1031" s="30"/>
      <c r="G1031" s="7">
        <f t="shared" si="293"/>
        <v>1</v>
      </c>
      <c r="H1031" s="58">
        <v>45244</v>
      </c>
      <c r="I1031" s="14" t="s">
        <v>1613</v>
      </c>
      <c r="J1031" s="11"/>
      <c r="K1031" s="100"/>
      <c r="L1031" s="100"/>
      <c r="M1031" s="100">
        <v>5</v>
      </c>
      <c r="N1031" s="109"/>
      <c r="O1031" s="9">
        <f t="shared" si="295"/>
        <v>5</v>
      </c>
      <c r="P1031" s="58">
        <v>45442</v>
      </c>
    </row>
    <row r="1032" spans="1:19" x14ac:dyDescent="0.15">
      <c r="A1032" s="16" t="s">
        <v>29</v>
      </c>
      <c r="B1032" s="8">
        <v>1</v>
      </c>
      <c r="C1032" s="10"/>
      <c r="D1032" s="10"/>
      <c r="E1032" s="10"/>
      <c r="F1032" s="30"/>
      <c r="G1032" s="7">
        <f t="shared" si="293"/>
        <v>1</v>
      </c>
      <c r="H1032" s="58">
        <v>45300</v>
      </c>
      <c r="I1032" s="14" t="s">
        <v>1615</v>
      </c>
      <c r="J1032" s="8"/>
      <c r="K1032" s="10">
        <v>5</v>
      </c>
      <c r="L1032" s="10"/>
      <c r="M1032" s="10"/>
      <c r="N1032" s="59"/>
      <c r="O1032" s="7">
        <f t="shared" si="295"/>
        <v>5</v>
      </c>
      <c r="P1032" s="58">
        <v>45448</v>
      </c>
    </row>
    <row r="1033" spans="1:19" x14ac:dyDescent="0.15">
      <c r="A1033" s="16" t="s">
        <v>29</v>
      </c>
      <c r="B1033" s="8">
        <v>1</v>
      </c>
      <c r="C1033" s="10"/>
      <c r="D1033" s="10"/>
      <c r="E1033" s="10"/>
      <c r="F1033" s="30"/>
      <c r="G1033" s="7">
        <f t="shared" si="293"/>
        <v>1</v>
      </c>
      <c r="H1033" s="58">
        <v>45302</v>
      </c>
      <c r="I1033" s="14" t="s">
        <v>1617</v>
      </c>
      <c r="J1033" s="8"/>
      <c r="K1033" s="10"/>
      <c r="L1033" s="10">
        <v>3</v>
      </c>
      <c r="M1033" s="10"/>
      <c r="N1033" s="30"/>
      <c r="O1033" s="7">
        <f t="shared" si="295"/>
        <v>3</v>
      </c>
      <c r="P1033" s="58">
        <v>45448</v>
      </c>
    </row>
    <row r="1034" spans="1:19" x14ac:dyDescent="0.15">
      <c r="A1034" s="16" t="s">
        <v>1594</v>
      </c>
      <c r="B1034" s="8">
        <v>1</v>
      </c>
      <c r="C1034" s="10"/>
      <c r="D1034" s="10"/>
      <c r="E1034" s="10"/>
      <c r="F1034" s="30"/>
      <c r="G1034" s="7">
        <f t="shared" si="293"/>
        <v>1</v>
      </c>
      <c r="H1034" s="58">
        <v>45307</v>
      </c>
      <c r="I1034" s="14" t="s">
        <v>1619</v>
      </c>
      <c r="J1034" s="8"/>
      <c r="K1034" s="10"/>
      <c r="L1034" s="10">
        <v>5</v>
      </c>
      <c r="M1034" s="10">
        <v>5</v>
      </c>
      <c r="N1034" s="30"/>
      <c r="O1034" s="7">
        <f t="shared" si="295"/>
        <v>10</v>
      </c>
      <c r="P1034" s="58">
        <v>45463</v>
      </c>
      <c r="Q1034" s="56"/>
      <c r="R1034" s="56"/>
    </row>
    <row r="1035" spans="1:19" x14ac:dyDescent="0.15">
      <c r="A1035" s="64" t="s">
        <v>1595</v>
      </c>
      <c r="B1035" s="8">
        <v>1</v>
      </c>
      <c r="C1035" s="10"/>
      <c r="D1035" s="10"/>
      <c r="E1035" s="10"/>
      <c r="F1035" s="30"/>
      <c r="G1035" s="7">
        <f t="shared" si="293"/>
        <v>1</v>
      </c>
      <c r="H1035" s="58">
        <v>45310</v>
      </c>
      <c r="I1035" s="14" t="s">
        <v>1622</v>
      </c>
      <c r="J1035" s="8"/>
      <c r="K1035" s="10">
        <v>3</v>
      </c>
      <c r="L1035" s="10">
        <v>2</v>
      </c>
      <c r="M1035" s="10">
        <v>2</v>
      </c>
      <c r="N1035" s="30"/>
      <c r="O1035" s="7">
        <f t="shared" si="295"/>
        <v>7</v>
      </c>
      <c r="P1035" s="58">
        <v>45469</v>
      </c>
      <c r="Q1035" s="56"/>
      <c r="R1035" s="56"/>
      <c r="S1035" s="56"/>
    </row>
    <row r="1036" spans="1:19" x14ac:dyDescent="0.15">
      <c r="A1036" s="16" t="s">
        <v>117</v>
      </c>
      <c r="B1036" s="8"/>
      <c r="C1036" s="10">
        <v>1</v>
      </c>
      <c r="D1036" s="10"/>
      <c r="E1036" s="10"/>
      <c r="F1036" s="30"/>
      <c r="G1036" s="7">
        <f t="shared" si="293"/>
        <v>1</v>
      </c>
      <c r="H1036" s="58">
        <v>45342</v>
      </c>
      <c r="I1036" s="14" t="s">
        <v>1625</v>
      </c>
      <c r="J1036" s="11"/>
      <c r="K1036" s="12">
        <v>5</v>
      </c>
      <c r="L1036" s="12">
        <v>3</v>
      </c>
      <c r="M1036" s="12">
        <v>6</v>
      </c>
      <c r="N1036" s="31"/>
      <c r="O1036" s="7">
        <f t="shared" si="295"/>
        <v>14</v>
      </c>
      <c r="P1036" s="58">
        <v>45484</v>
      </c>
      <c r="Q1036" s="56"/>
      <c r="R1036" s="56"/>
    </row>
    <row r="1037" spans="1:19" x14ac:dyDescent="0.15">
      <c r="A1037" s="16" t="s">
        <v>29</v>
      </c>
      <c r="B1037" s="8"/>
      <c r="C1037" s="10"/>
      <c r="D1037" s="10"/>
      <c r="E1037" s="10"/>
      <c r="F1037" s="30">
        <v>1</v>
      </c>
      <c r="G1037" s="7">
        <f t="shared" si="293"/>
        <v>1</v>
      </c>
      <c r="H1037" s="58">
        <v>45342</v>
      </c>
      <c r="I1037" s="16"/>
      <c r="J1037" s="8"/>
      <c r="K1037" s="10"/>
      <c r="L1037" s="10"/>
      <c r="M1037" s="10"/>
      <c r="N1037" s="30"/>
      <c r="O1037" s="7">
        <f t="shared" si="295"/>
        <v>0</v>
      </c>
      <c r="P1037" s="56"/>
      <c r="Q1037" s="56"/>
      <c r="R1037" s="56"/>
    </row>
    <row r="1038" spans="1:19" x14ac:dyDescent="0.15">
      <c r="A1038" s="16" t="s">
        <v>117</v>
      </c>
      <c r="B1038" s="8"/>
      <c r="C1038" s="10"/>
      <c r="D1038" s="10"/>
      <c r="E1038" s="10"/>
      <c r="F1038" s="30">
        <v>1</v>
      </c>
      <c r="G1038" s="9">
        <f t="shared" si="293"/>
        <v>1</v>
      </c>
      <c r="H1038" s="58">
        <v>45377</v>
      </c>
      <c r="I1038" s="16"/>
      <c r="J1038" s="8"/>
      <c r="K1038" s="10"/>
      <c r="L1038" s="10"/>
      <c r="M1038" s="10"/>
      <c r="N1038" s="30"/>
      <c r="O1038" s="7">
        <f t="shared" si="295"/>
        <v>0</v>
      </c>
      <c r="P1038" s="56"/>
      <c r="Q1038" s="56"/>
      <c r="R1038" s="56"/>
    </row>
    <row r="1039" spans="1:19" x14ac:dyDescent="0.15">
      <c r="A1039" s="16" t="s">
        <v>1603</v>
      </c>
      <c r="B1039" s="8">
        <v>1</v>
      </c>
      <c r="C1039" s="10">
        <v>1</v>
      </c>
      <c r="D1039" s="10"/>
      <c r="E1039" s="10"/>
      <c r="F1039" s="30"/>
      <c r="G1039" s="7">
        <f t="shared" si="293"/>
        <v>2</v>
      </c>
      <c r="H1039" s="58">
        <v>45397</v>
      </c>
      <c r="I1039" s="15"/>
      <c r="J1039" s="11"/>
      <c r="K1039" s="12"/>
      <c r="L1039" s="12"/>
      <c r="M1039" s="12"/>
      <c r="N1039" s="31"/>
      <c r="O1039" s="7">
        <f t="shared" si="295"/>
        <v>0</v>
      </c>
      <c r="P1039" s="56"/>
      <c r="Q1039" s="56"/>
      <c r="R1039" s="56"/>
    </row>
    <row r="1040" spans="1:19" x14ac:dyDescent="0.15">
      <c r="A1040" s="16" t="s">
        <v>29</v>
      </c>
      <c r="B1040" s="8"/>
      <c r="C1040" s="10"/>
      <c r="D1040" s="10">
        <v>1</v>
      </c>
      <c r="E1040" s="10"/>
      <c r="F1040" s="30"/>
      <c r="G1040" s="7">
        <f t="shared" si="293"/>
        <v>1</v>
      </c>
      <c r="H1040" s="58">
        <v>45397</v>
      </c>
      <c r="I1040" s="16"/>
      <c r="J1040" s="11"/>
      <c r="K1040" s="12"/>
      <c r="L1040" s="12"/>
      <c r="M1040" s="12"/>
      <c r="N1040" s="31"/>
      <c r="O1040" s="7">
        <f t="shared" si="295"/>
        <v>0</v>
      </c>
    </row>
    <row r="1041" spans="1:21" x14ac:dyDescent="0.15">
      <c r="A1041" s="16" t="s">
        <v>29</v>
      </c>
      <c r="B1041" s="8"/>
      <c r="C1041" s="10"/>
      <c r="D1041" s="10"/>
      <c r="E1041" s="10"/>
      <c r="F1041" s="30">
        <v>1</v>
      </c>
      <c r="G1041" s="7">
        <f t="shared" si="293"/>
        <v>1</v>
      </c>
      <c r="H1041" s="58">
        <v>45422</v>
      </c>
      <c r="I1041" s="16"/>
      <c r="J1041" s="11"/>
      <c r="K1041" s="12"/>
      <c r="L1041" s="12"/>
      <c r="M1041" s="12"/>
      <c r="N1041" s="31"/>
      <c r="O1041" s="7">
        <f t="shared" si="295"/>
        <v>0</v>
      </c>
    </row>
    <row r="1042" spans="1:21" x14ac:dyDescent="0.15">
      <c r="A1042" s="16" t="s">
        <v>117</v>
      </c>
      <c r="B1042" s="8"/>
      <c r="C1042" s="10"/>
      <c r="D1042" s="10">
        <v>1</v>
      </c>
      <c r="E1042" s="10"/>
      <c r="F1042" s="30"/>
      <c r="G1042" s="7">
        <f t="shared" si="293"/>
        <v>1</v>
      </c>
      <c r="H1042" s="58">
        <v>45450</v>
      </c>
      <c r="I1042" s="16"/>
      <c r="J1042" s="11"/>
      <c r="K1042" s="12"/>
      <c r="L1042" s="12"/>
      <c r="M1042" s="12"/>
      <c r="N1042" s="31"/>
      <c r="O1042" s="7">
        <f t="shared" si="295"/>
        <v>0</v>
      </c>
    </row>
    <row r="1043" spans="1:21" x14ac:dyDescent="0.15">
      <c r="A1043" s="16" t="s">
        <v>29</v>
      </c>
      <c r="B1043" s="8"/>
      <c r="C1043" s="10">
        <v>1</v>
      </c>
      <c r="D1043" s="10"/>
      <c r="E1043" s="10"/>
      <c r="F1043" s="30"/>
      <c r="G1043" s="7">
        <f t="shared" si="293"/>
        <v>1</v>
      </c>
      <c r="H1043" s="58">
        <v>45449</v>
      </c>
      <c r="I1043" s="16"/>
      <c r="J1043" s="11"/>
      <c r="K1043" s="12"/>
      <c r="L1043" s="12"/>
      <c r="M1043" s="12"/>
      <c r="N1043" s="31"/>
      <c r="O1043" s="7">
        <f t="shared" si="295"/>
        <v>0</v>
      </c>
    </row>
    <row r="1044" spans="1:21" x14ac:dyDescent="0.15">
      <c r="A1044" s="16" t="s">
        <v>117</v>
      </c>
      <c r="B1044" s="8"/>
      <c r="C1044" s="10">
        <v>1</v>
      </c>
      <c r="D1044" s="10"/>
      <c r="E1044" s="10"/>
      <c r="F1044" s="30"/>
      <c r="G1044" s="7">
        <f t="shared" si="293"/>
        <v>1</v>
      </c>
      <c r="H1044" s="58">
        <v>45454</v>
      </c>
      <c r="I1044" s="16"/>
      <c r="J1044" s="11"/>
      <c r="K1044" s="12"/>
      <c r="L1044" s="12"/>
      <c r="M1044" s="12"/>
      <c r="N1044" s="31"/>
      <c r="O1044" s="7">
        <f t="shared" si="295"/>
        <v>0</v>
      </c>
    </row>
    <row r="1045" spans="1:21" x14ac:dyDescent="0.15">
      <c r="A1045" s="16" t="s">
        <v>1621</v>
      </c>
      <c r="B1045" s="8">
        <v>9</v>
      </c>
      <c r="C1045" s="10">
        <v>6</v>
      </c>
      <c r="D1045" s="10">
        <v>6</v>
      </c>
      <c r="E1045" s="10">
        <v>9</v>
      </c>
      <c r="F1045" s="30"/>
      <c r="G1045" s="7">
        <f t="shared" si="293"/>
        <v>30</v>
      </c>
      <c r="H1045" s="58">
        <v>45458</v>
      </c>
      <c r="I1045" s="14"/>
      <c r="J1045" s="11"/>
      <c r="K1045" s="12"/>
      <c r="L1045" s="12"/>
      <c r="M1045" s="12"/>
      <c r="N1045" s="31"/>
      <c r="O1045" s="7">
        <f t="shared" si="295"/>
        <v>0</v>
      </c>
    </row>
    <row r="1046" spans="1:21" x14ac:dyDescent="0.15">
      <c r="A1046" s="16" t="s">
        <v>29</v>
      </c>
      <c r="B1046" s="8"/>
      <c r="C1046" s="10"/>
      <c r="D1046" s="10">
        <v>1</v>
      </c>
      <c r="E1046" s="10"/>
      <c r="F1046" s="30"/>
      <c r="G1046" s="7">
        <f t="shared" ref="G1046:G1048" si="296">SUM(B1046:F1046)</f>
        <v>1</v>
      </c>
      <c r="H1046" s="58">
        <v>45458</v>
      </c>
      <c r="I1046" s="16"/>
      <c r="J1046" s="11"/>
      <c r="K1046" s="12"/>
      <c r="L1046" s="12"/>
      <c r="M1046" s="12"/>
      <c r="N1046" s="31"/>
      <c r="O1046" s="7">
        <f t="shared" si="295"/>
        <v>0</v>
      </c>
    </row>
    <row r="1047" spans="1:21" x14ac:dyDescent="0.15">
      <c r="A1047" s="16" t="s">
        <v>29</v>
      </c>
      <c r="B1047" s="8"/>
      <c r="C1047" s="10"/>
      <c r="D1047" s="10"/>
      <c r="E1047" s="10">
        <v>1</v>
      </c>
      <c r="F1047" s="30"/>
      <c r="G1047" s="9">
        <f t="shared" si="296"/>
        <v>1</v>
      </c>
      <c r="H1047" s="58">
        <v>45481</v>
      </c>
      <c r="I1047" s="14" t="s">
        <v>1599</v>
      </c>
      <c r="J1047" s="11"/>
      <c r="K1047" s="12"/>
      <c r="L1047" s="12"/>
      <c r="M1047" s="12"/>
      <c r="N1047" s="218"/>
      <c r="O1047" s="7">
        <f t="shared" ref="O1047" si="297">SUM(J1047:N1047)</f>
        <v>0</v>
      </c>
      <c r="P1047" s="56"/>
      <c r="Q1047" s="56"/>
    </row>
    <row r="1048" spans="1:21" ht="14.25" thickBot="1" x14ac:dyDescent="0.2">
      <c r="A1048" s="16" t="s">
        <v>29</v>
      </c>
      <c r="B1048" s="37"/>
      <c r="C1048" s="35"/>
      <c r="D1048" s="35">
        <v>1</v>
      </c>
      <c r="E1048" s="35"/>
      <c r="F1048" s="28"/>
      <c r="G1048" s="7">
        <f t="shared" si="296"/>
        <v>1</v>
      </c>
      <c r="H1048" s="58">
        <v>45491</v>
      </c>
      <c r="I1048" s="14" t="s">
        <v>1582</v>
      </c>
      <c r="J1048" s="11"/>
      <c r="K1048" s="12"/>
      <c r="L1048" s="12"/>
      <c r="M1048" s="12"/>
      <c r="N1048" s="218"/>
      <c r="O1048" s="7">
        <f t="shared" si="295"/>
        <v>0</v>
      </c>
      <c r="P1048" s="56" t="s">
        <v>1593</v>
      </c>
      <c r="Q1048" s="56"/>
    </row>
    <row r="1049" spans="1:21" ht="14.25" thickBot="1" x14ac:dyDescent="0.2">
      <c r="A1049" s="3" t="s">
        <v>11</v>
      </c>
      <c r="B1049" s="23">
        <f>SUM(B1023:B1048)</f>
        <v>17</v>
      </c>
      <c r="C1049" s="4">
        <f>SUM(C1023:C1048)</f>
        <v>13</v>
      </c>
      <c r="D1049" s="4">
        <f>SUM(D1023:D1048)</f>
        <v>11</v>
      </c>
      <c r="E1049" s="6">
        <f>SUM(E1023:E1048)</f>
        <v>11</v>
      </c>
      <c r="F1049" s="32">
        <f>SUM(F1023:F1048)</f>
        <v>4</v>
      </c>
      <c r="G1049" s="5">
        <f>SUM(B1049:F1049)</f>
        <v>56</v>
      </c>
      <c r="H1049" s="56"/>
      <c r="I1049" s="3" t="s">
        <v>11</v>
      </c>
      <c r="J1049" s="23">
        <f>SUM(J1023:J1048)</f>
        <v>43</v>
      </c>
      <c r="K1049" s="4">
        <f>SUM(K1023:K1048)</f>
        <v>71</v>
      </c>
      <c r="L1049" s="4">
        <f>SUM(L1023:L1048)</f>
        <v>56</v>
      </c>
      <c r="M1049" s="6">
        <f>SUM(M1023:M1048)</f>
        <v>77</v>
      </c>
      <c r="N1049" s="32">
        <f>SUM(N1023:N1048)</f>
        <v>5</v>
      </c>
      <c r="O1049" s="5">
        <f>SUM(J1049:N1049)</f>
        <v>252</v>
      </c>
    </row>
    <row r="1050" spans="1:21" ht="14.25" thickBot="1" x14ac:dyDescent="0.2">
      <c r="A1050" s="25" t="s">
        <v>12</v>
      </c>
      <c r="B1050" s="63">
        <f>B1022-B1049</f>
        <v>4</v>
      </c>
      <c r="C1050" s="26">
        <f t="shared" ref="C1050:G1050" si="298">C1022-C1049</f>
        <v>6</v>
      </c>
      <c r="D1050" s="71">
        <f t="shared" si="298"/>
        <v>5</v>
      </c>
      <c r="E1050" s="26">
        <f t="shared" si="298"/>
        <v>9</v>
      </c>
      <c r="F1050" s="70">
        <f t="shared" si="298"/>
        <v>4</v>
      </c>
      <c r="G1050" s="27">
        <f t="shared" si="298"/>
        <v>28</v>
      </c>
      <c r="H1050" s="56"/>
      <c r="I1050" s="25" t="s">
        <v>12</v>
      </c>
      <c r="J1050" s="63">
        <f>J1022-J1049</f>
        <v>163</v>
      </c>
      <c r="K1050" s="26">
        <f>K1022-K1049</f>
        <v>99</v>
      </c>
      <c r="L1050" s="71">
        <f>L1022-L1049</f>
        <v>83</v>
      </c>
      <c r="M1050" s="26">
        <f t="shared" ref="M1050:O1050" si="299">M1022-M1049</f>
        <v>27</v>
      </c>
      <c r="N1050" s="70">
        <f t="shared" si="299"/>
        <v>118</v>
      </c>
      <c r="O1050" s="27">
        <f t="shared" si="299"/>
        <v>490</v>
      </c>
    </row>
    <row r="1051" spans="1:21" ht="21" x14ac:dyDescent="0.2">
      <c r="A1051" s="86" t="s">
        <v>413</v>
      </c>
      <c r="B1051" s="87"/>
      <c r="C1051" s="87"/>
      <c r="D1051" s="87"/>
      <c r="E1051" s="87"/>
      <c r="F1051" s="87"/>
      <c r="G1051" s="87"/>
      <c r="H1051" s="56"/>
      <c r="I1051" s="86" t="s">
        <v>413</v>
      </c>
      <c r="J1051" s="87"/>
      <c r="K1051" s="87"/>
      <c r="L1051" s="87"/>
      <c r="M1051" s="87"/>
      <c r="N1051" s="87"/>
      <c r="O1051" s="87"/>
      <c r="Q1051" s="201"/>
      <c r="R1051" s="201"/>
      <c r="S1051" s="201"/>
      <c r="T1051" s="201"/>
      <c r="U1051" s="201"/>
    </row>
    <row r="1052" spans="1:21" ht="21.75" thickBot="1" x14ac:dyDescent="0.25">
      <c r="A1052" s="86" t="s">
        <v>51</v>
      </c>
      <c r="B1052" s="87"/>
      <c r="C1052" s="87"/>
      <c r="D1052" s="87"/>
      <c r="E1052" s="85"/>
      <c r="F1052" s="88" t="s">
        <v>53</v>
      </c>
      <c r="G1052" s="87"/>
      <c r="H1052" s="56"/>
      <c r="I1052" s="86" t="s">
        <v>51</v>
      </c>
      <c r="J1052" s="87"/>
      <c r="K1052" s="87"/>
      <c r="L1052" s="87"/>
      <c r="M1052" s="89"/>
      <c r="N1052" s="88" t="s">
        <v>54</v>
      </c>
      <c r="O1052" s="87"/>
    </row>
    <row r="1053" spans="1:21" ht="14.25" thickBot="1" x14ac:dyDescent="0.2">
      <c r="A1053" s="13" t="s">
        <v>0</v>
      </c>
      <c r="B1053" s="228" t="s">
        <v>52</v>
      </c>
      <c r="C1053" s="229"/>
      <c r="D1053" s="229"/>
      <c r="E1053" s="229"/>
      <c r="F1053" s="230"/>
      <c r="G1053" s="231"/>
      <c r="H1053" s="56"/>
      <c r="I1053" s="13" t="s">
        <v>0</v>
      </c>
      <c r="J1053" s="228" t="s">
        <v>52</v>
      </c>
      <c r="K1053" s="229"/>
      <c r="L1053" s="229"/>
      <c r="M1053" s="229"/>
      <c r="N1053" s="230"/>
      <c r="O1053" s="231"/>
    </row>
    <row r="1054" spans="1:21" ht="14.25" thickBot="1" x14ac:dyDescent="0.2">
      <c r="A1054" s="3" t="s">
        <v>1</v>
      </c>
      <c r="B1054" s="2" t="s">
        <v>42</v>
      </c>
      <c r="C1054" s="21" t="s">
        <v>43</v>
      </c>
      <c r="D1054" s="21" t="s">
        <v>44</v>
      </c>
      <c r="E1054" s="24" t="s">
        <v>45</v>
      </c>
      <c r="F1054" s="33" t="s">
        <v>46</v>
      </c>
      <c r="G1054" s="3" t="s">
        <v>2</v>
      </c>
      <c r="H1054" s="56"/>
      <c r="I1054" s="3" t="s">
        <v>1</v>
      </c>
      <c r="J1054" s="41" t="s">
        <v>42</v>
      </c>
      <c r="K1054" s="42" t="s">
        <v>43</v>
      </c>
      <c r="L1054" s="42" t="s">
        <v>44</v>
      </c>
      <c r="M1054" s="43" t="s">
        <v>45</v>
      </c>
      <c r="N1054" s="44" t="s">
        <v>46</v>
      </c>
      <c r="O1054" s="3" t="s">
        <v>2</v>
      </c>
    </row>
    <row r="1055" spans="1:21" x14ac:dyDescent="0.15">
      <c r="A1055" s="96" t="s">
        <v>13</v>
      </c>
      <c r="B1055" s="95">
        <f>B1050</f>
        <v>4</v>
      </c>
      <c r="C1055" s="97">
        <f t="shared" ref="C1055:F1055" si="300">C1050</f>
        <v>6</v>
      </c>
      <c r="D1055" s="97">
        <f t="shared" si="300"/>
        <v>5</v>
      </c>
      <c r="E1055" s="97">
        <f t="shared" si="300"/>
        <v>9</v>
      </c>
      <c r="F1055" s="139">
        <f t="shared" si="300"/>
        <v>4</v>
      </c>
      <c r="G1055" s="52">
        <f t="shared" ref="G1055:G1063" si="301">SUM(B1055:F1055)</f>
        <v>28</v>
      </c>
      <c r="H1055" s="58"/>
      <c r="I1055" s="96" t="s">
        <v>13</v>
      </c>
      <c r="J1055" s="95">
        <f>J1050</f>
        <v>163</v>
      </c>
      <c r="K1055" s="97">
        <f t="shared" ref="K1055:N1055" si="302">K1050</f>
        <v>99</v>
      </c>
      <c r="L1055" s="97">
        <f t="shared" si="302"/>
        <v>83</v>
      </c>
      <c r="M1055" s="97">
        <f t="shared" si="302"/>
        <v>27</v>
      </c>
      <c r="N1055" s="139">
        <f t="shared" si="302"/>
        <v>118</v>
      </c>
      <c r="O1055" s="52">
        <f t="shared" ref="O1055:O1063" si="303">SUM(J1055:N1055)</f>
        <v>490</v>
      </c>
    </row>
    <row r="1056" spans="1:21" x14ac:dyDescent="0.15">
      <c r="A1056" s="15" t="s">
        <v>1348</v>
      </c>
      <c r="B1056" s="8">
        <v>0</v>
      </c>
      <c r="C1056" s="10">
        <v>5</v>
      </c>
      <c r="D1056" s="10">
        <v>0</v>
      </c>
      <c r="E1056" s="10">
        <v>0</v>
      </c>
      <c r="F1056" s="30">
        <v>0</v>
      </c>
      <c r="G1056" s="7">
        <f t="shared" ref="G1056:G1061" si="304">SUM(B1056:F1056)</f>
        <v>5</v>
      </c>
      <c r="H1056" s="58">
        <v>45530</v>
      </c>
      <c r="I1056" s="15" t="s">
        <v>9</v>
      </c>
      <c r="J1056" s="8">
        <v>5</v>
      </c>
      <c r="K1056" s="45">
        <v>2</v>
      </c>
      <c r="L1056" s="45">
        <v>3</v>
      </c>
      <c r="M1056" s="45"/>
      <c r="N1056" s="46"/>
      <c r="O1056" s="7">
        <f t="shared" si="303"/>
        <v>10</v>
      </c>
      <c r="P1056" s="58">
        <v>45535</v>
      </c>
    </row>
    <row r="1057" spans="1:19" x14ac:dyDescent="0.15">
      <c r="A1057" s="15" t="s">
        <v>1620</v>
      </c>
      <c r="B1057" s="8">
        <v>5</v>
      </c>
      <c r="C1057" s="10">
        <v>2</v>
      </c>
      <c r="D1057" s="10">
        <v>3</v>
      </c>
      <c r="E1057" s="10"/>
      <c r="F1057" s="30"/>
      <c r="G1057" s="7">
        <f t="shared" si="304"/>
        <v>10</v>
      </c>
      <c r="H1057" s="58">
        <v>45531</v>
      </c>
      <c r="I1057" s="15" t="s">
        <v>4</v>
      </c>
      <c r="J1057" s="8"/>
      <c r="K1057" s="45"/>
      <c r="L1057" s="45"/>
      <c r="M1057" s="45"/>
      <c r="N1057" s="46"/>
      <c r="O1057" s="7">
        <f t="shared" ref="O1057" si="305">SUM(J1057:N1057)</f>
        <v>0</v>
      </c>
    </row>
    <row r="1058" spans="1:19" x14ac:dyDescent="0.15">
      <c r="A1058" s="15" t="s">
        <v>27</v>
      </c>
      <c r="B1058" s="8"/>
      <c r="C1058" s="10"/>
      <c r="D1058" s="10">
        <v>3</v>
      </c>
      <c r="E1058" s="10"/>
      <c r="F1058" s="30"/>
      <c r="G1058" s="7">
        <f t="shared" si="304"/>
        <v>3</v>
      </c>
      <c r="H1058" s="58">
        <v>45565</v>
      </c>
      <c r="I1058" s="15" t="s">
        <v>5</v>
      </c>
      <c r="J1058" s="8"/>
      <c r="K1058" s="45"/>
      <c r="L1058" s="45"/>
      <c r="M1058" s="45"/>
      <c r="N1058" s="46"/>
      <c r="O1058" s="7">
        <f t="shared" si="303"/>
        <v>0</v>
      </c>
    </row>
    <row r="1059" spans="1:19" x14ac:dyDescent="0.15">
      <c r="A1059" s="15" t="s">
        <v>27</v>
      </c>
      <c r="B1059" s="8"/>
      <c r="C1059" s="10"/>
      <c r="D1059" s="10">
        <v>3</v>
      </c>
      <c r="E1059" s="10"/>
      <c r="F1059" s="30"/>
      <c r="G1059" s="7">
        <f t="shared" si="304"/>
        <v>3</v>
      </c>
      <c r="H1059" s="58">
        <v>45576</v>
      </c>
      <c r="I1059" s="15" t="s">
        <v>6</v>
      </c>
      <c r="J1059" s="8"/>
      <c r="K1059" s="45"/>
      <c r="L1059" s="45"/>
      <c r="M1059" s="45"/>
      <c r="N1059" s="46"/>
      <c r="O1059" s="7">
        <f t="shared" si="303"/>
        <v>0</v>
      </c>
    </row>
    <row r="1060" spans="1:19" x14ac:dyDescent="0.15">
      <c r="A1060" s="15" t="s">
        <v>27</v>
      </c>
      <c r="B1060" s="8">
        <v>3</v>
      </c>
      <c r="C1060" s="10"/>
      <c r="D1060" s="10"/>
      <c r="E1060" s="10">
        <v>3</v>
      </c>
      <c r="F1060" s="30">
        <v>3</v>
      </c>
      <c r="G1060" s="7">
        <f t="shared" si="304"/>
        <v>9</v>
      </c>
      <c r="H1060" s="58">
        <v>45612</v>
      </c>
      <c r="I1060" s="15" t="s">
        <v>84</v>
      </c>
      <c r="J1060" s="8"/>
      <c r="K1060" s="45"/>
      <c r="L1060" s="45"/>
      <c r="M1060" s="45"/>
      <c r="N1060" s="46"/>
      <c r="O1060" s="7">
        <f t="shared" si="303"/>
        <v>0</v>
      </c>
    </row>
    <row r="1061" spans="1:19" x14ac:dyDescent="0.15">
      <c r="A1061" s="15" t="s">
        <v>1620</v>
      </c>
      <c r="B1061" s="8">
        <v>2</v>
      </c>
      <c r="C1061" s="10">
        <v>6</v>
      </c>
      <c r="D1061" s="10">
        <v>2</v>
      </c>
      <c r="E1061" s="10">
        <v>11</v>
      </c>
      <c r="F1061" s="30"/>
      <c r="G1061" s="7">
        <f t="shared" si="304"/>
        <v>21</v>
      </c>
      <c r="H1061" s="58">
        <v>45630</v>
      </c>
      <c r="I1061" s="15" t="s">
        <v>85</v>
      </c>
      <c r="J1061" s="8"/>
      <c r="K1061" s="45"/>
      <c r="L1061" s="45"/>
      <c r="M1061" s="45"/>
      <c r="N1061" s="46"/>
      <c r="O1061" s="7">
        <f t="shared" si="303"/>
        <v>0</v>
      </c>
    </row>
    <row r="1062" spans="1:19" x14ac:dyDescent="0.15">
      <c r="A1062" s="15" t="s">
        <v>27</v>
      </c>
      <c r="B1062" s="8"/>
      <c r="C1062" s="10"/>
      <c r="D1062" s="10"/>
      <c r="E1062" s="10"/>
      <c r="F1062" s="30">
        <v>3</v>
      </c>
      <c r="G1062" s="7">
        <f t="shared" si="301"/>
        <v>3</v>
      </c>
      <c r="H1062" s="58">
        <v>45702</v>
      </c>
      <c r="I1062" s="15" t="s">
        <v>86</v>
      </c>
      <c r="J1062" s="8"/>
      <c r="K1062" s="45"/>
      <c r="L1062" s="45"/>
      <c r="M1062" s="45"/>
      <c r="N1062" s="46"/>
      <c r="O1062" s="102">
        <f t="shared" si="303"/>
        <v>0</v>
      </c>
    </row>
    <row r="1063" spans="1:19" ht="14.25" thickBot="1" x14ac:dyDescent="0.2">
      <c r="A1063" s="15" t="s">
        <v>27</v>
      </c>
      <c r="B1063" s="8"/>
      <c r="C1063" s="10"/>
      <c r="D1063" s="10">
        <v>5</v>
      </c>
      <c r="E1063" s="10"/>
      <c r="F1063" s="30"/>
      <c r="G1063" s="7">
        <f t="shared" si="301"/>
        <v>5</v>
      </c>
      <c r="H1063" s="58">
        <v>45723</v>
      </c>
      <c r="I1063" s="15" t="s">
        <v>87</v>
      </c>
      <c r="J1063" s="47"/>
      <c r="K1063" s="48"/>
      <c r="L1063" s="48"/>
      <c r="M1063" s="48"/>
      <c r="N1063" s="49"/>
      <c r="O1063" s="40">
        <f t="shared" si="303"/>
        <v>0</v>
      </c>
    </row>
    <row r="1064" spans="1:19" ht="14.25" thickBot="1" x14ac:dyDescent="0.2">
      <c r="A1064" s="72" t="s">
        <v>7</v>
      </c>
      <c r="B1064" s="73">
        <f>SUM(B1055:B1063)</f>
        <v>14</v>
      </c>
      <c r="C1064" s="74">
        <f t="shared" ref="C1064:G1064" si="306">SUM(C1055:C1063)</f>
        <v>19</v>
      </c>
      <c r="D1064" s="74">
        <f t="shared" si="306"/>
        <v>21</v>
      </c>
      <c r="E1064" s="74">
        <f t="shared" si="306"/>
        <v>23</v>
      </c>
      <c r="F1064" s="105">
        <f t="shared" si="306"/>
        <v>10</v>
      </c>
      <c r="G1064" s="76">
        <f t="shared" si="306"/>
        <v>87</v>
      </c>
      <c r="H1064" s="56"/>
      <c r="I1064" s="72" t="s">
        <v>7</v>
      </c>
      <c r="J1064" s="73">
        <f>SUM(J1055:J1063)</f>
        <v>168</v>
      </c>
      <c r="K1064" s="74">
        <f t="shared" ref="K1064:O1064" si="307">SUM(K1055:K1063)</f>
        <v>101</v>
      </c>
      <c r="L1064" s="74">
        <f t="shared" si="307"/>
        <v>86</v>
      </c>
      <c r="M1064" s="74">
        <f t="shared" si="307"/>
        <v>27</v>
      </c>
      <c r="N1064" s="105">
        <f t="shared" si="307"/>
        <v>118</v>
      </c>
      <c r="O1064" s="76">
        <f t="shared" si="307"/>
        <v>500</v>
      </c>
    </row>
    <row r="1065" spans="1:19" x14ac:dyDescent="0.15">
      <c r="A1065" s="16" t="s">
        <v>29</v>
      </c>
      <c r="B1065" s="8"/>
      <c r="C1065" s="10"/>
      <c r="D1065" s="10"/>
      <c r="E1065" s="10">
        <v>1</v>
      </c>
      <c r="F1065" s="30"/>
      <c r="G1065" s="9">
        <f t="shared" ref="G1065:G1090" si="308">SUM(B1065:F1065)</f>
        <v>1</v>
      </c>
      <c r="H1065" s="58">
        <v>45525</v>
      </c>
      <c r="I1065" s="16" t="s">
        <v>24</v>
      </c>
      <c r="J1065" s="11"/>
      <c r="K1065" s="12"/>
      <c r="L1065" s="12">
        <v>3</v>
      </c>
      <c r="M1065" s="12"/>
      <c r="N1065" s="31"/>
      <c r="O1065" s="7">
        <f t="shared" ref="O1065:O1069" si="309">SUM(J1065:N1065)</f>
        <v>3</v>
      </c>
      <c r="P1065" s="58">
        <v>45565</v>
      </c>
      <c r="Q1065" s="56"/>
      <c r="R1065" s="56"/>
      <c r="S1065" s="56"/>
    </row>
    <row r="1066" spans="1:19" x14ac:dyDescent="0.15">
      <c r="A1066" s="16" t="s">
        <v>29</v>
      </c>
      <c r="B1066" s="8"/>
      <c r="C1066" s="10"/>
      <c r="D1066" s="10"/>
      <c r="E1066" s="10">
        <v>1</v>
      </c>
      <c r="F1066" s="30"/>
      <c r="G1066" s="7">
        <f t="shared" si="308"/>
        <v>1</v>
      </c>
      <c r="H1066" s="58">
        <v>45527</v>
      </c>
      <c r="I1066" s="16" t="s">
        <v>24</v>
      </c>
      <c r="J1066" s="11"/>
      <c r="K1066" s="12"/>
      <c r="L1066" s="12">
        <v>3</v>
      </c>
      <c r="M1066" s="12"/>
      <c r="N1066" s="31"/>
      <c r="O1066" s="7">
        <f t="shared" si="309"/>
        <v>3</v>
      </c>
      <c r="P1066" s="58">
        <v>45576</v>
      </c>
      <c r="Q1066" s="56"/>
      <c r="R1066" s="56"/>
      <c r="S1066" s="56"/>
    </row>
    <row r="1067" spans="1:19" x14ac:dyDescent="0.15">
      <c r="A1067" s="16" t="s">
        <v>1631</v>
      </c>
      <c r="B1067" s="8"/>
      <c r="C1067" s="10"/>
      <c r="D1067" s="10"/>
      <c r="E1067" s="10">
        <v>1</v>
      </c>
      <c r="F1067" s="30"/>
      <c r="G1067" s="7">
        <f t="shared" si="308"/>
        <v>1</v>
      </c>
      <c r="H1067" s="58">
        <v>45531</v>
      </c>
      <c r="I1067" s="16" t="s">
        <v>24</v>
      </c>
      <c r="J1067" s="11">
        <v>3</v>
      </c>
      <c r="K1067" s="12"/>
      <c r="L1067" s="12"/>
      <c r="M1067" s="12">
        <v>3</v>
      </c>
      <c r="N1067" s="31">
        <v>3</v>
      </c>
      <c r="O1067" s="7">
        <f t="shared" si="309"/>
        <v>9</v>
      </c>
      <c r="P1067" s="58">
        <v>45612</v>
      </c>
      <c r="Q1067" s="56"/>
      <c r="R1067" s="56"/>
      <c r="S1067" s="56"/>
    </row>
    <row r="1068" spans="1:19" x14ac:dyDescent="0.15">
      <c r="A1068" s="16" t="s">
        <v>1621</v>
      </c>
      <c r="B1068" s="8">
        <v>5</v>
      </c>
      <c r="C1068" s="10">
        <v>2</v>
      </c>
      <c r="D1068" s="10">
        <v>3</v>
      </c>
      <c r="E1068" s="10"/>
      <c r="F1068" s="30"/>
      <c r="G1068" s="7">
        <f t="shared" si="308"/>
        <v>10</v>
      </c>
      <c r="H1068" s="58">
        <v>45535</v>
      </c>
      <c r="I1068" s="16" t="s">
        <v>24</v>
      </c>
      <c r="J1068" s="11"/>
      <c r="K1068" s="12"/>
      <c r="L1068" s="12"/>
      <c r="M1068" s="12"/>
      <c r="N1068" s="31">
        <v>3</v>
      </c>
      <c r="O1068" s="7">
        <f t="shared" si="309"/>
        <v>3</v>
      </c>
      <c r="P1068" s="58">
        <v>45702</v>
      </c>
      <c r="Q1068" s="56"/>
      <c r="R1068" s="56"/>
      <c r="S1068" s="56"/>
    </row>
    <row r="1069" spans="1:19" x14ac:dyDescent="0.15">
      <c r="A1069" s="16" t="s">
        <v>29</v>
      </c>
      <c r="B1069" s="8"/>
      <c r="C1069" s="10"/>
      <c r="D1069" s="10"/>
      <c r="E1069" s="10">
        <v>1</v>
      </c>
      <c r="F1069" s="30"/>
      <c r="G1069" s="7">
        <f t="shared" si="308"/>
        <v>1</v>
      </c>
      <c r="H1069" s="58">
        <v>45540</v>
      </c>
      <c r="I1069" s="16" t="s">
        <v>24</v>
      </c>
      <c r="J1069" s="11"/>
      <c r="K1069" s="12"/>
      <c r="L1069" s="12">
        <v>5</v>
      </c>
      <c r="M1069" s="12"/>
      <c r="N1069" s="31"/>
      <c r="O1069" s="7">
        <f t="shared" si="309"/>
        <v>5</v>
      </c>
      <c r="P1069" s="58">
        <v>45723</v>
      </c>
      <c r="Q1069" s="56"/>
    </row>
    <row r="1070" spans="1:19" x14ac:dyDescent="0.15">
      <c r="A1070" s="16" t="s">
        <v>29</v>
      </c>
      <c r="B1070" s="8"/>
      <c r="C1070" s="10">
        <v>1</v>
      </c>
      <c r="D1070" s="10"/>
      <c r="E1070" s="10"/>
      <c r="F1070" s="30"/>
      <c r="G1070" s="7">
        <f t="shared" si="308"/>
        <v>1</v>
      </c>
      <c r="H1070" s="58">
        <v>45541</v>
      </c>
      <c r="I1070" s="15"/>
      <c r="J1070" s="11"/>
      <c r="K1070" s="12"/>
      <c r="L1070" s="12"/>
      <c r="M1070" s="12"/>
      <c r="N1070" s="31"/>
      <c r="O1070" s="7">
        <f t="shared" ref="O1070:O1080" si="310">SUM(J1070:N1070)</f>
        <v>0</v>
      </c>
      <c r="P1070" s="56"/>
      <c r="Q1070" s="56"/>
    </row>
    <row r="1071" spans="1:19" x14ac:dyDescent="0.15">
      <c r="A1071" s="16" t="s">
        <v>29</v>
      </c>
      <c r="B1071" s="8"/>
      <c r="C1071" s="10"/>
      <c r="D1071" s="10">
        <v>1</v>
      </c>
      <c r="E1071" s="10"/>
      <c r="F1071" s="30"/>
      <c r="G1071" s="7">
        <f t="shared" si="308"/>
        <v>1</v>
      </c>
      <c r="H1071" s="58">
        <v>45544</v>
      </c>
      <c r="I1071" s="15"/>
      <c r="J1071" s="11"/>
      <c r="K1071" s="12"/>
      <c r="L1071" s="12"/>
      <c r="M1071" s="12"/>
      <c r="N1071" s="31"/>
      <c r="O1071" s="7">
        <f t="shared" si="310"/>
        <v>0</v>
      </c>
      <c r="P1071" s="56"/>
    </row>
    <row r="1072" spans="1:19" x14ac:dyDescent="0.15">
      <c r="A1072" s="16" t="s">
        <v>29</v>
      </c>
      <c r="B1072" s="8"/>
      <c r="C1072" s="10">
        <v>1</v>
      </c>
      <c r="D1072" s="10"/>
      <c r="E1072" s="10"/>
      <c r="F1072" s="30"/>
      <c r="G1072" s="7">
        <f t="shared" si="308"/>
        <v>1</v>
      </c>
      <c r="H1072" s="58">
        <v>45546</v>
      </c>
      <c r="I1072" s="15"/>
      <c r="J1072" s="11"/>
      <c r="K1072" s="12"/>
      <c r="L1072" s="12"/>
      <c r="M1072" s="12"/>
      <c r="N1072" s="31"/>
      <c r="O1072" s="7">
        <f t="shared" si="310"/>
        <v>0</v>
      </c>
      <c r="P1072" s="56"/>
    </row>
    <row r="1073" spans="1:16" x14ac:dyDescent="0.15">
      <c r="A1073" s="16" t="s">
        <v>29</v>
      </c>
      <c r="B1073" s="8"/>
      <c r="C1073" s="10">
        <v>1</v>
      </c>
      <c r="D1073" s="10"/>
      <c r="E1073" s="10"/>
      <c r="F1073" s="30"/>
      <c r="G1073" s="7">
        <f t="shared" si="308"/>
        <v>1</v>
      </c>
      <c r="H1073" s="58">
        <v>45547</v>
      </c>
      <c r="I1073" s="15"/>
      <c r="J1073" s="11"/>
      <c r="K1073" s="12"/>
      <c r="L1073" s="12"/>
      <c r="M1073" s="12"/>
      <c r="N1073" s="31"/>
      <c r="O1073" s="7">
        <f t="shared" si="310"/>
        <v>0</v>
      </c>
      <c r="P1073" s="56"/>
    </row>
    <row r="1074" spans="1:16" x14ac:dyDescent="0.15">
      <c r="A1074" s="16" t="s">
        <v>29</v>
      </c>
      <c r="B1074" s="8"/>
      <c r="C1074" s="10"/>
      <c r="D1074" s="10">
        <v>1</v>
      </c>
      <c r="E1074" s="10"/>
      <c r="F1074" s="30"/>
      <c r="G1074" s="7">
        <f t="shared" si="308"/>
        <v>1</v>
      </c>
      <c r="H1074" s="58">
        <v>45555</v>
      </c>
      <c r="I1074" s="15"/>
      <c r="J1074" s="11"/>
      <c r="K1074" s="12"/>
      <c r="L1074" s="12"/>
      <c r="M1074" s="12"/>
      <c r="N1074" s="31"/>
      <c r="O1074" s="7">
        <f t="shared" si="310"/>
        <v>0</v>
      </c>
      <c r="P1074" s="56"/>
    </row>
    <row r="1075" spans="1:16" x14ac:dyDescent="0.15">
      <c r="A1075" s="16" t="s">
        <v>29</v>
      </c>
      <c r="B1075" s="8"/>
      <c r="C1075" s="10"/>
      <c r="D1075" s="10">
        <f>1+2</f>
        <v>3</v>
      </c>
      <c r="E1075" s="10">
        <v>1</v>
      </c>
      <c r="F1075" s="30"/>
      <c r="G1075" s="7">
        <f t="shared" si="308"/>
        <v>4</v>
      </c>
      <c r="H1075" s="58">
        <v>45565</v>
      </c>
      <c r="I1075" s="15"/>
      <c r="J1075" s="11"/>
      <c r="K1075" s="12"/>
      <c r="L1075" s="12"/>
      <c r="M1075" s="12"/>
      <c r="N1075" s="31"/>
      <c r="O1075" s="7">
        <f t="shared" si="310"/>
        <v>0</v>
      </c>
      <c r="P1075" s="56"/>
    </row>
    <row r="1076" spans="1:16" x14ac:dyDescent="0.15">
      <c r="A1076" s="16" t="s">
        <v>29</v>
      </c>
      <c r="B1076" s="8"/>
      <c r="C1076" s="10"/>
      <c r="D1076" s="10"/>
      <c r="E1076" s="10">
        <v>1</v>
      </c>
      <c r="F1076" s="30"/>
      <c r="G1076" s="7">
        <f t="shared" si="308"/>
        <v>1</v>
      </c>
      <c r="H1076" s="58">
        <v>45582</v>
      </c>
      <c r="I1076" s="15"/>
      <c r="J1076" s="11"/>
      <c r="K1076" s="12"/>
      <c r="L1076" s="12"/>
      <c r="M1076" s="12"/>
      <c r="N1076" s="31"/>
      <c r="O1076" s="7">
        <f t="shared" si="310"/>
        <v>0</v>
      </c>
      <c r="P1076" s="56"/>
    </row>
    <row r="1077" spans="1:16" x14ac:dyDescent="0.15">
      <c r="A1077" s="16" t="s">
        <v>29</v>
      </c>
      <c r="B1077" s="8"/>
      <c r="C1077" s="10"/>
      <c r="D1077" s="10"/>
      <c r="E1077" s="10">
        <v>-1</v>
      </c>
      <c r="F1077" s="30">
        <v>1</v>
      </c>
      <c r="G1077" s="7">
        <f t="shared" si="308"/>
        <v>0</v>
      </c>
      <c r="H1077" s="58">
        <v>45593</v>
      </c>
      <c r="I1077" s="15"/>
      <c r="J1077" s="11"/>
      <c r="K1077" s="12"/>
      <c r="L1077" s="12"/>
      <c r="M1077" s="12"/>
      <c r="N1077" s="31"/>
      <c r="O1077" s="7">
        <f t="shared" si="310"/>
        <v>0</v>
      </c>
      <c r="P1077" s="56"/>
    </row>
    <row r="1078" spans="1:16" x14ac:dyDescent="0.15">
      <c r="A1078" s="16" t="s">
        <v>29</v>
      </c>
      <c r="B1078" s="8"/>
      <c r="C1078" s="10"/>
      <c r="D1078" s="10"/>
      <c r="E1078" s="10"/>
      <c r="F1078" s="30">
        <v>1</v>
      </c>
      <c r="G1078" s="7">
        <f t="shared" si="308"/>
        <v>1</v>
      </c>
      <c r="H1078" s="58">
        <v>45601</v>
      </c>
      <c r="I1078" s="15"/>
      <c r="J1078" s="11"/>
      <c r="K1078" s="12"/>
      <c r="L1078" s="12"/>
      <c r="M1078" s="12"/>
      <c r="N1078" s="31"/>
      <c r="O1078" s="7">
        <f t="shared" si="310"/>
        <v>0</v>
      </c>
      <c r="P1078" s="56"/>
    </row>
    <row r="1079" spans="1:16" x14ac:dyDescent="0.15">
      <c r="A1079" s="16" t="s">
        <v>29</v>
      </c>
      <c r="B1079" s="8"/>
      <c r="C1079" s="10">
        <v>1</v>
      </c>
      <c r="D1079" s="10"/>
      <c r="E1079" s="10"/>
      <c r="F1079" s="30"/>
      <c r="G1079" s="7">
        <f t="shared" si="308"/>
        <v>1</v>
      </c>
      <c r="H1079" s="58">
        <v>45607</v>
      </c>
      <c r="I1079" s="15"/>
      <c r="J1079" s="11"/>
      <c r="K1079" s="12"/>
      <c r="L1079" s="12"/>
      <c r="M1079" s="12"/>
      <c r="N1079" s="31"/>
      <c r="O1079" s="7">
        <f t="shared" si="310"/>
        <v>0</v>
      </c>
      <c r="P1079" s="56"/>
    </row>
    <row r="1080" spans="1:16" x14ac:dyDescent="0.15">
      <c r="A1080" s="16" t="s">
        <v>29</v>
      </c>
      <c r="B1080" s="8"/>
      <c r="C1080" s="10"/>
      <c r="D1080" s="10"/>
      <c r="E1080" s="10">
        <v>1</v>
      </c>
      <c r="F1080" s="30"/>
      <c r="G1080" s="9">
        <f t="shared" si="308"/>
        <v>1</v>
      </c>
      <c r="H1080" s="58">
        <v>45614</v>
      </c>
      <c r="I1080" s="15"/>
      <c r="J1080" s="11"/>
      <c r="K1080" s="12"/>
      <c r="L1080" s="12"/>
      <c r="M1080" s="12"/>
      <c r="N1080" s="31"/>
      <c r="O1080" s="7">
        <f t="shared" si="310"/>
        <v>0</v>
      </c>
      <c r="P1080" s="56"/>
    </row>
    <row r="1081" spans="1:16" x14ac:dyDescent="0.15">
      <c r="A1081" s="16" t="s">
        <v>29</v>
      </c>
      <c r="B1081" s="8"/>
      <c r="C1081" s="10"/>
      <c r="D1081" s="10"/>
      <c r="E1081" s="10"/>
      <c r="F1081" s="30">
        <v>1</v>
      </c>
      <c r="G1081" s="7">
        <f t="shared" si="308"/>
        <v>1</v>
      </c>
      <c r="H1081" s="58">
        <v>45621</v>
      </c>
      <c r="I1081" s="15"/>
      <c r="J1081" s="11"/>
      <c r="K1081" s="12"/>
      <c r="L1081" s="12"/>
      <c r="M1081" s="12"/>
      <c r="N1081" s="31"/>
      <c r="O1081" s="7">
        <f t="shared" ref="O1081:O1088" si="311">SUM(J1081:N1081)</f>
        <v>0</v>
      </c>
      <c r="P1081" s="56"/>
    </row>
    <row r="1082" spans="1:16" x14ac:dyDescent="0.15">
      <c r="A1082" s="16" t="s">
        <v>29</v>
      </c>
      <c r="B1082" s="8"/>
      <c r="C1082" s="10"/>
      <c r="D1082" s="10">
        <v>1</v>
      </c>
      <c r="E1082" s="10"/>
      <c r="F1082" s="30"/>
      <c r="G1082" s="7">
        <f t="shared" si="308"/>
        <v>1</v>
      </c>
      <c r="H1082" s="58">
        <v>45628</v>
      </c>
      <c r="I1082" s="16"/>
      <c r="J1082" s="11"/>
      <c r="K1082" s="12"/>
      <c r="L1082" s="12"/>
      <c r="M1082" s="12"/>
      <c r="N1082" s="31"/>
      <c r="O1082" s="7">
        <f t="shared" si="311"/>
        <v>0</v>
      </c>
    </row>
    <row r="1083" spans="1:16" x14ac:dyDescent="0.15">
      <c r="A1083" s="16" t="s">
        <v>29</v>
      </c>
      <c r="B1083" s="8"/>
      <c r="C1083" s="10"/>
      <c r="D1083" s="10"/>
      <c r="E1083" s="10">
        <v>1</v>
      </c>
      <c r="F1083" s="30"/>
      <c r="G1083" s="7">
        <f t="shared" si="308"/>
        <v>1</v>
      </c>
      <c r="H1083" s="58">
        <v>45631</v>
      </c>
      <c r="I1083" s="16"/>
      <c r="J1083" s="11"/>
      <c r="K1083" s="12"/>
      <c r="L1083" s="12"/>
      <c r="M1083" s="12"/>
      <c r="N1083" s="31"/>
      <c r="O1083" s="7">
        <f t="shared" si="311"/>
        <v>0</v>
      </c>
    </row>
    <row r="1084" spans="1:16" x14ac:dyDescent="0.15">
      <c r="A1084" s="16" t="s">
        <v>29</v>
      </c>
      <c r="B1084" s="8"/>
      <c r="C1084" s="10"/>
      <c r="D1084" s="10"/>
      <c r="E1084" s="10"/>
      <c r="F1084" s="30">
        <v>1</v>
      </c>
      <c r="G1084" s="7">
        <f t="shared" si="308"/>
        <v>1</v>
      </c>
      <c r="H1084" s="58">
        <v>45671</v>
      </c>
      <c r="I1084" s="16"/>
      <c r="J1084" s="11"/>
      <c r="K1084" s="12"/>
      <c r="L1084" s="12"/>
      <c r="M1084" s="12"/>
      <c r="N1084" s="31"/>
      <c r="O1084" s="7">
        <f t="shared" si="311"/>
        <v>0</v>
      </c>
    </row>
    <row r="1085" spans="1:16" x14ac:dyDescent="0.15">
      <c r="A1085" s="16" t="s">
        <v>29</v>
      </c>
      <c r="B1085" s="8"/>
      <c r="C1085" s="10"/>
      <c r="D1085" s="10">
        <v>1</v>
      </c>
      <c r="E1085" s="10"/>
      <c r="F1085" s="30"/>
      <c r="G1085" s="7">
        <f t="shared" si="308"/>
        <v>1</v>
      </c>
      <c r="H1085" s="58">
        <v>45684</v>
      </c>
      <c r="I1085" s="16"/>
      <c r="J1085" s="11"/>
      <c r="K1085" s="12"/>
      <c r="L1085" s="12"/>
      <c r="M1085" s="12"/>
      <c r="N1085" s="31"/>
      <c r="O1085" s="7">
        <f t="shared" si="311"/>
        <v>0</v>
      </c>
    </row>
    <row r="1086" spans="1:16" x14ac:dyDescent="0.15">
      <c r="A1086" s="16" t="s">
        <v>29</v>
      </c>
      <c r="B1086" s="8"/>
      <c r="C1086" s="10">
        <v>1</v>
      </c>
      <c r="D1086" s="10"/>
      <c r="E1086" s="10"/>
      <c r="F1086" s="30"/>
      <c r="G1086" s="7">
        <f t="shared" si="308"/>
        <v>1</v>
      </c>
      <c r="H1086" s="58">
        <v>45685</v>
      </c>
      <c r="I1086" s="16"/>
      <c r="J1086" s="11"/>
      <c r="K1086" s="12"/>
      <c r="L1086" s="12"/>
      <c r="M1086" s="12"/>
      <c r="N1086" s="31"/>
      <c r="O1086" s="7">
        <f t="shared" si="311"/>
        <v>0</v>
      </c>
    </row>
    <row r="1087" spans="1:16" x14ac:dyDescent="0.15">
      <c r="A1087" s="16" t="s">
        <v>29</v>
      </c>
      <c r="B1087" s="8"/>
      <c r="C1087" s="10"/>
      <c r="D1087" s="10">
        <v>1</v>
      </c>
      <c r="E1087" s="10"/>
      <c r="F1087" s="30"/>
      <c r="G1087" s="7">
        <f t="shared" si="308"/>
        <v>1</v>
      </c>
      <c r="H1087" s="58">
        <v>45686</v>
      </c>
      <c r="I1087" s="14"/>
      <c r="J1087" s="11"/>
      <c r="K1087" s="12"/>
      <c r="L1087" s="12"/>
      <c r="M1087" s="12"/>
      <c r="N1087" s="31"/>
      <c r="O1087" s="7">
        <f t="shared" si="311"/>
        <v>0</v>
      </c>
    </row>
    <row r="1088" spans="1:16" x14ac:dyDescent="0.15">
      <c r="A1088" s="16" t="s">
        <v>29</v>
      </c>
      <c r="B1088" s="8"/>
      <c r="C1088" s="10"/>
      <c r="D1088" s="10">
        <v>1</v>
      </c>
      <c r="E1088" s="10">
        <v>1</v>
      </c>
      <c r="F1088" s="30"/>
      <c r="G1088" s="7">
        <f t="shared" si="308"/>
        <v>2</v>
      </c>
      <c r="H1088" s="58">
        <v>45713</v>
      </c>
      <c r="I1088" s="16"/>
      <c r="J1088" s="11"/>
      <c r="K1088" s="12"/>
      <c r="L1088" s="12"/>
      <c r="M1088" s="12"/>
      <c r="N1088" s="31"/>
      <c r="O1088" s="7">
        <f t="shared" si="311"/>
        <v>0</v>
      </c>
    </row>
    <row r="1089" spans="1:15" x14ac:dyDescent="0.15">
      <c r="A1089" s="16" t="s">
        <v>29</v>
      </c>
      <c r="B1089" s="8"/>
      <c r="C1089" s="10"/>
      <c r="D1089" s="10">
        <v>1</v>
      </c>
      <c r="E1089" s="10"/>
      <c r="F1089" s="30"/>
      <c r="G1089" s="9">
        <f t="shared" si="308"/>
        <v>1</v>
      </c>
      <c r="H1089" s="58">
        <v>45722</v>
      </c>
      <c r="I1089" s="16"/>
      <c r="J1089" s="11"/>
      <c r="K1089" s="12"/>
      <c r="L1089" s="12"/>
      <c r="M1089" s="12"/>
      <c r="N1089" s="31"/>
      <c r="O1089" s="7">
        <f t="shared" ref="O1089:O1090" si="312">SUM(J1089:N1089)</f>
        <v>0</v>
      </c>
    </row>
    <row r="1090" spans="1:15" ht="14.25" thickBot="1" x14ac:dyDescent="0.2">
      <c r="A1090" s="16" t="s">
        <v>1640</v>
      </c>
      <c r="B1090" s="37"/>
      <c r="C1090" s="35"/>
      <c r="D1090" s="35">
        <v>1</v>
      </c>
      <c r="E1090" s="35"/>
      <c r="F1090" s="28"/>
      <c r="G1090" s="9">
        <f t="shared" si="308"/>
        <v>1</v>
      </c>
      <c r="H1090" s="58">
        <v>45724</v>
      </c>
      <c r="I1090" s="16"/>
      <c r="J1090" s="11"/>
      <c r="K1090" s="12"/>
      <c r="L1090" s="12"/>
      <c r="M1090" s="12"/>
      <c r="N1090" s="31"/>
      <c r="O1090" s="7">
        <f t="shared" si="312"/>
        <v>0</v>
      </c>
    </row>
    <row r="1091" spans="1:15" ht="14.25" thickBot="1" x14ac:dyDescent="0.2">
      <c r="A1091" s="3" t="s">
        <v>11</v>
      </c>
      <c r="B1091" s="23">
        <f>SUM(B1065:B1090)</f>
        <v>5</v>
      </c>
      <c r="C1091" s="4">
        <f>SUM(C1065:C1090)</f>
        <v>7</v>
      </c>
      <c r="D1091" s="4">
        <f>SUM(D1065:D1090)</f>
        <v>14</v>
      </c>
      <c r="E1091" s="6">
        <f>SUM(E1065:E1090)</f>
        <v>8</v>
      </c>
      <c r="F1091" s="32">
        <f>SUM(F1065:F1090)</f>
        <v>4</v>
      </c>
      <c r="G1091" s="5">
        <f>SUM(B1091:F1091)</f>
        <v>38</v>
      </c>
      <c r="H1091" s="56"/>
      <c r="I1091" s="3" t="s">
        <v>11</v>
      </c>
      <c r="J1091" s="23">
        <f>SUM(J1065:J1090)</f>
        <v>3</v>
      </c>
      <c r="K1091" s="4">
        <f>SUM(K1065:K1090)</f>
        <v>0</v>
      </c>
      <c r="L1091" s="4">
        <f>SUM(L1065:L1090)</f>
        <v>11</v>
      </c>
      <c r="M1091" s="6">
        <f>SUM(M1065:M1090)</f>
        <v>3</v>
      </c>
      <c r="N1091" s="32">
        <f>SUM(N1065:N1090)</f>
        <v>6</v>
      </c>
      <c r="O1091" s="5">
        <f>SUM(J1091:N1091)</f>
        <v>23</v>
      </c>
    </row>
    <row r="1092" spans="1:15" ht="14.25" thickBot="1" x14ac:dyDescent="0.2">
      <c r="A1092" s="25" t="s">
        <v>12</v>
      </c>
      <c r="B1092" s="63">
        <f>B1064-B1091</f>
        <v>9</v>
      </c>
      <c r="C1092" s="26">
        <f t="shared" ref="C1092:G1092" si="313">C1064-C1091</f>
        <v>12</v>
      </c>
      <c r="D1092" s="71">
        <f t="shared" si="313"/>
        <v>7</v>
      </c>
      <c r="E1092" s="26">
        <f t="shared" si="313"/>
        <v>15</v>
      </c>
      <c r="F1092" s="70">
        <f t="shared" si="313"/>
        <v>6</v>
      </c>
      <c r="G1092" s="27">
        <f t="shared" si="313"/>
        <v>49</v>
      </c>
      <c r="H1092" s="56"/>
      <c r="I1092" s="25" t="s">
        <v>12</v>
      </c>
      <c r="J1092" s="63">
        <f>J1064-J1091</f>
        <v>165</v>
      </c>
      <c r="K1092" s="26">
        <f>K1064-K1091</f>
        <v>101</v>
      </c>
      <c r="L1092" s="71">
        <f>L1064-L1091</f>
        <v>75</v>
      </c>
      <c r="M1092" s="26">
        <f t="shared" ref="M1092:O1092" si="314">M1064-M1091</f>
        <v>24</v>
      </c>
      <c r="N1092" s="70">
        <f t="shared" si="314"/>
        <v>112</v>
      </c>
      <c r="O1092" s="27">
        <f t="shared" si="314"/>
        <v>477</v>
      </c>
    </row>
    <row r="1093" spans="1:15" ht="21" x14ac:dyDescent="0.2">
      <c r="A1093" s="86" t="s">
        <v>413</v>
      </c>
      <c r="B1093" s="87"/>
      <c r="C1093" s="87"/>
      <c r="D1093" s="87"/>
      <c r="E1093" s="87"/>
      <c r="F1093" s="87"/>
      <c r="G1093" s="87"/>
      <c r="H1093" s="56"/>
      <c r="I1093" s="86" t="s">
        <v>413</v>
      </c>
      <c r="J1093" s="87"/>
      <c r="K1093" s="87"/>
      <c r="L1093" s="87"/>
      <c r="M1093" s="87"/>
      <c r="N1093" s="87"/>
      <c r="O1093" s="87"/>
    </row>
    <row r="1094" spans="1:15" ht="21.75" thickBot="1" x14ac:dyDescent="0.25">
      <c r="A1094" s="86" t="s">
        <v>51</v>
      </c>
      <c r="B1094" s="87"/>
      <c r="C1094" s="87"/>
      <c r="D1094" s="87"/>
      <c r="E1094" s="85"/>
      <c r="F1094" s="88" t="s">
        <v>53</v>
      </c>
      <c r="G1094" s="87"/>
      <c r="H1094" s="56"/>
      <c r="I1094" s="86" t="s">
        <v>51</v>
      </c>
      <c r="J1094" s="87"/>
      <c r="K1094" s="87"/>
      <c r="L1094" s="87"/>
      <c r="M1094" s="89"/>
      <c r="N1094" s="88" t="s">
        <v>54</v>
      </c>
      <c r="O1094" s="87"/>
    </row>
    <row r="1095" spans="1:15" ht="14.25" thickBot="1" x14ac:dyDescent="0.2">
      <c r="A1095" s="13" t="s">
        <v>0</v>
      </c>
      <c r="B1095" s="228" t="s">
        <v>52</v>
      </c>
      <c r="C1095" s="229"/>
      <c r="D1095" s="229"/>
      <c r="E1095" s="229"/>
      <c r="F1095" s="230"/>
      <c r="G1095" s="231"/>
      <c r="H1095" s="56"/>
      <c r="I1095" s="13" t="s">
        <v>0</v>
      </c>
      <c r="J1095" s="228" t="s">
        <v>52</v>
      </c>
      <c r="K1095" s="229"/>
      <c r="L1095" s="229"/>
      <c r="M1095" s="229"/>
      <c r="N1095" s="230"/>
      <c r="O1095" s="231"/>
    </row>
    <row r="1096" spans="1:15" ht="14.25" thickBot="1" x14ac:dyDescent="0.2">
      <c r="A1096" s="3" t="s">
        <v>1</v>
      </c>
      <c r="B1096" s="2" t="s">
        <v>42</v>
      </c>
      <c r="C1096" s="21" t="s">
        <v>43</v>
      </c>
      <c r="D1096" s="21" t="s">
        <v>44</v>
      </c>
      <c r="E1096" s="24" t="s">
        <v>45</v>
      </c>
      <c r="F1096" s="33" t="s">
        <v>46</v>
      </c>
      <c r="G1096" s="3" t="s">
        <v>2</v>
      </c>
      <c r="H1096" s="56"/>
      <c r="I1096" s="3" t="s">
        <v>1</v>
      </c>
      <c r="J1096" s="41" t="s">
        <v>42</v>
      </c>
      <c r="K1096" s="42" t="s">
        <v>43</v>
      </c>
      <c r="L1096" s="42" t="s">
        <v>44</v>
      </c>
      <c r="M1096" s="43" t="s">
        <v>45</v>
      </c>
      <c r="N1096" s="44" t="s">
        <v>46</v>
      </c>
      <c r="O1096" s="3" t="s">
        <v>2</v>
      </c>
    </row>
    <row r="1097" spans="1:15" x14ac:dyDescent="0.15">
      <c r="A1097" s="96" t="s">
        <v>13</v>
      </c>
      <c r="B1097" s="95">
        <f>B1092</f>
        <v>9</v>
      </c>
      <c r="C1097" s="97">
        <f t="shared" ref="C1097:F1097" si="315">C1092</f>
        <v>12</v>
      </c>
      <c r="D1097" s="97">
        <f t="shared" si="315"/>
        <v>7</v>
      </c>
      <c r="E1097" s="97">
        <f t="shared" si="315"/>
        <v>15</v>
      </c>
      <c r="F1097" s="139">
        <f t="shared" si="315"/>
        <v>6</v>
      </c>
      <c r="G1097" s="52">
        <f t="shared" ref="G1097:G1105" si="316">SUM(B1097:F1097)</f>
        <v>49</v>
      </c>
      <c r="H1097" s="58"/>
      <c r="I1097" s="96" t="s">
        <v>13</v>
      </c>
      <c r="J1097" s="95">
        <f>J1092</f>
        <v>165</v>
      </c>
      <c r="K1097" s="97">
        <f t="shared" ref="K1097:N1097" si="317">K1092</f>
        <v>101</v>
      </c>
      <c r="L1097" s="97">
        <f t="shared" si="317"/>
        <v>75</v>
      </c>
      <c r="M1097" s="97">
        <f t="shared" si="317"/>
        <v>24</v>
      </c>
      <c r="N1097" s="139">
        <f t="shared" si="317"/>
        <v>112</v>
      </c>
      <c r="O1097" s="52">
        <f t="shared" ref="O1097:O1105" si="318">SUM(J1097:N1097)</f>
        <v>477</v>
      </c>
    </row>
    <row r="1098" spans="1:15" x14ac:dyDescent="0.15">
      <c r="A1098" s="15" t="s">
        <v>1642</v>
      </c>
      <c r="B1098" s="8"/>
      <c r="C1098" s="10"/>
      <c r="D1098" s="10">
        <v>1</v>
      </c>
      <c r="E1098" s="10"/>
      <c r="F1098" s="30"/>
      <c r="G1098" s="7">
        <f t="shared" si="316"/>
        <v>1</v>
      </c>
      <c r="H1098" s="58">
        <v>45733</v>
      </c>
      <c r="I1098" s="15" t="s">
        <v>3</v>
      </c>
      <c r="J1098" s="8"/>
      <c r="K1098" s="45"/>
      <c r="L1098" s="45"/>
      <c r="M1098" s="45"/>
      <c r="N1098" s="46"/>
      <c r="O1098" s="7">
        <f t="shared" ref="O1098:O1099" si="319">SUM(J1098:N1098)</f>
        <v>0</v>
      </c>
    </row>
    <row r="1099" spans="1:15" x14ac:dyDescent="0.15">
      <c r="A1099" s="15" t="s">
        <v>1348</v>
      </c>
      <c r="B1099" s="8">
        <v>0</v>
      </c>
      <c r="C1099" s="10">
        <v>0</v>
      </c>
      <c r="D1099" s="10">
        <v>0</v>
      </c>
      <c r="E1099" s="10">
        <v>0</v>
      </c>
      <c r="F1099" s="30">
        <v>0</v>
      </c>
      <c r="G1099" s="7">
        <f t="shared" si="316"/>
        <v>0</v>
      </c>
      <c r="H1099" s="58">
        <v>45894</v>
      </c>
      <c r="I1099" s="15" t="s">
        <v>4</v>
      </c>
      <c r="J1099" s="8"/>
      <c r="K1099" s="45"/>
      <c r="L1099" s="45"/>
      <c r="M1099" s="45"/>
      <c r="N1099" s="46"/>
      <c r="O1099" s="7">
        <f t="shared" si="319"/>
        <v>0</v>
      </c>
    </row>
    <row r="1100" spans="1:15" x14ac:dyDescent="0.15">
      <c r="A1100" s="15" t="s">
        <v>27</v>
      </c>
      <c r="B1100" s="8">
        <v>2</v>
      </c>
      <c r="C1100" s="10"/>
      <c r="D1100" s="10"/>
      <c r="E1100" s="10"/>
      <c r="F1100" s="30"/>
      <c r="G1100" s="7">
        <f t="shared" si="316"/>
        <v>2</v>
      </c>
      <c r="H1100" s="58">
        <v>45897</v>
      </c>
      <c r="I1100" s="15" t="s">
        <v>5</v>
      </c>
      <c r="J1100" s="8"/>
      <c r="K1100" s="45"/>
      <c r="L1100" s="45"/>
      <c r="M1100" s="45"/>
      <c r="N1100" s="46"/>
      <c r="O1100" s="7">
        <f t="shared" si="318"/>
        <v>0</v>
      </c>
    </row>
    <row r="1101" spans="1:15" x14ac:dyDescent="0.15">
      <c r="A1101" s="15" t="s">
        <v>27</v>
      </c>
      <c r="B1101" s="8"/>
      <c r="C1101" s="10"/>
      <c r="D1101" s="10"/>
      <c r="E1101" s="10"/>
      <c r="F1101" s="30"/>
      <c r="G1101" s="7">
        <f t="shared" si="316"/>
        <v>0</v>
      </c>
      <c r="H1101" s="58"/>
      <c r="I1101" s="15" t="s">
        <v>6</v>
      </c>
      <c r="J1101" s="8"/>
      <c r="K1101" s="45"/>
      <c r="L1101" s="45"/>
      <c r="M1101" s="45"/>
      <c r="N1101" s="46"/>
      <c r="O1101" s="7">
        <f t="shared" si="318"/>
        <v>0</v>
      </c>
    </row>
    <row r="1102" spans="1:15" x14ac:dyDescent="0.15">
      <c r="A1102" s="15" t="s">
        <v>27</v>
      </c>
      <c r="B1102" s="8"/>
      <c r="C1102" s="10"/>
      <c r="D1102" s="10"/>
      <c r="E1102" s="10"/>
      <c r="F1102" s="30"/>
      <c r="G1102" s="7">
        <f t="shared" si="316"/>
        <v>0</v>
      </c>
      <c r="H1102" s="58"/>
      <c r="I1102" s="15" t="s">
        <v>84</v>
      </c>
      <c r="J1102" s="8"/>
      <c r="K1102" s="45"/>
      <c r="L1102" s="45"/>
      <c r="M1102" s="45"/>
      <c r="N1102" s="46"/>
      <c r="O1102" s="7">
        <f t="shared" si="318"/>
        <v>0</v>
      </c>
    </row>
    <row r="1103" spans="1:15" x14ac:dyDescent="0.15">
      <c r="A1103" s="15" t="s">
        <v>27</v>
      </c>
      <c r="B1103" s="8"/>
      <c r="C1103" s="10"/>
      <c r="D1103" s="10"/>
      <c r="E1103" s="10"/>
      <c r="F1103" s="30"/>
      <c r="G1103" s="7">
        <f t="shared" si="316"/>
        <v>0</v>
      </c>
      <c r="H1103" s="58"/>
      <c r="I1103" s="15" t="s">
        <v>85</v>
      </c>
      <c r="J1103" s="8"/>
      <c r="K1103" s="45"/>
      <c r="L1103" s="45"/>
      <c r="M1103" s="45"/>
      <c r="N1103" s="46"/>
      <c r="O1103" s="7">
        <f t="shared" si="318"/>
        <v>0</v>
      </c>
    </row>
    <row r="1104" spans="1:15" x14ac:dyDescent="0.15">
      <c r="A1104" s="15" t="s">
        <v>27</v>
      </c>
      <c r="B1104" s="8"/>
      <c r="C1104" s="10"/>
      <c r="D1104" s="10"/>
      <c r="E1104" s="10"/>
      <c r="F1104" s="30"/>
      <c r="G1104" s="7">
        <f t="shared" si="316"/>
        <v>0</v>
      </c>
      <c r="H1104" s="58"/>
      <c r="I1104" s="15" t="s">
        <v>86</v>
      </c>
      <c r="J1104" s="8"/>
      <c r="K1104" s="45"/>
      <c r="L1104" s="45"/>
      <c r="M1104" s="45"/>
      <c r="N1104" s="46"/>
      <c r="O1104" s="102">
        <f t="shared" si="318"/>
        <v>0</v>
      </c>
    </row>
    <row r="1105" spans="1:15" ht="14.25" thickBot="1" x14ac:dyDescent="0.2">
      <c r="A1105" s="15" t="s">
        <v>27</v>
      </c>
      <c r="B1105" s="8">
        <v>1</v>
      </c>
      <c r="C1105" s="10"/>
      <c r="D1105" s="10">
        <v>2</v>
      </c>
      <c r="E1105" s="10"/>
      <c r="F1105" s="30">
        <v>3</v>
      </c>
      <c r="G1105" s="7">
        <f t="shared" si="316"/>
        <v>6</v>
      </c>
      <c r="H1105" s="58"/>
      <c r="I1105" s="15" t="s">
        <v>87</v>
      </c>
      <c r="J1105" s="47"/>
      <c r="K1105" s="48"/>
      <c r="L1105" s="48"/>
      <c r="M1105" s="48"/>
      <c r="N1105" s="49"/>
      <c r="O1105" s="40">
        <f t="shared" si="318"/>
        <v>0</v>
      </c>
    </row>
    <row r="1106" spans="1:15" ht="14.25" thickBot="1" x14ac:dyDescent="0.2">
      <c r="A1106" s="72" t="s">
        <v>7</v>
      </c>
      <c r="B1106" s="73">
        <f>SUM(B1097:B1105)</f>
        <v>12</v>
      </c>
      <c r="C1106" s="74">
        <f t="shared" ref="C1106:G1106" si="320">SUM(C1097:C1105)</f>
        <v>12</v>
      </c>
      <c r="D1106" s="74">
        <f t="shared" si="320"/>
        <v>10</v>
      </c>
      <c r="E1106" s="74">
        <f t="shared" si="320"/>
        <v>15</v>
      </c>
      <c r="F1106" s="105">
        <f t="shared" si="320"/>
        <v>9</v>
      </c>
      <c r="G1106" s="76">
        <f t="shared" si="320"/>
        <v>58</v>
      </c>
      <c r="H1106" s="56"/>
      <c r="I1106" s="72" t="s">
        <v>7</v>
      </c>
      <c r="J1106" s="73">
        <f>SUM(J1097:J1105)</f>
        <v>165</v>
      </c>
      <c r="K1106" s="74">
        <f t="shared" ref="K1106:O1106" si="321">SUM(K1097:K1105)</f>
        <v>101</v>
      </c>
      <c r="L1106" s="74">
        <f t="shared" si="321"/>
        <v>75</v>
      </c>
      <c r="M1106" s="74">
        <f t="shared" si="321"/>
        <v>24</v>
      </c>
      <c r="N1106" s="105">
        <f t="shared" si="321"/>
        <v>112</v>
      </c>
      <c r="O1106" s="76">
        <f t="shared" si="321"/>
        <v>477</v>
      </c>
    </row>
    <row r="1107" spans="1:15" x14ac:dyDescent="0.15">
      <c r="A1107" s="16" t="s">
        <v>29</v>
      </c>
      <c r="B1107" s="37"/>
      <c r="C1107" s="35"/>
      <c r="D1107" s="35"/>
      <c r="E1107" s="35">
        <v>1</v>
      </c>
      <c r="F1107" s="28"/>
      <c r="G1107" s="7">
        <f t="shared" ref="G1107:G1131" si="322">SUM(B1107:F1107)</f>
        <v>1</v>
      </c>
      <c r="H1107" s="58">
        <v>45734</v>
      </c>
      <c r="I1107" s="15"/>
      <c r="J1107" s="11"/>
      <c r="K1107" s="12"/>
      <c r="L1107" s="12"/>
      <c r="M1107" s="12"/>
      <c r="N1107" s="31"/>
      <c r="O1107" s="7">
        <f t="shared" ref="O1107:O1111" si="323">SUM(J1107:N1107)</f>
        <v>0</v>
      </c>
    </row>
    <row r="1108" spans="1:15" x14ac:dyDescent="0.15">
      <c r="A1108" s="16" t="s">
        <v>29</v>
      </c>
      <c r="B1108" s="37"/>
      <c r="C1108" s="35"/>
      <c r="D1108" s="35"/>
      <c r="E1108" s="35"/>
      <c r="F1108" s="28">
        <v>1</v>
      </c>
      <c r="G1108" s="7">
        <f t="shared" si="322"/>
        <v>1</v>
      </c>
      <c r="H1108" s="58">
        <v>45741</v>
      </c>
      <c r="I1108" s="15"/>
      <c r="J1108" s="11"/>
      <c r="K1108" s="12"/>
      <c r="L1108" s="12"/>
      <c r="M1108" s="12"/>
      <c r="N1108" s="31"/>
      <c r="O1108" s="7">
        <f t="shared" si="323"/>
        <v>0</v>
      </c>
    </row>
    <row r="1109" spans="1:15" x14ac:dyDescent="0.15">
      <c r="A1109" s="16" t="s">
        <v>29</v>
      </c>
      <c r="B1109" s="37"/>
      <c r="C1109" s="35"/>
      <c r="D1109" s="35"/>
      <c r="E1109" s="35">
        <v>1</v>
      </c>
      <c r="F1109" s="28"/>
      <c r="G1109" s="7">
        <f t="shared" si="322"/>
        <v>1</v>
      </c>
      <c r="H1109" s="58">
        <v>45754</v>
      </c>
      <c r="I1109" s="15"/>
      <c r="J1109" s="11"/>
      <c r="K1109" s="12"/>
      <c r="L1109" s="12"/>
      <c r="M1109" s="12"/>
      <c r="N1109" s="31"/>
      <c r="O1109" s="7">
        <f t="shared" si="323"/>
        <v>0</v>
      </c>
    </row>
    <row r="1110" spans="1:15" x14ac:dyDescent="0.15">
      <c r="A1110" s="16" t="s">
        <v>29</v>
      </c>
      <c r="B1110" s="37"/>
      <c r="C1110" s="35">
        <v>1</v>
      </c>
      <c r="D1110" s="35"/>
      <c r="E1110" s="35"/>
      <c r="F1110" s="28"/>
      <c r="G1110" s="7">
        <f t="shared" si="322"/>
        <v>1</v>
      </c>
      <c r="H1110" s="58">
        <v>45756</v>
      </c>
      <c r="I1110" s="15"/>
      <c r="J1110" s="11"/>
      <c r="K1110" s="12"/>
      <c r="L1110" s="12"/>
      <c r="M1110" s="12"/>
      <c r="N1110" s="31"/>
      <c r="O1110" s="7">
        <f t="shared" si="323"/>
        <v>0</v>
      </c>
    </row>
    <row r="1111" spans="1:15" x14ac:dyDescent="0.15">
      <c r="A1111" s="16" t="s">
        <v>29</v>
      </c>
      <c r="B1111" s="37">
        <v>1</v>
      </c>
      <c r="C1111" s="35">
        <v>1</v>
      </c>
      <c r="D1111" s="35">
        <v>1</v>
      </c>
      <c r="E1111" s="35"/>
      <c r="F1111" s="28"/>
      <c r="G1111" s="7">
        <f t="shared" si="322"/>
        <v>3</v>
      </c>
      <c r="H1111" s="58">
        <v>45761</v>
      </c>
      <c r="I1111" s="15"/>
      <c r="J1111" s="11"/>
      <c r="K1111" s="12"/>
      <c r="L1111" s="12"/>
      <c r="M1111" s="12"/>
      <c r="N1111" s="31"/>
      <c r="O1111" s="7">
        <f t="shared" si="323"/>
        <v>0</v>
      </c>
    </row>
    <row r="1112" spans="1:15" x14ac:dyDescent="0.15">
      <c r="A1112" s="16" t="s">
        <v>29</v>
      </c>
      <c r="B1112" s="37"/>
      <c r="C1112" s="35">
        <v>1</v>
      </c>
      <c r="D1112" s="35">
        <v>1</v>
      </c>
      <c r="E1112" s="35">
        <v>1</v>
      </c>
      <c r="F1112" s="28"/>
      <c r="G1112" s="7">
        <f t="shared" si="322"/>
        <v>3</v>
      </c>
      <c r="H1112" s="58">
        <v>45768</v>
      </c>
      <c r="I1112" s="15"/>
      <c r="J1112" s="11"/>
      <c r="K1112" s="12"/>
      <c r="L1112" s="12"/>
      <c r="M1112" s="12"/>
      <c r="N1112" s="31"/>
      <c r="O1112" s="7">
        <f t="shared" ref="O1112:O1132" si="324">SUM(J1112:N1112)</f>
        <v>0</v>
      </c>
    </row>
    <row r="1113" spans="1:15" x14ac:dyDescent="0.15">
      <c r="A1113" s="16" t="s">
        <v>29</v>
      </c>
      <c r="B1113" s="37"/>
      <c r="C1113" s="35">
        <v>1</v>
      </c>
      <c r="D1113" s="35"/>
      <c r="E1113" s="35"/>
      <c r="F1113" s="28">
        <v>1</v>
      </c>
      <c r="G1113" s="7">
        <f t="shared" si="322"/>
        <v>2</v>
      </c>
      <c r="H1113" s="58">
        <v>45775</v>
      </c>
      <c r="I1113" s="15"/>
      <c r="J1113" s="11"/>
      <c r="K1113" s="12"/>
      <c r="L1113" s="12"/>
      <c r="M1113" s="12"/>
      <c r="N1113" s="31"/>
      <c r="O1113" s="7">
        <f t="shared" si="324"/>
        <v>0</v>
      </c>
    </row>
    <row r="1114" spans="1:15" x14ac:dyDescent="0.15">
      <c r="A1114" s="16" t="s">
        <v>29</v>
      </c>
      <c r="B1114" s="37"/>
      <c r="C1114" s="35">
        <v>1</v>
      </c>
      <c r="D1114" s="35"/>
      <c r="E1114" s="35"/>
      <c r="F1114" s="28"/>
      <c r="G1114" s="7">
        <f t="shared" si="322"/>
        <v>1</v>
      </c>
      <c r="H1114" s="58">
        <v>45791</v>
      </c>
      <c r="I1114" s="15"/>
      <c r="J1114" s="11"/>
      <c r="K1114" s="12"/>
      <c r="L1114" s="12"/>
      <c r="M1114" s="12"/>
      <c r="N1114" s="31"/>
      <c r="O1114" s="7">
        <f t="shared" si="324"/>
        <v>0</v>
      </c>
    </row>
    <row r="1115" spans="1:15" x14ac:dyDescent="0.15">
      <c r="A1115" s="16" t="s">
        <v>29</v>
      </c>
      <c r="B1115" s="37"/>
      <c r="C1115" s="35">
        <v>1</v>
      </c>
      <c r="D1115" s="35"/>
      <c r="E1115" s="35"/>
      <c r="F1115" s="28"/>
      <c r="G1115" s="7">
        <f t="shared" si="322"/>
        <v>1</v>
      </c>
      <c r="H1115" s="58">
        <v>45796</v>
      </c>
      <c r="I1115" s="15"/>
      <c r="J1115" s="11"/>
      <c r="K1115" s="12"/>
      <c r="L1115" s="12"/>
      <c r="M1115" s="12"/>
      <c r="N1115" s="31"/>
      <c r="O1115" s="7">
        <f t="shared" si="324"/>
        <v>0</v>
      </c>
    </row>
    <row r="1116" spans="1:15" x14ac:dyDescent="0.15">
      <c r="A1116" s="16" t="s">
        <v>29</v>
      </c>
      <c r="B1116" s="37"/>
      <c r="C1116" s="35"/>
      <c r="D1116" s="35">
        <v>1</v>
      </c>
      <c r="E1116" s="35"/>
      <c r="F1116" s="28"/>
      <c r="G1116" s="7">
        <f t="shared" si="322"/>
        <v>1</v>
      </c>
      <c r="H1116" s="58">
        <v>45813</v>
      </c>
      <c r="I1116" s="15"/>
      <c r="J1116" s="11"/>
      <c r="K1116" s="12"/>
      <c r="L1116" s="12"/>
      <c r="M1116" s="12"/>
      <c r="N1116" s="31"/>
      <c r="O1116" s="7">
        <f t="shared" si="324"/>
        <v>0</v>
      </c>
    </row>
    <row r="1117" spans="1:15" x14ac:dyDescent="0.15">
      <c r="A1117" s="16" t="s">
        <v>29</v>
      </c>
      <c r="B1117" s="37"/>
      <c r="C1117" s="35">
        <v>1</v>
      </c>
      <c r="D1117" s="35"/>
      <c r="E1117" s="35"/>
      <c r="F1117" s="28"/>
      <c r="G1117" s="7">
        <f t="shared" si="322"/>
        <v>1</v>
      </c>
      <c r="H1117" s="58">
        <v>45817</v>
      </c>
      <c r="I1117" s="15"/>
      <c r="J1117" s="11"/>
      <c r="K1117" s="12"/>
      <c r="L1117" s="12"/>
      <c r="M1117" s="12"/>
      <c r="N1117" s="31"/>
      <c r="O1117" s="7">
        <f t="shared" si="324"/>
        <v>0</v>
      </c>
    </row>
    <row r="1118" spans="1:15" x14ac:dyDescent="0.15">
      <c r="A1118" s="16" t="s">
        <v>29</v>
      </c>
      <c r="B1118" s="37"/>
      <c r="C1118" s="35">
        <v>-1</v>
      </c>
      <c r="D1118" s="35">
        <v>1</v>
      </c>
      <c r="E1118" s="35"/>
      <c r="F1118" s="28"/>
      <c r="G1118" s="7">
        <f t="shared" si="322"/>
        <v>0</v>
      </c>
      <c r="H1118" s="58">
        <v>45820</v>
      </c>
      <c r="I1118" s="15"/>
      <c r="J1118" s="11"/>
      <c r="K1118" s="12"/>
      <c r="L1118" s="12"/>
      <c r="M1118" s="12"/>
      <c r="N1118" s="31"/>
      <c r="O1118" s="7">
        <f t="shared" si="324"/>
        <v>0</v>
      </c>
    </row>
    <row r="1119" spans="1:15" x14ac:dyDescent="0.15">
      <c r="A1119" s="16" t="s">
        <v>29</v>
      </c>
      <c r="B1119" s="37">
        <v>1</v>
      </c>
      <c r="C1119" s="35"/>
      <c r="D1119" s="35"/>
      <c r="E1119" s="35"/>
      <c r="F1119" s="28"/>
      <c r="G1119" s="7">
        <f t="shared" si="322"/>
        <v>1</v>
      </c>
      <c r="H1119" s="58">
        <v>45838</v>
      </c>
      <c r="I1119" s="15"/>
      <c r="J1119" s="11"/>
      <c r="K1119" s="12"/>
      <c r="L1119" s="12"/>
      <c r="M1119" s="12"/>
      <c r="N1119" s="31"/>
      <c r="O1119" s="7">
        <f t="shared" si="324"/>
        <v>0</v>
      </c>
    </row>
    <row r="1120" spans="1:15" x14ac:dyDescent="0.15">
      <c r="A1120" s="16" t="s">
        <v>29</v>
      </c>
      <c r="B1120" s="37"/>
      <c r="C1120" s="35"/>
      <c r="D1120" s="35"/>
      <c r="E1120" s="35"/>
      <c r="F1120" s="28">
        <v>1</v>
      </c>
      <c r="G1120" s="7">
        <f t="shared" si="322"/>
        <v>1</v>
      </c>
      <c r="H1120" s="58">
        <v>45839</v>
      </c>
      <c r="I1120" s="15"/>
      <c r="J1120" s="11"/>
      <c r="K1120" s="12"/>
      <c r="L1120" s="12"/>
      <c r="M1120" s="12"/>
      <c r="N1120" s="31"/>
      <c r="O1120" s="7">
        <f t="shared" si="324"/>
        <v>0</v>
      </c>
    </row>
    <row r="1121" spans="1:15" x14ac:dyDescent="0.15">
      <c r="A1121" s="16" t="s">
        <v>29</v>
      </c>
      <c r="B1121" s="37">
        <v>1</v>
      </c>
      <c r="C1121" s="35"/>
      <c r="D1121" s="35"/>
      <c r="E1121" s="35"/>
      <c r="F1121" s="28"/>
      <c r="G1121" s="7">
        <f t="shared" si="322"/>
        <v>1</v>
      </c>
      <c r="H1121" s="58">
        <v>45845</v>
      </c>
      <c r="I1121" s="15"/>
      <c r="J1121" s="11"/>
      <c r="K1121" s="12"/>
      <c r="L1121" s="12"/>
      <c r="M1121" s="12"/>
      <c r="N1121" s="31"/>
      <c r="O1121" s="7">
        <f t="shared" si="324"/>
        <v>0</v>
      </c>
    </row>
    <row r="1122" spans="1:15" x14ac:dyDescent="0.15">
      <c r="A1122" s="16" t="s">
        <v>29</v>
      </c>
      <c r="B1122" s="37"/>
      <c r="C1122" s="35"/>
      <c r="D1122" s="35"/>
      <c r="E1122" s="35"/>
      <c r="F1122" s="28">
        <v>1</v>
      </c>
      <c r="G1122" s="7">
        <f t="shared" si="322"/>
        <v>1</v>
      </c>
      <c r="H1122" s="58">
        <v>45860</v>
      </c>
      <c r="I1122" s="15"/>
      <c r="J1122" s="11"/>
      <c r="K1122" s="12"/>
      <c r="L1122" s="12"/>
      <c r="M1122" s="12"/>
      <c r="N1122" s="31"/>
      <c r="O1122" s="7">
        <f t="shared" si="324"/>
        <v>0</v>
      </c>
    </row>
    <row r="1123" spans="1:15" x14ac:dyDescent="0.15">
      <c r="A1123" s="16" t="s">
        <v>29</v>
      </c>
      <c r="B1123" s="37"/>
      <c r="C1123" s="35"/>
      <c r="D1123" s="35">
        <v>1</v>
      </c>
      <c r="E1123" s="35"/>
      <c r="F1123" s="28"/>
      <c r="G1123" s="7">
        <f t="shared" si="322"/>
        <v>1</v>
      </c>
      <c r="H1123" s="58">
        <v>45866</v>
      </c>
      <c r="I1123" s="15"/>
      <c r="J1123" s="11"/>
      <c r="K1123" s="12"/>
      <c r="L1123" s="12"/>
      <c r="M1123" s="12"/>
      <c r="N1123" s="31"/>
      <c r="O1123" s="7">
        <f t="shared" si="324"/>
        <v>0</v>
      </c>
    </row>
    <row r="1124" spans="1:15" x14ac:dyDescent="0.15">
      <c r="A1124" s="16" t="s">
        <v>29</v>
      </c>
      <c r="B1124" s="37"/>
      <c r="C1124" s="35">
        <v>1</v>
      </c>
      <c r="D1124" s="35"/>
      <c r="E1124" s="35"/>
      <c r="F1124" s="28"/>
      <c r="G1124" s="7">
        <f t="shared" si="322"/>
        <v>1</v>
      </c>
      <c r="H1124" s="58">
        <v>45873</v>
      </c>
      <c r="I1124" s="16"/>
      <c r="J1124" s="11"/>
      <c r="K1124" s="12"/>
      <c r="L1124" s="12"/>
      <c r="M1124" s="12"/>
      <c r="N1124" s="31"/>
      <c r="O1124" s="7">
        <f t="shared" si="324"/>
        <v>0</v>
      </c>
    </row>
    <row r="1125" spans="1:15" x14ac:dyDescent="0.15">
      <c r="A1125" s="16" t="s">
        <v>29</v>
      </c>
      <c r="B1125" s="37"/>
      <c r="C1125" s="35">
        <v>1</v>
      </c>
      <c r="D1125" s="35"/>
      <c r="E1125" s="35"/>
      <c r="F1125" s="28"/>
      <c r="G1125" s="7">
        <f t="shared" si="322"/>
        <v>1</v>
      </c>
      <c r="H1125" s="58">
        <v>45887</v>
      </c>
      <c r="I1125" s="16"/>
      <c r="J1125" s="11"/>
      <c r="K1125" s="12"/>
      <c r="L1125" s="12"/>
      <c r="M1125" s="12"/>
      <c r="N1125" s="31"/>
      <c r="O1125" s="7">
        <f t="shared" si="324"/>
        <v>0</v>
      </c>
    </row>
    <row r="1126" spans="1:15" x14ac:dyDescent="0.15">
      <c r="A1126" s="16" t="s">
        <v>29</v>
      </c>
      <c r="B1126" s="37"/>
      <c r="C1126" s="35"/>
      <c r="D1126" s="35"/>
      <c r="E1126" s="35"/>
      <c r="F1126" s="28">
        <v>1</v>
      </c>
      <c r="G1126" s="7">
        <f t="shared" si="322"/>
        <v>1</v>
      </c>
      <c r="H1126" s="58">
        <v>45894</v>
      </c>
      <c r="I1126" s="16"/>
      <c r="J1126" s="11"/>
      <c r="K1126" s="12"/>
      <c r="L1126" s="12"/>
      <c r="M1126" s="12"/>
      <c r="N1126" s="31"/>
      <c r="O1126" s="7">
        <f t="shared" si="324"/>
        <v>0</v>
      </c>
    </row>
    <row r="1127" spans="1:15" x14ac:dyDescent="0.15">
      <c r="A1127" s="16" t="s">
        <v>29</v>
      </c>
      <c r="B1127" s="37"/>
      <c r="C1127" s="35"/>
      <c r="D1127" s="35">
        <v>1</v>
      </c>
      <c r="E1127" s="35"/>
      <c r="F1127" s="28"/>
      <c r="G1127" s="7">
        <f t="shared" si="322"/>
        <v>1</v>
      </c>
      <c r="H1127" s="58">
        <v>45901</v>
      </c>
      <c r="I1127" s="16"/>
      <c r="J1127" s="11"/>
      <c r="K1127" s="12"/>
      <c r="L1127" s="12"/>
      <c r="M1127" s="12"/>
      <c r="N1127" s="31"/>
      <c r="O1127" s="7">
        <f t="shared" si="324"/>
        <v>0</v>
      </c>
    </row>
    <row r="1128" spans="1:15" x14ac:dyDescent="0.15">
      <c r="A1128" s="16" t="s">
        <v>29</v>
      </c>
      <c r="B1128" s="37"/>
      <c r="C1128" s="35"/>
      <c r="D1128" s="35"/>
      <c r="E1128" s="35">
        <v>1</v>
      </c>
      <c r="F1128" s="28"/>
      <c r="G1128" s="7">
        <f t="shared" si="322"/>
        <v>1</v>
      </c>
      <c r="H1128" s="58">
        <v>45905</v>
      </c>
      <c r="I1128" s="16"/>
      <c r="J1128" s="11"/>
      <c r="K1128" s="12"/>
      <c r="L1128" s="12"/>
      <c r="M1128" s="12"/>
      <c r="N1128" s="31"/>
      <c r="O1128" s="7">
        <f t="shared" si="324"/>
        <v>0</v>
      </c>
    </row>
    <row r="1129" spans="1:15" x14ac:dyDescent="0.15">
      <c r="A1129" s="16" t="s">
        <v>29</v>
      </c>
      <c r="B1129" s="37"/>
      <c r="C1129" s="35">
        <v>1</v>
      </c>
      <c r="D1129" s="35"/>
      <c r="E1129" s="35"/>
      <c r="F1129" s="28"/>
      <c r="G1129" s="7">
        <f t="shared" si="322"/>
        <v>1</v>
      </c>
      <c r="H1129" s="58">
        <v>45906</v>
      </c>
      <c r="I1129" s="14"/>
      <c r="J1129" s="11"/>
      <c r="K1129" s="12"/>
      <c r="L1129" s="12"/>
      <c r="M1129" s="12"/>
      <c r="N1129" s="31"/>
      <c r="O1129" s="7">
        <f t="shared" si="324"/>
        <v>0</v>
      </c>
    </row>
    <row r="1130" spans="1:15" x14ac:dyDescent="0.15">
      <c r="A1130" s="16" t="s">
        <v>29</v>
      </c>
      <c r="B1130" s="37"/>
      <c r="C1130" s="35">
        <v>1</v>
      </c>
      <c r="D1130" s="35"/>
      <c r="E1130" s="35"/>
      <c r="F1130" s="28"/>
      <c r="G1130" s="7">
        <f t="shared" si="322"/>
        <v>1</v>
      </c>
      <c r="H1130" s="58">
        <v>45916</v>
      </c>
      <c r="I1130" s="16"/>
      <c r="J1130" s="11"/>
      <c r="K1130" s="12"/>
      <c r="L1130" s="12"/>
      <c r="M1130" s="12"/>
      <c r="N1130" s="31"/>
      <c r="O1130" s="7">
        <f t="shared" si="324"/>
        <v>0</v>
      </c>
    </row>
    <row r="1131" spans="1:15" x14ac:dyDescent="0.15">
      <c r="A1131" s="16" t="s">
        <v>29</v>
      </c>
      <c r="B1131" s="37"/>
      <c r="C1131" s="35"/>
      <c r="D1131" s="35"/>
      <c r="E1131" s="35">
        <v>1</v>
      </c>
      <c r="F1131" s="28"/>
      <c r="G1131" s="7">
        <f t="shared" si="322"/>
        <v>1</v>
      </c>
      <c r="H1131" s="58">
        <v>45917</v>
      </c>
      <c r="I1131" s="16"/>
      <c r="J1131" s="11"/>
      <c r="K1131" s="12"/>
      <c r="L1131" s="12"/>
      <c r="M1131" s="12"/>
      <c r="N1131" s="31"/>
      <c r="O1131" s="7">
        <f t="shared" si="324"/>
        <v>0</v>
      </c>
    </row>
    <row r="1132" spans="1:15" ht="14.25" thickBot="1" x14ac:dyDescent="0.2">
      <c r="A1132" s="16" t="s">
        <v>29</v>
      </c>
      <c r="B1132" s="37"/>
      <c r="C1132" s="35"/>
      <c r="D1132" s="35">
        <v>1</v>
      </c>
      <c r="E1132" s="35"/>
      <c r="F1132" s="28"/>
      <c r="G1132" s="7">
        <f t="shared" ref="G1132" si="325">SUM(B1132:F1132)</f>
        <v>1</v>
      </c>
      <c r="H1132" s="58">
        <v>45930</v>
      </c>
      <c r="I1132" s="16"/>
      <c r="J1132" s="11"/>
      <c r="K1132" s="12"/>
      <c r="L1132" s="12"/>
      <c r="M1132" s="12"/>
      <c r="N1132" s="31"/>
      <c r="O1132" s="7">
        <f t="shared" si="324"/>
        <v>0</v>
      </c>
    </row>
    <row r="1133" spans="1:15" ht="14.25" thickBot="1" x14ac:dyDescent="0.2">
      <c r="A1133" s="3" t="s">
        <v>11</v>
      </c>
      <c r="B1133" s="23">
        <f>SUM(B1107:B1132)</f>
        <v>3</v>
      </c>
      <c r="C1133" s="4">
        <f>SUM(C1107:C1132)</f>
        <v>10</v>
      </c>
      <c r="D1133" s="4">
        <f>SUM(D1107:D1132)</f>
        <v>7</v>
      </c>
      <c r="E1133" s="6">
        <f>SUM(E1107:E1132)</f>
        <v>5</v>
      </c>
      <c r="F1133" s="32">
        <f>SUM(F1107:F1132)</f>
        <v>5</v>
      </c>
      <c r="G1133" s="5">
        <f>SUM(B1133:F1133)</f>
        <v>30</v>
      </c>
      <c r="H1133" s="56"/>
      <c r="I1133" s="3" t="s">
        <v>11</v>
      </c>
      <c r="J1133" s="23">
        <f>SUM(J1107:J1132)</f>
        <v>0</v>
      </c>
      <c r="K1133" s="4">
        <f>SUM(K1107:K1132)</f>
        <v>0</v>
      </c>
      <c r="L1133" s="4">
        <f>SUM(L1107:L1132)</f>
        <v>0</v>
      </c>
      <c r="M1133" s="6">
        <f>SUM(M1107:M1132)</f>
        <v>0</v>
      </c>
      <c r="N1133" s="32">
        <f>SUM(N1107:N1132)</f>
        <v>0</v>
      </c>
      <c r="O1133" s="5">
        <f>SUM(J1133:N1133)</f>
        <v>0</v>
      </c>
    </row>
    <row r="1134" spans="1:15" ht="14.25" thickBot="1" x14ac:dyDescent="0.2">
      <c r="A1134" s="25" t="s">
        <v>12</v>
      </c>
      <c r="B1134" s="63">
        <f>B1106-B1133</f>
        <v>9</v>
      </c>
      <c r="C1134" s="26">
        <f t="shared" ref="C1134:G1134" si="326">C1106-C1133</f>
        <v>2</v>
      </c>
      <c r="D1134" s="71">
        <f t="shared" si="326"/>
        <v>3</v>
      </c>
      <c r="E1134" s="26">
        <f t="shared" si="326"/>
        <v>10</v>
      </c>
      <c r="F1134" s="70">
        <f t="shared" si="326"/>
        <v>4</v>
      </c>
      <c r="G1134" s="27">
        <f t="shared" si="326"/>
        <v>28</v>
      </c>
      <c r="H1134" s="56"/>
      <c r="I1134" s="25" t="s">
        <v>12</v>
      </c>
      <c r="J1134" s="63">
        <f>J1106-J1133</f>
        <v>165</v>
      </c>
      <c r="K1134" s="26">
        <f>K1106-K1133</f>
        <v>101</v>
      </c>
      <c r="L1134" s="71">
        <f>L1106-L1133</f>
        <v>75</v>
      </c>
      <c r="M1134" s="26">
        <f t="shared" ref="M1134:O1134" si="327">M1106-M1133</f>
        <v>24</v>
      </c>
      <c r="N1134" s="70">
        <f t="shared" si="327"/>
        <v>112</v>
      </c>
      <c r="O1134" s="27">
        <f t="shared" si="327"/>
        <v>477</v>
      </c>
    </row>
    <row r="1135" spans="1:15" ht="21" x14ac:dyDescent="0.2">
      <c r="A1135" s="86" t="s">
        <v>413</v>
      </c>
      <c r="B1135" s="87"/>
      <c r="C1135" s="87"/>
      <c r="D1135" s="87"/>
      <c r="E1135" s="87"/>
      <c r="F1135" s="87"/>
      <c r="G1135" s="87"/>
      <c r="H1135" s="56"/>
      <c r="I1135" s="86" t="s">
        <v>413</v>
      </c>
      <c r="J1135" s="87"/>
      <c r="K1135" s="87"/>
      <c r="L1135" s="87"/>
      <c r="M1135" s="87"/>
      <c r="N1135" s="87"/>
      <c r="O1135" s="87"/>
    </row>
    <row r="1136" spans="1:15" ht="21.75" thickBot="1" x14ac:dyDescent="0.25">
      <c r="A1136" s="86" t="s">
        <v>51</v>
      </c>
      <c r="B1136" s="87"/>
      <c r="C1136" s="87"/>
      <c r="D1136" s="87"/>
      <c r="E1136" s="85"/>
      <c r="F1136" s="88" t="s">
        <v>53</v>
      </c>
      <c r="G1136" s="87"/>
      <c r="H1136" s="56"/>
      <c r="I1136" s="86" t="s">
        <v>51</v>
      </c>
      <c r="J1136" s="87"/>
      <c r="K1136" s="87"/>
      <c r="L1136" s="87"/>
      <c r="M1136" s="89"/>
      <c r="N1136" s="88" t="s">
        <v>54</v>
      </c>
      <c r="O1136" s="87"/>
    </row>
    <row r="1137" spans="1:16" ht="14.25" thickBot="1" x14ac:dyDescent="0.2">
      <c r="A1137" s="13" t="s">
        <v>0</v>
      </c>
      <c r="B1137" s="228" t="s">
        <v>52</v>
      </c>
      <c r="C1137" s="229"/>
      <c r="D1137" s="229"/>
      <c r="E1137" s="229"/>
      <c r="F1137" s="230"/>
      <c r="G1137" s="231"/>
      <c r="H1137" s="56"/>
      <c r="I1137" s="13" t="s">
        <v>0</v>
      </c>
      <c r="J1137" s="228" t="s">
        <v>52</v>
      </c>
      <c r="K1137" s="229"/>
      <c r="L1137" s="229"/>
      <c r="M1137" s="229"/>
      <c r="N1137" s="230"/>
      <c r="O1137" s="231"/>
    </row>
    <row r="1138" spans="1:16" ht="14.25" thickBot="1" x14ac:dyDescent="0.2">
      <c r="A1138" s="3" t="s">
        <v>1</v>
      </c>
      <c r="B1138" s="2" t="s">
        <v>42</v>
      </c>
      <c r="C1138" s="21" t="s">
        <v>43</v>
      </c>
      <c r="D1138" s="21" t="s">
        <v>44</v>
      </c>
      <c r="E1138" s="24" t="s">
        <v>45</v>
      </c>
      <c r="F1138" s="33" t="s">
        <v>46</v>
      </c>
      <c r="G1138" s="3" t="s">
        <v>2</v>
      </c>
      <c r="H1138" s="56"/>
      <c r="I1138" s="3" t="s">
        <v>1</v>
      </c>
      <c r="J1138" s="41" t="s">
        <v>42</v>
      </c>
      <c r="K1138" s="42" t="s">
        <v>43</v>
      </c>
      <c r="L1138" s="42" t="s">
        <v>44</v>
      </c>
      <c r="M1138" s="43" t="s">
        <v>45</v>
      </c>
      <c r="N1138" s="44" t="s">
        <v>46</v>
      </c>
      <c r="O1138" s="3" t="s">
        <v>2</v>
      </c>
    </row>
    <row r="1139" spans="1:16" x14ac:dyDescent="0.15">
      <c r="A1139" s="96" t="s">
        <v>13</v>
      </c>
      <c r="B1139" s="95">
        <f>B1134</f>
        <v>9</v>
      </c>
      <c r="C1139" s="97">
        <f t="shared" ref="C1139:F1139" si="328">C1134</f>
        <v>2</v>
      </c>
      <c r="D1139" s="97">
        <f t="shared" si="328"/>
        <v>3</v>
      </c>
      <c r="E1139" s="97">
        <f t="shared" si="328"/>
        <v>10</v>
      </c>
      <c r="F1139" s="139">
        <f t="shared" si="328"/>
        <v>4</v>
      </c>
      <c r="G1139" s="52">
        <f t="shared" ref="G1139:G1147" si="329">SUM(B1139:F1139)</f>
        <v>28</v>
      </c>
      <c r="H1139" s="58"/>
      <c r="I1139" s="96" t="s">
        <v>13</v>
      </c>
      <c r="J1139" s="95">
        <f>J1134</f>
        <v>165</v>
      </c>
      <c r="K1139" s="97">
        <f t="shared" ref="K1139:N1139" si="330">K1134</f>
        <v>101</v>
      </c>
      <c r="L1139" s="97">
        <f t="shared" si="330"/>
        <v>75</v>
      </c>
      <c r="M1139" s="97">
        <f t="shared" si="330"/>
        <v>24</v>
      </c>
      <c r="N1139" s="139">
        <f t="shared" si="330"/>
        <v>112</v>
      </c>
      <c r="O1139" s="52">
        <f t="shared" ref="O1139:O1147" si="331">SUM(J1139:N1139)</f>
        <v>477</v>
      </c>
    </row>
    <row r="1140" spans="1:16" x14ac:dyDescent="0.15">
      <c r="A1140" s="223" t="s">
        <v>27</v>
      </c>
      <c r="B1140" s="158"/>
      <c r="C1140" s="159">
        <v>3</v>
      </c>
      <c r="D1140" s="159">
        <v>3</v>
      </c>
      <c r="E1140" s="159"/>
      <c r="F1140" s="160"/>
      <c r="G1140" s="161">
        <f t="shared" si="329"/>
        <v>6</v>
      </c>
      <c r="H1140" s="162">
        <v>45932</v>
      </c>
      <c r="I1140" s="15" t="s">
        <v>3</v>
      </c>
      <c r="J1140" s="8"/>
      <c r="K1140" s="45"/>
      <c r="L1140" s="45"/>
      <c r="M1140" s="45"/>
      <c r="N1140" s="46"/>
      <c r="O1140" s="7">
        <f t="shared" si="331"/>
        <v>0</v>
      </c>
    </row>
    <row r="1141" spans="1:16" x14ac:dyDescent="0.15">
      <c r="A1141" s="15" t="s">
        <v>27</v>
      </c>
      <c r="B1141" s="8"/>
      <c r="C1141" s="10"/>
      <c r="D1141" s="10">
        <v>3</v>
      </c>
      <c r="E1141" s="10"/>
      <c r="F1141" s="30"/>
      <c r="G1141" s="7">
        <f t="shared" si="329"/>
        <v>3</v>
      </c>
      <c r="H1141" s="58">
        <v>45990</v>
      </c>
      <c r="I1141" s="15" t="s">
        <v>4</v>
      </c>
      <c r="J1141" s="8"/>
      <c r="K1141" s="45"/>
      <c r="L1141" s="45"/>
      <c r="M1141" s="45"/>
      <c r="N1141" s="46"/>
      <c r="O1141" s="7">
        <f t="shared" ref="O1141" si="332">SUM(J1141:N1141)</f>
        <v>0</v>
      </c>
    </row>
    <row r="1142" spans="1:16" x14ac:dyDescent="0.15">
      <c r="A1142" s="223" t="s">
        <v>27</v>
      </c>
      <c r="B1142" s="158"/>
      <c r="C1142" s="159">
        <v>5</v>
      </c>
      <c r="D1142" s="159">
        <v>3</v>
      </c>
      <c r="E1142" s="159"/>
      <c r="F1142" s="160">
        <v>3</v>
      </c>
      <c r="G1142" s="161">
        <f t="shared" si="329"/>
        <v>11</v>
      </c>
      <c r="H1142" s="162">
        <v>45993</v>
      </c>
      <c r="I1142" s="15" t="s">
        <v>5</v>
      </c>
      <c r="J1142" s="8"/>
      <c r="K1142" s="45"/>
      <c r="L1142" s="45"/>
      <c r="M1142" s="45"/>
      <c r="N1142" s="46"/>
      <c r="O1142" s="7">
        <f t="shared" si="331"/>
        <v>0</v>
      </c>
    </row>
    <row r="1143" spans="1:16" x14ac:dyDescent="0.15">
      <c r="A1143" s="223" t="s">
        <v>27</v>
      </c>
      <c r="B1143" s="158"/>
      <c r="C1143" s="159"/>
      <c r="D1143" s="159"/>
      <c r="E1143" s="159"/>
      <c r="F1143" s="160">
        <v>3</v>
      </c>
      <c r="G1143" s="161">
        <f t="shared" si="329"/>
        <v>3</v>
      </c>
      <c r="H1143" s="162">
        <v>46056</v>
      </c>
      <c r="I1143" s="15" t="s">
        <v>6</v>
      </c>
      <c r="J1143" s="8"/>
      <c r="K1143" s="45"/>
      <c r="L1143" s="45"/>
      <c r="M1143" s="45"/>
      <c r="N1143" s="46"/>
      <c r="O1143" s="7">
        <f t="shared" si="331"/>
        <v>0</v>
      </c>
    </row>
    <row r="1144" spans="1:16" x14ac:dyDescent="0.15">
      <c r="A1144" s="15" t="s">
        <v>27</v>
      </c>
      <c r="B1144" s="8"/>
      <c r="C1144" s="10">
        <v>3</v>
      </c>
      <c r="D1144" s="10"/>
      <c r="E1144" s="10"/>
      <c r="F1144" s="30"/>
      <c r="G1144" s="7">
        <f t="shared" si="329"/>
        <v>3</v>
      </c>
      <c r="H1144" s="58">
        <v>46060</v>
      </c>
      <c r="I1144" s="15" t="s">
        <v>84</v>
      </c>
      <c r="J1144" s="8"/>
      <c r="K1144" s="45"/>
      <c r="L1144" s="45"/>
      <c r="M1144" s="45"/>
      <c r="N1144" s="46"/>
      <c r="O1144" s="7">
        <f t="shared" si="331"/>
        <v>0</v>
      </c>
    </row>
    <row r="1145" spans="1:16" x14ac:dyDescent="0.15">
      <c r="A1145" s="15" t="s">
        <v>27</v>
      </c>
      <c r="B1145" s="8"/>
      <c r="C1145" s="10"/>
      <c r="D1145" s="10"/>
      <c r="E1145" s="10"/>
      <c r="F1145" s="30"/>
      <c r="G1145" s="7">
        <f t="shared" si="329"/>
        <v>0</v>
      </c>
      <c r="H1145" s="58"/>
      <c r="I1145" s="15" t="s">
        <v>85</v>
      </c>
      <c r="J1145" s="8"/>
      <c r="K1145" s="45"/>
      <c r="L1145" s="45"/>
      <c r="M1145" s="45"/>
      <c r="N1145" s="46"/>
      <c r="O1145" s="7">
        <f t="shared" si="331"/>
        <v>0</v>
      </c>
    </row>
    <row r="1146" spans="1:16" x14ac:dyDescent="0.15">
      <c r="A1146" s="15" t="s">
        <v>27</v>
      </c>
      <c r="B1146" s="8"/>
      <c r="C1146" s="10"/>
      <c r="D1146" s="10"/>
      <c r="E1146" s="10"/>
      <c r="F1146" s="30"/>
      <c r="G1146" s="7">
        <f t="shared" si="329"/>
        <v>0</v>
      </c>
      <c r="H1146" s="58"/>
      <c r="I1146" s="15" t="s">
        <v>86</v>
      </c>
      <c r="J1146" s="8"/>
      <c r="K1146" s="45"/>
      <c r="L1146" s="45"/>
      <c r="M1146" s="45"/>
      <c r="N1146" s="46"/>
      <c r="O1146" s="102">
        <f t="shared" si="331"/>
        <v>0</v>
      </c>
    </row>
    <row r="1147" spans="1:16" ht="14.25" thickBot="1" x14ac:dyDescent="0.2">
      <c r="A1147" s="15" t="s">
        <v>27</v>
      </c>
      <c r="B1147" s="8"/>
      <c r="C1147" s="10"/>
      <c r="D1147" s="10"/>
      <c r="E1147" s="10"/>
      <c r="F1147" s="30"/>
      <c r="G1147" s="7">
        <f t="shared" si="329"/>
        <v>0</v>
      </c>
      <c r="H1147" s="58"/>
      <c r="I1147" s="15" t="s">
        <v>87</v>
      </c>
      <c r="J1147" s="47"/>
      <c r="K1147" s="48"/>
      <c r="L1147" s="48"/>
      <c r="M1147" s="48"/>
      <c r="N1147" s="49"/>
      <c r="O1147" s="40">
        <f t="shared" si="331"/>
        <v>0</v>
      </c>
    </row>
    <row r="1148" spans="1:16" ht="14.25" thickBot="1" x14ac:dyDescent="0.2">
      <c r="A1148" s="72" t="s">
        <v>7</v>
      </c>
      <c r="B1148" s="73">
        <f>SUM(B1139:B1147)</f>
        <v>9</v>
      </c>
      <c r="C1148" s="74">
        <f t="shared" ref="C1148:G1148" si="333">SUM(C1139:C1147)</f>
        <v>13</v>
      </c>
      <c r="D1148" s="74">
        <f t="shared" si="333"/>
        <v>12</v>
      </c>
      <c r="E1148" s="74">
        <f t="shared" si="333"/>
        <v>10</v>
      </c>
      <c r="F1148" s="105">
        <f t="shared" si="333"/>
        <v>10</v>
      </c>
      <c r="G1148" s="76">
        <f t="shared" si="333"/>
        <v>54</v>
      </c>
      <c r="H1148" s="56"/>
      <c r="I1148" s="72" t="s">
        <v>7</v>
      </c>
      <c r="J1148" s="73">
        <f>SUM(J1139:J1147)</f>
        <v>165</v>
      </c>
      <c r="K1148" s="74">
        <f t="shared" ref="K1148:O1148" si="334">SUM(K1139:K1147)</f>
        <v>101</v>
      </c>
      <c r="L1148" s="74">
        <f t="shared" si="334"/>
        <v>75</v>
      </c>
      <c r="M1148" s="74">
        <f t="shared" si="334"/>
        <v>24</v>
      </c>
      <c r="N1148" s="105">
        <f t="shared" si="334"/>
        <v>112</v>
      </c>
      <c r="O1148" s="76">
        <f t="shared" si="334"/>
        <v>477</v>
      </c>
    </row>
    <row r="1149" spans="1:16" x14ac:dyDescent="0.15">
      <c r="A1149" s="16" t="s">
        <v>29</v>
      </c>
      <c r="B1149" s="37"/>
      <c r="C1149" s="35">
        <v>1</v>
      </c>
      <c r="D1149" s="35"/>
      <c r="E1149" s="35"/>
      <c r="F1149" s="28"/>
      <c r="G1149" s="7">
        <f t="shared" ref="G1149:G1174" si="335">SUM(B1149:F1149)</f>
        <v>1</v>
      </c>
      <c r="H1149" s="58">
        <v>45944</v>
      </c>
      <c r="I1149" s="223" t="s">
        <v>1645</v>
      </c>
      <c r="J1149" s="166"/>
      <c r="K1149" s="167">
        <v>3</v>
      </c>
      <c r="L1149" s="167">
        <v>3</v>
      </c>
      <c r="M1149" s="167"/>
      <c r="N1149" s="168"/>
      <c r="O1149" s="161">
        <f t="shared" ref="O1149:O1173" si="336">SUM(J1149:N1149)</f>
        <v>6</v>
      </c>
      <c r="P1149" s="162">
        <v>45932</v>
      </c>
    </row>
    <row r="1150" spans="1:16" x14ac:dyDescent="0.15">
      <c r="A1150" s="16" t="s">
        <v>29</v>
      </c>
      <c r="B1150" s="37"/>
      <c r="C1150" s="35">
        <v>1</v>
      </c>
      <c r="D1150" s="35"/>
      <c r="E1150" s="35"/>
      <c r="F1150" s="28"/>
      <c r="G1150" s="7">
        <f t="shared" si="335"/>
        <v>1</v>
      </c>
      <c r="H1150" s="58">
        <v>45945</v>
      </c>
      <c r="I1150" s="15" t="s">
        <v>24</v>
      </c>
      <c r="J1150" s="11"/>
      <c r="K1150" s="12"/>
      <c r="L1150" s="12">
        <v>3</v>
      </c>
      <c r="M1150" s="12"/>
      <c r="N1150" s="31"/>
      <c r="O1150" s="7">
        <f t="shared" si="336"/>
        <v>3</v>
      </c>
      <c r="P1150" s="58">
        <v>45990</v>
      </c>
    </row>
    <row r="1151" spans="1:16" x14ac:dyDescent="0.15">
      <c r="A1151" s="16" t="s">
        <v>696</v>
      </c>
      <c r="B1151" s="37"/>
      <c r="C1151" s="35">
        <v>-1</v>
      </c>
      <c r="D1151" s="35"/>
      <c r="E1151" s="35"/>
      <c r="F1151" s="28"/>
      <c r="G1151" s="7">
        <f t="shared" si="335"/>
        <v>-1</v>
      </c>
      <c r="H1151" s="58">
        <v>45946</v>
      </c>
      <c r="I1151" s="223" t="s">
        <v>24</v>
      </c>
      <c r="J1151" s="166"/>
      <c r="K1151" s="167">
        <v>5</v>
      </c>
      <c r="L1151" s="167">
        <v>3</v>
      </c>
      <c r="M1151" s="167"/>
      <c r="N1151" s="168">
        <v>3</v>
      </c>
      <c r="O1151" s="161">
        <f t="shared" si="336"/>
        <v>11</v>
      </c>
      <c r="P1151" s="162">
        <v>45993</v>
      </c>
    </row>
    <row r="1152" spans="1:16" x14ac:dyDescent="0.15">
      <c r="A1152" s="16" t="s">
        <v>29</v>
      </c>
      <c r="B1152" s="37"/>
      <c r="C1152" s="35">
        <v>1</v>
      </c>
      <c r="D1152" s="35"/>
      <c r="E1152" s="35"/>
      <c r="F1152" s="28"/>
      <c r="G1152" s="7">
        <f t="shared" si="335"/>
        <v>1</v>
      </c>
      <c r="H1152" s="58">
        <v>45953</v>
      </c>
      <c r="I1152" s="223" t="s">
        <v>24</v>
      </c>
      <c r="J1152" s="166"/>
      <c r="K1152" s="167"/>
      <c r="L1152" s="167"/>
      <c r="M1152" s="167"/>
      <c r="N1152" s="168">
        <v>3</v>
      </c>
      <c r="O1152" s="161">
        <f t="shared" si="336"/>
        <v>3</v>
      </c>
      <c r="P1152" s="162">
        <v>46056</v>
      </c>
    </row>
    <row r="1153" spans="1:19" x14ac:dyDescent="0.15">
      <c r="A1153" s="16" t="s">
        <v>29</v>
      </c>
      <c r="B1153" s="37"/>
      <c r="C1153" s="35"/>
      <c r="D1153" s="35">
        <v>1</v>
      </c>
      <c r="E1153" s="35"/>
      <c r="F1153" s="28"/>
      <c r="G1153" s="7">
        <f t="shared" si="335"/>
        <v>1</v>
      </c>
      <c r="H1153" s="58">
        <v>45957</v>
      </c>
      <c r="I1153" s="223" t="s">
        <v>24</v>
      </c>
      <c r="J1153" s="11"/>
      <c r="K1153" s="12">
        <v>3</v>
      </c>
      <c r="L1153" s="12"/>
      <c r="M1153" s="12"/>
      <c r="N1153" s="31"/>
      <c r="O1153" s="7">
        <f t="shared" si="336"/>
        <v>3</v>
      </c>
      <c r="P1153" s="57">
        <v>46060</v>
      </c>
    </row>
    <row r="1154" spans="1:19" x14ac:dyDescent="0.15">
      <c r="A1154" s="16" t="s">
        <v>485</v>
      </c>
      <c r="B1154" s="37"/>
      <c r="C1154" s="35">
        <v>-1</v>
      </c>
      <c r="D1154" s="35">
        <v>1</v>
      </c>
      <c r="E1154" s="35"/>
      <c r="F1154" s="28"/>
      <c r="G1154" s="7">
        <f t="shared" si="335"/>
        <v>0</v>
      </c>
      <c r="H1154" s="58">
        <v>45957</v>
      </c>
      <c r="I1154" s="15" t="s">
        <v>1662</v>
      </c>
      <c r="J1154" s="11">
        <v>1</v>
      </c>
      <c r="K1154" s="12">
        <v>1</v>
      </c>
      <c r="L1154" s="12">
        <v>1</v>
      </c>
      <c r="M1154" s="12">
        <v>1</v>
      </c>
      <c r="N1154" s="31">
        <v>1</v>
      </c>
      <c r="O1154" s="7">
        <f t="shared" si="336"/>
        <v>5</v>
      </c>
      <c r="P1154" s="58">
        <v>46125</v>
      </c>
    </row>
    <row r="1155" spans="1:19" x14ac:dyDescent="0.15">
      <c r="A1155" s="16" t="s">
        <v>29</v>
      </c>
      <c r="B1155" s="37"/>
      <c r="C1155" s="35"/>
      <c r="D1155" s="35">
        <v>1</v>
      </c>
      <c r="E1155" s="35"/>
      <c r="F1155" s="28"/>
      <c r="G1155" s="7">
        <f t="shared" si="335"/>
        <v>1</v>
      </c>
      <c r="H1155" s="58">
        <v>45958</v>
      </c>
      <c r="I1155" s="15" t="s">
        <v>25</v>
      </c>
      <c r="J1155" s="11"/>
      <c r="K1155" s="12"/>
      <c r="L1155" s="12">
        <v>8</v>
      </c>
      <c r="M1155" s="12"/>
      <c r="N1155" s="31">
        <v>14</v>
      </c>
      <c r="O1155" s="7">
        <f t="shared" si="336"/>
        <v>22</v>
      </c>
      <c r="P1155" s="58">
        <v>46127</v>
      </c>
    </row>
    <row r="1156" spans="1:19" x14ac:dyDescent="0.15">
      <c r="A1156" s="16" t="s">
        <v>29</v>
      </c>
      <c r="B1156" s="37"/>
      <c r="C1156" s="35">
        <v>1</v>
      </c>
      <c r="D1156" s="35">
        <v>1</v>
      </c>
      <c r="E1156" s="35"/>
      <c r="F1156" s="28"/>
      <c r="G1156" s="7">
        <f t="shared" si="335"/>
        <v>2</v>
      </c>
      <c r="H1156" s="58">
        <v>45971</v>
      </c>
      <c r="I1156" s="15" t="s">
        <v>25</v>
      </c>
      <c r="J1156" s="11"/>
      <c r="K1156" s="12">
        <v>8</v>
      </c>
      <c r="L1156" s="12"/>
      <c r="M1156" s="12"/>
      <c r="N1156" s="31">
        <v>4</v>
      </c>
      <c r="O1156" s="7">
        <f t="shared" si="336"/>
        <v>12</v>
      </c>
      <c r="P1156" s="58">
        <v>46128</v>
      </c>
    </row>
    <row r="1157" spans="1:19" x14ac:dyDescent="0.15">
      <c r="A1157" s="16" t="s">
        <v>29</v>
      </c>
      <c r="B1157" s="37">
        <v>1</v>
      </c>
      <c r="C1157" s="35"/>
      <c r="D1157" s="35"/>
      <c r="E1157" s="35"/>
      <c r="F1157" s="28"/>
      <c r="G1157" s="7">
        <f t="shared" si="335"/>
        <v>1</v>
      </c>
      <c r="H1157" s="58">
        <v>45974</v>
      </c>
      <c r="I1157" s="15" t="s">
        <v>25</v>
      </c>
      <c r="J1157" s="11">
        <v>1</v>
      </c>
      <c r="K1157" s="12">
        <v>1</v>
      </c>
      <c r="L1157" s="12"/>
      <c r="M1157" s="12">
        <v>6</v>
      </c>
      <c r="N1157" s="31"/>
      <c r="O1157" s="7">
        <f t="shared" si="336"/>
        <v>8</v>
      </c>
      <c r="P1157" s="58">
        <v>46129</v>
      </c>
      <c r="Q1157" s="56"/>
      <c r="R1157" s="56"/>
      <c r="S1157" s="56"/>
    </row>
    <row r="1158" spans="1:19" x14ac:dyDescent="0.15">
      <c r="A1158" s="16" t="s">
        <v>29</v>
      </c>
      <c r="B1158" s="37"/>
      <c r="C1158" s="35"/>
      <c r="D1158" s="35">
        <v>2</v>
      </c>
      <c r="E1158" s="35"/>
      <c r="F1158" s="28">
        <v>1</v>
      </c>
      <c r="G1158" s="7">
        <f t="shared" si="335"/>
        <v>3</v>
      </c>
      <c r="H1158" s="58">
        <v>45989</v>
      </c>
      <c r="I1158" s="15" t="s">
        <v>25</v>
      </c>
      <c r="J1158" s="11">
        <v>3</v>
      </c>
      <c r="K1158" s="12">
        <v>3</v>
      </c>
      <c r="L1158" s="12">
        <v>1</v>
      </c>
      <c r="M1158" s="12">
        <v>6</v>
      </c>
      <c r="N1158" s="31"/>
      <c r="O1158" s="7">
        <f t="shared" si="336"/>
        <v>13</v>
      </c>
      <c r="P1158" s="58">
        <v>46129</v>
      </c>
      <c r="Q1158" s="56"/>
      <c r="R1158" s="56"/>
      <c r="S1158" s="56"/>
    </row>
    <row r="1159" spans="1:19" x14ac:dyDescent="0.15">
      <c r="A1159" s="16" t="s">
        <v>29</v>
      </c>
      <c r="B1159" s="37">
        <v>1</v>
      </c>
      <c r="C1159" s="35">
        <v>2</v>
      </c>
      <c r="D1159" s="35"/>
      <c r="E1159" s="35"/>
      <c r="F1159" s="28"/>
      <c r="G1159" s="7">
        <f t="shared" si="335"/>
        <v>3</v>
      </c>
      <c r="H1159" s="58">
        <v>45990</v>
      </c>
      <c r="I1159" s="15" t="s">
        <v>25</v>
      </c>
      <c r="J1159" s="11"/>
      <c r="K1159" s="12">
        <v>4</v>
      </c>
      <c r="L1159" s="12"/>
      <c r="M1159" s="12">
        <v>4</v>
      </c>
      <c r="N1159" s="31">
        <v>2</v>
      </c>
      <c r="O1159" s="7">
        <f t="shared" si="336"/>
        <v>10</v>
      </c>
      <c r="P1159" s="58">
        <v>46132</v>
      </c>
      <c r="Q1159" s="56"/>
      <c r="R1159" s="56"/>
      <c r="S1159" s="56"/>
    </row>
    <row r="1160" spans="1:19" x14ac:dyDescent="0.15">
      <c r="A1160" s="16" t="s">
        <v>29</v>
      </c>
      <c r="B1160" s="37">
        <v>1</v>
      </c>
      <c r="C1160" s="35">
        <v>1</v>
      </c>
      <c r="D1160" s="35"/>
      <c r="E1160" s="35"/>
      <c r="F1160" s="28">
        <v>2</v>
      </c>
      <c r="G1160" s="7">
        <f t="shared" si="335"/>
        <v>4</v>
      </c>
      <c r="H1160" s="58">
        <v>45992</v>
      </c>
      <c r="I1160" s="15" t="s">
        <v>25</v>
      </c>
      <c r="J1160" s="11"/>
      <c r="K1160" s="12">
        <v>6</v>
      </c>
      <c r="L1160" s="12">
        <v>6</v>
      </c>
      <c r="M1160" s="12"/>
      <c r="N1160" s="31">
        <v>1</v>
      </c>
      <c r="O1160" s="7">
        <f t="shared" si="336"/>
        <v>13</v>
      </c>
      <c r="P1160" s="58">
        <v>46134</v>
      </c>
      <c r="Q1160" s="56"/>
      <c r="R1160" s="56"/>
    </row>
    <row r="1161" spans="1:19" x14ac:dyDescent="0.15">
      <c r="A1161" s="16" t="s">
        <v>29</v>
      </c>
      <c r="B1161" s="37"/>
      <c r="C1161" s="35"/>
      <c r="D1161" s="35">
        <v>1</v>
      </c>
      <c r="E1161" s="35">
        <v>1</v>
      </c>
      <c r="F1161" s="28"/>
      <c r="G1161" s="7">
        <f t="shared" si="335"/>
        <v>2</v>
      </c>
      <c r="H1161" s="58">
        <v>45993</v>
      </c>
      <c r="I1161" s="15" t="s">
        <v>25</v>
      </c>
      <c r="J1161" s="11"/>
      <c r="K1161" s="12">
        <v>1</v>
      </c>
      <c r="L1161" s="12"/>
      <c r="M1161" s="12"/>
      <c r="N1161" s="31"/>
      <c r="O1161" s="7">
        <f t="shared" si="336"/>
        <v>1</v>
      </c>
      <c r="P1161" s="58">
        <v>46135</v>
      </c>
    </row>
    <row r="1162" spans="1:19" x14ac:dyDescent="0.15">
      <c r="A1162" s="16" t="s">
        <v>29</v>
      </c>
      <c r="B1162" s="37">
        <v>1</v>
      </c>
      <c r="C1162" s="35"/>
      <c r="D1162" s="35"/>
      <c r="E1162" s="35"/>
      <c r="F1162" s="28"/>
      <c r="G1162" s="7">
        <f t="shared" si="335"/>
        <v>1</v>
      </c>
      <c r="H1162" s="58">
        <v>45996</v>
      </c>
      <c r="I1162" s="15" t="s">
        <v>25</v>
      </c>
      <c r="J1162" s="11">
        <v>3</v>
      </c>
      <c r="K1162" s="12">
        <v>4</v>
      </c>
      <c r="L1162" s="12">
        <v>1</v>
      </c>
      <c r="M1162" s="12"/>
      <c r="N1162" s="31"/>
      <c r="O1162" s="7">
        <f t="shared" si="336"/>
        <v>8</v>
      </c>
      <c r="P1162" s="58">
        <v>46136</v>
      </c>
      <c r="Q1162" s="56"/>
    </row>
    <row r="1163" spans="1:19" x14ac:dyDescent="0.15">
      <c r="A1163" s="16" t="s">
        <v>29</v>
      </c>
      <c r="B1163" s="37"/>
      <c r="C1163" s="35"/>
      <c r="D1163" s="35">
        <v>1</v>
      </c>
      <c r="E1163" s="35"/>
      <c r="F1163" s="28"/>
      <c r="G1163" s="7">
        <f t="shared" si="335"/>
        <v>1</v>
      </c>
      <c r="H1163" s="58">
        <v>45997</v>
      </c>
      <c r="I1163" s="15" t="s">
        <v>25</v>
      </c>
      <c r="J1163" s="11"/>
      <c r="K1163" s="12"/>
      <c r="L1163" s="12"/>
      <c r="M1163" s="12">
        <v>1</v>
      </c>
      <c r="N1163" s="31"/>
      <c r="O1163" s="7">
        <f t="shared" si="336"/>
        <v>1</v>
      </c>
      <c r="P1163" s="58">
        <v>46139</v>
      </c>
    </row>
    <row r="1164" spans="1:19" x14ac:dyDescent="0.15">
      <c r="A1164" s="16" t="s">
        <v>29</v>
      </c>
      <c r="B1164" s="37"/>
      <c r="C1164" s="35">
        <v>1</v>
      </c>
      <c r="D1164" s="35"/>
      <c r="E1164" s="35"/>
      <c r="F1164" s="28">
        <v>1</v>
      </c>
      <c r="G1164" s="7">
        <f t="shared" si="335"/>
        <v>2</v>
      </c>
      <c r="H1164" s="58">
        <v>46013</v>
      </c>
      <c r="I1164" s="15" t="s">
        <v>25</v>
      </c>
      <c r="J1164" s="11">
        <v>1</v>
      </c>
      <c r="K1164" s="12"/>
      <c r="L1164" s="12">
        <v>2</v>
      </c>
      <c r="M1164" s="12"/>
      <c r="N1164" s="31"/>
      <c r="O1164" s="7">
        <f t="shared" si="336"/>
        <v>3</v>
      </c>
      <c r="P1164" s="58">
        <v>46140</v>
      </c>
      <c r="Q1164" s="56"/>
    </row>
    <row r="1165" spans="1:19" x14ac:dyDescent="0.15">
      <c r="A1165" s="16" t="s">
        <v>29</v>
      </c>
      <c r="B1165" s="37"/>
      <c r="C1165" s="35"/>
      <c r="D1165" s="35"/>
      <c r="E1165" s="35"/>
      <c r="F1165" s="28">
        <v>1</v>
      </c>
      <c r="G1165" s="7">
        <f t="shared" si="335"/>
        <v>1</v>
      </c>
      <c r="H1165" s="58">
        <v>46037</v>
      </c>
      <c r="I1165" s="15" t="s">
        <v>25</v>
      </c>
      <c r="J1165" s="11"/>
      <c r="K1165" s="12"/>
      <c r="L1165" s="12">
        <v>3</v>
      </c>
      <c r="M1165" s="12">
        <v>2</v>
      </c>
      <c r="N1165" s="31"/>
      <c r="O1165" s="7">
        <f t="shared" si="336"/>
        <v>5</v>
      </c>
      <c r="P1165" s="58">
        <v>46142</v>
      </c>
      <c r="Q1165" s="56"/>
    </row>
    <row r="1166" spans="1:19" x14ac:dyDescent="0.15">
      <c r="A1166" s="16" t="s">
        <v>29</v>
      </c>
      <c r="B1166" s="37"/>
      <c r="C1166" s="35"/>
      <c r="D1166" s="35"/>
      <c r="E1166" s="35">
        <v>1</v>
      </c>
      <c r="F1166" s="28"/>
      <c r="G1166" s="7">
        <f t="shared" si="335"/>
        <v>1</v>
      </c>
      <c r="H1166" s="58">
        <v>46041</v>
      </c>
      <c r="I1166" s="15" t="s">
        <v>25</v>
      </c>
      <c r="J1166" s="11"/>
      <c r="K1166" s="12"/>
      <c r="L1166" s="12"/>
      <c r="M1166" s="12">
        <v>1</v>
      </c>
      <c r="N1166" s="31"/>
      <c r="O1166" s="7">
        <f t="shared" si="336"/>
        <v>1</v>
      </c>
      <c r="P1166" s="58">
        <v>46149</v>
      </c>
      <c r="Q1166" s="56"/>
    </row>
    <row r="1167" spans="1:19" x14ac:dyDescent="0.15">
      <c r="A1167" s="16" t="s">
        <v>29</v>
      </c>
      <c r="B1167" s="37"/>
      <c r="C1167" s="35">
        <v>1</v>
      </c>
      <c r="D1167" s="35"/>
      <c r="E1167" s="35"/>
      <c r="F1167" s="28"/>
      <c r="G1167" s="7">
        <f t="shared" si="335"/>
        <v>1</v>
      </c>
      <c r="H1167" s="58">
        <v>46049</v>
      </c>
      <c r="I1167" s="15" t="s">
        <v>25</v>
      </c>
      <c r="J1167" s="11"/>
      <c r="K1167" s="12"/>
      <c r="L1167" s="12"/>
      <c r="M1167" s="12">
        <v>2</v>
      </c>
      <c r="N1167" s="31">
        <v>3</v>
      </c>
      <c r="O1167" s="7">
        <f t="shared" si="336"/>
        <v>5</v>
      </c>
      <c r="P1167" s="58">
        <v>46153</v>
      </c>
      <c r="Q1167" s="56"/>
    </row>
    <row r="1168" spans="1:19" x14ac:dyDescent="0.15">
      <c r="A1168" s="16" t="s">
        <v>29</v>
      </c>
      <c r="B1168" s="37"/>
      <c r="C1168" s="35">
        <v>1</v>
      </c>
      <c r="D1168" s="35"/>
      <c r="E1168" s="35"/>
      <c r="F1168" s="28">
        <v>1</v>
      </c>
      <c r="G1168" s="7">
        <f t="shared" si="335"/>
        <v>2</v>
      </c>
      <c r="H1168" s="58">
        <v>46055</v>
      </c>
      <c r="I1168" s="16"/>
      <c r="J1168" s="11"/>
      <c r="K1168" s="12"/>
      <c r="L1168" s="12"/>
      <c r="M1168" s="12"/>
      <c r="N1168" s="31"/>
      <c r="O1168" s="7">
        <f t="shared" si="336"/>
        <v>0</v>
      </c>
    </row>
    <row r="1169" spans="1:15" x14ac:dyDescent="0.15">
      <c r="A1169" s="16" t="s">
        <v>1632</v>
      </c>
      <c r="B1169" s="37">
        <v>-1</v>
      </c>
      <c r="C1169" s="35"/>
      <c r="D1169" s="35">
        <v>-2</v>
      </c>
      <c r="E1169" s="35"/>
      <c r="F1169" s="28">
        <v>1</v>
      </c>
      <c r="G1169" s="7">
        <f t="shared" si="335"/>
        <v>-2</v>
      </c>
      <c r="H1169" s="58">
        <v>46058</v>
      </c>
      <c r="I1169" s="16"/>
      <c r="J1169" s="11"/>
      <c r="K1169" s="12"/>
      <c r="L1169" s="12"/>
      <c r="M1169" s="12"/>
      <c r="N1169" s="31"/>
      <c r="O1169" s="7">
        <f t="shared" si="336"/>
        <v>0</v>
      </c>
    </row>
    <row r="1170" spans="1:15" x14ac:dyDescent="0.15">
      <c r="A1170" s="16" t="s">
        <v>29</v>
      </c>
      <c r="B1170" s="37"/>
      <c r="C1170" s="35"/>
      <c r="D1170" s="35">
        <v>1</v>
      </c>
      <c r="E1170" s="35"/>
      <c r="F1170" s="28"/>
      <c r="G1170" s="7">
        <f t="shared" si="335"/>
        <v>1</v>
      </c>
      <c r="H1170" s="58">
        <v>46069</v>
      </c>
      <c r="I1170" s="16"/>
      <c r="J1170" s="11"/>
      <c r="K1170" s="12"/>
      <c r="L1170" s="12"/>
      <c r="M1170" s="12"/>
      <c r="N1170" s="31"/>
      <c r="O1170" s="7">
        <f t="shared" si="336"/>
        <v>0</v>
      </c>
    </row>
    <row r="1171" spans="1:15" x14ac:dyDescent="0.15">
      <c r="A1171" s="16" t="s">
        <v>29</v>
      </c>
      <c r="B1171" s="37">
        <v>1</v>
      </c>
      <c r="C1171" s="35"/>
      <c r="D1171" s="35"/>
      <c r="E1171" s="35"/>
      <c r="F1171" s="28"/>
      <c r="G1171" s="7">
        <f t="shared" si="335"/>
        <v>1</v>
      </c>
      <c r="H1171" s="58">
        <v>46083</v>
      </c>
      <c r="I1171" s="14"/>
      <c r="J1171" s="11"/>
      <c r="K1171" s="12"/>
      <c r="L1171" s="12"/>
      <c r="M1171" s="12"/>
      <c r="N1171" s="31"/>
      <c r="O1171" s="7">
        <f t="shared" si="336"/>
        <v>0</v>
      </c>
    </row>
    <row r="1172" spans="1:15" x14ac:dyDescent="0.15">
      <c r="A1172" s="16" t="s">
        <v>29</v>
      </c>
      <c r="B1172" s="37"/>
      <c r="C1172" s="35"/>
      <c r="D1172" s="35"/>
      <c r="E1172" s="35">
        <v>1</v>
      </c>
      <c r="F1172" s="28">
        <v>1</v>
      </c>
      <c r="G1172" s="7">
        <f t="shared" si="335"/>
        <v>2</v>
      </c>
      <c r="H1172" s="58">
        <v>46090</v>
      </c>
      <c r="I1172" s="16"/>
      <c r="J1172" s="11"/>
      <c r="K1172" s="12"/>
      <c r="L1172" s="12"/>
      <c r="M1172" s="12"/>
      <c r="N1172" s="31"/>
      <c r="O1172" s="7">
        <f t="shared" si="336"/>
        <v>0</v>
      </c>
    </row>
    <row r="1173" spans="1:15" x14ac:dyDescent="0.15">
      <c r="A1173" s="16" t="s">
        <v>29</v>
      </c>
      <c r="B1173" s="37"/>
      <c r="C1173" s="35">
        <v>1</v>
      </c>
      <c r="D1173" s="35"/>
      <c r="E1173" s="35"/>
      <c r="F1173" s="28"/>
      <c r="G1173" s="7">
        <f t="shared" si="335"/>
        <v>1</v>
      </c>
      <c r="H1173" s="58">
        <v>46092</v>
      </c>
      <c r="I1173" s="16"/>
      <c r="J1173" s="11"/>
      <c r="K1173" s="12"/>
      <c r="L1173" s="12"/>
      <c r="M1173" s="12"/>
      <c r="N1173" s="31"/>
      <c r="O1173" s="7">
        <f t="shared" si="336"/>
        <v>0</v>
      </c>
    </row>
    <row r="1174" spans="1:15" ht="14.25" thickBot="1" x14ac:dyDescent="0.2">
      <c r="A1174" s="16" t="s">
        <v>29</v>
      </c>
      <c r="B1174" s="37"/>
      <c r="C1174" s="35"/>
      <c r="D1174" s="35"/>
      <c r="E1174" s="35">
        <v>1</v>
      </c>
      <c r="F1174" s="28"/>
      <c r="G1174" s="7">
        <f t="shared" si="335"/>
        <v>1</v>
      </c>
      <c r="H1174" s="58">
        <v>46111</v>
      </c>
      <c r="I1174" s="16"/>
      <c r="J1174" s="11"/>
      <c r="K1174" s="12"/>
      <c r="L1174" s="12"/>
      <c r="M1174" s="12"/>
      <c r="N1174" s="31"/>
      <c r="O1174" s="7">
        <f t="shared" ref="O1174" si="337">SUM(J1174:N1174)</f>
        <v>0</v>
      </c>
    </row>
    <row r="1175" spans="1:15" ht="14.25" thickBot="1" x14ac:dyDescent="0.2">
      <c r="A1175" s="3" t="s">
        <v>11</v>
      </c>
      <c r="B1175" s="23">
        <f>SUM(B1149:B1174)</f>
        <v>4</v>
      </c>
      <c r="C1175" s="4">
        <f>SUM(C1149:C1174)</f>
        <v>9</v>
      </c>
      <c r="D1175" s="4">
        <f>SUM(D1149:D1174)</f>
        <v>7</v>
      </c>
      <c r="E1175" s="6">
        <f>SUM(E1149:E1174)</f>
        <v>4</v>
      </c>
      <c r="F1175" s="32">
        <f>SUM(F1149:F1174)</f>
        <v>8</v>
      </c>
      <c r="G1175" s="5">
        <f>SUM(B1175:F1175)</f>
        <v>32</v>
      </c>
      <c r="H1175" s="56"/>
      <c r="I1175" s="3" t="s">
        <v>11</v>
      </c>
      <c r="J1175" s="23">
        <f>SUM(J1149:J1174)</f>
        <v>9</v>
      </c>
      <c r="K1175" s="4">
        <f>SUM(K1149:K1174)</f>
        <v>39</v>
      </c>
      <c r="L1175" s="4">
        <f>SUM(L1149:L1174)</f>
        <v>31</v>
      </c>
      <c r="M1175" s="6">
        <f>SUM(M1149:M1174)</f>
        <v>23</v>
      </c>
      <c r="N1175" s="32">
        <f>SUM(N1149:N1174)</f>
        <v>31</v>
      </c>
      <c r="O1175" s="5">
        <f>SUM(J1175:N1175)</f>
        <v>133</v>
      </c>
    </row>
    <row r="1176" spans="1:15" ht="14.25" thickBot="1" x14ac:dyDescent="0.2">
      <c r="A1176" s="25" t="s">
        <v>12</v>
      </c>
      <c r="B1176" s="63">
        <f>B1148-B1175</f>
        <v>5</v>
      </c>
      <c r="C1176" s="26">
        <f t="shared" ref="C1176:G1176" si="338">C1148-C1175</f>
        <v>4</v>
      </c>
      <c r="D1176" s="71">
        <f t="shared" si="338"/>
        <v>5</v>
      </c>
      <c r="E1176" s="74">
        <f t="shared" si="338"/>
        <v>6</v>
      </c>
      <c r="F1176" s="70">
        <f t="shared" si="338"/>
        <v>2</v>
      </c>
      <c r="G1176" s="27">
        <f t="shared" si="338"/>
        <v>22</v>
      </c>
      <c r="H1176" s="56"/>
      <c r="I1176" s="25" t="s">
        <v>12</v>
      </c>
      <c r="J1176" s="63">
        <f>J1148-J1175</f>
        <v>156</v>
      </c>
      <c r="K1176" s="26">
        <f>K1148-K1175</f>
        <v>62</v>
      </c>
      <c r="L1176" s="71">
        <f>L1148-L1175</f>
        <v>44</v>
      </c>
      <c r="M1176" s="26">
        <f t="shared" ref="M1176:O1176" si="339">M1148-M1175</f>
        <v>1</v>
      </c>
      <c r="N1176" s="70">
        <f t="shared" si="339"/>
        <v>81</v>
      </c>
      <c r="O1176" s="27">
        <f t="shared" si="339"/>
        <v>344</v>
      </c>
    </row>
    <row r="1177" spans="1:15" ht="21" x14ac:dyDescent="0.2">
      <c r="A1177" s="86" t="s">
        <v>413</v>
      </c>
      <c r="B1177" s="87"/>
      <c r="C1177" s="87"/>
      <c r="D1177" s="87"/>
      <c r="E1177" s="87"/>
      <c r="F1177" s="87"/>
      <c r="G1177" s="87"/>
      <c r="I1177" s="86" t="s">
        <v>413</v>
      </c>
      <c r="J1177" s="87"/>
      <c r="K1177" s="87"/>
      <c r="L1177" s="87"/>
      <c r="M1177" s="87"/>
      <c r="N1177" s="87"/>
      <c r="O1177" s="87"/>
    </row>
    <row r="1178" spans="1:15" ht="21.75" thickBot="1" x14ac:dyDescent="0.25">
      <c r="A1178" s="86" t="s">
        <v>51</v>
      </c>
      <c r="B1178" s="87"/>
      <c r="C1178" s="87"/>
      <c r="D1178" s="87"/>
      <c r="E1178" s="85"/>
      <c r="F1178" s="88" t="s">
        <v>53</v>
      </c>
      <c r="G1178" s="87"/>
      <c r="I1178" s="86" t="s">
        <v>51</v>
      </c>
      <c r="J1178" s="87"/>
      <c r="K1178" s="87"/>
      <c r="L1178" s="87"/>
      <c r="M1178" s="89"/>
      <c r="N1178" s="88" t="s">
        <v>54</v>
      </c>
      <c r="O1178" s="87"/>
    </row>
    <row r="1179" spans="1:15" ht="14.25" thickBot="1" x14ac:dyDescent="0.2">
      <c r="A1179" s="13" t="s">
        <v>0</v>
      </c>
      <c r="B1179" s="228" t="s">
        <v>52</v>
      </c>
      <c r="C1179" s="229"/>
      <c r="D1179" s="229"/>
      <c r="E1179" s="229"/>
      <c r="F1179" s="230"/>
      <c r="G1179" s="231"/>
      <c r="I1179" s="13" t="s">
        <v>0</v>
      </c>
      <c r="J1179" s="228" t="s">
        <v>52</v>
      </c>
      <c r="K1179" s="229"/>
      <c r="L1179" s="229"/>
      <c r="M1179" s="229"/>
      <c r="N1179" s="230"/>
      <c r="O1179" s="231"/>
    </row>
    <row r="1180" spans="1:15" ht="14.25" thickBot="1" x14ac:dyDescent="0.2">
      <c r="A1180" s="3" t="s">
        <v>1</v>
      </c>
      <c r="B1180" s="2" t="s">
        <v>42</v>
      </c>
      <c r="C1180" s="21" t="s">
        <v>43</v>
      </c>
      <c r="D1180" s="21" t="s">
        <v>44</v>
      </c>
      <c r="E1180" s="24" t="s">
        <v>45</v>
      </c>
      <c r="F1180" s="33" t="s">
        <v>46</v>
      </c>
      <c r="G1180" s="3" t="s">
        <v>2</v>
      </c>
      <c r="I1180" s="3" t="s">
        <v>1</v>
      </c>
      <c r="J1180" s="41" t="s">
        <v>42</v>
      </c>
      <c r="K1180" s="42" t="s">
        <v>43</v>
      </c>
      <c r="L1180" s="42" t="s">
        <v>44</v>
      </c>
      <c r="M1180" s="43" t="s">
        <v>45</v>
      </c>
      <c r="N1180" s="44" t="s">
        <v>46</v>
      </c>
      <c r="O1180" s="3" t="s">
        <v>2</v>
      </c>
    </row>
    <row r="1181" spans="1:15" x14ac:dyDescent="0.15">
      <c r="A1181" s="96" t="s">
        <v>13</v>
      </c>
      <c r="B1181" s="95">
        <f>B1176</f>
        <v>5</v>
      </c>
      <c r="C1181" s="97">
        <f t="shared" ref="C1181:F1181" si="340">C1176</f>
        <v>4</v>
      </c>
      <c r="D1181" s="97">
        <f t="shared" si="340"/>
        <v>5</v>
      </c>
      <c r="E1181" s="97">
        <f t="shared" si="340"/>
        <v>6</v>
      </c>
      <c r="F1181" s="139">
        <f t="shared" si="340"/>
        <v>2</v>
      </c>
      <c r="G1181" s="52">
        <f t="shared" ref="G1181:G1189" si="341">SUM(B1181:F1181)</f>
        <v>22</v>
      </c>
      <c r="I1181" s="96" t="s">
        <v>13</v>
      </c>
      <c r="J1181" s="95">
        <f>J1176</f>
        <v>156</v>
      </c>
      <c r="K1181" s="97">
        <f t="shared" ref="K1181:N1181" si="342">K1176</f>
        <v>62</v>
      </c>
      <c r="L1181" s="97">
        <f t="shared" si="342"/>
        <v>44</v>
      </c>
      <c r="M1181" s="97">
        <f t="shared" si="342"/>
        <v>1</v>
      </c>
      <c r="N1181" s="139">
        <f t="shared" si="342"/>
        <v>81</v>
      </c>
      <c r="O1181" s="52">
        <f t="shared" ref="O1181:O1189" si="343">SUM(J1181:N1181)</f>
        <v>344</v>
      </c>
    </row>
    <row r="1182" spans="1:15" x14ac:dyDescent="0.15">
      <c r="A1182" s="223" t="s">
        <v>17</v>
      </c>
      <c r="B1182" s="158"/>
      <c r="C1182" s="159">
        <v>5</v>
      </c>
      <c r="D1182" s="159">
        <v>3</v>
      </c>
      <c r="E1182" s="159">
        <v>1</v>
      </c>
      <c r="F1182" s="160">
        <v>4</v>
      </c>
      <c r="G1182" s="161">
        <f t="shared" si="341"/>
        <v>13</v>
      </c>
      <c r="H1182" s="57">
        <v>46154</v>
      </c>
      <c r="I1182" s="15" t="s">
        <v>3</v>
      </c>
      <c r="J1182" s="8"/>
      <c r="K1182" s="45"/>
      <c r="L1182" s="45"/>
      <c r="M1182" s="45"/>
      <c r="N1182" s="46"/>
      <c r="O1182" s="7">
        <f t="shared" si="343"/>
        <v>0</v>
      </c>
    </row>
    <row r="1183" spans="1:15" x14ac:dyDescent="0.15">
      <c r="A1183" s="15" t="s">
        <v>27</v>
      </c>
      <c r="B1183" s="8">
        <v>5</v>
      </c>
      <c r="C1183" s="10"/>
      <c r="D1183" s="10"/>
      <c r="E1183" s="10"/>
      <c r="F1183" s="30">
        <v>5</v>
      </c>
      <c r="G1183" s="7">
        <f t="shared" si="341"/>
        <v>10</v>
      </c>
      <c r="H1183" s="58">
        <v>46171</v>
      </c>
      <c r="I1183" s="15" t="s">
        <v>4</v>
      </c>
      <c r="J1183" s="8"/>
      <c r="K1183" s="45"/>
      <c r="L1183" s="45"/>
      <c r="M1183" s="45"/>
      <c r="N1183" s="46"/>
      <c r="O1183" s="7">
        <f t="shared" si="343"/>
        <v>0</v>
      </c>
    </row>
    <row r="1184" spans="1:15" x14ac:dyDescent="0.15">
      <c r="A1184" s="223" t="s">
        <v>17</v>
      </c>
      <c r="B1184" s="158"/>
      <c r="C1184" s="159"/>
      <c r="D1184" s="159">
        <v>3</v>
      </c>
      <c r="E1184" s="159"/>
      <c r="F1184" s="160"/>
      <c r="G1184" s="161">
        <f t="shared" si="341"/>
        <v>3</v>
      </c>
      <c r="H1184" s="57">
        <v>46168</v>
      </c>
      <c r="I1184" s="15" t="s">
        <v>5</v>
      </c>
      <c r="J1184" s="8"/>
      <c r="K1184" s="45"/>
      <c r="L1184" s="45"/>
      <c r="M1184" s="45"/>
      <c r="N1184" s="46"/>
      <c r="O1184" s="7">
        <f t="shared" si="343"/>
        <v>0</v>
      </c>
    </row>
    <row r="1185" spans="1:16" x14ac:dyDescent="0.15">
      <c r="A1185" s="15" t="s">
        <v>27</v>
      </c>
      <c r="B1185" s="8"/>
      <c r="C1185" s="10"/>
      <c r="D1185" s="10"/>
      <c r="E1185" s="10"/>
      <c r="F1185" s="30">
        <v>5</v>
      </c>
      <c r="G1185" s="7">
        <f t="shared" si="341"/>
        <v>5</v>
      </c>
      <c r="H1185" s="58">
        <v>46179</v>
      </c>
      <c r="I1185" s="15" t="s">
        <v>6</v>
      </c>
      <c r="J1185" s="8"/>
      <c r="K1185" s="45"/>
      <c r="L1185" s="45"/>
      <c r="M1185" s="45"/>
      <c r="N1185" s="46"/>
      <c r="O1185" s="7">
        <f t="shared" si="343"/>
        <v>0</v>
      </c>
    </row>
    <row r="1186" spans="1:16" x14ac:dyDescent="0.15">
      <c r="A1186" s="223" t="s">
        <v>27</v>
      </c>
      <c r="B1186" s="158">
        <v>3</v>
      </c>
      <c r="C1186" s="159"/>
      <c r="D1186" s="159"/>
      <c r="E1186" s="159"/>
      <c r="F1186" s="160"/>
      <c r="G1186" s="161">
        <f t="shared" si="341"/>
        <v>3</v>
      </c>
      <c r="H1186" s="162">
        <v>46184</v>
      </c>
      <c r="I1186" s="15" t="s">
        <v>84</v>
      </c>
      <c r="J1186" s="8"/>
      <c r="K1186" s="45"/>
      <c r="L1186" s="45"/>
      <c r="M1186" s="45"/>
      <c r="N1186" s="46"/>
      <c r="O1186" s="7">
        <f t="shared" si="343"/>
        <v>0</v>
      </c>
    </row>
    <row r="1187" spans="1:16" x14ac:dyDescent="0.15">
      <c r="A1187" s="15" t="s">
        <v>17</v>
      </c>
      <c r="B1187" s="8"/>
      <c r="C1187" s="10">
        <v>2</v>
      </c>
      <c r="D1187" s="10">
        <v>3</v>
      </c>
      <c r="E1187" s="10">
        <v>2</v>
      </c>
      <c r="F1187" s="30">
        <v>2</v>
      </c>
      <c r="G1187" s="7">
        <f t="shared" si="341"/>
        <v>9</v>
      </c>
      <c r="H1187" s="57">
        <v>46181</v>
      </c>
      <c r="I1187" s="15" t="s">
        <v>85</v>
      </c>
      <c r="J1187" s="8"/>
      <c r="K1187" s="45"/>
      <c r="L1187" s="45"/>
      <c r="M1187" s="45"/>
      <c r="N1187" s="46"/>
      <c r="O1187" s="7">
        <f t="shared" si="343"/>
        <v>0</v>
      </c>
    </row>
    <row r="1188" spans="1:16" x14ac:dyDescent="0.15">
      <c r="A1188" s="15" t="s">
        <v>17</v>
      </c>
      <c r="B1188" s="8"/>
      <c r="C1188" s="10">
        <v>1</v>
      </c>
      <c r="D1188" s="10"/>
      <c r="E1188" s="10">
        <v>1</v>
      </c>
      <c r="F1188" s="30"/>
      <c r="G1188" s="7">
        <f t="shared" si="341"/>
        <v>2</v>
      </c>
      <c r="H1188" s="57">
        <v>46181</v>
      </c>
      <c r="I1188" s="15" t="s">
        <v>86</v>
      </c>
      <c r="J1188" s="8"/>
      <c r="K1188" s="45"/>
      <c r="L1188" s="45"/>
      <c r="M1188" s="45"/>
      <c r="N1188" s="46"/>
      <c r="O1188" s="102">
        <f t="shared" si="343"/>
        <v>0</v>
      </c>
    </row>
    <row r="1189" spans="1:16" ht="14.25" thickBot="1" x14ac:dyDescent="0.2">
      <c r="A1189" s="15" t="s">
        <v>27</v>
      </c>
      <c r="B1189" s="8"/>
      <c r="C1189" s="10"/>
      <c r="D1189" s="10"/>
      <c r="E1189" s="10"/>
      <c r="F1189" s="30"/>
      <c r="G1189" s="7">
        <f t="shared" si="341"/>
        <v>0</v>
      </c>
      <c r="I1189" s="15" t="s">
        <v>87</v>
      </c>
      <c r="J1189" s="47"/>
      <c r="K1189" s="48"/>
      <c r="L1189" s="48"/>
      <c r="M1189" s="48"/>
      <c r="N1189" s="49"/>
      <c r="O1189" s="40">
        <f t="shared" si="343"/>
        <v>0</v>
      </c>
    </row>
    <row r="1190" spans="1:16" ht="14.25" thickBot="1" x14ac:dyDescent="0.2">
      <c r="A1190" s="72" t="s">
        <v>7</v>
      </c>
      <c r="B1190" s="73">
        <f>SUM(B1181:B1189)</f>
        <v>13</v>
      </c>
      <c r="C1190" s="74">
        <f t="shared" ref="C1190:G1190" si="344">SUM(C1181:C1189)</f>
        <v>12</v>
      </c>
      <c r="D1190" s="74">
        <f t="shared" si="344"/>
        <v>14</v>
      </c>
      <c r="E1190" s="74">
        <f t="shared" si="344"/>
        <v>10</v>
      </c>
      <c r="F1190" s="105">
        <f t="shared" si="344"/>
        <v>18</v>
      </c>
      <c r="G1190" s="76">
        <f t="shared" si="344"/>
        <v>67</v>
      </c>
      <c r="I1190" s="72" t="s">
        <v>7</v>
      </c>
      <c r="J1190" s="73">
        <f>SUM(J1181:J1189)</f>
        <v>156</v>
      </c>
      <c r="K1190" s="74">
        <f t="shared" ref="K1190:O1190" si="345">SUM(K1181:K1189)</f>
        <v>62</v>
      </c>
      <c r="L1190" s="74">
        <f t="shared" si="345"/>
        <v>44</v>
      </c>
      <c r="M1190" s="74">
        <f t="shared" si="345"/>
        <v>1</v>
      </c>
      <c r="N1190" s="105">
        <f t="shared" si="345"/>
        <v>81</v>
      </c>
      <c r="O1190" s="76">
        <f t="shared" si="345"/>
        <v>344</v>
      </c>
    </row>
    <row r="1191" spans="1:16" x14ac:dyDescent="0.15">
      <c r="A1191" s="16" t="s">
        <v>29</v>
      </c>
      <c r="B1191" s="37"/>
      <c r="C1191" s="35"/>
      <c r="D1191" s="35"/>
      <c r="E1191" s="35"/>
      <c r="F1191" s="28">
        <v>1</v>
      </c>
      <c r="G1191" s="7">
        <f t="shared" ref="G1191:G1216" si="346">SUM(B1191:F1191)</f>
        <v>1</v>
      </c>
      <c r="H1191" s="57">
        <v>46153</v>
      </c>
      <c r="I1191" s="16" t="s">
        <v>1667</v>
      </c>
      <c r="J1191" s="11">
        <v>5</v>
      </c>
      <c r="K1191" s="12"/>
      <c r="L1191" s="12"/>
      <c r="M1191" s="12"/>
      <c r="N1191" s="31">
        <v>5</v>
      </c>
      <c r="O1191" s="7">
        <f t="shared" ref="O1191:O1209" si="347">SUM(J1191:N1191)</f>
        <v>10</v>
      </c>
      <c r="P1191" s="58">
        <v>46171</v>
      </c>
    </row>
    <row r="1192" spans="1:16" x14ac:dyDescent="0.15">
      <c r="A1192" s="16" t="s">
        <v>1663</v>
      </c>
      <c r="B1192" s="37"/>
      <c r="C1192" s="35"/>
      <c r="D1192" s="35"/>
      <c r="E1192" s="35"/>
      <c r="F1192" s="28">
        <v>1</v>
      </c>
      <c r="G1192" s="7">
        <f t="shared" si="346"/>
        <v>1</v>
      </c>
      <c r="H1192" s="58">
        <v>46158</v>
      </c>
      <c r="I1192" s="16" t="s">
        <v>1651</v>
      </c>
      <c r="J1192" s="11"/>
      <c r="K1192" s="12"/>
      <c r="L1192" s="12"/>
      <c r="M1192" s="12"/>
      <c r="N1192" s="31">
        <v>5</v>
      </c>
      <c r="O1192" s="7">
        <f t="shared" si="347"/>
        <v>5</v>
      </c>
      <c r="P1192" s="58">
        <v>46179</v>
      </c>
    </row>
    <row r="1193" spans="1:16" x14ac:dyDescent="0.15">
      <c r="A1193" s="16" t="s">
        <v>25</v>
      </c>
      <c r="B1193" s="37"/>
      <c r="C1193" s="35"/>
      <c r="D1193" s="35"/>
      <c r="E1193" s="35">
        <v>1</v>
      </c>
      <c r="F1193" s="28">
        <v>1</v>
      </c>
      <c r="G1193" s="7">
        <f t="shared" si="346"/>
        <v>2</v>
      </c>
      <c r="H1193" s="58">
        <v>46162</v>
      </c>
      <c r="I1193" s="194" t="s">
        <v>1652</v>
      </c>
      <c r="J1193" s="166">
        <v>3</v>
      </c>
      <c r="K1193" s="167"/>
      <c r="L1193" s="167"/>
      <c r="M1193" s="167"/>
      <c r="N1193" s="168"/>
      <c r="O1193" s="161">
        <f t="shared" si="347"/>
        <v>3</v>
      </c>
      <c r="P1193" s="162">
        <v>46184</v>
      </c>
    </row>
    <row r="1194" spans="1:16" x14ac:dyDescent="0.15">
      <c r="A1194" s="16" t="s">
        <v>25</v>
      </c>
      <c r="B1194" s="37">
        <v>1</v>
      </c>
      <c r="C1194" s="35"/>
      <c r="D1194" s="35"/>
      <c r="E1194" s="35">
        <v>1</v>
      </c>
      <c r="F1194" s="28"/>
      <c r="G1194" s="7">
        <f t="shared" si="346"/>
        <v>2</v>
      </c>
      <c r="H1194" s="58">
        <v>46163</v>
      </c>
      <c r="I1194" s="16"/>
      <c r="J1194" s="11"/>
      <c r="K1194" s="12"/>
      <c r="L1194" s="12"/>
      <c r="M1194" s="12"/>
      <c r="N1194" s="31"/>
      <c r="O1194" s="7">
        <f t="shared" si="347"/>
        <v>0</v>
      </c>
      <c r="P1194" s="56"/>
    </row>
    <row r="1195" spans="1:16" x14ac:dyDescent="0.15">
      <c r="A1195" s="16" t="s">
        <v>25</v>
      </c>
      <c r="B1195" s="37">
        <v>1</v>
      </c>
      <c r="C1195" s="35"/>
      <c r="D1195" s="35">
        <v>1</v>
      </c>
      <c r="E1195" s="35"/>
      <c r="F1195" s="28"/>
      <c r="G1195" s="7">
        <f t="shared" si="346"/>
        <v>2</v>
      </c>
      <c r="H1195" s="58">
        <v>46164</v>
      </c>
      <c r="I1195" s="16"/>
      <c r="J1195" s="11"/>
      <c r="K1195" s="12"/>
      <c r="L1195" s="12"/>
      <c r="M1195" s="12"/>
      <c r="N1195" s="31"/>
      <c r="O1195" s="7">
        <f t="shared" si="347"/>
        <v>0</v>
      </c>
    </row>
    <row r="1196" spans="1:16" x14ac:dyDescent="0.15">
      <c r="A1196" s="16" t="s">
        <v>25</v>
      </c>
      <c r="B1196" s="37"/>
      <c r="C1196" s="35">
        <v>1</v>
      </c>
      <c r="D1196" s="35"/>
      <c r="E1196" s="35"/>
      <c r="F1196" s="28">
        <v>1</v>
      </c>
      <c r="G1196" s="7">
        <f t="shared" si="346"/>
        <v>2</v>
      </c>
      <c r="H1196" s="58">
        <v>46165</v>
      </c>
      <c r="I1196" s="16"/>
      <c r="J1196" s="11"/>
      <c r="K1196" s="12"/>
      <c r="L1196" s="12"/>
      <c r="M1196" s="12"/>
      <c r="N1196" s="31"/>
      <c r="O1196" s="7">
        <f t="shared" si="347"/>
        <v>0</v>
      </c>
    </row>
    <row r="1197" spans="1:16" x14ac:dyDescent="0.15">
      <c r="A1197" s="16" t="s">
        <v>25</v>
      </c>
      <c r="B1197" s="37"/>
      <c r="C1197" s="35">
        <v>1</v>
      </c>
      <c r="D1197" s="35">
        <v>1</v>
      </c>
      <c r="E1197" s="35"/>
      <c r="F1197" s="28"/>
      <c r="G1197" s="7">
        <f t="shared" si="346"/>
        <v>2</v>
      </c>
      <c r="H1197" s="58">
        <v>46167</v>
      </c>
      <c r="I1197" s="16"/>
      <c r="J1197" s="11"/>
      <c r="K1197" s="12"/>
      <c r="L1197" s="12"/>
      <c r="M1197" s="12"/>
      <c r="N1197" s="31"/>
      <c r="O1197" s="7">
        <f t="shared" si="347"/>
        <v>0</v>
      </c>
    </row>
    <row r="1198" spans="1:16" x14ac:dyDescent="0.15">
      <c r="A1198" s="16" t="s">
        <v>29</v>
      </c>
      <c r="B1198" s="37"/>
      <c r="C1198" s="35"/>
      <c r="D1198" s="35"/>
      <c r="E1198" s="35"/>
      <c r="F1198" s="28">
        <v>1</v>
      </c>
      <c r="G1198" s="7">
        <f t="shared" si="346"/>
        <v>1</v>
      </c>
      <c r="H1198" s="57">
        <v>46167</v>
      </c>
      <c r="I1198" s="16"/>
      <c r="J1198" s="11"/>
      <c r="K1198" s="12"/>
      <c r="L1198" s="12"/>
      <c r="M1198" s="12"/>
      <c r="N1198" s="31"/>
      <c r="O1198" s="7">
        <f t="shared" si="347"/>
        <v>0</v>
      </c>
    </row>
    <row r="1199" spans="1:16" x14ac:dyDescent="0.15">
      <c r="A1199" s="16" t="s">
        <v>25</v>
      </c>
      <c r="B1199" s="37">
        <v>1</v>
      </c>
      <c r="C1199" s="35">
        <v>1</v>
      </c>
      <c r="D1199" s="35"/>
      <c r="E1199" s="35"/>
      <c r="F1199" s="28"/>
      <c r="G1199" s="7">
        <f t="shared" si="346"/>
        <v>2</v>
      </c>
      <c r="H1199" s="58">
        <v>46170</v>
      </c>
      <c r="I1199" s="16"/>
      <c r="J1199" s="11"/>
      <c r="K1199" s="12"/>
      <c r="L1199" s="12"/>
      <c r="M1199" s="12"/>
      <c r="N1199" s="31"/>
      <c r="O1199" s="7">
        <f t="shared" si="347"/>
        <v>0</v>
      </c>
    </row>
    <row r="1200" spans="1:16" x14ac:dyDescent="0.15">
      <c r="A1200" s="16" t="s">
        <v>25</v>
      </c>
      <c r="B1200" s="37"/>
      <c r="C1200" s="35"/>
      <c r="D1200" s="35">
        <v>1</v>
      </c>
      <c r="E1200" s="35"/>
      <c r="F1200" s="28"/>
      <c r="G1200" s="7">
        <f t="shared" si="346"/>
        <v>1</v>
      </c>
      <c r="H1200" s="58">
        <v>46171</v>
      </c>
      <c r="I1200" s="16"/>
      <c r="J1200" s="11"/>
      <c r="K1200" s="12"/>
      <c r="L1200" s="12"/>
      <c r="M1200" s="12"/>
      <c r="N1200" s="31"/>
      <c r="O1200" s="7">
        <f t="shared" si="347"/>
        <v>0</v>
      </c>
    </row>
    <row r="1201" spans="1:16" x14ac:dyDescent="0.15">
      <c r="A1201" s="16" t="s">
        <v>25</v>
      </c>
      <c r="B1201" s="37">
        <v>1</v>
      </c>
      <c r="C1201" s="35"/>
      <c r="D1201" s="35">
        <v>2</v>
      </c>
      <c r="E1201" s="35"/>
      <c r="F1201" s="28"/>
      <c r="G1201" s="7">
        <f t="shared" si="346"/>
        <v>3</v>
      </c>
      <c r="H1201" s="58">
        <v>46177</v>
      </c>
      <c r="I1201" s="16"/>
      <c r="J1201" s="11"/>
      <c r="K1201" s="12"/>
      <c r="L1201" s="12"/>
      <c r="M1201" s="12"/>
      <c r="N1201" s="31"/>
      <c r="O1201" s="7">
        <f t="shared" si="347"/>
        <v>0</v>
      </c>
    </row>
    <row r="1202" spans="1:16" x14ac:dyDescent="0.15">
      <c r="A1202" s="16" t="s">
        <v>29</v>
      </c>
      <c r="B1202" s="37"/>
      <c r="C1202" s="35"/>
      <c r="D1202" s="35"/>
      <c r="E1202" s="35"/>
      <c r="F1202" s="28">
        <v>1</v>
      </c>
      <c r="G1202" s="7">
        <f t="shared" si="346"/>
        <v>1</v>
      </c>
      <c r="H1202" s="57">
        <v>46175</v>
      </c>
      <c r="I1202" s="16"/>
      <c r="J1202" s="11"/>
      <c r="K1202" s="12"/>
      <c r="L1202" s="12"/>
      <c r="M1202" s="12"/>
      <c r="N1202" s="31"/>
      <c r="O1202" s="7">
        <f t="shared" si="347"/>
        <v>0</v>
      </c>
    </row>
    <row r="1203" spans="1:16" x14ac:dyDescent="0.15">
      <c r="A1203" s="16" t="s">
        <v>29</v>
      </c>
      <c r="B1203" s="37"/>
      <c r="C1203" s="35">
        <v>1</v>
      </c>
      <c r="D1203" s="35"/>
      <c r="E1203" s="35"/>
      <c r="F1203" s="28"/>
      <c r="G1203" s="7">
        <f t="shared" si="346"/>
        <v>1</v>
      </c>
      <c r="H1203" s="58">
        <v>46176</v>
      </c>
      <c r="I1203" s="16"/>
      <c r="J1203" s="11"/>
      <c r="K1203" s="12"/>
      <c r="L1203" s="12"/>
      <c r="M1203" s="12"/>
      <c r="N1203" s="31"/>
      <c r="O1203" s="7">
        <f t="shared" si="347"/>
        <v>0</v>
      </c>
    </row>
    <row r="1204" spans="1:16" x14ac:dyDescent="0.15">
      <c r="A1204" s="16" t="s">
        <v>25</v>
      </c>
      <c r="B1204" s="37">
        <v>1</v>
      </c>
      <c r="C1204" s="35"/>
      <c r="D1204" s="35"/>
      <c r="E1204" s="35"/>
      <c r="F1204" s="28"/>
      <c r="G1204" s="7">
        <f t="shared" si="346"/>
        <v>1</v>
      </c>
      <c r="H1204" s="58">
        <v>46178</v>
      </c>
      <c r="I1204" s="16"/>
      <c r="J1204" s="11"/>
      <c r="K1204" s="12"/>
      <c r="L1204" s="12"/>
      <c r="M1204" s="12"/>
      <c r="N1204" s="31"/>
      <c r="O1204" s="7">
        <f t="shared" si="347"/>
        <v>0</v>
      </c>
    </row>
    <row r="1205" spans="1:16" x14ac:dyDescent="0.15">
      <c r="A1205" s="16" t="s">
        <v>25</v>
      </c>
      <c r="B1205" s="37"/>
      <c r="C1205" s="35"/>
      <c r="D1205" s="35"/>
      <c r="E1205" s="35"/>
      <c r="F1205" s="28">
        <v>3</v>
      </c>
      <c r="G1205" s="7">
        <f t="shared" si="346"/>
        <v>3</v>
      </c>
      <c r="H1205" s="58">
        <v>46181</v>
      </c>
      <c r="I1205" s="16"/>
      <c r="J1205" s="11"/>
      <c r="K1205" s="12"/>
      <c r="L1205" s="12"/>
      <c r="M1205" s="12"/>
      <c r="N1205" s="31"/>
      <c r="O1205" s="7">
        <f t="shared" si="347"/>
        <v>0</v>
      </c>
    </row>
    <row r="1206" spans="1:16" x14ac:dyDescent="0.15">
      <c r="A1206" s="16" t="s">
        <v>29</v>
      </c>
      <c r="B1206" s="37">
        <v>2</v>
      </c>
      <c r="C1206" s="35">
        <v>1</v>
      </c>
      <c r="D1206" s="35">
        <v>1</v>
      </c>
      <c r="E1206" s="35"/>
      <c r="F1206" s="28">
        <v>1</v>
      </c>
      <c r="G1206" s="7">
        <f t="shared" si="346"/>
        <v>5</v>
      </c>
      <c r="H1206" s="57">
        <v>46181</v>
      </c>
      <c r="I1206" s="16"/>
      <c r="J1206" s="11"/>
      <c r="K1206" s="12"/>
      <c r="L1206" s="12"/>
      <c r="M1206" s="12"/>
      <c r="N1206" s="31"/>
      <c r="O1206" s="7">
        <f t="shared" si="347"/>
        <v>0</v>
      </c>
    </row>
    <row r="1207" spans="1:16" x14ac:dyDescent="0.15">
      <c r="A1207" s="16" t="s">
        <v>25</v>
      </c>
      <c r="B1207" s="37"/>
      <c r="C1207" s="35"/>
      <c r="D1207" s="35"/>
      <c r="E1207" s="35"/>
      <c r="F1207" s="28">
        <v>1</v>
      </c>
      <c r="G1207" s="7">
        <f t="shared" si="346"/>
        <v>1</v>
      </c>
      <c r="H1207" s="58">
        <v>46184</v>
      </c>
      <c r="I1207" s="16"/>
      <c r="J1207" s="11"/>
      <c r="K1207" s="12"/>
      <c r="L1207" s="12"/>
      <c r="M1207" s="12"/>
      <c r="N1207" s="31"/>
      <c r="O1207" s="7">
        <f t="shared" si="347"/>
        <v>0</v>
      </c>
    </row>
    <row r="1208" spans="1:16" x14ac:dyDescent="0.15">
      <c r="A1208" s="16" t="s">
        <v>29</v>
      </c>
      <c r="B1208" s="37">
        <v>2</v>
      </c>
      <c r="C1208" s="35"/>
      <c r="D1208" s="35"/>
      <c r="E1208" s="35"/>
      <c r="F1208" s="28"/>
      <c r="G1208" s="7">
        <f t="shared" si="346"/>
        <v>2</v>
      </c>
      <c r="H1208" s="58">
        <v>46182</v>
      </c>
      <c r="I1208" s="16"/>
      <c r="J1208" s="11"/>
      <c r="K1208" s="12"/>
      <c r="L1208" s="12"/>
      <c r="M1208" s="12"/>
      <c r="N1208" s="31"/>
      <c r="O1208" s="7">
        <f t="shared" si="347"/>
        <v>0</v>
      </c>
    </row>
    <row r="1209" spans="1:16" x14ac:dyDescent="0.15">
      <c r="A1209" s="16" t="s">
        <v>25</v>
      </c>
      <c r="B1209" s="37"/>
      <c r="C1209" s="35">
        <v>1</v>
      </c>
      <c r="D1209" s="35"/>
      <c r="E1209" s="35"/>
      <c r="F1209" s="28"/>
      <c r="G1209" s="7">
        <f t="shared" si="346"/>
        <v>1</v>
      </c>
      <c r="H1209" s="58">
        <v>46185</v>
      </c>
      <c r="I1209" s="16"/>
      <c r="J1209" s="11"/>
      <c r="K1209" s="12"/>
      <c r="L1209" s="12"/>
      <c r="M1209" s="12"/>
      <c r="N1209" s="31"/>
      <c r="O1209" s="7">
        <f t="shared" si="347"/>
        <v>0</v>
      </c>
    </row>
    <row r="1210" spans="1:16" x14ac:dyDescent="0.15">
      <c r="A1210" s="16" t="s">
        <v>29</v>
      </c>
      <c r="B1210" s="37"/>
      <c r="C1210" s="35"/>
      <c r="D1210" s="35"/>
      <c r="E1210" s="35"/>
      <c r="F1210" s="28">
        <v>1</v>
      </c>
      <c r="G1210" s="7">
        <f t="shared" si="346"/>
        <v>1</v>
      </c>
      <c r="H1210" s="58">
        <v>46183</v>
      </c>
      <c r="I1210" s="16"/>
      <c r="J1210" s="11"/>
      <c r="K1210" s="12"/>
      <c r="L1210" s="12"/>
      <c r="M1210" s="12"/>
      <c r="N1210" s="31"/>
      <c r="O1210" s="7">
        <f t="shared" ref="O1210:O1216" si="348">SUM(J1210:N1210)</f>
        <v>0</v>
      </c>
    </row>
    <row r="1211" spans="1:16" x14ac:dyDescent="0.15">
      <c r="A1211" s="16" t="s">
        <v>25</v>
      </c>
      <c r="B1211" s="37"/>
      <c r="C1211" s="35">
        <v>1</v>
      </c>
      <c r="D1211" s="35"/>
      <c r="E1211" s="35"/>
      <c r="F1211" s="28"/>
      <c r="G1211" s="7">
        <f t="shared" si="346"/>
        <v>1</v>
      </c>
      <c r="H1211" s="58">
        <v>46185</v>
      </c>
      <c r="I1211" s="16"/>
      <c r="J1211" s="11"/>
      <c r="K1211" s="12"/>
      <c r="L1211" s="12"/>
      <c r="M1211" s="12"/>
      <c r="N1211" s="31"/>
      <c r="O1211" s="7">
        <f t="shared" si="348"/>
        <v>0</v>
      </c>
    </row>
    <row r="1212" spans="1:16" x14ac:dyDescent="0.15">
      <c r="A1212" s="16" t="s">
        <v>29</v>
      </c>
      <c r="B1212" s="37"/>
      <c r="C1212" s="35"/>
      <c r="D1212" s="35"/>
      <c r="E1212" s="35"/>
      <c r="F1212" s="28">
        <v>1</v>
      </c>
      <c r="G1212" s="7">
        <f t="shared" si="346"/>
        <v>1</v>
      </c>
      <c r="H1212" s="58">
        <v>46184</v>
      </c>
      <c r="I1212" s="16"/>
      <c r="J1212" s="11"/>
      <c r="K1212" s="12"/>
      <c r="L1212" s="12"/>
      <c r="M1212" s="12"/>
      <c r="N1212" s="31"/>
      <c r="O1212" s="7">
        <f t="shared" si="348"/>
        <v>0</v>
      </c>
    </row>
    <row r="1213" spans="1:16" x14ac:dyDescent="0.15">
      <c r="A1213" s="16" t="s">
        <v>25</v>
      </c>
      <c r="B1213" s="37"/>
      <c r="C1213" s="35">
        <v>1</v>
      </c>
      <c r="D1213" s="35"/>
      <c r="E1213" s="35"/>
      <c r="F1213" s="28"/>
      <c r="G1213" s="7">
        <f t="shared" si="346"/>
        <v>1</v>
      </c>
      <c r="H1213" s="58">
        <v>46190</v>
      </c>
      <c r="I1213" s="14"/>
      <c r="J1213" s="11"/>
      <c r="K1213" s="12"/>
      <c r="L1213" s="12"/>
      <c r="M1213" s="12"/>
      <c r="N1213" s="31"/>
      <c r="O1213" s="7">
        <f t="shared" si="348"/>
        <v>0</v>
      </c>
    </row>
    <row r="1214" spans="1:16" x14ac:dyDescent="0.15">
      <c r="A1214" s="16" t="s">
        <v>29</v>
      </c>
      <c r="B1214" s="37">
        <v>1</v>
      </c>
      <c r="C1214" s="35"/>
      <c r="D1214" s="35"/>
      <c r="E1214" s="35"/>
      <c r="F1214" s="28">
        <v>1</v>
      </c>
      <c r="G1214" s="7">
        <f t="shared" si="346"/>
        <v>2</v>
      </c>
      <c r="H1214" s="57">
        <v>46188</v>
      </c>
      <c r="I1214" s="16"/>
      <c r="J1214" s="11"/>
      <c r="K1214" s="12"/>
      <c r="L1214" s="12"/>
      <c r="M1214" s="12"/>
      <c r="N1214" s="31"/>
      <c r="O1214" s="7">
        <f t="shared" si="348"/>
        <v>0</v>
      </c>
    </row>
    <row r="1215" spans="1:16" x14ac:dyDescent="0.15">
      <c r="A1215" s="16" t="s">
        <v>713</v>
      </c>
      <c r="B1215" s="37"/>
      <c r="C1215" s="35"/>
      <c r="D1215" s="35"/>
      <c r="E1215" s="35"/>
      <c r="F1215" s="28">
        <v>2</v>
      </c>
      <c r="G1215" s="7">
        <f t="shared" si="346"/>
        <v>2</v>
      </c>
      <c r="H1215" s="57">
        <v>46217</v>
      </c>
      <c r="I1215" s="16"/>
      <c r="J1215" s="11"/>
      <c r="K1215" s="12"/>
      <c r="L1215" s="12"/>
      <c r="M1215" s="12"/>
      <c r="N1215" s="31"/>
      <c r="O1215" s="7">
        <f t="shared" si="348"/>
        <v>0</v>
      </c>
    </row>
    <row r="1216" spans="1:16" ht="14.25" thickBot="1" x14ac:dyDescent="0.2">
      <c r="A1216" s="16"/>
      <c r="B1216" s="37"/>
      <c r="C1216" s="35"/>
      <c r="D1216" s="35"/>
      <c r="E1216" s="35"/>
      <c r="F1216" s="28"/>
      <c r="G1216" s="7">
        <f t="shared" si="346"/>
        <v>0</v>
      </c>
      <c r="I1216" s="94" t="s">
        <v>1653</v>
      </c>
      <c r="J1216" s="91">
        <v>20</v>
      </c>
      <c r="K1216" s="92">
        <v>25</v>
      </c>
      <c r="L1216" s="92">
        <v>27</v>
      </c>
      <c r="M1216" s="92">
        <f>17-6-4-1-2-1-2</f>
        <v>1</v>
      </c>
      <c r="N1216" s="93">
        <v>20</v>
      </c>
      <c r="O1216" s="61">
        <f t="shared" si="348"/>
        <v>93</v>
      </c>
      <c r="P1216" s="68" t="s">
        <v>1654</v>
      </c>
    </row>
    <row r="1217" spans="1:15" ht="14.25" thickBot="1" x14ac:dyDescent="0.2">
      <c r="A1217" s="3" t="s">
        <v>11</v>
      </c>
      <c r="B1217" s="23">
        <f>SUM(B1191:B1216)</f>
        <v>10</v>
      </c>
      <c r="C1217" s="4">
        <f>SUM(C1191:C1216)</f>
        <v>8</v>
      </c>
      <c r="D1217" s="4">
        <f>SUM(D1191:D1216)</f>
        <v>6</v>
      </c>
      <c r="E1217" s="6">
        <f>SUM(E1191:E1216)</f>
        <v>2</v>
      </c>
      <c r="F1217" s="32">
        <f>SUM(F1191:F1216)</f>
        <v>16</v>
      </c>
      <c r="G1217" s="5">
        <f>SUM(B1217:F1217)</f>
        <v>42</v>
      </c>
      <c r="I1217" s="3" t="s">
        <v>11</v>
      </c>
      <c r="J1217" s="23">
        <f>SUM(J1191:J1216)</f>
        <v>28</v>
      </c>
      <c r="K1217" s="4">
        <f>SUM(K1191:K1216)</f>
        <v>25</v>
      </c>
      <c r="L1217" s="4">
        <f>SUM(L1191:L1216)</f>
        <v>27</v>
      </c>
      <c r="M1217" s="6">
        <f>SUM(M1191:M1216)</f>
        <v>1</v>
      </c>
      <c r="N1217" s="32">
        <f>SUM(N1191:N1216)</f>
        <v>30</v>
      </c>
      <c r="O1217" s="5">
        <f>SUM(J1217:N1217)</f>
        <v>111</v>
      </c>
    </row>
    <row r="1218" spans="1:15" ht="14.25" thickBot="1" x14ac:dyDescent="0.2">
      <c r="A1218" s="25" t="s">
        <v>12</v>
      </c>
      <c r="B1218" s="63">
        <f>B1190-B1217</f>
        <v>3</v>
      </c>
      <c r="C1218" s="26">
        <f t="shared" ref="C1218:G1218" si="349">C1190-C1217</f>
        <v>4</v>
      </c>
      <c r="D1218" s="71">
        <f t="shared" si="349"/>
        <v>8</v>
      </c>
      <c r="E1218" s="74">
        <f t="shared" si="349"/>
        <v>8</v>
      </c>
      <c r="F1218" s="70">
        <f t="shared" si="349"/>
        <v>2</v>
      </c>
      <c r="G1218" s="27">
        <f t="shared" si="349"/>
        <v>25</v>
      </c>
      <c r="I1218" s="25" t="s">
        <v>12</v>
      </c>
      <c r="J1218" s="63">
        <f>J1190-J1217</f>
        <v>128</v>
      </c>
      <c r="K1218" s="26">
        <f>K1190-K1217</f>
        <v>37</v>
      </c>
      <c r="L1218" s="71">
        <f>L1190-L1217</f>
        <v>17</v>
      </c>
      <c r="M1218" s="26">
        <f t="shared" ref="M1218:O1218" si="350">M1190-M1217</f>
        <v>0</v>
      </c>
      <c r="N1218" s="70">
        <f t="shared" si="350"/>
        <v>51</v>
      </c>
      <c r="O1218" s="27">
        <f t="shared" si="350"/>
        <v>233</v>
      </c>
    </row>
    <row r="1219" spans="1:15" x14ac:dyDescent="0.15">
      <c r="J1219">
        <f>J1218+B1218</f>
        <v>131</v>
      </c>
      <c r="K1219">
        <f t="shared" ref="K1219:N1219" si="351">K1218+C1218</f>
        <v>41</v>
      </c>
      <c r="L1219">
        <f t="shared" si="351"/>
        <v>25</v>
      </c>
      <c r="M1219">
        <f t="shared" si="351"/>
        <v>8</v>
      </c>
      <c r="N1219">
        <f t="shared" si="351"/>
        <v>53</v>
      </c>
      <c r="O1219">
        <f>O1218+G1218</f>
        <v>258</v>
      </c>
    </row>
  </sheetData>
  <mergeCells count="58">
    <mergeCell ref="B1179:G1179"/>
    <mergeCell ref="B1137:G1137"/>
    <mergeCell ref="J1137:O1137"/>
    <mergeCell ref="B885:G885"/>
    <mergeCell ref="J885:O885"/>
    <mergeCell ref="J1179:O1179"/>
    <mergeCell ref="B843:G843"/>
    <mergeCell ref="J843:O843"/>
    <mergeCell ref="B927:G927"/>
    <mergeCell ref="J927:O927"/>
    <mergeCell ref="B1095:G1095"/>
    <mergeCell ref="J1095:O1095"/>
    <mergeCell ref="B1053:G1053"/>
    <mergeCell ref="J1053:O1053"/>
    <mergeCell ref="B1011:G1011"/>
    <mergeCell ref="J1011:O1011"/>
    <mergeCell ref="B213:G213"/>
    <mergeCell ref="J213:O213"/>
    <mergeCell ref="B297:G297"/>
    <mergeCell ref="J297:O297"/>
    <mergeCell ref="B549:G549"/>
    <mergeCell ref="J549:O549"/>
    <mergeCell ref="B507:G507"/>
    <mergeCell ref="J507:O507"/>
    <mergeCell ref="B465:G465"/>
    <mergeCell ref="J465:O465"/>
    <mergeCell ref="B423:G423"/>
    <mergeCell ref="J423:O423"/>
    <mergeCell ref="B339:G339"/>
    <mergeCell ref="J339:O339"/>
    <mergeCell ref="B381:G381"/>
    <mergeCell ref="J381:O381"/>
    <mergeCell ref="B801:G801"/>
    <mergeCell ref="J801:O801"/>
    <mergeCell ref="B969:G969"/>
    <mergeCell ref="J969:O969"/>
    <mergeCell ref="B3:G3"/>
    <mergeCell ref="J3:O3"/>
    <mergeCell ref="B45:G45"/>
    <mergeCell ref="J45:O45"/>
    <mergeCell ref="J87:O87"/>
    <mergeCell ref="B87:G87"/>
    <mergeCell ref="B171:G171"/>
    <mergeCell ref="J171:O171"/>
    <mergeCell ref="B255:G255"/>
    <mergeCell ref="J255:O255"/>
    <mergeCell ref="B129:G129"/>
    <mergeCell ref="J129:O129"/>
    <mergeCell ref="B591:G591"/>
    <mergeCell ref="J591:O591"/>
    <mergeCell ref="B675:G675"/>
    <mergeCell ref="J675:O675"/>
    <mergeCell ref="B759:G759"/>
    <mergeCell ref="J759:O759"/>
    <mergeCell ref="B633:G633"/>
    <mergeCell ref="J633:O633"/>
    <mergeCell ref="B717:G717"/>
    <mergeCell ref="J717:O717"/>
  </mergeCells>
  <phoneticPr fontId="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サークル-ノースリ</vt:lpstr>
      <vt:lpstr>サークル-半袖</vt:lpstr>
      <vt:lpstr>3分丈ボトム</vt:lpstr>
      <vt:lpstr>5分丈ボトム</vt:lpstr>
      <vt:lpstr>花柄-ノースリ</vt:lpstr>
      <vt:lpstr>花柄-半袖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2018-04-12T00:35:43Z</cp:lastPrinted>
  <dcterms:created xsi:type="dcterms:W3CDTF">2014-05-13T01:53:47Z</dcterms:created>
  <dcterms:modified xsi:type="dcterms:W3CDTF">2026-07-14T09:41:41Z</dcterms:modified>
</cp:coreProperties>
</file>